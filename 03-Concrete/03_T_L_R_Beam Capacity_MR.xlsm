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3634611" documentId="114_{4C9766C2-934B-FE43-8898-95272A9847CE}" xr6:coauthVersionLast="45" xr6:coauthVersionMax="45" xr10:uidLastSave="{FDB6FDEE-7E13-4B34-A84D-1B348ED316EA}"/>
  <bookViews>
    <workbookView xWindow="-120" yWindow="-120" windowWidth="27930" windowHeight="18240" xr2:uid="{2AFCDE7C-57C4-4CF6-8D68-85BA7869C158}"/>
  </bookViews>
  <sheets>
    <sheet name="L_Section_Capacit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1" l="1"/>
  <c r="AB17" i="1" l="1"/>
  <c r="AA17" i="1"/>
  <c r="Z17" i="1"/>
  <c r="ED4" i="1" l="1"/>
  <c r="ED6" i="1" s="1"/>
  <c r="EC4" i="1"/>
  <c r="EC6" i="1" s="1"/>
  <c r="EB4" i="1"/>
  <c r="EG4" i="1" s="1"/>
  <c r="EJ4" i="1" s="1"/>
  <c r="DV4" i="1"/>
  <c r="DV5" i="1"/>
  <c r="DW3" i="1"/>
  <c r="DX3" i="1"/>
  <c r="DY3" i="1"/>
  <c r="EI4" i="1" l="1"/>
  <c r="EH4" i="1"/>
  <c r="EF6" i="1"/>
  <c r="EF4" i="1"/>
  <c r="AT5" i="1"/>
  <c r="AS5" i="1"/>
  <c r="BW16" i="1" l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32" i="1"/>
  <c r="BW33" i="1"/>
  <c r="BW34" i="1"/>
  <c r="BW35" i="1"/>
  <c r="BW36" i="1"/>
  <c r="BW37" i="1"/>
  <c r="BW38" i="1"/>
  <c r="BW39" i="1"/>
  <c r="BW40" i="1"/>
  <c r="BW41" i="1"/>
  <c r="BW42" i="1"/>
  <c r="BW43" i="1"/>
  <c r="BW44" i="1"/>
  <c r="BW45" i="1"/>
  <c r="BW46" i="1"/>
  <c r="BW47" i="1"/>
  <c r="BW48" i="1"/>
  <c r="BW49" i="1"/>
  <c r="BW50" i="1"/>
  <c r="BW51" i="1"/>
  <c r="BW52" i="1"/>
  <c r="BW53" i="1"/>
  <c r="BW54" i="1"/>
  <c r="BW55" i="1"/>
  <c r="BW56" i="1"/>
  <c r="BW57" i="1"/>
  <c r="BW58" i="1"/>
  <c r="BW59" i="1"/>
  <c r="BW60" i="1"/>
  <c r="BW61" i="1"/>
  <c r="BW62" i="1"/>
  <c r="BW63" i="1"/>
  <c r="BW64" i="1"/>
  <c r="BW65" i="1"/>
  <c r="BW66" i="1"/>
  <c r="BW67" i="1"/>
  <c r="BW68" i="1"/>
  <c r="BW69" i="1"/>
  <c r="BW70" i="1"/>
  <c r="BW71" i="1"/>
  <c r="BW72" i="1"/>
  <c r="BW73" i="1"/>
  <c r="BW74" i="1"/>
  <c r="BW75" i="1"/>
  <c r="BW76" i="1"/>
  <c r="BW77" i="1"/>
  <c r="BW78" i="1"/>
  <c r="BW79" i="1"/>
  <c r="BW80" i="1"/>
  <c r="BW81" i="1"/>
  <c r="BW82" i="1"/>
  <c r="BW83" i="1"/>
  <c r="BW84" i="1"/>
  <c r="BW85" i="1"/>
  <c r="BW86" i="1"/>
  <c r="BW87" i="1"/>
  <c r="BW88" i="1"/>
  <c r="BW89" i="1"/>
  <c r="BW90" i="1"/>
  <c r="BW91" i="1"/>
  <c r="BW92" i="1"/>
  <c r="BW93" i="1"/>
  <c r="BW94" i="1"/>
  <c r="BW95" i="1"/>
  <c r="BW96" i="1"/>
  <c r="BW97" i="1"/>
  <c r="BW98" i="1"/>
  <c r="BW99" i="1"/>
  <c r="BW100" i="1"/>
  <c r="BW101" i="1"/>
  <c r="BW102" i="1"/>
  <c r="BW103" i="1"/>
  <c r="BW104" i="1"/>
  <c r="BW105" i="1"/>
  <c r="BW106" i="1"/>
  <c r="BW107" i="1"/>
  <c r="BW108" i="1"/>
  <c r="BW109" i="1"/>
  <c r="BW110" i="1"/>
  <c r="BW111" i="1"/>
  <c r="BW112" i="1"/>
  <c r="BW113" i="1"/>
  <c r="BW114" i="1"/>
  <c r="BW115" i="1"/>
  <c r="BW116" i="1"/>
  <c r="BW117" i="1"/>
  <c r="BW118" i="1"/>
  <c r="BW119" i="1"/>
  <c r="BW120" i="1"/>
  <c r="BW121" i="1"/>
  <c r="BW122" i="1"/>
  <c r="BW123" i="1"/>
  <c r="BW124" i="1"/>
  <c r="BW125" i="1"/>
  <c r="BW126" i="1"/>
  <c r="BW127" i="1"/>
  <c r="BW128" i="1"/>
  <c r="BW129" i="1"/>
  <c r="BW130" i="1"/>
  <c r="BW131" i="1"/>
  <c r="BW132" i="1"/>
  <c r="BW133" i="1"/>
  <c r="BW134" i="1"/>
  <c r="BW135" i="1"/>
  <c r="BW136" i="1"/>
  <c r="BW137" i="1"/>
  <c r="BW138" i="1"/>
  <c r="BW139" i="1"/>
  <c r="BW140" i="1"/>
  <c r="BW141" i="1"/>
  <c r="BW142" i="1"/>
  <c r="BW143" i="1"/>
  <c r="BW144" i="1"/>
  <c r="BW145" i="1"/>
  <c r="BW146" i="1"/>
  <c r="BW147" i="1"/>
  <c r="BW148" i="1"/>
  <c r="BW149" i="1"/>
  <c r="BW150" i="1"/>
  <c r="BW151" i="1"/>
  <c r="BW152" i="1"/>
  <c r="BW153" i="1"/>
  <c r="BW154" i="1"/>
  <c r="BW155" i="1"/>
  <c r="BW156" i="1"/>
  <c r="BW157" i="1"/>
  <c r="BW158" i="1"/>
  <c r="BW159" i="1"/>
  <c r="BW160" i="1"/>
  <c r="BW161" i="1"/>
  <c r="BW162" i="1"/>
  <c r="BW163" i="1"/>
  <c r="BW164" i="1"/>
  <c r="BW165" i="1"/>
  <c r="BW166" i="1"/>
  <c r="BW167" i="1"/>
  <c r="BW168" i="1"/>
  <c r="BW169" i="1"/>
  <c r="BW170" i="1"/>
  <c r="BW171" i="1"/>
  <c r="BW172" i="1"/>
  <c r="BW173" i="1"/>
  <c r="BW174" i="1"/>
  <c r="BW175" i="1"/>
  <c r="BW176" i="1"/>
  <c r="BW177" i="1"/>
  <c r="BW178" i="1"/>
  <c r="BW179" i="1"/>
  <c r="BW180" i="1"/>
  <c r="BW181" i="1"/>
  <c r="BW182" i="1"/>
  <c r="BW183" i="1"/>
  <c r="BW184" i="1"/>
  <c r="BW185" i="1"/>
  <c r="BW186" i="1"/>
  <c r="BW187" i="1"/>
  <c r="BW188" i="1"/>
  <c r="BW189" i="1"/>
  <c r="BW190" i="1"/>
  <c r="BW191" i="1"/>
  <c r="BW192" i="1"/>
  <c r="BW193" i="1"/>
  <c r="BW194" i="1"/>
  <c r="BW195" i="1"/>
  <c r="BW196" i="1"/>
  <c r="BW197" i="1"/>
  <c r="BW198" i="1"/>
  <c r="BW199" i="1"/>
  <c r="BW200" i="1"/>
  <c r="BW201" i="1"/>
  <c r="BW202" i="1"/>
  <c r="BW203" i="1"/>
  <c r="BW204" i="1"/>
  <c r="BW205" i="1"/>
  <c r="BW206" i="1"/>
  <c r="BW207" i="1"/>
  <c r="BW208" i="1"/>
  <c r="BW209" i="1"/>
  <c r="BW210" i="1"/>
  <c r="BW211" i="1"/>
  <c r="BW212" i="1"/>
  <c r="BW213" i="1"/>
  <c r="BW214" i="1"/>
  <c r="BW215" i="1"/>
  <c r="BW216" i="1"/>
  <c r="BW217" i="1"/>
  <c r="BW218" i="1"/>
  <c r="BW219" i="1"/>
  <c r="BW220" i="1"/>
  <c r="BW221" i="1"/>
  <c r="BW222" i="1"/>
  <c r="BW223" i="1"/>
  <c r="BW224" i="1"/>
  <c r="BW225" i="1"/>
  <c r="BW226" i="1"/>
  <c r="BW227" i="1"/>
  <c r="BW228" i="1"/>
  <c r="BW229" i="1"/>
  <c r="BW230" i="1"/>
  <c r="BW231" i="1"/>
  <c r="BW232" i="1"/>
  <c r="BW233" i="1"/>
  <c r="BW234" i="1"/>
  <c r="BW235" i="1"/>
  <c r="BW236" i="1"/>
  <c r="BW237" i="1"/>
  <c r="BW238" i="1"/>
  <c r="BW239" i="1"/>
  <c r="BW240" i="1"/>
  <c r="BW241" i="1"/>
  <c r="BW242" i="1"/>
  <c r="BW243" i="1"/>
  <c r="BW244" i="1"/>
  <c r="BW245" i="1"/>
  <c r="BW246" i="1"/>
  <c r="BW247" i="1"/>
  <c r="BW248" i="1"/>
  <c r="BW249" i="1"/>
  <c r="BW250" i="1"/>
  <c r="BW251" i="1"/>
  <c r="BW252" i="1"/>
  <c r="BW253" i="1"/>
  <c r="BW254" i="1"/>
  <c r="BW255" i="1"/>
  <c r="BW256" i="1"/>
  <c r="BW257" i="1"/>
  <c r="BW258" i="1"/>
  <c r="BW259" i="1"/>
  <c r="BW260" i="1"/>
  <c r="BW261" i="1"/>
  <c r="BW262" i="1"/>
  <c r="BW263" i="1"/>
  <c r="BW264" i="1"/>
  <c r="BW265" i="1"/>
  <c r="BW266" i="1"/>
  <c r="BW267" i="1"/>
  <c r="BW268" i="1"/>
  <c r="BW269" i="1"/>
  <c r="BW270" i="1"/>
  <c r="BW271" i="1"/>
  <c r="BW272" i="1"/>
  <c r="BW273" i="1"/>
  <c r="BW274" i="1"/>
  <c r="BW275" i="1"/>
  <c r="BW276" i="1"/>
  <c r="BW277" i="1"/>
  <c r="BW278" i="1"/>
  <c r="BW279" i="1"/>
  <c r="BW280" i="1"/>
  <c r="BW281" i="1"/>
  <c r="BW282" i="1"/>
  <c r="BW283" i="1"/>
  <c r="BW284" i="1"/>
  <c r="BW285" i="1"/>
  <c r="BW286" i="1"/>
  <c r="BW287" i="1"/>
  <c r="BW288" i="1"/>
  <c r="BW289" i="1"/>
  <c r="BW290" i="1"/>
  <c r="BW291" i="1"/>
  <c r="BW292" i="1"/>
  <c r="BW293" i="1"/>
  <c r="BW294" i="1"/>
  <c r="BW295" i="1"/>
  <c r="BW296" i="1"/>
  <c r="BW297" i="1"/>
  <c r="BW298" i="1"/>
  <c r="BW299" i="1"/>
  <c r="BW300" i="1"/>
  <c r="BW301" i="1"/>
  <c r="BW302" i="1"/>
  <c r="BW303" i="1"/>
  <c r="BW304" i="1"/>
  <c r="BW305" i="1"/>
  <c r="BW306" i="1"/>
  <c r="BW307" i="1"/>
  <c r="BW308" i="1"/>
  <c r="BW309" i="1"/>
  <c r="BW310" i="1"/>
  <c r="BW311" i="1"/>
  <c r="BW312" i="1"/>
  <c r="BW313" i="1"/>
  <c r="BW314" i="1"/>
  <c r="BW315" i="1"/>
  <c r="BW316" i="1"/>
  <c r="BW317" i="1"/>
  <c r="BW318" i="1"/>
  <c r="BW319" i="1"/>
  <c r="BW320" i="1"/>
  <c r="BW321" i="1"/>
  <c r="BW322" i="1"/>
  <c r="BW323" i="1"/>
  <c r="BW324" i="1"/>
  <c r="BW325" i="1"/>
  <c r="BW326" i="1"/>
  <c r="BW327" i="1"/>
  <c r="BW328" i="1"/>
  <c r="BW329" i="1"/>
  <c r="BW330" i="1"/>
  <c r="BW331" i="1"/>
  <c r="BW332" i="1"/>
  <c r="BW333" i="1"/>
  <c r="BW334" i="1"/>
  <c r="BW335" i="1"/>
  <c r="BW336" i="1"/>
  <c r="BW337" i="1"/>
  <c r="BW338" i="1"/>
  <c r="BW339" i="1"/>
  <c r="BW340" i="1"/>
  <c r="BW341" i="1"/>
  <c r="BW342" i="1"/>
  <c r="BW343" i="1"/>
  <c r="BW344" i="1"/>
  <c r="BW345" i="1"/>
  <c r="BW346" i="1"/>
  <c r="BW347" i="1"/>
  <c r="BW348" i="1"/>
  <c r="BW349" i="1"/>
  <c r="BW350" i="1"/>
  <c r="BW351" i="1"/>
  <c r="BW352" i="1"/>
  <c r="BW353" i="1"/>
  <c r="BW354" i="1"/>
  <c r="BW355" i="1"/>
  <c r="BW356" i="1"/>
  <c r="BW357" i="1"/>
  <c r="BW358" i="1"/>
  <c r="BW359" i="1"/>
  <c r="BW360" i="1"/>
  <c r="BW361" i="1"/>
  <c r="BW362" i="1"/>
  <c r="BW363" i="1"/>
  <c r="BW364" i="1"/>
  <c r="BW365" i="1"/>
  <c r="BW366" i="1"/>
  <c r="BW367" i="1"/>
  <c r="BW368" i="1"/>
  <c r="BW369" i="1"/>
  <c r="BW370" i="1"/>
  <c r="BW371" i="1"/>
  <c r="BW372" i="1"/>
  <c r="BW373" i="1"/>
  <c r="BW374" i="1"/>
  <c r="BW375" i="1"/>
  <c r="B184" i="1" l="1"/>
  <c r="C184" i="1"/>
  <c r="D184" i="1"/>
  <c r="E184" i="1"/>
  <c r="B185" i="1"/>
  <c r="D185" i="1"/>
  <c r="E185" i="1"/>
  <c r="B186" i="1"/>
  <c r="D186" i="1"/>
  <c r="E186" i="1"/>
  <c r="B187" i="1"/>
  <c r="D187" i="1"/>
  <c r="E187" i="1"/>
  <c r="B188" i="1"/>
  <c r="D188" i="1"/>
  <c r="E188" i="1"/>
  <c r="B189" i="1"/>
  <c r="D189" i="1"/>
  <c r="E189" i="1"/>
  <c r="B190" i="1"/>
  <c r="D190" i="1"/>
  <c r="E190" i="1"/>
  <c r="B191" i="1"/>
  <c r="D191" i="1"/>
  <c r="E191" i="1"/>
  <c r="B192" i="1"/>
  <c r="D192" i="1"/>
  <c r="E192" i="1"/>
  <c r="B193" i="1"/>
  <c r="D193" i="1"/>
  <c r="E193" i="1"/>
  <c r="B194" i="1"/>
  <c r="D194" i="1"/>
  <c r="E194" i="1"/>
  <c r="A185" i="1"/>
  <c r="A186" i="1"/>
  <c r="A187" i="1"/>
  <c r="A188" i="1"/>
  <c r="A189" i="1"/>
  <c r="A190" i="1"/>
  <c r="A191" i="1"/>
  <c r="A192" i="1"/>
  <c r="A193" i="1"/>
  <c r="A194" i="1"/>
  <c r="A184" i="1"/>
  <c r="BF156" i="1"/>
  <c r="BG156" i="1" s="1"/>
  <c r="BF157" i="1"/>
  <c r="BG157" i="1" s="1"/>
  <c r="B143" i="1" l="1"/>
  <c r="A168" i="1"/>
  <c r="A169" i="1"/>
  <c r="A170" i="1"/>
  <c r="A171" i="1"/>
  <c r="A172" i="1"/>
  <c r="A173" i="1"/>
  <c r="A174" i="1"/>
  <c r="A175" i="1"/>
  <c r="C156" i="1"/>
  <c r="C167" i="1" s="1"/>
  <c r="D156" i="1"/>
  <c r="D167" i="1" s="1"/>
  <c r="E156" i="1"/>
  <c r="E167" i="1" s="1"/>
  <c r="B156" i="1"/>
  <c r="B167" i="1" s="1"/>
  <c r="B150" i="1"/>
  <c r="L175" i="1" l="1"/>
  <c r="M175" i="1" s="1"/>
  <c r="L173" i="1"/>
  <c r="M173" i="1" s="1"/>
  <c r="L169" i="1"/>
  <c r="M169" i="1" s="1"/>
  <c r="L168" i="1"/>
  <c r="M168" i="1" s="1"/>
  <c r="L170" i="1"/>
  <c r="M170" i="1" s="1"/>
  <c r="L171" i="1"/>
  <c r="M171" i="1" s="1"/>
  <c r="L172" i="1"/>
  <c r="M172" i="1" s="1"/>
  <c r="L174" i="1"/>
  <c r="M174" i="1" s="1"/>
  <c r="AC53" i="1"/>
  <c r="AC52" i="1"/>
  <c r="AC50" i="1"/>
  <c r="AC51" i="1" s="1"/>
  <c r="AD49" i="1"/>
  <c r="AD53" i="1" s="1"/>
  <c r="AD50" i="1" l="1"/>
  <c r="AD51" i="1" s="1"/>
  <c r="AD52" i="1" s="1"/>
  <c r="AE37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G34" i="1" s="1"/>
  <c r="BF35" i="1"/>
  <c r="BF36" i="1"/>
  <c r="BF37" i="1"/>
  <c r="BF38" i="1"/>
  <c r="BF39" i="1"/>
  <c r="BF40" i="1"/>
  <c r="BF41" i="1"/>
  <c r="BF42" i="1"/>
  <c r="BG42" i="1" s="1"/>
  <c r="BF43" i="1"/>
  <c r="BF44" i="1"/>
  <c r="BF45" i="1"/>
  <c r="BF46" i="1"/>
  <c r="BF47" i="1"/>
  <c r="BF48" i="1"/>
  <c r="BF49" i="1"/>
  <c r="BF50" i="1"/>
  <c r="BG50" i="1" s="1"/>
  <c r="BF51" i="1"/>
  <c r="BF52" i="1"/>
  <c r="BF53" i="1"/>
  <c r="BF54" i="1"/>
  <c r="BF55" i="1"/>
  <c r="BF56" i="1"/>
  <c r="BF57" i="1"/>
  <c r="BF58" i="1"/>
  <c r="BG58" i="1" s="1"/>
  <c r="BF59" i="1"/>
  <c r="BF60" i="1"/>
  <c r="BF61" i="1"/>
  <c r="BF62" i="1"/>
  <c r="BF63" i="1"/>
  <c r="BF64" i="1"/>
  <c r="BF65" i="1"/>
  <c r="BF66" i="1"/>
  <c r="BG66" i="1" s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G106" i="1" s="1"/>
  <c r="BF107" i="1"/>
  <c r="BF108" i="1"/>
  <c r="BF109" i="1"/>
  <c r="BF110" i="1"/>
  <c r="BF111" i="1"/>
  <c r="BF112" i="1"/>
  <c r="BF113" i="1"/>
  <c r="BF114" i="1"/>
  <c r="BG114" i="1" s="1"/>
  <c r="BF115" i="1"/>
  <c r="BF116" i="1"/>
  <c r="BF117" i="1"/>
  <c r="BF118" i="1"/>
  <c r="BF119" i="1"/>
  <c r="BF120" i="1"/>
  <c r="BF121" i="1"/>
  <c r="BF122" i="1"/>
  <c r="BG122" i="1" s="1"/>
  <c r="BF123" i="1"/>
  <c r="BF124" i="1"/>
  <c r="BF125" i="1"/>
  <c r="BF126" i="1"/>
  <c r="BF127" i="1"/>
  <c r="BF128" i="1"/>
  <c r="BF129" i="1"/>
  <c r="BF130" i="1"/>
  <c r="BG130" i="1" s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8" i="1"/>
  <c r="BF159" i="1"/>
  <c r="BF160" i="1"/>
  <c r="BF161" i="1"/>
  <c r="BF162" i="1"/>
  <c r="BG162" i="1" s="1"/>
  <c r="BF163" i="1"/>
  <c r="BF164" i="1"/>
  <c r="BF165" i="1"/>
  <c r="BF166" i="1"/>
  <c r="BF167" i="1"/>
  <c r="BF168" i="1"/>
  <c r="BF169" i="1"/>
  <c r="BF170" i="1"/>
  <c r="BG170" i="1" s="1"/>
  <c r="BF171" i="1"/>
  <c r="BF172" i="1"/>
  <c r="BF173" i="1"/>
  <c r="BF174" i="1"/>
  <c r="BF175" i="1"/>
  <c r="BF176" i="1"/>
  <c r="BF177" i="1"/>
  <c r="BF178" i="1"/>
  <c r="BG178" i="1" s="1"/>
  <c r="BF179" i="1"/>
  <c r="BF180" i="1"/>
  <c r="BF181" i="1"/>
  <c r="BF182" i="1"/>
  <c r="BF183" i="1"/>
  <c r="BF184" i="1"/>
  <c r="BF185" i="1"/>
  <c r="BF186" i="1"/>
  <c r="BG186" i="1" s="1"/>
  <c r="BF187" i="1"/>
  <c r="BF188" i="1"/>
  <c r="BF189" i="1"/>
  <c r="BF190" i="1"/>
  <c r="BF191" i="1"/>
  <c r="BF192" i="1"/>
  <c r="BF193" i="1"/>
  <c r="BF194" i="1"/>
  <c r="BG194" i="1" s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G226" i="1" s="1"/>
  <c r="BF227" i="1"/>
  <c r="BF228" i="1"/>
  <c r="BF229" i="1"/>
  <c r="BF230" i="1"/>
  <c r="BF231" i="1"/>
  <c r="BF232" i="1"/>
  <c r="BF233" i="1"/>
  <c r="BF234" i="1"/>
  <c r="BG234" i="1" s="1"/>
  <c r="BF235" i="1"/>
  <c r="BF236" i="1"/>
  <c r="BF237" i="1"/>
  <c r="BF238" i="1"/>
  <c r="BF239" i="1"/>
  <c r="BF240" i="1"/>
  <c r="BF241" i="1"/>
  <c r="BF242" i="1"/>
  <c r="BG242" i="1" s="1"/>
  <c r="BF243" i="1"/>
  <c r="BF244" i="1"/>
  <c r="BF245" i="1"/>
  <c r="BF246" i="1"/>
  <c r="BF247" i="1"/>
  <c r="BF248" i="1"/>
  <c r="BF249" i="1"/>
  <c r="BF250" i="1"/>
  <c r="BG250" i="1" s="1"/>
  <c r="BF251" i="1"/>
  <c r="BF252" i="1"/>
  <c r="BF253" i="1"/>
  <c r="BF254" i="1"/>
  <c r="BF255" i="1"/>
  <c r="BF256" i="1"/>
  <c r="BF257" i="1"/>
  <c r="BF258" i="1"/>
  <c r="BG258" i="1" s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G290" i="1" s="1"/>
  <c r="BF291" i="1"/>
  <c r="BF292" i="1"/>
  <c r="BF293" i="1"/>
  <c r="BF294" i="1"/>
  <c r="BF295" i="1"/>
  <c r="BF296" i="1"/>
  <c r="BF297" i="1"/>
  <c r="BF298" i="1"/>
  <c r="BG298" i="1" s="1"/>
  <c r="BF299" i="1"/>
  <c r="BF300" i="1"/>
  <c r="BF301" i="1"/>
  <c r="BF302" i="1"/>
  <c r="BF303" i="1"/>
  <c r="BF304" i="1"/>
  <c r="BF305" i="1"/>
  <c r="BF306" i="1"/>
  <c r="BG306" i="1" s="1"/>
  <c r="BF307" i="1"/>
  <c r="BF308" i="1"/>
  <c r="BF309" i="1"/>
  <c r="BF310" i="1"/>
  <c r="BF311" i="1"/>
  <c r="BF312" i="1"/>
  <c r="BF313" i="1"/>
  <c r="BF314" i="1"/>
  <c r="BG314" i="1" s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2" i="1"/>
  <c r="U13" i="1"/>
  <c r="I3" i="1"/>
  <c r="F189" i="1" l="1"/>
  <c r="F190" i="1"/>
  <c r="F192" i="1"/>
  <c r="F194" i="1"/>
  <c r="F188" i="1"/>
  <c r="F186" i="1"/>
  <c r="F193" i="1"/>
  <c r="F185" i="1"/>
  <c r="F191" i="1"/>
  <c r="F187" i="1"/>
  <c r="G186" i="1"/>
  <c r="G191" i="1"/>
  <c r="G190" i="1"/>
  <c r="G192" i="1"/>
  <c r="G189" i="1"/>
  <c r="G194" i="1"/>
  <c r="G188" i="1"/>
  <c r="G185" i="1"/>
  <c r="G187" i="1"/>
  <c r="G193" i="1"/>
  <c r="BH3" i="1"/>
  <c r="BH157" i="1"/>
  <c r="BI157" i="1" s="1"/>
  <c r="BH156" i="1"/>
  <c r="BI156" i="1" s="1"/>
  <c r="BH362" i="1"/>
  <c r="BH354" i="1"/>
  <c r="BH346" i="1"/>
  <c r="BH338" i="1"/>
  <c r="BH330" i="1"/>
  <c r="BH322" i="1"/>
  <c r="BH314" i="1"/>
  <c r="BH306" i="1"/>
  <c r="BH298" i="1"/>
  <c r="BH290" i="1"/>
  <c r="BH282" i="1"/>
  <c r="BH274" i="1"/>
  <c r="BH266" i="1"/>
  <c r="BH258" i="1"/>
  <c r="BH250" i="1"/>
  <c r="BH242" i="1"/>
  <c r="BH234" i="1"/>
  <c r="BH226" i="1"/>
  <c r="BH218" i="1"/>
  <c r="BH210" i="1"/>
  <c r="BH202" i="1"/>
  <c r="BH194" i="1"/>
  <c r="BH186" i="1"/>
  <c r="BH178" i="1"/>
  <c r="BH170" i="1"/>
  <c r="BH162" i="1"/>
  <c r="BH154" i="1"/>
  <c r="BH146" i="1"/>
  <c r="BH138" i="1"/>
  <c r="BH130" i="1"/>
  <c r="BH122" i="1"/>
  <c r="BH114" i="1"/>
  <c r="BH106" i="1"/>
  <c r="BH98" i="1"/>
  <c r="BH90" i="1"/>
  <c r="BH82" i="1"/>
  <c r="BH74" i="1"/>
  <c r="BH66" i="1"/>
  <c r="BH58" i="1"/>
  <c r="BH50" i="1"/>
  <c r="BH42" i="1"/>
  <c r="BH34" i="1"/>
  <c r="BH26" i="1"/>
  <c r="BH18" i="1"/>
  <c r="BH10" i="1"/>
  <c r="BH361" i="1"/>
  <c r="BH353" i="1"/>
  <c r="BH345" i="1"/>
  <c r="BH337" i="1"/>
  <c r="BH329" i="1"/>
  <c r="BH321" i="1"/>
  <c r="BH313" i="1"/>
  <c r="BH305" i="1"/>
  <c r="BH297" i="1"/>
  <c r="BH289" i="1"/>
  <c r="BH281" i="1"/>
  <c r="BH273" i="1"/>
  <c r="BH265" i="1"/>
  <c r="BH257" i="1"/>
  <c r="BH249" i="1"/>
  <c r="BH241" i="1"/>
  <c r="BH233" i="1"/>
  <c r="BH225" i="1"/>
  <c r="BH217" i="1"/>
  <c r="BH209" i="1"/>
  <c r="BH201" i="1"/>
  <c r="BH193" i="1"/>
  <c r="BH185" i="1"/>
  <c r="BH177" i="1"/>
  <c r="BH169" i="1"/>
  <c r="BH161" i="1"/>
  <c r="BH153" i="1"/>
  <c r="BH145" i="1"/>
  <c r="BH137" i="1"/>
  <c r="BH129" i="1"/>
  <c r="BH121" i="1"/>
  <c r="BH113" i="1"/>
  <c r="BH105" i="1"/>
  <c r="BH97" i="1"/>
  <c r="BH89" i="1"/>
  <c r="BH81" i="1"/>
  <c r="BH73" i="1"/>
  <c r="BH65" i="1"/>
  <c r="BH57" i="1"/>
  <c r="BH49" i="1"/>
  <c r="BH41" i="1"/>
  <c r="BH33" i="1"/>
  <c r="BH25" i="1"/>
  <c r="BH17" i="1"/>
  <c r="BH9" i="1"/>
  <c r="BH360" i="1"/>
  <c r="BH352" i="1"/>
  <c r="BH344" i="1"/>
  <c r="BH336" i="1"/>
  <c r="BH328" i="1"/>
  <c r="BH320" i="1"/>
  <c r="BH312" i="1"/>
  <c r="BH304" i="1"/>
  <c r="BH296" i="1"/>
  <c r="BH288" i="1"/>
  <c r="BH280" i="1"/>
  <c r="BH272" i="1"/>
  <c r="BH264" i="1"/>
  <c r="BH256" i="1"/>
  <c r="BH248" i="1"/>
  <c r="BH240" i="1"/>
  <c r="BH232" i="1"/>
  <c r="BH224" i="1"/>
  <c r="BH216" i="1"/>
  <c r="BH208" i="1"/>
  <c r="BH200" i="1"/>
  <c r="BH192" i="1"/>
  <c r="BH184" i="1"/>
  <c r="BH176" i="1"/>
  <c r="BH168" i="1"/>
  <c r="BH160" i="1"/>
  <c r="BH152" i="1"/>
  <c r="BH144" i="1"/>
  <c r="BH136" i="1"/>
  <c r="BH128" i="1"/>
  <c r="BH120" i="1"/>
  <c r="BH112" i="1"/>
  <c r="BH104" i="1"/>
  <c r="BH96" i="1"/>
  <c r="BH88" i="1"/>
  <c r="BH80" i="1"/>
  <c r="BH72" i="1"/>
  <c r="BH64" i="1"/>
  <c r="BH56" i="1"/>
  <c r="BH48" i="1"/>
  <c r="BH40" i="1"/>
  <c r="BH32" i="1"/>
  <c r="BH24" i="1"/>
  <c r="BH16" i="1"/>
  <c r="BH8" i="1"/>
  <c r="BH359" i="1"/>
  <c r="BH351" i="1"/>
  <c r="BH343" i="1"/>
  <c r="BH335" i="1"/>
  <c r="BH327" i="1"/>
  <c r="BH319" i="1"/>
  <c r="BH311" i="1"/>
  <c r="BH303" i="1"/>
  <c r="BH295" i="1"/>
  <c r="BH287" i="1"/>
  <c r="BH279" i="1"/>
  <c r="BH271" i="1"/>
  <c r="BH263" i="1"/>
  <c r="BH255" i="1"/>
  <c r="BH247" i="1"/>
  <c r="BH239" i="1"/>
  <c r="BH231" i="1"/>
  <c r="BH223" i="1"/>
  <c r="BH215" i="1"/>
  <c r="BH207" i="1"/>
  <c r="BH199" i="1"/>
  <c r="BH191" i="1"/>
  <c r="BH183" i="1"/>
  <c r="BH175" i="1"/>
  <c r="BH167" i="1"/>
  <c r="BH159" i="1"/>
  <c r="BH151" i="1"/>
  <c r="BH143" i="1"/>
  <c r="BH135" i="1"/>
  <c r="BH127" i="1"/>
  <c r="BH119" i="1"/>
  <c r="BH111" i="1"/>
  <c r="BH103" i="1"/>
  <c r="BH95" i="1"/>
  <c r="BH87" i="1"/>
  <c r="BH79" i="1"/>
  <c r="BH71" i="1"/>
  <c r="BH63" i="1"/>
  <c r="BH55" i="1"/>
  <c r="BH47" i="1"/>
  <c r="BH39" i="1"/>
  <c r="BH31" i="1"/>
  <c r="BH23" i="1"/>
  <c r="BH15" i="1"/>
  <c r="BH7" i="1"/>
  <c r="BH358" i="1"/>
  <c r="BH350" i="1"/>
  <c r="BH342" i="1"/>
  <c r="BH334" i="1"/>
  <c r="BH326" i="1"/>
  <c r="BH318" i="1"/>
  <c r="BH310" i="1"/>
  <c r="BH302" i="1"/>
  <c r="BH294" i="1"/>
  <c r="BH286" i="1"/>
  <c r="BH278" i="1"/>
  <c r="BH270" i="1"/>
  <c r="BH262" i="1"/>
  <c r="BH254" i="1"/>
  <c r="BH246" i="1"/>
  <c r="BH238" i="1"/>
  <c r="BH230" i="1"/>
  <c r="BH222" i="1"/>
  <c r="BH214" i="1"/>
  <c r="BH206" i="1"/>
  <c r="BH198" i="1"/>
  <c r="BH190" i="1"/>
  <c r="BH182" i="1"/>
  <c r="BH174" i="1"/>
  <c r="BH166" i="1"/>
  <c r="BH158" i="1"/>
  <c r="BH150" i="1"/>
  <c r="BH142" i="1"/>
  <c r="BH134" i="1"/>
  <c r="BH126" i="1"/>
  <c r="BH118" i="1"/>
  <c r="BH110" i="1"/>
  <c r="BH102" i="1"/>
  <c r="BH94" i="1"/>
  <c r="BH86" i="1"/>
  <c r="BH78" i="1"/>
  <c r="BH70" i="1"/>
  <c r="BH62" i="1"/>
  <c r="BH54" i="1"/>
  <c r="BH46" i="1"/>
  <c r="BH38" i="1"/>
  <c r="BH30" i="1"/>
  <c r="BH22" i="1"/>
  <c r="BH14" i="1"/>
  <c r="BH6" i="1"/>
  <c r="BH357" i="1"/>
  <c r="BH349" i="1"/>
  <c r="BH341" i="1"/>
  <c r="BH333" i="1"/>
  <c r="BH325" i="1"/>
  <c r="BH317" i="1"/>
  <c r="BH309" i="1"/>
  <c r="BH301" i="1"/>
  <c r="BH293" i="1"/>
  <c r="BH285" i="1"/>
  <c r="BH277" i="1"/>
  <c r="BH269" i="1"/>
  <c r="BH261" i="1"/>
  <c r="BH253" i="1"/>
  <c r="BH245" i="1"/>
  <c r="BH237" i="1"/>
  <c r="BH229" i="1"/>
  <c r="BH221" i="1"/>
  <c r="BH213" i="1"/>
  <c r="BH205" i="1"/>
  <c r="BH197" i="1"/>
  <c r="BH189" i="1"/>
  <c r="BH181" i="1"/>
  <c r="BH173" i="1"/>
  <c r="BH165" i="1"/>
  <c r="BH149" i="1"/>
  <c r="BH141" i="1"/>
  <c r="BH133" i="1"/>
  <c r="BH125" i="1"/>
  <c r="BH117" i="1"/>
  <c r="BH109" i="1"/>
  <c r="BH101" i="1"/>
  <c r="BH93" i="1"/>
  <c r="BH85" i="1"/>
  <c r="BH77" i="1"/>
  <c r="BH69" i="1"/>
  <c r="BH61" i="1"/>
  <c r="BH53" i="1"/>
  <c r="BH45" i="1"/>
  <c r="BH37" i="1"/>
  <c r="BH29" i="1"/>
  <c r="BH21" i="1"/>
  <c r="BH13" i="1"/>
  <c r="BH5" i="1"/>
  <c r="BH356" i="1"/>
  <c r="BH348" i="1"/>
  <c r="BH340" i="1"/>
  <c r="BH332" i="1"/>
  <c r="BH324" i="1"/>
  <c r="BH316" i="1"/>
  <c r="BH308" i="1"/>
  <c r="BH300" i="1"/>
  <c r="BH292" i="1"/>
  <c r="BH284" i="1"/>
  <c r="BH276" i="1"/>
  <c r="BH268" i="1"/>
  <c r="BH260" i="1"/>
  <c r="BH252" i="1"/>
  <c r="BH244" i="1"/>
  <c r="BH236" i="1"/>
  <c r="BH228" i="1"/>
  <c r="BH220" i="1"/>
  <c r="BH212" i="1"/>
  <c r="BH204" i="1"/>
  <c r="BH196" i="1"/>
  <c r="BH188" i="1"/>
  <c r="BH180" i="1"/>
  <c r="BH172" i="1"/>
  <c r="BH164" i="1"/>
  <c r="BH148" i="1"/>
  <c r="BH140" i="1"/>
  <c r="BH132" i="1"/>
  <c r="BH124" i="1"/>
  <c r="BH116" i="1"/>
  <c r="BH108" i="1"/>
  <c r="BH100" i="1"/>
  <c r="BH92" i="1"/>
  <c r="BH84" i="1"/>
  <c r="BH76" i="1"/>
  <c r="BH68" i="1"/>
  <c r="BH60" i="1"/>
  <c r="BH52" i="1"/>
  <c r="BH44" i="1"/>
  <c r="BH36" i="1"/>
  <c r="BH28" i="1"/>
  <c r="BH20" i="1"/>
  <c r="BH12" i="1"/>
  <c r="BH4" i="1"/>
  <c r="BH2" i="1"/>
  <c r="BH355" i="1"/>
  <c r="BH347" i="1"/>
  <c r="BH339" i="1"/>
  <c r="BH331" i="1"/>
  <c r="BH323" i="1"/>
  <c r="BH315" i="1"/>
  <c r="BH307" i="1"/>
  <c r="BH299" i="1"/>
  <c r="BH291" i="1"/>
  <c r="BH283" i="1"/>
  <c r="BH275" i="1"/>
  <c r="BH267" i="1"/>
  <c r="BH259" i="1"/>
  <c r="BH251" i="1"/>
  <c r="BH243" i="1"/>
  <c r="BH235" i="1"/>
  <c r="BH227" i="1"/>
  <c r="BH219" i="1"/>
  <c r="BH211" i="1"/>
  <c r="BH203" i="1"/>
  <c r="BH195" i="1"/>
  <c r="BH187" i="1"/>
  <c r="BH179" i="1"/>
  <c r="BH171" i="1"/>
  <c r="BH163" i="1"/>
  <c r="BH155" i="1"/>
  <c r="BH147" i="1"/>
  <c r="BH139" i="1"/>
  <c r="BH131" i="1"/>
  <c r="BH123" i="1"/>
  <c r="BH115" i="1"/>
  <c r="BH107" i="1"/>
  <c r="BH99" i="1"/>
  <c r="BH91" i="1"/>
  <c r="BH83" i="1"/>
  <c r="BH75" i="1"/>
  <c r="BH67" i="1"/>
  <c r="BH59" i="1"/>
  <c r="BH51" i="1"/>
  <c r="BH43" i="1"/>
  <c r="BH35" i="1"/>
  <c r="BH27" i="1"/>
  <c r="BH19" i="1"/>
  <c r="BH11" i="1"/>
  <c r="AD46" i="1"/>
  <c r="BG274" i="1"/>
  <c r="BG210" i="1"/>
  <c r="BG146" i="1"/>
  <c r="BG82" i="1"/>
  <c r="BG18" i="1"/>
  <c r="BG263" i="1"/>
  <c r="BG199" i="1"/>
  <c r="BG135" i="1"/>
  <c r="BG87" i="1"/>
  <c r="BG7" i="1"/>
  <c r="BG320" i="1"/>
  <c r="BG312" i="1"/>
  <c r="BG304" i="1"/>
  <c r="BG296" i="1"/>
  <c r="BG288" i="1"/>
  <c r="BG280" i="1"/>
  <c r="BG272" i="1"/>
  <c r="BG264" i="1"/>
  <c r="BG256" i="1"/>
  <c r="BG248" i="1"/>
  <c r="BG240" i="1"/>
  <c r="BG232" i="1"/>
  <c r="BG224" i="1"/>
  <c r="BG216" i="1"/>
  <c r="BG208" i="1"/>
  <c r="BG200" i="1"/>
  <c r="BG192" i="1"/>
  <c r="BG184" i="1"/>
  <c r="BG176" i="1"/>
  <c r="BG168" i="1"/>
  <c r="BG160" i="1"/>
  <c r="BG152" i="1"/>
  <c r="BG144" i="1"/>
  <c r="BG136" i="1"/>
  <c r="BG128" i="1"/>
  <c r="BG120" i="1"/>
  <c r="BG112" i="1"/>
  <c r="BG104" i="1"/>
  <c r="BG96" i="1"/>
  <c r="BG88" i="1"/>
  <c r="BG80" i="1"/>
  <c r="BG72" i="1"/>
  <c r="BG64" i="1"/>
  <c r="BG56" i="1"/>
  <c r="BG48" i="1"/>
  <c r="BG40" i="1"/>
  <c r="BG32" i="1"/>
  <c r="BG24" i="1"/>
  <c r="BG16" i="1"/>
  <c r="BG8" i="1"/>
  <c r="BG362" i="1"/>
  <c r="BG354" i="1"/>
  <c r="BG346" i="1"/>
  <c r="BG338" i="1"/>
  <c r="BG330" i="1"/>
  <c r="BG322" i="1"/>
  <c r="BG282" i="1"/>
  <c r="BG218" i="1"/>
  <c r="BG154" i="1"/>
  <c r="BG90" i="1"/>
  <c r="BG26" i="1"/>
  <c r="BG239" i="1"/>
  <c r="BG175" i="1"/>
  <c r="BG111" i="1"/>
  <c r="BG71" i="1"/>
  <c r="BG15" i="1"/>
  <c r="BG361" i="1"/>
  <c r="BG353" i="1"/>
  <c r="BG345" i="1"/>
  <c r="BG337" i="1"/>
  <c r="BG329" i="1"/>
  <c r="BG319" i="1"/>
  <c r="BG295" i="1"/>
  <c r="BG231" i="1"/>
  <c r="BG159" i="1"/>
  <c r="BG55" i="1"/>
  <c r="BG318" i="1"/>
  <c r="BG310" i="1"/>
  <c r="BG302" i="1"/>
  <c r="BG294" i="1"/>
  <c r="BG286" i="1"/>
  <c r="BG278" i="1"/>
  <c r="BG270" i="1"/>
  <c r="BG262" i="1"/>
  <c r="BG254" i="1"/>
  <c r="BG246" i="1"/>
  <c r="BG238" i="1"/>
  <c r="BG230" i="1"/>
  <c r="BG222" i="1"/>
  <c r="BG214" i="1"/>
  <c r="BG206" i="1"/>
  <c r="BG198" i="1"/>
  <c r="BG190" i="1"/>
  <c r="BG182" i="1"/>
  <c r="BG174" i="1"/>
  <c r="BG166" i="1"/>
  <c r="BG158" i="1"/>
  <c r="BG150" i="1"/>
  <c r="BG142" i="1"/>
  <c r="BG134" i="1"/>
  <c r="BG126" i="1"/>
  <c r="BG118" i="1"/>
  <c r="BG110" i="1"/>
  <c r="BG102" i="1"/>
  <c r="BG94" i="1"/>
  <c r="BG86" i="1"/>
  <c r="BG78" i="1"/>
  <c r="BG70" i="1"/>
  <c r="BG62" i="1"/>
  <c r="BG54" i="1"/>
  <c r="BG46" i="1"/>
  <c r="BG38" i="1"/>
  <c r="BG30" i="1"/>
  <c r="BG22" i="1"/>
  <c r="BG14" i="1"/>
  <c r="BG6" i="1"/>
  <c r="BG360" i="1"/>
  <c r="BG352" i="1"/>
  <c r="BG344" i="1"/>
  <c r="BG336" i="1"/>
  <c r="BG328" i="1"/>
  <c r="BG266" i="1"/>
  <c r="BG202" i="1"/>
  <c r="BG138" i="1"/>
  <c r="BG74" i="1"/>
  <c r="BG10" i="1"/>
  <c r="BG271" i="1"/>
  <c r="BG207" i="1"/>
  <c r="BG143" i="1"/>
  <c r="BG95" i="1"/>
  <c r="BG23" i="1"/>
  <c r="BG317" i="1"/>
  <c r="BG309" i="1"/>
  <c r="BG301" i="1"/>
  <c r="BG293" i="1"/>
  <c r="BG285" i="1"/>
  <c r="BG277" i="1"/>
  <c r="BG269" i="1"/>
  <c r="BG261" i="1"/>
  <c r="BG253" i="1"/>
  <c r="BG245" i="1"/>
  <c r="BG237" i="1"/>
  <c r="BG229" i="1"/>
  <c r="BG221" i="1"/>
  <c r="BG213" i="1"/>
  <c r="BG205" i="1"/>
  <c r="BG197" i="1"/>
  <c r="BG189" i="1"/>
  <c r="BG181" i="1"/>
  <c r="BG173" i="1"/>
  <c r="BG165" i="1"/>
  <c r="BG149" i="1"/>
  <c r="BG141" i="1"/>
  <c r="BG133" i="1"/>
  <c r="BG125" i="1"/>
  <c r="BG117" i="1"/>
  <c r="BG109" i="1"/>
  <c r="BG101" i="1"/>
  <c r="BG93" i="1"/>
  <c r="BG85" i="1"/>
  <c r="BG77" i="1"/>
  <c r="BG69" i="1"/>
  <c r="BG61" i="1"/>
  <c r="BG53" i="1"/>
  <c r="BG45" i="1"/>
  <c r="BG37" i="1"/>
  <c r="BG29" i="1"/>
  <c r="BG21" i="1"/>
  <c r="BG13" i="1"/>
  <c r="BG5" i="1"/>
  <c r="BG359" i="1"/>
  <c r="BG351" i="1"/>
  <c r="BG343" i="1"/>
  <c r="BG335" i="1"/>
  <c r="BG327" i="1"/>
  <c r="BG311" i="1"/>
  <c r="BG279" i="1"/>
  <c r="BG215" i="1"/>
  <c r="BG167" i="1"/>
  <c r="BG103" i="1"/>
  <c r="BG31" i="1"/>
  <c r="BG316" i="1"/>
  <c r="BG308" i="1"/>
  <c r="BG300" i="1"/>
  <c r="BG292" i="1"/>
  <c r="BG284" i="1"/>
  <c r="BG276" i="1"/>
  <c r="BG268" i="1"/>
  <c r="BG260" i="1"/>
  <c r="BG252" i="1"/>
  <c r="BG244" i="1"/>
  <c r="BG236" i="1"/>
  <c r="BG228" i="1"/>
  <c r="BG220" i="1"/>
  <c r="BG212" i="1"/>
  <c r="BG204" i="1"/>
  <c r="BG196" i="1"/>
  <c r="BG188" i="1"/>
  <c r="BG180" i="1"/>
  <c r="BG172" i="1"/>
  <c r="BG164" i="1"/>
  <c r="BG148" i="1"/>
  <c r="BG140" i="1"/>
  <c r="BG132" i="1"/>
  <c r="BG124" i="1"/>
  <c r="BG116" i="1"/>
  <c r="BG108" i="1"/>
  <c r="BG100" i="1"/>
  <c r="BG92" i="1"/>
  <c r="BG84" i="1"/>
  <c r="BG76" i="1"/>
  <c r="BG68" i="1"/>
  <c r="BG60" i="1"/>
  <c r="BG52" i="1"/>
  <c r="BG44" i="1"/>
  <c r="BG36" i="1"/>
  <c r="BG28" i="1"/>
  <c r="BG20" i="1"/>
  <c r="BG12" i="1"/>
  <c r="BG4" i="1"/>
  <c r="BG358" i="1"/>
  <c r="BG350" i="1"/>
  <c r="BG342" i="1"/>
  <c r="BG334" i="1"/>
  <c r="BG326" i="1"/>
  <c r="BG287" i="1"/>
  <c r="BG223" i="1"/>
  <c r="BG151" i="1"/>
  <c r="BG47" i="1"/>
  <c r="BG315" i="1"/>
  <c r="BG307" i="1"/>
  <c r="BG299" i="1"/>
  <c r="BG291" i="1"/>
  <c r="BG283" i="1"/>
  <c r="BG275" i="1"/>
  <c r="BG267" i="1"/>
  <c r="BG259" i="1"/>
  <c r="BG251" i="1"/>
  <c r="BG243" i="1"/>
  <c r="BG235" i="1"/>
  <c r="BG227" i="1"/>
  <c r="BG219" i="1"/>
  <c r="BG211" i="1"/>
  <c r="BG203" i="1"/>
  <c r="BG195" i="1"/>
  <c r="BG187" i="1"/>
  <c r="BG179" i="1"/>
  <c r="BG171" i="1"/>
  <c r="BG163" i="1"/>
  <c r="BG155" i="1"/>
  <c r="BG147" i="1"/>
  <c r="BG139" i="1"/>
  <c r="BG131" i="1"/>
  <c r="BG123" i="1"/>
  <c r="BG115" i="1"/>
  <c r="BG107" i="1"/>
  <c r="BG99" i="1"/>
  <c r="BG91" i="1"/>
  <c r="BG83" i="1"/>
  <c r="BG75" i="1"/>
  <c r="BG67" i="1"/>
  <c r="BG59" i="1"/>
  <c r="BG51" i="1"/>
  <c r="BG43" i="1"/>
  <c r="BG35" i="1"/>
  <c r="BG27" i="1"/>
  <c r="BG19" i="1"/>
  <c r="BG11" i="1"/>
  <c r="BG3" i="1"/>
  <c r="BG357" i="1"/>
  <c r="BG349" i="1"/>
  <c r="BG341" i="1"/>
  <c r="BG333" i="1"/>
  <c r="BG325" i="1"/>
  <c r="BG303" i="1"/>
  <c r="BG255" i="1"/>
  <c r="BG183" i="1"/>
  <c r="BG119" i="1"/>
  <c r="BG79" i="1"/>
  <c r="BG39" i="1"/>
  <c r="BG2" i="1"/>
  <c r="BG356" i="1"/>
  <c r="BG348" i="1"/>
  <c r="BG340" i="1"/>
  <c r="BG332" i="1"/>
  <c r="BG324" i="1"/>
  <c r="BG247" i="1"/>
  <c r="BG191" i="1"/>
  <c r="BG127" i="1"/>
  <c r="BG63" i="1"/>
  <c r="BG321" i="1"/>
  <c r="BG313" i="1"/>
  <c r="BG305" i="1"/>
  <c r="BG297" i="1"/>
  <c r="BG289" i="1"/>
  <c r="BG281" i="1"/>
  <c r="BG273" i="1"/>
  <c r="BG265" i="1"/>
  <c r="BG257" i="1"/>
  <c r="BG249" i="1"/>
  <c r="BG241" i="1"/>
  <c r="BG233" i="1"/>
  <c r="BG225" i="1"/>
  <c r="BG217" i="1"/>
  <c r="BG209" i="1"/>
  <c r="BG201" i="1"/>
  <c r="BG193" i="1"/>
  <c r="BG185" i="1"/>
  <c r="BG177" i="1"/>
  <c r="BG169" i="1"/>
  <c r="BG161" i="1"/>
  <c r="BG153" i="1"/>
  <c r="BG145" i="1"/>
  <c r="BG137" i="1"/>
  <c r="BG129" i="1"/>
  <c r="BG121" i="1"/>
  <c r="BG113" i="1"/>
  <c r="BG105" i="1"/>
  <c r="BG97" i="1"/>
  <c r="BG89" i="1"/>
  <c r="BG81" i="1"/>
  <c r="BG73" i="1"/>
  <c r="BG65" i="1"/>
  <c r="BG57" i="1"/>
  <c r="BG49" i="1"/>
  <c r="BG41" i="1"/>
  <c r="BG33" i="1"/>
  <c r="BG25" i="1"/>
  <c r="BG17" i="1"/>
  <c r="BG9" i="1"/>
  <c r="BG355" i="1"/>
  <c r="BG347" i="1"/>
  <c r="BG339" i="1"/>
  <c r="BG331" i="1"/>
  <c r="BG323" i="1"/>
  <c r="BG98" i="1"/>
  <c r="AD45" i="1"/>
  <c r="I185" i="1" l="1"/>
  <c r="H185" i="1"/>
  <c r="I188" i="1"/>
  <c r="H188" i="1"/>
  <c r="I194" i="1"/>
  <c r="H194" i="1"/>
  <c r="H189" i="1"/>
  <c r="I189" i="1"/>
  <c r="I192" i="1"/>
  <c r="H192" i="1"/>
  <c r="H190" i="1"/>
  <c r="I190" i="1"/>
  <c r="I193" i="1"/>
  <c r="H193" i="1"/>
  <c r="H191" i="1"/>
  <c r="I191" i="1"/>
  <c r="I187" i="1"/>
  <c r="H187" i="1"/>
  <c r="H186" i="1"/>
  <c r="I186" i="1"/>
  <c r="BW15" i="1"/>
  <c r="D112" i="1" l="1"/>
  <c r="D110" i="1"/>
  <c r="D105" i="1"/>
  <c r="D113" i="1"/>
  <c r="A90" i="1"/>
  <c r="D111" i="1"/>
  <c r="D106" i="1"/>
  <c r="D109" i="1"/>
  <c r="D107" i="1"/>
  <c r="D104" i="1"/>
  <c r="A97" i="1"/>
  <c r="A98" i="1"/>
  <c r="D108" i="1"/>
  <c r="E105" i="1"/>
  <c r="E113" i="1"/>
  <c r="B90" i="1"/>
  <c r="B98" i="1"/>
  <c r="E106" i="1"/>
  <c r="B91" i="1"/>
  <c r="E107" i="1"/>
  <c r="E104" i="1"/>
  <c r="E108" i="1"/>
  <c r="E109" i="1"/>
  <c r="E112" i="1"/>
  <c r="E110" i="1"/>
  <c r="E111" i="1"/>
  <c r="B130" i="1"/>
  <c r="C125" i="1"/>
  <c r="B104" i="1"/>
  <c r="B105" i="1"/>
  <c r="B106" i="1"/>
  <c r="B107" i="1"/>
  <c r="B108" i="1"/>
  <c r="B109" i="1"/>
  <c r="B110" i="1"/>
  <c r="B111" i="1"/>
  <c r="B112" i="1"/>
  <c r="B113" i="1"/>
  <c r="A105" i="1"/>
  <c r="A106" i="1"/>
  <c r="A107" i="1"/>
  <c r="A108" i="1"/>
  <c r="A109" i="1"/>
  <c r="A110" i="1"/>
  <c r="A111" i="1"/>
  <c r="A112" i="1"/>
  <c r="A113" i="1"/>
  <c r="A104" i="1"/>
  <c r="AE46" i="1" l="1"/>
  <c r="AE41" i="1" l="1"/>
  <c r="AE38" i="1"/>
  <c r="AD38" i="1"/>
  <c r="AD39" i="1" s="1"/>
  <c r="BI3" i="1" l="1"/>
  <c r="AE40" i="1"/>
  <c r="AD40" i="1"/>
  <c r="AD41" i="1" s="1"/>
  <c r="BI328" i="1"/>
  <c r="BI264" i="1"/>
  <c r="BI200" i="1"/>
  <c r="BI136" i="1"/>
  <c r="BI72" i="1"/>
  <c r="BI360" i="1"/>
  <c r="BI320" i="1"/>
  <c r="BI256" i="1"/>
  <c r="BI192" i="1"/>
  <c r="BI128" i="1"/>
  <c r="BI64" i="1"/>
  <c r="BI359" i="1"/>
  <c r="BI312" i="1"/>
  <c r="BI248" i="1"/>
  <c r="BI184" i="1"/>
  <c r="BI120" i="1"/>
  <c r="BI56" i="1"/>
  <c r="BI352" i="1"/>
  <c r="BI304" i="1"/>
  <c r="BI240" i="1"/>
  <c r="BI176" i="1"/>
  <c r="BI112" i="1"/>
  <c r="BI48" i="1"/>
  <c r="BI351" i="1"/>
  <c r="BI296" i="1"/>
  <c r="BI232" i="1"/>
  <c r="BI168" i="1"/>
  <c r="BI104" i="1"/>
  <c r="BI40" i="1"/>
  <c r="BI344" i="1"/>
  <c r="BI288" i="1"/>
  <c r="BI224" i="1"/>
  <c r="BI160" i="1"/>
  <c r="BI96" i="1"/>
  <c r="BI32" i="1"/>
  <c r="BI336" i="1"/>
  <c r="BI280" i="1"/>
  <c r="BI216" i="1"/>
  <c r="BI152" i="1"/>
  <c r="BI88" i="1"/>
  <c r="BI24" i="1"/>
  <c r="BI335" i="1"/>
  <c r="BI272" i="1"/>
  <c r="BI208" i="1"/>
  <c r="BI144" i="1"/>
  <c r="BI80" i="1"/>
  <c r="BI16" i="1"/>
  <c r="BI287" i="1"/>
  <c r="BI239" i="1"/>
  <c r="BI207" i="1"/>
  <c r="BI167" i="1"/>
  <c r="BI151" i="1"/>
  <c r="BI119" i="1"/>
  <c r="BI95" i="1"/>
  <c r="BI63" i="1"/>
  <c r="BI47" i="1"/>
  <c r="BI362" i="1"/>
  <c r="BI354" i="1"/>
  <c r="BI346" i="1"/>
  <c r="BI338" i="1"/>
  <c r="BI330" i="1"/>
  <c r="BI322" i="1"/>
  <c r="BI314" i="1"/>
  <c r="BI306" i="1"/>
  <c r="BI298" i="1"/>
  <c r="BI290" i="1"/>
  <c r="BI282" i="1"/>
  <c r="BI274" i="1"/>
  <c r="BI266" i="1"/>
  <c r="BI258" i="1"/>
  <c r="BI250" i="1"/>
  <c r="BI242" i="1"/>
  <c r="BI234" i="1"/>
  <c r="BI226" i="1"/>
  <c r="BI218" i="1"/>
  <c r="BI210" i="1"/>
  <c r="BI202" i="1"/>
  <c r="BI194" i="1"/>
  <c r="BI186" i="1"/>
  <c r="BI178" i="1"/>
  <c r="BI170" i="1"/>
  <c r="BI162" i="1"/>
  <c r="BI154" i="1"/>
  <c r="BI146" i="1"/>
  <c r="BI138" i="1"/>
  <c r="BI130" i="1"/>
  <c r="BI122" i="1"/>
  <c r="BI114" i="1"/>
  <c r="BI106" i="1"/>
  <c r="BI98" i="1"/>
  <c r="BI90" i="1"/>
  <c r="BI82" i="1"/>
  <c r="BI74" i="1"/>
  <c r="BI66" i="1"/>
  <c r="BI58" i="1"/>
  <c r="BI50" i="1"/>
  <c r="BI42" i="1"/>
  <c r="BI34" i="1"/>
  <c r="BI26" i="1"/>
  <c r="BI18" i="1"/>
  <c r="BI10" i="1"/>
  <c r="BI311" i="1"/>
  <c r="BI295" i="1"/>
  <c r="BI247" i="1"/>
  <c r="BI215" i="1"/>
  <c r="BI175" i="1"/>
  <c r="BI143" i="1"/>
  <c r="BI111" i="1"/>
  <c r="BI87" i="1"/>
  <c r="BI55" i="1"/>
  <c r="BI39" i="1"/>
  <c r="BI361" i="1"/>
  <c r="BI353" i="1"/>
  <c r="BI345" i="1"/>
  <c r="BI337" i="1"/>
  <c r="BI329" i="1"/>
  <c r="BI321" i="1"/>
  <c r="BI313" i="1"/>
  <c r="BI305" i="1"/>
  <c r="BI297" i="1"/>
  <c r="BI289" i="1"/>
  <c r="BI281" i="1"/>
  <c r="BI273" i="1"/>
  <c r="BI265" i="1"/>
  <c r="BI257" i="1"/>
  <c r="BI249" i="1"/>
  <c r="BI241" i="1"/>
  <c r="BI233" i="1"/>
  <c r="BI225" i="1"/>
  <c r="BI217" i="1"/>
  <c r="BI209" i="1"/>
  <c r="BI201" i="1"/>
  <c r="BI193" i="1"/>
  <c r="BI185" i="1"/>
  <c r="BI177" i="1"/>
  <c r="BI169" i="1"/>
  <c r="BI161" i="1"/>
  <c r="BI153" i="1"/>
  <c r="BI145" i="1"/>
  <c r="BI137" i="1"/>
  <c r="BI129" i="1"/>
  <c r="BI121" i="1"/>
  <c r="BI113" i="1"/>
  <c r="BI105" i="1"/>
  <c r="BI97" i="1"/>
  <c r="BI89" i="1"/>
  <c r="BI81" i="1"/>
  <c r="BI73" i="1"/>
  <c r="BI65" i="1"/>
  <c r="BI57" i="1"/>
  <c r="BI49" i="1"/>
  <c r="BI41" i="1"/>
  <c r="BI33" i="1"/>
  <c r="BI25" i="1"/>
  <c r="BI17" i="1"/>
  <c r="BI9" i="1"/>
  <c r="BI8" i="1"/>
  <c r="BI7" i="1"/>
  <c r="BI327" i="1"/>
  <c r="BI271" i="1"/>
  <c r="BI231" i="1"/>
  <c r="BI183" i="1"/>
  <c r="BI127" i="1"/>
  <c r="BI71" i="1"/>
  <c r="BI23" i="1"/>
  <c r="BI358" i="1"/>
  <c r="BI350" i="1"/>
  <c r="BI342" i="1"/>
  <c r="BI334" i="1"/>
  <c r="BI326" i="1"/>
  <c r="BI318" i="1"/>
  <c r="BI310" i="1"/>
  <c r="BI302" i="1"/>
  <c r="BI294" i="1"/>
  <c r="BI286" i="1"/>
  <c r="BI278" i="1"/>
  <c r="BI270" i="1"/>
  <c r="BI262" i="1"/>
  <c r="BI254" i="1"/>
  <c r="BI246" i="1"/>
  <c r="BI238" i="1"/>
  <c r="BI230" i="1"/>
  <c r="BI222" i="1"/>
  <c r="BI214" i="1"/>
  <c r="BI206" i="1"/>
  <c r="BI198" i="1"/>
  <c r="BI190" i="1"/>
  <c r="BI182" i="1"/>
  <c r="BI174" i="1"/>
  <c r="BI166" i="1"/>
  <c r="BI158" i="1"/>
  <c r="BI150" i="1"/>
  <c r="BI142" i="1"/>
  <c r="BI134" i="1"/>
  <c r="BI126" i="1"/>
  <c r="BI118" i="1"/>
  <c r="BI110" i="1"/>
  <c r="BI102" i="1"/>
  <c r="BI94" i="1"/>
  <c r="BI86" i="1"/>
  <c r="BI78" i="1"/>
  <c r="BI70" i="1"/>
  <c r="BI62" i="1"/>
  <c r="BI54" i="1"/>
  <c r="BI46" i="1"/>
  <c r="BI38" i="1"/>
  <c r="BI30" i="1"/>
  <c r="BI22" i="1"/>
  <c r="BI14" i="1"/>
  <c r="BI6" i="1"/>
  <c r="BI343" i="1"/>
  <c r="BI303" i="1"/>
  <c r="BI279" i="1"/>
  <c r="BI255" i="1"/>
  <c r="BI199" i="1"/>
  <c r="BI135" i="1"/>
  <c r="BI79" i="1"/>
  <c r="BI31" i="1"/>
  <c r="BI357" i="1"/>
  <c r="BI349" i="1"/>
  <c r="BI341" i="1"/>
  <c r="BI333" i="1"/>
  <c r="BI325" i="1"/>
  <c r="BI317" i="1"/>
  <c r="BI309" i="1"/>
  <c r="BI301" i="1"/>
  <c r="BI293" i="1"/>
  <c r="BI285" i="1"/>
  <c r="BI277" i="1"/>
  <c r="BI269" i="1"/>
  <c r="BI261" i="1"/>
  <c r="BI253" i="1"/>
  <c r="BI245" i="1"/>
  <c r="BI237" i="1"/>
  <c r="BI229" i="1"/>
  <c r="BI221" i="1"/>
  <c r="BI213" i="1"/>
  <c r="BI205" i="1"/>
  <c r="BI197" i="1"/>
  <c r="BI189" i="1"/>
  <c r="BI181" i="1"/>
  <c r="BI173" i="1"/>
  <c r="BI165" i="1"/>
  <c r="BI149" i="1"/>
  <c r="BI141" i="1"/>
  <c r="BI133" i="1"/>
  <c r="BI125" i="1"/>
  <c r="BI117" i="1"/>
  <c r="BI109" i="1"/>
  <c r="BI101" i="1"/>
  <c r="BI93" i="1"/>
  <c r="BI85" i="1"/>
  <c r="BI77" i="1"/>
  <c r="BI69" i="1"/>
  <c r="BI61" i="1"/>
  <c r="BI53" i="1"/>
  <c r="BI45" i="1"/>
  <c r="BI37" i="1"/>
  <c r="BI29" i="1"/>
  <c r="BI21" i="1"/>
  <c r="BI13" i="1"/>
  <c r="BI5" i="1"/>
  <c r="BI319" i="1"/>
  <c r="BI263" i="1"/>
  <c r="BI223" i="1"/>
  <c r="BI191" i="1"/>
  <c r="BI159" i="1"/>
  <c r="BI103" i="1"/>
  <c r="BI15" i="1"/>
  <c r="BI356" i="1"/>
  <c r="BI348" i="1"/>
  <c r="BI340" i="1"/>
  <c r="BI332" i="1"/>
  <c r="BI324" i="1"/>
  <c r="BI316" i="1"/>
  <c r="BI308" i="1"/>
  <c r="BI300" i="1"/>
  <c r="BI292" i="1"/>
  <c r="BI284" i="1"/>
  <c r="BI276" i="1"/>
  <c r="BI268" i="1"/>
  <c r="BI260" i="1"/>
  <c r="BI252" i="1"/>
  <c r="BI244" i="1"/>
  <c r="BI236" i="1"/>
  <c r="BI228" i="1"/>
  <c r="BI220" i="1"/>
  <c r="BI212" i="1"/>
  <c r="BI204" i="1"/>
  <c r="BI196" i="1"/>
  <c r="BI188" i="1"/>
  <c r="BI180" i="1"/>
  <c r="BI172" i="1"/>
  <c r="BI164" i="1"/>
  <c r="BI148" i="1"/>
  <c r="BI140" i="1"/>
  <c r="BI132" i="1"/>
  <c r="BI124" i="1"/>
  <c r="BI116" i="1"/>
  <c r="BI108" i="1"/>
  <c r="BI100" i="1"/>
  <c r="BI92" i="1"/>
  <c r="BI84" i="1"/>
  <c r="BI76" i="1"/>
  <c r="BI68" i="1"/>
  <c r="BI60" i="1"/>
  <c r="BI52" i="1"/>
  <c r="BI44" i="1"/>
  <c r="BI36" i="1"/>
  <c r="BI28" i="1"/>
  <c r="BI20" i="1"/>
  <c r="BI12" i="1"/>
  <c r="BI4" i="1"/>
  <c r="BI2" i="1"/>
  <c r="BI355" i="1"/>
  <c r="BI347" i="1"/>
  <c r="BI339" i="1"/>
  <c r="BI331" i="1"/>
  <c r="BI323" i="1"/>
  <c r="BI315" i="1"/>
  <c r="BI307" i="1"/>
  <c r="BI299" i="1"/>
  <c r="BI291" i="1"/>
  <c r="BI283" i="1"/>
  <c r="BI275" i="1"/>
  <c r="BI267" i="1"/>
  <c r="BI259" i="1"/>
  <c r="BI251" i="1"/>
  <c r="BI243" i="1"/>
  <c r="BI235" i="1"/>
  <c r="BI227" i="1"/>
  <c r="BI219" i="1"/>
  <c r="BI211" i="1"/>
  <c r="BI203" i="1"/>
  <c r="BI195" i="1"/>
  <c r="BI187" i="1"/>
  <c r="BI179" i="1"/>
  <c r="BI171" i="1"/>
  <c r="BI163" i="1"/>
  <c r="BI155" i="1"/>
  <c r="BI147" i="1"/>
  <c r="BI139" i="1"/>
  <c r="BI131" i="1"/>
  <c r="BI123" i="1"/>
  <c r="BI115" i="1"/>
  <c r="BI107" i="1"/>
  <c r="BI99" i="1"/>
  <c r="BI91" i="1"/>
  <c r="BI83" i="1"/>
  <c r="BI75" i="1"/>
  <c r="BI67" i="1"/>
  <c r="BI59" i="1"/>
  <c r="BI51" i="1"/>
  <c r="BI43" i="1"/>
  <c r="BI35" i="1"/>
  <c r="BI27" i="1"/>
  <c r="BI19" i="1"/>
  <c r="BI11" i="1"/>
  <c r="AB6" i="1"/>
  <c r="U14" i="1"/>
  <c r="AA6" i="1" s="1"/>
  <c r="U15" i="1" l="1"/>
  <c r="U16" i="1" s="1"/>
  <c r="W16" i="1" l="1"/>
  <c r="V16" i="1"/>
  <c r="W12" i="1"/>
  <c r="W11" i="1"/>
  <c r="W10" i="1"/>
  <c r="E6" i="1" l="1"/>
  <c r="A93" i="1" s="1"/>
  <c r="F27" i="1" l="1" a="1"/>
  <c r="F27" i="1" s="1"/>
  <c r="I26" i="1" l="1"/>
  <c r="C16" i="1" s="1"/>
  <c r="F28" i="1"/>
  <c r="H27" i="1" s="1"/>
  <c r="I27" i="1" s="1"/>
  <c r="C17" i="1"/>
  <c r="C18" i="1"/>
  <c r="C19" i="1"/>
  <c r="C20" i="1"/>
  <c r="C21" i="1"/>
  <c r="C22" i="1"/>
  <c r="C192" i="1" s="1"/>
  <c r="C23" i="1"/>
  <c r="C24" i="1"/>
  <c r="C110" i="1" l="1"/>
  <c r="J110" i="1" s="1"/>
  <c r="L110" i="1" s="1"/>
  <c r="C191" i="1"/>
  <c r="C109" i="1"/>
  <c r="J109" i="1" s="1"/>
  <c r="L109" i="1" s="1"/>
  <c r="C190" i="1"/>
  <c r="C108" i="1"/>
  <c r="J108" i="1" s="1"/>
  <c r="L108" i="1" s="1"/>
  <c r="C189" i="1"/>
  <c r="C107" i="1"/>
  <c r="J107" i="1" s="1"/>
  <c r="L107" i="1" s="1"/>
  <c r="C188" i="1"/>
  <c r="C106" i="1"/>
  <c r="J106" i="1" s="1"/>
  <c r="L106" i="1" s="1"/>
  <c r="C187" i="1"/>
  <c r="C113" i="1"/>
  <c r="J113" i="1" s="1"/>
  <c r="L113" i="1" s="1"/>
  <c r="C194" i="1"/>
  <c r="C112" i="1"/>
  <c r="J112" i="1" s="1"/>
  <c r="L112" i="1" s="1"/>
  <c r="C193" i="1"/>
  <c r="C105" i="1"/>
  <c r="J105" i="1" s="1"/>
  <c r="L105" i="1" s="1"/>
  <c r="C186" i="1"/>
  <c r="C111" i="1"/>
  <c r="J111" i="1" s="1"/>
  <c r="L111" i="1" s="1"/>
  <c r="B82" i="1"/>
  <c r="K110" i="1" l="1"/>
  <c r="K109" i="1"/>
  <c r="K106" i="1"/>
  <c r="K105" i="1"/>
  <c r="K107" i="1"/>
  <c r="K113" i="1"/>
  <c r="K112" i="1"/>
  <c r="K108" i="1"/>
  <c r="K111" i="1"/>
  <c r="E61" i="1"/>
  <c r="E62" i="1"/>
  <c r="E63" i="1"/>
  <c r="E64" i="1"/>
  <c r="E65" i="1"/>
  <c r="E66" i="1"/>
  <c r="E67" i="1"/>
  <c r="E68" i="1"/>
  <c r="E69" i="1"/>
  <c r="E70" i="1"/>
  <c r="E71" i="1"/>
  <c r="B61" i="1"/>
  <c r="C61" i="1"/>
  <c r="D61" i="1"/>
  <c r="B62" i="1"/>
  <c r="D62" i="1"/>
  <c r="B63" i="1"/>
  <c r="D63" i="1"/>
  <c r="B64" i="1"/>
  <c r="D64" i="1"/>
  <c r="B65" i="1"/>
  <c r="D65" i="1"/>
  <c r="B66" i="1"/>
  <c r="B67" i="1"/>
  <c r="D67" i="1"/>
  <c r="B68" i="1"/>
  <c r="D68" i="1"/>
  <c r="B69" i="1"/>
  <c r="D69" i="1"/>
  <c r="B70" i="1"/>
  <c r="D70" i="1"/>
  <c r="B71" i="1"/>
  <c r="D71" i="1"/>
  <c r="A68" i="1"/>
  <c r="A69" i="1"/>
  <c r="A70" i="1"/>
  <c r="A71" i="1"/>
  <c r="A62" i="1"/>
  <c r="A63" i="1"/>
  <c r="A64" i="1"/>
  <c r="A65" i="1"/>
  <c r="A66" i="1"/>
  <c r="A67" i="1"/>
  <c r="A61" i="1"/>
  <c r="B31" i="1"/>
  <c r="F108" i="1" l="1"/>
  <c r="H108" i="1" s="1"/>
  <c r="F105" i="1"/>
  <c r="H105" i="1" s="1"/>
  <c r="F107" i="1"/>
  <c r="H107" i="1" s="1"/>
  <c r="F106" i="1"/>
  <c r="H106" i="1" s="1"/>
  <c r="F113" i="1"/>
  <c r="H113" i="1" s="1"/>
  <c r="F112" i="1"/>
  <c r="H112" i="1" s="1"/>
  <c r="F109" i="1"/>
  <c r="H109" i="1" s="1"/>
  <c r="F111" i="1"/>
  <c r="H111" i="1" s="1"/>
  <c r="F110" i="1"/>
  <c r="H110" i="1" s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L15" i="1"/>
  <c r="K15" i="1"/>
  <c r="D66" i="1"/>
  <c r="C63" i="1"/>
  <c r="C64" i="1"/>
  <c r="C65" i="1"/>
  <c r="C66" i="1"/>
  <c r="C67" i="1"/>
  <c r="C68" i="1"/>
  <c r="C69" i="1"/>
  <c r="C70" i="1"/>
  <c r="C71" i="1"/>
  <c r="F7" i="1"/>
  <c r="B94" i="1" s="1"/>
  <c r="F5" i="1"/>
  <c r="B92" i="1" s="1"/>
  <c r="E4" i="1"/>
  <c r="A91" i="1" s="1"/>
  <c r="B4" i="1"/>
  <c r="B29" i="1" s="1"/>
  <c r="B3" i="1"/>
  <c r="B144" i="1" s="1"/>
  <c r="B145" i="1" s="1"/>
  <c r="B151" i="1" l="1"/>
  <c r="B147" i="1"/>
  <c r="G112" i="1"/>
  <c r="G113" i="1"/>
  <c r="G106" i="1"/>
  <c r="F8" i="1"/>
  <c r="B95" i="1" s="1"/>
  <c r="G107" i="1"/>
  <c r="G105" i="1"/>
  <c r="G109" i="1"/>
  <c r="D91" i="1"/>
  <c r="C91" i="1"/>
  <c r="E91" i="1"/>
  <c r="G110" i="1"/>
  <c r="G108" i="1"/>
  <c r="G111" i="1"/>
  <c r="E5" i="1"/>
  <c r="A92" i="1" s="1"/>
  <c r="E92" i="1" s="1"/>
  <c r="G4" i="1"/>
  <c r="F6" i="1"/>
  <c r="B93" i="1" s="1"/>
  <c r="E7" i="1"/>
  <c r="A94" i="1" s="1"/>
  <c r="G5" i="1" l="1"/>
  <c r="E8" i="1"/>
  <c r="A95" i="1" s="1"/>
  <c r="E95" i="1" s="1"/>
  <c r="F9" i="1"/>
  <c r="B96" i="1" s="1"/>
  <c r="E93" i="1"/>
  <c r="C94" i="1"/>
  <c r="D92" i="1"/>
  <c r="C92" i="1"/>
  <c r="G7" i="1"/>
  <c r="G6" i="1"/>
  <c r="E94" i="1" l="1"/>
  <c r="G8" i="1"/>
  <c r="E9" i="1"/>
  <c r="A96" i="1" s="1"/>
  <c r="D93" i="1"/>
  <c r="C93" i="1"/>
  <c r="F10" i="1"/>
  <c r="B97" i="1" s="1"/>
  <c r="D94" i="1"/>
  <c r="C95" i="1"/>
  <c r="D95" i="1"/>
  <c r="G9" i="1" l="1"/>
  <c r="E96" i="1"/>
  <c r="D96" i="1"/>
  <c r="D97" i="1"/>
  <c r="G11" i="1"/>
  <c r="X4" i="1" a="1"/>
  <c r="X4" i="1" s="1"/>
  <c r="C96" i="1"/>
  <c r="G10" i="1"/>
  <c r="G12" i="1" l="1"/>
  <c r="E97" i="1"/>
  <c r="E98" i="1"/>
  <c r="D98" i="1"/>
  <c r="C98" i="1"/>
  <c r="C97" i="1"/>
  <c r="Y4" i="1"/>
  <c r="X5" i="1"/>
  <c r="C15" i="1"/>
  <c r="C104" i="1" l="1"/>
  <c r="J104" i="1" s="1"/>
  <c r="C185" i="1"/>
  <c r="C99" i="1"/>
  <c r="B100" i="1" s="1"/>
  <c r="Y5" i="1"/>
  <c r="Y6" i="1" s="1"/>
  <c r="X6" i="1"/>
  <c r="C62" i="1"/>
  <c r="C25" i="1"/>
  <c r="D25" i="1" s="1"/>
  <c r="F104" i="1" l="1"/>
  <c r="F114" i="1" s="1"/>
  <c r="J114" i="1"/>
  <c r="J115" i="1" s="1"/>
  <c r="L104" i="1"/>
  <c r="L114" i="1" s="1"/>
  <c r="J117" i="1" s="1"/>
  <c r="D99" i="1"/>
  <c r="B102" i="1" s="1"/>
  <c r="E99" i="1"/>
  <c r="B101" i="1" s="1"/>
  <c r="K104" i="1"/>
  <c r="K114" i="1" s="1"/>
  <c r="J116" i="1" s="1"/>
  <c r="D127" i="1" l="1"/>
  <c r="Z16" i="1"/>
  <c r="B115" i="1"/>
  <c r="G104" i="1"/>
  <c r="G114" i="1" s="1"/>
  <c r="B116" i="1" s="1"/>
  <c r="H104" i="1"/>
  <c r="H114" i="1" s="1"/>
  <c r="B117" i="1" s="1"/>
  <c r="D126" i="1"/>
  <c r="K117" i="1"/>
  <c r="AB16" i="1" s="1"/>
  <c r="D125" i="1"/>
  <c r="K116" i="1"/>
  <c r="AA16" i="1" s="1"/>
  <c r="J119" i="1"/>
  <c r="J120" i="1"/>
  <c r="DY5" i="1" l="1"/>
  <c r="DY8" i="1" s="1"/>
  <c r="AE16" i="1"/>
  <c r="DX5" i="1"/>
  <c r="DX8" i="1" s="1"/>
  <c r="AD16" i="1"/>
  <c r="DW5" i="1"/>
  <c r="DW8" i="1" s="1"/>
  <c r="AC16" i="1"/>
  <c r="B127" i="1"/>
  <c r="Z15" i="1"/>
  <c r="F127" i="1"/>
  <c r="F126" i="1"/>
  <c r="C117" i="1"/>
  <c r="AB15" i="1" s="1"/>
  <c r="B125" i="1"/>
  <c r="C116" i="1"/>
  <c r="AA15" i="1" s="1"/>
  <c r="F125" i="1"/>
  <c r="B120" i="1"/>
  <c r="B119" i="1"/>
  <c r="B126" i="1"/>
  <c r="DX4" i="1" l="1"/>
  <c r="DX10" i="1" s="1"/>
  <c r="AD15" i="1"/>
  <c r="DY4" i="1"/>
  <c r="DY10" i="1" s="1"/>
  <c r="AE15" i="1"/>
  <c r="DW4" i="1"/>
  <c r="DW10" i="1" s="1"/>
  <c r="AC15" i="1"/>
  <c r="DW11" i="1"/>
  <c r="EB10" i="1"/>
  <c r="DY11" i="1"/>
  <c r="ED10" i="1"/>
  <c r="DX11" i="1"/>
  <c r="EC10" i="1"/>
  <c r="B131" i="1"/>
  <c r="B132" i="1" s="1"/>
  <c r="BW5" i="1" s="1"/>
  <c r="G71" i="1"/>
  <c r="F66" i="1"/>
  <c r="B41" i="1"/>
  <c r="G65" i="1"/>
  <c r="G64" i="1"/>
  <c r="B38" i="1"/>
  <c r="B43" i="1"/>
  <c r="G69" i="1"/>
  <c r="B42" i="1"/>
  <c r="B39" i="1"/>
  <c r="B37" i="1"/>
  <c r="B44" i="1"/>
  <c r="B40" i="1"/>
  <c r="G63" i="1"/>
  <c r="G70" i="1"/>
  <c r="B45" i="1"/>
  <c r="G66" i="1"/>
  <c r="G62" i="1"/>
  <c r="G68" i="1"/>
  <c r="F69" i="1"/>
  <c r="A40" i="1"/>
  <c r="A39" i="1"/>
  <c r="A42" i="1"/>
  <c r="A43" i="1"/>
  <c r="DW14" i="1" l="1"/>
  <c r="DX18" i="1" s="1"/>
  <c r="EG10" i="1"/>
  <c r="EH10" i="1" s="1"/>
  <c r="BW9" i="1"/>
  <c r="EC12" i="1"/>
  <c r="EF10" i="1"/>
  <c r="BX15" i="1"/>
  <c r="BX16" i="1"/>
  <c r="BX24" i="1"/>
  <c r="BX32" i="1"/>
  <c r="BX40" i="1"/>
  <c r="BX48" i="1"/>
  <c r="BX56" i="1"/>
  <c r="BX64" i="1"/>
  <c r="BX72" i="1"/>
  <c r="BX80" i="1"/>
  <c r="BX88" i="1"/>
  <c r="BX96" i="1"/>
  <c r="BX104" i="1"/>
  <c r="BX112" i="1"/>
  <c r="BX120" i="1"/>
  <c r="BX128" i="1"/>
  <c r="BX136" i="1"/>
  <c r="BX144" i="1"/>
  <c r="BX152" i="1"/>
  <c r="BX160" i="1"/>
  <c r="BX168" i="1"/>
  <c r="BX176" i="1"/>
  <c r="BX184" i="1"/>
  <c r="BX192" i="1"/>
  <c r="BX200" i="1"/>
  <c r="BX208" i="1"/>
  <c r="BX216" i="1"/>
  <c r="BX224" i="1"/>
  <c r="BX232" i="1"/>
  <c r="BX240" i="1"/>
  <c r="BX248" i="1"/>
  <c r="BX256" i="1"/>
  <c r="BX264" i="1"/>
  <c r="BX272" i="1"/>
  <c r="BX280" i="1"/>
  <c r="BX288" i="1"/>
  <c r="BX296" i="1"/>
  <c r="BX304" i="1"/>
  <c r="BX312" i="1"/>
  <c r="BX320" i="1"/>
  <c r="BX328" i="1"/>
  <c r="BX336" i="1"/>
  <c r="BX344" i="1"/>
  <c r="BX352" i="1"/>
  <c r="BX360" i="1"/>
  <c r="BX368" i="1"/>
  <c r="BX300" i="1"/>
  <c r="BX340" i="1"/>
  <c r="BX341" i="1"/>
  <c r="BX39" i="1"/>
  <c r="BX135" i="1"/>
  <c r="BX215" i="1"/>
  <c r="BX311" i="1"/>
  <c r="BX17" i="1"/>
  <c r="BX25" i="1"/>
  <c r="BX33" i="1"/>
  <c r="BX41" i="1"/>
  <c r="BX49" i="1"/>
  <c r="BX57" i="1"/>
  <c r="BX65" i="1"/>
  <c r="BX73" i="1"/>
  <c r="BX81" i="1"/>
  <c r="BX89" i="1"/>
  <c r="BX97" i="1"/>
  <c r="BX105" i="1"/>
  <c r="BX113" i="1"/>
  <c r="BX121" i="1"/>
  <c r="BX129" i="1"/>
  <c r="BX137" i="1"/>
  <c r="BX145" i="1"/>
  <c r="BX153" i="1"/>
  <c r="BX161" i="1"/>
  <c r="BX169" i="1"/>
  <c r="BX177" i="1"/>
  <c r="BX185" i="1"/>
  <c r="BX193" i="1"/>
  <c r="BX201" i="1"/>
  <c r="BX209" i="1"/>
  <c r="BX217" i="1"/>
  <c r="BX225" i="1"/>
  <c r="BX233" i="1"/>
  <c r="BX241" i="1"/>
  <c r="BX249" i="1"/>
  <c r="BX257" i="1"/>
  <c r="BX265" i="1"/>
  <c r="BX273" i="1"/>
  <c r="BX281" i="1"/>
  <c r="BX289" i="1"/>
  <c r="BX297" i="1"/>
  <c r="BX305" i="1"/>
  <c r="BX313" i="1"/>
  <c r="BX321" i="1"/>
  <c r="BX329" i="1"/>
  <c r="BX337" i="1"/>
  <c r="BX345" i="1"/>
  <c r="BX353" i="1"/>
  <c r="BX361" i="1"/>
  <c r="BX369" i="1"/>
  <c r="BX316" i="1"/>
  <c r="BX356" i="1"/>
  <c r="BX349" i="1"/>
  <c r="BX55" i="1"/>
  <c r="BX95" i="1"/>
  <c r="BX167" i="1"/>
  <c r="BX239" i="1"/>
  <c r="BX287" i="1"/>
  <c r="BX343" i="1"/>
  <c r="BX18" i="1"/>
  <c r="BX26" i="1"/>
  <c r="BX34" i="1"/>
  <c r="BX42" i="1"/>
  <c r="BX50" i="1"/>
  <c r="BX58" i="1"/>
  <c r="BX66" i="1"/>
  <c r="BX74" i="1"/>
  <c r="BX82" i="1"/>
  <c r="BX90" i="1"/>
  <c r="BX98" i="1"/>
  <c r="BX106" i="1"/>
  <c r="BX114" i="1"/>
  <c r="BX122" i="1"/>
  <c r="BX130" i="1"/>
  <c r="BX138" i="1"/>
  <c r="BX146" i="1"/>
  <c r="BX154" i="1"/>
  <c r="BX162" i="1"/>
  <c r="BX170" i="1"/>
  <c r="BX178" i="1"/>
  <c r="BX186" i="1"/>
  <c r="BX194" i="1"/>
  <c r="BX202" i="1"/>
  <c r="BX210" i="1"/>
  <c r="BX218" i="1"/>
  <c r="BX226" i="1"/>
  <c r="BX234" i="1"/>
  <c r="BX242" i="1"/>
  <c r="BX250" i="1"/>
  <c r="BX258" i="1"/>
  <c r="BX266" i="1"/>
  <c r="BX274" i="1"/>
  <c r="BX282" i="1"/>
  <c r="BX290" i="1"/>
  <c r="BX298" i="1"/>
  <c r="BX306" i="1"/>
  <c r="BX314" i="1"/>
  <c r="BX322" i="1"/>
  <c r="BX330" i="1"/>
  <c r="BX338" i="1"/>
  <c r="BX346" i="1"/>
  <c r="BX354" i="1"/>
  <c r="BX362" i="1"/>
  <c r="BX370" i="1"/>
  <c r="BX308" i="1"/>
  <c r="BX348" i="1"/>
  <c r="BX357" i="1"/>
  <c r="BX23" i="1"/>
  <c r="BX79" i="1"/>
  <c r="BX87" i="1"/>
  <c r="BX111" i="1"/>
  <c r="BX151" i="1"/>
  <c r="BX191" i="1"/>
  <c r="BX231" i="1"/>
  <c r="BX255" i="1"/>
  <c r="BX279" i="1"/>
  <c r="BX319" i="1"/>
  <c r="BX367" i="1"/>
  <c r="BX19" i="1"/>
  <c r="BX27" i="1"/>
  <c r="BX35" i="1"/>
  <c r="BX43" i="1"/>
  <c r="BX51" i="1"/>
  <c r="BX59" i="1"/>
  <c r="BX67" i="1"/>
  <c r="BX75" i="1"/>
  <c r="BX83" i="1"/>
  <c r="BX91" i="1"/>
  <c r="BX99" i="1"/>
  <c r="BX107" i="1"/>
  <c r="BX115" i="1"/>
  <c r="BX123" i="1"/>
  <c r="BX131" i="1"/>
  <c r="BX139" i="1"/>
  <c r="BX147" i="1"/>
  <c r="BX155" i="1"/>
  <c r="BX163" i="1"/>
  <c r="BX171" i="1"/>
  <c r="BX179" i="1"/>
  <c r="BX187" i="1"/>
  <c r="BX195" i="1"/>
  <c r="BX203" i="1"/>
  <c r="BX211" i="1"/>
  <c r="BX219" i="1"/>
  <c r="BX227" i="1"/>
  <c r="BX235" i="1"/>
  <c r="BX243" i="1"/>
  <c r="BX251" i="1"/>
  <c r="BX259" i="1"/>
  <c r="BX267" i="1"/>
  <c r="BX275" i="1"/>
  <c r="BX283" i="1"/>
  <c r="BX291" i="1"/>
  <c r="BX299" i="1"/>
  <c r="BX307" i="1"/>
  <c r="BX315" i="1"/>
  <c r="BX323" i="1"/>
  <c r="BX331" i="1"/>
  <c r="BX339" i="1"/>
  <c r="BX347" i="1"/>
  <c r="BX355" i="1"/>
  <c r="BX363" i="1"/>
  <c r="BX371" i="1"/>
  <c r="BX284" i="1"/>
  <c r="BX332" i="1"/>
  <c r="BX364" i="1"/>
  <c r="BX365" i="1"/>
  <c r="BX374" i="1"/>
  <c r="BX47" i="1"/>
  <c r="BX127" i="1"/>
  <c r="BX207" i="1"/>
  <c r="BX303" i="1"/>
  <c r="BX375" i="1"/>
  <c r="BX20" i="1"/>
  <c r="BX28" i="1"/>
  <c r="BX36" i="1"/>
  <c r="BX44" i="1"/>
  <c r="BX52" i="1"/>
  <c r="BX60" i="1"/>
  <c r="BX68" i="1"/>
  <c r="BX76" i="1"/>
  <c r="BX84" i="1"/>
  <c r="BX92" i="1"/>
  <c r="BX100" i="1"/>
  <c r="BX108" i="1"/>
  <c r="BX116" i="1"/>
  <c r="BX124" i="1"/>
  <c r="BX132" i="1"/>
  <c r="BX140" i="1"/>
  <c r="BX148" i="1"/>
  <c r="BX156" i="1"/>
  <c r="BX164" i="1"/>
  <c r="BX172" i="1"/>
  <c r="BX180" i="1"/>
  <c r="BX188" i="1"/>
  <c r="BX196" i="1"/>
  <c r="BX204" i="1"/>
  <c r="BX212" i="1"/>
  <c r="BX220" i="1"/>
  <c r="BX228" i="1"/>
  <c r="BX236" i="1"/>
  <c r="BX244" i="1"/>
  <c r="BX252" i="1"/>
  <c r="BX260" i="1"/>
  <c r="BX268" i="1"/>
  <c r="BX276" i="1"/>
  <c r="BX292" i="1"/>
  <c r="BX324" i="1"/>
  <c r="BX372" i="1"/>
  <c r="BX373" i="1"/>
  <c r="BX358" i="1"/>
  <c r="BX71" i="1"/>
  <c r="BX143" i="1"/>
  <c r="BX199" i="1"/>
  <c r="BX271" i="1"/>
  <c r="BX327" i="1"/>
  <c r="BX359" i="1"/>
  <c r="BX21" i="1"/>
  <c r="BX29" i="1"/>
  <c r="BX37" i="1"/>
  <c r="BX45" i="1"/>
  <c r="BX53" i="1"/>
  <c r="BX61" i="1"/>
  <c r="BX69" i="1"/>
  <c r="BX77" i="1"/>
  <c r="BX85" i="1"/>
  <c r="BX93" i="1"/>
  <c r="BX101" i="1"/>
  <c r="BX109" i="1"/>
  <c r="BX117" i="1"/>
  <c r="BX125" i="1"/>
  <c r="BX133" i="1"/>
  <c r="BX141" i="1"/>
  <c r="BX149" i="1"/>
  <c r="BX157" i="1"/>
  <c r="BX165" i="1"/>
  <c r="BX173" i="1"/>
  <c r="BX181" i="1"/>
  <c r="BX189" i="1"/>
  <c r="BX197" i="1"/>
  <c r="BX205" i="1"/>
  <c r="BX213" i="1"/>
  <c r="BX221" i="1"/>
  <c r="BX229" i="1"/>
  <c r="BX237" i="1"/>
  <c r="BX245" i="1"/>
  <c r="BX253" i="1"/>
  <c r="BX261" i="1"/>
  <c r="BX269" i="1"/>
  <c r="BX277" i="1"/>
  <c r="BX285" i="1"/>
  <c r="BX293" i="1"/>
  <c r="BX301" i="1"/>
  <c r="BX309" i="1"/>
  <c r="BX317" i="1"/>
  <c r="BX325" i="1"/>
  <c r="BX333" i="1"/>
  <c r="BX31" i="1"/>
  <c r="BX103" i="1"/>
  <c r="BX175" i="1"/>
  <c r="BX247" i="1"/>
  <c r="BX295" i="1"/>
  <c r="BX351" i="1"/>
  <c r="BX22" i="1"/>
  <c r="BX30" i="1"/>
  <c r="BX38" i="1"/>
  <c r="BX46" i="1"/>
  <c r="BX54" i="1"/>
  <c r="BX62" i="1"/>
  <c r="BX70" i="1"/>
  <c r="BX78" i="1"/>
  <c r="BX86" i="1"/>
  <c r="BX94" i="1"/>
  <c r="BX102" i="1"/>
  <c r="BX110" i="1"/>
  <c r="BX118" i="1"/>
  <c r="BX126" i="1"/>
  <c r="BX134" i="1"/>
  <c r="BX142" i="1"/>
  <c r="BX150" i="1"/>
  <c r="BX158" i="1"/>
  <c r="BX166" i="1"/>
  <c r="BX174" i="1"/>
  <c r="BX182" i="1"/>
  <c r="BX190" i="1"/>
  <c r="BX198" i="1"/>
  <c r="BX206" i="1"/>
  <c r="BX214" i="1"/>
  <c r="BX222" i="1"/>
  <c r="BX230" i="1"/>
  <c r="BX238" i="1"/>
  <c r="BX246" i="1"/>
  <c r="BX254" i="1"/>
  <c r="BX262" i="1"/>
  <c r="BX270" i="1"/>
  <c r="BX278" i="1"/>
  <c r="BX286" i="1"/>
  <c r="BX294" i="1"/>
  <c r="BX302" i="1"/>
  <c r="BX310" i="1"/>
  <c r="BX318" i="1"/>
  <c r="BX326" i="1"/>
  <c r="BX334" i="1"/>
  <c r="BX342" i="1"/>
  <c r="BX350" i="1"/>
  <c r="BX366" i="1"/>
  <c r="BX63" i="1"/>
  <c r="BX119" i="1"/>
  <c r="BX159" i="1"/>
  <c r="BX183" i="1"/>
  <c r="BX223" i="1"/>
  <c r="BX263" i="1"/>
  <c r="BX335" i="1"/>
  <c r="B133" i="1"/>
  <c r="BX5" i="1" s="1"/>
  <c r="F65" i="1"/>
  <c r="I65" i="1" s="1"/>
  <c r="R65" i="1" s="1"/>
  <c r="A45" i="1"/>
  <c r="C45" i="1" s="1"/>
  <c r="D56" i="1" s="1"/>
  <c r="D164" i="1" s="1"/>
  <c r="D175" i="1" s="1"/>
  <c r="F62" i="1"/>
  <c r="H62" i="1" s="1"/>
  <c r="Q62" i="1" s="1"/>
  <c r="A44" i="1"/>
  <c r="D44" i="1" s="1"/>
  <c r="E55" i="1" s="1"/>
  <c r="F68" i="1"/>
  <c r="H68" i="1" s="1"/>
  <c r="Q68" i="1" s="1"/>
  <c r="F70" i="1"/>
  <c r="H70" i="1" s="1"/>
  <c r="Q70" i="1" s="1"/>
  <c r="A37" i="1"/>
  <c r="C37" i="1" s="1"/>
  <c r="B49" i="1" s="1"/>
  <c r="B157" i="1" s="1"/>
  <c r="B168" i="1" s="1"/>
  <c r="F71" i="1"/>
  <c r="I71" i="1" s="1"/>
  <c r="R71" i="1" s="1"/>
  <c r="A38" i="1"/>
  <c r="D38" i="1" s="1"/>
  <c r="E49" i="1" s="1"/>
  <c r="F63" i="1"/>
  <c r="I63" i="1" s="1"/>
  <c r="R63" i="1" s="1"/>
  <c r="F67" i="1"/>
  <c r="A41" i="1"/>
  <c r="C41" i="1" s="1"/>
  <c r="D52" i="1" s="1"/>
  <c r="F64" i="1"/>
  <c r="I64" i="1" s="1"/>
  <c r="R64" i="1" s="1"/>
  <c r="G67" i="1"/>
  <c r="I66" i="1"/>
  <c r="R66" i="1" s="1"/>
  <c r="H69" i="1"/>
  <c r="Q69" i="1" s="1"/>
  <c r="D39" i="1"/>
  <c r="E50" i="1" s="1"/>
  <c r="C40" i="1"/>
  <c r="D51" i="1" s="1"/>
  <c r="C43" i="1"/>
  <c r="D54" i="1" s="1"/>
  <c r="D40" i="1"/>
  <c r="E51" i="1" s="1"/>
  <c r="C42" i="1"/>
  <c r="D53" i="1" s="1"/>
  <c r="C39" i="1"/>
  <c r="D50" i="1" s="1"/>
  <c r="D42" i="1"/>
  <c r="E53" i="1" s="1"/>
  <c r="H66" i="1"/>
  <c r="Q66" i="1" s="1"/>
  <c r="I69" i="1"/>
  <c r="R69" i="1" s="1"/>
  <c r="D43" i="1"/>
  <c r="E54" i="1" s="1"/>
  <c r="DY17" i="1" l="1"/>
  <c r="DW18" i="1"/>
  <c r="DW16" i="1"/>
  <c r="DY18" i="1"/>
  <c r="DX16" i="1"/>
  <c r="DY16" i="1"/>
  <c r="DW17" i="1"/>
  <c r="DX17" i="1"/>
  <c r="EJ10" i="1"/>
  <c r="EI10" i="1"/>
  <c r="CD326" i="1"/>
  <c r="CD183" i="1"/>
  <c r="CD198" i="1"/>
  <c r="CD181" i="1"/>
  <c r="CD148" i="1"/>
  <c r="CD267" i="1"/>
  <c r="CD70" i="1"/>
  <c r="CD53" i="1"/>
  <c r="CD20" i="1"/>
  <c r="CD75" i="1"/>
  <c r="CD295" i="1"/>
  <c r="CD199" i="1"/>
  <c r="CD331" i="1"/>
  <c r="CD87" i="1"/>
  <c r="CD262" i="1"/>
  <c r="CD245" i="1"/>
  <c r="CD212" i="1"/>
  <c r="CD203" i="1"/>
  <c r="CD134" i="1"/>
  <c r="CD117" i="1"/>
  <c r="CD84" i="1"/>
  <c r="CD139" i="1"/>
  <c r="CD309" i="1"/>
  <c r="CD276" i="1"/>
  <c r="CD364" i="1"/>
  <c r="CD367" i="1"/>
  <c r="CD354" i="1"/>
  <c r="CD226" i="1"/>
  <c r="CD98" i="1"/>
  <c r="CD290" i="1"/>
  <c r="CD162" i="1"/>
  <c r="CD34" i="1"/>
  <c r="CD273" i="1"/>
  <c r="CD55" i="1"/>
  <c r="CD337" i="1"/>
  <c r="CD209" i="1"/>
  <c r="CD81" i="1"/>
  <c r="CD145" i="1"/>
  <c r="CD48" i="1"/>
  <c r="CD17" i="1"/>
  <c r="CD112" i="1"/>
  <c r="CD240" i="1"/>
  <c r="CD304" i="1"/>
  <c r="CD176" i="1"/>
  <c r="CD368" i="1"/>
  <c r="CD62" i="1"/>
  <c r="CD143" i="1"/>
  <c r="CD332" i="1"/>
  <c r="CD319" i="1"/>
  <c r="CD26" i="1"/>
  <c r="CD137" i="1"/>
  <c r="CD232" i="1"/>
  <c r="CD342" i="1"/>
  <c r="CD214" i="1"/>
  <c r="CD223" i="1"/>
  <c r="CD334" i="1"/>
  <c r="CD270" i="1"/>
  <c r="CD206" i="1"/>
  <c r="CD142" i="1"/>
  <c r="CD78" i="1"/>
  <c r="CD351" i="1"/>
  <c r="CD317" i="1"/>
  <c r="CD253" i="1"/>
  <c r="CD189" i="1"/>
  <c r="CD125" i="1"/>
  <c r="CD61" i="1"/>
  <c r="CD271" i="1"/>
  <c r="CD292" i="1"/>
  <c r="CD220" i="1"/>
  <c r="CD156" i="1"/>
  <c r="CD92" i="1"/>
  <c r="CD28" i="1"/>
  <c r="CD365" i="1"/>
  <c r="CD339" i="1"/>
  <c r="CD275" i="1"/>
  <c r="CD211" i="1"/>
  <c r="CD147" i="1"/>
  <c r="CD83" i="1"/>
  <c r="CD19" i="1"/>
  <c r="CD111" i="1"/>
  <c r="CD362" i="1"/>
  <c r="CD298" i="1"/>
  <c r="CD234" i="1"/>
  <c r="CD170" i="1"/>
  <c r="CD106" i="1"/>
  <c r="CD42" i="1"/>
  <c r="CD95" i="1"/>
  <c r="CD345" i="1"/>
  <c r="CD281" i="1"/>
  <c r="CD217" i="1"/>
  <c r="CD153" i="1"/>
  <c r="CD89" i="1"/>
  <c r="CD25" i="1"/>
  <c r="CD300" i="1"/>
  <c r="CD312" i="1"/>
  <c r="CD248" i="1"/>
  <c r="CD184" i="1"/>
  <c r="CD120" i="1"/>
  <c r="CD56" i="1"/>
  <c r="CD190" i="1"/>
  <c r="CD237" i="1"/>
  <c r="CD204" i="1"/>
  <c r="CD259" i="1"/>
  <c r="CD79" i="1"/>
  <c r="CD90" i="1"/>
  <c r="CD201" i="1"/>
  <c r="CD311" i="1"/>
  <c r="CD360" i="1"/>
  <c r="CD119" i="1"/>
  <c r="CD310" i="1"/>
  <c r="CD246" i="1"/>
  <c r="CD182" i="1"/>
  <c r="CD118" i="1"/>
  <c r="CD54" i="1"/>
  <c r="CD175" i="1"/>
  <c r="CD293" i="1"/>
  <c r="CD229" i="1"/>
  <c r="CD165" i="1"/>
  <c r="CD101" i="1"/>
  <c r="CD37" i="1"/>
  <c r="CD71" i="1"/>
  <c r="CD260" i="1"/>
  <c r="CD196" i="1"/>
  <c r="CD132" i="1"/>
  <c r="CD68" i="1"/>
  <c r="CD303" i="1"/>
  <c r="CD284" i="1"/>
  <c r="CD315" i="1"/>
  <c r="CD251" i="1"/>
  <c r="CD187" i="1"/>
  <c r="CD123" i="1"/>
  <c r="CD59" i="1"/>
  <c r="CD279" i="1"/>
  <c r="CD23" i="1"/>
  <c r="CD338" i="1"/>
  <c r="CD274" i="1"/>
  <c r="CD210" i="1"/>
  <c r="CD146" i="1"/>
  <c r="CD82" i="1"/>
  <c r="CD18" i="1"/>
  <c r="CD356" i="1"/>
  <c r="CD321" i="1"/>
  <c r="CD257" i="1"/>
  <c r="CD193" i="1"/>
  <c r="CD129" i="1"/>
  <c r="CD65" i="1"/>
  <c r="CD215" i="1"/>
  <c r="CD352" i="1"/>
  <c r="CD288" i="1"/>
  <c r="CD224" i="1"/>
  <c r="CD126" i="1"/>
  <c r="CD109" i="1"/>
  <c r="CD76" i="1"/>
  <c r="CD195" i="1"/>
  <c r="CD282" i="1"/>
  <c r="CD265" i="1"/>
  <c r="CD104" i="1"/>
  <c r="CD63" i="1"/>
  <c r="CD302" i="1"/>
  <c r="CD238" i="1"/>
  <c r="CD174" i="1"/>
  <c r="CD110" i="1"/>
  <c r="CD46" i="1"/>
  <c r="CD103" i="1"/>
  <c r="CD285" i="1"/>
  <c r="CD221" i="1"/>
  <c r="CD157" i="1"/>
  <c r="CD93" i="1"/>
  <c r="CD29" i="1"/>
  <c r="CD358" i="1"/>
  <c r="CD252" i="1"/>
  <c r="CD188" i="1"/>
  <c r="CD124" i="1"/>
  <c r="CD60" i="1"/>
  <c r="CD207" i="1"/>
  <c r="CD371" i="1"/>
  <c r="CD307" i="1"/>
  <c r="CD243" i="1"/>
  <c r="CD179" i="1"/>
  <c r="CD115" i="1"/>
  <c r="CD51" i="1"/>
  <c r="CD255" i="1"/>
  <c r="CD357" i="1"/>
  <c r="CD330" i="1"/>
  <c r="CD266" i="1"/>
  <c r="CD202" i="1"/>
  <c r="CD138" i="1"/>
  <c r="CD74" i="1"/>
  <c r="CD343" i="1"/>
  <c r="CD316" i="1"/>
  <c r="CD313" i="1"/>
  <c r="CD249" i="1"/>
  <c r="CD185" i="1"/>
  <c r="CD121" i="1"/>
  <c r="CD57" i="1"/>
  <c r="CD135" i="1"/>
  <c r="CD344" i="1"/>
  <c r="CD280" i="1"/>
  <c r="CD159" i="1"/>
  <c r="CD301" i="1"/>
  <c r="CD268" i="1"/>
  <c r="CD323" i="1"/>
  <c r="CD346" i="1"/>
  <c r="CD329" i="1"/>
  <c r="CD168" i="1"/>
  <c r="CD366" i="1"/>
  <c r="CD294" i="1"/>
  <c r="CD230" i="1"/>
  <c r="CD166" i="1"/>
  <c r="CD102" i="1"/>
  <c r="CD38" i="1"/>
  <c r="CD31" i="1"/>
  <c r="CD277" i="1"/>
  <c r="CD213" i="1"/>
  <c r="CD149" i="1"/>
  <c r="CD85" i="1"/>
  <c r="CD21" i="1"/>
  <c r="CD373" i="1"/>
  <c r="CD244" i="1"/>
  <c r="CD180" i="1"/>
  <c r="CD116" i="1"/>
  <c r="CD52" i="1"/>
  <c r="CD127" i="1"/>
  <c r="CD363" i="1"/>
  <c r="CD299" i="1"/>
  <c r="CD235" i="1"/>
  <c r="CD171" i="1"/>
  <c r="CD107" i="1"/>
  <c r="CD43" i="1"/>
  <c r="CD231" i="1"/>
  <c r="CD348" i="1"/>
  <c r="CD322" i="1"/>
  <c r="CD258" i="1"/>
  <c r="CD194" i="1"/>
  <c r="CD130" i="1"/>
  <c r="CD66" i="1"/>
  <c r="CD287" i="1"/>
  <c r="CD369" i="1"/>
  <c r="CD305" i="1"/>
  <c r="CD241" i="1"/>
  <c r="CD177" i="1"/>
  <c r="CD113" i="1"/>
  <c r="CD49" i="1"/>
  <c r="CD39" i="1"/>
  <c r="CD254" i="1"/>
  <c r="CD173" i="1"/>
  <c r="CD140" i="1"/>
  <c r="CD131" i="1"/>
  <c r="CD154" i="1"/>
  <c r="CD335" i="1"/>
  <c r="CD350" i="1"/>
  <c r="CD286" i="1"/>
  <c r="CD222" i="1"/>
  <c r="CD158" i="1"/>
  <c r="CD94" i="1"/>
  <c r="CD30" i="1"/>
  <c r="CD333" i="1"/>
  <c r="CD269" i="1"/>
  <c r="CD205" i="1"/>
  <c r="CD141" i="1"/>
  <c r="CD77" i="1"/>
  <c r="CD359" i="1"/>
  <c r="CD372" i="1"/>
  <c r="CD236" i="1"/>
  <c r="CD172" i="1"/>
  <c r="CD108" i="1"/>
  <c r="CD44" i="1"/>
  <c r="CD47" i="1"/>
  <c r="CD355" i="1"/>
  <c r="CD291" i="1"/>
  <c r="CD227" i="1"/>
  <c r="CD163" i="1"/>
  <c r="CD99" i="1"/>
  <c r="CD35" i="1"/>
  <c r="CD191" i="1"/>
  <c r="CD308" i="1"/>
  <c r="CD314" i="1"/>
  <c r="CD250" i="1"/>
  <c r="CD186" i="1"/>
  <c r="CD122" i="1"/>
  <c r="CD58" i="1"/>
  <c r="CD239" i="1"/>
  <c r="CD361" i="1"/>
  <c r="CD297" i="1"/>
  <c r="CD233" i="1"/>
  <c r="CD169" i="1"/>
  <c r="CD105" i="1"/>
  <c r="CD41" i="1"/>
  <c r="CD341" i="1"/>
  <c r="CD328" i="1"/>
  <c r="CD264" i="1"/>
  <c r="CD200" i="1"/>
  <c r="CD136" i="1"/>
  <c r="CD72" i="1"/>
  <c r="CD15" i="1"/>
  <c r="CD318" i="1"/>
  <c r="CD247" i="1"/>
  <c r="CD45" i="1"/>
  <c r="CD375" i="1"/>
  <c r="CD67" i="1"/>
  <c r="CD218" i="1"/>
  <c r="CD349" i="1"/>
  <c r="CD73" i="1"/>
  <c r="CD296" i="1"/>
  <c r="CD263" i="1"/>
  <c r="CD278" i="1"/>
  <c r="CD150" i="1"/>
  <c r="CD86" i="1"/>
  <c r="CD22" i="1"/>
  <c r="CD325" i="1"/>
  <c r="CD261" i="1"/>
  <c r="CD197" i="1"/>
  <c r="CD133" i="1"/>
  <c r="CD69" i="1"/>
  <c r="CD327" i="1"/>
  <c r="CD324" i="1"/>
  <c r="CD228" i="1"/>
  <c r="CD164" i="1"/>
  <c r="CD100" i="1"/>
  <c r="CD36" i="1"/>
  <c r="CD374" i="1"/>
  <c r="CD347" i="1"/>
  <c r="CD283" i="1"/>
  <c r="CD219" i="1"/>
  <c r="CD155" i="1"/>
  <c r="CD91" i="1"/>
  <c r="CD27" i="1"/>
  <c r="CD151" i="1"/>
  <c r="CD370" i="1"/>
  <c r="CD306" i="1"/>
  <c r="CD242" i="1"/>
  <c r="CD178" i="1"/>
  <c r="CD114" i="1"/>
  <c r="CD50" i="1"/>
  <c r="CD167" i="1"/>
  <c r="CD353" i="1"/>
  <c r="CD289" i="1"/>
  <c r="CD225" i="1"/>
  <c r="CD161" i="1"/>
  <c r="CD97" i="1"/>
  <c r="CD33" i="1"/>
  <c r="CD340" i="1"/>
  <c r="CD320" i="1"/>
  <c r="CD256" i="1"/>
  <c r="CD192" i="1"/>
  <c r="CD336" i="1"/>
  <c r="CD128" i="1"/>
  <c r="CD216" i="1"/>
  <c r="CD272" i="1"/>
  <c r="CD64" i="1"/>
  <c r="CD160" i="1"/>
  <c r="CD152" i="1"/>
  <c r="CD208" i="1"/>
  <c r="CD40" i="1"/>
  <c r="CD96" i="1"/>
  <c r="CD32" i="1"/>
  <c r="CD88" i="1"/>
  <c r="CD24" i="1"/>
  <c r="CD144" i="1"/>
  <c r="CD80" i="1"/>
  <c r="CD16" i="1"/>
  <c r="BX9" i="1"/>
  <c r="BW10" i="1" s="1"/>
  <c r="ED12" i="1"/>
  <c r="BY15" i="1"/>
  <c r="BY16" i="1"/>
  <c r="BY24" i="1"/>
  <c r="BY32" i="1"/>
  <c r="BY40" i="1"/>
  <c r="BY48" i="1"/>
  <c r="BY56" i="1"/>
  <c r="BY64" i="1"/>
  <c r="BY72" i="1"/>
  <c r="BY80" i="1"/>
  <c r="BY88" i="1"/>
  <c r="BY96" i="1"/>
  <c r="BY104" i="1"/>
  <c r="BY112" i="1"/>
  <c r="BY120" i="1"/>
  <c r="BY128" i="1"/>
  <c r="BY136" i="1"/>
  <c r="BY144" i="1"/>
  <c r="BY152" i="1"/>
  <c r="BY160" i="1"/>
  <c r="BY168" i="1"/>
  <c r="BY176" i="1"/>
  <c r="BY184" i="1"/>
  <c r="BY192" i="1"/>
  <c r="BY200" i="1"/>
  <c r="BY208" i="1"/>
  <c r="BY216" i="1"/>
  <c r="BY224" i="1"/>
  <c r="BY232" i="1"/>
  <c r="BY240" i="1"/>
  <c r="BY248" i="1"/>
  <c r="BY256" i="1"/>
  <c r="BY264" i="1"/>
  <c r="BY272" i="1"/>
  <c r="BY280" i="1"/>
  <c r="BY288" i="1"/>
  <c r="BY296" i="1"/>
  <c r="BY304" i="1"/>
  <c r="BY312" i="1"/>
  <c r="BY320" i="1"/>
  <c r="BY328" i="1"/>
  <c r="BY336" i="1"/>
  <c r="BY344" i="1"/>
  <c r="BY352" i="1"/>
  <c r="BY360" i="1"/>
  <c r="BY368" i="1"/>
  <c r="BY355" i="1"/>
  <c r="BY363" i="1"/>
  <c r="BY364" i="1"/>
  <c r="BY21" i="1"/>
  <c r="BY245" i="1"/>
  <c r="BY349" i="1"/>
  <c r="BY46" i="1"/>
  <c r="BY86" i="1"/>
  <c r="BY150" i="1"/>
  <c r="BY206" i="1"/>
  <c r="BY262" i="1"/>
  <c r="BY318" i="1"/>
  <c r="BY366" i="1"/>
  <c r="BY17" i="1"/>
  <c r="BY25" i="1"/>
  <c r="BY33" i="1"/>
  <c r="BY41" i="1"/>
  <c r="BY49" i="1"/>
  <c r="BY57" i="1"/>
  <c r="BY65" i="1"/>
  <c r="BY73" i="1"/>
  <c r="BY81" i="1"/>
  <c r="BY89" i="1"/>
  <c r="BY97" i="1"/>
  <c r="BY105" i="1"/>
  <c r="BY113" i="1"/>
  <c r="BY121" i="1"/>
  <c r="BY129" i="1"/>
  <c r="BY137" i="1"/>
  <c r="BY145" i="1"/>
  <c r="BY153" i="1"/>
  <c r="BY161" i="1"/>
  <c r="BY169" i="1"/>
  <c r="BY177" i="1"/>
  <c r="BY185" i="1"/>
  <c r="BY193" i="1"/>
  <c r="BY201" i="1"/>
  <c r="BY209" i="1"/>
  <c r="BY217" i="1"/>
  <c r="BY225" i="1"/>
  <c r="BY233" i="1"/>
  <c r="BY241" i="1"/>
  <c r="BY249" i="1"/>
  <c r="BY257" i="1"/>
  <c r="BY265" i="1"/>
  <c r="BY273" i="1"/>
  <c r="BY281" i="1"/>
  <c r="BY289" i="1"/>
  <c r="BY297" i="1"/>
  <c r="BY305" i="1"/>
  <c r="BY313" i="1"/>
  <c r="BY321" i="1"/>
  <c r="BY329" i="1"/>
  <c r="BY337" i="1"/>
  <c r="BY345" i="1"/>
  <c r="BY353" i="1"/>
  <c r="BY361" i="1"/>
  <c r="BY369" i="1"/>
  <c r="BY347" i="1"/>
  <c r="BY371" i="1"/>
  <c r="BY356" i="1"/>
  <c r="BY29" i="1"/>
  <c r="BY237" i="1"/>
  <c r="BY325" i="1"/>
  <c r="BY38" i="1"/>
  <c r="BY94" i="1"/>
  <c r="BY142" i="1"/>
  <c r="BY198" i="1"/>
  <c r="BY270" i="1"/>
  <c r="BY310" i="1"/>
  <c r="BY358" i="1"/>
  <c r="BY18" i="1"/>
  <c r="BY26" i="1"/>
  <c r="BY34" i="1"/>
  <c r="BY42" i="1"/>
  <c r="BY50" i="1"/>
  <c r="BY58" i="1"/>
  <c r="BY66" i="1"/>
  <c r="BY74" i="1"/>
  <c r="BY82" i="1"/>
  <c r="BY90" i="1"/>
  <c r="BY98" i="1"/>
  <c r="BY106" i="1"/>
  <c r="BY114" i="1"/>
  <c r="BY122" i="1"/>
  <c r="BY130" i="1"/>
  <c r="BY138" i="1"/>
  <c r="BY146" i="1"/>
  <c r="BY154" i="1"/>
  <c r="BY162" i="1"/>
  <c r="BY170" i="1"/>
  <c r="BY178" i="1"/>
  <c r="BY186" i="1"/>
  <c r="BY194" i="1"/>
  <c r="BY202" i="1"/>
  <c r="BY210" i="1"/>
  <c r="BY218" i="1"/>
  <c r="BY226" i="1"/>
  <c r="BY234" i="1"/>
  <c r="BY242" i="1"/>
  <c r="BY250" i="1"/>
  <c r="BY258" i="1"/>
  <c r="BY266" i="1"/>
  <c r="BY274" i="1"/>
  <c r="BY282" i="1"/>
  <c r="BY290" i="1"/>
  <c r="BY298" i="1"/>
  <c r="BY306" i="1"/>
  <c r="BY314" i="1"/>
  <c r="BY322" i="1"/>
  <c r="BY330" i="1"/>
  <c r="BY338" i="1"/>
  <c r="BY346" i="1"/>
  <c r="BY354" i="1"/>
  <c r="BY362" i="1"/>
  <c r="BY370" i="1"/>
  <c r="BY339" i="1"/>
  <c r="BY372" i="1"/>
  <c r="BY45" i="1"/>
  <c r="BY213" i="1"/>
  <c r="BY309" i="1"/>
  <c r="BY54" i="1"/>
  <c r="BY110" i="1"/>
  <c r="BY158" i="1"/>
  <c r="BY190" i="1"/>
  <c r="BY230" i="1"/>
  <c r="BY278" i="1"/>
  <c r="BY342" i="1"/>
  <c r="BY19" i="1"/>
  <c r="BY27" i="1"/>
  <c r="BY35" i="1"/>
  <c r="BY43" i="1"/>
  <c r="BY51" i="1"/>
  <c r="BY59" i="1"/>
  <c r="BY67" i="1"/>
  <c r="BY75" i="1"/>
  <c r="BY83" i="1"/>
  <c r="BY91" i="1"/>
  <c r="BY99" i="1"/>
  <c r="BY107" i="1"/>
  <c r="BY115" i="1"/>
  <c r="BY123" i="1"/>
  <c r="BY131" i="1"/>
  <c r="BY139" i="1"/>
  <c r="BY147" i="1"/>
  <c r="BY155" i="1"/>
  <c r="BY163" i="1"/>
  <c r="BY171" i="1"/>
  <c r="BY179" i="1"/>
  <c r="BY187" i="1"/>
  <c r="BY195" i="1"/>
  <c r="BY203" i="1"/>
  <c r="BY211" i="1"/>
  <c r="BY219" i="1"/>
  <c r="BY227" i="1"/>
  <c r="BY235" i="1"/>
  <c r="BY243" i="1"/>
  <c r="BY251" i="1"/>
  <c r="BY259" i="1"/>
  <c r="BY267" i="1"/>
  <c r="BY275" i="1"/>
  <c r="BY283" i="1"/>
  <c r="BY291" i="1"/>
  <c r="BY299" i="1"/>
  <c r="BY307" i="1"/>
  <c r="BY315" i="1"/>
  <c r="BY323" i="1"/>
  <c r="BY331" i="1"/>
  <c r="BY37" i="1"/>
  <c r="BY221" i="1"/>
  <c r="BY317" i="1"/>
  <c r="BY62" i="1"/>
  <c r="BY126" i="1"/>
  <c r="BY182" i="1"/>
  <c r="BY238" i="1"/>
  <c r="BY302" i="1"/>
  <c r="BY374" i="1"/>
  <c r="BY20" i="1"/>
  <c r="BY28" i="1"/>
  <c r="BY36" i="1"/>
  <c r="BY44" i="1"/>
  <c r="BY52" i="1"/>
  <c r="BY60" i="1"/>
  <c r="BY68" i="1"/>
  <c r="BY76" i="1"/>
  <c r="BY84" i="1"/>
  <c r="BY92" i="1"/>
  <c r="BY100" i="1"/>
  <c r="BY108" i="1"/>
  <c r="BY116" i="1"/>
  <c r="BY124" i="1"/>
  <c r="BY132" i="1"/>
  <c r="BY140" i="1"/>
  <c r="BY148" i="1"/>
  <c r="BY156" i="1"/>
  <c r="BY164" i="1"/>
  <c r="BY172" i="1"/>
  <c r="BY180" i="1"/>
  <c r="BY188" i="1"/>
  <c r="BY196" i="1"/>
  <c r="BY204" i="1"/>
  <c r="BY212" i="1"/>
  <c r="BY220" i="1"/>
  <c r="BY228" i="1"/>
  <c r="BY236" i="1"/>
  <c r="BY244" i="1"/>
  <c r="BY252" i="1"/>
  <c r="BY260" i="1"/>
  <c r="BY268" i="1"/>
  <c r="BY276" i="1"/>
  <c r="BY284" i="1"/>
  <c r="BY292" i="1"/>
  <c r="BY300" i="1"/>
  <c r="BY308" i="1"/>
  <c r="BY316" i="1"/>
  <c r="BY324" i="1"/>
  <c r="BY332" i="1"/>
  <c r="BY340" i="1"/>
  <c r="BY348" i="1"/>
  <c r="BY53" i="1"/>
  <c r="BY77" i="1"/>
  <c r="BY93" i="1"/>
  <c r="BY109" i="1"/>
  <c r="BY125" i="1"/>
  <c r="BY141" i="1"/>
  <c r="BY157" i="1"/>
  <c r="BY173" i="1"/>
  <c r="BY189" i="1"/>
  <c r="BY205" i="1"/>
  <c r="BY253" i="1"/>
  <c r="BY269" i="1"/>
  <c r="BY285" i="1"/>
  <c r="BY301" i="1"/>
  <c r="BY341" i="1"/>
  <c r="BY365" i="1"/>
  <c r="BY22" i="1"/>
  <c r="BY78" i="1"/>
  <c r="BY118" i="1"/>
  <c r="BY166" i="1"/>
  <c r="BY214" i="1"/>
  <c r="BY246" i="1"/>
  <c r="BY286" i="1"/>
  <c r="BY334" i="1"/>
  <c r="BY23" i="1"/>
  <c r="BY31" i="1"/>
  <c r="BY39" i="1"/>
  <c r="BY47" i="1"/>
  <c r="BY55" i="1"/>
  <c r="BY63" i="1"/>
  <c r="BY71" i="1"/>
  <c r="BY79" i="1"/>
  <c r="BY87" i="1"/>
  <c r="BY95" i="1"/>
  <c r="BY103" i="1"/>
  <c r="BY111" i="1"/>
  <c r="BY119" i="1"/>
  <c r="BY127" i="1"/>
  <c r="BY135" i="1"/>
  <c r="BY143" i="1"/>
  <c r="BY151" i="1"/>
  <c r="BY159" i="1"/>
  <c r="BY167" i="1"/>
  <c r="BY175" i="1"/>
  <c r="BY183" i="1"/>
  <c r="BY191" i="1"/>
  <c r="BY199" i="1"/>
  <c r="BY207" i="1"/>
  <c r="BY215" i="1"/>
  <c r="BY223" i="1"/>
  <c r="BY231" i="1"/>
  <c r="BY239" i="1"/>
  <c r="BY247" i="1"/>
  <c r="BY255" i="1"/>
  <c r="BY263" i="1"/>
  <c r="BY271" i="1"/>
  <c r="BY279" i="1"/>
  <c r="BY287" i="1"/>
  <c r="BY295" i="1"/>
  <c r="BY303" i="1"/>
  <c r="BY311" i="1"/>
  <c r="BY319" i="1"/>
  <c r="BY327" i="1"/>
  <c r="BY335" i="1"/>
  <c r="BY343" i="1"/>
  <c r="BY351" i="1"/>
  <c r="BY359" i="1"/>
  <c r="BY367" i="1"/>
  <c r="BY375" i="1"/>
  <c r="BY61" i="1"/>
  <c r="BY69" i="1"/>
  <c r="BY85" i="1"/>
  <c r="BY101" i="1"/>
  <c r="BY117" i="1"/>
  <c r="BY133" i="1"/>
  <c r="BY149" i="1"/>
  <c r="BY165" i="1"/>
  <c r="BY181" i="1"/>
  <c r="BY197" i="1"/>
  <c r="BY229" i="1"/>
  <c r="BY261" i="1"/>
  <c r="BY277" i="1"/>
  <c r="BY293" i="1"/>
  <c r="BY333" i="1"/>
  <c r="BY357" i="1"/>
  <c r="BY373" i="1"/>
  <c r="BY30" i="1"/>
  <c r="BY70" i="1"/>
  <c r="BY102" i="1"/>
  <c r="BY134" i="1"/>
  <c r="BY174" i="1"/>
  <c r="BY222" i="1"/>
  <c r="BY254" i="1"/>
  <c r="BY294" i="1"/>
  <c r="BY326" i="1"/>
  <c r="BY350" i="1"/>
  <c r="C52" i="1"/>
  <c r="C160" i="1" s="1"/>
  <c r="C171" i="1" s="1"/>
  <c r="E159" i="1"/>
  <c r="B53" i="1"/>
  <c r="B161" i="1" s="1"/>
  <c r="B172" i="1" s="1"/>
  <c r="D160" i="1"/>
  <c r="D171" i="1" s="1"/>
  <c r="B55" i="1"/>
  <c r="B163" i="1" s="1"/>
  <c r="B174" i="1" s="1"/>
  <c r="D162" i="1"/>
  <c r="D173" i="1" s="1"/>
  <c r="B52" i="1"/>
  <c r="B160" i="1" s="1"/>
  <c r="B171" i="1" s="1"/>
  <c r="D159" i="1"/>
  <c r="D170" i="1" s="1"/>
  <c r="C51" i="1"/>
  <c r="C159" i="1" s="1"/>
  <c r="C170" i="1" s="1"/>
  <c r="E158" i="1"/>
  <c r="C50" i="1"/>
  <c r="C158" i="1" s="1"/>
  <c r="C169" i="1" s="1"/>
  <c r="E157" i="1"/>
  <c r="C54" i="1"/>
  <c r="C162" i="1" s="1"/>
  <c r="C173" i="1" s="1"/>
  <c r="E161" i="1"/>
  <c r="C56" i="1"/>
  <c r="C164" i="1" s="1"/>
  <c r="C175" i="1" s="1"/>
  <c r="E163" i="1"/>
  <c r="C55" i="1"/>
  <c r="C163" i="1" s="1"/>
  <c r="C174" i="1" s="1"/>
  <c r="E162" i="1"/>
  <c r="B51" i="1"/>
  <c r="B159" i="1" s="1"/>
  <c r="B170" i="1" s="1"/>
  <c r="D158" i="1"/>
  <c r="D169" i="1" s="1"/>
  <c r="B54" i="1"/>
  <c r="B162" i="1" s="1"/>
  <c r="B173" i="1" s="1"/>
  <c r="D161" i="1"/>
  <c r="D172" i="1" s="1"/>
  <c r="H65" i="1"/>
  <c r="Q65" i="1" s="1"/>
  <c r="D45" i="1"/>
  <c r="E56" i="1" s="1"/>
  <c r="E164" i="1" s="1"/>
  <c r="C44" i="1"/>
  <c r="D55" i="1" s="1"/>
  <c r="I62" i="1"/>
  <c r="R62" i="1" s="1"/>
  <c r="D37" i="1"/>
  <c r="C49" i="1" s="1"/>
  <c r="C157" i="1" s="1"/>
  <c r="C38" i="1"/>
  <c r="D49" i="1" s="1"/>
  <c r="I68" i="1"/>
  <c r="R68" i="1" s="1"/>
  <c r="I70" i="1"/>
  <c r="R70" i="1" s="1"/>
  <c r="H71" i="1"/>
  <c r="Q71" i="1" s="1"/>
  <c r="H64" i="1"/>
  <c r="Q64" i="1" s="1"/>
  <c r="I67" i="1"/>
  <c r="R67" i="1" s="1"/>
  <c r="H63" i="1"/>
  <c r="Q63" i="1" s="1"/>
  <c r="D41" i="1"/>
  <c r="E52" i="1" s="1"/>
  <c r="H67" i="1"/>
  <c r="Q67" i="1" s="1"/>
  <c r="CE373" i="1" l="1"/>
  <c r="CE61" i="1"/>
  <c r="CE255" i="1"/>
  <c r="CF255" i="1" s="1"/>
  <c r="CG255" i="1" s="1"/>
  <c r="CE127" i="1"/>
  <c r="CE63" i="1"/>
  <c r="CE141" i="1"/>
  <c r="CF141" i="1" s="1"/>
  <c r="CG141" i="1" s="1"/>
  <c r="CE301" i="1"/>
  <c r="CF301" i="1" s="1"/>
  <c r="CG301" i="1" s="1"/>
  <c r="CE204" i="1"/>
  <c r="CF204" i="1" s="1"/>
  <c r="CG204" i="1" s="1"/>
  <c r="CE294" i="1"/>
  <c r="CE181" i="1"/>
  <c r="CE319" i="1"/>
  <c r="CE191" i="1"/>
  <c r="CE246" i="1"/>
  <c r="CE140" i="1"/>
  <c r="CE268" i="1"/>
  <c r="CE37" i="1"/>
  <c r="CE211" i="1"/>
  <c r="CF211" i="1" s="1"/>
  <c r="CG211" i="1" s="1"/>
  <c r="CE332" i="1"/>
  <c r="CF332" i="1" s="1"/>
  <c r="CH332" i="1" s="1"/>
  <c r="CE76" i="1"/>
  <c r="CE374" i="1"/>
  <c r="CF374" i="1" s="1"/>
  <c r="CG374" i="1" s="1"/>
  <c r="DW20" i="1" a="1"/>
  <c r="DW20" i="1" s="1"/>
  <c r="DW21" i="1" a="1"/>
  <c r="DW21" i="1" s="1"/>
  <c r="EB20" i="1" a="1"/>
  <c r="EB20" i="1" s="1"/>
  <c r="EF12" i="1"/>
  <c r="CE275" i="1"/>
  <c r="CF275" i="1" s="1"/>
  <c r="CG275" i="1" s="1"/>
  <c r="CE19" i="1"/>
  <c r="CE309" i="1"/>
  <c r="CF309" i="1" s="1"/>
  <c r="CG309" i="1" s="1"/>
  <c r="CE147" i="1"/>
  <c r="CE346" i="1"/>
  <c r="CF346" i="1" s="1"/>
  <c r="CG346" i="1" s="1"/>
  <c r="CE83" i="1"/>
  <c r="CE282" i="1"/>
  <c r="CF282" i="1" s="1"/>
  <c r="CG282" i="1" s="1"/>
  <c r="CE218" i="1"/>
  <c r="CF218" i="1" s="1"/>
  <c r="CG218" i="1" s="1"/>
  <c r="CE26" i="1"/>
  <c r="CE90" i="1"/>
  <c r="CE154" i="1"/>
  <c r="CF154" i="1" s="1"/>
  <c r="CG154" i="1" s="1"/>
  <c r="CE38" i="1"/>
  <c r="CE233" i="1"/>
  <c r="CF233" i="1" s="1"/>
  <c r="CG233" i="1" s="1"/>
  <c r="CE297" i="1"/>
  <c r="CE361" i="1"/>
  <c r="CE169" i="1"/>
  <c r="CE150" i="1"/>
  <c r="CF150" i="1" s="1"/>
  <c r="CG150" i="1" s="1"/>
  <c r="CE312" i="1"/>
  <c r="CF312" i="1" s="1"/>
  <c r="CG312" i="1" s="1"/>
  <c r="CE105" i="1"/>
  <c r="CF105" i="1" s="1"/>
  <c r="CG105" i="1" s="1"/>
  <c r="CE355" i="1"/>
  <c r="CF355" i="1" s="1"/>
  <c r="CG355" i="1" s="1"/>
  <c r="CE41" i="1"/>
  <c r="CE326" i="1"/>
  <c r="CF326" i="1" s="1"/>
  <c r="CH326" i="1" s="1"/>
  <c r="CE30" i="1"/>
  <c r="CE197" i="1"/>
  <c r="CF197" i="1" s="1"/>
  <c r="CG197" i="1" s="1"/>
  <c r="CE69" i="1"/>
  <c r="CE327" i="1"/>
  <c r="CE263" i="1"/>
  <c r="CF263" i="1" s="1"/>
  <c r="CG263" i="1" s="1"/>
  <c r="CE199" i="1"/>
  <c r="CF199" i="1" s="1"/>
  <c r="CH199" i="1" s="1"/>
  <c r="CE135" i="1"/>
  <c r="CF135" i="1" s="1"/>
  <c r="CG135" i="1" s="1"/>
  <c r="CE71" i="1"/>
  <c r="CE286" i="1"/>
  <c r="CF286" i="1" s="1"/>
  <c r="CG286" i="1" s="1"/>
  <c r="CE341" i="1"/>
  <c r="CF341" i="1" s="1"/>
  <c r="CG341" i="1" s="1"/>
  <c r="CE157" i="1"/>
  <c r="CF157" i="1" s="1"/>
  <c r="CG157" i="1" s="1"/>
  <c r="CE340" i="1"/>
  <c r="CE276" i="1"/>
  <c r="CF276" i="1" s="1"/>
  <c r="CG276" i="1" s="1"/>
  <c r="CE212" i="1"/>
  <c r="CE148" i="1"/>
  <c r="CE84" i="1"/>
  <c r="CF84" i="1" s="1"/>
  <c r="CG84" i="1" s="1"/>
  <c r="CE20" i="1"/>
  <c r="CE221" i="1"/>
  <c r="CE283" i="1"/>
  <c r="CF283" i="1" s="1"/>
  <c r="CG283" i="1" s="1"/>
  <c r="CE219" i="1"/>
  <c r="CF219" i="1" s="1"/>
  <c r="CG219" i="1" s="1"/>
  <c r="CE155" i="1"/>
  <c r="CE91" i="1"/>
  <c r="CF91" i="1" s="1"/>
  <c r="CG91" i="1" s="1"/>
  <c r="CE27" i="1"/>
  <c r="CF27" i="1" s="1"/>
  <c r="CG27" i="1" s="1"/>
  <c r="CE54" i="1"/>
  <c r="CF54" i="1" s="1"/>
  <c r="CG54" i="1" s="1"/>
  <c r="CE354" i="1"/>
  <c r="CE290" i="1"/>
  <c r="CE226" i="1"/>
  <c r="CF226" i="1" s="1"/>
  <c r="CG226" i="1" s="1"/>
  <c r="CE162" i="1"/>
  <c r="CE98" i="1"/>
  <c r="CF98" i="1" s="1"/>
  <c r="CG98" i="1" s="1"/>
  <c r="CE34" i="1"/>
  <c r="CF34" i="1" s="1"/>
  <c r="CG34" i="1" s="1"/>
  <c r="CE94" i="1"/>
  <c r="CE369" i="1"/>
  <c r="CF369" i="1" s="1"/>
  <c r="CG369" i="1" s="1"/>
  <c r="CE305" i="1"/>
  <c r="CE241" i="1"/>
  <c r="CF241" i="1" s="1"/>
  <c r="CG241" i="1" s="1"/>
  <c r="CE177" i="1"/>
  <c r="CF177" i="1" s="1"/>
  <c r="CG177" i="1" s="1"/>
  <c r="CE113" i="1"/>
  <c r="CF113" i="1" s="1"/>
  <c r="CE49" i="1"/>
  <c r="CF49" i="1" s="1"/>
  <c r="CG49" i="1" s="1"/>
  <c r="CE222" i="1"/>
  <c r="CF222" i="1" s="1"/>
  <c r="CG222" i="1" s="1"/>
  <c r="CE293" i="1"/>
  <c r="CF293" i="1" s="1"/>
  <c r="CG293" i="1" s="1"/>
  <c r="CE350" i="1"/>
  <c r="CE70" i="1"/>
  <c r="CE229" i="1"/>
  <c r="CF229" i="1" s="1"/>
  <c r="CG229" i="1" s="1"/>
  <c r="CE85" i="1"/>
  <c r="CF85" i="1" s="1"/>
  <c r="CG85" i="1" s="1"/>
  <c r="CE335" i="1"/>
  <c r="CF335" i="1" s="1"/>
  <c r="CH335" i="1" s="1"/>
  <c r="CE271" i="1"/>
  <c r="CE207" i="1"/>
  <c r="CF207" i="1" s="1"/>
  <c r="CG207" i="1" s="1"/>
  <c r="CE143" i="1"/>
  <c r="CF143" i="1" s="1"/>
  <c r="CG143" i="1" s="1"/>
  <c r="CE79" i="1"/>
  <c r="CE334" i="1"/>
  <c r="CF334" i="1" s="1"/>
  <c r="CG334" i="1" s="1"/>
  <c r="CE365" i="1"/>
  <c r="CF365" i="1" s="1"/>
  <c r="CG365" i="1" s="1"/>
  <c r="CE173" i="1"/>
  <c r="CF173" i="1" s="1"/>
  <c r="CE348" i="1"/>
  <c r="CF348" i="1" s="1"/>
  <c r="CG348" i="1" s="1"/>
  <c r="CE284" i="1"/>
  <c r="CE220" i="1"/>
  <c r="CF220" i="1" s="1"/>
  <c r="CG220" i="1" s="1"/>
  <c r="CE156" i="1"/>
  <c r="CF156" i="1" s="1"/>
  <c r="CG156" i="1" s="1"/>
  <c r="CE92" i="1"/>
  <c r="CE28" i="1"/>
  <c r="CF28" i="1" s="1"/>
  <c r="CG28" i="1" s="1"/>
  <c r="CE317" i="1"/>
  <c r="CE291" i="1"/>
  <c r="CF291" i="1" s="1"/>
  <c r="CG291" i="1" s="1"/>
  <c r="CE227" i="1"/>
  <c r="CF227" i="1" s="1"/>
  <c r="CG227" i="1" s="1"/>
  <c r="CE163" i="1"/>
  <c r="CF163" i="1" s="1"/>
  <c r="CG163" i="1" s="1"/>
  <c r="CE99" i="1"/>
  <c r="CF99" i="1" s="1"/>
  <c r="CG99" i="1" s="1"/>
  <c r="CE35" i="1"/>
  <c r="CE110" i="1"/>
  <c r="CF110" i="1" s="1"/>
  <c r="CG110" i="1" s="1"/>
  <c r="CE362" i="1"/>
  <c r="CF362" i="1" s="1"/>
  <c r="CG362" i="1" s="1"/>
  <c r="CE254" i="1"/>
  <c r="CE357" i="1"/>
  <c r="CF357" i="1" s="1"/>
  <c r="CG357" i="1" s="1"/>
  <c r="CE165" i="1"/>
  <c r="CF165" i="1" s="1"/>
  <c r="CG165" i="1" s="1"/>
  <c r="CE375" i="1"/>
  <c r="CE311" i="1"/>
  <c r="CE247" i="1"/>
  <c r="CE183" i="1"/>
  <c r="CE119" i="1"/>
  <c r="CF119" i="1" s="1"/>
  <c r="CG119" i="1" s="1"/>
  <c r="CE55" i="1"/>
  <c r="CE214" i="1"/>
  <c r="CE285" i="1"/>
  <c r="CF285" i="1" s="1"/>
  <c r="CG285" i="1" s="1"/>
  <c r="CE125" i="1"/>
  <c r="CF125" i="1" s="1"/>
  <c r="CG125" i="1" s="1"/>
  <c r="CE324" i="1"/>
  <c r="CF324" i="1" s="1"/>
  <c r="CG324" i="1" s="1"/>
  <c r="CE260" i="1"/>
  <c r="CE196" i="1"/>
  <c r="CE132" i="1"/>
  <c r="CF132" i="1" s="1"/>
  <c r="CG132" i="1" s="1"/>
  <c r="CE68" i="1"/>
  <c r="CE302" i="1"/>
  <c r="CF302" i="1" s="1"/>
  <c r="CG302" i="1" s="1"/>
  <c r="CE331" i="1"/>
  <c r="CE267" i="1"/>
  <c r="CF267" i="1" s="1"/>
  <c r="CG267" i="1" s="1"/>
  <c r="CE203" i="1"/>
  <c r="CE139" i="1"/>
  <c r="CF139" i="1" s="1"/>
  <c r="CG139" i="1" s="1"/>
  <c r="CE75" i="1"/>
  <c r="CE342" i="1"/>
  <c r="CF342" i="1" s="1"/>
  <c r="CG342" i="1" s="1"/>
  <c r="CE213" i="1"/>
  <c r="CF213" i="1" s="1"/>
  <c r="CG213" i="1" s="1"/>
  <c r="CE338" i="1"/>
  <c r="CF338" i="1" s="1"/>
  <c r="CG338" i="1" s="1"/>
  <c r="CE274" i="1"/>
  <c r="CF274" i="1" s="1"/>
  <c r="CG274" i="1" s="1"/>
  <c r="CE210" i="1"/>
  <c r="CF210" i="1" s="1"/>
  <c r="CG210" i="1" s="1"/>
  <c r="CE146" i="1"/>
  <c r="CF146" i="1" s="1"/>
  <c r="CG146" i="1" s="1"/>
  <c r="CE82" i="1"/>
  <c r="CF82" i="1" s="1"/>
  <c r="CH82" i="1" s="1"/>
  <c r="CE18" i="1"/>
  <c r="CE325" i="1"/>
  <c r="CE353" i="1"/>
  <c r="CF353" i="1" s="1"/>
  <c r="CG353" i="1" s="1"/>
  <c r="CE289" i="1"/>
  <c r="CE225" i="1"/>
  <c r="CE161" i="1"/>
  <c r="CE97" i="1"/>
  <c r="CF97" i="1" s="1"/>
  <c r="CG97" i="1" s="1"/>
  <c r="CE333" i="1"/>
  <c r="CE149" i="1"/>
  <c r="CF149" i="1" s="1"/>
  <c r="CG149" i="1" s="1"/>
  <c r="CE367" i="1"/>
  <c r="CF367" i="1" s="1"/>
  <c r="CG367" i="1" s="1"/>
  <c r="CE303" i="1"/>
  <c r="CF303" i="1" s="1"/>
  <c r="CG303" i="1" s="1"/>
  <c r="CE239" i="1"/>
  <c r="CE175" i="1"/>
  <c r="CE111" i="1"/>
  <c r="CF111" i="1" s="1"/>
  <c r="CG111" i="1" s="1"/>
  <c r="CE47" i="1"/>
  <c r="CF47" i="1" s="1"/>
  <c r="CG47" i="1" s="1"/>
  <c r="CE166" i="1"/>
  <c r="CF166" i="1" s="1"/>
  <c r="CG166" i="1" s="1"/>
  <c r="CE269" i="1"/>
  <c r="CE109" i="1"/>
  <c r="CF109" i="1" s="1"/>
  <c r="CG109" i="1" s="1"/>
  <c r="CE316" i="1"/>
  <c r="CF316" i="1" s="1"/>
  <c r="CG316" i="1" s="1"/>
  <c r="CE252" i="1"/>
  <c r="CE188" i="1"/>
  <c r="CF188" i="1" s="1"/>
  <c r="CE124" i="1"/>
  <c r="CF124" i="1" s="1"/>
  <c r="CG124" i="1" s="1"/>
  <c r="CE60" i="1"/>
  <c r="CF60" i="1" s="1"/>
  <c r="CG60" i="1" s="1"/>
  <c r="CE238" i="1"/>
  <c r="CF238" i="1" s="1"/>
  <c r="CH238" i="1" s="1"/>
  <c r="CE323" i="1"/>
  <c r="CF323" i="1" s="1"/>
  <c r="CG323" i="1" s="1"/>
  <c r="CE259" i="1"/>
  <c r="CF259" i="1" s="1"/>
  <c r="CG259" i="1" s="1"/>
  <c r="CE195" i="1"/>
  <c r="CF195" i="1" s="1"/>
  <c r="CG195" i="1" s="1"/>
  <c r="CE131" i="1"/>
  <c r="CE67" i="1"/>
  <c r="CE278" i="1"/>
  <c r="CE45" i="1"/>
  <c r="CF45" i="1" s="1"/>
  <c r="CH45" i="1" s="1"/>
  <c r="CE330" i="1"/>
  <c r="CF330" i="1" s="1"/>
  <c r="CG330" i="1" s="1"/>
  <c r="CE174" i="1"/>
  <c r="CF174" i="1" s="1"/>
  <c r="CG174" i="1" s="1"/>
  <c r="CE295" i="1"/>
  <c r="CF295" i="1" s="1"/>
  <c r="CG295" i="1" s="1"/>
  <c r="CE231" i="1"/>
  <c r="CE167" i="1"/>
  <c r="CE103" i="1"/>
  <c r="CF103" i="1" s="1"/>
  <c r="CG103" i="1" s="1"/>
  <c r="CE39" i="1"/>
  <c r="CF39" i="1" s="1"/>
  <c r="CG39" i="1" s="1"/>
  <c r="CE118" i="1"/>
  <c r="CE253" i="1"/>
  <c r="CF253" i="1" s="1"/>
  <c r="CG253" i="1" s="1"/>
  <c r="CE93" i="1"/>
  <c r="CF93" i="1" s="1"/>
  <c r="CG93" i="1" s="1"/>
  <c r="CE308" i="1"/>
  <c r="CE244" i="1"/>
  <c r="CE180" i="1"/>
  <c r="CE116" i="1"/>
  <c r="CF116" i="1" s="1"/>
  <c r="CG116" i="1" s="1"/>
  <c r="CE52" i="1"/>
  <c r="CF52" i="1" s="1"/>
  <c r="CG52" i="1" s="1"/>
  <c r="CE182" i="1"/>
  <c r="CE315" i="1"/>
  <c r="CE251" i="1"/>
  <c r="CF251" i="1" s="1"/>
  <c r="CG251" i="1" s="1"/>
  <c r="CE187" i="1"/>
  <c r="CF187" i="1" s="1"/>
  <c r="CG187" i="1" s="1"/>
  <c r="CE123" i="1"/>
  <c r="CE59" i="1"/>
  <c r="CE230" i="1"/>
  <c r="CF230" i="1" s="1"/>
  <c r="CG230" i="1" s="1"/>
  <c r="CE372" i="1"/>
  <c r="CF372" i="1" s="1"/>
  <c r="CG372" i="1" s="1"/>
  <c r="CE322" i="1"/>
  <c r="CF322" i="1" s="1"/>
  <c r="CG322" i="1" s="1"/>
  <c r="CE258" i="1"/>
  <c r="CE194" i="1"/>
  <c r="CF194" i="1" s="1"/>
  <c r="CG194" i="1" s="1"/>
  <c r="CE130" i="1"/>
  <c r="CF130" i="1" s="1"/>
  <c r="CG130" i="1" s="1"/>
  <c r="CE66" i="1"/>
  <c r="CF66" i="1" s="1"/>
  <c r="CH66" i="1" s="1"/>
  <c r="CE310" i="1"/>
  <c r="CE29" i="1"/>
  <c r="CF29" i="1" s="1"/>
  <c r="CG29" i="1" s="1"/>
  <c r="CE337" i="1"/>
  <c r="CF337" i="1" s="1"/>
  <c r="CG337" i="1" s="1"/>
  <c r="CE273" i="1"/>
  <c r="CF273" i="1" s="1"/>
  <c r="CG273" i="1" s="1"/>
  <c r="CE209" i="1"/>
  <c r="CF209" i="1" s="1"/>
  <c r="CG209" i="1" s="1"/>
  <c r="CE145" i="1"/>
  <c r="CF145" i="1" s="1"/>
  <c r="CG145" i="1" s="1"/>
  <c r="CE81" i="1"/>
  <c r="CE17" i="1"/>
  <c r="CE349" i="1"/>
  <c r="CF349" i="1" s="1"/>
  <c r="CG349" i="1" s="1"/>
  <c r="CE352" i="1"/>
  <c r="CF352" i="1" s="1"/>
  <c r="CG352" i="1" s="1"/>
  <c r="CE359" i="1"/>
  <c r="CF359" i="1" s="1"/>
  <c r="CG359" i="1" s="1"/>
  <c r="CE134" i="1"/>
  <c r="CE277" i="1"/>
  <c r="CF277" i="1" s="1"/>
  <c r="CG277" i="1" s="1"/>
  <c r="CE117" i="1"/>
  <c r="CE351" i="1"/>
  <c r="CF351" i="1" s="1"/>
  <c r="CG351" i="1" s="1"/>
  <c r="CE287" i="1"/>
  <c r="CE223" i="1"/>
  <c r="CE159" i="1"/>
  <c r="CF159" i="1" s="1"/>
  <c r="CG159" i="1" s="1"/>
  <c r="CE95" i="1"/>
  <c r="CE31" i="1"/>
  <c r="CF31" i="1" s="1"/>
  <c r="CG31" i="1" s="1"/>
  <c r="CE78" i="1"/>
  <c r="CE205" i="1"/>
  <c r="CF205" i="1" s="1"/>
  <c r="CG205" i="1" s="1"/>
  <c r="CE77" i="1"/>
  <c r="CE300" i="1"/>
  <c r="CF300" i="1" s="1"/>
  <c r="CG300" i="1" s="1"/>
  <c r="CE236" i="1"/>
  <c r="CF236" i="1" s="1"/>
  <c r="CG236" i="1" s="1"/>
  <c r="CE172" i="1"/>
  <c r="CF172" i="1" s="1"/>
  <c r="CG172" i="1" s="1"/>
  <c r="CE108" i="1"/>
  <c r="CF108" i="1" s="1"/>
  <c r="CG108" i="1" s="1"/>
  <c r="CE44" i="1"/>
  <c r="CE126" i="1"/>
  <c r="CF126" i="1" s="1"/>
  <c r="CG126" i="1" s="1"/>
  <c r="CE307" i="1"/>
  <c r="CF307" i="1" s="1"/>
  <c r="CG307" i="1" s="1"/>
  <c r="CE243" i="1"/>
  <c r="CF243" i="1" s="1"/>
  <c r="CG243" i="1" s="1"/>
  <c r="CE179" i="1"/>
  <c r="CF179" i="1" s="1"/>
  <c r="CG179" i="1" s="1"/>
  <c r="CE115" i="1"/>
  <c r="CE51" i="1"/>
  <c r="CE190" i="1"/>
  <c r="CE339" i="1"/>
  <c r="CF339" i="1" s="1"/>
  <c r="CG339" i="1" s="1"/>
  <c r="CE314" i="1"/>
  <c r="CF314" i="1" s="1"/>
  <c r="CG314" i="1" s="1"/>
  <c r="CE250" i="1"/>
  <c r="CF250" i="1" s="1"/>
  <c r="CG250" i="1" s="1"/>
  <c r="CE186" i="1"/>
  <c r="CF186" i="1" s="1"/>
  <c r="CG186" i="1" s="1"/>
  <c r="CE122" i="1"/>
  <c r="CF122" i="1" s="1"/>
  <c r="CG122" i="1" s="1"/>
  <c r="CE58" i="1"/>
  <c r="CF58" i="1" s="1"/>
  <c r="CG58" i="1" s="1"/>
  <c r="CE270" i="1"/>
  <c r="CF270" i="1" s="1"/>
  <c r="CE356" i="1"/>
  <c r="CF356" i="1" s="1"/>
  <c r="CG356" i="1" s="1"/>
  <c r="CE329" i="1"/>
  <c r="CE265" i="1"/>
  <c r="CF265" i="1" s="1"/>
  <c r="CG265" i="1" s="1"/>
  <c r="CE201" i="1"/>
  <c r="CF201" i="1" s="1"/>
  <c r="CG201" i="1" s="1"/>
  <c r="CE137" i="1"/>
  <c r="CF137" i="1" s="1"/>
  <c r="CG137" i="1" s="1"/>
  <c r="CE73" i="1"/>
  <c r="CF73" i="1" s="1"/>
  <c r="CG73" i="1" s="1"/>
  <c r="CE366" i="1"/>
  <c r="CF366" i="1" s="1"/>
  <c r="CG366" i="1" s="1"/>
  <c r="CE245" i="1"/>
  <c r="CF245" i="1" s="1"/>
  <c r="CG245" i="1" s="1"/>
  <c r="CE133" i="1"/>
  <c r="CE102" i="1"/>
  <c r="CF102" i="1" s="1"/>
  <c r="CG102" i="1" s="1"/>
  <c r="CE261" i="1"/>
  <c r="CE101" i="1"/>
  <c r="CF101" i="1" s="1"/>
  <c r="CG101" i="1" s="1"/>
  <c r="CE343" i="1"/>
  <c r="CE279" i="1"/>
  <c r="CE215" i="1"/>
  <c r="CE151" i="1"/>
  <c r="CF151" i="1" s="1"/>
  <c r="CG151" i="1" s="1"/>
  <c r="CE87" i="1"/>
  <c r="CF87" i="1" s="1"/>
  <c r="CG87" i="1" s="1"/>
  <c r="CE23" i="1"/>
  <c r="CF23" i="1" s="1"/>
  <c r="CG23" i="1" s="1"/>
  <c r="CE22" i="1"/>
  <c r="CF22" i="1" s="1"/>
  <c r="CG22" i="1" s="1"/>
  <c r="CE189" i="1"/>
  <c r="CE53" i="1"/>
  <c r="CE292" i="1"/>
  <c r="CE228" i="1"/>
  <c r="CE164" i="1"/>
  <c r="CE100" i="1"/>
  <c r="CF100" i="1" s="1"/>
  <c r="CG100" i="1" s="1"/>
  <c r="CE36" i="1"/>
  <c r="CE62" i="1"/>
  <c r="CF62" i="1" s="1"/>
  <c r="CG62" i="1" s="1"/>
  <c r="CE299" i="1"/>
  <c r="CF299" i="1" s="1"/>
  <c r="CG299" i="1" s="1"/>
  <c r="CE235" i="1"/>
  <c r="CF235" i="1" s="1"/>
  <c r="CG235" i="1" s="1"/>
  <c r="CE171" i="1"/>
  <c r="CE107" i="1"/>
  <c r="CF107" i="1" s="1"/>
  <c r="CG107" i="1" s="1"/>
  <c r="CE43" i="1"/>
  <c r="CF43" i="1" s="1"/>
  <c r="CG43" i="1" s="1"/>
  <c r="CE158" i="1"/>
  <c r="CF158" i="1" s="1"/>
  <c r="CG158" i="1" s="1"/>
  <c r="CE370" i="1"/>
  <c r="CE306" i="1"/>
  <c r="CF306" i="1" s="1"/>
  <c r="CG306" i="1" s="1"/>
  <c r="CE242" i="1"/>
  <c r="CE178" i="1"/>
  <c r="CE114" i="1"/>
  <c r="CF114" i="1" s="1"/>
  <c r="CG114" i="1" s="1"/>
  <c r="CE50" i="1"/>
  <c r="CF50" i="1" s="1"/>
  <c r="CE198" i="1"/>
  <c r="CF198" i="1" s="1"/>
  <c r="CG198" i="1" s="1"/>
  <c r="CE371" i="1"/>
  <c r="CE321" i="1"/>
  <c r="CF321" i="1" s="1"/>
  <c r="CG321" i="1" s="1"/>
  <c r="CE257" i="1"/>
  <c r="CF257" i="1" s="1"/>
  <c r="CG257" i="1" s="1"/>
  <c r="CE193" i="1"/>
  <c r="CF193" i="1" s="1"/>
  <c r="CG193" i="1" s="1"/>
  <c r="CE129" i="1"/>
  <c r="CF129" i="1" s="1"/>
  <c r="CG129" i="1" s="1"/>
  <c r="CE65" i="1"/>
  <c r="CE288" i="1"/>
  <c r="CF288" i="1" s="1"/>
  <c r="CG288" i="1" s="1"/>
  <c r="CE224" i="1"/>
  <c r="CE160" i="1"/>
  <c r="CF160" i="1" s="1"/>
  <c r="CG160" i="1" s="1"/>
  <c r="CE96" i="1"/>
  <c r="CE344" i="1"/>
  <c r="CE318" i="1"/>
  <c r="CF318" i="1" s="1"/>
  <c r="CG318" i="1" s="1"/>
  <c r="CE21" i="1"/>
  <c r="CE336" i="1"/>
  <c r="CF336" i="1" s="1"/>
  <c r="CG336" i="1" s="1"/>
  <c r="CE206" i="1"/>
  <c r="CF206" i="1" s="1"/>
  <c r="CG206" i="1" s="1"/>
  <c r="CE363" i="1"/>
  <c r="CF363" i="1" s="1"/>
  <c r="CG363" i="1" s="1"/>
  <c r="CE320" i="1"/>
  <c r="CE32" i="1"/>
  <c r="CE272" i="1"/>
  <c r="CE208" i="1"/>
  <c r="CE144" i="1"/>
  <c r="CE80" i="1"/>
  <c r="CF80" i="1" s="1"/>
  <c r="CG80" i="1" s="1"/>
  <c r="CE16" i="1"/>
  <c r="CE280" i="1"/>
  <c r="CF280" i="1" s="1"/>
  <c r="CH280" i="1" s="1"/>
  <c r="CE216" i="1"/>
  <c r="CF216" i="1" s="1"/>
  <c r="CG216" i="1" s="1"/>
  <c r="CE152" i="1"/>
  <c r="CE88" i="1"/>
  <c r="CE24" i="1"/>
  <c r="CE298" i="1"/>
  <c r="CF298" i="1" s="1"/>
  <c r="CG298" i="1" s="1"/>
  <c r="CE234" i="1"/>
  <c r="CF234" i="1" s="1"/>
  <c r="CG234" i="1" s="1"/>
  <c r="CE170" i="1"/>
  <c r="CF170" i="1" s="1"/>
  <c r="CG170" i="1" s="1"/>
  <c r="CE106" i="1"/>
  <c r="CF106" i="1" s="1"/>
  <c r="CG106" i="1" s="1"/>
  <c r="CE42" i="1"/>
  <c r="CE142" i="1"/>
  <c r="CE347" i="1"/>
  <c r="CF347" i="1" s="1"/>
  <c r="CG347" i="1" s="1"/>
  <c r="CE313" i="1"/>
  <c r="CE249" i="1"/>
  <c r="CE185" i="1"/>
  <c r="CF185" i="1" s="1"/>
  <c r="CG185" i="1" s="1"/>
  <c r="CE121" i="1"/>
  <c r="CF121" i="1" s="1"/>
  <c r="CG121" i="1" s="1"/>
  <c r="CE57" i="1"/>
  <c r="CF57" i="1" s="1"/>
  <c r="CG57" i="1" s="1"/>
  <c r="CE262" i="1"/>
  <c r="CF262" i="1" s="1"/>
  <c r="CG262" i="1" s="1"/>
  <c r="CE364" i="1"/>
  <c r="CE328" i="1"/>
  <c r="CF328" i="1" s="1"/>
  <c r="CG328" i="1" s="1"/>
  <c r="CE264" i="1"/>
  <c r="CF264" i="1" s="1"/>
  <c r="CG264" i="1" s="1"/>
  <c r="CE200" i="1"/>
  <c r="CF200" i="1" s="1"/>
  <c r="CG200" i="1" s="1"/>
  <c r="CE136" i="1"/>
  <c r="CF136" i="1" s="1"/>
  <c r="CG136" i="1" s="1"/>
  <c r="CE72" i="1"/>
  <c r="CF72" i="1" s="1"/>
  <c r="CH72" i="1" s="1"/>
  <c r="CE256" i="1"/>
  <c r="CE192" i="1"/>
  <c r="CF192" i="1" s="1"/>
  <c r="CG192" i="1" s="1"/>
  <c r="CE128" i="1"/>
  <c r="CE64" i="1"/>
  <c r="CF64" i="1" s="1"/>
  <c r="CG64" i="1" s="1"/>
  <c r="CE248" i="1"/>
  <c r="CE184" i="1"/>
  <c r="CF184" i="1" s="1"/>
  <c r="CG184" i="1" s="1"/>
  <c r="CE120" i="1"/>
  <c r="CF120" i="1" s="1"/>
  <c r="CG120" i="1" s="1"/>
  <c r="CE56" i="1"/>
  <c r="CE33" i="1"/>
  <c r="CF33" i="1" s="1"/>
  <c r="CG33" i="1" s="1"/>
  <c r="CE86" i="1"/>
  <c r="CE368" i="1"/>
  <c r="CF368" i="1" s="1"/>
  <c r="CG368" i="1" s="1"/>
  <c r="CE304" i="1"/>
  <c r="CF304" i="1" s="1"/>
  <c r="CH304" i="1" s="1"/>
  <c r="CE240" i="1"/>
  <c r="CE176" i="1"/>
  <c r="CF176" i="1" s="1"/>
  <c r="CG176" i="1" s="1"/>
  <c r="CE112" i="1"/>
  <c r="CF112" i="1" s="1"/>
  <c r="CH112" i="1" s="1"/>
  <c r="CE48" i="1"/>
  <c r="CE266" i="1"/>
  <c r="CE202" i="1"/>
  <c r="CE138" i="1"/>
  <c r="CE74" i="1"/>
  <c r="CF74" i="1" s="1"/>
  <c r="CG74" i="1" s="1"/>
  <c r="CE358" i="1"/>
  <c r="CE237" i="1"/>
  <c r="CE345" i="1"/>
  <c r="CF345" i="1" s="1"/>
  <c r="CG345" i="1" s="1"/>
  <c r="CE281" i="1"/>
  <c r="CF281" i="1" s="1"/>
  <c r="CG281" i="1" s="1"/>
  <c r="CE217" i="1"/>
  <c r="CE153" i="1"/>
  <c r="CE89" i="1"/>
  <c r="CF89" i="1" s="1"/>
  <c r="CH89" i="1" s="1"/>
  <c r="CE25" i="1"/>
  <c r="CE46" i="1"/>
  <c r="CE360" i="1"/>
  <c r="CE296" i="1"/>
  <c r="CE232" i="1"/>
  <c r="CF232" i="1" s="1"/>
  <c r="CG232" i="1" s="1"/>
  <c r="CE168" i="1"/>
  <c r="CF168" i="1" s="1"/>
  <c r="CG168" i="1" s="1"/>
  <c r="CE104" i="1"/>
  <c r="CF104" i="1" s="1"/>
  <c r="CG104" i="1" s="1"/>
  <c r="CE40" i="1"/>
  <c r="CF40" i="1" s="1"/>
  <c r="CG40" i="1" s="1"/>
  <c r="CE15" i="1"/>
  <c r="BZ15" i="1"/>
  <c r="CA15" i="1" s="1"/>
  <c r="BW11" i="1"/>
  <c r="BZ38" i="1"/>
  <c r="CA38" i="1" s="1"/>
  <c r="BZ227" i="1"/>
  <c r="CB227" i="1" s="1"/>
  <c r="BZ214" i="1"/>
  <c r="CA214" i="1" s="1"/>
  <c r="BZ215" i="1"/>
  <c r="CB215" i="1" s="1"/>
  <c r="BZ190" i="1"/>
  <c r="CB190" i="1" s="1"/>
  <c r="BZ355" i="1"/>
  <c r="CA355" i="1" s="1"/>
  <c r="BZ46" i="1"/>
  <c r="CA46" i="1" s="1"/>
  <c r="BZ35" i="1"/>
  <c r="CB35" i="1" s="1"/>
  <c r="BZ291" i="1"/>
  <c r="CB291" i="1" s="1"/>
  <c r="BZ354" i="1"/>
  <c r="CB354" i="1" s="1"/>
  <c r="BZ210" i="1"/>
  <c r="CA210" i="1" s="1"/>
  <c r="BZ342" i="1"/>
  <c r="CB342" i="1" s="1"/>
  <c r="BZ220" i="1"/>
  <c r="CA220" i="1" s="1"/>
  <c r="BZ49" i="1"/>
  <c r="CA49" i="1" s="1"/>
  <c r="BZ244" i="1"/>
  <c r="CB244" i="1" s="1"/>
  <c r="BZ146" i="1"/>
  <c r="CA146" i="1" s="1"/>
  <c r="BZ261" i="1"/>
  <c r="CB261" i="1" s="1"/>
  <c r="BZ311" i="1"/>
  <c r="CA311" i="1" s="1"/>
  <c r="BZ223" i="1"/>
  <c r="CB223" i="1" s="1"/>
  <c r="BZ286" i="1"/>
  <c r="CA286" i="1" s="1"/>
  <c r="BZ165" i="1"/>
  <c r="CA165" i="1" s="1"/>
  <c r="BZ277" i="1"/>
  <c r="CB277" i="1" s="1"/>
  <c r="BZ353" i="1"/>
  <c r="CB353" i="1" s="1"/>
  <c r="BZ211" i="1"/>
  <c r="CB211" i="1" s="1"/>
  <c r="BZ345" i="1"/>
  <c r="CB345" i="1" s="1"/>
  <c r="BZ369" i="1"/>
  <c r="CA369" i="1" s="1"/>
  <c r="BZ31" i="1"/>
  <c r="CA31" i="1" s="1"/>
  <c r="BZ346" i="1"/>
  <c r="CA346" i="1" s="1"/>
  <c r="BZ68" i="1"/>
  <c r="CA68" i="1" s="1"/>
  <c r="BZ181" i="1"/>
  <c r="CA181" i="1" s="1"/>
  <c r="BZ58" i="1"/>
  <c r="CA58" i="1" s="1"/>
  <c r="BZ132" i="1"/>
  <c r="CA132" i="1" s="1"/>
  <c r="BZ236" i="1"/>
  <c r="CB236" i="1" s="1"/>
  <c r="BZ373" i="1"/>
  <c r="CA373" i="1" s="1"/>
  <c r="BZ243" i="1"/>
  <c r="CB243" i="1" s="1"/>
  <c r="BZ219" i="1"/>
  <c r="CA219" i="1" s="1"/>
  <c r="BZ103" i="1"/>
  <c r="CB103" i="1" s="1"/>
  <c r="BZ229" i="1"/>
  <c r="CB229" i="1" s="1"/>
  <c r="BZ159" i="1"/>
  <c r="CA159" i="1" s="1"/>
  <c r="BZ50" i="1"/>
  <c r="CB50" i="1" s="1"/>
  <c r="BZ326" i="1"/>
  <c r="CA326" i="1" s="1"/>
  <c r="BZ239" i="1"/>
  <c r="CB239" i="1" s="1"/>
  <c r="BZ158" i="1"/>
  <c r="CA158" i="1" s="1"/>
  <c r="BZ241" i="1"/>
  <c r="CB241" i="1" s="1"/>
  <c r="BZ118" i="1"/>
  <c r="CA118" i="1" s="1"/>
  <c r="BZ124" i="1"/>
  <c r="CA124" i="1" s="1"/>
  <c r="BZ285" i="1"/>
  <c r="CA285" i="1" s="1"/>
  <c r="BZ313" i="1"/>
  <c r="CA313" i="1" s="1"/>
  <c r="BZ126" i="1"/>
  <c r="CA126" i="1" s="1"/>
  <c r="BZ180" i="1"/>
  <c r="CA180" i="1" s="1"/>
  <c r="BZ27" i="1"/>
  <c r="CA27" i="1" s="1"/>
  <c r="BZ115" i="1"/>
  <c r="CA115" i="1" s="1"/>
  <c r="BZ122" i="1"/>
  <c r="CB122" i="1" s="1"/>
  <c r="BZ329" i="1"/>
  <c r="CB329" i="1" s="1"/>
  <c r="BZ302" i="1"/>
  <c r="CB302" i="1" s="1"/>
  <c r="BZ66" i="1"/>
  <c r="CB66" i="1" s="1"/>
  <c r="BZ143" i="1"/>
  <c r="CB143" i="1" s="1"/>
  <c r="BZ316" i="1"/>
  <c r="CA316" i="1" s="1"/>
  <c r="BZ299" i="1"/>
  <c r="CB299" i="1" s="1"/>
  <c r="BZ195" i="1"/>
  <c r="CA195" i="1" s="1"/>
  <c r="BZ125" i="1"/>
  <c r="CA125" i="1" s="1"/>
  <c r="BZ356" i="1"/>
  <c r="CB356" i="1" s="1"/>
  <c r="BZ101" i="1"/>
  <c r="CB101" i="1" s="1"/>
  <c r="BZ111" i="1"/>
  <c r="CB111" i="1" s="1"/>
  <c r="BZ303" i="1"/>
  <c r="CB303" i="1" s="1"/>
  <c r="BZ53" i="1"/>
  <c r="CA53" i="1" s="1"/>
  <c r="BZ62" i="1"/>
  <c r="CB62" i="1" s="1"/>
  <c r="BZ338" i="1"/>
  <c r="CA338" i="1" s="1"/>
  <c r="BZ337" i="1"/>
  <c r="CA337" i="1" s="1"/>
  <c r="BZ322" i="1"/>
  <c r="CB322" i="1" s="1"/>
  <c r="BZ270" i="1"/>
  <c r="CB270" i="1" s="1"/>
  <c r="BZ140" i="1"/>
  <c r="CB140" i="1" s="1"/>
  <c r="BZ148" i="1"/>
  <c r="CA148" i="1" s="1"/>
  <c r="BZ306" i="1"/>
  <c r="CA306" i="1" s="1"/>
  <c r="BZ156" i="1"/>
  <c r="CA156" i="1" s="1"/>
  <c r="BZ254" i="1"/>
  <c r="CA254" i="1" s="1"/>
  <c r="BZ39" i="1"/>
  <c r="CA39" i="1" s="1"/>
  <c r="BZ54" i="1"/>
  <c r="CA54" i="1" s="1"/>
  <c r="BZ169" i="1"/>
  <c r="CB169" i="1" s="1"/>
  <c r="BZ367" i="1"/>
  <c r="CB367" i="1" s="1"/>
  <c r="BZ361" i="1"/>
  <c r="CB361" i="1" s="1"/>
  <c r="BZ279" i="1"/>
  <c r="CA279" i="1" s="1"/>
  <c r="BZ332" i="1"/>
  <c r="CA332" i="1" s="1"/>
  <c r="BZ331" i="1"/>
  <c r="CB331" i="1" s="1"/>
  <c r="BZ226" i="1"/>
  <c r="CA226" i="1" s="1"/>
  <c r="BZ273" i="1"/>
  <c r="CB273" i="1" s="1"/>
  <c r="BZ83" i="1"/>
  <c r="CA83" i="1" s="1"/>
  <c r="BZ182" i="1"/>
  <c r="CA182" i="1" s="1"/>
  <c r="BZ197" i="1"/>
  <c r="CA197" i="1" s="1"/>
  <c r="BZ246" i="1"/>
  <c r="CB246" i="1" s="1"/>
  <c r="BZ102" i="1"/>
  <c r="CB102" i="1" s="1"/>
  <c r="BZ212" i="1"/>
  <c r="CB212" i="1" s="1"/>
  <c r="BZ366" i="1"/>
  <c r="CB366" i="1" s="1"/>
  <c r="BZ157" i="1"/>
  <c r="CB157" i="1" s="1"/>
  <c r="BZ282" i="1"/>
  <c r="CB282" i="1" s="1"/>
  <c r="BZ22" i="1"/>
  <c r="CB22" i="1" s="1"/>
  <c r="BZ266" i="1"/>
  <c r="CB266" i="1" s="1"/>
  <c r="BZ52" i="1"/>
  <c r="CA52" i="1" s="1"/>
  <c r="BZ305" i="1"/>
  <c r="CB305" i="1" s="1"/>
  <c r="BZ307" i="1"/>
  <c r="CA307" i="1" s="1"/>
  <c r="BZ20" i="1"/>
  <c r="CB20" i="1" s="1"/>
  <c r="BZ250" i="1"/>
  <c r="CB250" i="1" s="1"/>
  <c r="BZ26" i="1"/>
  <c r="CB26" i="1" s="1"/>
  <c r="BZ209" i="1"/>
  <c r="CA209" i="1" s="1"/>
  <c r="BZ173" i="1"/>
  <c r="CB173" i="1" s="1"/>
  <c r="BZ147" i="1"/>
  <c r="CB147" i="1" s="1"/>
  <c r="BZ222" i="1"/>
  <c r="CB222" i="1" s="1"/>
  <c r="BZ47" i="1"/>
  <c r="CA47" i="1" s="1"/>
  <c r="BZ63" i="1"/>
  <c r="CB63" i="1" s="1"/>
  <c r="BZ374" i="1"/>
  <c r="CA374" i="1" s="1"/>
  <c r="BZ235" i="1"/>
  <c r="CA235" i="1" s="1"/>
  <c r="BZ370" i="1"/>
  <c r="CA370" i="1" s="1"/>
  <c r="BZ99" i="1"/>
  <c r="CB99" i="1" s="1"/>
  <c r="BZ127" i="1"/>
  <c r="CA127" i="1" s="1"/>
  <c r="BZ300" i="1"/>
  <c r="CB300" i="1" s="1"/>
  <c r="BZ131" i="1"/>
  <c r="CA131" i="1" s="1"/>
  <c r="BZ364" i="1"/>
  <c r="CA364" i="1" s="1"/>
  <c r="BZ174" i="1"/>
  <c r="CA174" i="1" s="1"/>
  <c r="BZ70" i="1"/>
  <c r="CB70" i="1" s="1"/>
  <c r="BZ191" i="1"/>
  <c r="CB191" i="1" s="1"/>
  <c r="BZ51" i="1"/>
  <c r="CB51" i="1" s="1"/>
  <c r="BZ84" i="1"/>
  <c r="CB84" i="1" s="1"/>
  <c r="BZ333" i="1"/>
  <c r="CB333" i="1" s="1"/>
  <c r="BZ151" i="1"/>
  <c r="CB151" i="1" s="1"/>
  <c r="BZ135" i="1"/>
  <c r="CB135" i="1" s="1"/>
  <c r="BZ268" i="1"/>
  <c r="CB268" i="1" s="1"/>
  <c r="BZ245" i="1"/>
  <c r="CB245" i="1" s="1"/>
  <c r="BZ130" i="1"/>
  <c r="CA130" i="1" s="1"/>
  <c r="BZ324" i="1"/>
  <c r="CA324" i="1" s="1"/>
  <c r="BZ295" i="1"/>
  <c r="CB295" i="1" s="1"/>
  <c r="BZ155" i="1"/>
  <c r="CB155" i="1" s="1"/>
  <c r="BZ359" i="1"/>
  <c r="CB359" i="1" s="1"/>
  <c r="BZ205" i="1"/>
  <c r="CB205" i="1" s="1"/>
  <c r="BZ133" i="1"/>
  <c r="CB133" i="1" s="1"/>
  <c r="BZ60" i="1"/>
  <c r="CA60" i="1" s="1"/>
  <c r="BZ85" i="1"/>
  <c r="CA85" i="1" s="1"/>
  <c r="BZ263" i="1"/>
  <c r="CB263" i="1" s="1"/>
  <c r="BZ260" i="1"/>
  <c r="CB260" i="1" s="1"/>
  <c r="BZ339" i="1"/>
  <c r="CA339" i="1" s="1"/>
  <c r="BZ75" i="1"/>
  <c r="CA75" i="1" s="1"/>
  <c r="BZ71" i="1"/>
  <c r="CB71" i="1" s="1"/>
  <c r="BZ344" i="1"/>
  <c r="CA344" i="1" s="1"/>
  <c r="BZ349" i="1"/>
  <c r="CB349" i="1" s="1"/>
  <c r="BZ188" i="1"/>
  <c r="CB188" i="1" s="1"/>
  <c r="BZ45" i="1"/>
  <c r="CA45" i="1" s="1"/>
  <c r="BZ271" i="1"/>
  <c r="CB271" i="1" s="1"/>
  <c r="BZ274" i="1"/>
  <c r="CA274" i="1" s="1"/>
  <c r="BZ154" i="1"/>
  <c r="CB154" i="1" s="1"/>
  <c r="BZ55" i="1"/>
  <c r="CA55" i="1" s="1"/>
  <c r="BZ269" i="1"/>
  <c r="CB269" i="1" s="1"/>
  <c r="BZ69" i="1"/>
  <c r="CB69" i="1" s="1"/>
  <c r="BZ116" i="1"/>
  <c r="CB116" i="1" s="1"/>
  <c r="BZ59" i="1"/>
  <c r="CB59" i="1" s="1"/>
  <c r="BZ281" i="1"/>
  <c r="CA281" i="1" s="1"/>
  <c r="BZ365" i="1"/>
  <c r="CA365" i="1" s="1"/>
  <c r="BZ206" i="1"/>
  <c r="CA206" i="1" s="1"/>
  <c r="BZ183" i="1"/>
  <c r="CA183" i="1" s="1"/>
  <c r="BZ372" i="1"/>
  <c r="CB372" i="1" s="1"/>
  <c r="BZ65" i="1"/>
  <c r="CA65" i="1" s="1"/>
  <c r="BZ323" i="1"/>
  <c r="CA323" i="1" s="1"/>
  <c r="BZ328" i="1"/>
  <c r="CA328" i="1" s="1"/>
  <c r="BZ228" i="1"/>
  <c r="CB228" i="1" s="1"/>
  <c r="BZ317" i="1"/>
  <c r="CA317" i="1" s="1"/>
  <c r="BZ213" i="1"/>
  <c r="CB213" i="1" s="1"/>
  <c r="BZ255" i="1"/>
  <c r="CB255" i="1" s="1"/>
  <c r="BZ179" i="1"/>
  <c r="CB179" i="1" s="1"/>
  <c r="BZ100" i="1"/>
  <c r="CB100" i="1" s="1"/>
  <c r="BZ186" i="1"/>
  <c r="CA186" i="1" s="1"/>
  <c r="BZ175" i="1"/>
  <c r="CA175" i="1" s="1"/>
  <c r="BZ259" i="1"/>
  <c r="CA259" i="1" s="1"/>
  <c r="BZ202" i="1"/>
  <c r="CA202" i="1" s="1"/>
  <c r="BZ77" i="1"/>
  <c r="CB77" i="1" s="1"/>
  <c r="BZ275" i="1"/>
  <c r="CA275" i="1" s="1"/>
  <c r="BZ86" i="1"/>
  <c r="CA86" i="1" s="1"/>
  <c r="BZ363" i="1"/>
  <c r="CB363" i="1" s="1"/>
  <c r="BZ166" i="1"/>
  <c r="CA166" i="1" s="1"/>
  <c r="BZ137" i="1"/>
  <c r="CA137" i="1" s="1"/>
  <c r="BZ341" i="1"/>
  <c r="CA341" i="1" s="1"/>
  <c r="BZ90" i="1"/>
  <c r="CA90" i="1" s="1"/>
  <c r="BZ301" i="1"/>
  <c r="CB301" i="1" s="1"/>
  <c r="BZ253" i="1"/>
  <c r="CB253" i="1" s="1"/>
  <c r="BZ292" i="1"/>
  <c r="CA292" i="1" s="1"/>
  <c r="BZ91" i="1"/>
  <c r="CA91" i="1" s="1"/>
  <c r="BZ74" i="1"/>
  <c r="CB74" i="1" s="1"/>
  <c r="BZ294" i="1"/>
  <c r="CB294" i="1" s="1"/>
  <c r="BZ28" i="1"/>
  <c r="CA28" i="1" s="1"/>
  <c r="BZ93" i="1"/>
  <c r="CA93" i="1" s="1"/>
  <c r="BZ284" i="1"/>
  <c r="CB284" i="1" s="1"/>
  <c r="BZ23" i="1"/>
  <c r="CB23" i="1" s="1"/>
  <c r="BZ371" i="1"/>
  <c r="CA371" i="1" s="1"/>
  <c r="BZ92" i="1"/>
  <c r="CA92" i="1" s="1"/>
  <c r="BZ167" i="1"/>
  <c r="CB167" i="1" s="1"/>
  <c r="BZ163" i="1"/>
  <c r="CB163" i="1" s="1"/>
  <c r="BZ230" i="1"/>
  <c r="CA230" i="1" s="1"/>
  <c r="BZ327" i="1"/>
  <c r="CB327" i="1" s="1"/>
  <c r="BZ221" i="1"/>
  <c r="CB221" i="1" s="1"/>
  <c r="BZ265" i="1"/>
  <c r="CB265" i="1" s="1"/>
  <c r="BZ29" i="1"/>
  <c r="CB29" i="1" s="1"/>
  <c r="BZ172" i="1"/>
  <c r="CA172" i="1" s="1"/>
  <c r="BZ256" i="1"/>
  <c r="CB256" i="1" s="1"/>
  <c r="BZ194" i="1"/>
  <c r="CB194" i="1" s="1"/>
  <c r="BZ310" i="1"/>
  <c r="CA310" i="1" s="1"/>
  <c r="BZ315" i="1"/>
  <c r="CA315" i="1" s="1"/>
  <c r="BZ67" i="1"/>
  <c r="CA67" i="1" s="1"/>
  <c r="BZ336" i="1"/>
  <c r="CB336" i="1" s="1"/>
  <c r="BZ87" i="1"/>
  <c r="CA87" i="1" s="1"/>
  <c r="BZ171" i="1"/>
  <c r="CA171" i="1" s="1"/>
  <c r="BZ37" i="1"/>
  <c r="CB37" i="1" s="1"/>
  <c r="BZ287" i="1"/>
  <c r="CA287" i="1" s="1"/>
  <c r="BZ178" i="1"/>
  <c r="CA178" i="1" s="1"/>
  <c r="BZ343" i="1"/>
  <c r="CA343" i="1" s="1"/>
  <c r="BZ61" i="1"/>
  <c r="CB61" i="1" s="1"/>
  <c r="BZ375" i="1"/>
  <c r="CB375" i="1" s="1"/>
  <c r="BZ79" i="1"/>
  <c r="CB79" i="1" s="1"/>
  <c r="BZ290" i="1"/>
  <c r="CB290" i="1" s="1"/>
  <c r="BZ335" i="1"/>
  <c r="CB335" i="1" s="1"/>
  <c r="BZ204" i="1"/>
  <c r="CB204" i="1" s="1"/>
  <c r="BZ238" i="1"/>
  <c r="CB238" i="1" s="1"/>
  <c r="BZ189" i="1"/>
  <c r="CA189" i="1" s="1"/>
  <c r="BZ139" i="1"/>
  <c r="CB139" i="1" s="1"/>
  <c r="BZ193" i="1"/>
  <c r="CB193" i="1" s="1"/>
  <c r="BZ350" i="1"/>
  <c r="CA350" i="1" s="1"/>
  <c r="BZ21" i="1"/>
  <c r="CB21" i="1" s="1"/>
  <c r="BZ78" i="1"/>
  <c r="CA78" i="1" s="1"/>
  <c r="BZ150" i="1"/>
  <c r="CA150" i="1" s="1"/>
  <c r="BZ30" i="1"/>
  <c r="CA30" i="1" s="1"/>
  <c r="BZ242" i="1"/>
  <c r="CB242" i="1" s="1"/>
  <c r="BZ95" i="1"/>
  <c r="CA95" i="1" s="1"/>
  <c r="BZ258" i="1"/>
  <c r="CA258" i="1" s="1"/>
  <c r="BZ113" i="1"/>
  <c r="CA113" i="1" s="1"/>
  <c r="BZ142" i="1"/>
  <c r="CA142" i="1" s="1"/>
  <c r="BZ201" i="1"/>
  <c r="CB201" i="1" s="1"/>
  <c r="BZ149" i="1"/>
  <c r="CA149" i="1" s="1"/>
  <c r="BZ340" i="1"/>
  <c r="CA340" i="1" s="1"/>
  <c r="BZ36" i="1"/>
  <c r="CB36" i="1" s="1"/>
  <c r="BZ129" i="1"/>
  <c r="CB129" i="1" s="1"/>
  <c r="BZ109" i="1"/>
  <c r="CB109" i="1" s="1"/>
  <c r="BZ196" i="1"/>
  <c r="CA196" i="1" s="1"/>
  <c r="BZ123" i="1"/>
  <c r="CB123" i="1" s="1"/>
  <c r="BZ18" i="1"/>
  <c r="CA18" i="1" s="1"/>
  <c r="BZ330" i="1"/>
  <c r="CA330" i="1" s="1"/>
  <c r="BZ357" i="1"/>
  <c r="CA357" i="1" s="1"/>
  <c r="BZ321" i="1"/>
  <c r="CA321" i="1" s="1"/>
  <c r="BZ334" i="1"/>
  <c r="CB334" i="1" s="1"/>
  <c r="BZ110" i="1"/>
  <c r="CA110" i="1" s="1"/>
  <c r="BZ348" i="1"/>
  <c r="CA348" i="1" s="1"/>
  <c r="BZ43" i="1"/>
  <c r="CA43" i="1" s="1"/>
  <c r="BZ318" i="1"/>
  <c r="CB318" i="1" s="1"/>
  <c r="BZ325" i="1"/>
  <c r="CB325" i="1" s="1"/>
  <c r="BZ283" i="1"/>
  <c r="CB283" i="1" s="1"/>
  <c r="BZ358" i="1"/>
  <c r="CB358" i="1" s="1"/>
  <c r="BZ138" i="1"/>
  <c r="CA138" i="1" s="1"/>
  <c r="BZ203" i="1"/>
  <c r="CB203" i="1" s="1"/>
  <c r="BZ207" i="1"/>
  <c r="CB207" i="1" s="1"/>
  <c r="BZ94" i="1"/>
  <c r="CA94" i="1" s="1"/>
  <c r="BZ314" i="1"/>
  <c r="CB314" i="1" s="1"/>
  <c r="BZ108" i="1"/>
  <c r="CB108" i="1" s="1"/>
  <c r="BZ262" i="1"/>
  <c r="CB262" i="1" s="1"/>
  <c r="BZ164" i="1"/>
  <c r="CB164" i="1" s="1"/>
  <c r="BZ187" i="1"/>
  <c r="CB187" i="1" s="1"/>
  <c r="BZ247" i="1"/>
  <c r="CA247" i="1" s="1"/>
  <c r="BZ141" i="1"/>
  <c r="CA141" i="1" s="1"/>
  <c r="BZ347" i="1"/>
  <c r="CA347" i="1" s="1"/>
  <c r="BZ199" i="1"/>
  <c r="CA199" i="1" s="1"/>
  <c r="BZ76" i="1"/>
  <c r="CA76" i="1" s="1"/>
  <c r="BZ276" i="1"/>
  <c r="CA276" i="1" s="1"/>
  <c r="BZ134" i="1"/>
  <c r="CB134" i="1" s="1"/>
  <c r="BZ278" i="1"/>
  <c r="CB278" i="1" s="1"/>
  <c r="BZ308" i="1"/>
  <c r="CB308" i="1" s="1"/>
  <c r="BZ41" i="1"/>
  <c r="CB41" i="1" s="1"/>
  <c r="BZ231" i="1"/>
  <c r="CA231" i="1" s="1"/>
  <c r="BZ82" i="1"/>
  <c r="CA82" i="1" s="1"/>
  <c r="BZ351" i="1"/>
  <c r="CA351" i="1" s="1"/>
  <c r="BZ237" i="1"/>
  <c r="CA237" i="1" s="1"/>
  <c r="BZ252" i="1"/>
  <c r="CB252" i="1" s="1"/>
  <c r="BZ44" i="1"/>
  <c r="CA44" i="1" s="1"/>
  <c r="BZ251" i="1"/>
  <c r="CA251" i="1" s="1"/>
  <c r="BZ218" i="1"/>
  <c r="CA218" i="1" s="1"/>
  <c r="BZ208" i="1"/>
  <c r="CB208" i="1" s="1"/>
  <c r="BZ114" i="1"/>
  <c r="CA114" i="1" s="1"/>
  <c r="BZ119" i="1"/>
  <c r="CA119" i="1" s="1"/>
  <c r="BZ319" i="1"/>
  <c r="CB319" i="1" s="1"/>
  <c r="BZ198" i="1"/>
  <c r="CB198" i="1" s="1"/>
  <c r="BZ267" i="1"/>
  <c r="CB267" i="1" s="1"/>
  <c r="BZ19" i="1"/>
  <c r="CA19" i="1" s="1"/>
  <c r="BZ309" i="1"/>
  <c r="CA309" i="1" s="1"/>
  <c r="BZ107" i="1"/>
  <c r="CB107" i="1" s="1"/>
  <c r="BZ117" i="1"/>
  <c r="CA117" i="1" s="1"/>
  <c r="BZ293" i="1"/>
  <c r="CB293" i="1" s="1"/>
  <c r="BZ106" i="1"/>
  <c r="CA106" i="1" s="1"/>
  <c r="BZ312" i="1"/>
  <c r="CA312" i="1" s="1"/>
  <c r="BZ217" i="1"/>
  <c r="CB217" i="1" s="1"/>
  <c r="BZ216" i="1"/>
  <c r="CB216" i="1" s="1"/>
  <c r="BZ136" i="1"/>
  <c r="CA136" i="1" s="1"/>
  <c r="BZ272" i="1"/>
  <c r="CB272" i="1" s="1"/>
  <c r="BZ192" i="1"/>
  <c r="CA192" i="1" s="1"/>
  <c r="BZ289" i="1"/>
  <c r="CB289" i="1" s="1"/>
  <c r="BZ176" i="1"/>
  <c r="CB176" i="1" s="1"/>
  <c r="BZ249" i="1"/>
  <c r="CA249" i="1" s="1"/>
  <c r="BZ25" i="1"/>
  <c r="CB25" i="1" s="1"/>
  <c r="BZ96" i="1"/>
  <c r="CA96" i="1" s="1"/>
  <c r="BZ144" i="1"/>
  <c r="CA144" i="1" s="1"/>
  <c r="BZ177" i="1"/>
  <c r="CA177" i="1" s="1"/>
  <c r="BZ73" i="1"/>
  <c r="CB73" i="1" s="1"/>
  <c r="BZ297" i="1"/>
  <c r="CA297" i="1" s="1"/>
  <c r="BZ233" i="1"/>
  <c r="CB233" i="1" s="1"/>
  <c r="BZ298" i="1"/>
  <c r="CB298" i="1" s="1"/>
  <c r="BZ105" i="1"/>
  <c r="CB105" i="1" s="1"/>
  <c r="BZ57" i="1"/>
  <c r="CB57" i="1" s="1"/>
  <c r="BZ360" i="1"/>
  <c r="CA360" i="1" s="1"/>
  <c r="BZ33" i="1"/>
  <c r="CA33" i="1" s="1"/>
  <c r="BZ161" i="1"/>
  <c r="CB161" i="1" s="1"/>
  <c r="BZ225" i="1"/>
  <c r="CA225" i="1" s="1"/>
  <c r="BZ234" i="1"/>
  <c r="CB234" i="1" s="1"/>
  <c r="BZ64" i="1"/>
  <c r="CB64" i="1" s="1"/>
  <c r="BZ257" i="1"/>
  <c r="CA257" i="1" s="1"/>
  <c r="BZ362" i="1"/>
  <c r="CA362" i="1" s="1"/>
  <c r="BZ48" i="1"/>
  <c r="CB48" i="1" s="1"/>
  <c r="BZ145" i="1"/>
  <c r="CA145" i="1" s="1"/>
  <c r="BZ121" i="1"/>
  <c r="CB121" i="1" s="1"/>
  <c r="BZ152" i="1"/>
  <c r="CB152" i="1" s="1"/>
  <c r="BZ32" i="1"/>
  <c r="CA32" i="1" s="1"/>
  <c r="BZ42" i="1"/>
  <c r="CA42" i="1" s="1"/>
  <c r="BZ320" i="1"/>
  <c r="CB320" i="1" s="1"/>
  <c r="BZ89" i="1"/>
  <c r="CB89" i="1" s="1"/>
  <c r="BZ264" i="1"/>
  <c r="CA264" i="1" s="1"/>
  <c r="BZ153" i="1"/>
  <c r="CA153" i="1" s="1"/>
  <c r="BZ162" i="1"/>
  <c r="CB162" i="1" s="1"/>
  <c r="BZ280" i="1"/>
  <c r="CA280" i="1" s="1"/>
  <c r="BZ97" i="1"/>
  <c r="CB97" i="1" s="1"/>
  <c r="BZ368" i="1"/>
  <c r="CA368" i="1" s="1"/>
  <c r="BZ34" i="1"/>
  <c r="CB34" i="1" s="1"/>
  <c r="BZ98" i="1"/>
  <c r="CB98" i="1" s="1"/>
  <c r="BZ200" i="1"/>
  <c r="CA200" i="1" s="1"/>
  <c r="BZ17" i="1"/>
  <c r="CB17" i="1" s="1"/>
  <c r="BZ81" i="1"/>
  <c r="CB81" i="1" s="1"/>
  <c r="BZ56" i="1"/>
  <c r="CB56" i="1" s="1"/>
  <c r="BZ112" i="1"/>
  <c r="CB112" i="1" s="1"/>
  <c r="BZ16" i="1"/>
  <c r="CA16" i="1" s="1"/>
  <c r="BZ128" i="1"/>
  <c r="CB128" i="1" s="1"/>
  <c r="BZ185" i="1"/>
  <c r="CA185" i="1" s="1"/>
  <c r="BZ248" i="1"/>
  <c r="CA248" i="1" s="1"/>
  <c r="BZ296" i="1"/>
  <c r="CA296" i="1" s="1"/>
  <c r="BZ88" i="1"/>
  <c r="CB88" i="1" s="1"/>
  <c r="BZ184" i="1"/>
  <c r="CA184" i="1" s="1"/>
  <c r="BZ80" i="1"/>
  <c r="CA80" i="1" s="1"/>
  <c r="BZ232" i="1"/>
  <c r="CA232" i="1" s="1"/>
  <c r="BZ120" i="1"/>
  <c r="CB120" i="1" s="1"/>
  <c r="BZ352" i="1"/>
  <c r="CB352" i="1" s="1"/>
  <c r="BZ168" i="1"/>
  <c r="CB168" i="1" s="1"/>
  <c r="BZ288" i="1"/>
  <c r="CB288" i="1" s="1"/>
  <c r="BZ40" i="1"/>
  <c r="CA40" i="1" s="1"/>
  <c r="BZ304" i="1"/>
  <c r="CA304" i="1" s="1"/>
  <c r="BZ72" i="1"/>
  <c r="CB72" i="1" s="1"/>
  <c r="BZ104" i="1"/>
  <c r="CB104" i="1" s="1"/>
  <c r="BZ224" i="1"/>
  <c r="CB224" i="1" s="1"/>
  <c r="BZ240" i="1"/>
  <c r="CB240" i="1" s="1"/>
  <c r="BZ24" i="1"/>
  <c r="CA24" i="1" s="1"/>
  <c r="BZ160" i="1"/>
  <c r="CA160" i="1" s="1"/>
  <c r="F54" i="1"/>
  <c r="G54" i="1" s="1"/>
  <c r="F51" i="1"/>
  <c r="G51" i="1" s="1"/>
  <c r="C168" i="1"/>
  <c r="E174" i="1"/>
  <c r="B56" i="1"/>
  <c r="B164" i="1" s="1"/>
  <c r="B175" i="1" s="1"/>
  <c r="D163" i="1"/>
  <c r="D174" i="1" s="1"/>
  <c r="E175" i="1"/>
  <c r="E172" i="1"/>
  <c r="E168" i="1"/>
  <c r="B50" i="1"/>
  <c r="D157" i="1"/>
  <c r="D168" i="1" s="1"/>
  <c r="E173" i="1"/>
  <c r="E169" i="1"/>
  <c r="E170" i="1"/>
  <c r="C53" i="1"/>
  <c r="E160" i="1"/>
  <c r="BX11" i="1"/>
  <c r="F55" i="1"/>
  <c r="G55" i="1" s="1"/>
  <c r="J38" i="1"/>
  <c r="N38" i="1" s="1"/>
  <c r="F49" i="1"/>
  <c r="G49" i="1" s="1"/>
  <c r="J39" i="1"/>
  <c r="N39" i="1" s="1"/>
  <c r="F52" i="1"/>
  <c r="G52" i="1" s="1"/>
  <c r="G38" i="1"/>
  <c r="G37" i="1"/>
  <c r="DZ21" i="1" l="1"/>
  <c r="DX21" i="1"/>
  <c r="DY20" i="1"/>
  <c r="DZ20" i="1"/>
  <c r="DX20" i="1"/>
  <c r="DW24" i="1" s="1"/>
  <c r="DY21" i="1"/>
  <c r="ED20" i="1"/>
  <c r="EE20" i="1"/>
  <c r="EC20" i="1"/>
  <c r="CH197" i="1"/>
  <c r="CI197" i="1" s="1"/>
  <c r="CJ197" i="1" s="1"/>
  <c r="CB15" i="1"/>
  <c r="CC15" i="1" s="1"/>
  <c r="CH85" i="1"/>
  <c r="CI85" i="1" s="1"/>
  <c r="CJ85" i="1" s="1"/>
  <c r="CH104" i="1"/>
  <c r="CI104" i="1" s="1"/>
  <c r="CJ104" i="1" s="1"/>
  <c r="CH97" i="1"/>
  <c r="CI97" i="1" s="1"/>
  <c r="CJ97" i="1" s="1"/>
  <c r="CH102" i="1"/>
  <c r="CI102" i="1" s="1"/>
  <c r="CJ102" i="1" s="1"/>
  <c r="CH351" i="1"/>
  <c r="CI351" i="1" s="1"/>
  <c r="CJ351" i="1" s="1"/>
  <c r="CH363" i="1"/>
  <c r="CI363" i="1" s="1"/>
  <c r="CJ363" i="1" s="1"/>
  <c r="CH275" i="1"/>
  <c r="CI275" i="1" s="1"/>
  <c r="CJ275" i="1" s="1"/>
  <c r="CH218" i="1"/>
  <c r="CI218" i="1" s="1"/>
  <c r="CJ218" i="1" s="1"/>
  <c r="CB214" i="1"/>
  <c r="CC214" i="1" s="1"/>
  <c r="CH227" i="1"/>
  <c r="CI227" i="1" s="1"/>
  <c r="CJ227" i="1" s="1"/>
  <c r="CH195" i="1"/>
  <c r="CI195" i="1" s="1"/>
  <c r="CJ195" i="1" s="1"/>
  <c r="CG50" i="1"/>
  <c r="CH50" i="1"/>
  <c r="CH341" i="1"/>
  <c r="CI341" i="1" s="1"/>
  <c r="CJ341" i="1" s="1"/>
  <c r="CG326" i="1"/>
  <c r="CI326" i="1" s="1"/>
  <c r="CJ326" i="1" s="1"/>
  <c r="CH186" i="1"/>
  <c r="CI186" i="1" s="1"/>
  <c r="CJ186" i="1" s="1"/>
  <c r="CG280" i="1"/>
  <c r="CI280" i="1" s="1"/>
  <c r="CJ280" i="1" s="1"/>
  <c r="CH243" i="1"/>
  <c r="CI243" i="1" s="1"/>
  <c r="CJ243" i="1" s="1"/>
  <c r="CH23" i="1"/>
  <c r="CI23" i="1" s="1"/>
  <c r="CJ23" i="1" s="1"/>
  <c r="CF44" i="1"/>
  <c r="CG44" i="1" s="1"/>
  <c r="CH367" i="1"/>
  <c r="CI367" i="1" s="1"/>
  <c r="CJ367" i="1" s="1"/>
  <c r="CH323" i="1"/>
  <c r="CI323" i="1" s="1"/>
  <c r="CJ323" i="1" s="1"/>
  <c r="CG270" i="1"/>
  <c r="CH270" i="1"/>
  <c r="CH113" i="1"/>
  <c r="CG113" i="1"/>
  <c r="CG66" i="1"/>
  <c r="CI66" i="1" s="1"/>
  <c r="CJ66" i="1" s="1"/>
  <c r="CG335" i="1"/>
  <c r="CI335" i="1" s="1"/>
  <c r="CJ335" i="1" s="1"/>
  <c r="CG304" i="1"/>
  <c r="CI304" i="1" s="1"/>
  <c r="CJ304" i="1" s="1"/>
  <c r="CF319" i="1"/>
  <c r="CG319" i="1" s="1"/>
  <c r="CH318" i="1"/>
  <c r="CI318" i="1" s="1"/>
  <c r="CJ318" i="1" s="1"/>
  <c r="CG82" i="1"/>
  <c r="CI82" i="1" s="1"/>
  <c r="CJ82" i="1" s="1"/>
  <c r="CH43" i="1"/>
  <c r="CI43" i="1" s="1"/>
  <c r="CJ43" i="1" s="1"/>
  <c r="CH145" i="1"/>
  <c r="CI145" i="1" s="1"/>
  <c r="CJ145" i="1" s="1"/>
  <c r="CG199" i="1"/>
  <c r="CI199" i="1" s="1"/>
  <c r="CJ199" i="1" s="1"/>
  <c r="CF329" i="1"/>
  <c r="CG329" i="1" s="1"/>
  <c r="CF315" i="1"/>
  <c r="CG315" i="1" s="1"/>
  <c r="CF55" i="1"/>
  <c r="CG55" i="1" s="1"/>
  <c r="CF53" i="1"/>
  <c r="CG53" i="1" s="1"/>
  <c r="CF90" i="1"/>
  <c r="CG90" i="1" s="1"/>
  <c r="CH288" i="1"/>
  <c r="CI288" i="1" s="1"/>
  <c r="CJ288" i="1" s="1"/>
  <c r="CF71" i="1"/>
  <c r="CG71" i="1" s="1"/>
  <c r="CF140" i="1"/>
  <c r="CG140" i="1" s="1"/>
  <c r="CF17" i="1"/>
  <c r="CG17" i="1" s="1"/>
  <c r="CF42" i="1"/>
  <c r="CG42" i="1" s="1"/>
  <c r="CF246" i="1"/>
  <c r="CG246" i="1" s="1"/>
  <c r="CF268" i="1"/>
  <c r="CG268" i="1" s="1"/>
  <c r="CF175" i="1"/>
  <c r="CG175" i="1" s="1"/>
  <c r="CF35" i="1"/>
  <c r="CG35" i="1" s="1"/>
  <c r="CH201" i="1"/>
  <c r="CI201" i="1" s="1"/>
  <c r="CJ201" i="1" s="1"/>
  <c r="CF24" i="1"/>
  <c r="CG24" i="1" s="1"/>
  <c r="CH357" i="1"/>
  <c r="CI357" i="1" s="1"/>
  <c r="CJ357" i="1" s="1"/>
  <c r="CF59" i="1"/>
  <c r="CG59" i="1" s="1"/>
  <c r="CF152" i="1"/>
  <c r="CG152" i="1" s="1"/>
  <c r="CF46" i="1"/>
  <c r="CG46" i="1" s="1"/>
  <c r="CF20" i="1"/>
  <c r="CG20" i="1" s="1"/>
  <c r="CF269" i="1"/>
  <c r="CG269" i="1" s="1"/>
  <c r="CF373" i="1"/>
  <c r="CG373" i="1" s="1"/>
  <c r="CH207" i="1"/>
  <c r="CI207" i="1" s="1"/>
  <c r="CJ207" i="1" s="1"/>
  <c r="CF148" i="1"/>
  <c r="CG148" i="1" s="1"/>
  <c r="CH283" i="1"/>
  <c r="CI283" i="1" s="1"/>
  <c r="CJ283" i="1" s="1"/>
  <c r="CF361" i="1"/>
  <c r="CG361" i="1" s="1"/>
  <c r="CH312" i="1"/>
  <c r="CI312" i="1" s="1"/>
  <c r="CJ312" i="1" s="1"/>
  <c r="CF181" i="1"/>
  <c r="CG181" i="1" s="1"/>
  <c r="CF249" i="1"/>
  <c r="CG249" i="1" s="1"/>
  <c r="CF311" i="1"/>
  <c r="CG311" i="1" s="1"/>
  <c r="CF78" i="1"/>
  <c r="CG78" i="1" s="1"/>
  <c r="CF70" i="1"/>
  <c r="CG70" i="1" s="1"/>
  <c r="CF147" i="1"/>
  <c r="CG147" i="1" s="1"/>
  <c r="CF271" i="1"/>
  <c r="CG271" i="1" s="1"/>
  <c r="CH222" i="1"/>
  <c r="CI222" i="1" s="1"/>
  <c r="CJ222" i="1" s="1"/>
  <c r="CF371" i="1"/>
  <c r="CG371" i="1" s="1"/>
  <c r="CH160" i="1"/>
  <c r="CI160" i="1" s="1"/>
  <c r="CJ160" i="1" s="1"/>
  <c r="CF358" i="1"/>
  <c r="CG358" i="1" s="1"/>
  <c r="CH300" i="1"/>
  <c r="CI300" i="1" s="1"/>
  <c r="CJ300" i="1" s="1"/>
  <c r="CH365" i="1"/>
  <c r="CI365" i="1" s="1"/>
  <c r="CJ365" i="1" s="1"/>
  <c r="CH337" i="1"/>
  <c r="CI337" i="1" s="1"/>
  <c r="CJ337" i="1" s="1"/>
  <c r="CF96" i="1"/>
  <c r="CG96" i="1" s="1"/>
  <c r="CH236" i="1"/>
  <c r="CI236" i="1" s="1"/>
  <c r="CJ236" i="1" s="1"/>
  <c r="CF242" i="1"/>
  <c r="CG242" i="1" s="1"/>
  <c r="CF292" i="1"/>
  <c r="CG292" i="1" s="1"/>
  <c r="CF56" i="1"/>
  <c r="CG56" i="1" s="1"/>
  <c r="CH267" i="1"/>
  <c r="CI267" i="1" s="1"/>
  <c r="CJ267" i="1" s="1"/>
  <c r="CF61" i="1"/>
  <c r="CG61" i="1" s="1"/>
  <c r="CH110" i="1"/>
  <c r="CI110" i="1" s="1"/>
  <c r="CJ110" i="1" s="1"/>
  <c r="CF244" i="1"/>
  <c r="CG244" i="1" s="1"/>
  <c r="CH58" i="1"/>
  <c r="CI58" i="1" s="1"/>
  <c r="CJ58" i="1" s="1"/>
  <c r="CF320" i="1"/>
  <c r="CG320" i="1" s="1"/>
  <c r="CF95" i="1"/>
  <c r="CG95" i="1" s="1"/>
  <c r="CF81" i="1"/>
  <c r="CG81" i="1" s="1"/>
  <c r="CF231" i="1"/>
  <c r="CG231" i="1" s="1"/>
  <c r="CF196" i="1"/>
  <c r="CG196" i="1" s="1"/>
  <c r="CF202" i="1"/>
  <c r="CG202" i="1" s="1"/>
  <c r="CF208" i="1"/>
  <c r="CG208" i="1" s="1"/>
  <c r="CF214" i="1"/>
  <c r="CG214" i="1" s="1"/>
  <c r="CG72" i="1"/>
  <c r="CI72" i="1" s="1"/>
  <c r="CJ72" i="1" s="1"/>
  <c r="CF123" i="1"/>
  <c r="CG123" i="1" s="1"/>
  <c r="CF284" i="1"/>
  <c r="CG284" i="1" s="1"/>
  <c r="CF360" i="1"/>
  <c r="CG360" i="1" s="1"/>
  <c r="CG188" i="1"/>
  <c r="CH188" i="1"/>
  <c r="CG238" i="1"/>
  <c r="CI238" i="1" s="1"/>
  <c r="CJ238" i="1" s="1"/>
  <c r="CH220" i="1"/>
  <c r="CI220" i="1" s="1"/>
  <c r="CJ220" i="1" s="1"/>
  <c r="CF296" i="1"/>
  <c r="CG296" i="1" s="1"/>
  <c r="CF317" i="1"/>
  <c r="CG317" i="1" s="1"/>
  <c r="CF117" i="1"/>
  <c r="CG117" i="1" s="1"/>
  <c r="CH91" i="1"/>
  <c r="CI91" i="1" s="1"/>
  <c r="CJ91" i="1" s="1"/>
  <c r="CG173" i="1"/>
  <c r="CH173" i="1"/>
  <c r="CF294" i="1"/>
  <c r="CG294" i="1" s="1"/>
  <c r="CF354" i="1"/>
  <c r="CG354" i="1" s="1"/>
  <c r="CF94" i="1"/>
  <c r="CG94" i="1" s="1"/>
  <c r="CH107" i="1"/>
  <c r="CI107" i="1" s="1"/>
  <c r="CJ107" i="1" s="1"/>
  <c r="CH106" i="1"/>
  <c r="CI106" i="1" s="1"/>
  <c r="CJ106" i="1" s="1"/>
  <c r="CF310" i="1"/>
  <c r="CG310" i="1" s="1"/>
  <c r="CF190" i="1"/>
  <c r="CG190" i="1" s="1"/>
  <c r="CH99" i="1"/>
  <c r="CI99" i="1" s="1"/>
  <c r="CJ99" i="1" s="1"/>
  <c r="CF237" i="1"/>
  <c r="CG237" i="1" s="1"/>
  <c r="CF239" i="1"/>
  <c r="CG239" i="1" s="1"/>
  <c r="CH321" i="1"/>
  <c r="CI321" i="1" s="1"/>
  <c r="CJ321" i="1" s="1"/>
  <c r="CF134" i="1"/>
  <c r="CG134" i="1" s="1"/>
  <c r="CF51" i="1"/>
  <c r="CG51" i="1" s="1"/>
  <c r="CH129" i="1"/>
  <c r="CI129" i="1" s="1"/>
  <c r="CJ129" i="1" s="1"/>
  <c r="CF127" i="1"/>
  <c r="CG127" i="1" s="1"/>
  <c r="CF37" i="1"/>
  <c r="CG37" i="1" s="1"/>
  <c r="CF212" i="1"/>
  <c r="CG212" i="1" s="1"/>
  <c r="CF370" i="1"/>
  <c r="CG370" i="1" s="1"/>
  <c r="CH139" i="1"/>
  <c r="CI139" i="1" s="1"/>
  <c r="CJ139" i="1" s="1"/>
  <c r="CF279" i="1"/>
  <c r="CG279" i="1" s="1"/>
  <c r="CF340" i="1"/>
  <c r="CG340" i="1" s="1"/>
  <c r="CH116" i="1"/>
  <c r="CI116" i="1" s="1"/>
  <c r="CJ116" i="1" s="1"/>
  <c r="CH369" i="1"/>
  <c r="CI369" i="1" s="1"/>
  <c r="CJ369" i="1" s="1"/>
  <c r="CH192" i="1"/>
  <c r="CI192" i="1" s="1"/>
  <c r="CJ192" i="1" s="1"/>
  <c r="CG45" i="1"/>
  <c r="CI45" i="1" s="1"/>
  <c r="CJ45" i="1" s="1"/>
  <c r="CF215" i="1"/>
  <c r="CG215" i="1" s="1"/>
  <c r="CH259" i="1"/>
  <c r="CI259" i="1" s="1"/>
  <c r="CJ259" i="1" s="1"/>
  <c r="CH52" i="1"/>
  <c r="CI52" i="1" s="1"/>
  <c r="CJ52" i="1" s="1"/>
  <c r="CF128" i="1"/>
  <c r="CG128" i="1" s="1"/>
  <c r="CF133" i="1"/>
  <c r="CG133" i="1" s="1"/>
  <c r="CF63" i="1"/>
  <c r="CG63" i="1" s="1"/>
  <c r="CF65" i="1"/>
  <c r="CG65" i="1" s="1"/>
  <c r="CF261" i="1"/>
  <c r="CG261" i="1" s="1"/>
  <c r="CF189" i="1"/>
  <c r="CG189" i="1" s="1"/>
  <c r="CH157" i="1"/>
  <c r="CI157" i="1" s="1"/>
  <c r="CJ157" i="1" s="1"/>
  <c r="CF217" i="1"/>
  <c r="CG217" i="1" s="1"/>
  <c r="CH60" i="1"/>
  <c r="CI60" i="1" s="1"/>
  <c r="CJ60" i="1" s="1"/>
  <c r="CF313" i="1"/>
  <c r="CG313" i="1" s="1"/>
  <c r="CF375" i="1"/>
  <c r="CG375" i="1" s="1"/>
  <c r="CF142" i="1"/>
  <c r="CG142" i="1" s="1"/>
  <c r="CH251" i="1"/>
  <c r="CI251" i="1" s="1"/>
  <c r="CJ251" i="1" s="1"/>
  <c r="CH265" i="1"/>
  <c r="CI265" i="1" s="1"/>
  <c r="CJ265" i="1" s="1"/>
  <c r="CF88" i="1"/>
  <c r="CG88" i="1" s="1"/>
  <c r="CF30" i="1"/>
  <c r="CG30" i="1" s="1"/>
  <c r="CF228" i="1"/>
  <c r="CG228" i="1" s="1"/>
  <c r="CH234" i="1"/>
  <c r="CI234" i="1" s="1"/>
  <c r="CJ234" i="1" s="1"/>
  <c r="CF48" i="1"/>
  <c r="CG48" i="1" s="1"/>
  <c r="CH353" i="1"/>
  <c r="CI353" i="1" s="1"/>
  <c r="CJ353" i="1" s="1"/>
  <c r="CF164" i="1"/>
  <c r="CG164" i="1" s="1"/>
  <c r="CF16" i="1"/>
  <c r="CH16" i="1" s="1"/>
  <c r="CH149" i="1"/>
  <c r="CI149" i="1" s="1"/>
  <c r="CJ149" i="1" s="1"/>
  <c r="CH295" i="1"/>
  <c r="CI295" i="1" s="1"/>
  <c r="CJ295" i="1" s="1"/>
  <c r="CF260" i="1"/>
  <c r="CG260" i="1" s="1"/>
  <c r="CF266" i="1"/>
  <c r="CG266" i="1" s="1"/>
  <c r="CF272" i="1"/>
  <c r="CG272" i="1" s="1"/>
  <c r="CF278" i="1"/>
  <c r="CG278" i="1" s="1"/>
  <c r="CF224" i="1"/>
  <c r="CG224" i="1" s="1"/>
  <c r="CF221" i="1"/>
  <c r="CG221" i="1" s="1"/>
  <c r="CH372" i="1"/>
  <c r="CI372" i="1" s="1"/>
  <c r="CJ372" i="1" s="1"/>
  <c r="CF83" i="1"/>
  <c r="CG83" i="1" s="1"/>
  <c r="CF240" i="1"/>
  <c r="CG240" i="1" s="1"/>
  <c r="CF223" i="1"/>
  <c r="CG223" i="1" s="1"/>
  <c r="CH299" i="1"/>
  <c r="CI299" i="1" s="1"/>
  <c r="CJ299" i="1" s="1"/>
  <c r="CH185" i="1"/>
  <c r="CI185" i="1" s="1"/>
  <c r="CJ185" i="1" s="1"/>
  <c r="CF247" i="1"/>
  <c r="CG247" i="1" s="1"/>
  <c r="CF203" i="1"/>
  <c r="CG203" i="1" s="1"/>
  <c r="CF18" i="1"/>
  <c r="CG18" i="1" s="1"/>
  <c r="CH226" i="1"/>
  <c r="CI226" i="1" s="1"/>
  <c r="CJ226" i="1" s="1"/>
  <c r="CH210" i="1"/>
  <c r="CI210" i="1" s="1"/>
  <c r="CJ210" i="1" s="1"/>
  <c r="CH29" i="1"/>
  <c r="CI29" i="1" s="1"/>
  <c r="CJ29" i="1" s="1"/>
  <c r="CF350" i="1"/>
  <c r="CG350" i="1" s="1"/>
  <c r="CF76" i="1"/>
  <c r="CG76" i="1" s="1"/>
  <c r="CF67" i="1"/>
  <c r="CG67" i="1" s="1"/>
  <c r="CH301" i="1"/>
  <c r="CI301" i="1" s="1"/>
  <c r="CJ301" i="1" s="1"/>
  <c r="CF256" i="1"/>
  <c r="CG256" i="1" s="1"/>
  <c r="CF38" i="1"/>
  <c r="CG38" i="1" s="1"/>
  <c r="CH198" i="1"/>
  <c r="CI198" i="1" s="1"/>
  <c r="CJ198" i="1" s="1"/>
  <c r="CF115" i="1"/>
  <c r="CG115" i="1" s="1"/>
  <c r="CH193" i="1"/>
  <c r="CI193" i="1" s="1"/>
  <c r="CJ193" i="1" s="1"/>
  <c r="CF191" i="1"/>
  <c r="CG191" i="1" s="1"/>
  <c r="CF25" i="1"/>
  <c r="CG25" i="1" s="1"/>
  <c r="CH348" i="1"/>
  <c r="CI348" i="1" s="1"/>
  <c r="CJ348" i="1" s="1"/>
  <c r="CH93" i="1"/>
  <c r="CI93" i="1" s="1"/>
  <c r="CJ93" i="1" s="1"/>
  <c r="CH143" i="1"/>
  <c r="CI143" i="1" s="1"/>
  <c r="CJ143" i="1" s="1"/>
  <c r="CF131" i="1"/>
  <c r="CG131" i="1" s="1"/>
  <c r="CH219" i="1"/>
  <c r="CI219" i="1" s="1"/>
  <c r="CJ219" i="1" s="1"/>
  <c r="CF297" i="1"/>
  <c r="CG297" i="1" s="1"/>
  <c r="CF180" i="1"/>
  <c r="CG180" i="1" s="1"/>
  <c r="CF343" i="1"/>
  <c r="CG343" i="1" s="1"/>
  <c r="CF167" i="1"/>
  <c r="CG167" i="1" s="1"/>
  <c r="CH132" i="1"/>
  <c r="CI132" i="1" s="1"/>
  <c r="CJ132" i="1" s="1"/>
  <c r="CF138" i="1"/>
  <c r="CG138" i="1" s="1"/>
  <c r="CF144" i="1"/>
  <c r="CG144" i="1" s="1"/>
  <c r="CH150" i="1"/>
  <c r="CI150" i="1" s="1"/>
  <c r="CJ150" i="1" s="1"/>
  <c r="CF248" i="1"/>
  <c r="CG248" i="1" s="1"/>
  <c r="CG332" i="1"/>
  <c r="CI332" i="1" s="1"/>
  <c r="CJ332" i="1" s="1"/>
  <c r="CF289" i="1"/>
  <c r="CG289" i="1" s="1"/>
  <c r="CF19" i="1"/>
  <c r="CG19" i="1" s="1"/>
  <c r="CH103" i="1"/>
  <c r="CI103" i="1" s="1"/>
  <c r="CJ103" i="1" s="1"/>
  <c r="CF68" i="1"/>
  <c r="CG68" i="1" s="1"/>
  <c r="CH74" i="1"/>
  <c r="CI74" i="1" s="1"/>
  <c r="CJ74" i="1" s="1"/>
  <c r="CH80" i="1"/>
  <c r="CI80" i="1" s="1"/>
  <c r="CJ80" i="1" s="1"/>
  <c r="CF26" i="1"/>
  <c r="CG26" i="1" s="1"/>
  <c r="CF305" i="1"/>
  <c r="CG305" i="1" s="1"/>
  <c r="CF75" i="1"/>
  <c r="CG75" i="1" s="1"/>
  <c r="CH205" i="1"/>
  <c r="CI205" i="1" s="1"/>
  <c r="CJ205" i="1" s="1"/>
  <c r="CH73" i="1"/>
  <c r="CI73" i="1" s="1"/>
  <c r="CJ73" i="1" s="1"/>
  <c r="CH345" i="1"/>
  <c r="CI345" i="1" s="1"/>
  <c r="CJ345" i="1" s="1"/>
  <c r="CF36" i="1"/>
  <c r="CG36" i="1" s="1"/>
  <c r="CH346" i="1"/>
  <c r="CI346" i="1" s="1"/>
  <c r="CJ346" i="1" s="1"/>
  <c r="CH307" i="1"/>
  <c r="CI307" i="1" s="1"/>
  <c r="CJ307" i="1" s="1"/>
  <c r="CH322" i="1"/>
  <c r="CI322" i="1" s="1"/>
  <c r="CJ322" i="1" s="1"/>
  <c r="CH276" i="1"/>
  <c r="CI276" i="1" s="1"/>
  <c r="CJ276" i="1" s="1"/>
  <c r="CH40" i="1"/>
  <c r="CI40" i="1" s="1"/>
  <c r="CJ40" i="1" s="1"/>
  <c r="CH174" i="1"/>
  <c r="CI174" i="1" s="1"/>
  <c r="CJ174" i="1" s="1"/>
  <c r="CH122" i="1"/>
  <c r="CI122" i="1" s="1"/>
  <c r="CJ122" i="1" s="1"/>
  <c r="CH314" i="1"/>
  <c r="CI314" i="1" s="1"/>
  <c r="CJ314" i="1" s="1"/>
  <c r="CH176" i="1"/>
  <c r="CI176" i="1" s="1"/>
  <c r="CJ176" i="1" s="1"/>
  <c r="CH273" i="1"/>
  <c r="CI273" i="1" s="1"/>
  <c r="CJ273" i="1" s="1"/>
  <c r="CH230" i="1"/>
  <c r="CI230" i="1" s="1"/>
  <c r="CJ230" i="1" s="1"/>
  <c r="CH172" i="1"/>
  <c r="CI172" i="1" s="1"/>
  <c r="CJ172" i="1" s="1"/>
  <c r="CH146" i="1"/>
  <c r="CI146" i="1" s="1"/>
  <c r="CJ146" i="1" s="1"/>
  <c r="CH286" i="1"/>
  <c r="CI286" i="1" s="1"/>
  <c r="CJ286" i="1" s="1"/>
  <c r="CH28" i="1"/>
  <c r="CI28" i="1" s="1"/>
  <c r="CJ28" i="1" s="1"/>
  <c r="CH170" i="1"/>
  <c r="CI170" i="1" s="1"/>
  <c r="CJ170" i="1" s="1"/>
  <c r="CH374" i="1"/>
  <c r="CI374" i="1" s="1"/>
  <c r="CJ374" i="1" s="1"/>
  <c r="CH163" i="1"/>
  <c r="CI163" i="1" s="1"/>
  <c r="CJ163" i="1" s="1"/>
  <c r="CH49" i="1"/>
  <c r="CI49" i="1" s="1"/>
  <c r="CJ49" i="1" s="1"/>
  <c r="CH303" i="1"/>
  <c r="CI303" i="1" s="1"/>
  <c r="CJ303" i="1" s="1"/>
  <c r="CH125" i="1"/>
  <c r="CI125" i="1" s="1"/>
  <c r="CJ125" i="1" s="1"/>
  <c r="CH264" i="1"/>
  <c r="CI264" i="1" s="1"/>
  <c r="CJ264" i="1" s="1"/>
  <c r="CH47" i="1"/>
  <c r="CI47" i="1" s="1"/>
  <c r="CJ47" i="1" s="1"/>
  <c r="CH156" i="1"/>
  <c r="CI156" i="1" s="1"/>
  <c r="CJ156" i="1" s="1"/>
  <c r="CH232" i="1"/>
  <c r="CI232" i="1" s="1"/>
  <c r="CJ232" i="1" s="1"/>
  <c r="CH366" i="1"/>
  <c r="CI366" i="1" s="1"/>
  <c r="CJ366" i="1" s="1"/>
  <c r="CH101" i="1"/>
  <c r="CI101" i="1" s="1"/>
  <c r="CJ101" i="1" s="1"/>
  <c r="CH27" i="1"/>
  <c r="CI27" i="1" s="1"/>
  <c r="CJ27" i="1" s="1"/>
  <c r="CH105" i="1"/>
  <c r="CI105" i="1" s="1"/>
  <c r="CJ105" i="1" s="1"/>
  <c r="CH282" i="1"/>
  <c r="CI282" i="1" s="1"/>
  <c r="CJ282" i="1" s="1"/>
  <c r="CH263" i="1"/>
  <c r="CI263" i="1" s="1"/>
  <c r="CJ263" i="1" s="1"/>
  <c r="CH368" i="1"/>
  <c r="CI368" i="1" s="1"/>
  <c r="CJ368" i="1" s="1"/>
  <c r="CH339" i="1"/>
  <c r="CI339" i="1" s="1"/>
  <c r="CJ339" i="1" s="1"/>
  <c r="CF69" i="1"/>
  <c r="CG69" i="1" s="1"/>
  <c r="CH33" i="1"/>
  <c r="CI33" i="1" s="1"/>
  <c r="CJ33" i="1" s="1"/>
  <c r="CH298" i="1"/>
  <c r="CI298" i="1" s="1"/>
  <c r="CJ298" i="1" s="1"/>
  <c r="CH124" i="1"/>
  <c r="CI124" i="1" s="1"/>
  <c r="CJ124" i="1" s="1"/>
  <c r="CH213" i="1"/>
  <c r="CI213" i="1" s="1"/>
  <c r="CJ213" i="1" s="1"/>
  <c r="CH293" i="1"/>
  <c r="CI293" i="1" s="1"/>
  <c r="CJ293" i="1" s="1"/>
  <c r="CH206" i="1"/>
  <c r="CI206" i="1" s="1"/>
  <c r="CJ206" i="1" s="1"/>
  <c r="CF287" i="1"/>
  <c r="CG287" i="1" s="1"/>
  <c r="CH34" i="1"/>
  <c r="CI34" i="1" s="1"/>
  <c r="CJ34" i="1" s="1"/>
  <c r="CH233" i="1"/>
  <c r="CI233" i="1" s="1"/>
  <c r="CJ233" i="1" s="1"/>
  <c r="CF118" i="1"/>
  <c r="CG118" i="1" s="1"/>
  <c r="CF79" i="1"/>
  <c r="CG79" i="1" s="1"/>
  <c r="CH184" i="1"/>
  <c r="CI184" i="1" s="1"/>
  <c r="CJ184" i="1" s="1"/>
  <c r="CH235" i="1"/>
  <c r="CI235" i="1" s="1"/>
  <c r="CJ235" i="1" s="1"/>
  <c r="CH121" i="1"/>
  <c r="CI121" i="1" s="1"/>
  <c r="CJ121" i="1" s="1"/>
  <c r="CH151" i="1"/>
  <c r="CI151" i="1" s="1"/>
  <c r="CJ151" i="1" s="1"/>
  <c r="CH109" i="1"/>
  <c r="CI109" i="1" s="1"/>
  <c r="CJ109" i="1" s="1"/>
  <c r="CH241" i="1"/>
  <c r="CI241" i="1" s="1"/>
  <c r="CJ241" i="1" s="1"/>
  <c r="CH64" i="1"/>
  <c r="CI64" i="1" s="1"/>
  <c r="CJ64" i="1" s="1"/>
  <c r="CF153" i="1"/>
  <c r="CG153" i="1" s="1"/>
  <c r="CF258" i="1"/>
  <c r="CG258" i="1" s="1"/>
  <c r="CF325" i="1"/>
  <c r="CG325" i="1" s="1"/>
  <c r="CH159" i="1"/>
  <c r="CI159" i="1" s="1"/>
  <c r="CJ159" i="1" s="1"/>
  <c r="CH209" i="1"/>
  <c r="CI209" i="1" s="1"/>
  <c r="CJ209" i="1" s="1"/>
  <c r="CH355" i="1"/>
  <c r="CI355" i="1" s="1"/>
  <c r="CJ355" i="1" s="1"/>
  <c r="CH166" i="1"/>
  <c r="CI166" i="1" s="1"/>
  <c r="CJ166" i="1" s="1"/>
  <c r="CH108" i="1"/>
  <c r="CI108" i="1" s="1"/>
  <c r="CJ108" i="1" s="1"/>
  <c r="CH114" i="1"/>
  <c r="CI114" i="1" s="1"/>
  <c r="CJ114" i="1" s="1"/>
  <c r="CH359" i="1"/>
  <c r="CI359" i="1" s="1"/>
  <c r="CJ359" i="1" s="1"/>
  <c r="CH324" i="1"/>
  <c r="CI324" i="1" s="1"/>
  <c r="CJ324" i="1" s="1"/>
  <c r="CH336" i="1"/>
  <c r="CI336" i="1" s="1"/>
  <c r="CJ336" i="1" s="1"/>
  <c r="CH342" i="1"/>
  <c r="CI342" i="1" s="1"/>
  <c r="CJ342" i="1" s="1"/>
  <c r="CF77" i="1"/>
  <c r="CG77" i="1" s="1"/>
  <c r="CF86" i="1"/>
  <c r="CG86" i="1" s="1"/>
  <c r="CH54" i="1"/>
  <c r="CI54" i="1" s="1"/>
  <c r="CJ54" i="1" s="1"/>
  <c r="CH316" i="1"/>
  <c r="CI316" i="1" s="1"/>
  <c r="CJ316" i="1" s="1"/>
  <c r="CH194" i="1"/>
  <c r="CI194" i="1" s="1"/>
  <c r="CJ194" i="1" s="1"/>
  <c r="CH200" i="1"/>
  <c r="CI200" i="1" s="1"/>
  <c r="CJ200" i="1" s="1"/>
  <c r="CH347" i="1"/>
  <c r="CI347" i="1" s="1"/>
  <c r="CJ347" i="1" s="1"/>
  <c r="CH168" i="1"/>
  <c r="CI168" i="1" s="1"/>
  <c r="CJ168" i="1" s="1"/>
  <c r="CH302" i="1"/>
  <c r="CI302" i="1" s="1"/>
  <c r="CJ302" i="1" s="1"/>
  <c r="CH62" i="1"/>
  <c r="CI62" i="1" s="1"/>
  <c r="CJ62" i="1" s="1"/>
  <c r="CH250" i="1"/>
  <c r="CI250" i="1" s="1"/>
  <c r="CJ250" i="1" s="1"/>
  <c r="CH262" i="1"/>
  <c r="CI262" i="1" s="1"/>
  <c r="CJ262" i="1" s="1"/>
  <c r="CH179" i="1"/>
  <c r="CI179" i="1" s="1"/>
  <c r="CJ179" i="1" s="1"/>
  <c r="CH257" i="1"/>
  <c r="CI257" i="1" s="1"/>
  <c r="CJ257" i="1" s="1"/>
  <c r="CH255" i="1"/>
  <c r="CI255" i="1" s="1"/>
  <c r="CJ255" i="1" s="1"/>
  <c r="CH98" i="1"/>
  <c r="CI98" i="1" s="1"/>
  <c r="CJ98" i="1" s="1"/>
  <c r="CF21" i="1"/>
  <c r="CG21" i="1" s="1"/>
  <c r="CF308" i="1"/>
  <c r="CG308" i="1" s="1"/>
  <c r="CF162" i="1"/>
  <c r="CG162" i="1" s="1"/>
  <c r="CH187" i="1"/>
  <c r="CI187" i="1" s="1"/>
  <c r="CJ187" i="1" s="1"/>
  <c r="CH328" i="1"/>
  <c r="CI328" i="1" s="1"/>
  <c r="CJ328" i="1" s="1"/>
  <c r="CH111" i="1"/>
  <c r="CI111" i="1" s="1"/>
  <c r="CJ111" i="1" s="1"/>
  <c r="CF182" i="1"/>
  <c r="CG182" i="1" s="1"/>
  <c r="CF155" i="1"/>
  <c r="CG155" i="1" s="1"/>
  <c r="CH165" i="1"/>
  <c r="CI165" i="1" s="1"/>
  <c r="CJ165" i="1" s="1"/>
  <c r="CH84" i="1"/>
  <c r="CI84" i="1" s="1"/>
  <c r="CJ84" i="1" s="1"/>
  <c r="CH274" i="1"/>
  <c r="CI274" i="1" s="1"/>
  <c r="CJ274" i="1" s="1"/>
  <c r="CH285" i="1"/>
  <c r="CI285" i="1" s="1"/>
  <c r="CJ285" i="1" s="1"/>
  <c r="CH141" i="1"/>
  <c r="CI141" i="1" s="1"/>
  <c r="CJ141" i="1" s="1"/>
  <c r="CH306" i="1"/>
  <c r="CI306" i="1" s="1"/>
  <c r="CJ306" i="1" s="1"/>
  <c r="CH120" i="1"/>
  <c r="CI120" i="1" s="1"/>
  <c r="CJ120" i="1" s="1"/>
  <c r="CH204" i="1"/>
  <c r="CI204" i="1" s="1"/>
  <c r="CJ204" i="1" s="1"/>
  <c r="CH57" i="1"/>
  <c r="CI57" i="1" s="1"/>
  <c r="CJ57" i="1" s="1"/>
  <c r="CH119" i="1"/>
  <c r="CI119" i="1" s="1"/>
  <c r="CJ119" i="1" s="1"/>
  <c r="CF171" i="1"/>
  <c r="CG171" i="1" s="1"/>
  <c r="CF225" i="1"/>
  <c r="CG225" i="1" s="1"/>
  <c r="CF178" i="1"/>
  <c r="CG178" i="1" s="1"/>
  <c r="CF327" i="1"/>
  <c r="CG327" i="1" s="1"/>
  <c r="CG112" i="1"/>
  <c r="CI112" i="1" s="1"/>
  <c r="CJ112" i="1" s="1"/>
  <c r="CH330" i="1"/>
  <c r="CI330" i="1" s="1"/>
  <c r="CJ330" i="1" s="1"/>
  <c r="CH87" i="1"/>
  <c r="CI87" i="1" s="1"/>
  <c r="CJ87" i="1" s="1"/>
  <c r="CH281" i="1"/>
  <c r="CI281" i="1" s="1"/>
  <c r="CJ281" i="1" s="1"/>
  <c r="CH291" i="1"/>
  <c r="CI291" i="1" s="1"/>
  <c r="CJ291" i="1" s="1"/>
  <c r="CH177" i="1"/>
  <c r="CI177" i="1" s="1"/>
  <c r="CJ177" i="1" s="1"/>
  <c r="CH245" i="1"/>
  <c r="CI245" i="1" s="1"/>
  <c r="CJ245" i="1" s="1"/>
  <c r="CG89" i="1"/>
  <c r="CI89" i="1" s="1"/>
  <c r="CJ89" i="1" s="1"/>
  <c r="CF290" i="1"/>
  <c r="CG290" i="1" s="1"/>
  <c r="CH31" i="1"/>
  <c r="CI31" i="1" s="1"/>
  <c r="CJ31" i="1" s="1"/>
  <c r="CH338" i="1"/>
  <c r="CI338" i="1" s="1"/>
  <c r="CJ338" i="1" s="1"/>
  <c r="CH216" i="1"/>
  <c r="CI216" i="1" s="1"/>
  <c r="CJ216" i="1" s="1"/>
  <c r="CH158" i="1"/>
  <c r="CI158" i="1" s="1"/>
  <c r="CJ158" i="1" s="1"/>
  <c r="CH356" i="1"/>
  <c r="CI356" i="1" s="1"/>
  <c r="CJ356" i="1" s="1"/>
  <c r="CF183" i="1"/>
  <c r="CG183" i="1" s="1"/>
  <c r="CH137" i="1"/>
  <c r="CI137" i="1" s="1"/>
  <c r="CJ137" i="1" s="1"/>
  <c r="CH362" i="1"/>
  <c r="CI362" i="1" s="1"/>
  <c r="CJ362" i="1" s="1"/>
  <c r="CH277" i="1"/>
  <c r="CI277" i="1" s="1"/>
  <c r="CJ277" i="1" s="1"/>
  <c r="CH100" i="1"/>
  <c r="CI100" i="1" s="1"/>
  <c r="CJ100" i="1" s="1"/>
  <c r="CF169" i="1"/>
  <c r="CG169" i="1" s="1"/>
  <c r="CF364" i="1"/>
  <c r="CG364" i="1" s="1"/>
  <c r="CH39" i="1"/>
  <c r="CI39" i="1" s="1"/>
  <c r="CJ39" i="1" s="1"/>
  <c r="CH253" i="1"/>
  <c r="CI253" i="1" s="1"/>
  <c r="CJ253" i="1" s="1"/>
  <c r="CH309" i="1"/>
  <c r="CI309" i="1" s="1"/>
  <c r="CJ309" i="1" s="1"/>
  <c r="CH349" i="1"/>
  <c r="CI349" i="1" s="1"/>
  <c r="CJ349" i="1" s="1"/>
  <c r="CH22" i="1"/>
  <c r="CI22" i="1" s="1"/>
  <c r="CJ22" i="1" s="1"/>
  <c r="CF32" i="1"/>
  <c r="CG32" i="1" s="1"/>
  <c r="CF254" i="1"/>
  <c r="CG254" i="1" s="1"/>
  <c r="CH229" i="1"/>
  <c r="CI229" i="1" s="1"/>
  <c r="CJ229" i="1" s="1"/>
  <c r="CH130" i="1"/>
  <c r="CI130" i="1" s="1"/>
  <c r="CJ130" i="1" s="1"/>
  <c r="CH136" i="1"/>
  <c r="CI136" i="1" s="1"/>
  <c r="CJ136" i="1" s="1"/>
  <c r="CH334" i="1"/>
  <c r="CI334" i="1" s="1"/>
  <c r="CJ334" i="1" s="1"/>
  <c r="CF92" i="1"/>
  <c r="CG92" i="1" s="1"/>
  <c r="CF161" i="1"/>
  <c r="CG161" i="1" s="1"/>
  <c r="CF333" i="1"/>
  <c r="CG333" i="1" s="1"/>
  <c r="CF344" i="1"/>
  <c r="CG344" i="1" s="1"/>
  <c r="CF331" i="1"/>
  <c r="CG331" i="1" s="1"/>
  <c r="CH154" i="1"/>
  <c r="CI154" i="1" s="1"/>
  <c r="CJ154" i="1" s="1"/>
  <c r="CH352" i="1"/>
  <c r="CI352" i="1" s="1"/>
  <c r="CJ352" i="1" s="1"/>
  <c r="CH135" i="1"/>
  <c r="CI135" i="1" s="1"/>
  <c r="CJ135" i="1" s="1"/>
  <c r="CH126" i="1"/>
  <c r="CI126" i="1" s="1"/>
  <c r="CJ126" i="1" s="1"/>
  <c r="CH211" i="1"/>
  <c r="CI211" i="1" s="1"/>
  <c r="CJ211" i="1" s="1"/>
  <c r="CF41" i="1"/>
  <c r="CG41" i="1" s="1"/>
  <c r="CF252" i="1"/>
  <c r="CG252" i="1" s="1"/>
  <c r="CF15" i="1"/>
  <c r="CG15" i="1" s="1"/>
  <c r="CA190" i="1"/>
  <c r="CC190" i="1" s="1"/>
  <c r="CA215" i="1"/>
  <c r="CC215" i="1" s="1"/>
  <c r="CA227" i="1"/>
  <c r="CC227" i="1" s="1"/>
  <c r="CB38" i="1"/>
  <c r="CC38" i="1" s="1"/>
  <c r="CB355" i="1"/>
  <c r="CC355" i="1" s="1"/>
  <c r="CB46" i="1"/>
  <c r="CC46" i="1" s="1"/>
  <c r="CB210" i="1"/>
  <c r="CC210" i="1" s="1"/>
  <c r="CA342" i="1"/>
  <c r="CC342" i="1" s="1"/>
  <c r="CA35" i="1"/>
  <c r="CC35" i="1" s="1"/>
  <c r="CB220" i="1"/>
  <c r="CC220" i="1" s="1"/>
  <c r="CB132" i="1"/>
  <c r="CC132" i="1" s="1"/>
  <c r="CA291" i="1"/>
  <c r="CC291" i="1" s="1"/>
  <c r="CA354" i="1"/>
  <c r="CC354" i="1" s="1"/>
  <c r="CA244" i="1"/>
  <c r="CC244" i="1" s="1"/>
  <c r="CB159" i="1"/>
  <c r="CC159" i="1" s="1"/>
  <c r="CB58" i="1"/>
  <c r="CC58" i="1" s="1"/>
  <c r="CA353" i="1"/>
  <c r="CC353" i="1" s="1"/>
  <c r="CB285" i="1"/>
  <c r="CC285" i="1" s="1"/>
  <c r="CB126" i="1"/>
  <c r="CC126" i="1" s="1"/>
  <c r="CA277" i="1"/>
  <c r="CC277" i="1" s="1"/>
  <c r="CB124" i="1"/>
  <c r="CC124" i="1" s="1"/>
  <c r="CA229" i="1"/>
  <c r="CC229" i="1" s="1"/>
  <c r="CB181" i="1"/>
  <c r="CC181" i="1" s="1"/>
  <c r="CB49" i="1"/>
  <c r="CC49" i="1" s="1"/>
  <c r="CA345" i="1"/>
  <c r="CC345" i="1" s="1"/>
  <c r="CA261" i="1"/>
  <c r="CC261" i="1" s="1"/>
  <c r="CB53" i="1"/>
  <c r="CC53" i="1" s="1"/>
  <c r="CB306" i="1"/>
  <c r="CC306" i="1" s="1"/>
  <c r="CB311" i="1"/>
  <c r="CC311" i="1" s="1"/>
  <c r="CB180" i="1"/>
  <c r="CC180" i="1" s="1"/>
  <c r="CA239" i="1"/>
  <c r="CC239" i="1" s="1"/>
  <c r="CB316" i="1"/>
  <c r="CC316" i="1" s="1"/>
  <c r="CB373" i="1"/>
  <c r="CC373" i="1" s="1"/>
  <c r="CB369" i="1"/>
  <c r="CC369" i="1" s="1"/>
  <c r="CB146" i="1"/>
  <c r="CC146" i="1" s="1"/>
  <c r="CA241" i="1"/>
  <c r="CC241" i="1" s="1"/>
  <c r="CA243" i="1"/>
  <c r="CC243" i="1" s="1"/>
  <c r="CA223" i="1"/>
  <c r="CC223" i="1" s="1"/>
  <c r="CB158" i="1"/>
  <c r="CC158" i="1" s="1"/>
  <c r="CB156" i="1"/>
  <c r="CC156" i="1" s="1"/>
  <c r="CB31" i="1"/>
  <c r="CC31" i="1" s="1"/>
  <c r="CB343" i="1"/>
  <c r="CC343" i="1" s="1"/>
  <c r="CB332" i="1"/>
  <c r="CC332" i="1" s="1"/>
  <c r="CB27" i="1"/>
  <c r="CC27" i="1" s="1"/>
  <c r="CA299" i="1"/>
  <c r="CC299" i="1" s="1"/>
  <c r="CA62" i="1"/>
  <c r="CC62" i="1" s="1"/>
  <c r="CB313" i="1"/>
  <c r="CC313" i="1" s="1"/>
  <c r="CA211" i="1"/>
  <c r="CC211" i="1" s="1"/>
  <c r="CA50" i="1"/>
  <c r="CC50" i="1" s="1"/>
  <c r="CB165" i="1"/>
  <c r="CC165" i="1" s="1"/>
  <c r="CB286" i="1"/>
  <c r="CC286" i="1" s="1"/>
  <c r="CB346" i="1"/>
  <c r="CC346" i="1" s="1"/>
  <c r="CB219" i="1"/>
  <c r="CC219" i="1" s="1"/>
  <c r="CB68" i="1"/>
  <c r="CC68" i="1" s="1"/>
  <c r="CB148" i="1"/>
  <c r="CC148" i="1" s="1"/>
  <c r="CA236" i="1"/>
  <c r="CC236" i="1" s="1"/>
  <c r="CB326" i="1"/>
  <c r="CC326" i="1" s="1"/>
  <c r="CA303" i="1"/>
  <c r="CC303" i="1" s="1"/>
  <c r="CA143" i="1"/>
  <c r="CC143" i="1" s="1"/>
  <c r="CB118" i="1"/>
  <c r="CC118" i="1" s="1"/>
  <c r="CA103" i="1"/>
  <c r="CC103" i="1" s="1"/>
  <c r="CB195" i="1"/>
  <c r="CC195" i="1" s="1"/>
  <c r="CB254" i="1"/>
  <c r="CC254" i="1" s="1"/>
  <c r="CB131" i="1"/>
  <c r="CC131" i="1" s="1"/>
  <c r="CB115" i="1"/>
  <c r="CC115" i="1" s="1"/>
  <c r="CB338" i="1"/>
  <c r="CC338" i="1" s="1"/>
  <c r="CB337" i="1"/>
  <c r="CC337" i="1" s="1"/>
  <c r="CA122" i="1"/>
  <c r="CC122" i="1" s="1"/>
  <c r="CB125" i="1"/>
  <c r="CC125" i="1" s="1"/>
  <c r="CB226" i="1"/>
  <c r="CC226" i="1" s="1"/>
  <c r="CB39" i="1"/>
  <c r="CC39" i="1" s="1"/>
  <c r="CB130" i="1"/>
  <c r="CC130" i="1" s="1"/>
  <c r="CB209" i="1"/>
  <c r="CC209" i="1" s="1"/>
  <c r="CA22" i="1"/>
  <c r="CC22" i="1" s="1"/>
  <c r="CA66" i="1"/>
  <c r="CC66" i="1" s="1"/>
  <c r="CA191" i="1"/>
  <c r="CC191" i="1" s="1"/>
  <c r="CA367" i="1"/>
  <c r="CC367" i="1" s="1"/>
  <c r="CA111" i="1"/>
  <c r="CC111" i="1" s="1"/>
  <c r="CA140" i="1"/>
  <c r="CC140" i="1" s="1"/>
  <c r="CB182" i="1"/>
  <c r="CC182" i="1" s="1"/>
  <c r="CA250" i="1"/>
  <c r="CC250" i="1" s="1"/>
  <c r="CA79" i="1"/>
  <c r="CC79" i="1" s="1"/>
  <c r="CA270" i="1"/>
  <c r="CC270" i="1" s="1"/>
  <c r="CA169" i="1"/>
  <c r="CC169" i="1" s="1"/>
  <c r="CB113" i="1"/>
  <c r="CC113" i="1" s="1"/>
  <c r="CA273" i="1"/>
  <c r="CC273" i="1" s="1"/>
  <c r="CA207" i="1"/>
  <c r="CC207" i="1" s="1"/>
  <c r="CB218" i="1"/>
  <c r="CC218" i="1" s="1"/>
  <c r="CA269" i="1"/>
  <c r="CC269" i="1" s="1"/>
  <c r="CB83" i="1"/>
  <c r="CC83" i="1" s="1"/>
  <c r="CA133" i="1"/>
  <c r="CC133" i="1" s="1"/>
  <c r="CA329" i="1"/>
  <c r="CC329" i="1" s="1"/>
  <c r="CB350" i="1"/>
  <c r="CC350" i="1" s="1"/>
  <c r="CA302" i="1"/>
  <c r="CC302" i="1" s="1"/>
  <c r="CB144" i="1"/>
  <c r="CC144" i="1" s="1"/>
  <c r="CA29" i="1"/>
  <c r="CC29" i="1" s="1"/>
  <c r="CB87" i="1"/>
  <c r="CC87" i="1" s="1"/>
  <c r="CB86" i="1"/>
  <c r="CC86" i="1" s="1"/>
  <c r="CA282" i="1"/>
  <c r="CC282" i="1" s="1"/>
  <c r="CB344" i="1"/>
  <c r="CC344" i="1" s="1"/>
  <c r="CA101" i="1"/>
  <c r="CC101" i="1" s="1"/>
  <c r="CA372" i="1"/>
  <c r="CC372" i="1" s="1"/>
  <c r="CB371" i="1"/>
  <c r="CC371" i="1" s="1"/>
  <c r="CB54" i="1"/>
  <c r="CC54" i="1" s="1"/>
  <c r="CB136" i="1"/>
  <c r="CC136" i="1" s="1"/>
  <c r="CA322" i="1"/>
  <c r="CC322" i="1" s="1"/>
  <c r="CA157" i="1"/>
  <c r="CC157" i="1" s="1"/>
  <c r="CB196" i="1"/>
  <c r="CC196" i="1" s="1"/>
  <c r="CB309" i="1"/>
  <c r="CC309" i="1" s="1"/>
  <c r="CB292" i="1"/>
  <c r="CC292" i="1" s="1"/>
  <c r="CA41" i="1"/>
  <c r="CC41" i="1" s="1"/>
  <c r="CB348" i="1"/>
  <c r="CC348" i="1" s="1"/>
  <c r="CA268" i="1"/>
  <c r="CC268" i="1" s="1"/>
  <c r="CA179" i="1"/>
  <c r="CC179" i="1" s="1"/>
  <c r="CB374" i="1"/>
  <c r="CC374" i="1" s="1"/>
  <c r="CB141" i="1"/>
  <c r="CC141" i="1" s="1"/>
  <c r="CA356" i="1"/>
  <c r="CC356" i="1" s="1"/>
  <c r="CB174" i="1"/>
  <c r="CC174" i="1" s="1"/>
  <c r="CA173" i="1"/>
  <c r="CC173" i="1" s="1"/>
  <c r="CB279" i="1"/>
  <c r="CC279" i="1" s="1"/>
  <c r="CB197" i="1"/>
  <c r="CC197" i="1" s="1"/>
  <c r="CA361" i="1"/>
  <c r="CC361" i="1" s="1"/>
  <c r="CA266" i="1"/>
  <c r="CC266" i="1" s="1"/>
  <c r="CA99" i="1"/>
  <c r="CC99" i="1" s="1"/>
  <c r="CB206" i="1"/>
  <c r="CC206" i="1" s="1"/>
  <c r="CA284" i="1"/>
  <c r="CC284" i="1" s="1"/>
  <c r="CB75" i="1"/>
  <c r="CC75" i="1" s="1"/>
  <c r="CA151" i="1"/>
  <c r="CC151" i="1" s="1"/>
  <c r="CB307" i="1"/>
  <c r="CC307" i="1" s="1"/>
  <c r="CA301" i="1"/>
  <c r="CC301" i="1" s="1"/>
  <c r="CA331" i="1"/>
  <c r="CC331" i="1" s="1"/>
  <c r="CA212" i="1"/>
  <c r="CC212" i="1" s="1"/>
  <c r="CB47" i="1"/>
  <c r="CC47" i="1" s="1"/>
  <c r="CA221" i="1"/>
  <c r="CC221" i="1" s="1"/>
  <c r="CA77" i="1"/>
  <c r="CC77" i="1" s="1"/>
  <c r="CA213" i="1"/>
  <c r="CC213" i="1" s="1"/>
  <c r="CA154" i="1"/>
  <c r="CC154" i="1" s="1"/>
  <c r="CA359" i="1"/>
  <c r="CC359" i="1" s="1"/>
  <c r="CB370" i="1"/>
  <c r="CC370" i="1" s="1"/>
  <c r="CA147" i="1"/>
  <c r="CC147" i="1" s="1"/>
  <c r="CA102" i="1"/>
  <c r="CC102" i="1" s="1"/>
  <c r="CA238" i="1"/>
  <c r="CC238" i="1" s="1"/>
  <c r="CA84" i="1"/>
  <c r="CC84" i="1" s="1"/>
  <c r="CA295" i="1"/>
  <c r="CC295" i="1" s="1"/>
  <c r="CB259" i="1"/>
  <c r="CC259" i="1" s="1"/>
  <c r="CB178" i="1"/>
  <c r="CC178" i="1" s="1"/>
  <c r="CB127" i="1"/>
  <c r="CC127" i="1" s="1"/>
  <c r="CA246" i="1"/>
  <c r="CC246" i="1" s="1"/>
  <c r="CB52" i="1"/>
  <c r="CC52" i="1" s="1"/>
  <c r="CB230" i="1"/>
  <c r="CC230" i="1" s="1"/>
  <c r="CB281" i="1"/>
  <c r="CC281" i="1" s="1"/>
  <c r="CB341" i="1"/>
  <c r="CC341" i="1" s="1"/>
  <c r="CA333" i="1"/>
  <c r="CC333" i="1" s="1"/>
  <c r="CA222" i="1"/>
  <c r="CC222" i="1" s="1"/>
  <c r="CA300" i="1"/>
  <c r="CC300" i="1" s="1"/>
  <c r="CA155" i="1"/>
  <c r="CC155" i="1" s="1"/>
  <c r="CA305" i="1"/>
  <c r="CC305" i="1" s="1"/>
  <c r="CB339" i="1"/>
  <c r="CC339" i="1" s="1"/>
  <c r="CA255" i="1"/>
  <c r="CC255" i="1" s="1"/>
  <c r="CB364" i="1"/>
  <c r="CC364" i="1" s="1"/>
  <c r="CA366" i="1"/>
  <c r="CC366" i="1" s="1"/>
  <c r="CB235" i="1"/>
  <c r="CC235" i="1" s="1"/>
  <c r="CA26" i="1"/>
  <c r="CC26" i="1" s="1"/>
  <c r="CA70" i="1"/>
  <c r="CC70" i="1" s="1"/>
  <c r="CB110" i="1"/>
  <c r="CC110" i="1" s="1"/>
  <c r="CB274" i="1"/>
  <c r="CC274" i="1" s="1"/>
  <c r="CB90" i="1"/>
  <c r="CC90" i="1" s="1"/>
  <c r="CA327" i="1"/>
  <c r="CC327" i="1" s="1"/>
  <c r="CB202" i="1"/>
  <c r="CC202" i="1" s="1"/>
  <c r="CB317" i="1"/>
  <c r="CC317" i="1" s="1"/>
  <c r="CB365" i="1"/>
  <c r="CC365" i="1" s="1"/>
  <c r="CB93" i="1"/>
  <c r="CC93" i="1" s="1"/>
  <c r="CA135" i="1"/>
  <c r="CC135" i="1" s="1"/>
  <c r="CB258" i="1"/>
  <c r="CC258" i="1" s="1"/>
  <c r="CA253" i="1"/>
  <c r="CC253" i="1" s="1"/>
  <c r="CB96" i="1"/>
  <c r="CC96" i="1" s="1"/>
  <c r="CA23" i="1"/>
  <c r="CC23" i="1" s="1"/>
  <c r="CA63" i="1"/>
  <c r="CC63" i="1" s="1"/>
  <c r="CA205" i="1"/>
  <c r="CC205" i="1" s="1"/>
  <c r="CA336" i="1"/>
  <c r="CC336" i="1" s="1"/>
  <c r="CA109" i="1"/>
  <c r="CC109" i="1" s="1"/>
  <c r="CA265" i="1"/>
  <c r="CC265" i="1" s="1"/>
  <c r="CA375" i="1"/>
  <c r="CC375" i="1" s="1"/>
  <c r="CA203" i="1"/>
  <c r="CC203" i="1" s="1"/>
  <c r="CA20" i="1"/>
  <c r="CC20" i="1" s="1"/>
  <c r="CB55" i="1"/>
  <c r="CC55" i="1" s="1"/>
  <c r="CB183" i="1"/>
  <c r="CC183" i="1" s="1"/>
  <c r="CA71" i="1"/>
  <c r="CC71" i="1" s="1"/>
  <c r="CB247" i="1"/>
  <c r="CC247" i="1" s="1"/>
  <c r="CA193" i="1"/>
  <c r="CC193" i="1" s="1"/>
  <c r="CB275" i="1"/>
  <c r="CC275" i="1" s="1"/>
  <c r="CB324" i="1"/>
  <c r="CC324" i="1" s="1"/>
  <c r="CA51" i="1"/>
  <c r="CC51" i="1" s="1"/>
  <c r="CA245" i="1"/>
  <c r="CC245" i="1" s="1"/>
  <c r="CB65" i="1"/>
  <c r="CC65" i="1" s="1"/>
  <c r="CA363" i="1"/>
  <c r="CC363" i="1" s="1"/>
  <c r="CA100" i="1"/>
  <c r="CC100" i="1" s="1"/>
  <c r="CB91" i="1"/>
  <c r="CC91" i="1" s="1"/>
  <c r="CA21" i="1"/>
  <c r="CC21" i="1" s="1"/>
  <c r="CA123" i="1"/>
  <c r="CC123" i="1" s="1"/>
  <c r="CA349" i="1"/>
  <c r="CC349" i="1" s="1"/>
  <c r="CA69" i="1"/>
  <c r="CC69" i="1" s="1"/>
  <c r="CB60" i="1"/>
  <c r="CC60" i="1" s="1"/>
  <c r="CB172" i="1"/>
  <c r="CC172" i="1" s="1"/>
  <c r="CB92" i="1"/>
  <c r="CC92" i="1" s="1"/>
  <c r="CA116" i="1"/>
  <c r="CC116" i="1" s="1"/>
  <c r="CB166" i="1"/>
  <c r="CC166" i="1" s="1"/>
  <c r="CA188" i="1"/>
  <c r="CC188" i="1" s="1"/>
  <c r="CB323" i="1"/>
  <c r="CC323" i="1" s="1"/>
  <c r="CB186" i="1"/>
  <c r="CC186" i="1" s="1"/>
  <c r="CB85" i="1"/>
  <c r="CC85" i="1" s="1"/>
  <c r="CA228" i="1"/>
  <c r="CC228" i="1" s="1"/>
  <c r="CB30" i="1"/>
  <c r="CC30" i="1" s="1"/>
  <c r="CB28" i="1"/>
  <c r="CC28" i="1" s="1"/>
  <c r="CA271" i="1"/>
  <c r="CC271" i="1" s="1"/>
  <c r="CA260" i="1"/>
  <c r="CC260" i="1" s="1"/>
  <c r="CB310" i="1"/>
  <c r="CC310" i="1" s="1"/>
  <c r="CB175" i="1"/>
  <c r="CC175" i="1" s="1"/>
  <c r="CB150" i="1"/>
  <c r="CC150" i="1" s="1"/>
  <c r="CB287" i="1"/>
  <c r="CC287" i="1" s="1"/>
  <c r="CA194" i="1"/>
  <c r="CC194" i="1" s="1"/>
  <c r="CA204" i="1"/>
  <c r="CC204" i="1" s="1"/>
  <c r="CA59" i="1"/>
  <c r="CC59" i="1" s="1"/>
  <c r="CA163" i="1"/>
  <c r="CC163" i="1" s="1"/>
  <c r="CB137" i="1"/>
  <c r="CC137" i="1" s="1"/>
  <c r="CA263" i="1"/>
  <c r="CC263" i="1" s="1"/>
  <c r="CB45" i="1"/>
  <c r="CC45" i="1" s="1"/>
  <c r="CA294" i="1"/>
  <c r="CC294" i="1" s="1"/>
  <c r="CB328" i="1"/>
  <c r="CC328" i="1" s="1"/>
  <c r="CA37" i="1"/>
  <c r="CC37" i="1" s="1"/>
  <c r="CA318" i="1"/>
  <c r="CC318" i="1" s="1"/>
  <c r="CA74" i="1"/>
  <c r="CC74" i="1" s="1"/>
  <c r="CA167" i="1"/>
  <c r="CC167" i="1" s="1"/>
  <c r="CA335" i="1"/>
  <c r="CC335" i="1" s="1"/>
  <c r="CA256" i="1"/>
  <c r="CC256" i="1" s="1"/>
  <c r="CB78" i="1"/>
  <c r="CC78" i="1" s="1"/>
  <c r="CB312" i="1"/>
  <c r="CC312" i="1" s="1"/>
  <c r="CB321" i="1"/>
  <c r="CC321" i="1" s="1"/>
  <c r="CA358" i="1"/>
  <c r="CC358" i="1" s="1"/>
  <c r="CB189" i="1"/>
  <c r="CC189" i="1" s="1"/>
  <c r="CA252" i="1"/>
  <c r="CC252" i="1" s="1"/>
  <c r="CA242" i="1"/>
  <c r="CC242" i="1" s="1"/>
  <c r="CA164" i="1"/>
  <c r="CC164" i="1" s="1"/>
  <c r="CA134" i="1"/>
  <c r="CC134" i="1" s="1"/>
  <c r="CA36" i="1"/>
  <c r="CC36" i="1" s="1"/>
  <c r="CA198" i="1"/>
  <c r="CC198" i="1" s="1"/>
  <c r="CB315" i="1"/>
  <c r="CC315" i="1" s="1"/>
  <c r="CB95" i="1"/>
  <c r="CC95" i="1" s="1"/>
  <c r="CB138" i="1"/>
  <c r="CC138" i="1" s="1"/>
  <c r="CA139" i="1"/>
  <c r="CC139" i="1" s="1"/>
  <c r="CA334" i="1"/>
  <c r="CC334" i="1" s="1"/>
  <c r="CB67" i="1"/>
  <c r="CC67" i="1" s="1"/>
  <c r="CA129" i="1"/>
  <c r="CC129" i="1" s="1"/>
  <c r="CA187" i="1"/>
  <c r="CC187" i="1" s="1"/>
  <c r="CA278" i="1"/>
  <c r="CC278" i="1" s="1"/>
  <c r="CA267" i="1"/>
  <c r="CC267" i="1" s="1"/>
  <c r="CB44" i="1"/>
  <c r="CC44" i="1" s="1"/>
  <c r="CA61" i="1"/>
  <c r="CC61" i="1" s="1"/>
  <c r="CB142" i="1"/>
  <c r="CC142" i="1" s="1"/>
  <c r="CA290" i="1"/>
  <c r="CC290" i="1" s="1"/>
  <c r="CA217" i="1"/>
  <c r="CC217" i="1" s="1"/>
  <c r="CB171" i="1"/>
  <c r="CC171" i="1" s="1"/>
  <c r="CB76" i="1"/>
  <c r="CC76" i="1" s="1"/>
  <c r="CB199" i="1"/>
  <c r="CC199" i="1" s="1"/>
  <c r="CA314" i="1"/>
  <c r="CC314" i="1" s="1"/>
  <c r="CB82" i="1"/>
  <c r="CC82" i="1" s="1"/>
  <c r="CB114" i="1"/>
  <c r="CC114" i="1" s="1"/>
  <c r="CA201" i="1"/>
  <c r="CC201" i="1" s="1"/>
  <c r="CB18" i="1"/>
  <c r="CC18" i="1" s="1"/>
  <c r="CB117" i="1"/>
  <c r="CC117" i="1" s="1"/>
  <c r="CB340" i="1"/>
  <c r="CC340" i="1" s="1"/>
  <c r="CA262" i="1"/>
  <c r="CC262" i="1" s="1"/>
  <c r="CA283" i="1"/>
  <c r="CC283" i="1" s="1"/>
  <c r="CB276" i="1"/>
  <c r="CC276" i="1" s="1"/>
  <c r="CB330" i="1"/>
  <c r="CC330" i="1" s="1"/>
  <c r="CA108" i="1"/>
  <c r="CC108" i="1" s="1"/>
  <c r="CA325" i="1"/>
  <c r="CC325" i="1" s="1"/>
  <c r="CA293" i="1"/>
  <c r="CC293" i="1" s="1"/>
  <c r="CB119" i="1"/>
  <c r="CC119" i="1" s="1"/>
  <c r="CB351" i="1"/>
  <c r="CC351" i="1" s="1"/>
  <c r="CB149" i="1"/>
  <c r="CC149" i="1" s="1"/>
  <c r="CB357" i="1"/>
  <c r="CC357" i="1" s="1"/>
  <c r="CB153" i="1"/>
  <c r="CC153" i="1" s="1"/>
  <c r="CA107" i="1"/>
  <c r="CC107" i="1" s="1"/>
  <c r="CB43" i="1"/>
  <c r="CC43" i="1" s="1"/>
  <c r="CA208" i="1"/>
  <c r="CC208" i="1" s="1"/>
  <c r="CA272" i="1"/>
  <c r="CC272" i="1" s="1"/>
  <c r="CB177" i="1"/>
  <c r="CC177" i="1" s="1"/>
  <c r="CB94" i="1"/>
  <c r="CC94" i="1" s="1"/>
  <c r="CB347" i="1"/>
  <c r="CC347" i="1" s="1"/>
  <c r="CB231" i="1"/>
  <c r="CC231" i="1" s="1"/>
  <c r="CA308" i="1"/>
  <c r="CC308" i="1" s="1"/>
  <c r="CB19" i="1"/>
  <c r="CC19" i="1" s="1"/>
  <c r="CA216" i="1"/>
  <c r="CC216" i="1" s="1"/>
  <c r="CB251" i="1"/>
  <c r="CC251" i="1" s="1"/>
  <c r="CB106" i="1"/>
  <c r="CC106" i="1" s="1"/>
  <c r="CA319" i="1"/>
  <c r="CC319" i="1" s="1"/>
  <c r="CB237" i="1"/>
  <c r="CC237" i="1" s="1"/>
  <c r="CA73" i="1"/>
  <c r="CC73" i="1" s="1"/>
  <c r="CA162" i="1"/>
  <c r="CC162" i="1" s="1"/>
  <c r="CA121" i="1"/>
  <c r="CC121" i="1" s="1"/>
  <c r="CA161" i="1"/>
  <c r="CC161" i="1" s="1"/>
  <c r="CB192" i="1"/>
  <c r="CC192" i="1" s="1"/>
  <c r="CB297" i="1"/>
  <c r="CC297" i="1" s="1"/>
  <c r="CA233" i="1"/>
  <c r="CC233" i="1" s="1"/>
  <c r="CA234" i="1"/>
  <c r="CC234" i="1" s="1"/>
  <c r="CA176" i="1"/>
  <c r="CC176" i="1" s="1"/>
  <c r="CB225" i="1"/>
  <c r="CC225" i="1" s="1"/>
  <c r="CA289" i="1"/>
  <c r="CC289" i="1" s="1"/>
  <c r="CA298" i="1"/>
  <c r="CC298" i="1" s="1"/>
  <c r="CB249" i="1"/>
  <c r="CC249" i="1" s="1"/>
  <c r="CA25" i="1"/>
  <c r="CC25" i="1" s="1"/>
  <c r="CA105" i="1"/>
  <c r="CC105" i="1" s="1"/>
  <c r="CB33" i="1"/>
  <c r="CC33" i="1" s="1"/>
  <c r="CB145" i="1"/>
  <c r="CC145" i="1" s="1"/>
  <c r="CB360" i="1"/>
  <c r="CC360" i="1" s="1"/>
  <c r="CB264" i="1"/>
  <c r="CC264" i="1" s="1"/>
  <c r="CA57" i="1"/>
  <c r="CC57" i="1" s="1"/>
  <c r="CA48" i="1"/>
  <c r="CC48" i="1" s="1"/>
  <c r="CA64" i="1"/>
  <c r="CC64" i="1" s="1"/>
  <c r="CA34" i="1"/>
  <c r="CC34" i="1" s="1"/>
  <c r="CA320" i="1"/>
  <c r="CC320" i="1" s="1"/>
  <c r="CB257" i="1"/>
  <c r="CC257" i="1" s="1"/>
  <c r="CB362" i="1"/>
  <c r="CC362" i="1" s="1"/>
  <c r="CA89" i="1"/>
  <c r="CC89" i="1" s="1"/>
  <c r="CB32" i="1"/>
  <c r="CC32" i="1" s="1"/>
  <c r="CB280" i="1"/>
  <c r="CC280" i="1" s="1"/>
  <c r="CA152" i="1"/>
  <c r="CC152" i="1" s="1"/>
  <c r="CB42" i="1"/>
  <c r="CC42" i="1" s="1"/>
  <c r="CB80" i="1"/>
  <c r="CC80" i="1" s="1"/>
  <c r="CA112" i="1"/>
  <c r="CC112" i="1" s="1"/>
  <c r="CA72" i="1"/>
  <c r="CC72" i="1" s="1"/>
  <c r="CA97" i="1"/>
  <c r="CC97" i="1" s="1"/>
  <c r="CB368" i="1"/>
  <c r="CC368" i="1" s="1"/>
  <c r="CA98" i="1"/>
  <c r="CC98" i="1" s="1"/>
  <c r="CB185" i="1"/>
  <c r="CC185" i="1" s="1"/>
  <c r="CA17" i="1"/>
  <c r="CC17" i="1" s="1"/>
  <c r="CB200" i="1"/>
  <c r="CC200" i="1" s="1"/>
  <c r="CB248" i="1"/>
  <c r="CC248" i="1" s="1"/>
  <c r="CA56" i="1"/>
  <c r="CC56" i="1" s="1"/>
  <c r="CA81" i="1"/>
  <c r="CC81" i="1" s="1"/>
  <c r="CA128" i="1"/>
  <c r="CC128" i="1" s="1"/>
  <c r="CB232" i="1"/>
  <c r="CC232" i="1" s="1"/>
  <c r="CB16" i="1"/>
  <c r="CC16" i="1" s="1"/>
  <c r="CB184" i="1"/>
  <c r="CC184" i="1" s="1"/>
  <c r="CA88" i="1"/>
  <c r="CC88" i="1" s="1"/>
  <c r="CB296" i="1"/>
  <c r="CC296" i="1" s="1"/>
  <c r="CA352" i="1"/>
  <c r="CC352" i="1" s="1"/>
  <c r="CA168" i="1"/>
  <c r="CC168" i="1" s="1"/>
  <c r="CA240" i="1"/>
  <c r="CC240" i="1" s="1"/>
  <c r="CB304" i="1"/>
  <c r="CC304" i="1" s="1"/>
  <c r="CA120" i="1"/>
  <c r="CC120" i="1" s="1"/>
  <c r="CA288" i="1"/>
  <c r="CC288" i="1" s="1"/>
  <c r="CB24" i="1"/>
  <c r="CC24" i="1" s="1"/>
  <c r="CB160" i="1"/>
  <c r="CC160" i="1" s="1"/>
  <c r="CB40" i="1"/>
  <c r="CC40" i="1" s="1"/>
  <c r="CA104" i="1"/>
  <c r="CC104" i="1" s="1"/>
  <c r="CA224" i="1"/>
  <c r="CC224" i="1" s="1"/>
  <c r="J188" i="1"/>
  <c r="K188" i="1" s="1"/>
  <c r="L188" i="1" s="1"/>
  <c r="M188" i="1" s="1"/>
  <c r="N188" i="1" s="1"/>
  <c r="J190" i="1"/>
  <c r="K190" i="1" s="1"/>
  <c r="L190" i="1" s="1"/>
  <c r="M190" i="1" s="1"/>
  <c r="N190" i="1" s="1"/>
  <c r="J189" i="1"/>
  <c r="K189" i="1" s="1"/>
  <c r="L189" i="1" s="1"/>
  <c r="M189" i="1" s="1"/>
  <c r="N189" i="1" s="1"/>
  <c r="J191" i="1"/>
  <c r="K191" i="1" s="1"/>
  <c r="J185" i="1"/>
  <c r="K185" i="1" s="1"/>
  <c r="J192" i="1"/>
  <c r="K192" i="1" s="1"/>
  <c r="J193" i="1"/>
  <c r="K193" i="1" s="1"/>
  <c r="J186" i="1"/>
  <c r="K186" i="1" s="1"/>
  <c r="J194" i="1"/>
  <c r="K194" i="1" s="1"/>
  <c r="J187" i="1"/>
  <c r="K187" i="1" s="1"/>
  <c r="F56" i="1"/>
  <c r="G56" i="1" s="1"/>
  <c r="E171" i="1"/>
  <c r="F53" i="1"/>
  <c r="G53" i="1" s="1"/>
  <c r="C161" i="1"/>
  <c r="J64" i="1"/>
  <c r="K64" i="1" s="1"/>
  <c r="L64" i="1" s="1"/>
  <c r="M64" i="1" s="1"/>
  <c r="O64" i="1" s="1"/>
  <c r="B148" i="1"/>
  <c r="F170" i="1" s="1"/>
  <c r="F50" i="1"/>
  <c r="G50" i="1" s="1"/>
  <c r="B158" i="1"/>
  <c r="B169" i="1" s="1"/>
  <c r="BZ11" i="1"/>
  <c r="G41" i="1"/>
  <c r="O38" i="1" s="1"/>
  <c r="O33" i="1" s="1"/>
  <c r="J66" i="1"/>
  <c r="K66" i="1" s="1"/>
  <c r="L66" i="1" s="1"/>
  <c r="M66" i="1" s="1"/>
  <c r="N66" i="1" s="1"/>
  <c r="J68" i="1"/>
  <c r="K68" i="1" s="1"/>
  <c r="L68" i="1" s="1"/>
  <c r="M68" i="1" s="1"/>
  <c r="J71" i="1"/>
  <c r="J67" i="1"/>
  <c r="K67" i="1" s="1"/>
  <c r="L67" i="1" s="1"/>
  <c r="M67" i="1" s="1"/>
  <c r="O67" i="1" s="1"/>
  <c r="J63" i="1"/>
  <c r="K63" i="1" s="1"/>
  <c r="L63" i="1" s="1"/>
  <c r="M63" i="1" s="1"/>
  <c r="O63" i="1" s="1"/>
  <c r="J70" i="1"/>
  <c r="J65" i="1"/>
  <c r="K65" i="1" s="1"/>
  <c r="L65" i="1" s="1"/>
  <c r="M65" i="1" s="1"/>
  <c r="O65" i="1" s="1"/>
  <c r="G40" i="1"/>
  <c r="K38" i="1" s="1"/>
  <c r="K39" i="1" s="1"/>
  <c r="J34" i="1" s="1"/>
  <c r="J69" i="1"/>
  <c r="J62" i="1"/>
  <c r="K62" i="1" s="1"/>
  <c r="L62" i="1" s="1"/>
  <c r="M62" i="1" s="1"/>
  <c r="N62" i="1" s="1"/>
  <c r="L194" i="1" l="1"/>
  <c r="M194" i="1" s="1"/>
  <c r="N194" i="1" s="1"/>
  <c r="L193" i="1"/>
  <c r="M193" i="1" s="1"/>
  <c r="N193" i="1" s="1"/>
  <c r="DY28" i="1"/>
  <c r="DW26" i="1"/>
  <c r="DX28" i="1"/>
  <c r="DX26" i="1"/>
  <c r="DW28" i="1"/>
  <c r="DW27" i="1"/>
  <c r="DY27" i="1"/>
  <c r="DY26" i="1"/>
  <c r="DX27" i="1"/>
  <c r="CH17" i="1"/>
  <c r="CI17" i="1" s="1"/>
  <c r="CJ17" i="1" s="1"/>
  <c r="CI50" i="1"/>
  <c r="CJ50" i="1" s="1"/>
  <c r="CH86" i="1"/>
  <c r="CI86" i="1" s="1"/>
  <c r="CJ86" i="1" s="1"/>
  <c r="CH115" i="1"/>
  <c r="CI115" i="1" s="1"/>
  <c r="CJ115" i="1" s="1"/>
  <c r="CH268" i="1"/>
  <c r="CI268" i="1" s="1"/>
  <c r="CJ268" i="1" s="1"/>
  <c r="CH71" i="1"/>
  <c r="CI71" i="1" s="1"/>
  <c r="CJ71" i="1" s="1"/>
  <c r="CH76" i="1"/>
  <c r="CI76" i="1" s="1"/>
  <c r="CJ76" i="1" s="1"/>
  <c r="CH42" i="1"/>
  <c r="CI42" i="1" s="1"/>
  <c r="CJ42" i="1" s="1"/>
  <c r="CH191" i="1"/>
  <c r="CI191" i="1" s="1"/>
  <c r="CJ191" i="1" s="1"/>
  <c r="CH360" i="1"/>
  <c r="CI360" i="1" s="1"/>
  <c r="CJ360" i="1" s="1"/>
  <c r="CH196" i="1"/>
  <c r="CI196" i="1" s="1"/>
  <c r="CJ196" i="1" s="1"/>
  <c r="CI113" i="1"/>
  <c r="CJ113" i="1" s="1"/>
  <c r="CH319" i="1"/>
  <c r="CI319" i="1" s="1"/>
  <c r="CJ319" i="1" s="1"/>
  <c r="CH30" i="1"/>
  <c r="CI30" i="1" s="1"/>
  <c r="CJ30" i="1" s="1"/>
  <c r="CI173" i="1"/>
  <c r="CJ173" i="1" s="1"/>
  <c r="CH296" i="1"/>
  <c r="CI296" i="1" s="1"/>
  <c r="CJ296" i="1" s="1"/>
  <c r="CH308" i="1"/>
  <c r="CI308" i="1" s="1"/>
  <c r="CJ308" i="1" s="1"/>
  <c r="CH221" i="1"/>
  <c r="CI221" i="1" s="1"/>
  <c r="CJ221" i="1" s="1"/>
  <c r="CH56" i="1"/>
  <c r="CI56" i="1" s="1"/>
  <c r="CJ56" i="1" s="1"/>
  <c r="CH252" i="1"/>
  <c r="CI252" i="1" s="1"/>
  <c r="CJ252" i="1" s="1"/>
  <c r="CH325" i="1"/>
  <c r="CI325" i="1" s="1"/>
  <c r="CJ325" i="1" s="1"/>
  <c r="CH287" i="1"/>
  <c r="CI287" i="1" s="1"/>
  <c r="CJ287" i="1" s="1"/>
  <c r="CH261" i="1"/>
  <c r="CI261" i="1" s="1"/>
  <c r="CJ261" i="1" s="1"/>
  <c r="CH44" i="1"/>
  <c r="CI44" i="1" s="1"/>
  <c r="CJ44" i="1" s="1"/>
  <c r="CH162" i="1"/>
  <c r="CI162" i="1" s="1"/>
  <c r="CJ162" i="1" s="1"/>
  <c r="CH343" i="1"/>
  <c r="CI343" i="1" s="1"/>
  <c r="CJ343" i="1" s="1"/>
  <c r="CH142" i="1"/>
  <c r="CI142" i="1" s="1"/>
  <c r="CJ142" i="1" s="1"/>
  <c r="CH128" i="1"/>
  <c r="CI128" i="1" s="1"/>
  <c r="CJ128" i="1" s="1"/>
  <c r="CH127" i="1"/>
  <c r="CI127" i="1" s="1"/>
  <c r="CJ127" i="1" s="1"/>
  <c r="CH358" i="1"/>
  <c r="CI358" i="1" s="1"/>
  <c r="CJ358" i="1" s="1"/>
  <c r="CH256" i="1"/>
  <c r="CI256" i="1" s="1"/>
  <c r="CJ256" i="1" s="1"/>
  <c r="CH266" i="1"/>
  <c r="CI266" i="1" s="1"/>
  <c r="CJ266" i="1" s="1"/>
  <c r="CH61" i="1"/>
  <c r="CI61" i="1" s="1"/>
  <c r="CJ61" i="1" s="1"/>
  <c r="CH77" i="1"/>
  <c r="CI77" i="1" s="1"/>
  <c r="CJ77" i="1" s="1"/>
  <c r="CH169" i="1"/>
  <c r="CI169" i="1" s="1"/>
  <c r="CJ169" i="1" s="1"/>
  <c r="CH94" i="1"/>
  <c r="CI94" i="1" s="1"/>
  <c r="CJ94" i="1" s="1"/>
  <c r="CH46" i="1"/>
  <c r="CI46" i="1" s="1"/>
  <c r="CJ46" i="1" s="1"/>
  <c r="CH239" i="1"/>
  <c r="CI239" i="1" s="1"/>
  <c r="CJ239" i="1" s="1"/>
  <c r="CH333" i="1"/>
  <c r="CI333" i="1" s="1"/>
  <c r="CJ333" i="1" s="1"/>
  <c r="CH79" i="1"/>
  <c r="CI79" i="1" s="1"/>
  <c r="CJ79" i="1" s="1"/>
  <c r="CH258" i="1"/>
  <c r="CI258" i="1" s="1"/>
  <c r="CJ258" i="1" s="1"/>
  <c r="CH279" i="1"/>
  <c r="CI279" i="1" s="1"/>
  <c r="CJ279" i="1" s="1"/>
  <c r="CH225" i="1"/>
  <c r="CI225" i="1" s="1"/>
  <c r="CJ225" i="1" s="1"/>
  <c r="CG16" i="1"/>
  <c r="CI16" i="1" s="1"/>
  <c r="CJ16" i="1" s="1"/>
  <c r="CH51" i="1"/>
  <c r="CI51" i="1" s="1"/>
  <c r="CJ51" i="1" s="1"/>
  <c r="CH117" i="1"/>
  <c r="CI117" i="1" s="1"/>
  <c r="CJ117" i="1" s="1"/>
  <c r="CH208" i="1"/>
  <c r="CI208" i="1" s="1"/>
  <c r="CJ208" i="1" s="1"/>
  <c r="CH96" i="1"/>
  <c r="CI96" i="1" s="1"/>
  <c r="CJ96" i="1" s="1"/>
  <c r="CH371" i="1"/>
  <c r="CI371" i="1" s="1"/>
  <c r="CJ371" i="1" s="1"/>
  <c r="CH249" i="1"/>
  <c r="CI249" i="1" s="1"/>
  <c r="CJ249" i="1" s="1"/>
  <c r="CH175" i="1"/>
  <c r="CI175" i="1" s="1"/>
  <c r="CJ175" i="1" s="1"/>
  <c r="CH55" i="1"/>
  <c r="CI55" i="1" s="1"/>
  <c r="CJ55" i="1" s="1"/>
  <c r="CH37" i="1"/>
  <c r="CI37" i="1" s="1"/>
  <c r="CJ37" i="1" s="1"/>
  <c r="CH278" i="1"/>
  <c r="CI278" i="1" s="1"/>
  <c r="CJ278" i="1" s="1"/>
  <c r="CH63" i="1"/>
  <c r="CI63" i="1" s="1"/>
  <c r="CJ63" i="1" s="1"/>
  <c r="CH310" i="1"/>
  <c r="CI310" i="1" s="1"/>
  <c r="CJ310" i="1" s="1"/>
  <c r="CH35" i="1"/>
  <c r="CI35" i="1" s="1"/>
  <c r="CJ35" i="1" s="1"/>
  <c r="CH69" i="1"/>
  <c r="CI69" i="1" s="1"/>
  <c r="CJ69" i="1" s="1"/>
  <c r="CH373" i="1"/>
  <c r="CI373" i="1" s="1"/>
  <c r="CJ373" i="1" s="1"/>
  <c r="CH164" i="1"/>
  <c r="CI164" i="1" s="1"/>
  <c r="CJ164" i="1" s="1"/>
  <c r="CI270" i="1"/>
  <c r="CJ270" i="1" s="1"/>
  <c r="CH178" i="1"/>
  <c r="CI178" i="1" s="1"/>
  <c r="CJ178" i="1" s="1"/>
  <c r="CH290" i="1"/>
  <c r="CI290" i="1" s="1"/>
  <c r="CJ290" i="1" s="1"/>
  <c r="CH26" i="1"/>
  <c r="CI26" i="1" s="1"/>
  <c r="CJ26" i="1" s="1"/>
  <c r="CH180" i="1"/>
  <c r="CI180" i="1" s="1"/>
  <c r="CJ180" i="1" s="1"/>
  <c r="CH271" i="1"/>
  <c r="CI271" i="1" s="1"/>
  <c r="CJ271" i="1" s="1"/>
  <c r="CH144" i="1"/>
  <c r="CI144" i="1" s="1"/>
  <c r="CJ144" i="1" s="1"/>
  <c r="CH247" i="1"/>
  <c r="CI247" i="1" s="1"/>
  <c r="CJ247" i="1" s="1"/>
  <c r="CH83" i="1"/>
  <c r="CI83" i="1" s="1"/>
  <c r="CJ83" i="1" s="1"/>
  <c r="CH88" i="1"/>
  <c r="CI88" i="1" s="1"/>
  <c r="CJ88" i="1" s="1"/>
  <c r="CH375" i="1"/>
  <c r="CI375" i="1" s="1"/>
  <c r="CJ375" i="1" s="1"/>
  <c r="CH305" i="1"/>
  <c r="CI305" i="1" s="1"/>
  <c r="CJ305" i="1" s="1"/>
  <c r="CH181" i="1"/>
  <c r="CI181" i="1" s="1"/>
  <c r="CJ181" i="1" s="1"/>
  <c r="CH148" i="1"/>
  <c r="CI148" i="1" s="1"/>
  <c r="CJ148" i="1" s="1"/>
  <c r="CH354" i="1"/>
  <c r="CI354" i="1" s="1"/>
  <c r="CJ354" i="1" s="1"/>
  <c r="CH92" i="1"/>
  <c r="CI92" i="1" s="1"/>
  <c r="CJ92" i="1" s="1"/>
  <c r="CH183" i="1"/>
  <c r="CI183" i="1" s="1"/>
  <c r="CJ183" i="1" s="1"/>
  <c r="CH155" i="1"/>
  <c r="CI155" i="1" s="1"/>
  <c r="CJ155" i="1" s="1"/>
  <c r="CH32" i="1"/>
  <c r="CI32" i="1" s="1"/>
  <c r="CJ32" i="1" s="1"/>
  <c r="CH19" i="1"/>
  <c r="CI19" i="1" s="1"/>
  <c r="CJ19" i="1" s="1"/>
  <c r="CH297" i="1"/>
  <c r="CI297" i="1" s="1"/>
  <c r="CJ297" i="1" s="1"/>
  <c r="CH25" i="1"/>
  <c r="CI25" i="1" s="1"/>
  <c r="CJ25" i="1" s="1"/>
  <c r="CH260" i="1"/>
  <c r="CI260" i="1" s="1"/>
  <c r="CJ260" i="1" s="1"/>
  <c r="CH182" i="1"/>
  <c r="CI182" i="1" s="1"/>
  <c r="CJ182" i="1" s="1"/>
  <c r="CH189" i="1"/>
  <c r="CI189" i="1" s="1"/>
  <c r="CJ189" i="1" s="1"/>
  <c r="CH133" i="1"/>
  <c r="CI133" i="1" s="1"/>
  <c r="CJ133" i="1" s="1"/>
  <c r="CH237" i="1"/>
  <c r="CI237" i="1" s="1"/>
  <c r="CJ237" i="1" s="1"/>
  <c r="CH284" i="1"/>
  <c r="CI284" i="1" s="1"/>
  <c r="CJ284" i="1" s="1"/>
  <c r="CH202" i="1"/>
  <c r="CI202" i="1" s="1"/>
  <c r="CJ202" i="1" s="1"/>
  <c r="CH320" i="1"/>
  <c r="CI320" i="1" s="1"/>
  <c r="CJ320" i="1" s="1"/>
  <c r="CH370" i="1"/>
  <c r="CI370" i="1" s="1"/>
  <c r="CJ370" i="1" s="1"/>
  <c r="CH240" i="1"/>
  <c r="CI240" i="1" s="1"/>
  <c r="CJ240" i="1" s="1"/>
  <c r="CH20" i="1"/>
  <c r="CI20" i="1" s="1"/>
  <c r="CJ20" i="1" s="1"/>
  <c r="CH90" i="1"/>
  <c r="CI90" i="1" s="1"/>
  <c r="CJ90" i="1" s="1"/>
  <c r="CH315" i="1"/>
  <c r="CI315" i="1" s="1"/>
  <c r="CJ315" i="1" s="1"/>
  <c r="CH329" i="1"/>
  <c r="CI329" i="1" s="1"/>
  <c r="CJ329" i="1" s="1"/>
  <c r="CH67" i="1"/>
  <c r="CI67" i="1" s="1"/>
  <c r="CJ67" i="1" s="1"/>
  <c r="CH161" i="1"/>
  <c r="CI161" i="1" s="1"/>
  <c r="CJ161" i="1" s="1"/>
  <c r="CH364" i="1"/>
  <c r="CI364" i="1" s="1"/>
  <c r="CJ364" i="1" s="1"/>
  <c r="CH344" i="1"/>
  <c r="CI344" i="1" s="1"/>
  <c r="CJ344" i="1" s="1"/>
  <c r="CH36" i="1"/>
  <c r="CI36" i="1" s="1"/>
  <c r="CJ36" i="1" s="1"/>
  <c r="CH138" i="1"/>
  <c r="CI138" i="1" s="1"/>
  <c r="CJ138" i="1" s="1"/>
  <c r="CH38" i="1"/>
  <c r="CI38" i="1" s="1"/>
  <c r="CJ38" i="1" s="1"/>
  <c r="CH313" i="1"/>
  <c r="CI313" i="1" s="1"/>
  <c r="CJ313" i="1" s="1"/>
  <c r="CH203" i="1"/>
  <c r="CI203" i="1" s="1"/>
  <c r="CJ203" i="1" s="1"/>
  <c r="CH292" i="1"/>
  <c r="CI292" i="1" s="1"/>
  <c r="CJ292" i="1" s="1"/>
  <c r="CH242" i="1"/>
  <c r="CI242" i="1" s="1"/>
  <c r="CJ242" i="1" s="1"/>
  <c r="CH78" i="1"/>
  <c r="CI78" i="1" s="1"/>
  <c r="CJ78" i="1" s="1"/>
  <c r="CH24" i="1"/>
  <c r="CI24" i="1" s="1"/>
  <c r="CJ24" i="1" s="1"/>
  <c r="CH147" i="1"/>
  <c r="CI147" i="1" s="1"/>
  <c r="CJ147" i="1" s="1"/>
  <c r="CH212" i="1"/>
  <c r="CI212" i="1" s="1"/>
  <c r="CJ212" i="1" s="1"/>
  <c r="CH331" i="1"/>
  <c r="CI331" i="1" s="1"/>
  <c r="CJ331" i="1" s="1"/>
  <c r="CH65" i="1"/>
  <c r="CI65" i="1" s="1"/>
  <c r="CJ65" i="1" s="1"/>
  <c r="CH95" i="1"/>
  <c r="CI95" i="1" s="1"/>
  <c r="CJ95" i="1" s="1"/>
  <c r="CH41" i="1"/>
  <c r="CI41" i="1" s="1"/>
  <c r="CJ41" i="1" s="1"/>
  <c r="CH254" i="1"/>
  <c r="CI254" i="1" s="1"/>
  <c r="CJ254" i="1" s="1"/>
  <c r="CH153" i="1"/>
  <c r="CI153" i="1" s="1"/>
  <c r="CJ153" i="1" s="1"/>
  <c r="CH327" i="1"/>
  <c r="CI327" i="1" s="1"/>
  <c r="CJ327" i="1" s="1"/>
  <c r="CH131" i="1"/>
  <c r="CI131" i="1" s="1"/>
  <c r="CJ131" i="1" s="1"/>
  <c r="CH18" i="1"/>
  <c r="CI18" i="1" s="1"/>
  <c r="CJ18" i="1" s="1"/>
  <c r="CH223" i="1"/>
  <c r="CI223" i="1" s="1"/>
  <c r="CJ223" i="1" s="1"/>
  <c r="CH118" i="1"/>
  <c r="CI118" i="1" s="1"/>
  <c r="CJ118" i="1" s="1"/>
  <c r="CH228" i="1"/>
  <c r="CI228" i="1" s="1"/>
  <c r="CJ228" i="1" s="1"/>
  <c r="CH215" i="1"/>
  <c r="CI215" i="1" s="1"/>
  <c r="CJ215" i="1" s="1"/>
  <c r="CH134" i="1"/>
  <c r="CI134" i="1" s="1"/>
  <c r="CJ134" i="1" s="1"/>
  <c r="CH190" i="1"/>
  <c r="CI190" i="1" s="1"/>
  <c r="CJ190" i="1" s="1"/>
  <c r="CI188" i="1"/>
  <c r="CJ188" i="1" s="1"/>
  <c r="CH244" i="1"/>
  <c r="CI244" i="1" s="1"/>
  <c r="CJ244" i="1" s="1"/>
  <c r="CH294" i="1"/>
  <c r="CI294" i="1" s="1"/>
  <c r="CJ294" i="1" s="1"/>
  <c r="CH311" i="1"/>
  <c r="CI311" i="1" s="1"/>
  <c r="CJ311" i="1" s="1"/>
  <c r="CH59" i="1"/>
  <c r="CI59" i="1" s="1"/>
  <c r="CJ59" i="1" s="1"/>
  <c r="CH123" i="1"/>
  <c r="CI123" i="1" s="1"/>
  <c r="CJ123" i="1" s="1"/>
  <c r="CH140" i="1"/>
  <c r="CI140" i="1" s="1"/>
  <c r="CJ140" i="1" s="1"/>
  <c r="CH53" i="1"/>
  <c r="CI53" i="1" s="1"/>
  <c r="CJ53" i="1" s="1"/>
  <c r="CH70" i="1"/>
  <c r="CI70" i="1" s="1"/>
  <c r="CJ70" i="1" s="1"/>
  <c r="CH171" i="1"/>
  <c r="CI171" i="1" s="1"/>
  <c r="CJ171" i="1" s="1"/>
  <c r="CH21" i="1"/>
  <c r="CI21" i="1" s="1"/>
  <c r="CJ21" i="1" s="1"/>
  <c r="CH68" i="1"/>
  <c r="CI68" i="1" s="1"/>
  <c r="CJ68" i="1" s="1"/>
  <c r="CH167" i="1"/>
  <c r="CI167" i="1" s="1"/>
  <c r="CJ167" i="1" s="1"/>
  <c r="CH350" i="1"/>
  <c r="CI350" i="1" s="1"/>
  <c r="CJ350" i="1" s="1"/>
  <c r="CH248" i="1"/>
  <c r="CI248" i="1" s="1"/>
  <c r="CJ248" i="1" s="1"/>
  <c r="CH224" i="1"/>
  <c r="CI224" i="1" s="1"/>
  <c r="CJ224" i="1" s="1"/>
  <c r="CH272" i="1"/>
  <c r="CI272" i="1" s="1"/>
  <c r="CJ272" i="1" s="1"/>
  <c r="CH289" i="1"/>
  <c r="CI289" i="1" s="1"/>
  <c r="CJ289" i="1" s="1"/>
  <c r="CH217" i="1"/>
  <c r="CI217" i="1" s="1"/>
  <c r="CJ217" i="1" s="1"/>
  <c r="CH75" i="1"/>
  <c r="CI75" i="1" s="1"/>
  <c r="CJ75" i="1" s="1"/>
  <c r="CH340" i="1"/>
  <c r="CI340" i="1" s="1"/>
  <c r="CJ340" i="1" s="1"/>
  <c r="CH48" i="1"/>
  <c r="CI48" i="1" s="1"/>
  <c r="CJ48" i="1" s="1"/>
  <c r="CH317" i="1"/>
  <c r="CI317" i="1" s="1"/>
  <c r="CJ317" i="1" s="1"/>
  <c r="CH214" i="1"/>
  <c r="CI214" i="1" s="1"/>
  <c r="CJ214" i="1" s="1"/>
  <c r="CH231" i="1"/>
  <c r="CI231" i="1" s="1"/>
  <c r="CJ231" i="1" s="1"/>
  <c r="CH361" i="1"/>
  <c r="CI361" i="1" s="1"/>
  <c r="CJ361" i="1" s="1"/>
  <c r="CH269" i="1"/>
  <c r="CI269" i="1" s="1"/>
  <c r="CJ269" i="1" s="1"/>
  <c r="CH152" i="1"/>
  <c r="CI152" i="1" s="1"/>
  <c r="CJ152" i="1" s="1"/>
  <c r="CH246" i="1"/>
  <c r="CI246" i="1" s="1"/>
  <c r="CJ246" i="1" s="1"/>
  <c r="CH81" i="1"/>
  <c r="CI81" i="1" s="1"/>
  <c r="CJ81" i="1" s="1"/>
  <c r="CH15" i="1"/>
  <c r="CI15" i="1" s="1"/>
  <c r="CJ15" i="1" s="1"/>
  <c r="L192" i="1"/>
  <c r="M192" i="1" s="1"/>
  <c r="N192" i="1" s="1"/>
  <c r="L191" i="1"/>
  <c r="M191" i="1" s="1"/>
  <c r="N191" i="1" s="1"/>
  <c r="O189" i="1"/>
  <c r="P189" i="1"/>
  <c r="O190" i="1"/>
  <c r="P190" i="1"/>
  <c r="P188" i="1"/>
  <c r="O188" i="1"/>
  <c r="N33" i="1"/>
  <c r="AC158" i="1"/>
  <c r="AC160" i="1"/>
  <c r="AJ162" i="1"/>
  <c r="AC159" i="1"/>
  <c r="AC162" i="1"/>
  <c r="AC164" i="1"/>
  <c r="AJ157" i="1"/>
  <c r="AQ160" i="1"/>
  <c r="AQ161" i="1"/>
  <c r="AC163" i="1"/>
  <c r="AQ164" i="1"/>
  <c r="AJ159" i="1"/>
  <c r="AQ159" i="1"/>
  <c r="AQ158" i="1"/>
  <c r="AJ161" i="1"/>
  <c r="AQ163" i="1"/>
  <c r="AJ164" i="1"/>
  <c r="AJ160" i="1"/>
  <c r="AQ162" i="1"/>
  <c r="AJ158" i="1"/>
  <c r="AC161" i="1"/>
  <c r="AJ163" i="1"/>
  <c r="AQ157" i="1"/>
  <c r="L186" i="1"/>
  <c r="M186" i="1" s="1"/>
  <c r="N186" i="1" s="1"/>
  <c r="L185" i="1"/>
  <c r="M185" i="1" s="1"/>
  <c r="N185" i="1" s="1"/>
  <c r="K195" i="1"/>
  <c r="L187" i="1"/>
  <c r="M187" i="1" s="1"/>
  <c r="N187" i="1" s="1"/>
  <c r="F173" i="1"/>
  <c r="AC157" i="1"/>
  <c r="N64" i="1"/>
  <c r="B153" i="1"/>
  <c r="B152" i="1"/>
  <c r="F171" i="1"/>
  <c r="F174" i="1"/>
  <c r="F168" i="1"/>
  <c r="F175" i="1"/>
  <c r="C172" i="1"/>
  <c r="F169" i="1"/>
  <c r="K71" i="1"/>
  <c r="L71" i="1" s="1"/>
  <c r="M71" i="1" s="1"/>
  <c r="K70" i="1"/>
  <c r="L70" i="1" s="1"/>
  <c r="M70" i="1" s="1"/>
  <c r="K69" i="1"/>
  <c r="L69" i="1" s="1"/>
  <c r="M69" i="1" s="1"/>
  <c r="H54" i="1"/>
  <c r="J52" i="1"/>
  <c r="K50" i="1"/>
  <c r="J55" i="1"/>
  <c r="O39" i="1"/>
  <c r="J53" i="1"/>
  <c r="I54" i="1"/>
  <c r="K54" i="1"/>
  <c r="J56" i="1"/>
  <c r="J49" i="1"/>
  <c r="I52" i="1"/>
  <c r="K51" i="1"/>
  <c r="K55" i="1"/>
  <c r="H51" i="1"/>
  <c r="J51" i="1"/>
  <c r="H52" i="1"/>
  <c r="J50" i="1"/>
  <c r="I55" i="1"/>
  <c r="I51" i="1"/>
  <c r="I49" i="1"/>
  <c r="K56" i="1"/>
  <c r="H53" i="1"/>
  <c r="H55" i="1"/>
  <c r="K52" i="1"/>
  <c r="K49" i="1"/>
  <c r="J54" i="1"/>
  <c r="I50" i="1"/>
  <c r="H49" i="1"/>
  <c r="I53" i="1"/>
  <c r="I56" i="1"/>
  <c r="H50" i="1"/>
  <c r="K53" i="1"/>
  <c r="H56" i="1"/>
  <c r="O66" i="1"/>
  <c r="G36" i="1"/>
  <c r="N67" i="1"/>
  <c r="N63" i="1"/>
  <c r="O62" i="1"/>
  <c r="N65" i="1"/>
  <c r="J33" i="1"/>
  <c r="K33" i="1"/>
  <c r="K34" i="1"/>
  <c r="N68" i="1"/>
  <c r="O68" i="1"/>
  <c r="O193" i="1" l="1"/>
  <c r="P193" i="1"/>
  <c r="P194" i="1"/>
  <c r="O194" i="1"/>
  <c r="DW40" i="1" a="1"/>
  <c r="DW31" i="1" a="1"/>
  <c r="DX31" i="1" s="1"/>
  <c r="EB30" i="1" a="1"/>
  <c r="EB30" i="1" s="1"/>
  <c r="DW30" i="1" a="1"/>
  <c r="DW30" i="1" s="1"/>
  <c r="P191" i="1"/>
  <c r="O191" i="1"/>
  <c r="P192" i="1"/>
  <c r="O192" i="1"/>
  <c r="O34" i="1"/>
  <c r="N34" i="1"/>
  <c r="G171" i="1"/>
  <c r="K171" i="1" s="1"/>
  <c r="F159" i="1"/>
  <c r="G170" i="1"/>
  <c r="G161" i="1"/>
  <c r="G159" i="1"/>
  <c r="P185" i="1"/>
  <c r="O185" i="1"/>
  <c r="N195" i="1"/>
  <c r="B196" i="1" s="1"/>
  <c r="O186" i="1"/>
  <c r="P186" i="1"/>
  <c r="P187" i="1"/>
  <c r="O187" i="1"/>
  <c r="F161" i="1"/>
  <c r="F163" i="1"/>
  <c r="F162" i="1"/>
  <c r="F164" i="1"/>
  <c r="F157" i="1"/>
  <c r="F158" i="1"/>
  <c r="G169" i="1"/>
  <c r="H169" i="1" s="1"/>
  <c r="G173" i="1"/>
  <c r="G175" i="1"/>
  <c r="H175" i="1" s="1"/>
  <c r="F160" i="1"/>
  <c r="G168" i="1"/>
  <c r="H168" i="1" s="1"/>
  <c r="G174" i="1"/>
  <c r="I174" i="1" s="1"/>
  <c r="G163" i="1"/>
  <c r="G162" i="1"/>
  <c r="G157" i="1"/>
  <c r="G158" i="1"/>
  <c r="G164" i="1"/>
  <c r="G160" i="1"/>
  <c r="G172" i="1"/>
  <c r="F172" i="1"/>
  <c r="K72" i="1"/>
  <c r="U3" i="1" s="1"/>
  <c r="N71" i="1"/>
  <c r="O71" i="1"/>
  <c r="N70" i="1"/>
  <c r="O70" i="1"/>
  <c r="N69" i="1"/>
  <c r="O69" i="1"/>
  <c r="M72" i="1"/>
  <c r="M53" i="1"/>
  <c r="T56" i="1"/>
  <c r="M49" i="1"/>
  <c r="S54" i="1"/>
  <c r="S52" i="1"/>
  <c r="V55" i="1"/>
  <c r="S51" i="1"/>
  <c r="L51" i="1"/>
  <c r="M51" i="1"/>
  <c r="T51" i="1"/>
  <c r="V50" i="1"/>
  <c r="M55" i="1"/>
  <c r="W54" i="1"/>
  <c r="T49" i="1"/>
  <c r="S55" i="1"/>
  <c r="T55" i="1"/>
  <c r="S53" i="1"/>
  <c r="T50" i="1"/>
  <c r="W51" i="1"/>
  <c r="T52" i="1"/>
  <c r="W56" i="1"/>
  <c r="M50" i="1"/>
  <c r="V49" i="1"/>
  <c r="L50" i="1"/>
  <c r="S50" i="1"/>
  <c r="W50" i="1"/>
  <c r="L55" i="1"/>
  <c r="S49" i="1"/>
  <c r="V51" i="1"/>
  <c r="W55" i="1"/>
  <c r="W52" i="1"/>
  <c r="M54" i="1"/>
  <c r="T53" i="1"/>
  <c r="M56" i="1"/>
  <c r="W53" i="1"/>
  <c r="L54" i="1"/>
  <c r="V54" i="1"/>
  <c r="V52" i="1"/>
  <c r="M52" i="1"/>
  <c r="V56" i="1"/>
  <c r="T54" i="1"/>
  <c r="S56" i="1"/>
  <c r="L53" i="1"/>
  <c r="V53" i="1"/>
  <c r="L56" i="1"/>
  <c r="L52" i="1"/>
  <c r="L49" i="1"/>
  <c r="W49" i="1"/>
  <c r="AC17" i="1" l="1"/>
  <c r="AD17" i="1"/>
  <c r="AE17" i="1"/>
  <c r="DX41" i="1"/>
  <c r="DY41" i="1"/>
  <c r="DY43" i="1"/>
  <c r="DZ41" i="1"/>
  <c r="DZ43" i="1"/>
  <c r="DW40" i="1"/>
  <c r="DW42" i="1"/>
  <c r="DX40" i="1"/>
  <c r="DX42" i="1"/>
  <c r="DY40" i="1"/>
  <c r="DY42" i="1"/>
  <c r="DZ40" i="1"/>
  <c r="DZ42" i="1"/>
  <c r="DW41" i="1"/>
  <c r="DW43" i="1"/>
  <c r="DX43" i="1"/>
  <c r="DW31" i="1"/>
  <c r="DY31" i="1"/>
  <c r="EE30" i="1"/>
  <c r="ED30" i="1"/>
  <c r="EC30" i="1"/>
  <c r="DX30" i="1"/>
  <c r="DZ30" i="1"/>
  <c r="DY30" i="1"/>
  <c r="I171" i="1"/>
  <c r="H171" i="1"/>
  <c r="J171" i="1"/>
  <c r="H161" i="1"/>
  <c r="J170" i="1"/>
  <c r="K170" i="1"/>
  <c r="I170" i="1"/>
  <c r="H170" i="1"/>
  <c r="H159" i="1"/>
  <c r="I159" i="1"/>
  <c r="K159" i="1"/>
  <c r="J159" i="1"/>
  <c r="O195" i="1"/>
  <c r="B197" i="1" s="1"/>
  <c r="P195" i="1"/>
  <c r="B198" i="1" s="1"/>
  <c r="K161" i="1"/>
  <c r="I161" i="1"/>
  <c r="J161" i="1"/>
  <c r="K168" i="1"/>
  <c r="I168" i="1"/>
  <c r="J168" i="1"/>
  <c r="K174" i="1"/>
  <c r="J174" i="1"/>
  <c r="H174" i="1"/>
  <c r="K175" i="1"/>
  <c r="K169" i="1"/>
  <c r="I169" i="1"/>
  <c r="J169" i="1"/>
  <c r="J172" i="1"/>
  <c r="I172" i="1"/>
  <c r="K172" i="1"/>
  <c r="H172" i="1"/>
  <c r="H173" i="1"/>
  <c r="I173" i="1"/>
  <c r="J173" i="1"/>
  <c r="K173" i="1"/>
  <c r="J158" i="1"/>
  <c r="K158" i="1"/>
  <c r="H158" i="1"/>
  <c r="I158" i="1"/>
  <c r="J175" i="1"/>
  <c r="K157" i="1"/>
  <c r="H157" i="1"/>
  <c r="J157" i="1"/>
  <c r="I157" i="1"/>
  <c r="I175" i="1"/>
  <c r="H164" i="1"/>
  <c r="I164" i="1"/>
  <c r="K164" i="1"/>
  <c r="J164" i="1"/>
  <c r="J162" i="1"/>
  <c r="H162" i="1"/>
  <c r="K162" i="1"/>
  <c r="I162" i="1"/>
  <c r="H160" i="1"/>
  <c r="J160" i="1"/>
  <c r="I160" i="1"/>
  <c r="K160" i="1"/>
  <c r="J163" i="1"/>
  <c r="H163" i="1"/>
  <c r="I163" i="1"/>
  <c r="K163" i="1"/>
  <c r="O72" i="1"/>
  <c r="O73" i="1" s="1"/>
  <c r="N72" i="1"/>
  <c r="N73" i="1" s="1"/>
  <c r="P53" i="1"/>
  <c r="O49" i="1"/>
  <c r="P51" i="1"/>
  <c r="N51" i="1"/>
  <c r="O51" i="1"/>
  <c r="O55" i="1"/>
  <c r="P49" i="1"/>
  <c r="N54" i="1"/>
  <c r="O50" i="1"/>
  <c r="N50" i="1"/>
  <c r="P50" i="1"/>
  <c r="P54" i="1"/>
  <c r="N49" i="1"/>
  <c r="N55" i="1"/>
  <c r="N53" i="1"/>
  <c r="P55" i="1"/>
  <c r="P52" i="1"/>
  <c r="O53" i="1"/>
  <c r="N56" i="1"/>
  <c r="O54" i="1"/>
  <c r="O56" i="1"/>
  <c r="P56" i="1"/>
  <c r="N52" i="1"/>
  <c r="O52" i="1"/>
  <c r="DW44" i="1" l="1" a="1"/>
  <c r="EF30" i="1"/>
  <c r="DZ31" i="1"/>
  <c r="N171" i="1"/>
  <c r="P171" i="1"/>
  <c r="O171" i="1"/>
  <c r="AM159" i="1"/>
  <c r="AD159" i="1"/>
  <c r="AF159" i="1"/>
  <c r="AR159" i="1"/>
  <c r="AT159" i="1"/>
  <c r="W159" i="1"/>
  <c r="AK159" i="1"/>
  <c r="R159" i="1"/>
  <c r="AB159" i="1"/>
  <c r="U159" i="1"/>
  <c r="AL159" i="1"/>
  <c r="S159" i="1"/>
  <c r="AP159" i="1"/>
  <c r="V159" i="1"/>
  <c r="M159" i="1"/>
  <c r="Q159" i="1"/>
  <c r="AE159" i="1"/>
  <c r="AI159" i="1"/>
  <c r="X159" i="1"/>
  <c r="AS159" i="1"/>
  <c r="P159" i="1"/>
  <c r="P170" i="1"/>
  <c r="N170" i="1"/>
  <c r="O170" i="1"/>
  <c r="AK163" i="1"/>
  <c r="AD163" i="1"/>
  <c r="AM163" i="1"/>
  <c r="AF163" i="1"/>
  <c r="AR163" i="1"/>
  <c r="AT163" i="1"/>
  <c r="N172" i="1"/>
  <c r="O172" i="1"/>
  <c r="P172" i="1"/>
  <c r="P173" i="1"/>
  <c r="N173" i="1"/>
  <c r="O173" i="1"/>
  <c r="AT162" i="1"/>
  <c r="AK162" i="1"/>
  <c r="AD162" i="1"/>
  <c r="AR162" i="1"/>
  <c r="AM162" i="1"/>
  <c r="AF162" i="1"/>
  <c r="AM160" i="1"/>
  <c r="AD160" i="1"/>
  <c r="AF160" i="1"/>
  <c r="AR160" i="1"/>
  <c r="AK160" i="1"/>
  <c r="AT160" i="1"/>
  <c r="O168" i="1"/>
  <c r="N168" i="1"/>
  <c r="P168" i="1"/>
  <c r="AK158" i="1"/>
  <c r="AD158" i="1"/>
  <c r="AM158" i="1"/>
  <c r="AF158" i="1"/>
  <c r="AR158" i="1"/>
  <c r="AT158" i="1"/>
  <c r="N174" i="1"/>
  <c r="O174" i="1"/>
  <c r="P174" i="1"/>
  <c r="AS157" i="1"/>
  <c r="AP157" i="1"/>
  <c r="AI157" i="1"/>
  <c r="AL157" i="1"/>
  <c r="AP160" i="1"/>
  <c r="AE160" i="1"/>
  <c r="AI160" i="1"/>
  <c r="AS160" i="1"/>
  <c r="AB160" i="1"/>
  <c r="AL160" i="1"/>
  <c r="Q160" i="1"/>
  <c r="AD157" i="1"/>
  <c r="AM157" i="1"/>
  <c r="AT157" i="1"/>
  <c r="AF157" i="1"/>
  <c r="AR157" i="1"/>
  <c r="AK157" i="1"/>
  <c r="N169" i="1"/>
  <c r="O169" i="1"/>
  <c r="P169" i="1"/>
  <c r="AB162" i="1"/>
  <c r="Q162" i="1"/>
  <c r="AL162" i="1"/>
  <c r="AE162" i="1"/>
  <c r="AP162" i="1"/>
  <c r="AI162" i="1"/>
  <c r="AS162" i="1"/>
  <c r="AM164" i="1"/>
  <c r="AR164" i="1"/>
  <c r="AD164" i="1"/>
  <c r="AF164" i="1"/>
  <c r="AT164" i="1"/>
  <c r="AK164" i="1"/>
  <c r="N175" i="1"/>
  <c r="P175" i="1"/>
  <c r="O175" i="1"/>
  <c r="S161" i="1"/>
  <c r="Q161" i="1"/>
  <c r="AE161" i="1"/>
  <c r="AP161" i="1"/>
  <c r="AL161" i="1"/>
  <c r="AI161" i="1"/>
  <c r="AB161" i="1"/>
  <c r="AS161" i="1"/>
  <c r="AI163" i="1"/>
  <c r="AB163" i="1"/>
  <c r="AL163" i="1"/>
  <c r="Q163" i="1"/>
  <c r="AP163" i="1"/>
  <c r="AS163" i="1"/>
  <c r="AE163" i="1"/>
  <c r="AB164" i="1"/>
  <c r="AL164" i="1"/>
  <c r="AP164" i="1"/>
  <c r="AE164" i="1"/>
  <c r="Q164" i="1"/>
  <c r="AI164" i="1"/>
  <c r="AS164" i="1"/>
  <c r="AL158" i="1"/>
  <c r="AE158" i="1"/>
  <c r="AP158" i="1"/>
  <c r="Q158" i="1"/>
  <c r="AI158" i="1"/>
  <c r="AS158" i="1"/>
  <c r="AB158" i="1"/>
  <c r="W161" i="1"/>
  <c r="AD161" i="1"/>
  <c r="AR161" i="1"/>
  <c r="AF161" i="1"/>
  <c r="AK161" i="1"/>
  <c r="AT161" i="1"/>
  <c r="AM161" i="1"/>
  <c r="AB157" i="1"/>
  <c r="AE157" i="1"/>
  <c r="P161" i="1"/>
  <c r="R161" i="1"/>
  <c r="X161" i="1"/>
  <c r="U161" i="1"/>
  <c r="V161" i="1"/>
  <c r="M161" i="1"/>
  <c r="W163" i="1"/>
  <c r="R163" i="1"/>
  <c r="X164" i="1"/>
  <c r="P164" i="1"/>
  <c r="S164" i="1"/>
  <c r="M164" i="1"/>
  <c r="U164" i="1"/>
  <c r="V164" i="1"/>
  <c r="U158" i="1"/>
  <c r="M158" i="1"/>
  <c r="V158" i="1"/>
  <c r="S158" i="1"/>
  <c r="P158" i="1"/>
  <c r="X158" i="1"/>
  <c r="U163" i="1"/>
  <c r="V163" i="1"/>
  <c r="X163" i="1"/>
  <c r="P163" i="1"/>
  <c r="M163" i="1"/>
  <c r="S163" i="1"/>
  <c r="P162" i="1"/>
  <c r="S162" i="1"/>
  <c r="U162" i="1"/>
  <c r="V162" i="1"/>
  <c r="M162" i="1"/>
  <c r="X162" i="1"/>
  <c r="R160" i="1"/>
  <c r="W160" i="1"/>
  <c r="R162" i="1"/>
  <c r="W162" i="1"/>
  <c r="R158" i="1"/>
  <c r="W158" i="1"/>
  <c r="P160" i="1"/>
  <c r="U160" i="1"/>
  <c r="S160" i="1"/>
  <c r="V160" i="1"/>
  <c r="M160" i="1"/>
  <c r="X160" i="1"/>
  <c r="P157" i="1"/>
  <c r="M157" i="1"/>
  <c r="X157" i="1"/>
  <c r="V157" i="1"/>
  <c r="S157" i="1"/>
  <c r="Q157" i="1"/>
  <c r="U157" i="1"/>
  <c r="R164" i="1"/>
  <c r="W164" i="1"/>
  <c r="W157" i="1"/>
  <c r="R157" i="1"/>
  <c r="F76" i="1"/>
  <c r="E76" i="1"/>
  <c r="P57" i="1"/>
  <c r="N57" i="1"/>
  <c r="B75" i="1" s="1"/>
  <c r="O57" i="1"/>
  <c r="DW44" i="1" l="1"/>
  <c r="DZ44" i="1"/>
  <c r="DX44" i="1"/>
  <c r="DY44" i="1"/>
  <c r="AU159" i="1"/>
  <c r="AV159" i="1" s="1"/>
  <c r="Y159" i="1"/>
  <c r="T159" i="1"/>
  <c r="AN159" i="1"/>
  <c r="AO159" i="1" s="1"/>
  <c r="AG159" i="1"/>
  <c r="AH159" i="1" s="1"/>
  <c r="AU163" i="1"/>
  <c r="AV163" i="1" s="1"/>
  <c r="T160" i="1"/>
  <c r="T161" i="1"/>
  <c r="T163" i="1"/>
  <c r="AN161" i="1"/>
  <c r="AO161" i="1" s="1"/>
  <c r="M165" i="1"/>
  <c r="T157" i="1"/>
  <c r="AN158" i="1"/>
  <c r="AO158" i="1" s="1"/>
  <c r="P176" i="1"/>
  <c r="T162" i="1"/>
  <c r="T158" i="1"/>
  <c r="AU158" i="1"/>
  <c r="AV158" i="1" s="1"/>
  <c r="AG161" i="1"/>
  <c r="AH161" i="1" s="1"/>
  <c r="N176" i="1"/>
  <c r="AU164" i="1"/>
  <c r="AV164" i="1" s="1"/>
  <c r="AG160" i="1"/>
  <c r="AH160" i="1" s="1"/>
  <c r="O176" i="1"/>
  <c r="AG158" i="1"/>
  <c r="AH158" i="1" s="1"/>
  <c r="AU161" i="1"/>
  <c r="AV161" i="1" s="1"/>
  <c r="AG164" i="1"/>
  <c r="AH164" i="1" s="1"/>
  <c r="AG162" i="1"/>
  <c r="AH162" i="1" s="1"/>
  <c r="AN157" i="1"/>
  <c r="AO157" i="1" s="1"/>
  <c r="AN164" i="1"/>
  <c r="AO164" i="1" s="1"/>
  <c r="AG163" i="1"/>
  <c r="AH163" i="1" s="1"/>
  <c r="AN162" i="1"/>
  <c r="AO162" i="1" s="1"/>
  <c r="AU160" i="1"/>
  <c r="AV160" i="1" s="1"/>
  <c r="AU157" i="1"/>
  <c r="AV157" i="1" s="1"/>
  <c r="T164" i="1"/>
  <c r="AN163" i="1"/>
  <c r="AO163" i="1" s="1"/>
  <c r="AU162" i="1"/>
  <c r="AV162" i="1" s="1"/>
  <c r="AN160" i="1"/>
  <c r="AO160" i="1" s="1"/>
  <c r="AG157" i="1"/>
  <c r="Y161" i="1"/>
  <c r="Y158" i="1"/>
  <c r="Y157" i="1"/>
  <c r="Y162" i="1"/>
  <c r="Y164" i="1"/>
  <c r="Y163" i="1"/>
  <c r="Y160" i="1"/>
  <c r="B77" i="1"/>
  <c r="P59" i="1"/>
  <c r="B76" i="1"/>
  <c r="O59" i="1"/>
  <c r="O58" i="1"/>
  <c r="P58" i="1"/>
  <c r="Z159" i="1" l="1"/>
  <c r="N159" i="1" s="1"/>
  <c r="AW159" i="1"/>
  <c r="O159" i="1" s="1"/>
  <c r="AW163" i="1"/>
  <c r="O163" i="1" s="1"/>
  <c r="B178" i="1"/>
  <c r="B200" i="1" s="1"/>
  <c r="U4" i="1" s="1"/>
  <c r="Z18" i="1" s="1"/>
  <c r="AC18" i="1" s="1"/>
  <c r="AW158" i="1"/>
  <c r="O158" i="1" s="1"/>
  <c r="AW164" i="1"/>
  <c r="O164" i="1" s="1"/>
  <c r="BZ170" i="1"/>
  <c r="CB170" i="1" s="1"/>
  <c r="AW160" i="1"/>
  <c r="O160" i="1" s="1"/>
  <c r="AW162" i="1"/>
  <c r="O162" i="1" s="1"/>
  <c r="AW161" i="1"/>
  <c r="O161" i="1" s="1"/>
  <c r="AH157" i="1"/>
  <c r="AW157" i="1" s="1"/>
  <c r="O157" i="1" s="1"/>
  <c r="Z158" i="1"/>
  <c r="N158" i="1" s="1"/>
  <c r="Z161" i="1"/>
  <c r="N161" i="1" s="1"/>
  <c r="Z157" i="1"/>
  <c r="N157" i="1" s="1"/>
  <c r="Z163" i="1"/>
  <c r="N163" i="1" s="1"/>
  <c r="Z162" i="1"/>
  <c r="N162" i="1" s="1"/>
  <c r="Z164" i="1"/>
  <c r="N164" i="1" s="1"/>
  <c r="Z160" i="1"/>
  <c r="N160" i="1" s="1"/>
  <c r="B79" i="1"/>
  <c r="B80" i="1"/>
  <c r="F75" i="1"/>
  <c r="E75" i="1"/>
  <c r="S58" i="1"/>
  <c r="T58" i="1"/>
  <c r="W4" i="1" l="1"/>
  <c r="EB5" i="1"/>
  <c r="AB7" i="1"/>
  <c r="CA170" i="1"/>
  <c r="CC170" i="1" s="1"/>
  <c r="O165" i="1"/>
  <c r="B180" i="1" s="1"/>
  <c r="B202" i="1" s="1"/>
  <c r="N165" i="1"/>
  <c r="B179" i="1" s="1"/>
  <c r="B201" i="1" s="1"/>
  <c r="B83" i="1"/>
  <c r="EB11" i="1" l="1"/>
  <c r="EB6" i="1"/>
  <c r="B205" i="1"/>
  <c r="U6" i="1" s="1"/>
  <c r="AB18" i="1" s="1"/>
  <c r="AE18" i="1" s="1"/>
  <c r="B204" i="1"/>
  <c r="U5" i="1" s="1"/>
  <c r="AA18" i="1" s="1"/>
  <c r="AD18" i="1" s="1"/>
  <c r="EB12" i="1" l="1"/>
  <c r="EB22" i="1" s="1" a="1"/>
  <c r="EB22" i="1" s="1"/>
  <c r="EG6" i="1"/>
  <c r="CC9" i="1"/>
  <c r="CJ9" i="1" s="1"/>
  <c r="ED5" i="1"/>
  <c r="CB9" i="1"/>
  <c r="CI9" i="1" s="1"/>
  <c r="EC5" i="1"/>
  <c r="U8" i="1"/>
  <c r="AA7" i="1" s="1"/>
  <c r="U7" i="1"/>
  <c r="W7" i="1" s="1"/>
  <c r="AA9" i="1"/>
  <c r="AB9" i="1"/>
  <c r="W6" i="1"/>
  <c r="U18" i="1"/>
  <c r="U19" i="1" s="1"/>
  <c r="U21" i="1" s="1"/>
  <c r="EG12" i="1" l="1"/>
  <c r="EI12" i="1" s="1"/>
  <c r="ED11" i="1"/>
  <c r="EJ6" i="1"/>
  <c r="EI6" i="1"/>
  <c r="EH6" i="1"/>
  <c r="EG5" i="1"/>
  <c r="EH5" i="1" s="1"/>
  <c r="ED22" i="1"/>
  <c r="EC22" i="1"/>
  <c r="EE22" i="1"/>
  <c r="CI10" i="1"/>
  <c r="CI11" i="1" s="1"/>
  <c r="EC11" i="1"/>
  <c r="EF5" i="1"/>
  <c r="CB10" i="1"/>
  <c r="CB11" i="1" s="1"/>
  <c r="X8" i="1"/>
  <c r="X7" i="1"/>
  <c r="V19" i="1"/>
  <c r="V21" i="1" s="1"/>
  <c r="W19" i="1"/>
  <c r="W21" i="1" s="1"/>
  <c r="AC9" i="1"/>
  <c r="EH12" i="1" l="1"/>
  <c r="EJ12" i="1"/>
  <c r="EJ5" i="1"/>
  <c r="EI5" i="1"/>
  <c r="EG11" i="1"/>
  <c r="CJ11" i="1"/>
  <c r="CL11" i="1" s="1"/>
  <c r="CM11" i="1" s="1"/>
  <c r="EF11" i="1"/>
  <c r="EB21" i="1" a="1"/>
  <c r="EB32" i="1" a="1"/>
  <c r="CC11" i="1"/>
  <c r="CE11" i="1" s="1"/>
  <c r="CG11" i="1" s="1"/>
  <c r="U23" i="1"/>
  <c r="V23" i="1" s="1"/>
  <c r="EH11" i="1" l="1"/>
  <c r="EJ11" i="1"/>
  <c r="EI11" i="1"/>
  <c r="EB21" i="1"/>
  <c r="EE21" i="1"/>
  <c r="EC21" i="1"/>
  <c r="ED21" i="1"/>
  <c r="EB32" i="1"/>
  <c r="EB36" i="1" s="1"/>
  <c r="ED32" i="1"/>
  <c r="ED36" i="1" s="1"/>
  <c r="EC32" i="1"/>
  <c r="EC36" i="1" s="1"/>
  <c r="EE32" i="1"/>
  <c r="EE36" i="1" l="1"/>
  <c r="EF36" i="1" s="1"/>
  <c r="EB31" i="1" a="1"/>
  <c r="EB31" i="1" s="1"/>
  <c r="EB37" i="1" s="1"/>
  <c r="EH36" i="1" l="1"/>
  <c r="EG36" i="1"/>
  <c r="ED31" i="1"/>
  <c r="ED37" i="1" s="1"/>
  <c r="EE31" i="1"/>
  <c r="EC31" i="1"/>
  <c r="EC37" i="1" s="1"/>
  <c r="EF31" i="1" l="1"/>
  <c r="EF32" i="1" s="1"/>
  <c r="EE37" i="1"/>
  <c r="EF37" i="1" s="1"/>
  <c r="EF38" i="1" s="1"/>
  <c r="EG37" i="1" l="1"/>
  <c r="EG38" i="1" s="1"/>
  <c r="EH37" i="1"/>
  <c r="EH3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<sst xmlns="http://schemas.openxmlformats.org/spreadsheetml/2006/main" count="405" uniqueCount="237">
  <si>
    <t>f'c</t>
  </si>
  <si>
    <t>ksi</t>
  </si>
  <si>
    <t>Ec</t>
  </si>
  <si>
    <t>Beta1</t>
  </si>
  <si>
    <t>in</t>
  </si>
  <si>
    <t>B,web</t>
  </si>
  <si>
    <t>H, total</t>
  </si>
  <si>
    <t>t,flange</t>
  </si>
  <si>
    <t>x</t>
  </si>
  <si>
    <t>y</t>
  </si>
  <si>
    <t>Reinf Steel:</t>
  </si>
  <si>
    <t xml:space="preserve">Fy = </t>
  </si>
  <si>
    <t xml:space="preserve">Es = </t>
  </si>
  <si>
    <t>Bar #</t>
  </si>
  <si>
    <t>As (in^2)</t>
  </si>
  <si>
    <t>NA Angle:</t>
  </si>
  <si>
    <t>radians</t>
  </si>
  <si>
    <t>NA Depth:</t>
  </si>
  <si>
    <t>Beta1*NA=</t>
  </si>
  <si>
    <t>Transformed Section so strain only varies in Y:</t>
  </si>
  <si>
    <t>Concrete:</t>
  </si>
  <si>
    <t>x'</t>
  </si>
  <si>
    <t>y'</t>
  </si>
  <si>
    <t>Transformed H:</t>
  </si>
  <si>
    <t>peak:</t>
  </si>
  <si>
    <t>Xc</t>
  </si>
  <si>
    <t>Yc</t>
  </si>
  <si>
    <t>Conrete Force and Moment by Line Integrals</t>
  </si>
  <si>
    <t>xi (in)</t>
  </si>
  <si>
    <t>yi (in)</t>
  </si>
  <si>
    <t>xj (in)</t>
  </si>
  <si>
    <t>yj (in)</t>
  </si>
  <si>
    <t>m</t>
  </si>
  <si>
    <t>b</t>
  </si>
  <si>
    <t>xi' (in)</t>
  </si>
  <si>
    <t>yi' (in)</t>
  </si>
  <si>
    <t>xj' (in)</t>
  </si>
  <si>
    <t>yj' (in)</t>
  </si>
  <si>
    <t>σi' (ksi)</t>
  </si>
  <si>
    <t>σj' (ksi)</t>
  </si>
  <si>
    <t>P (kips)</t>
  </si>
  <si>
    <t>Mx (kip-in)</t>
  </si>
  <si>
    <t>My (kip-in)</t>
  </si>
  <si>
    <t>Segment 1</t>
  </si>
  <si>
    <t>Segment 2</t>
  </si>
  <si>
    <t>Segment 3</t>
  </si>
  <si>
    <t>Segment 4</t>
  </si>
  <si>
    <t>Segment 5</t>
  </si>
  <si>
    <t>Segment 6</t>
  </si>
  <si>
    <t>0.85*F'c =</t>
  </si>
  <si>
    <t>y,na =</t>
  </si>
  <si>
    <t>y,stress block =</t>
  </si>
  <si>
    <t>NA Graph</t>
  </si>
  <si>
    <t>Whitney Block Graph</t>
  </si>
  <si>
    <t>Rebar</t>
  </si>
  <si>
    <t>x,t</t>
  </si>
  <si>
    <t>y,t</t>
  </si>
  <si>
    <t>Depth</t>
  </si>
  <si>
    <t>Strain</t>
  </si>
  <si>
    <t>Stress</t>
  </si>
  <si>
    <t>Ps</t>
  </si>
  <si>
    <t>Ps_Mx</t>
  </si>
  <si>
    <t>Ps_My</t>
  </si>
  <si>
    <t>Pn =</t>
  </si>
  <si>
    <t xml:space="preserve">Mnx = </t>
  </si>
  <si>
    <t xml:space="preserve">Mny = </t>
  </si>
  <si>
    <t xml:space="preserve">Mnx' = </t>
  </si>
  <si>
    <t xml:space="preserve">Mny' = </t>
  </si>
  <si>
    <t>kips</t>
  </si>
  <si>
    <t>kip-in</t>
  </si>
  <si>
    <t>kip-ft</t>
  </si>
  <si>
    <t>Tolerance:</t>
  </si>
  <si>
    <t>Max Iterations:</t>
  </si>
  <si>
    <t>Depth for All Fy+:</t>
  </si>
  <si>
    <t>alpha result</t>
  </si>
  <si>
    <t xml:space="preserve">P = </t>
  </si>
  <si>
    <t>My =</t>
  </si>
  <si>
    <t xml:space="preserve">Mx = </t>
  </si>
  <si>
    <t>phi</t>
  </si>
  <si>
    <t>scale pt</t>
  </si>
  <si>
    <t>web</t>
  </si>
  <si>
    <t>p1</t>
  </si>
  <si>
    <t>p2</t>
  </si>
  <si>
    <t>c1</t>
  </si>
  <si>
    <t>c2</t>
  </si>
  <si>
    <t>--</t>
  </si>
  <si>
    <t>% As based:</t>
  </si>
  <si>
    <t>Min As %:</t>
  </si>
  <si>
    <t>NA Original Orientation</t>
  </si>
  <si>
    <t>Whitney Block Original Orientation</t>
  </si>
  <si>
    <t>d:</t>
  </si>
  <si>
    <t>B,Flange Right</t>
  </si>
  <si>
    <t>B, Flange Left</t>
  </si>
  <si>
    <t>Segment 7</t>
  </si>
  <si>
    <t>Segment 8</t>
  </si>
  <si>
    <t>Error</t>
  </si>
  <si>
    <t>tan-1(My/Mx) =</t>
  </si>
  <si>
    <t>rad</t>
  </si>
  <si>
    <t>User:</t>
  </si>
  <si>
    <t>P</t>
  </si>
  <si>
    <t>Mx</t>
  </si>
  <si>
    <t>My</t>
  </si>
  <si>
    <t>eu</t>
  </si>
  <si>
    <t>|User|</t>
  </si>
  <si>
    <t>User - Unit Vector</t>
  </si>
  <si>
    <t>|Result|</t>
  </si>
  <si>
    <t>Result - Unit Vector</t>
  </si>
  <si>
    <t>Difference Vector</t>
  </si>
  <si>
    <t>|D.V.|</t>
  </si>
  <si>
    <t>|M|</t>
  </si>
  <si>
    <t>Result chart</t>
  </si>
  <si>
    <t>Alpha</t>
  </si>
  <si>
    <t>Tan-1(My/Mx)</t>
  </si>
  <si>
    <t>NA Bisection Steps</t>
  </si>
  <si>
    <t>a</t>
  </si>
  <si>
    <t>c</t>
  </si>
  <si>
    <t>f_a</t>
  </si>
  <si>
    <t>f_b</t>
  </si>
  <si>
    <t>f_c</t>
  </si>
  <si>
    <t>Plastic Center</t>
  </si>
  <si>
    <t>Concrete</t>
  </si>
  <si>
    <t>A</t>
  </si>
  <si>
    <t>Cx</t>
  </si>
  <si>
    <t>Cy</t>
  </si>
  <si>
    <t xml:space="preserve">Cc = </t>
  </si>
  <si>
    <t xml:space="preserve">My = </t>
  </si>
  <si>
    <t>T</t>
  </si>
  <si>
    <t>Tension Center</t>
  </si>
  <si>
    <t>Parametric C to T Line</t>
  </si>
  <si>
    <t>-</t>
  </si>
  <si>
    <t>)</t>
  </si>
  <si>
    <t>Given a P Solve for T</t>
  </si>
  <si>
    <t xml:space="preserve">t = </t>
  </si>
  <si>
    <t>P =</t>
  </si>
  <si>
    <t>Alpha Search Window</t>
  </si>
  <si>
    <t>Pi bounds</t>
  </si>
  <si>
    <t>Davister Steps</t>
  </si>
  <si>
    <t>am0</t>
  </si>
  <si>
    <t>ak</t>
  </si>
  <si>
    <t>adelt</t>
  </si>
  <si>
    <t>amk</t>
  </si>
  <si>
    <t>Newton-Raphson Steps</t>
  </si>
  <si>
    <t>Newton_Raphson Relax Factor:</t>
  </si>
  <si>
    <t>Abs(Alpha - Tan-1)</t>
  </si>
  <si>
    <t>Tan-1 - User Tan-1</t>
  </si>
  <si>
    <t>abs(Tan-1 - User Tan-1)</t>
  </si>
  <si>
    <t>Try Working with a guess center point of Mx vs My instead of 0,0</t>
  </si>
  <si>
    <t>Guess Point - determined via parametric line between full compression and tension</t>
  </si>
  <si>
    <t>unit V</t>
  </si>
  <si>
    <t>2D Vectors from Guess to Mx v My Plot</t>
  </si>
  <si>
    <t>|v|</t>
  </si>
  <si>
    <t>Ux</t>
  </si>
  <si>
    <t>Uy</t>
  </si>
  <si>
    <t>Tan-1 Ux/Uy</t>
  </si>
  <si>
    <t>delta</t>
  </si>
  <si>
    <t>Screen Update:</t>
  </si>
  <si>
    <t># of Points:</t>
  </si>
  <si>
    <t>Concrete Force  and Moment by Line Integrals - PCA Parabolic Stress Block</t>
  </si>
  <si>
    <t>PCA Parabolic Strain-Strain Curve Formulas</t>
  </si>
  <si>
    <r>
      <t>ε</t>
    </r>
    <r>
      <rPr>
        <vertAlign val="subscript"/>
        <sz val="11"/>
        <color theme="1"/>
        <rFont val="Calibri"/>
        <family val="2"/>
        <scheme val="minor"/>
      </rPr>
      <t>o</t>
    </r>
  </si>
  <si>
    <r>
      <t>2*(0.85*F'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) / E</t>
    </r>
    <r>
      <rPr>
        <vertAlign val="subscript"/>
        <sz val="11"/>
        <color theme="1"/>
        <rFont val="Calibri"/>
        <family val="2"/>
        <scheme val="minor"/>
      </rPr>
      <t>c</t>
    </r>
  </si>
  <si>
    <r>
      <t>E</t>
    </r>
    <r>
      <rPr>
        <vertAlign val="subscript"/>
        <sz val="11"/>
        <color theme="1"/>
        <rFont val="Calibri"/>
        <family val="2"/>
        <scheme val="minor"/>
      </rPr>
      <t>c</t>
    </r>
  </si>
  <si>
    <r>
      <t>57,000*</t>
    </r>
    <r>
      <rPr>
        <sz val="11"/>
        <color theme="1"/>
        <rFont val="Calibri"/>
        <family val="2"/>
      </rPr>
      <t>√F'c</t>
    </r>
  </si>
  <si>
    <r>
      <t>0&lt;ε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&lt;ε</t>
    </r>
    <r>
      <rPr>
        <vertAlign val="subscript"/>
        <sz val="11"/>
        <color theme="1"/>
        <rFont val="Calibri"/>
        <family val="2"/>
        <scheme val="minor"/>
      </rPr>
      <t>o</t>
    </r>
  </si>
  <si>
    <r>
      <t>f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= </t>
    </r>
  </si>
  <si>
    <r>
      <t>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*[2*(ε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 - 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</t>
    </r>
    <r>
      <rPr>
        <sz val="11"/>
        <color theme="1"/>
        <rFont val="Calibri"/>
        <family val="2"/>
      </rPr>
      <t>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</si>
  <si>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Fc</t>
  </si>
  <si>
    <t>psi</t>
  </si>
  <si>
    <t>in/in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</si>
  <si>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</si>
  <si>
    <t>k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</si>
  <si>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</si>
  <si>
    <r>
      <t>y</t>
    </r>
    <r>
      <rPr>
        <vertAlign val="subscript"/>
        <sz val="11"/>
        <color theme="1"/>
        <rFont val="Calibri"/>
        <family val="2"/>
        <scheme val="minor"/>
      </rPr>
      <t>max</t>
    </r>
  </si>
  <si>
    <t>C</t>
  </si>
  <si>
    <t>NA Depth</t>
  </si>
  <si>
    <r>
      <t>y,ε</t>
    </r>
    <r>
      <rPr>
        <vertAlign val="subscript"/>
        <sz val="11"/>
        <color theme="1"/>
        <rFont val="Calibri"/>
        <family val="2"/>
        <scheme val="minor"/>
      </rPr>
      <t>o</t>
    </r>
  </si>
  <si>
    <r>
      <t>distance from top of section to point of 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strain</t>
    </r>
  </si>
  <si>
    <t>y,limit</t>
  </si>
  <si>
    <t>ymax -y,εo = upper bound limit of application of parabolic formula</t>
  </si>
  <si>
    <t>y,start</t>
  </si>
  <si>
    <t>ymax - c = y-coordinate of 0 strain assuming strain only varies in y</t>
  </si>
  <si>
    <t>Parabolic Region</t>
  </si>
  <si>
    <t>xi'</t>
  </si>
  <si>
    <t>yi'</t>
  </si>
  <si>
    <t>xj'</t>
  </si>
  <si>
    <t>yj'</t>
  </si>
  <si>
    <t>Constant Stress Region</t>
  </si>
  <si>
    <t>tj</t>
  </si>
  <si>
    <t>ti</t>
  </si>
  <si>
    <t>Mx sub calcs:</t>
  </si>
  <si>
    <t>My sub calcs:</t>
  </si>
  <si>
    <t>Cc</t>
  </si>
  <si>
    <t>Conc Stress</t>
  </si>
  <si>
    <t>Ts</t>
  </si>
  <si>
    <t>Stress Block:</t>
  </si>
  <si>
    <t>Solver Log</t>
  </si>
  <si>
    <t>Max</t>
  </si>
  <si>
    <t>Min</t>
  </si>
  <si>
    <t>GU</t>
  </si>
  <si>
    <t>|GU|</t>
  </si>
  <si>
    <t>t</t>
  </si>
  <si>
    <t>Mx,calc</t>
  </si>
  <si>
    <t>My,calc</t>
  </si>
  <si>
    <t>Mx,user</t>
  </si>
  <si>
    <t>My,user</t>
  </si>
  <si>
    <t>2D Vector Between User Load/Calculated and New Center Point - moving from load to point</t>
  </si>
  <si>
    <t>3D Coordinate Transformation</t>
  </si>
  <si>
    <t>Translation</t>
  </si>
  <si>
    <t>angle</t>
  </si>
  <si>
    <t>unit v</t>
  </si>
  <si>
    <t xml:space="preserve"> t matrix</t>
  </si>
  <si>
    <t>z</t>
  </si>
  <si>
    <t>Rotation to align with Z Axis</t>
  </si>
  <si>
    <t>|V|</t>
  </si>
  <si>
    <t>User</t>
  </si>
  <si>
    <t>Result</t>
  </si>
  <si>
    <t>Tan-1</t>
  </si>
  <si>
    <t>Vector From Guess to User Point to Establish the proper cut plane</t>
  </si>
  <si>
    <t>user+5</t>
  </si>
  <si>
    <t>Rotation to Y axis</t>
  </si>
  <si>
    <t>PCA_Parabolic</t>
  </si>
  <si>
    <t>Pn</t>
  </si>
  <si>
    <t>Mxn</t>
  </si>
  <si>
    <t>Myn</t>
  </si>
  <si>
    <t>vector</t>
  </si>
  <si>
    <t>ak-1</t>
  </si>
  <si>
    <t>amk-1</t>
  </si>
  <si>
    <t>amo-amk</t>
  </si>
  <si>
    <t>f_x</t>
  </si>
  <si>
    <t>alpha+h</t>
  </si>
  <si>
    <t xml:space="preserve">h = </t>
  </si>
  <si>
    <t>f_x_p</t>
  </si>
  <si>
    <t>alpha-h</t>
  </si>
  <si>
    <t>f_x_m</t>
  </si>
  <si>
    <t>f_prime_x</t>
  </si>
  <si>
    <t>alpha j</t>
  </si>
  <si>
    <t>alpha 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</si>
</sst>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"/>
    <numFmt numFmtId="166" formatCode="0.000%"/>
    <numFmt numFmtId="167" formatCode="0.000E+00"/>
    <numFmt numFmtId="168" formatCode="0.0000"/>
  </numFmts>
  <fonts count="1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4">
    <xf numFmtId="0" fontId="0" fillId="0" borderId="0" xfId="0"/>
    <xf numFmtId="0" fontId="0" fillId="0" borderId="0" xfId="0" applyAlignment="1">
      <alignment horizontal="center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0" fontId="0" fillId="0" borderId="0" xfId="0" applyAlignment="1">
      <alignment horizontal="left"/>
    </xf>
    <xf numFmtId="0" fontId="0" fillId="0" borderId="4" xfId="0" applyBorder="1"/>
    <xf numFmtId="0" fontId="0" fillId="0" borderId="6" xfId="0" applyBorder="1"/>
    <xf numFmtId="0" fontId="0" fillId="0" borderId="9" xfId="0" applyBorder="1"/>
    <xf numFmtId="164" fontId="0" fillId="0" borderId="3" xfId="0" applyNumberFormat="1" applyBorder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165" fontId="0" fillId="0" borderId="0" xfId="0" applyNumberFormat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6" fontId="0" fillId="0" borderId="0" xfId="1" applyNumberFormat="1" applyFont="1" applyAlignment="1">
      <alignment horizontal="center"/>
    </xf>
    <xf numFmtId="0" fontId="0" fillId="0" borderId="2" xfId="0" applyBorder="1" applyAlignment="1">
      <alignment horizontal="right"/>
    </xf>
    <xf numFmtId="0" fontId="0" fillId="0" borderId="5" xfId="0" applyBorder="1" applyAlignment="1">
      <alignment horizontal="right"/>
    </xf>
    <xf numFmtId="0" fontId="4" fillId="0" borderId="7" xfId="0" applyFont="1" applyFill="1" applyBorder="1" applyAlignment="1">
      <alignment horizontal="right"/>
    </xf>
    <xf numFmtId="167" fontId="0" fillId="0" borderId="8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164" fontId="0" fillId="4" borderId="11" xfId="0" applyNumberFormat="1" applyFill="1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168" fontId="0" fillId="2" borderId="0" xfId="0" applyNumberFormat="1" applyFill="1" applyAlignment="1">
      <alignment horizontal="center"/>
    </xf>
    <xf numFmtId="0" fontId="0" fillId="0" borderId="2" xfId="0" applyFill="1" applyBorder="1" applyAlignment="1">
      <alignment horizontal="right"/>
    </xf>
    <xf numFmtId="0" fontId="0" fillId="0" borderId="3" xfId="0" applyBorder="1"/>
    <xf numFmtId="0" fontId="0" fillId="0" borderId="5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0" fontId="0" fillId="0" borderId="6" xfId="0" applyFill="1" applyBorder="1"/>
    <xf numFmtId="0" fontId="0" fillId="0" borderId="13" xfId="0" applyFill="1" applyBorder="1" applyAlignment="1">
      <alignment horizontal="right"/>
    </xf>
    <xf numFmtId="164" fontId="0" fillId="0" borderId="14" xfId="0" applyNumberFormat="1" applyBorder="1" applyAlignment="1">
      <alignment horizontal="center"/>
    </xf>
    <xf numFmtId="0" fontId="0" fillId="0" borderId="15" xfId="0" applyFill="1" applyBorder="1"/>
    <xf numFmtId="164" fontId="0" fillId="2" borderId="0" xfId="0" applyNumberFormat="1" applyFill="1" applyAlignment="1" applyProtection="1">
      <alignment horizontal="center"/>
      <protection locked="0"/>
    </xf>
    <xf numFmtId="164" fontId="0" fillId="0" borderId="0" xfId="0" applyNumberFormat="1" applyFill="1" applyAlignment="1">
      <alignment horizontal="left"/>
    </xf>
    <xf numFmtId="164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5" fontId="0" fillId="0" borderId="0" xfId="0" applyNumberFormat="1"/>
    <xf numFmtId="164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164" fontId="0" fillId="0" borderId="1" xfId="0" applyNumberFormat="1" applyBorder="1"/>
    <xf numFmtId="0" fontId="6" fillId="0" borderId="0" xfId="0" applyFont="1" applyBorder="1"/>
    <xf numFmtId="0" fontId="0" fillId="0" borderId="0" xfId="0" applyBorder="1"/>
    <xf numFmtId="11" fontId="0" fillId="2" borderId="0" xfId="0" applyNumberFormat="1" applyFill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165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7" xfId="0" applyNumberFormat="1" applyFill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8" fontId="0" fillId="0" borderId="6" xfId="0" applyNumberFormat="1" applyBorder="1" applyAlignment="1">
      <alignment horizontal="center"/>
    </xf>
    <xf numFmtId="168" fontId="0" fillId="0" borderId="5" xfId="0" applyNumberFormat="1" applyBorder="1" applyAlignment="1">
      <alignment horizontal="center"/>
    </xf>
    <xf numFmtId="168" fontId="0" fillId="0" borderId="8" xfId="0" applyNumberFormat="1" applyBorder="1" applyAlignment="1">
      <alignment horizontal="center"/>
    </xf>
    <xf numFmtId="168" fontId="0" fillId="0" borderId="9" xfId="0" applyNumberFormat="1" applyBorder="1" applyAlignment="1">
      <alignment horizontal="center"/>
    </xf>
    <xf numFmtId="168" fontId="0" fillId="0" borderId="7" xfId="0" applyNumberForma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0" borderId="4" xfId="0" applyNumberFormat="1" applyBorder="1" applyAlignment="1">
      <alignment horizontal="center"/>
    </xf>
    <xf numFmtId="168" fontId="0" fillId="0" borderId="2" xfId="0" applyNumberForma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L_Section_Capacity!$E$3:$E$11</c:f>
              <c:numCache>
                <c:formatCode>0.00</c:formatCode>
                <c:ptCount val="9"/>
                <c:pt idx="0" formatCode="General">
                  <c:v>0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0</c:v>
                </c:pt>
                <c:pt idx="6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</c:numCache>
            </c:numRef>
          </c:xVal>
          <c:yVal>
            <c:numRef>
              <c:f>L_Section_Capacity!$F$3:$F$11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24</c:v>
                </c:pt>
                <c:pt idx="5">
                  <c:v>24</c:v>
                </c:pt>
                <c:pt idx="6">
                  <c:v>16</c:v>
                </c:pt>
                <c:pt idx="7">
                  <c:v>16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9-450D-85AB-B7EA4F2AD83E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L_Section_Capacity!$K$15:$K$24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</c:v>
                </c:pt>
                <c:pt idx="7">
                  <c:v>10</c:v>
                </c:pt>
                <c:pt idx="8">
                  <c:v>2</c:v>
                </c:pt>
                <c:pt idx="9">
                  <c:v>10</c:v>
                </c:pt>
              </c:numCache>
            </c:numRef>
          </c:xVal>
          <c:yVal>
            <c:numRef>
              <c:f>L_Section_Capacity!$L$15:$L$24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22</c:v>
                </c:pt>
                <c:pt idx="7">
                  <c:v>22</c:v>
                </c:pt>
                <c:pt idx="8">
                  <c:v>2</c:v>
                </c:pt>
                <c:pt idx="9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9-450D-85AB-B7EA4F2AD83E}"/>
            </c:ext>
          </c:extLst>
        </c:ser>
        <c:ser>
          <c:idx val="4"/>
          <c:order val="2"/>
          <c:tx>
            <c:v>scale_pt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L_Section_Capacity!$X$4:$X$6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0</c:v>
                </c:pt>
              </c:numCache>
            </c:numRef>
          </c:xVal>
          <c:yVal>
            <c:numRef>
              <c:f>L_Section_Capacity!$Y$4:$Y$6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9-450D-85AB-B7EA4F2AD83E}"/>
            </c:ext>
          </c:extLst>
        </c:ser>
        <c:ser>
          <c:idx val="5"/>
          <c:order val="3"/>
          <c:tx>
            <c:v>Neutral_Axis</c:v>
          </c:tx>
          <c:spPr>
            <a:ln w="15875">
              <a:solidFill>
                <a:srgbClr val="C00000"/>
              </a:solidFill>
              <a:prstDash val="lgDash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L_Section_Capacity!$J$33:$J$34</c:f>
              <c:numCache>
                <c:formatCode>General</c:formatCode>
                <c:ptCount val="2"/>
                <c:pt idx="0">
                  <c:v>-2.778735908367846</c:v>
                </c:pt>
                <c:pt idx="1">
                  <c:v>6.7053699519973451</c:v>
                </c:pt>
              </c:numCache>
            </c:numRef>
          </c:xVal>
          <c:yVal>
            <c:numRef>
              <c:f>L_Section_Capacity!$K$33:$K$34</c:f>
              <c:numCache>
                <c:formatCode>General</c:formatCode>
                <c:ptCount val="2"/>
                <c:pt idx="0">
                  <c:v>-8.3939544910833774E-2</c:v>
                </c:pt>
                <c:pt idx="1">
                  <c:v>26.919458847583787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9-450D-85AB-B7EA4F2AD83E}"/>
            </c:ext>
          </c:extLst>
        </c:ser>
        <c:ser>
          <c:idx val="6"/>
          <c:order val="4"/>
          <c:tx>
            <c:v>Whitney_Block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L_Section_Capacity!$N$33:$N$34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L_Section_Capacity!$O$33:$O$34</c:f>
              <c:numCache>
                <c:formatCode>General</c:formatCode>
                <c:ptCount val="2"/>
                <c:pt idx="0">
                  <c:v>0.2712330224798869</c:v>
                </c:pt>
                <c:pt idx="1">
                  <c:v>27.274631414974507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9-450D-85AB-B7EA4F2AD83E}"/>
            </c:ext>
          </c:extLst>
        </c:ser>
        <c:ser>
          <c:idx val="2"/>
          <c:order val="5"/>
          <c:tx>
            <c:v>Load_Point</c:v>
          </c:tx>
          <c:spPr>
            <a:ln>
              <a:noFill/>
            </a:ln>
          </c:spPr>
          <c:marker>
            <c:symbol val="x"/>
            <c:size val="7"/>
            <c:spPr>
              <a:ln>
                <a:solidFill>
                  <a:srgbClr val="C00000"/>
                </a:solidFill>
              </a:ln>
            </c:spPr>
          </c:marker>
          <c:xVal>
            <c:numRef>
              <c:f>L_Section_Capacity!$I$2</c:f>
              <c:numCache>
                <c:formatCode>0.000</c:formatCode>
                <c:ptCount val="1"/>
                <c:pt idx="0">
                  <c:v>6</c:v>
                </c:pt>
              </c:numCache>
            </c:numRef>
          </c:xVal>
          <c:yVal>
            <c:numRef>
              <c:f>L_Section_Capacity!$I$3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4F-4F13-8E2E-6844DC9CF45D}"/>
            </c:ext>
          </c:extLst>
        </c:ser>
        <c:ser>
          <c:idx val="3"/>
          <c:order val="6"/>
          <c:tx>
            <c:v>Cc_center</c:v>
          </c:tx>
          <c:spPr>
            <a:ln>
              <a:noFill/>
            </a:ln>
          </c:spPr>
          <c:marker>
            <c:symbol val="plus"/>
            <c:size val="6"/>
            <c:spPr>
              <a:ln w="12700">
                <a:solidFill>
                  <a:srgbClr val="00B050"/>
                </a:solidFill>
              </a:ln>
            </c:spPr>
          </c:marker>
          <c:xVal>
            <c:numRef>
              <c:f>L_Section_Capacity!$S$58</c:f>
              <c:numCache>
                <c:formatCode>General</c:formatCode>
                <c:ptCount val="1"/>
                <c:pt idx="0">
                  <c:v>1.5146668300832635</c:v>
                </c:pt>
              </c:numCache>
            </c:numRef>
          </c:xVal>
          <c:yVal>
            <c:numRef>
              <c:f>L_Section_Capacity!$T$58</c:f>
              <c:numCache>
                <c:formatCode>General</c:formatCode>
                <c:ptCount val="1"/>
                <c:pt idx="0">
                  <c:v>19.687400325679157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47-406D-B5D5-9DB062E22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L_Section_Capacity!$C$37:$C$45</c:f>
              <c:numCache>
                <c:formatCode>0.000</c:formatCode>
                <c:ptCount val="9"/>
                <c:pt idx="0">
                  <c:v>-13.310239242535348</c:v>
                </c:pt>
                <c:pt idx="1">
                  <c:v>-9.3337414217966543</c:v>
                </c:pt>
                <c:pt idx="2">
                  <c:v>5.7622456877580142</c:v>
                </c:pt>
                <c:pt idx="3">
                  <c:v>5.7622456877580142</c:v>
                </c:pt>
                <c:pt idx="4">
                  <c:v>13.310239242535348</c:v>
                </c:pt>
                <c:pt idx="5">
                  <c:v>9.3337414217966543</c:v>
                </c:pt>
                <c:pt idx="6">
                  <c:v>1.7857478670193201</c:v>
                </c:pt>
                <c:pt idx="7">
                  <c:v>1.7857478670193201</c:v>
                </c:pt>
                <c:pt idx="8">
                  <c:v>-13.310239242535348</c:v>
                </c:pt>
              </c:numCache>
            </c:numRef>
          </c:xVal>
          <c:yVal>
            <c:numRef>
              <c:f>L_Section_Capacity!$D$37:$D$45</c:f>
              <c:numCache>
                <c:formatCode>0.000</c:formatCode>
                <c:ptCount val="9"/>
                <c:pt idx="0">
                  <c:v>1.6844973453443064</c:v>
                </c:pt>
                <c:pt idx="1">
                  <c:v>-9.6374929868216945</c:v>
                </c:pt>
                <c:pt idx="2">
                  <c:v>-4.3354958925034355</c:v>
                </c:pt>
                <c:pt idx="3">
                  <c:v>-4.3354958925034355</c:v>
                </c:pt>
                <c:pt idx="4">
                  <c:v>-1.6844973453443064</c:v>
                </c:pt>
                <c:pt idx="5">
                  <c:v>9.6374929868216945</c:v>
                </c:pt>
                <c:pt idx="6">
                  <c:v>6.9864944396625654</c:v>
                </c:pt>
                <c:pt idx="7">
                  <c:v>6.9864944396625654</c:v>
                </c:pt>
                <c:pt idx="8">
                  <c:v>1.6844973453443064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D-4B30-9120-E7E227F0CFB1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L_Section_Capacity!$Q$62:$Q$71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8.1094926698921022</c:v>
                </c:pt>
                <c:pt idx="7">
                  <c:v>10.760491217051232</c:v>
                </c:pt>
                <c:pt idx="8">
                  <c:v>-10.760491217051232</c:v>
                </c:pt>
                <c:pt idx="9">
                  <c:v>-8.1094926698921022</c:v>
                </c:pt>
              </c:numCache>
            </c:numRef>
          </c:xVal>
          <c:yVal>
            <c:numRef>
              <c:f>L_Section_Capacity!$R$62:$R$71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7.0877449613375791</c:v>
                </c:pt>
                <c:pt idx="7">
                  <c:v>-0.4602485934397551</c:v>
                </c:pt>
                <c:pt idx="8">
                  <c:v>0.4602485934397551</c:v>
                </c:pt>
                <c:pt idx="9">
                  <c:v>-7.0877449613375791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D-4B30-9120-E7E227F0CFB1}"/>
            </c:ext>
          </c:extLst>
        </c:ser>
        <c:ser>
          <c:idx val="2"/>
          <c:order val="2"/>
          <c:tx>
            <c:v>NA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L_Section_Capacity!$J$38:$J$39</c:f>
              <c:numCache>
                <c:formatCode>0.000</c:formatCode>
                <c:ptCount val="2"/>
                <c:pt idx="0">
                  <c:v>-14.310239242535348</c:v>
                </c:pt>
                <c:pt idx="1">
                  <c:v>14.310239242535348</c:v>
                </c:pt>
              </c:numCache>
            </c:numRef>
          </c:xVal>
          <c:yVal>
            <c:numRef>
              <c:f>L_Section_Capacity!$K$38:$K$39</c:f>
              <c:numCache>
                <c:formatCode>0.000</c:formatCode>
                <c:ptCount val="2"/>
                <c:pt idx="0">
                  <c:v>4.278416984741936</c:v>
                </c:pt>
                <c:pt idx="1">
                  <c:v>4.278416984741936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D-4B30-9120-E7E227F0CFB1}"/>
            </c:ext>
          </c:extLst>
        </c:ser>
        <c:ser>
          <c:idx val="3"/>
          <c:order val="3"/>
          <c:tx>
            <c:v>Whitney_Block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L_Section_Capacity!$N$38:$N$39</c:f>
              <c:numCache>
                <c:formatCode>0.000</c:formatCode>
                <c:ptCount val="2"/>
                <c:pt idx="0">
                  <c:v>-14.310239242535348</c:v>
                </c:pt>
                <c:pt idx="1">
                  <c:v>14.310239242535348</c:v>
                </c:pt>
              </c:numCache>
            </c:numRef>
          </c:xVal>
          <c:yVal>
            <c:numRef>
              <c:f>L_Section_Capacity!$O$38:$O$39</c:f>
              <c:numCache>
                <c:formatCode>0.000</c:formatCode>
                <c:ptCount val="2"/>
                <c:pt idx="0">
                  <c:v>5.3502321851578882</c:v>
                </c:pt>
                <c:pt idx="1">
                  <c:v>5.3502321851578882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D-4B30-9120-E7E227F0CFB1}"/>
            </c:ext>
          </c:extLst>
        </c:ser>
        <c:ser>
          <c:idx val="4"/>
          <c:order val="4"/>
          <c:tx>
            <c:v>stress_nodes_i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FF000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L_Section_Capacity!$S$49:$S$56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10.839508759039475</c:v>
                </c:pt>
                <c:pt idx="5">
                  <c:v>9.3337414217966543</c:v>
                </c:pt>
                <c:pt idx="6">
                  <c:v>1.7857478670193201</c:v>
                </c:pt>
                <c:pt idx="7">
                  <c:v>1.7857478670193201</c:v>
                </c:pt>
              </c:numCache>
            </c:numRef>
          </c:xVal>
          <c:yVal>
            <c:numRef>
              <c:f>L_Section_Capacity!$T$49:$T$56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5.3502321851578882</c:v>
                </c:pt>
                <c:pt idx="5">
                  <c:v>9.6374929868216945</c:v>
                </c:pt>
                <c:pt idx="6">
                  <c:v>6.9864944396625654</c:v>
                </c:pt>
                <c:pt idx="7">
                  <c:v>6.9864944396625654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BD-4B30-9120-E7E227F0CFB1}"/>
            </c:ext>
          </c:extLst>
        </c:ser>
        <c:ser>
          <c:idx val="5"/>
          <c:order val="5"/>
          <c:tx>
            <c:v>stress_nodes_j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L_Section_Capacity!$V$49:$V$56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9.3337414217966543</c:v>
                </c:pt>
                <c:pt idx="5">
                  <c:v>1.7857478670193201</c:v>
                </c:pt>
                <c:pt idx="6">
                  <c:v>1.7857478670193201</c:v>
                </c:pt>
                <c:pt idx="7">
                  <c:v>-2.8730615329940474</c:v>
                </c:pt>
              </c:numCache>
            </c:numRef>
          </c:xVal>
          <c:yVal>
            <c:numRef>
              <c:f>L_Section_Capacity!$W$49:$W$56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9.6374929868216945</c:v>
                </c:pt>
                <c:pt idx="5">
                  <c:v>6.9864944396625654</c:v>
                </c:pt>
                <c:pt idx="6">
                  <c:v>6.9864944396625654</c:v>
                </c:pt>
                <c:pt idx="7">
                  <c:v>5.3502321851578882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BD-4B30-9120-E7E227F0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999249114108941E-2"/>
          <c:y val="9.5394347156804546E-2"/>
          <c:w val="0.84232733481796163"/>
          <c:h val="0.75111090356007637"/>
        </c:manualLayout>
      </c:layout>
      <c:scatterChart>
        <c:scatterStyle val="lineMarker"/>
        <c:varyColors val="0"/>
        <c:ser>
          <c:idx val="0"/>
          <c:order val="0"/>
          <c:tx>
            <c:v>Result_Vector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00B0F0"/>
                </a:solidFill>
              </a:ln>
              <a:effectLst/>
            </c:spPr>
          </c:marker>
          <c:xVal>
            <c:numRef>
              <c:f>L_Section_Capacity!$AA$5:$AA$6</c:f>
              <c:numCache>
                <c:formatCode>General</c:formatCode>
                <c:ptCount val="2"/>
                <c:pt idx="0">
                  <c:v>0</c:v>
                </c:pt>
                <c:pt idx="1">
                  <c:v>111.80339887498948</c:v>
                </c:pt>
              </c:numCache>
            </c:numRef>
          </c:xVal>
          <c:yVal>
            <c:numRef>
              <c:f>L_Section_Capacity!$AB$5:$AB$6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12-6244-8B8B-DB5AF284A8E0}"/>
            </c:ext>
          </c:extLst>
        </c:ser>
        <c:ser>
          <c:idx val="1"/>
          <c:order val="1"/>
          <c:tx>
            <c:v>Capacity_Vector</c:v>
          </c:tx>
          <c:spPr>
            <a:ln w="1270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(L_Section_Capacity!$AA$5,L_Section_Capacity!$AA$7)</c:f>
              <c:numCache>
                <c:formatCode>General</c:formatCode>
                <c:ptCount val="2"/>
                <c:pt idx="0">
                  <c:v>0</c:v>
                </c:pt>
                <c:pt idx="1">
                  <c:v>143.25598559964612</c:v>
                </c:pt>
              </c:numCache>
            </c:numRef>
          </c:xVal>
          <c:yVal>
            <c:numRef>
              <c:f>(L_Section_Capacity!$AB$5,L_Section_Capacity!$AB$7)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9.9999999991572857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A6-D941-A211-2EA21BA7F3D2}"/>
            </c:ext>
          </c:extLst>
        </c:ser>
        <c:ser>
          <c:idx val="2"/>
          <c:order val="2"/>
          <c:tx>
            <c:v>Res_Cap_Vector</c:v>
          </c:tx>
          <c:spPr>
            <a:ln w="12700" cap="rnd">
              <a:solidFill>
                <a:schemeClr val="accent4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L_Section_Capacity!$AA$6:$AA$7</c:f>
              <c:numCache>
                <c:formatCode>General</c:formatCode>
                <c:ptCount val="2"/>
                <c:pt idx="0">
                  <c:v>111.80339887498948</c:v>
                </c:pt>
                <c:pt idx="1">
                  <c:v>143.25598559964612</c:v>
                </c:pt>
              </c:numCache>
            </c:numRef>
          </c:xVal>
          <c:yVal>
            <c:numRef>
              <c:f>L_Section_Capacity!$AB$6:$AB$7</c:f>
              <c:numCache>
                <c:formatCode>0.000</c:formatCode>
                <c:ptCount val="2"/>
                <c:pt idx="0" formatCode="General">
                  <c:v>10</c:v>
                </c:pt>
                <c:pt idx="1">
                  <c:v>9.9999999991572857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A6-D941-A211-2EA21BA7F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42352"/>
        <c:axId val="233843984"/>
      </c:scatterChart>
      <c:valAx>
        <c:axId val="23384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3984"/>
        <c:crosses val="autoZero"/>
        <c:crossBetween val="midCat"/>
      </c:valAx>
      <c:valAx>
        <c:axId val="23384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2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L_Section_Capacity!$BD$2:$BD$362</c:f>
              <c:numCache>
                <c:formatCode>General</c:formatCode>
                <c:ptCount val="361"/>
                <c:pt idx="0">
                  <c:v>277.65011198714569</c:v>
                </c:pt>
                <c:pt idx="1">
                  <c:v>277.57038759620008</c:v>
                </c:pt>
                <c:pt idx="2">
                  <c:v>277.47470519226954</c:v>
                </c:pt>
                <c:pt idx="3">
                  <c:v>277.36296267728272</c:v>
                </c:pt>
                <c:pt idx="4">
                  <c:v>277.23501857246367</c:v>
                </c:pt>
                <c:pt idx="5">
                  <c:v>277.09069141158091</c:v>
                </c:pt>
                <c:pt idx="6">
                  <c:v>276.92975890513054</c:v>
                </c:pt>
                <c:pt idx="7">
                  <c:v>276.75195690141783</c:v>
                </c:pt>
                <c:pt idx="8">
                  <c:v>276.55697811618393</c:v>
                </c:pt>
                <c:pt idx="9">
                  <c:v>276.34447062261194</c:v>
                </c:pt>
                <c:pt idx="10">
                  <c:v>276.11404667603995</c:v>
                </c:pt>
                <c:pt idx="11">
                  <c:v>275.86547723921962</c:v>
                </c:pt>
                <c:pt idx="12">
                  <c:v>275.59887119879613</c:v>
                </c:pt>
                <c:pt idx="13">
                  <c:v>275.31452449045719</c:v>
                </c:pt>
                <c:pt idx="14">
                  <c:v>275.01279946026273</c:v>
                </c:pt>
                <c:pt idx="15">
                  <c:v>274.69406015287598</c:v>
                </c:pt>
                <c:pt idx="16">
                  <c:v>274.35863779841463</c:v>
                </c:pt>
                <c:pt idx="17">
                  <c:v>274.00681302344918</c:v>
                </c:pt>
                <c:pt idx="18">
                  <c:v>273.63880743944509</c:v>
                </c:pt>
                <c:pt idx="19">
                  <c:v>273.25478055787573</c:v>
                </c:pt>
                <c:pt idx="20">
                  <c:v>272.85482964845966</c:v>
                </c:pt>
                <c:pt idx="21">
                  <c:v>272.43899121758636</c:v>
                </c:pt>
                <c:pt idx="22">
                  <c:v>272.00724331351489</c:v>
                </c:pt>
                <c:pt idx="23">
                  <c:v>271.55950819619477</c:v>
                </c:pt>
                <c:pt idx="24">
                  <c:v>271.09565514270912</c:v>
                </c:pt>
                <c:pt idx="25">
                  <c:v>270.61550325679644</c:v>
                </c:pt>
                <c:pt idx="26">
                  <c:v>270.11882422499076</c:v>
                </c:pt>
                <c:pt idx="27">
                  <c:v>268.91267210317841</c:v>
                </c:pt>
                <c:pt idx="28">
                  <c:v>265.5971415303469</c:v>
                </c:pt>
                <c:pt idx="29">
                  <c:v>262.3470762067501</c:v>
                </c:pt>
                <c:pt idx="30">
                  <c:v>259.1586663503407</c:v>
                </c:pt>
                <c:pt idx="31">
                  <c:v>256.02831714612495</c:v>
                </c:pt>
                <c:pt idx="32">
                  <c:v>252.9526425119698</c:v>
                </c:pt>
                <c:pt idx="33">
                  <c:v>249.92846027807801</c:v>
                </c:pt>
                <c:pt idx="34">
                  <c:v>246.95278909262444</c:v>
                </c:pt>
                <c:pt idx="35">
                  <c:v>244.02284740959951</c:v>
                </c:pt>
                <c:pt idx="36">
                  <c:v>241.1360549819268</c:v>
                </c:pt>
                <c:pt idx="37">
                  <c:v>238.29003737779959</c:v>
                </c:pt>
                <c:pt idx="38">
                  <c:v>235.48263416907909</c:v>
                </c:pt>
                <c:pt idx="39">
                  <c:v>232.71191162017482</c:v>
                </c:pt>
                <c:pt idx="40">
                  <c:v>229.9761809472374</c:v>
                </c:pt>
                <c:pt idx="41">
                  <c:v>227.27402354759838</c:v>
                </c:pt>
                <c:pt idx="42">
                  <c:v>224.60432504603551</c:v>
                </c:pt>
                <c:pt idx="43">
                  <c:v>221.96632062498597</c:v>
                </c:pt>
                <c:pt idx="44">
                  <c:v>219.35965496120622</c:v>
                </c:pt>
                <c:pt idx="45">
                  <c:v>216.78446130312727</c:v>
                </c:pt>
                <c:pt idx="46">
                  <c:v>214.24146594535583</c:v>
                </c:pt>
                <c:pt idx="47">
                  <c:v>211.73212686336805</c:v>
                </c:pt>
                <c:pt idx="48">
                  <c:v>209.25793684114475</c:v>
                </c:pt>
                <c:pt idx="49">
                  <c:v>206.25110789920936</c:v>
                </c:pt>
                <c:pt idx="50">
                  <c:v>203.17837561163131</c:v>
                </c:pt>
                <c:pt idx="51">
                  <c:v>200.15712693563364</c:v>
                </c:pt>
                <c:pt idx="52">
                  <c:v>197.18320176117655</c:v>
                </c:pt>
                <c:pt idx="53">
                  <c:v>194.25263622167202</c:v>
                </c:pt>
                <c:pt idx="54">
                  <c:v>191.36163706388638</c:v>
                </c:pt>
                <c:pt idx="55">
                  <c:v>188.50655746186439</c:v>
                </c:pt>
                <c:pt idx="56">
                  <c:v>185.54770840975479</c:v>
                </c:pt>
                <c:pt idx="57">
                  <c:v>182.22147566634828</c:v>
                </c:pt>
                <c:pt idx="58">
                  <c:v>178.93400294366535</c:v>
                </c:pt>
                <c:pt idx="59">
                  <c:v>175.6817283824347</c:v>
                </c:pt>
                <c:pt idx="60">
                  <c:v>172.46120352858588</c:v>
                </c:pt>
                <c:pt idx="61">
                  <c:v>169.26907431048778</c:v>
                </c:pt>
                <c:pt idx="62">
                  <c:v>166.10206206322704</c:v>
                </c:pt>
                <c:pt idx="63">
                  <c:v>162.95694417732639</c:v>
                </c:pt>
                <c:pt idx="64">
                  <c:v>159.80756624782228</c:v>
                </c:pt>
                <c:pt idx="65">
                  <c:v>156.60463447580469</c:v>
                </c:pt>
                <c:pt idx="66">
                  <c:v>153.42317129358614</c:v>
                </c:pt>
                <c:pt idx="67">
                  <c:v>150.26036147677982</c:v>
                </c:pt>
                <c:pt idx="68">
                  <c:v>147.1133951254775</c:v>
                </c:pt>
                <c:pt idx="69">
                  <c:v>143.97943541744428</c:v>
                </c:pt>
                <c:pt idx="70">
                  <c:v>140.85557634286354</c:v>
                </c:pt>
                <c:pt idx="71">
                  <c:v>137.73878510822937</c:v>
                </c:pt>
                <c:pt idx="72">
                  <c:v>134.62582092861925</c:v>
                </c:pt>
                <c:pt idx="73">
                  <c:v>131.51311699273819</c:v>
                </c:pt>
                <c:pt idx="74">
                  <c:v>128.39660413211945</c:v>
                </c:pt>
                <c:pt idx="75">
                  <c:v>125.27144042710707</c:v>
                </c:pt>
                <c:pt idx="76">
                  <c:v>122.13158566746442</c:v>
                </c:pt>
                <c:pt idx="77">
                  <c:v>118.969113310944</c:v>
                </c:pt>
                <c:pt idx="78">
                  <c:v>115.77306501068053</c:v>
                </c:pt>
                <c:pt idx="79">
                  <c:v>112.52752159601688</c:v>
                </c:pt>
                <c:pt idx="80">
                  <c:v>109.2188717852531</c:v>
                </c:pt>
                <c:pt idx="81">
                  <c:v>105.73285241018895</c:v>
                </c:pt>
                <c:pt idx="82">
                  <c:v>102.16211995533689</c:v>
                </c:pt>
                <c:pt idx="83">
                  <c:v>98.537496807824269</c:v>
                </c:pt>
                <c:pt idx="84">
                  <c:v>94.873663018924432</c:v>
                </c:pt>
                <c:pt idx="85">
                  <c:v>91.190871709275797</c:v>
                </c:pt>
                <c:pt idx="86">
                  <c:v>87.518628043361957</c:v>
                </c:pt>
                <c:pt idx="87">
                  <c:v>83.902208536931084</c:v>
                </c:pt>
                <c:pt idx="88">
                  <c:v>80.416294759657276</c:v>
                </c:pt>
                <c:pt idx="89">
                  <c:v>77.191756851495924</c:v>
                </c:pt>
                <c:pt idx="90">
                  <c:v>74.41737841316457</c:v>
                </c:pt>
                <c:pt idx="91">
                  <c:v>59.31437128128465</c:v>
                </c:pt>
                <c:pt idx="92">
                  <c:v>46.080967296938987</c:v>
                </c:pt>
                <c:pt idx="93">
                  <c:v>34.840152032236773</c:v>
                </c:pt>
                <c:pt idx="94">
                  <c:v>25.725497239852682</c:v>
                </c:pt>
                <c:pt idx="95">
                  <c:v>17.725581718003106</c:v>
                </c:pt>
                <c:pt idx="96">
                  <c:v>10.725302198083931</c:v>
                </c:pt>
                <c:pt idx="97">
                  <c:v>5.7553980506532412</c:v>
                </c:pt>
                <c:pt idx="98">
                  <c:v>2.2929179679954212</c:v>
                </c:pt>
                <c:pt idx="99">
                  <c:v>-0.23521914611165276</c:v>
                </c:pt>
                <c:pt idx="100">
                  <c:v>-2.146073014612317</c:v>
                </c:pt>
                <c:pt idx="101">
                  <c:v>-3.6316843968572163</c:v>
                </c:pt>
                <c:pt idx="102">
                  <c:v>-4.8142484008470676</c:v>
                </c:pt>
                <c:pt idx="103">
                  <c:v>-5.774702825855818</c:v>
                </c:pt>
                <c:pt idx="104">
                  <c:v>-6.5684782486277102</c:v>
                </c:pt>
                <c:pt idx="105">
                  <c:v>-7.2346239103809875</c:v>
                </c:pt>
                <c:pt idx="106">
                  <c:v>-7.8013235813468702</c:v>
                </c:pt>
                <c:pt idx="107">
                  <c:v>-8.2893515037344248</c:v>
                </c:pt>
                <c:pt idx="108">
                  <c:v>-8.7143058456550104</c:v>
                </c:pt>
                <c:pt idx="109">
                  <c:v>-9.0880916212036933</c:v>
                </c:pt>
                <c:pt idx="110">
                  <c:v>-9.4199289810390496</c:v>
                </c:pt>
                <c:pt idx="111">
                  <c:v>-9.7170533759574944</c:v>
                </c:pt>
                <c:pt idx="112">
                  <c:v>-9.9852110146046087</c:v>
                </c:pt>
                <c:pt idx="113">
                  <c:v>-10.229015457219424</c:v>
                </c:pt>
                <c:pt idx="114">
                  <c:v>-10.4522082242271</c:v>
                </c:pt>
                <c:pt idx="115">
                  <c:v>-10.657851947612077</c:v>
                </c:pt>
                <c:pt idx="116">
                  <c:v>-10.848475345670709</c:v>
                </c:pt>
                <c:pt idx="117">
                  <c:v>-11.026183344195063</c:v>
                </c:pt>
                <c:pt idx="118">
                  <c:v>-11.192741607930309</c:v>
                </c:pt>
                <c:pt idx="119">
                  <c:v>-11.349642109959456</c:v>
                </c:pt>
                <c:pt idx="120">
                  <c:v>-11.498154450906407</c:v>
                </c:pt>
                <c:pt idx="121">
                  <c:v>-11.639366394737257</c:v>
                </c:pt>
                <c:pt idx="122">
                  <c:v>-11.776797397455224</c:v>
                </c:pt>
                <c:pt idx="123">
                  <c:v>-11.908935881307334</c:v>
                </c:pt>
                <c:pt idx="124">
                  <c:v>-12.036349713535676</c:v>
                </c:pt>
                <c:pt idx="125">
                  <c:v>-12.159661084526258</c:v>
                </c:pt>
                <c:pt idx="126">
                  <c:v>-12.279421574340583</c:v>
                </c:pt>
                <c:pt idx="127">
                  <c:v>-12.396123621469558</c:v>
                </c:pt>
                <c:pt idx="128">
                  <c:v>-12.510210095018609</c:v>
                </c:pt>
                <c:pt idx="129">
                  <c:v>-12.622082303280145</c:v>
                </c:pt>
                <c:pt idx="130">
                  <c:v>-12.732106784205188</c:v>
                </c:pt>
                <c:pt idx="131">
                  <c:v>-12.840621100538037</c:v>
                </c:pt>
                <c:pt idx="132">
                  <c:v>-12.9479388209626</c:v>
                </c:pt>
                <c:pt idx="133">
                  <c:v>-13.054353872205319</c:v>
                </c:pt>
                <c:pt idx="134">
                  <c:v>-13.160144368795706</c:v>
                </c:pt>
                <c:pt idx="135">
                  <c:v>-13.265576028065926</c:v>
                </c:pt>
                <c:pt idx="136">
                  <c:v>-13.370905281032526</c:v>
                </c:pt>
                <c:pt idx="137">
                  <c:v>-13.476382128404479</c:v>
                </c:pt>
                <c:pt idx="138">
                  <c:v>-13.582252833102144</c:v>
                </c:pt>
                <c:pt idx="139">
                  <c:v>-13.688762499453883</c:v>
                </c:pt>
                <c:pt idx="140">
                  <c:v>-13.796157599871986</c:v>
                </c:pt>
                <c:pt idx="141">
                  <c:v>-13.904688503409609</c:v>
                </c:pt>
                <c:pt idx="142">
                  <c:v>-14.014612059654686</c:v>
                </c:pt>
                <c:pt idx="143">
                  <c:v>-14.126194304481359</c:v>
                </c:pt>
                <c:pt idx="144">
                  <c:v>-14.239713336936591</c:v>
                </c:pt>
                <c:pt idx="145">
                  <c:v>-14.355462445724616</c:v>
                </c:pt>
                <c:pt idx="146">
                  <c:v>-14.473753551665935</c:v>
                </c:pt>
                <c:pt idx="147">
                  <c:v>-14.594921083257955</c:v>
                </c:pt>
                <c:pt idx="148">
                  <c:v>-14.719326351918408</c:v>
                </c:pt>
                <c:pt idx="149">
                  <c:v>-14.847218255713566</c:v>
                </c:pt>
                <c:pt idx="150">
                  <c:v>-14.976587692721521</c:v>
                </c:pt>
                <c:pt idx="151">
                  <c:v>-15.110571550992198</c:v>
                </c:pt>
                <c:pt idx="152">
                  <c:v>-15.249699243236364</c:v>
                </c:pt>
                <c:pt idx="153">
                  <c:v>-15.394563422546954</c:v>
                </c:pt>
                <c:pt idx="154">
                  <c:v>-15.545831795955085</c:v>
                </c:pt>
                <c:pt idx="155">
                  <c:v>-15.704261493709097</c:v>
                </c:pt>
                <c:pt idx="156">
                  <c:v>-15.870716692088523</c:v>
                </c:pt>
                <c:pt idx="157">
                  <c:v>-16.046190437001179</c:v>
                </c:pt>
                <c:pt idx="158">
                  <c:v>-16.231831892320074</c:v>
                </c:pt>
                <c:pt idx="159">
                  <c:v>-16.42898073155564</c:v>
                </c:pt>
                <c:pt idx="160">
                  <c:v>-16.639210963190695</c:v>
                </c:pt>
                <c:pt idx="161">
                  <c:v>-16.864387440802325</c:v>
                </c:pt>
                <c:pt idx="162">
                  <c:v>-17.106739603084584</c:v>
                </c:pt>
                <c:pt idx="163">
                  <c:v>-17.368959001855451</c:v>
                </c:pt>
                <c:pt idx="164">
                  <c:v>-17.654330197125326</c:v>
                </c:pt>
                <c:pt idx="165">
                  <c:v>-17.966030427916294</c:v>
                </c:pt>
                <c:pt idx="166">
                  <c:v>-18.30277026342905</c:v>
                </c:pt>
                <c:pt idx="167">
                  <c:v>-18.661669943627611</c:v>
                </c:pt>
                <c:pt idx="168">
                  <c:v>-19.039985908499176</c:v>
                </c:pt>
                <c:pt idx="169">
                  <c:v>-19.434999992000535</c:v>
                </c:pt>
                <c:pt idx="170">
                  <c:v>-19.843910300159155</c:v>
                </c:pt>
                <c:pt idx="171">
                  <c:v>-20.263723976336799</c:v>
                </c:pt>
                <c:pt idx="172">
                  <c:v>-20.691152857377162</c:v>
                </c:pt>
                <c:pt idx="173">
                  <c:v>-21.122520611076805</c:v>
                </c:pt>
                <c:pt idx="174">
                  <c:v>-21.55370841086204</c:v>
                </c:pt>
                <c:pt idx="175">
                  <c:v>-21.980216841112441</c:v>
                </c:pt>
                <c:pt idx="176">
                  <c:v>-22.397584858168173</c:v>
                </c:pt>
                <c:pt idx="177">
                  <c:v>-22.802891698772051</c:v>
                </c:pt>
                <c:pt idx="178">
                  <c:v>-23.19584960425</c:v>
                </c:pt>
                <c:pt idx="179">
                  <c:v>-23.663215738924585</c:v>
                </c:pt>
                <c:pt idx="180">
                  <c:v>-24.082659939669306</c:v>
                </c:pt>
                <c:pt idx="181">
                  <c:v>-23.672862905784825</c:v>
                </c:pt>
                <c:pt idx="182">
                  <c:v>-23.250981603677484</c:v>
                </c:pt>
                <c:pt idx="183">
                  <c:v>-22.925683024830327</c:v>
                </c:pt>
                <c:pt idx="184">
                  <c:v>-22.610318820419042</c:v>
                </c:pt>
                <c:pt idx="185">
                  <c:v>-22.302078150797993</c:v>
                </c:pt>
                <c:pt idx="186">
                  <c:v>-21.999458902238931</c:v>
                </c:pt>
                <c:pt idx="187">
                  <c:v>-21.702350917592891</c:v>
                </c:pt>
                <c:pt idx="188">
                  <c:v>-21.405974816057224</c:v>
                </c:pt>
                <c:pt idx="189">
                  <c:v>-21.114176320318514</c:v>
                </c:pt>
                <c:pt idx="190">
                  <c:v>-20.828813180663751</c:v>
                </c:pt>
                <c:pt idx="191">
                  <c:v>-20.549725768343766</c:v>
                </c:pt>
                <c:pt idx="192">
                  <c:v>-20.276663234004612</c:v>
                </c:pt>
                <c:pt idx="193">
                  <c:v>-20.009312746628169</c:v>
                </c:pt>
                <c:pt idx="194">
                  <c:v>-19.747324505546995</c:v>
                </c:pt>
                <c:pt idx="195">
                  <c:v>-19.490331490695777</c:v>
                </c:pt>
                <c:pt idx="196">
                  <c:v>-19.237964496015426</c:v>
                </c:pt>
                <c:pt idx="197">
                  <c:v>-18.989863348193722</c:v>
                </c:pt>
                <c:pt idx="198">
                  <c:v>-18.745685277674298</c:v>
                </c:pt>
                <c:pt idx="199">
                  <c:v>-18.505111237593077</c:v>
                </c:pt>
                <c:pt idx="200">
                  <c:v>-18.267850798466274</c:v>
                </c:pt>
                <c:pt idx="201">
                  <c:v>-18.033646173883238</c:v>
                </c:pt>
                <c:pt idx="202">
                  <c:v>-17.802275771441138</c:v>
                </c:pt>
                <c:pt idx="203">
                  <c:v>-17.571891949438246</c:v>
                </c:pt>
                <c:pt idx="204">
                  <c:v>-17.343630662310325</c:v>
                </c:pt>
                <c:pt idx="205">
                  <c:v>-17.117695154667583</c:v>
                </c:pt>
                <c:pt idx="206">
                  <c:v>-16.894010138701891</c:v>
                </c:pt>
                <c:pt idx="207">
                  <c:v>-16.672116537321699</c:v>
                </c:pt>
                <c:pt idx="208">
                  <c:v>-16.451101716138542</c:v>
                </c:pt>
                <c:pt idx="209">
                  <c:v>-16.230088359216939</c:v>
                </c:pt>
                <c:pt idx="210">
                  <c:v>-16.00825023168348</c:v>
                </c:pt>
                <c:pt idx="211">
                  <c:v>-15.784799240937113</c:v>
                </c:pt>
                <c:pt idx="212">
                  <c:v>-15.55897419429688</c:v>
                </c:pt>
                <c:pt idx="213">
                  <c:v>-15.330030850825722</c:v>
                </c:pt>
                <c:pt idx="214">
                  <c:v>-15.097232911484198</c:v>
                </c:pt>
                <c:pt idx="215">
                  <c:v>-14.859843707245561</c:v>
                </c:pt>
                <c:pt idx="216">
                  <c:v>-14.617118331914574</c:v>
                </c:pt>
                <c:pt idx="217">
                  <c:v>-14.368296028316054</c:v>
                </c:pt>
                <c:pt idx="218">
                  <c:v>-14.112592656253334</c:v>
                </c:pt>
                <c:pt idx="219">
                  <c:v>-13.849193081323877</c:v>
                </c:pt>
                <c:pt idx="220">
                  <c:v>-13.577243313118389</c:v>
                </c:pt>
                <c:pt idx="221">
                  <c:v>-13.295842250018783</c:v>
                </c:pt>
                <c:pt idx="222">
                  <c:v>-13.004032869669365</c:v>
                </c:pt>
                <c:pt idx="223">
                  <c:v>-12.700792680173871</c:v>
                </c:pt>
                <c:pt idx="224">
                  <c:v>-12.385023264239114</c:v>
                </c:pt>
                <c:pt idx="225">
                  <c:v>-12.055538675217308</c:v>
                </c:pt>
                <c:pt idx="226">
                  <c:v>-11.711052482009219</c:v>
                </c:pt>
                <c:pt idx="227">
                  <c:v>-11.350163149849198</c:v>
                </c:pt>
                <c:pt idx="228">
                  <c:v>-10.971337453867232</c:v>
                </c:pt>
                <c:pt idx="229">
                  <c:v>-10.572891520801402</c:v>
                </c:pt>
                <c:pt idx="230">
                  <c:v>-10.152969053021989</c:v>
                </c:pt>
                <c:pt idx="231">
                  <c:v>-9.7095161608281941</c:v>
                </c:pt>
                <c:pt idx="232">
                  <c:v>-9.2402521454148498</c:v>
                </c:pt>
                <c:pt idx="233">
                  <c:v>-8.7426353920835105</c:v>
                </c:pt>
                <c:pt idx="234">
                  <c:v>-8.2138233795167892</c:v>
                </c:pt>
                <c:pt idx="235">
                  <c:v>-7.6506255455647336</c:v>
                </c:pt>
                <c:pt idx="236">
                  <c:v>-7.0494474628516777</c:v>
                </c:pt>
                <c:pt idx="237">
                  <c:v>-6.4062243915022368</c:v>
                </c:pt>
                <c:pt idx="238">
                  <c:v>-5.7163417619637906</c:v>
                </c:pt>
                <c:pt idx="239">
                  <c:v>-4.9745395041808314</c:v>
                </c:pt>
                <c:pt idx="240">
                  <c:v>-4.1747962789148465</c:v>
                </c:pt>
                <c:pt idx="241">
                  <c:v>-3.3101885527441652</c:v>
                </c:pt>
                <c:pt idx="242">
                  <c:v>-2.3727179374895897</c:v>
                </c:pt>
                <c:pt idx="243">
                  <c:v>-1.353098240342679</c:v>
                </c:pt>
                <c:pt idx="244">
                  <c:v>-0.24049091424224162</c:v>
                </c:pt>
                <c:pt idx="245">
                  <c:v>0.98101596519020295</c:v>
                </c:pt>
                <c:pt idx="246">
                  <c:v>2.3544434478068745</c:v>
                </c:pt>
                <c:pt idx="247">
                  <c:v>3.8802849403348083</c:v>
                </c:pt>
                <c:pt idx="248">
                  <c:v>5.556377919681962</c:v>
                </c:pt>
                <c:pt idx="249">
                  <c:v>7.4259141264589994</c:v>
                </c:pt>
                <c:pt idx="250">
                  <c:v>9.5239308506818219</c:v>
                </c:pt>
                <c:pt idx="251">
                  <c:v>11.892276767627306</c:v>
                </c:pt>
                <c:pt idx="252">
                  <c:v>14.583177737440613</c:v>
                </c:pt>
                <c:pt idx="253">
                  <c:v>17.583169910957658</c:v>
                </c:pt>
                <c:pt idx="254">
                  <c:v>20.684272869101513</c:v>
                </c:pt>
                <c:pt idx="255">
                  <c:v>24.272570328249707</c:v>
                </c:pt>
                <c:pt idx="256">
                  <c:v>28.466312175738999</c:v>
                </c:pt>
                <c:pt idx="257">
                  <c:v>33.420731208760436</c:v>
                </c:pt>
                <c:pt idx="258">
                  <c:v>39.244314324976045</c:v>
                </c:pt>
                <c:pt idx="259">
                  <c:v>45.962290217712109</c:v>
                </c:pt>
                <c:pt idx="260">
                  <c:v>53.609047983305743</c:v>
                </c:pt>
                <c:pt idx="261">
                  <c:v>61.649443182588378</c:v>
                </c:pt>
                <c:pt idx="262">
                  <c:v>69.09019409402508</c:v>
                </c:pt>
                <c:pt idx="263">
                  <c:v>76.75665974707951</c:v>
                </c:pt>
                <c:pt idx="264">
                  <c:v>85.439492878937216</c:v>
                </c:pt>
                <c:pt idx="265">
                  <c:v>95.335635823243678</c:v>
                </c:pt>
                <c:pt idx="266">
                  <c:v>102.36544566355445</c:v>
                </c:pt>
                <c:pt idx="267">
                  <c:v>108.73863448207527</c:v>
                </c:pt>
                <c:pt idx="268">
                  <c:v>115.15709344261987</c:v>
                </c:pt>
                <c:pt idx="269">
                  <c:v>121.5705001583481</c:v>
                </c:pt>
                <c:pt idx="270">
                  <c:v>127.97999999998947</c:v>
                </c:pt>
                <c:pt idx="271">
                  <c:v>134.38949984163094</c:v>
                </c:pt>
                <c:pt idx="272">
                  <c:v>140.80290655735911</c:v>
                </c:pt>
                <c:pt idx="273">
                  <c:v>147.22136551790368</c:v>
                </c:pt>
                <c:pt idx="274">
                  <c:v>153.59455433642432</c:v>
                </c:pt>
                <c:pt idx="275">
                  <c:v>159.83451031426344</c:v>
                </c:pt>
                <c:pt idx="276">
                  <c:v>165.88392056654763</c:v>
                </c:pt>
                <c:pt idx="277">
                  <c:v>171.71126434222694</c:v>
                </c:pt>
                <c:pt idx="278">
                  <c:v>177.29918926273749</c:v>
                </c:pt>
                <c:pt idx="279">
                  <c:v>182.63732604555312</c:v>
                </c:pt>
                <c:pt idx="280">
                  <c:v>187.2680750961901</c:v>
                </c:pt>
                <c:pt idx="281">
                  <c:v>189.50654674857259</c:v>
                </c:pt>
                <c:pt idx="282">
                  <c:v>191.72875431063156</c:v>
                </c:pt>
                <c:pt idx="283">
                  <c:v>193.91311057361992</c:v>
                </c:pt>
                <c:pt idx="284">
                  <c:v>196.03879053083628</c:v>
                </c:pt>
                <c:pt idx="285">
                  <c:v>198.08447483180194</c:v>
                </c:pt>
                <c:pt idx="286">
                  <c:v>200.03721979204522</c:v>
                </c:pt>
                <c:pt idx="287">
                  <c:v>201.91274225156107</c:v>
                </c:pt>
                <c:pt idx="288">
                  <c:v>203.72813934620407</c:v>
                </c:pt>
                <c:pt idx="289">
                  <c:v>205.49661074564418</c:v>
                </c:pt>
                <c:pt idx="290">
                  <c:v>207.22854476850438</c:v>
                </c:pt>
                <c:pt idx="291">
                  <c:v>208.93226995673237</c:v>
                </c:pt>
                <c:pt idx="292">
                  <c:v>210.61458526345666</c:v>
                </c:pt>
                <c:pt idx="293">
                  <c:v>212.2811407039527</c:v>
                </c:pt>
                <c:pt idx="294">
                  <c:v>213.93671513128436</c:v>
                </c:pt>
                <c:pt idx="295">
                  <c:v>215.58542205661408</c:v>
                </c:pt>
                <c:pt idx="296">
                  <c:v>217.23086439798305</c:v>
                </c:pt>
                <c:pt idx="297">
                  <c:v>218.87625249158654</c:v>
                </c:pt>
                <c:pt idx="298">
                  <c:v>220.52449536914565</c:v>
                </c:pt>
                <c:pt idx="299">
                  <c:v>222.17827238147433</c:v>
                </c:pt>
                <c:pt idx="300">
                  <c:v>223.84009024894803</c:v>
                </c:pt>
                <c:pt idx="301">
                  <c:v>225.51232923641751</c:v>
                </c:pt>
                <c:pt idx="302">
                  <c:v>227.19728117693026</c:v>
                </c:pt>
                <c:pt idx="303">
                  <c:v>228.89718137821333</c:v>
                </c:pt>
                <c:pt idx="304">
                  <c:v>230.61423595409082</c:v>
                </c:pt>
                <c:pt idx="305">
                  <c:v>232.35064576417733</c:v>
                </c:pt>
                <c:pt idx="306">
                  <c:v>234.10862788885092</c:v>
                </c:pt>
                <c:pt idx="307">
                  <c:v>235.89043537761569</c:v>
                </c:pt>
                <c:pt idx="308">
                  <c:v>237.69837587338438</c:v>
                </c:pt>
                <c:pt idx="309">
                  <c:v>239.53482961764107</c:v>
                </c:pt>
                <c:pt idx="310">
                  <c:v>241.40226727324136</c:v>
                </c:pt>
                <c:pt idx="311">
                  <c:v>243.30326795644683</c:v>
                </c:pt>
                <c:pt idx="312">
                  <c:v>245.24053784282304</c:v>
                </c:pt>
                <c:pt idx="313">
                  <c:v>247.21692969950286</c:v>
                </c:pt>
                <c:pt idx="314">
                  <c:v>249.23478023608837</c:v>
                </c:pt>
                <c:pt idx="315">
                  <c:v>251.29189099032908</c:v>
                </c:pt>
                <c:pt idx="316">
                  <c:v>253.3849317229247</c:v>
                </c:pt>
                <c:pt idx="317">
                  <c:v>255.51158521478769</c:v>
                </c:pt>
                <c:pt idx="318">
                  <c:v>257.67035179971572</c:v>
                </c:pt>
                <c:pt idx="319">
                  <c:v>259.86039351614482</c:v>
                </c:pt>
                <c:pt idx="320">
                  <c:v>261.21673478557994</c:v>
                </c:pt>
                <c:pt idx="321">
                  <c:v>261.98715668829237</c:v>
                </c:pt>
                <c:pt idx="322">
                  <c:v>262.7350355576437</c:v>
                </c:pt>
                <c:pt idx="323">
                  <c:v>263.46075833407406</c:v>
                </c:pt>
                <c:pt idx="324">
                  <c:v>264.16477122430388</c:v>
                </c:pt>
                <c:pt idx="325">
                  <c:v>264.84755781862839</c:v>
                </c:pt>
                <c:pt idx="326">
                  <c:v>265.50962200021161</c:v>
                </c:pt>
                <c:pt idx="327">
                  <c:v>266.15147451659806</c:v>
                </c:pt>
                <c:pt idx="328">
                  <c:v>266.77362240067208</c:v>
                </c:pt>
                <c:pt idx="329">
                  <c:v>267.37656056218748</c:v>
                </c:pt>
                <c:pt idx="330">
                  <c:v>267.96076503839123</c:v>
                </c:pt>
                <c:pt idx="331">
                  <c:v>268.5266875246071</c:v>
                </c:pt>
                <c:pt idx="332">
                  <c:v>269.07475083352557</c:v>
                </c:pt>
                <c:pt idx="333">
                  <c:v>269.60534505902314</c:v>
                </c:pt>
                <c:pt idx="334">
                  <c:v>270.11882422498502</c:v>
                </c:pt>
                <c:pt idx="335">
                  <c:v>270.61550325679065</c:v>
                </c:pt>
                <c:pt idx="336">
                  <c:v>271.09565514270332</c:v>
                </c:pt>
                <c:pt idx="337">
                  <c:v>271.55950819618897</c:v>
                </c:pt>
                <c:pt idx="338">
                  <c:v>272.00724331350904</c:v>
                </c:pt>
                <c:pt idx="339">
                  <c:v>272.43899121758039</c:v>
                </c:pt>
                <c:pt idx="340">
                  <c:v>272.85482964845369</c:v>
                </c:pt>
                <c:pt idx="341">
                  <c:v>273.25478055786994</c:v>
                </c:pt>
                <c:pt idx="342">
                  <c:v>273.63880743943923</c:v>
                </c:pt>
                <c:pt idx="343">
                  <c:v>274.00681302344333</c:v>
                </c:pt>
                <c:pt idx="344">
                  <c:v>274.35863779840855</c:v>
                </c:pt>
                <c:pt idx="345">
                  <c:v>274.69406015287007</c:v>
                </c:pt>
                <c:pt idx="346">
                  <c:v>275.01279946025653</c:v>
                </c:pt>
                <c:pt idx="347">
                  <c:v>275.31452449045133</c:v>
                </c:pt>
                <c:pt idx="348">
                  <c:v>275.59887119879022</c:v>
                </c:pt>
                <c:pt idx="349">
                  <c:v>275.86547723921336</c:v>
                </c:pt>
                <c:pt idx="350">
                  <c:v>276.11404667603404</c:v>
                </c:pt>
                <c:pt idx="351">
                  <c:v>276.34447062260585</c:v>
                </c:pt>
                <c:pt idx="352">
                  <c:v>276.5569781161779</c:v>
                </c:pt>
                <c:pt idx="353">
                  <c:v>276.75195690141186</c:v>
                </c:pt>
                <c:pt idx="354">
                  <c:v>276.92975890512457</c:v>
                </c:pt>
                <c:pt idx="355">
                  <c:v>277.0906914115746</c:v>
                </c:pt>
                <c:pt idx="356">
                  <c:v>277.23501857245776</c:v>
                </c:pt>
                <c:pt idx="357">
                  <c:v>277.36296267727693</c:v>
                </c:pt>
                <c:pt idx="358">
                  <c:v>277.4747051922634</c:v>
                </c:pt>
                <c:pt idx="359">
                  <c:v>277.570387596194</c:v>
                </c:pt>
                <c:pt idx="360">
                  <c:v>277.65011198788631</c:v>
                </c:pt>
              </c:numCache>
            </c:numRef>
          </c:xVal>
          <c:yVal>
            <c:numRef>
              <c:f>L_Section_Capacity!$BE$2:$BE$362</c:f>
              <c:numCache>
                <c:formatCode>General</c:formatCode>
                <c:ptCount val="361"/>
                <c:pt idx="0">
                  <c:v>-42.66</c:v>
                </c:pt>
                <c:pt idx="1">
                  <c:v>-41.858812519794796</c:v>
                </c:pt>
                <c:pt idx="2">
                  <c:v>-41.057136680328789</c:v>
                </c:pt>
                <c:pt idx="3">
                  <c:v>-40.254482930908381</c:v>
                </c:pt>
                <c:pt idx="4">
                  <c:v>-39.450359331792853</c:v>
                </c:pt>
                <c:pt idx="5">
                  <c:v>-38.644270344160084</c:v>
                </c:pt>
                <c:pt idx="6">
                  <c:v>-37.835715601305473</c:v>
                </c:pt>
                <c:pt idx="7">
                  <c:v>-37.024188654556689</c:v>
                </c:pt>
                <c:pt idx="8">
                  <c:v>-36.209175687160261</c:v>
                </c:pt>
                <c:pt idx="9">
                  <c:v>-35.390154189103804</c:v>
                </c:pt>
                <c:pt idx="10">
                  <c:v>-34.566606356066345</c:v>
                </c:pt>
                <c:pt idx="11">
                  <c:v>-33.738278914687946</c:v>
                </c:pt>
                <c:pt idx="12">
                  <c:v>-32.905371798229638</c:v>
                </c:pt>
                <c:pt idx="13">
                  <c:v>-32.068285823065068</c:v>
                </c:pt>
                <c:pt idx="14">
                  <c:v>-31.227459217292395</c:v>
                </c:pt>
                <c:pt idx="15">
                  <c:v>-30.383296621334939</c:v>
                </c:pt>
                <c:pt idx="16">
                  <c:v>-29.536140940934647</c:v>
                </c:pt>
                <c:pt idx="17">
                  <c:v>-28.686265409087095</c:v>
                </c:pt>
                <c:pt idx="18">
                  <c:v>-27.833875115740863</c:v>
                </c:pt>
                <c:pt idx="19">
                  <c:v>-26.979112772330193</c:v>
                </c:pt>
                <c:pt idx="20">
                  <c:v>-26.122066134360413</c:v>
                </c:pt>
                <c:pt idx="21">
                  <c:v>-25.262775827175769</c:v>
                </c:pt>
                <c:pt idx="22">
                  <c:v>-24.401242993708074</c:v>
                </c:pt>
                <c:pt idx="23">
                  <c:v>-23.537436531532958</c:v>
                </c:pt>
                <c:pt idx="24">
                  <c:v>-22.671299867856536</c:v>
                </c:pt>
                <c:pt idx="25">
                  <c:v>-21.802757315909503</c:v>
                </c:pt>
                <c:pt idx="26">
                  <c:v>-20.931720105993627</c:v>
                </c:pt>
                <c:pt idx="27">
                  <c:v>-20.004977378933567</c:v>
                </c:pt>
                <c:pt idx="28">
                  <c:v>-18.925965398052121</c:v>
                </c:pt>
                <c:pt idx="29">
                  <c:v>-17.867484918989227</c:v>
                </c:pt>
                <c:pt idx="30">
                  <c:v>-16.828559457193919</c:v>
                </c:pt>
                <c:pt idx="31">
                  <c:v>-15.808287736275487</c:v>
                </c:pt>
                <c:pt idx="32">
                  <c:v>-14.805844823740191</c:v>
                </c:pt>
                <c:pt idx="33">
                  <c:v>-13.820483910541885</c:v>
                </c:pt>
                <c:pt idx="34">
                  <c:v>-12.851538915988201</c:v>
                </c:pt>
                <c:pt idx="35">
                  <c:v>-11.898428124033236</c:v>
                </c:pt>
                <c:pt idx="36">
                  <c:v>-10.960659090722094</c:v>
                </c:pt>
                <c:pt idx="37">
                  <c:v>-10.037835111782028</c:v>
                </c:pt>
                <c:pt idx="38">
                  <c:v>-9.1296636065237387</c:v>
                </c:pt>
                <c:pt idx="39">
                  <c:v>-8.2359668637982448</c:v>
                </c:pt>
                <c:pt idx="40">
                  <c:v>-7.3566957183046915</c:v>
                </c:pt>
                <c:pt idx="41">
                  <c:v>-6.4919468883783971</c:v>
                </c:pt>
                <c:pt idx="42">
                  <c:v>-5.6419849306433232</c:v>
                </c:pt>
                <c:pt idx="43">
                  <c:v>-4.8072700685576937</c:v>
                </c:pt>
                <c:pt idx="44">
                  <c:v>-3.9884935755285542</c:v>
                </c:pt>
                <c:pt idx="45">
                  <c:v>-3.1866229802716299</c:v>
                </c:pt>
                <c:pt idx="46">
                  <c:v>-2.4029602037283531</c:v>
                </c:pt>
                <c:pt idx="47">
                  <c:v>-1.639216946612126</c:v>
                </c:pt>
                <c:pt idx="48">
                  <c:v>-0.89705526670338465</c:v>
                </c:pt>
                <c:pt idx="49">
                  <c:v>3.6777124900147446E-3</c:v>
                </c:pt>
                <c:pt idx="50">
                  <c:v>0.90783104695919159</c:v>
                </c:pt>
                <c:pt idx="51">
                  <c:v>1.7784272838118187</c:v>
                </c:pt>
                <c:pt idx="52">
                  <c:v>2.6176878842456337</c:v>
                </c:pt>
                <c:pt idx="53">
                  <c:v>3.4276680553490655</c:v>
                </c:pt>
                <c:pt idx="54">
                  <c:v>4.210274756792181</c:v>
                </c:pt>
                <c:pt idx="55">
                  <c:v>4.9672829655103996</c:v>
                </c:pt>
                <c:pt idx="56">
                  <c:v>5.7286209807341821</c:v>
                </c:pt>
                <c:pt idx="57">
                  <c:v>6.5462260002557713</c:v>
                </c:pt>
                <c:pt idx="58">
                  <c:v>7.3345876391175224</c:v>
                </c:pt>
                <c:pt idx="59">
                  <c:v>8.0954190686056755</c:v>
                </c:pt>
                <c:pt idx="60">
                  <c:v>8.8303291770665684</c:v>
                </c:pt>
                <c:pt idx="61">
                  <c:v>9.5408359772693458</c:v>
                </c:pt>
                <c:pt idx="62">
                  <c:v>10.228379649146277</c:v>
                </c:pt>
                <c:pt idx="63">
                  <c:v>10.894335518977954</c:v>
                </c:pt>
                <c:pt idx="64">
                  <c:v>11.535307893557247</c:v>
                </c:pt>
                <c:pt idx="65">
                  <c:v>12.141627576572018</c:v>
                </c:pt>
                <c:pt idx="66">
                  <c:v>12.729886041852875</c:v>
                </c:pt>
                <c:pt idx="67">
                  <c:v>13.301671561246414</c:v>
                </c:pt>
                <c:pt idx="68">
                  <c:v>13.858627579900002</c:v>
                </c:pt>
                <c:pt idx="69">
                  <c:v>14.402487894380945</c:v>
                </c:pt>
                <c:pt idx="70">
                  <c:v>14.935120231130115</c:v>
                </c:pt>
                <c:pt idx="71">
                  <c:v>15.458581445949415</c:v>
                </c:pt>
                <c:pt idx="72">
                  <c:v>15.975188908938655</c:v>
                </c:pt>
                <c:pt idx="73">
                  <c:v>16.487614696394203</c:v>
                </c:pt>
                <c:pt idx="74">
                  <c:v>16.999012346482957</c:v>
                </c:pt>
                <c:pt idx="75">
                  <c:v>17.513190914542758</c:v>
                </c:pt>
                <c:pt idx="76">
                  <c:v>18.034859092609519</c:v>
                </c:pt>
                <c:pt idx="77">
                  <c:v>18.569975511962372</c:v>
                </c:pt>
                <c:pt idx="78">
                  <c:v>19.126264282565849</c:v>
                </c:pt>
                <c:pt idx="79">
                  <c:v>19.713978453347778</c:v>
                </c:pt>
                <c:pt idx="80">
                  <c:v>20.342814244519666</c:v>
                </c:pt>
                <c:pt idx="81">
                  <c:v>20.93913786199635</c:v>
                </c:pt>
                <c:pt idx="82">
                  <c:v>21.546128679339859</c:v>
                </c:pt>
                <c:pt idx="83">
                  <c:v>22.178965059425856</c:v>
                </c:pt>
                <c:pt idx="84">
                  <c:v>22.84403852885805</c:v>
                </c:pt>
                <c:pt idx="85">
                  <c:v>23.551109369899745</c:v>
                </c:pt>
                <c:pt idx="86">
                  <c:v>24.313955155378615</c:v>
                </c:pt>
                <c:pt idx="87">
                  <c:v>25.150548292591754</c:v>
                </c:pt>
                <c:pt idx="88">
                  <c:v>26.08181649328678</c:v>
                </c:pt>
                <c:pt idx="89">
                  <c:v>27.137495646990928</c:v>
                </c:pt>
                <c:pt idx="90">
                  <c:v>28.41121778131112</c:v>
                </c:pt>
                <c:pt idx="91">
                  <c:v>26.634897210602812</c:v>
                </c:pt>
                <c:pt idx="92">
                  <c:v>24.913681530497612</c:v>
                </c:pt>
                <c:pt idx="93">
                  <c:v>23.295858021062696</c:v>
                </c:pt>
                <c:pt idx="94">
                  <c:v>21.851768422645069</c:v>
                </c:pt>
                <c:pt idx="95">
                  <c:v>20.354044348008291</c:v>
                </c:pt>
                <c:pt idx="96">
                  <c:v>18.756587577467499</c:v>
                </c:pt>
                <c:pt idx="97">
                  <c:v>17.551798692522087</c:v>
                </c:pt>
                <c:pt idx="98">
                  <c:v>16.608373658973548</c:v>
                </c:pt>
                <c:pt idx="99">
                  <c:v>15.831019359880759</c:v>
                </c:pt>
                <c:pt idx="100">
                  <c:v>15.176218577255126</c:v>
                </c:pt>
                <c:pt idx="101">
                  <c:v>14.614708923731458</c:v>
                </c:pt>
                <c:pt idx="102">
                  <c:v>14.126020676366419</c:v>
                </c:pt>
                <c:pt idx="103">
                  <c:v>13.695366150286894</c:v>
                </c:pt>
                <c:pt idx="104">
                  <c:v>13.311772207596471</c:v>
                </c:pt>
                <c:pt idx="105">
                  <c:v>12.96690932827577</c:v>
                </c:pt>
                <c:pt idx="106">
                  <c:v>12.654330197417286</c:v>
                </c:pt>
                <c:pt idx="107">
                  <c:v>12.368959002252835</c:v>
                </c:pt>
                <c:pt idx="108">
                  <c:v>12.106739603562417</c:v>
                </c:pt>
                <c:pt idx="109">
                  <c:v>11.864387440753394</c:v>
                </c:pt>
                <c:pt idx="110">
                  <c:v>11.63921096299841</c:v>
                </c:pt>
                <c:pt idx="111">
                  <c:v>11.428980731428673</c:v>
                </c:pt>
                <c:pt idx="112">
                  <c:v>11.231831892366912</c:v>
                </c:pt>
                <c:pt idx="113">
                  <c:v>11.046190436789264</c:v>
                </c:pt>
                <c:pt idx="114">
                  <c:v>10.870716692197961</c:v>
                </c:pt>
                <c:pt idx="115">
                  <c:v>10.704261493377714</c:v>
                </c:pt>
                <c:pt idx="116">
                  <c:v>10.545831795775202</c:v>
                </c:pt>
                <c:pt idx="117">
                  <c:v>10.394563422538122</c:v>
                </c:pt>
                <c:pt idx="118">
                  <c:v>10.249699243631389</c:v>
                </c:pt>
                <c:pt idx="119">
                  <c:v>10.110571551533203</c:v>
                </c:pt>
                <c:pt idx="120">
                  <c:v>9.9765876924294457</c:v>
                </c:pt>
                <c:pt idx="121">
                  <c:v>9.8472182561412005</c:v>
                </c:pt>
                <c:pt idx="122">
                  <c:v>9.719326351568375</c:v>
                </c:pt>
                <c:pt idx="123">
                  <c:v>9.5949210830347287</c:v>
                </c:pt>
                <c:pt idx="124">
                  <c:v>9.4737535520392555</c:v>
                </c:pt>
                <c:pt idx="125">
                  <c:v>9.355462444967209</c:v>
                </c:pt>
                <c:pt idx="126">
                  <c:v>9.2397133376572658</c:v>
                </c:pt>
                <c:pt idx="127">
                  <c:v>9.1261943045565399</c:v>
                </c:pt>
                <c:pt idx="128">
                  <c:v>9.0146120596428752</c:v>
                </c:pt>
                <c:pt idx="129">
                  <c:v>8.9046885035137802</c:v>
                </c:pt>
                <c:pt idx="130">
                  <c:v>8.7961576002599724</c:v>
                </c:pt>
                <c:pt idx="131">
                  <c:v>8.6887624998193473</c:v>
                </c:pt>
                <c:pt idx="132">
                  <c:v>8.5822528332169075</c:v>
                </c:pt>
                <c:pt idx="133">
                  <c:v>8.4763821283643441</c:v>
                </c:pt>
                <c:pt idx="134">
                  <c:v>8.3709052814057987</c:v>
                </c:pt>
                <c:pt idx="135">
                  <c:v>8.265576028384082</c:v>
                </c:pt>
                <c:pt idx="136">
                  <c:v>8.1601443685817578</c:v>
                </c:pt>
                <c:pt idx="137">
                  <c:v>8.0543538725057573</c:v>
                </c:pt>
                <c:pt idx="138">
                  <c:v>7.947938820528762</c:v>
                </c:pt>
                <c:pt idx="139">
                  <c:v>7.8406210999978256</c:v>
                </c:pt>
                <c:pt idx="140">
                  <c:v>7.7321067842336637</c:v>
                </c:pt>
                <c:pt idx="141">
                  <c:v>7.6220823027399973</c:v>
                </c:pt>
                <c:pt idx="142">
                  <c:v>7.5102100949561681</c:v>
                </c:pt>
                <c:pt idx="143">
                  <c:v>7.3961236217453461</c:v>
                </c:pt>
                <c:pt idx="144">
                  <c:v>7.279421573590251</c:v>
                </c:pt>
                <c:pt idx="145">
                  <c:v>7.1596610853990388</c:v>
                </c:pt>
                <c:pt idx="146">
                  <c:v>7.0363497135141451</c:v>
                </c:pt>
                <c:pt idx="147">
                  <c:v>6.9089358812686497</c:v>
                </c:pt>
                <c:pt idx="148">
                  <c:v>6.776797397166475</c:v>
                </c:pt>
                <c:pt idx="149">
                  <c:v>6.639366394812698</c:v>
                </c:pt>
                <c:pt idx="150">
                  <c:v>6.4981544506616427</c:v>
                </c:pt>
                <c:pt idx="151">
                  <c:v>6.3496421093757629</c:v>
                </c:pt>
                <c:pt idx="152">
                  <c:v>6.1927416078182267</c:v>
                </c:pt>
                <c:pt idx="153">
                  <c:v>6.026183344145644</c:v>
                </c:pt>
                <c:pt idx="154">
                  <c:v>5.8484753460422612</c:v>
                </c:pt>
                <c:pt idx="155">
                  <c:v>5.6578519473969777</c:v>
                </c:pt>
                <c:pt idx="156">
                  <c:v>5.4522082244710575</c:v>
                </c:pt>
                <c:pt idx="157">
                  <c:v>5.2290154573367724</c:v>
                </c:pt>
                <c:pt idx="158">
                  <c:v>4.9852110149933084</c:v>
                </c:pt>
                <c:pt idx="159">
                  <c:v>4.7170533758760307</c:v>
                </c:pt>
                <c:pt idx="160">
                  <c:v>4.4199289808585176</c:v>
                </c:pt>
                <c:pt idx="161">
                  <c:v>4.0880916208553533</c:v>
                </c:pt>
                <c:pt idx="162">
                  <c:v>3.7143058450345756</c:v>
                </c:pt>
                <c:pt idx="163">
                  <c:v>3.2893515040393022</c:v>
                </c:pt>
                <c:pt idx="164">
                  <c:v>2.8013235812947701</c:v>
                </c:pt>
                <c:pt idx="165">
                  <c:v>2.2373236555492122</c:v>
                </c:pt>
                <c:pt idx="166">
                  <c:v>1.5969615132286923</c:v>
                </c:pt>
                <c:pt idx="167">
                  <c:v>0.88474368404924952</c:v>
                </c:pt>
                <c:pt idx="168">
                  <c:v>0.10492771062100836</c:v>
                </c:pt>
                <c:pt idx="169">
                  <c:v>-0.73826185976737979</c:v>
                </c:pt>
                <c:pt idx="170">
                  <c:v>-1.6404047886945823</c:v>
                </c:pt>
                <c:pt idx="171">
                  <c:v>-2.5966430493955825</c:v>
                </c:pt>
                <c:pt idx="172">
                  <c:v>-3.6014199804588913</c:v>
                </c:pt>
                <c:pt idx="173">
                  <c:v>-4.6482057050077747</c:v>
                </c:pt>
                <c:pt idx="174">
                  <c:v>-5.7292444182772586</c:v>
                </c:pt>
                <c:pt idx="175">
                  <c:v>-6.8354628071166745</c:v>
                </c:pt>
                <c:pt idx="176">
                  <c:v>-7.9570930869242007</c:v>
                </c:pt>
                <c:pt idx="177">
                  <c:v>-9.0871842820177289</c:v>
                </c:pt>
                <c:pt idx="178">
                  <c:v>-10.225141572336069</c:v>
                </c:pt>
                <c:pt idx="179">
                  <c:v>-11.443361720662311</c:v>
                </c:pt>
                <c:pt idx="180">
                  <c:v>-12.665248727883204</c:v>
                </c:pt>
                <c:pt idx="181">
                  <c:v>-13.20874480826498</c:v>
                </c:pt>
                <c:pt idx="182">
                  <c:v>-13.725344042087464</c:v>
                </c:pt>
                <c:pt idx="183">
                  <c:v>-14.313287377590118</c:v>
                </c:pt>
                <c:pt idx="184">
                  <c:v>-14.896237285311187</c:v>
                </c:pt>
                <c:pt idx="185">
                  <c:v>-15.475401039394313</c:v>
                </c:pt>
                <c:pt idx="186">
                  <c:v>-16.050904424623148</c:v>
                </c:pt>
                <c:pt idx="187">
                  <c:v>-16.621913620991094</c:v>
                </c:pt>
                <c:pt idx="188">
                  <c:v>-17.198004381830046</c:v>
                </c:pt>
                <c:pt idx="189">
                  <c:v>-17.771909080421725</c:v>
                </c:pt>
                <c:pt idx="190">
                  <c:v>-18.339691768723249</c:v>
                </c:pt>
                <c:pt idx="191">
                  <c:v>-18.901356935676628</c:v>
                </c:pt>
                <c:pt idx="192">
                  <c:v>-19.457011988370109</c:v>
                </c:pt>
                <c:pt idx="193">
                  <c:v>-20.006828679014937</c:v>
                </c:pt>
                <c:pt idx="194">
                  <c:v>-20.551016526607572</c:v>
                </c:pt>
                <c:pt idx="195">
                  <c:v>-21.089804488093069</c:v>
                </c:pt>
                <c:pt idx="196">
                  <c:v>-21.623428185022217</c:v>
                </c:pt>
                <c:pt idx="197">
                  <c:v>-22.152120856716635</c:v>
                </c:pt>
                <c:pt idx="198">
                  <c:v>-22.676106789741105</c:v>
                </c:pt>
                <c:pt idx="199">
                  <c:v>-23.195596378325785</c:v>
                </c:pt>
                <c:pt idx="200">
                  <c:v>-23.710782234077708</c:v>
                </c:pt>
                <c:pt idx="201">
                  <c:v>-24.221835921510579</c:v>
                </c:pt>
                <c:pt idx="202">
                  <c:v>-24.728905019663266</c:v>
                </c:pt>
                <c:pt idx="203">
                  <c:v>-25.232571370807989</c:v>
                </c:pt>
                <c:pt idx="204">
                  <c:v>-25.732706278941404</c:v>
                </c:pt>
                <c:pt idx="205">
                  <c:v>-26.229302464963052</c:v>
                </c:pt>
                <c:pt idx="206">
                  <c:v>-26.722414016954573</c:v>
                </c:pt>
                <c:pt idx="207">
                  <c:v>-27.212694297262164</c:v>
                </c:pt>
                <c:pt idx="208">
                  <c:v>-27.701435066537567</c:v>
                </c:pt>
                <c:pt idx="209">
                  <c:v>-28.189818840831325</c:v>
                </c:pt>
                <c:pt idx="210">
                  <c:v>-28.678906581526888</c:v>
                </c:pt>
                <c:pt idx="211">
                  <c:v>-29.169665136069938</c:v>
                </c:pt>
                <c:pt idx="212">
                  <c:v>-29.662989239837728</c:v>
                </c:pt>
                <c:pt idx="213">
                  <c:v>-30.159719402916735</c:v>
                </c:pt>
                <c:pt idx="214">
                  <c:v>-30.660656676576661</c:v>
                </c:pt>
                <c:pt idx="215">
                  <c:v>-31.166575043725757</c:v>
                </c:pt>
                <c:pt idx="216">
                  <c:v>-31.678232011512769</c:v>
                </c:pt>
                <c:pt idx="217">
                  <c:v>-32.196377850775868</c:v>
                </c:pt>
                <c:pt idx="218">
                  <c:v>-32.721763833150447</c:v>
                </c:pt>
                <c:pt idx="219">
                  <c:v>-33.255149747818677</c:v>
                </c:pt>
                <c:pt idx="220">
                  <c:v>-33.797310931560759</c:v>
                </c:pt>
                <c:pt idx="221">
                  <c:v>-34.349045004749712</c:v>
                </c:pt>
                <c:pt idx="222">
                  <c:v>-34.911178481960768</c:v>
                </c:pt>
                <c:pt idx="223">
                  <c:v>-35.484573410140605</c:v>
                </c:pt>
                <c:pt idx="224">
                  <c:v>-36.070134171993928</c:v>
                </c:pt>
                <c:pt idx="225">
                  <c:v>-36.668814594461949</c:v>
                </c:pt>
                <c:pt idx="226">
                  <c:v>-37.28162549347379</c:v>
                </c:pt>
                <c:pt idx="227">
                  <c:v>-37.909642801226418</c:v>
                </c:pt>
                <c:pt idx="228">
                  <c:v>-38.554016424810349</c:v>
                </c:pt>
                <c:pt idx="229">
                  <c:v>-39.215980005817912</c:v>
                </c:pt>
                <c:pt idx="230">
                  <c:v>-39.896861767322264</c:v>
                </c:pt>
                <c:pt idx="231">
                  <c:v>-40.598096666398284</c:v>
                </c:pt>
                <c:pt idx="232">
                  <c:v>-41.321240101371039</c:v>
                </c:pt>
                <c:pt idx="233">
                  <c:v>-42.067983471543599</c:v>
                </c:pt>
                <c:pt idx="234">
                  <c:v>-42.840171939069101</c:v>
                </c:pt>
                <c:pt idx="235">
                  <c:v>-43.63982481586838</c:v>
                </c:pt>
                <c:pt idx="236">
                  <c:v>-44.469159084580468</c:v>
                </c:pt>
                <c:pt idx="237">
                  <c:v>-45.330616673081799</c:v>
                </c:pt>
                <c:pt idx="238">
                  <c:v>-46.226896243508001</c:v>
                </c:pt>
                <c:pt idx="239">
                  <c:v>-47.160990433218295</c:v>
                </c:pt>
                <c:pt idx="240">
                  <c:v>-48.136229713724155</c:v>
                </c:pt>
                <c:pt idx="241">
                  <c:v>-49.156334325957154</c:v>
                </c:pt>
                <c:pt idx="242">
                  <c:v>-50.225476133038661</c:v>
                </c:pt>
                <c:pt idx="243">
                  <c:v>-51.348352726386153</c:v>
                </c:pt>
                <c:pt idx="244">
                  <c:v>-52.530276780905936</c:v>
                </c:pt>
                <c:pt idx="245">
                  <c:v>-53.800976947208028</c:v>
                </c:pt>
                <c:pt idx="246">
                  <c:v>-55.339968884749283</c:v>
                </c:pt>
                <c:pt idx="247">
                  <c:v>-56.985626881561508</c:v>
                </c:pt>
                <c:pt idx="248">
                  <c:v>-58.620568842183388</c:v>
                </c:pt>
                <c:pt idx="249">
                  <c:v>-60.370117498344413</c:v>
                </c:pt>
                <c:pt idx="250">
                  <c:v>-62.257167295912808</c:v>
                </c:pt>
                <c:pt idx="251">
                  <c:v>-64.301141202000935</c:v>
                </c:pt>
                <c:pt idx="252">
                  <c:v>-66.525381141575565</c:v>
                </c:pt>
                <c:pt idx="253">
                  <c:v>-68.880608990523612</c:v>
                </c:pt>
                <c:pt idx="254">
                  <c:v>-71.135890193910726</c:v>
                </c:pt>
                <c:pt idx="255">
                  <c:v>-73.62686999367493</c:v>
                </c:pt>
                <c:pt idx="256">
                  <c:v>-76.397920994258797</c:v>
                </c:pt>
                <c:pt idx="257">
                  <c:v>-79.504641375696409</c:v>
                </c:pt>
                <c:pt idx="258">
                  <c:v>-82.984344875217261</c:v>
                </c:pt>
                <c:pt idx="259">
                  <c:v>-86.845438563664473</c:v>
                </c:pt>
                <c:pt idx="260">
                  <c:v>-91.09990079543168</c:v>
                </c:pt>
                <c:pt idx="261">
                  <c:v>-95.418525378345564</c:v>
                </c:pt>
                <c:pt idx="262">
                  <c:v>-99.548202529233848</c:v>
                </c:pt>
                <c:pt idx="263">
                  <c:v>-103.88858712798874</c:v>
                </c:pt>
                <c:pt idx="264">
                  <c:v>-108.77492560193946</c:v>
                </c:pt>
                <c:pt idx="265">
                  <c:v>-114.32096092898935</c:v>
                </c:pt>
                <c:pt idx="266">
                  <c:v>-115.91289318314683</c:v>
                </c:pt>
                <c:pt idx="267">
                  <c:v>-116.49142804843667</c:v>
                </c:pt>
                <c:pt idx="268">
                  <c:v>-116.95338754824375</c:v>
                </c:pt>
                <c:pt idx="269">
                  <c:v>-117.28792256750572</c:v>
                </c:pt>
                <c:pt idx="270">
                  <c:v>-117.49505599355251</c:v>
                </c:pt>
                <c:pt idx="271">
                  <c:v>-117.28792256801674</c:v>
                </c:pt>
                <c:pt idx="272">
                  <c:v>-116.95338754823071</c:v>
                </c:pt>
                <c:pt idx="273">
                  <c:v>-116.49142804844396</c:v>
                </c:pt>
                <c:pt idx="274">
                  <c:v>-115.91289318306748</c:v>
                </c:pt>
                <c:pt idx="275">
                  <c:v>-115.24066553201149</c:v>
                </c:pt>
                <c:pt idx="276">
                  <c:v>-114.49455673613528</c:v>
                </c:pt>
                <c:pt idx="277">
                  <c:v>-113.68955701727464</c:v>
                </c:pt>
                <c:pt idx="278">
                  <c:v>-112.83727682061216</c:v>
                </c:pt>
                <c:pt idx="279">
                  <c:v>-111.94724373622516</c:v>
                </c:pt>
                <c:pt idx="280">
                  <c:v>-110.76812502075376</c:v>
                </c:pt>
                <c:pt idx="281">
                  <c:v>-108.39618225693877</c:v>
                </c:pt>
                <c:pt idx="282">
                  <c:v>-106.23627573064887</c:v>
                </c:pt>
                <c:pt idx="283">
                  <c:v>-104.26711730592994</c:v>
                </c:pt>
                <c:pt idx="284">
                  <c:v>-102.47399711329867</c:v>
                </c:pt>
                <c:pt idx="285">
                  <c:v>-100.84823798082901</c:v>
                </c:pt>
                <c:pt idx="286">
                  <c:v>-99.381041633985447</c:v>
                </c:pt>
                <c:pt idx="287">
                  <c:v>-98.050219448990248</c:v>
                </c:pt>
                <c:pt idx="288">
                  <c:v>-96.834901771763811</c:v>
                </c:pt>
                <c:pt idx="289">
                  <c:v>-95.718201614527246</c:v>
                </c:pt>
                <c:pt idx="290">
                  <c:v>-94.686289218756443</c:v>
                </c:pt>
                <c:pt idx="291">
                  <c:v>-93.727714495523969</c:v>
                </c:pt>
                <c:pt idx="292">
                  <c:v>-92.832902643874064</c:v>
                </c:pt>
                <c:pt idx="293">
                  <c:v>-91.993773023255017</c:v>
                </c:pt>
                <c:pt idx="294">
                  <c:v>-91.203447220385925</c:v>
                </c:pt>
                <c:pt idx="295">
                  <c:v>-90.456022639916768</c:v>
                </c:pt>
                <c:pt idx="296">
                  <c:v>-89.746394886112682</c:v>
                </c:pt>
                <c:pt idx="297">
                  <c:v>-89.070116926569881</c:v>
                </c:pt>
                <c:pt idx="298">
                  <c:v>-88.423286294451387</c:v>
                </c:pt>
                <c:pt idx="299">
                  <c:v>-87.802453880672999</c:v>
                </c:pt>
                <c:pt idx="300">
                  <c:v>-87.20454950146663</c:v>
                </c:pt>
                <c:pt idx="301">
                  <c:v>-86.626820605227906</c:v>
                </c:pt>
                <c:pt idx="302">
                  <c:v>-86.066781342910559</c:v>
                </c:pt>
                <c:pt idx="303">
                  <c:v>-85.522169859897133</c:v>
                </c:pt>
                <c:pt idx="304">
                  <c:v>-84.990912140402386</c:v>
                </c:pt>
                <c:pt idx="305">
                  <c:v>-84.471091088558623</c:v>
                </c:pt>
                <c:pt idx="306">
                  <c:v>-83.960919799337219</c:v>
                </c:pt>
                <c:pt idx="307">
                  <c:v>-83.458718175331526</c:v>
                </c:pt>
                <c:pt idx="308">
                  <c:v>-82.962892200579475</c:v>
                </c:pt>
                <c:pt idx="309">
                  <c:v>-82.47191530132524</c:v>
                </c:pt>
                <c:pt idx="310">
                  <c:v>-81.984311312741198</c:v>
                </c:pt>
                <c:pt idx="311">
                  <c:v>-81.498638637918745</c:v>
                </c:pt>
                <c:pt idx="312">
                  <c:v>-81.013475234800097</c:v>
                </c:pt>
                <c:pt idx="313">
                  <c:v>-80.527404102165235</c:v>
                </c:pt>
                <c:pt idx="314">
                  <c:v>-80.039296043165848</c:v>
                </c:pt>
                <c:pt idx="315">
                  <c:v>-79.550071448145957</c:v>
                </c:pt>
                <c:pt idx="316">
                  <c:v>-79.061257367658627</c:v>
                </c:pt>
                <c:pt idx="317">
                  <c:v>-78.574045706442803</c:v>
                </c:pt>
                <c:pt idx="318">
                  <c:v>-78.089361846795939</c:v>
                </c:pt>
                <c:pt idx="319">
                  <c:v>-77.607920914939868</c:v>
                </c:pt>
                <c:pt idx="320">
                  <c:v>-76.871472380042135</c:v>
                </c:pt>
                <c:pt idx="321">
                  <c:v>-75.964498906760085</c:v>
                </c:pt>
                <c:pt idx="322">
                  <c:v>-75.058690058743281</c:v>
                </c:pt>
                <c:pt idx="323">
                  <c:v>-74.154623924618946</c:v>
                </c:pt>
                <c:pt idx="324">
                  <c:v>-73.252736674048961</c:v>
                </c:pt>
                <c:pt idx="325">
                  <c:v>-72.353348010668867</c:v>
                </c:pt>
                <c:pt idx="326">
                  <c:v>-71.456682111265081</c:v>
                </c:pt>
                <c:pt idx="327">
                  <c:v>-70.562884984044047</c:v>
                </c:pt>
                <c:pt idx="328">
                  <c:v>-69.672038981394621</c:v>
                </c:pt>
                <c:pt idx="329">
                  <c:v>-68.784175048253857</c:v>
                </c:pt>
                <c:pt idx="330">
                  <c:v>-67.899283174032448</c:v>
                </c:pt>
                <c:pt idx="331">
                  <c:v>-67.017321429419468</c:v>
                </c:pt>
                <c:pt idx="332">
                  <c:v>-66.138223901150695</c:v>
                </c:pt>
                <c:pt idx="333">
                  <c:v>-65.261907789538398</c:v>
                </c:pt>
                <c:pt idx="334">
                  <c:v>-64.388279894008349</c:v>
                </c:pt>
                <c:pt idx="335">
                  <c:v>-63.51724268409248</c:v>
                </c:pt>
                <c:pt idx="336">
                  <c:v>-62.648700132145514</c:v>
                </c:pt>
                <c:pt idx="337">
                  <c:v>-61.782563468469064</c:v>
                </c:pt>
                <c:pt idx="338">
                  <c:v>-60.918757006293937</c:v>
                </c:pt>
                <c:pt idx="339">
                  <c:v>-60.057224172826253</c:v>
                </c:pt>
                <c:pt idx="340">
                  <c:v>-59.197933865641637</c:v>
                </c:pt>
                <c:pt idx="341">
                  <c:v>-58.340887227671878</c:v>
                </c:pt>
                <c:pt idx="342">
                  <c:v>-57.486124884261223</c:v>
                </c:pt>
                <c:pt idx="343">
                  <c:v>-56.633734590915019</c:v>
                </c:pt>
                <c:pt idx="344">
                  <c:v>-55.783859059067453</c:v>
                </c:pt>
                <c:pt idx="345">
                  <c:v>-54.936703378667218</c:v>
                </c:pt>
                <c:pt idx="346">
                  <c:v>-54.092540782709676</c:v>
                </c:pt>
                <c:pt idx="347">
                  <c:v>-53.251714176937028</c:v>
                </c:pt>
                <c:pt idx="348">
                  <c:v>-52.414628201772537</c:v>
                </c:pt>
                <c:pt idx="349">
                  <c:v>-51.581721085314186</c:v>
                </c:pt>
                <c:pt idx="350">
                  <c:v>-50.753393643935745</c:v>
                </c:pt>
                <c:pt idx="351">
                  <c:v>-49.929845810898293</c:v>
                </c:pt>
                <c:pt idx="352">
                  <c:v>-49.110824312841871</c:v>
                </c:pt>
                <c:pt idx="353">
                  <c:v>-48.295811345445429</c:v>
                </c:pt>
                <c:pt idx="354">
                  <c:v>-47.484284398696637</c:v>
                </c:pt>
                <c:pt idx="355">
                  <c:v>-46.675729655842005</c:v>
                </c:pt>
                <c:pt idx="356">
                  <c:v>-45.869640668209264</c:v>
                </c:pt>
                <c:pt idx="357">
                  <c:v>-45.065517069093694</c:v>
                </c:pt>
                <c:pt idx="358">
                  <c:v>-44.262863319673329</c:v>
                </c:pt>
                <c:pt idx="359">
                  <c:v>-43.461187480207343</c:v>
                </c:pt>
                <c:pt idx="360">
                  <c:v>-42.660000000002178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ED-4941-BD89-5FFD428C5440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L_Section_Capacity!$U$5</c:f>
              <c:numCache>
                <c:formatCode>0.000</c:formatCode>
                <c:ptCount val="1"/>
                <c:pt idx="0">
                  <c:v>128.13204879839861</c:v>
                </c:pt>
              </c:numCache>
            </c:numRef>
          </c:xVal>
          <c:yVal>
            <c:numRef>
              <c:f>L_Section_Capacity!$U$6</c:f>
              <c:numCache>
                <c:formatCode>0.000</c:formatCode>
                <c:ptCount val="1"/>
                <c:pt idx="0">
                  <c:v>64.066024387742459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ED-4941-BD89-5FFD428C5440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5875">
                <a:solidFill>
                  <a:srgbClr val="7030A0"/>
                </a:solidFill>
              </a:ln>
              <a:effectLst/>
            </c:spPr>
          </c:marker>
          <c:xVal>
            <c:numRef>
              <c:f>L_Section_Capacity!$U$11</c:f>
              <c:numCache>
                <c:formatCode>0.000</c:formatCode>
                <c:ptCount val="1"/>
                <c:pt idx="0">
                  <c:v>100</c:v>
                </c:pt>
              </c:numCache>
            </c:numRef>
          </c:xVal>
          <c:yVal>
            <c:numRef>
              <c:f>L_Section_Capacity!$U$12</c:f>
              <c:numCache>
                <c:formatCode>0.000</c:formatCode>
                <c:ptCount val="1"/>
                <c:pt idx="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ED-4941-BD89-5FFD428C5440}"/>
            </c:ext>
          </c:extLst>
        </c:ser>
        <c:ser>
          <c:idx val="3"/>
          <c:order val="3"/>
          <c:tx>
            <c:v>guess_center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7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L_Section_Capacity!$B$132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L_Section_Capacity!$B$133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9-4F4C-9CBB-68A73CE28800}"/>
            </c:ext>
          </c:extLst>
        </c:ser>
        <c:ser>
          <c:idx val="4"/>
          <c:order val="4"/>
          <c:tx>
            <c:v>Slice</c:v>
          </c:tx>
          <c:spPr>
            <a:ln w="127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L_Section_Capacity!$AS$4:$AS$5</c:f>
              <c:numCache>
                <c:formatCode>0.000</c:formatCode>
                <c:ptCount val="2"/>
                <c:pt idx="0">
                  <c:v>0</c:v>
                </c:pt>
                <c:pt idx="1">
                  <c:v>250</c:v>
                </c:pt>
              </c:numCache>
            </c:numRef>
          </c:xVal>
          <c:yVal>
            <c:numRef>
              <c:f>L_Section_Capacity!$AT$4:$AT$5</c:f>
              <c:numCache>
                <c:formatCode>0.000</c:formatCode>
                <c:ptCount val="2"/>
                <c:pt idx="0">
                  <c:v>0</c:v>
                </c:pt>
                <c:pt idx="1">
                  <c:v>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60-4AF9-A14F-753F28718B82}"/>
            </c:ext>
          </c:extLst>
        </c:ser>
        <c:ser>
          <c:idx val="5"/>
          <c:order val="5"/>
          <c:tx>
            <c:v>mx_my_nominal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L_Section_Capacity!$BJ$2:$BJ$362</c:f>
              <c:numCache>
                <c:formatCode>General</c:formatCode>
                <c:ptCount val="361"/>
                <c:pt idx="0">
                  <c:v>308.50012443016186</c:v>
                </c:pt>
                <c:pt idx="1">
                  <c:v>308.41154177355565</c:v>
                </c:pt>
                <c:pt idx="2">
                  <c:v>308.30522799141062</c:v>
                </c:pt>
                <c:pt idx="3">
                  <c:v>308.18106964142527</c:v>
                </c:pt>
                <c:pt idx="4">
                  <c:v>308.03890952495965</c:v>
                </c:pt>
                <c:pt idx="5">
                  <c:v>307.87854601286767</c:v>
                </c:pt>
                <c:pt idx="6">
                  <c:v>307.69973211681173</c:v>
                </c:pt>
                <c:pt idx="7">
                  <c:v>307.50217433490872</c:v>
                </c:pt>
                <c:pt idx="8">
                  <c:v>307.28553124020436</c:v>
                </c:pt>
                <c:pt idx="9">
                  <c:v>307.04941180290217</c:v>
                </c:pt>
                <c:pt idx="10">
                  <c:v>306.79338519559991</c:v>
                </c:pt>
                <c:pt idx="11">
                  <c:v>306.51719693246622</c:v>
                </c:pt>
                <c:pt idx="12">
                  <c:v>306.22096799866239</c:v>
                </c:pt>
                <c:pt idx="13">
                  <c:v>305.90502721161909</c:v>
                </c:pt>
                <c:pt idx="14">
                  <c:v>305.56977717806967</c:v>
                </c:pt>
                <c:pt idx="15">
                  <c:v>305.21562239208441</c:v>
                </c:pt>
                <c:pt idx="16">
                  <c:v>304.84293088712735</c:v>
                </c:pt>
                <c:pt idx="17">
                  <c:v>304.45201447049908</c:v>
                </c:pt>
                <c:pt idx="18">
                  <c:v>304.04311937716119</c:v>
                </c:pt>
                <c:pt idx="19">
                  <c:v>303.61642284208415</c:v>
                </c:pt>
                <c:pt idx="20">
                  <c:v>303.17203294273293</c:v>
                </c:pt>
                <c:pt idx="21">
                  <c:v>302.70999024176263</c:v>
                </c:pt>
                <c:pt idx="22">
                  <c:v>302.23027034834985</c:v>
                </c:pt>
                <c:pt idx="23">
                  <c:v>301.73278688466087</c:v>
                </c:pt>
                <c:pt idx="24">
                  <c:v>301.21739460301012</c:v>
                </c:pt>
                <c:pt idx="25">
                  <c:v>300.6838925075516</c:v>
                </c:pt>
                <c:pt idx="26">
                  <c:v>300.1320269166564</c:v>
                </c:pt>
                <c:pt idx="27">
                  <c:v>299.58010757765391</c:v>
                </c:pt>
                <c:pt idx="28">
                  <c:v>299.06627716613662</c:v>
                </c:pt>
                <c:pt idx="29">
                  <c:v>298.53214521641405</c:v>
                </c:pt>
                <c:pt idx="30">
                  <c:v>297.97726091601027</c:v>
                </c:pt>
                <c:pt idx="31">
                  <c:v>297.40113251975151</c:v>
                </c:pt>
                <c:pt idx="32">
                  <c:v>296.80323075199215</c:v>
                </c:pt>
                <c:pt idx="33">
                  <c:v>296.1829928556719</c:v>
                </c:pt>
                <c:pt idx="34">
                  <c:v>295.53982755076572</c:v>
                </c:pt>
                <c:pt idx="35">
                  <c:v>294.87312121098398</c:v>
                </c:pt>
                <c:pt idx="36">
                  <c:v>294.18224566243202</c:v>
                </c:pt>
                <c:pt idx="37">
                  <c:v>293.46656811289665</c:v>
                </c:pt>
                <c:pt idx="38">
                  <c:v>292.72546386139527</c:v>
                </c:pt>
                <c:pt idx="39">
                  <c:v>291.95833263935009</c:v>
                </c:pt>
                <c:pt idx="40">
                  <c:v>291.16461967829156</c:v>
                </c:pt>
                <c:pt idx="41">
                  <c:v>290.34384295664131</c:v>
                </c:pt>
                <c:pt idx="42">
                  <c:v>289.49562852151598</c:v>
                </c:pt>
                <c:pt idx="43">
                  <c:v>288.6197564513368</c:v>
                </c:pt>
                <c:pt idx="44">
                  <c:v>287.71622087533569</c:v>
                </c:pt>
                <c:pt idx="45">
                  <c:v>286.7853087337129</c:v>
                </c:pt>
                <c:pt idx="46">
                  <c:v>285.82770368275209</c:v>
                </c:pt>
                <c:pt idx="47">
                  <c:v>284.84462410280867</c:v>
                </c:pt>
                <c:pt idx="48">
                  <c:v>283.83743696506565</c:v>
                </c:pt>
                <c:pt idx="49">
                  <c:v>281.52059120905079</c:v>
                </c:pt>
                <c:pt idx="50">
                  <c:v>278.94188873489429</c:v>
                </c:pt>
                <c:pt idx="51">
                  <c:v>276.37268810162828</c:v>
                </c:pt>
                <c:pt idx="52">
                  <c:v>273.8095773364671</c:v>
                </c:pt>
                <c:pt idx="53">
                  <c:v>271.24913117679876</c:v>
                </c:pt>
                <c:pt idx="54">
                  <c:v>268.68788639563019</c:v>
                </c:pt>
                <c:pt idx="55">
                  <c:v>266.12231578937764</c:v>
                </c:pt>
                <c:pt idx="56">
                  <c:v>263.25722195852649</c:v>
                </c:pt>
                <c:pt idx="57">
                  <c:v>259.52544772174792</c:v>
                </c:pt>
                <c:pt idx="58">
                  <c:v>255.79648952537343</c:v>
                </c:pt>
                <c:pt idx="59">
                  <c:v>252.06601378485644</c:v>
                </c:pt>
                <c:pt idx="60">
                  <c:v>248.32959957419649</c:v>
                </c:pt>
                <c:pt idx="61">
                  <c:v>244.58270480627147</c:v>
                </c:pt>
                <c:pt idx="62">
                  <c:v>240.82062856911085</c:v>
                </c:pt>
                <c:pt idx="63">
                  <c:v>237.03846847783134</c:v>
                </c:pt>
                <c:pt idx="64">
                  <c:v>233.17304162348555</c:v>
                </c:pt>
                <c:pt idx="65">
                  <c:v>229.10092132093786</c:v>
                </c:pt>
                <c:pt idx="66">
                  <c:v>225.01313250773356</c:v>
                </c:pt>
                <c:pt idx="67">
                  <c:v>220.90463036393967</c:v>
                </c:pt>
                <c:pt idx="68">
                  <c:v>216.77002836032779</c:v>
                </c:pt>
                <c:pt idx="69">
                  <c:v>212.6035029714823</c:v>
                </c:pt>
                <c:pt idx="70">
                  <c:v>208.39867019695913</c:v>
                </c:pt>
                <c:pt idx="71">
                  <c:v>204.14842210688178</c:v>
                </c:pt>
                <c:pt idx="72">
                  <c:v>199.84470576921422</c:v>
                </c:pt>
                <c:pt idx="73">
                  <c:v>195.47821756475449</c:v>
                </c:pt>
                <c:pt idx="74">
                  <c:v>191.03797070645362</c:v>
                </c:pt>
                <c:pt idx="75">
                  <c:v>186.51066837969464</c:v>
                </c:pt>
                <c:pt idx="76">
                  <c:v>181.8797713276586</c:v>
                </c:pt>
                <c:pt idx="77">
                  <c:v>177.1240714845176</c:v>
                </c:pt>
                <c:pt idx="78">
                  <c:v>172.21544158231774</c:v>
                </c:pt>
                <c:pt idx="79">
                  <c:v>167.11524278268129</c:v>
                </c:pt>
                <c:pt idx="80">
                  <c:v>161.78943277266018</c:v>
                </c:pt>
                <c:pt idx="81">
                  <c:v>155.88059178534007</c:v>
                </c:pt>
                <c:pt idx="82">
                  <c:v>149.62671950278036</c:v>
                </c:pt>
                <c:pt idx="83">
                  <c:v>143.08583491202512</c:v>
                </c:pt>
                <c:pt idx="84">
                  <c:v>136.25805975960174</c:v>
                </c:pt>
                <c:pt idx="85">
                  <c:v>129.14472403562775</c:v>
                </c:pt>
                <c:pt idx="86">
                  <c:v>121.75177292973999</c:v>
                </c:pt>
                <c:pt idx="87">
                  <c:v>114.09684305077486</c:v>
                </c:pt>
                <c:pt idx="88">
                  <c:v>106.22525749824482</c:v>
                </c:pt>
                <c:pt idx="89">
                  <c:v>98.225496745739179</c:v>
                </c:pt>
                <c:pt idx="90">
                  <c:v>90.132875055669302</c:v>
                </c:pt>
                <c:pt idx="91">
                  <c:v>75.54042173643623</c:v>
                </c:pt>
                <c:pt idx="92">
                  <c:v>61.570123669804786</c:v>
                </c:pt>
                <c:pt idx="93">
                  <c:v>48.724359605813639</c:v>
                </c:pt>
                <c:pt idx="94">
                  <c:v>37.538212569998542</c:v>
                </c:pt>
                <c:pt idx="95">
                  <c:v>26.696137289714645</c:v>
                </c:pt>
                <c:pt idx="96">
                  <c:v>16.470281659269848</c:v>
                </c:pt>
                <c:pt idx="97">
                  <c:v>8.8544585394665241</c:v>
                </c:pt>
                <c:pt idx="98">
                  <c:v>3.5275661046083404</c:v>
                </c:pt>
                <c:pt idx="99">
                  <c:v>-0.36187560940254271</c:v>
                </c:pt>
                <c:pt idx="100">
                  <c:v>-3.301650791711257</c:v>
                </c:pt>
                <c:pt idx="101">
                  <c:v>-5.5872067643957175</c:v>
                </c:pt>
                <c:pt idx="102">
                  <c:v>-7.4065360013031807</c:v>
                </c:pt>
                <c:pt idx="103">
                  <c:v>-8.8841581936243355</c:v>
                </c:pt>
                <c:pt idx="104">
                  <c:v>-10.105351151734938</c:v>
                </c:pt>
                <c:pt idx="105">
                  <c:v>-11.130190631355365</c:v>
                </c:pt>
                <c:pt idx="106">
                  <c:v>-12.002036278995185</c:v>
                </c:pt>
                <c:pt idx="107">
                  <c:v>-12.75284846728373</c:v>
                </c:pt>
                <c:pt idx="108">
                  <c:v>-13.406624377930784</c:v>
                </c:pt>
                <c:pt idx="109">
                  <c:v>-13.981679417236451</c:v>
                </c:pt>
                <c:pt idx="110">
                  <c:v>-14.492198432367768</c:v>
                </c:pt>
                <c:pt idx="111">
                  <c:v>-14.949312886088453</c:v>
                </c:pt>
                <c:pt idx="112">
                  <c:v>-15.361863099391705</c:v>
                </c:pt>
                <c:pt idx="113">
                  <c:v>-15.736946857260651</c:v>
                </c:pt>
                <c:pt idx="114">
                  <c:v>-16.080320344964768</c:v>
                </c:pt>
                <c:pt idx="115">
                  <c:v>-16.396695304018579</c:v>
                </c:pt>
                <c:pt idx="116">
                  <c:v>-16.689962070262627</c:v>
                </c:pt>
                <c:pt idx="117">
                  <c:v>-16.963358991069327</c:v>
                </c:pt>
                <c:pt idx="118">
                  <c:v>-17.219602473738934</c:v>
                </c:pt>
                <c:pt idx="119">
                  <c:v>-17.460987861476085</c:v>
                </c:pt>
                <c:pt idx="120">
                  <c:v>-17.689468386009857</c:v>
                </c:pt>
                <c:pt idx="121">
                  <c:v>-17.906717530365011</c:v>
                </c:pt>
                <c:pt idx="122">
                  <c:v>-18.118149842238807</c:v>
                </c:pt>
                <c:pt idx="123">
                  <c:v>-18.321439817395898</c:v>
                </c:pt>
                <c:pt idx="124">
                  <c:v>-18.517461097747194</c:v>
                </c:pt>
                <c:pt idx="125">
                  <c:v>-18.707170899271166</c:v>
                </c:pt>
                <c:pt idx="126">
                  <c:v>-18.891417806677818</c:v>
                </c:pt>
                <c:pt idx="127">
                  <c:v>-19.070959417645472</c:v>
                </c:pt>
                <c:pt idx="128">
                  <c:v>-19.246477069259399</c:v>
                </c:pt>
                <c:pt idx="129">
                  <c:v>-19.418588158892529</c:v>
                </c:pt>
                <c:pt idx="130">
                  <c:v>-19.587856591084904</c:v>
                </c:pt>
                <c:pt idx="131">
                  <c:v>-19.754801693135441</c:v>
                </c:pt>
                <c:pt idx="132">
                  <c:v>-19.919905878403998</c:v>
                </c:pt>
                <c:pt idx="133">
                  <c:v>-20.083621341854336</c:v>
                </c:pt>
                <c:pt idx="134">
                  <c:v>-20.246375951993393</c:v>
                </c:pt>
                <c:pt idx="135">
                  <c:v>-20.408578504716807</c:v>
                </c:pt>
                <c:pt idx="136">
                  <c:v>-20.570623509280807</c:v>
                </c:pt>
                <c:pt idx="137">
                  <c:v>-20.732895582160737</c:v>
                </c:pt>
                <c:pt idx="138">
                  <c:v>-20.895773589387915</c:v>
                </c:pt>
                <c:pt idx="139">
                  <c:v>-21.059634614544436</c:v>
                </c:pt>
                <c:pt idx="140">
                  <c:v>-21.224857845956901</c:v>
                </c:pt>
                <c:pt idx="141">
                  <c:v>-21.391828466784013</c:v>
                </c:pt>
                <c:pt idx="142">
                  <c:v>-21.560941630237977</c:v>
                </c:pt>
                <c:pt idx="143">
                  <c:v>-21.732606622279015</c:v>
                </c:pt>
                <c:pt idx="144">
                  <c:v>-21.907251287594754</c:v>
                </c:pt>
                <c:pt idx="145">
                  <c:v>-22.085326839576332</c:v>
                </c:pt>
                <c:pt idx="146">
                  <c:v>-22.267313156409131</c:v>
                </c:pt>
                <c:pt idx="147">
                  <c:v>-22.453724743473774</c:v>
                </c:pt>
                <c:pt idx="148">
                  <c:v>-22.645117464489857</c:v>
                </c:pt>
                <c:pt idx="149">
                  <c:v>-22.841874239559331</c:v>
                </c:pt>
                <c:pt idx="150">
                  <c:v>-23.040904142648493</c:v>
                </c:pt>
                <c:pt idx="151">
                  <c:v>-23.247033155372613</c:v>
                </c:pt>
                <c:pt idx="152">
                  <c:v>-23.461075758825174</c:v>
                </c:pt>
                <c:pt idx="153">
                  <c:v>-23.683943726995313</c:v>
                </c:pt>
                <c:pt idx="154">
                  <c:v>-23.916664301469361</c:v>
                </c:pt>
                <c:pt idx="155">
                  <c:v>-24.160402298013995</c:v>
                </c:pt>
                <c:pt idx="156">
                  <c:v>-24.416487218597727</c:v>
                </c:pt>
                <c:pt idx="157">
                  <c:v>-24.68644682615566</c:v>
                </c:pt>
                <c:pt idx="158">
                  <c:v>-24.972049065107804</c:v>
                </c:pt>
                <c:pt idx="159">
                  <c:v>-25.275354971624061</c:v>
                </c:pt>
                <c:pt idx="160">
                  <c:v>-25.598786097216454</c:v>
                </c:pt>
                <c:pt idx="161">
                  <c:v>-25.945211447388193</c:v>
                </c:pt>
                <c:pt idx="162">
                  <c:v>-26.318060927822437</c:v>
                </c:pt>
                <c:pt idx="163">
                  <c:v>-26.721475387469923</c:v>
                </c:pt>
                <c:pt idx="164">
                  <c:v>-27.160507995577422</c:v>
                </c:pt>
                <c:pt idx="165">
                  <c:v>-27.640046812178912</c:v>
                </c:pt>
                <c:pt idx="166">
                  <c:v>-28.158108097583153</c:v>
                </c:pt>
                <c:pt idx="167">
                  <c:v>-28.710261451734787</c:v>
                </c:pt>
                <c:pt idx="168">
                  <c:v>-29.292286013075653</c:v>
                </c:pt>
                <c:pt idx="169">
                  <c:v>-29.899999987693128</c:v>
                </c:pt>
                <c:pt idx="170">
                  <c:v>-30.529092769475621</c:v>
                </c:pt>
                <c:pt idx="171">
                  <c:v>-31.174959963595075</c:v>
                </c:pt>
                <c:pt idx="172">
                  <c:v>-31.832542857503324</c:v>
                </c:pt>
                <c:pt idx="173">
                  <c:v>-32.496185555502777</c:v>
                </c:pt>
                <c:pt idx="174">
                  <c:v>-33.159551401326212</c:v>
                </c:pt>
                <c:pt idx="175">
                  <c:v>-33.815718217096062</c:v>
                </c:pt>
                <c:pt idx="176">
                  <c:v>-34.457822858720263</c:v>
                </c:pt>
                <c:pt idx="177">
                  <c:v>-35.081371844264694</c:v>
                </c:pt>
                <c:pt idx="178">
                  <c:v>-35.685922468076924</c:v>
                </c:pt>
                <c:pt idx="179">
                  <c:v>-36.210511761085414</c:v>
                </c:pt>
                <c:pt idx="180">
                  <c:v>-36.552370448930944</c:v>
                </c:pt>
                <c:pt idx="181">
                  <c:v>-36.232719596423252</c:v>
                </c:pt>
                <c:pt idx="182">
                  <c:v>-35.77074092873459</c:v>
                </c:pt>
                <c:pt idx="183">
                  <c:v>-35.270281576662043</c:v>
                </c:pt>
                <c:pt idx="184">
                  <c:v>-34.785105877567759</c:v>
                </c:pt>
                <c:pt idx="185">
                  <c:v>-34.310889462766141</c:v>
                </c:pt>
                <c:pt idx="186">
                  <c:v>-33.845321388059894</c:v>
                </c:pt>
                <c:pt idx="187">
                  <c:v>-33.388232180912141</c:v>
                </c:pt>
                <c:pt idx="188">
                  <c:v>-32.932268947780344</c:v>
                </c:pt>
                <c:pt idx="189">
                  <c:v>-32.483348185105406</c:v>
                </c:pt>
                <c:pt idx="190">
                  <c:v>-32.044327970251921</c:v>
                </c:pt>
                <c:pt idx="191">
                  <c:v>-31.614962720528869</c:v>
                </c:pt>
                <c:pt idx="192">
                  <c:v>-31.194866513853249</c:v>
                </c:pt>
                <c:pt idx="193">
                  <c:v>-30.783558071735644</c:v>
                </c:pt>
                <c:pt idx="194">
                  <c:v>-30.38049923930307</c:v>
                </c:pt>
                <c:pt idx="195">
                  <c:v>-29.985125370301194</c:v>
                </c:pt>
                <c:pt idx="196">
                  <c:v>-29.596868455408348</c:v>
                </c:pt>
                <c:pt idx="197">
                  <c:v>-29.215174381836494</c:v>
                </c:pt>
                <c:pt idx="198">
                  <c:v>-28.83951581180661</c:v>
                </c:pt>
                <c:pt idx="199">
                  <c:v>-28.469401903989347</c:v>
                </c:pt>
                <c:pt idx="200">
                  <c:v>-28.104385843794265</c:v>
                </c:pt>
                <c:pt idx="201">
                  <c:v>-27.744071036743442</c:v>
                </c:pt>
                <c:pt idx="202">
                  <c:v>-27.388116571447906</c:v>
                </c:pt>
                <c:pt idx="203">
                  <c:v>-27.033679922212684</c:v>
                </c:pt>
                <c:pt idx="204">
                  <c:v>-26.682508711246651</c:v>
                </c:pt>
                <c:pt idx="205">
                  <c:v>-26.334915622565511</c:v>
                </c:pt>
                <c:pt idx="206">
                  <c:v>-25.990784828772139</c:v>
                </c:pt>
                <c:pt idx="207">
                  <c:v>-25.649410057417999</c:v>
                </c:pt>
                <c:pt idx="208">
                  <c:v>-25.309387255597755</c:v>
                </c:pt>
                <c:pt idx="209">
                  <c:v>-24.969366706487598</c:v>
                </c:pt>
                <c:pt idx="210">
                  <c:v>-24.628077279513047</c:v>
                </c:pt>
                <c:pt idx="211">
                  <c:v>-24.284306524518634</c:v>
                </c:pt>
                <c:pt idx="212">
                  <c:v>-23.936883375841354</c:v>
                </c:pt>
                <c:pt idx="213">
                  <c:v>-23.584662847424188</c:v>
                </c:pt>
                <c:pt idx="214">
                  <c:v>-23.226512171514152</c:v>
                </c:pt>
                <c:pt idx="215">
                  <c:v>-22.861298011147017</c:v>
                </c:pt>
                <c:pt idx="216">
                  <c:v>-22.48787435679165</c:v>
                </c:pt>
                <c:pt idx="217">
                  <c:v>-22.105070812793929</c:v>
                </c:pt>
                <c:pt idx="218">
                  <c:v>-21.711681009620513</c:v>
                </c:pt>
                <c:pt idx="219">
                  <c:v>-21.306450894344426</c:v>
                </c:pt>
                <c:pt idx="220">
                  <c:v>-20.888066635566751</c:v>
                </c:pt>
                <c:pt idx="221">
                  <c:v>-20.45514192310582</c:v>
                </c:pt>
                <c:pt idx="222">
                  <c:v>-20.006204414875945</c:v>
                </c:pt>
                <c:pt idx="223">
                  <c:v>-19.53968104642134</c:v>
                </c:pt>
                <c:pt idx="224">
                  <c:v>-19.053881944983253</c:v>
                </c:pt>
                <c:pt idx="225">
                  <c:v>-18.546982577257396</c:v>
                </c:pt>
                <c:pt idx="226">
                  <c:v>-18.017003818475722</c:v>
                </c:pt>
                <c:pt idx="227">
                  <c:v>-17.461789461306459</c:v>
                </c:pt>
                <c:pt idx="228">
                  <c:v>-16.87898069825728</c:v>
                </c:pt>
                <c:pt idx="229">
                  <c:v>-16.265986955079079</c:v>
                </c:pt>
                <c:pt idx="230">
                  <c:v>-15.619952389264599</c:v>
                </c:pt>
                <c:pt idx="231">
                  <c:v>-14.937717170504914</c:v>
                </c:pt>
                <c:pt idx="232">
                  <c:v>-14.215772531407461</c:v>
                </c:pt>
                <c:pt idx="233">
                  <c:v>-13.450208295513093</c:v>
                </c:pt>
                <c:pt idx="234">
                  <c:v>-12.636651353102753</c:v>
                </c:pt>
                <c:pt idx="235">
                  <c:v>-11.770193147022667</c:v>
                </c:pt>
                <c:pt idx="236">
                  <c:v>-10.84530378900258</c:v>
                </c:pt>
                <c:pt idx="237">
                  <c:v>-9.855729833080364</c:v>
                </c:pt>
                <c:pt idx="238">
                  <c:v>-8.7943719414827548</c:v>
                </c:pt>
                <c:pt idx="239">
                  <c:v>-7.6531376987397399</c:v>
                </c:pt>
                <c:pt idx="240">
                  <c:v>-6.4227635060228403</c:v>
                </c:pt>
                <c:pt idx="241">
                  <c:v>-5.092597773452562</c:v>
                </c:pt>
                <c:pt idx="242">
                  <c:v>-3.6503352884455227</c:v>
                </c:pt>
                <c:pt idx="243">
                  <c:v>-2.0816896005271985</c:v>
                </c:pt>
                <c:pt idx="244">
                  <c:v>-0.36998602191114094</c:v>
                </c:pt>
                <c:pt idx="245">
                  <c:v>1.5085963168749381</c:v>
                </c:pt>
                <c:pt idx="246">
                  <c:v>3.6063924358921704</c:v>
                </c:pt>
                <c:pt idx="247">
                  <c:v>5.9186450247227684</c:v>
                </c:pt>
                <c:pt idx="248">
                  <c:v>8.4300467362900839</c:v>
                </c:pt>
                <c:pt idx="249">
                  <c:v>11.201870073235114</c:v>
                </c:pt>
                <c:pt idx="250">
                  <c:v>14.278544687741629</c:v>
                </c:pt>
                <c:pt idx="251">
                  <c:v>17.71186836611297</c:v>
                </c:pt>
                <c:pt idx="252">
                  <c:v>21.565725124512515</c:v>
                </c:pt>
                <c:pt idx="253">
                  <c:v>25.791894831054059</c:v>
                </c:pt>
                <c:pt idx="254">
                  <c:v>30.020067990187801</c:v>
                </c:pt>
                <c:pt idx="255">
                  <c:v>34.825659506550586</c:v>
                </c:pt>
                <c:pt idx="256">
                  <c:v>40.336441603655537</c:v>
                </c:pt>
                <c:pt idx="257">
                  <c:v>46.716251186142536</c:v>
                </c:pt>
                <c:pt idx="258">
                  <c:v>54.048371879925476</c:v>
                </c:pt>
                <c:pt idx="259">
                  <c:v>62.293375752433896</c:v>
                </c:pt>
                <c:pt idx="260">
                  <c:v>71.417409504700231</c:v>
                </c:pt>
                <c:pt idx="261">
                  <c:v>80.345587180195082</c:v>
                </c:pt>
                <c:pt idx="262">
                  <c:v>87.349140609199566</c:v>
                </c:pt>
                <c:pt idx="263">
                  <c:v>93.585011432936398</c:v>
                </c:pt>
                <c:pt idx="264">
                  <c:v>100.07620738155984</c:v>
                </c:pt>
                <c:pt idx="265">
                  <c:v>106.80546253406204</c:v>
                </c:pt>
                <c:pt idx="266">
                  <c:v>113.73938407061605</c:v>
                </c:pt>
                <c:pt idx="267">
                  <c:v>120.82070498008363</c:v>
                </c:pt>
                <c:pt idx="268">
                  <c:v>127.9523260473554</c:v>
                </c:pt>
                <c:pt idx="269">
                  <c:v>135.07833350927567</c:v>
                </c:pt>
                <c:pt idx="270">
                  <c:v>142.19999999998831</c:v>
                </c:pt>
                <c:pt idx="271">
                  <c:v>149.32166649070103</c:v>
                </c:pt>
                <c:pt idx="272">
                  <c:v>156.44767395262122</c:v>
                </c:pt>
                <c:pt idx="273">
                  <c:v>163.57929501989298</c:v>
                </c:pt>
                <c:pt idx="274">
                  <c:v>170.66061592936035</c:v>
                </c:pt>
                <c:pt idx="275">
                  <c:v>177.59390034918161</c:v>
                </c:pt>
                <c:pt idx="276">
                  <c:v>184.31546729616403</c:v>
                </c:pt>
                <c:pt idx="277">
                  <c:v>190.7902937135855</c:v>
                </c:pt>
                <c:pt idx="278">
                  <c:v>196.99909918081943</c:v>
                </c:pt>
                <c:pt idx="279">
                  <c:v>202.93036227283679</c:v>
                </c:pt>
                <c:pt idx="280">
                  <c:v>208.57739579973901</c:v>
                </c:pt>
                <c:pt idx="281">
                  <c:v>213.94138693539429</c:v>
                </c:pt>
                <c:pt idx="282">
                  <c:v>219.00633999088336</c:v>
                </c:pt>
                <c:pt idx="283">
                  <c:v>223.76035776710148</c:v>
                </c:pt>
                <c:pt idx="284">
                  <c:v>228.18761319950875</c:v>
                </c:pt>
                <c:pt idx="285">
                  <c:v>232.26702933568589</c:v>
                </c:pt>
                <c:pt idx="286">
                  <c:v>235.98956326712607</c:v>
                </c:pt>
                <c:pt idx="287">
                  <c:v>239.39747288711854</c:v>
                </c:pt>
                <c:pt idx="288">
                  <c:v>242.53490998649244</c:v>
                </c:pt>
                <c:pt idx="289">
                  <c:v>245.43788348574054</c:v>
                </c:pt>
                <c:pt idx="290">
                  <c:v>248.13609969206817</c:v>
                </c:pt>
                <c:pt idx="291">
                  <c:v>250.65431777910854</c:v>
                </c:pt>
                <c:pt idx="292">
                  <c:v>253.01336473292693</c:v>
                </c:pt>
                <c:pt idx="293">
                  <c:v>255.2309066028435</c:v>
                </c:pt>
                <c:pt idx="294">
                  <c:v>257.32204241368561</c:v>
                </c:pt>
                <c:pt idx="295">
                  <c:v>259.29976708178106</c:v>
                </c:pt>
                <c:pt idx="296">
                  <c:v>261.17533620688596</c:v>
                </c:pt>
                <c:pt idx="297">
                  <c:v>262.95855645923223</c:v>
                </c:pt>
                <c:pt idx="298">
                  <c:v>264.65801888365286</c:v>
                </c:pt>
                <c:pt idx="299">
                  <c:v>266.28128794686938</c:v>
                </c:pt>
                <c:pt idx="300">
                  <c:v>267.83505594607072</c:v>
                </c:pt>
                <c:pt idx="301">
                  <c:v>269.32527005188035</c:v>
                </c:pt>
                <c:pt idx="302">
                  <c:v>270.75723755148749</c:v>
                </c:pt>
                <c:pt idx="303">
                  <c:v>272.13571360373078</c:v>
                </c:pt>
                <c:pt idx="304">
                  <c:v>273.46497483756008</c:v>
                </c:pt>
                <c:pt idx="305">
                  <c:v>274.74888144456406</c:v>
                </c:pt>
                <c:pt idx="306">
                  <c:v>275.99092983542437</c:v>
                </c:pt>
                <c:pt idx="307">
                  <c:v>277.1942975261212</c:v>
                </c:pt>
                <c:pt idx="308">
                  <c:v>278.36188158815759</c:v>
                </c:pt>
                <c:pt idx="309">
                  <c:v>279.49633173541258</c:v>
                </c:pt>
                <c:pt idx="310">
                  <c:v>280.60007892685599</c:v>
                </c:pt>
                <c:pt idx="311">
                  <c:v>281.67536020240863</c:v>
                </c:pt>
                <c:pt idx="312">
                  <c:v>282.72424033993684</c:v>
                </c:pt>
                <c:pt idx="313">
                  <c:v>283.74863081059755</c:v>
                </c:pt>
                <c:pt idx="314">
                  <c:v>284.74996110510665</c:v>
                </c:pt>
                <c:pt idx="315">
                  <c:v>285.72724116924206</c:v>
                </c:pt>
                <c:pt idx="316">
                  <c:v>286.67898312910097</c:v>
                </c:pt>
                <c:pt idx="317">
                  <c:v>287.60428242281125</c:v>
                </c:pt>
                <c:pt idx="318">
                  <c:v>288.50267323677292</c:v>
                </c:pt>
                <c:pt idx="319">
                  <c:v>289.3740155983582</c:v>
                </c:pt>
                <c:pt idx="320">
                  <c:v>290.24081642842214</c:v>
                </c:pt>
                <c:pt idx="321">
                  <c:v>291.0968407647693</c:v>
                </c:pt>
                <c:pt idx="322">
                  <c:v>291.92781728627079</c:v>
                </c:pt>
                <c:pt idx="323">
                  <c:v>292.73417592674895</c:v>
                </c:pt>
                <c:pt idx="324">
                  <c:v>293.51641247144875</c:v>
                </c:pt>
                <c:pt idx="325">
                  <c:v>294.27506424292045</c:v>
                </c:pt>
                <c:pt idx="326">
                  <c:v>295.0106911113462</c:v>
                </c:pt>
                <c:pt idx="327">
                  <c:v>295.72386057399785</c:v>
                </c:pt>
                <c:pt idx="328">
                  <c:v>296.41513600074677</c:v>
                </c:pt>
                <c:pt idx="329">
                  <c:v>297.08506729131943</c:v>
                </c:pt>
                <c:pt idx="330">
                  <c:v>297.73418337599026</c:v>
                </c:pt>
                <c:pt idx="331">
                  <c:v>298.3629861384523</c:v>
                </c:pt>
                <c:pt idx="332">
                  <c:v>298.97194537058397</c:v>
                </c:pt>
                <c:pt idx="333">
                  <c:v>299.56149451002568</c:v>
                </c:pt>
                <c:pt idx="334">
                  <c:v>300.13202691665003</c:v>
                </c:pt>
                <c:pt idx="335">
                  <c:v>300.68389250754518</c:v>
                </c:pt>
                <c:pt idx="336">
                  <c:v>301.2173946030037</c:v>
                </c:pt>
                <c:pt idx="337">
                  <c:v>301.73278688465439</c:v>
                </c:pt>
                <c:pt idx="338">
                  <c:v>302.23027034834337</c:v>
                </c:pt>
                <c:pt idx="339">
                  <c:v>302.70999024175597</c:v>
                </c:pt>
                <c:pt idx="340">
                  <c:v>303.17203294272633</c:v>
                </c:pt>
                <c:pt idx="341">
                  <c:v>303.61642284207772</c:v>
                </c:pt>
                <c:pt idx="342">
                  <c:v>304.04311937715471</c:v>
                </c:pt>
                <c:pt idx="343">
                  <c:v>304.4520144704926</c:v>
                </c:pt>
                <c:pt idx="344">
                  <c:v>304.84293088712059</c:v>
                </c:pt>
                <c:pt idx="345">
                  <c:v>305.21562239207782</c:v>
                </c:pt>
                <c:pt idx="346">
                  <c:v>305.56977717806279</c:v>
                </c:pt>
                <c:pt idx="347">
                  <c:v>305.90502721161261</c:v>
                </c:pt>
                <c:pt idx="348">
                  <c:v>306.22096799865579</c:v>
                </c:pt>
                <c:pt idx="349">
                  <c:v>306.51719693245929</c:v>
                </c:pt>
                <c:pt idx="350">
                  <c:v>306.79338519559337</c:v>
                </c:pt>
                <c:pt idx="351">
                  <c:v>307.04941180289541</c:v>
                </c:pt>
                <c:pt idx="352">
                  <c:v>307.28553124019766</c:v>
                </c:pt>
                <c:pt idx="353">
                  <c:v>307.50217433490207</c:v>
                </c:pt>
                <c:pt idx="354">
                  <c:v>307.69973211680508</c:v>
                </c:pt>
                <c:pt idx="355">
                  <c:v>307.87854601286068</c:v>
                </c:pt>
                <c:pt idx="356">
                  <c:v>308.03890952495306</c:v>
                </c:pt>
                <c:pt idx="357">
                  <c:v>308.18106964141879</c:v>
                </c:pt>
                <c:pt idx="358">
                  <c:v>308.3052279914038</c:v>
                </c:pt>
                <c:pt idx="359">
                  <c:v>308.41154177354889</c:v>
                </c:pt>
                <c:pt idx="360">
                  <c:v>308.50012443098478</c:v>
                </c:pt>
              </c:numCache>
            </c:numRef>
          </c:xVal>
          <c:yVal>
            <c:numRef>
              <c:f>L_Section_Capacity!$BK$2:$BK$362</c:f>
              <c:numCache>
                <c:formatCode>General</c:formatCode>
                <c:ptCount val="361"/>
                <c:pt idx="0">
                  <c:v>-47.4</c:v>
                </c:pt>
                <c:pt idx="1">
                  <c:v>-46.509791688660883</c:v>
                </c:pt>
                <c:pt idx="2">
                  <c:v>-45.619040755920878</c:v>
                </c:pt>
                <c:pt idx="3">
                  <c:v>-44.72720325656487</c:v>
                </c:pt>
                <c:pt idx="4">
                  <c:v>-43.833732590880949</c:v>
                </c:pt>
                <c:pt idx="5">
                  <c:v>-42.938078160177874</c:v>
                </c:pt>
                <c:pt idx="6">
                  <c:v>-42.039684001450524</c:v>
                </c:pt>
                <c:pt idx="7">
                  <c:v>-41.137987393951875</c:v>
                </c:pt>
                <c:pt idx="8">
                  <c:v>-40.232417430178067</c:v>
                </c:pt>
                <c:pt idx="9">
                  <c:v>-39.322393543448669</c:v>
                </c:pt>
                <c:pt idx="10">
                  <c:v>-38.407340395629269</c:v>
                </c:pt>
                <c:pt idx="11">
                  <c:v>-37.486976571875495</c:v>
                </c:pt>
                <c:pt idx="12">
                  <c:v>-36.561524220255151</c:v>
                </c:pt>
                <c:pt idx="13">
                  <c:v>-35.63142869229452</c:v>
                </c:pt>
                <c:pt idx="14">
                  <c:v>-34.697176908102662</c:v>
                </c:pt>
                <c:pt idx="15">
                  <c:v>-33.759218468149932</c:v>
                </c:pt>
                <c:pt idx="16">
                  <c:v>-32.817934378816275</c:v>
                </c:pt>
                <c:pt idx="17">
                  <c:v>-31.873628232318993</c:v>
                </c:pt>
                <c:pt idx="18">
                  <c:v>-30.926527906378737</c:v>
                </c:pt>
                <c:pt idx="19">
                  <c:v>-29.976791969255771</c:v>
                </c:pt>
                <c:pt idx="20">
                  <c:v>-29.024517927067123</c:v>
                </c:pt>
                <c:pt idx="21">
                  <c:v>-28.069750919084186</c:v>
                </c:pt>
                <c:pt idx="22">
                  <c:v>-27.112492215231192</c:v>
                </c:pt>
                <c:pt idx="23">
                  <c:v>-26.152707257258839</c:v>
                </c:pt>
                <c:pt idx="24">
                  <c:v>-25.19033318650726</c:v>
                </c:pt>
                <c:pt idx="25">
                  <c:v>-24.225285906566114</c:v>
                </c:pt>
                <c:pt idx="26">
                  <c:v>-23.257466784437362</c:v>
                </c:pt>
                <c:pt idx="27">
                  <c:v>-22.286392189691885</c:v>
                </c:pt>
                <c:pt idx="28">
                  <c:v>-21.310914645984042</c:v>
                </c:pt>
                <c:pt idx="29">
                  <c:v>-20.331915566248409</c:v>
                </c:pt>
                <c:pt idx="30">
                  <c:v>-19.349258594493733</c:v>
                </c:pt>
                <c:pt idx="31">
                  <c:v>-18.362823020405052</c:v>
                </c:pt>
                <c:pt idx="32">
                  <c:v>-17.372511052106535</c:v>
                </c:pt>
                <c:pt idx="33">
                  <c:v>-16.378255932851836</c:v>
                </c:pt>
                <c:pt idx="34">
                  <c:v>-15.380031174981145</c:v>
                </c:pt>
                <c:pt idx="35">
                  <c:v>-14.377861235874642</c:v>
                </c:pt>
                <c:pt idx="36">
                  <c:v>-13.37183402743587</c:v>
                </c:pt>
                <c:pt idx="37">
                  <c:v>-12.362115739095731</c:v>
                </c:pt>
                <c:pt idx="38">
                  <c:v>-11.348968570647495</c:v>
                </c:pt>
                <c:pt idx="39">
                  <c:v>-10.332772123638089</c:v>
                </c:pt>
                <c:pt idx="40">
                  <c:v>-9.3140494032316106</c:v>
                </c:pt>
                <c:pt idx="41">
                  <c:v>-8.2934986516285107</c:v>
                </c:pt>
                <c:pt idx="42">
                  <c:v>-7.2720325989748362</c:v>
                </c:pt>
                <c:pt idx="43">
                  <c:v>-6.2508272087235728</c:v>
                </c:pt>
                <c:pt idx="44">
                  <c:v>-5.2313826749024388</c:v>
                </c:pt>
                <c:pt idx="45">
                  <c:v>-4.2156003697021447</c:v>
                </c:pt>
                <c:pt idx="46">
                  <c:v>-3.205880775890023</c:v>
                </c:pt>
                <c:pt idx="47">
                  <c:v>-2.205249349249641</c:v>
                </c:pt>
                <c:pt idx="48">
                  <c:v>-1.2167656412974754</c:v>
                </c:pt>
                <c:pt idx="49">
                  <c:v>5.0198605235702107E-3</c:v>
                </c:pt>
                <c:pt idx="50">
                  <c:v>1.2463536344783961</c:v>
                </c:pt>
                <c:pt idx="51">
                  <c:v>2.4556144292499198</c:v>
                </c:pt>
                <c:pt idx="52">
                  <c:v>3.6349344507155097</c:v>
                </c:pt>
                <c:pt idx="53">
                  <c:v>4.7863030333081911</c:v>
                </c:pt>
                <c:pt idx="54">
                  <c:v>5.911581040507599</c:v>
                </c:pt>
                <c:pt idx="55">
                  <c:v>7.0125138550163229</c:v>
                </c:pt>
                <c:pt idx="56">
                  <c:v>8.1278333101856024</c:v>
                </c:pt>
                <c:pt idx="57">
                  <c:v>9.3233370402228193</c:v>
                </c:pt>
                <c:pt idx="58">
                  <c:v>10.485216556593437</c:v>
                </c:pt>
                <c:pt idx="59">
                  <c:v>11.615209124646638</c:v>
                </c:pt>
                <c:pt idx="60">
                  <c:v>12.714929872826833</c:v>
                </c:pt>
                <c:pt idx="61">
                  <c:v>13.785881909847129</c:v>
                </c:pt>
                <c:pt idx="62">
                  <c:v>14.829465605389563</c:v>
                </c:pt>
                <c:pt idx="63">
                  <c:v>15.846987187560936</c:v>
                </c:pt>
                <c:pt idx="64">
                  <c:v>16.831010513188382</c:v>
                </c:pt>
                <c:pt idx="65">
                  <c:v>17.762297223445962</c:v>
                </c:pt>
                <c:pt idx="66">
                  <c:v>18.669875681702422</c:v>
                </c:pt>
                <c:pt idx="67">
                  <c:v>19.555395784893989</c:v>
                </c:pt>
                <c:pt idx="68">
                  <c:v>20.42054084176241</c:v>
                </c:pt>
                <c:pt idx="69">
                  <c:v>21.267060597730115</c:v>
                </c:pt>
                <c:pt idx="70">
                  <c:v>22.096812041172058</c:v>
                </c:pt>
                <c:pt idx="71">
                  <c:v>22.911810988615599</c:v>
                </c:pt>
                <c:pt idx="72">
                  <c:v>23.714298676828157</c:v>
                </c:pt>
                <c:pt idx="73">
                  <c:v>24.506829481682452</c:v>
                </c:pt>
                <c:pt idx="74">
                  <c:v>25.292388725051001</c:v>
                </c:pt>
                <c:pt idx="75">
                  <c:v>26.074554038781219</c:v>
                </c:pt>
                <c:pt idx="76">
                  <c:v>26.857720955343293</c:v>
                </c:pt>
                <c:pt idx="77">
                  <c:v>27.647425272892164</c:v>
                </c:pt>
                <c:pt idx="78">
                  <c:v>28.450814953705507</c:v>
                </c:pt>
                <c:pt idx="79">
                  <c:v>29.277338101085281</c:v>
                </c:pt>
                <c:pt idx="80">
                  <c:v>30.13446599312719</c:v>
                </c:pt>
                <c:pt idx="81">
                  <c:v>30.870303098796146</c:v>
                </c:pt>
                <c:pt idx="82">
                  <c:v>31.556476644022336</c:v>
                </c:pt>
                <c:pt idx="83">
                  <c:v>32.205970679382972</c:v>
                </c:pt>
                <c:pt idx="84">
                  <c:v>32.808729714535197</c:v>
                </c:pt>
                <c:pt idx="85">
                  <c:v>33.35313571741208</c:v>
                </c:pt>
                <c:pt idx="86">
                  <c:v>33.824423591682041</c:v>
                </c:pt>
                <c:pt idx="87">
                  <c:v>34.201699945927757</c:v>
                </c:pt>
                <c:pt idx="88">
                  <c:v>34.452565631154485</c:v>
                </c:pt>
                <c:pt idx="89">
                  <c:v>34.532106782971361</c:v>
                </c:pt>
                <c:pt idx="90">
                  <c:v>34.41111198845077</c:v>
                </c:pt>
                <c:pt idx="91">
                  <c:v>33.921144652348552</c:v>
                </c:pt>
                <c:pt idx="92">
                  <c:v>33.287896128967851</c:v>
                </c:pt>
                <c:pt idx="93">
                  <c:v>32.579529575358279</c:v>
                </c:pt>
                <c:pt idx="94">
                  <c:v>31.885732681151072</c:v>
                </c:pt>
                <c:pt idx="95">
                  <c:v>30.654811275586397</c:v>
                </c:pt>
                <c:pt idx="96">
                  <c:v>28.803503590121789</c:v>
                </c:pt>
                <c:pt idx="97">
                  <c:v>27.002767219264751</c:v>
                </c:pt>
                <c:pt idx="98">
                  <c:v>25.551344090728534</c:v>
                </c:pt>
                <c:pt idx="99">
                  <c:v>24.355414399816553</c:v>
                </c:pt>
                <c:pt idx="100">
                  <c:v>23.348028580392501</c:v>
                </c:pt>
                <c:pt idx="101">
                  <c:v>22.484167574971472</c:v>
                </c:pt>
                <c:pt idx="102">
                  <c:v>21.732339502102182</c:v>
                </c:pt>
                <c:pt idx="103">
                  <c:v>21.069794077364453</c:v>
                </c:pt>
                <c:pt idx="104">
                  <c:v>20.479649550148416</c:v>
                </c:pt>
                <c:pt idx="105">
                  <c:v>19.949091274270415</c:v>
                </c:pt>
                <c:pt idx="106">
                  <c:v>19.468200303718902</c:v>
                </c:pt>
                <c:pt idx="107">
                  <c:v>19.029167695773591</c:v>
                </c:pt>
                <c:pt idx="108">
                  <c:v>18.625753236249871</c:v>
                </c:pt>
                <c:pt idx="109">
                  <c:v>18.252903755005221</c:v>
                </c:pt>
                <c:pt idx="110">
                  <c:v>17.906478404612937</c:v>
                </c:pt>
                <c:pt idx="111">
                  <c:v>17.583047279121036</c:v>
                </c:pt>
                <c:pt idx="112">
                  <c:v>17.279741372872174</c:v>
                </c:pt>
                <c:pt idx="113">
                  <c:v>16.994139133521944</c:v>
                </c:pt>
                <c:pt idx="114">
                  <c:v>16.7241795264584</c:v>
                </c:pt>
                <c:pt idx="115">
                  <c:v>16.468094605196484</c:v>
                </c:pt>
                <c:pt idx="116">
                  <c:v>16.224356608884925</c:v>
                </c:pt>
                <c:pt idx="117">
                  <c:v>15.991636034674032</c:v>
                </c:pt>
                <c:pt idx="118">
                  <c:v>15.768768067125212</c:v>
                </c:pt>
                <c:pt idx="119">
                  <c:v>15.554725463897235</c:v>
                </c:pt>
                <c:pt idx="120">
                  <c:v>15.348596449891454</c:v>
                </c:pt>
                <c:pt idx="121">
                  <c:v>15.149566547909538</c:v>
                </c:pt>
                <c:pt idx="122">
                  <c:v>14.952809771643654</c:v>
                </c:pt>
                <c:pt idx="123">
                  <c:v>14.76141705082266</c:v>
                </c:pt>
                <c:pt idx="124">
                  <c:v>14.575005464675778</c:v>
                </c:pt>
                <c:pt idx="125">
                  <c:v>14.393019146103398</c:v>
                </c:pt>
                <c:pt idx="126">
                  <c:v>14.214943596395793</c:v>
                </c:pt>
                <c:pt idx="127">
                  <c:v>14.040298930086983</c:v>
                </c:pt>
                <c:pt idx="128">
                  <c:v>13.868633937912115</c:v>
                </c:pt>
                <c:pt idx="129">
                  <c:v>13.699520774636584</c:v>
                </c:pt>
                <c:pt idx="130">
                  <c:v>13.532550154246112</c:v>
                </c:pt>
                <c:pt idx="131">
                  <c:v>13.367326922798995</c:v>
                </c:pt>
                <c:pt idx="132">
                  <c:v>13.20346589725678</c:v>
                </c:pt>
                <c:pt idx="133">
                  <c:v>13.040587889791299</c:v>
                </c:pt>
                <c:pt idx="134">
                  <c:v>12.878315817547382</c:v>
                </c:pt>
                <c:pt idx="135">
                  <c:v>12.716270812898587</c:v>
                </c:pt>
                <c:pt idx="136">
                  <c:v>12.55406825935655</c:v>
                </c:pt>
                <c:pt idx="137">
                  <c:v>12.391313650008858</c:v>
                </c:pt>
                <c:pt idx="138">
                  <c:v>12.227598185428864</c:v>
                </c:pt>
                <c:pt idx="139">
                  <c:v>12.062493999996654</c:v>
                </c:pt>
                <c:pt idx="140">
                  <c:v>11.895548898821021</c:v>
                </c:pt>
                <c:pt idx="141">
                  <c:v>11.726280465753842</c:v>
                </c:pt>
                <c:pt idx="142">
                  <c:v>11.554169376855643</c:v>
                </c:pt>
                <c:pt idx="143">
                  <c:v>11.378651725762071</c:v>
                </c:pt>
                <c:pt idx="144">
                  <c:v>11.19911011321577</c:v>
                </c:pt>
                <c:pt idx="145">
                  <c:v>11.014863208306213</c:v>
                </c:pt>
                <c:pt idx="146">
                  <c:v>10.825153405406377</c:v>
                </c:pt>
                <c:pt idx="147">
                  <c:v>10.629132125028692</c:v>
                </c:pt>
                <c:pt idx="148">
                  <c:v>10.425842149486884</c:v>
                </c:pt>
                <c:pt idx="149">
                  <c:v>10.214409838173381</c:v>
                </c:pt>
                <c:pt idx="150">
                  <c:v>9.9971606933256041</c:v>
                </c:pt>
                <c:pt idx="151">
                  <c:v>9.7686801682704036</c:v>
                </c:pt>
                <c:pt idx="152">
                  <c:v>9.52729478125881</c:v>
                </c:pt>
                <c:pt idx="153">
                  <c:v>9.271051298685606</c:v>
                </c:pt>
                <c:pt idx="154">
                  <c:v>8.9976543785265548</c:v>
                </c:pt>
                <c:pt idx="155">
                  <c:v>8.7043876113799659</c:v>
                </c:pt>
                <c:pt idx="156">
                  <c:v>8.388012653032396</c:v>
                </c:pt>
                <c:pt idx="157">
                  <c:v>8.0446391651334963</c:v>
                </c:pt>
                <c:pt idx="158">
                  <c:v>7.6695554076820125</c:v>
                </c:pt>
                <c:pt idx="159">
                  <c:v>7.2570051936554316</c:v>
                </c:pt>
                <c:pt idx="160">
                  <c:v>6.7998907397823345</c:v>
                </c:pt>
                <c:pt idx="161">
                  <c:v>6.2893717243928506</c:v>
                </c:pt>
                <c:pt idx="162">
                  <c:v>5.714316684668578</c:v>
                </c:pt>
                <c:pt idx="163">
                  <c:v>5.0605407754450802</c:v>
                </c:pt>
                <c:pt idx="164">
                  <c:v>4.3097285866073385</c:v>
                </c:pt>
                <c:pt idx="165">
                  <c:v>3.4420363931526339</c:v>
                </c:pt>
                <c:pt idx="166">
                  <c:v>2.4568638665056803</c:v>
                </c:pt>
                <c:pt idx="167">
                  <c:v>1.3611441293065376</c:v>
                </c:pt>
                <c:pt idx="168">
                  <c:v>0.16142724710924364</c:v>
                </c:pt>
                <c:pt idx="169">
                  <c:v>-1.1357874765651996</c:v>
                </c:pt>
                <c:pt idx="170">
                  <c:v>-2.523699674914742</c:v>
                </c:pt>
                <c:pt idx="171">
                  <c:v>-3.9948354606085883</c:v>
                </c:pt>
                <c:pt idx="172">
                  <c:v>-5.5406461237829099</c:v>
                </c:pt>
                <c:pt idx="173">
                  <c:v>-7.1510857000119605</c:v>
                </c:pt>
                <c:pt idx="174">
                  <c:v>-8.8142221819650128</c:v>
                </c:pt>
                <c:pt idx="175">
                  <c:v>-10.516096626333345</c:v>
                </c:pt>
                <c:pt idx="176">
                  <c:v>-12.241681672191078</c:v>
                </c:pt>
                <c:pt idx="177">
                  <c:v>-13.980283510796506</c:v>
                </c:pt>
                <c:pt idx="178">
                  <c:v>-15.730987034363183</c:v>
                </c:pt>
                <c:pt idx="179">
                  <c:v>-17.511144247853991</c:v>
                </c:pt>
                <c:pt idx="180">
                  <c:v>-19.223161581369538</c:v>
                </c:pt>
                <c:pt idx="181">
                  <c:v>-20.216766715682112</c:v>
                </c:pt>
                <c:pt idx="182">
                  <c:v>-21.115913910903789</c:v>
                </c:pt>
                <c:pt idx="183">
                  <c:v>-22.020442119369413</c:v>
                </c:pt>
                <c:pt idx="184">
                  <c:v>-22.917288131247979</c:v>
                </c:pt>
                <c:pt idx="185">
                  <c:v>-23.808309291375867</c:v>
                </c:pt>
                <c:pt idx="186">
                  <c:v>-24.693699114804843</c:v>
                </c:pt>
                <c:pt idx="187">
                  <c:v>-25.57217480152476</c:v>
                </c:pt>
                <c:pt idx="188">
                  <c:v>-26.458468279738533</c:v>
                </c:pt>
                <c:pt idx="189">
                  <c:v>-27.341398585264191</c:v>
                </c:pt>
                <c:pt idx="190">
                  <c:v>-28.21491041342038</c:v>
                </c:pt>
                <c:pt idx="191">
                  <c:v>-29.079010670271735</c:v>
                </c:pt>
                <c:pt idx="192">
                  <c:v>-29.933864597492473</c:v>
                </c:pt>
                <c:pt idx="193">
                  <c:v>-30.779736429253749</c:v>
                </c:pt>
                <c:pt idx="194">
                  <c:v>-31.616948502473186</c:v>
                </c:pt>
                <c:pt idx="195">
                  <c:v>-32.445853058604719</c:v>
                </c:pt>
                <c:pt idx="196">
                  <c:v>-33.266812592341871</c:v>
                </c:pt>
                <c:pt idx="197">
                  <c:v>-34.080185933410206</c:v>
                </c:pt>
                <c:pt idx="198">
                  <c:v>-34.886318138063238</c:v>
                </c:pt>
                <c:pt idx="199">
                  <c:v>-35.685532889731974</c:v>
                </c:pt>
                <c:pt idx="200">
                  <c:v>-36.478126513965705</c:v>
                </c:pt>
                <c:pt idx="201">
                  <c:v>-37.264362956170118</c:v>
                </c:pt>
                <c:pt idx="202">
                  <c:v>-38.04446926102041</c:v>
                </c:pt>
                <c:pt idx="203">
                  <c:v>-38.819340570473827</c:v>
                </c:pt>
                <c:pt idx="204">
                  <c:v>-39.58877889067908</c:v>
                </c:pt>
                <c:pt idx="205">
                  <c:v>-40.352773023020077</c:v>
                </c:pt>
                <c:pt idx="206">
                  <c:v>-41.111406179930114</c:v>
                </c:pt>
                <c:pt idx="207">
                  <c:v>-41.865683534249484</c:v>
                </c:pt>
                <c:pt idx="208">
                  <c:v>-42.617592410057796</c:v>
                </c:pt>
                <c:pt idx="209">
                  <c:v>-43.368952062817421</c:v>
                </c:pt>
                <c:pt idx="210">
                  <c:v>-44.121394740810594</c:v>
                </c:pt>
                <c:pt idx="211">
                  <c:v>-44.876407901646054</c:v>
                </c:pt>
                <c:pt idx="212">
                  <c:v>-45.635368061288808</c:v>
                </c:pt>
                <c:pt idx="213">
                  <c:v>-46.399568312179589</c:v>
                </c:pt>
                <c:pt idx="214">
                  <c:v>-47.17024104088717</c:v>
                </c:pt>
                <c:pt idx="215">
                  <c:v>-47.94857699034732</c:v>
                </c:pt>
                <c:pt idx="216">
                  <c:v>-48.735741556173487</c:v>
                </c:pt>
                <c:pt idx="217">
                  <c:v>-49.532889001193638</c:v>
                </c:pt>
                <c:pt idx="218">
                  <c:v>-50.341175127923762</c:v>
                </c:pt>
                <c:pt idx="219">
                  <c:v>-51.161768842797962</c:v>
                </c:pt>
                <c:pt idx="220">
                  <c:v>-51.995862971631936</c:v>
                </c:pt>
                <c:pt idx="221">
                  <c:v>-52.844684622691865</c:v>
                </c:pt>
                <c:pt idx="222">
                  <c:v>-53.709505356862721</c:v>
                </c:pt>
                <c:pt idx="223">
                  <c:v>-54.591651400216314</c:v>
                </c:pt>
                <c:pt idx="224">
                  <c:v>-55.492514110759885</c:v>
                </c:pt>
                <c:pt idx="225">
                  <c:v>-56.41356091455684</c:v>
                </c:pt>
                <c:pt idx="226">
                  <c:v>-57.356346913036596</c:v>
                </c:pt>
                <c:pt idx="227">
                  <c:v>-58.32252738650218</c:v>
                </c:pt>
                <c:pt idx="228">
                  <c:v>-59.313871422785148</c:v>
                </c:pt>
                <c:pt idx="229">
                  <c:v>-60.332276932027554</c:v>
                </c:pt>
                <c:pt idx="230">
                  <c:v>-61.379787334341941</c:v>
                </c:pt>
                <c:pt idx="231">
                  <c:v>-62.458610255997357</c:v>
                </c:pt>
                <c:pt idx="232">
                  <c:v>-63.571138617493901</c:v>
                </c:pt>
                <c:pt idx="233">
                  <c:v>-64.719974571605533</c:v>
                </c:pt>
                <c:pt idx="234">
                  <c:v>-65.907956829337081</c:v>
                </c:pt>
                <c:pt idx="235">
                  <c:v>-67.138192024412888</c:v>
                </c:pt>
                <c:pt idx="236">
                  <c:v>-68.414090899354562</c:v>
                </c:pt>
                <c:pt idx="237">
                  <c:v>-69.739410266279691</c:v>
                </c:pt>
                <c:pt idx="238">
                  <c:v>-71.118301913089226</c:v>
                </c:pt>
                <c:pt idx="239">
                  <c:v>-72.555369897258913</c:v>
                </c:pt>
                <c:pt idx="240">
                  <c:v>-74.055738021114081</c:v>
                </c:pt>
                <c:pt idx="241">
                  <c:v>-75.625129732241774</c:v>
                </c:pt>
                <c:pt idx="242">
                  <c:v>-77.269963281597938</c:v>
                </c:pt>
                <c:pt idx="243">
                  <c:v>-78.997465732901773</c:v>
                </c:pt>
                <c:pt idx="244">
                  <c:v>-80.815810432162976</c:v>
                </c:pt>
                <c:pt idx="245">
                  <c:v>-82.734592042133698</c:v>
                </c:pt>
                <c:pt idx="246">
                  <c:v>-84.766378812101507</c:v>
                </c:pt>
                <c:pt idx="247">
                  <c:v>-86.920858186811472</c:v>
                </c:pt>
                <c:pt idx="248">
                  <c:v>-88.938179186307394</c:v>
                </c:pt>
                <c:pt idx="249">
                  <c:v>-91.067335415695311</c:v>
                </c:pt>
                <c:pt idx="250">
                  <c:v>-93.337694204621201</c:v>
                </c:pt>
                <c:pt idx="251">
                  <c:v>-95.767477583513269</c:v>
                </c:pt>
                <c:pt idx="252">
                  <c:v>-98.378289652145142</c:v>
                </c:pt>
                <c:pt idx="253">
                  <c:v>-101.03760766569208</c:v>
                </c:pt>
                <c:pt idx="254">
                  <c:v>-103.24289732968003</c:v>
                </c:pt>
                <c:pt idx="255">
                  <c:v>-105.63793905042469</c:v>
                </c:pt>
                <c:pt idx="256">
                  <c:v>-108.25498785374748</c:v>
                </c:pt>
                <c:pt idx="257">
                  <c:v>-111.13337927201417</c:v>
                </c:pt>
                <c:pt idx="258">
                  <c:v>-114.28837040919475</c:v>
                </c:pt>
                <c:pt idx="259">
                  <c:v>-117.70291495932675</c:v>
                </c:pt>
                <c:pt idx="260">
                  <c:v>-121.36232904137684</c:v>
                </c:pt>
                <c:pt idx="261">
                  <c:v>-124.35566411663478</c:v>
                </c:pt>
                <c:pt idx="262">
                  <c:v>-125.85649894521147</c:v>
                </c:pt>
                <c:pt idx="263">
                  <c:v>-126.66542090498356</c:v>
                </c:pt>
                <c:pt idx="264">
                  <c:v>-127.40925356237723</c:v>
                </c:pt>
                <c:pt idx="265">
                  <c:v>-128.07491137938382</c:v>
                </c:pt>
                <c:pt idx="266">
                  <c:v>-128.79210353682981</c:v>
                </c:pt>
                <c:pt idx="267">
                  <c:v>-129.43492005381853</c:v>
                </c:pt>
                <c:pt idx="268">
                  <c:v>-129.94820838693749</c:v>
                </c:pt>
                <c:pt idx="269">
                  <c:v>-130.31991396389523</c:v>
                </c:pt>
                <c:pt idx="270">
                  <c:v>-130.55006221505835</c:v>
                </c:pt>
                <c:pt idx="271">
                  <c:v>-130.31991396446304</c:v>
                </c:pt>
                <c:pt idx="272">
                  <c:v>-129.948208386923</c:v>
                </c:pt>
                <c:pt idx="273">
                  <c:v>-129.43492005382663</c:v>
                </c:pt>
                <c:pt idx="274">
                  <c:v>-128.79210353674165</c:v>
                </c:pt>
                <c:pt idx="275">
                  <c:v>-128.04518392445721</c:v>
                </c:pt>
                <c:pt idx="276">
                  <c:v>-127.21617415126141</c:v>
                </c:pt>
                <c:pt idx="277">
                  <c:v>-126.32173001919404</c:v>
                </c:pt>
                <c:pt idx="278">
                  <c:v>-125.3747520229024</c:v>
                </c:pt>
                <c:pt idx="279">
                  <c:v>-124.38582637358351</c:v>
                </c:pt>
                <c:pt idx="280">
                  <c:v>-123.37248109471685</c:v>
                </c:pt>
                <c:pt idx="281">
                  <c:v>-122.37270937831563</c:v>
                </c:pt>
                <c:pt idx="282">
                  <c:v>-121.35069674701145</c:v>
                </c:pt>
                <c:pt idx="283">
                  <c:v>-120.31598793244859</c:v>
                </c:pt>
                <c:pt idx="284">
                  <c:v>-119.27892818038404</c:v>
                </c:pt>
                <c:pt idx="285">
                  <c:v>-118.25116869676465</c:v>
                </c:pt>
                <c:pt idx="286">
                  <c:v>-117.24262433069937</c:v>
                </c:pt>
                <c:pt idx="287">
                  <c:v>-116.25306303289626</c:v>
                </c:pt>
                <c:pt idx="288">
                  <c:v>-115.28031552310532</c:v>
                </c:pt>
                <c:pt idx="289">
                  <c:v>-114.3224344678343</c:v>
                </c:pt>
                <c:pt idx="290">
                  <c:v>-113.37765522266143</c:v>
                </c:pt>
                <c:pt idx="291">
                  <c:v>-112.44436457200136</c:v>
                </c:pt>
                <c:pt idx="292">
                  <c:v>-111.52107545861477</c:v>
                </c:pt>
                <c:pt idx="293">
                  <c:v>-110.60640626237407</c:v>
                </c:pt>
                <c:pt idx="294">
                  <c:v>-109.69906357362134</c:v>
                </c:pt>
                <c:pt idx="295">
                  <c:v>-108.79782769131414</c:v>
                </c:pt>
                <c:pt idx="296">
                  <c:v>-107.90154024703159</c:v>
                </c:pt>
                <c:pt idx="297">
                  <c:v>-107.00909351308525</c:v>
                </c:pt>
                <c:pt idx="298">
                  <c:v>-106.11942104072401</c:v>
                </c:pt>
                <c:pt idx="299">
                  <c:v>-105.23148935147941</c:v>
                </c:pt>
                <c:pt idx="300">
                  <c:v>-104.34429046423679</c:v>
                </c:pt>
                <c:pt idx="301">
                  <c:v>-103.4568350752113</c:v>
                </c:pt>
                <c:pt idx="302">
                  <c:v>-102.56814624118216</c:v>
                </c:pt>
                <c:pt idx="303">
                  <c:v>-101.67725344466731</c:v>
                </c:pt>
                <c:pt idx="304">
                  <c:v>-100.78318692573382</c:v>
                </c:pt>
                <c:pt idx="305">
                  <c:v>-99.884972192151793</c:v>
                </c:pt>
                <c:pt idx="306">
                  <c:v>-98.981624616835092</c:v>
                </c:pt>
                <c:pt idx="307">
                  <c:v>-98.072144044365203</c:v>
                </c:pt>
                <c:pt idx="308">
                  <c:v>-97.155509330237038</c:v>
                </c:pt>
                <c:pt idx="309">
                  <c:v>-96.230672736439658</c:v>
                </c:pt>
                <c:pt idx="310">
                  <c:v>-95.296554108500359</c:v>
                </c:pt>
                <c:pt idx="311">
                  <c:v>-94.352034755451911</c:v>
                </c:pt>
                <c:pt idx="312">
                  <c:v>-93.395950948928487</c:v>
                </c:pt>
                <c:pt idx="313">
                  <c:v>-92.427086949486664</c:v>
                </c:pt>
                <c:pt idx="314">
                  <c:v>-91.444646744658087</c:v>
                </c:pt>
                <c:pt idx="315">
                  <c:v>-90.451078067495544</c:v>
                </c:pt>
                <c:pt idx="316">
                  <c:v>-89.449679240803533</c:v>
                </c:pt>
                <c:pt idx="317">
                  <c:v>-88.443081801798428</c:v>
                </c:pt>
                <c:pt idx="318">
                  <c:v>-87.433379458672931</c:v>
                </c:pt>
                <c:pt idx="319">
                  <c:v>-86.422233929237422</c:v>
                </c:pt>
                <c:pt idx="320">
                  <c:v>-85.412747088935703</c:v>
                </c:pt>
                <c:pt idx="321">
                  <c:v>-84.404998785288981</c:v>
                </c:pt>
                <c:pt idx="322">
                  <c:v>-83.398544509714753</c:v>
                </c:pt>
                <c:pt idx="323">
                  <c:v>-82.394026582909945</c:v>
                </c:pt>
                <c:pt idx="324">
                  <c:v>-81.391929637832177</c:v>
                </c:pt>
                <c:pt idx="325">
                  <c:v>-80.392608900743184</c:v>
                </c:pt>
                <c:pt idx="326">
                  <c:v>-79.396313456961195</c:v>
                </c:pt>
                <c:pt idx="327">
                  <c:v>-78.403205537826722</c:v>
                </c:pt>
                <c:pt idx="328">
                  <c:v>-77.41337664599402</c:v>
                </c:pt>
                <c:pt idx="329">
                  <c:v>-76.426861164726503</c:v>
                </c:pt>
                <c:pt idx="330">
                  <c:v>-75.443647971147158</c:v>
                </c:pt>
                <c:pt idx="331">
                  <c:v>-74.463690477132744</c:v>
                </c:pt>
                <c:pt idx="332">
                  <c:v>-73.486915445723</c:v>
                </c:pt>
                <c:pt idx="333">
                  <c:v>-72.513230877264888</c:v>
                </c:pt>
                <c:pt idx="334">
                  <c:v>-71.542533215564831</c:v>
                </c:pt>
                <c:pt idx="335">
                  <c:v>-70.574714093436086</c:v>
                </c:pt>
                <c:pt idx="336">
                  <c:v>-69.609666813495011</c:v>
                </c:pt>
                <c:pt idx="337">
                  <c:v>-68.647292742743403</c:v>
                </c:pt>
                <c:pt idx="338">
                  <c:v>-67.687507784771043</c:v>
                </c:pt>
                <c:pt idx="339">
                  <c:v>-66.730249080918057</c:v>
                </c:pt>
                <c:pt idx="340">
                  <c:v>-65.775482072935148</c:v>
                </c:pt>
                <c:pt idx="341">
                  <c:v>-64.823208030746528</c:v>
                </c:pt>
                <c:pt idx="342">
                  <c:v>-63.873472093623576</c:v>
                </c:pt>
                <c:pt idx="343">
                  <c:v>-62.926371767683349</c:v>
                </c:pt>
                <c:pt idx="344">
                  <c:v>-61.982065621186059</c:v>
                </c:pt>
                <c:pt idx="345">
                  <c:v>-61.04078153185246</c:v>
                </c:pt>
                <c:pt idx="346">
                  <c:v>-60.102823091899637</c:v>
                </c:pt>
                <c:pt idx="347">
                  <c:v>-59.168571307707808</c:v>
                </c:pt>
                <c:pt idx="348">
                  <c:v>-58.238475779747262</c:v>
                </c:pt>
                <c:pt idx="349">
                  <c:v>-57.313023428126868</c:v>
                </c:pt>
                <c:pt idx="350">
                  <c:v>-56.392659604373051</c:v>
                </c:pt>
                <c:pt idx="351">
                  <c:v>-55.477606456553659</c:v>
                </c:pt>
                <c:pt idx="352">
                  <c:v>-54.567582569824296</c:v>
                </c:pt>
                <c:pt idx="353">
                  <c:v>-53.662012606050475</c:v>
                </c:pt>
                <c:pt idx="354">
                  <c:v>-52.760315998551818</c:v>
                </c:pt>
                <c:pt idx="355">
                  <c:v>-51.861921839824447</c:v>
                </c:pt>
                <c:pt idx="356">
                  <c:v>-50.9662674091214</c:v>
                </c:pt>
                <c:pt idx="357">
                  <c:v>-50.072796743437436</c:v>
                </c:pt>
                <c:pt idx="358">
                  <c:v>-49.180959244081478</c:v>
                </c:pt>
                <c:pt idx="359">
                  <c:v>-48.290208311341488</c:v>
                </c:pt>
                <c:pt idx="360">
                  <c:v>-47.400000000002422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C4-495F-A8F0-947E7B031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alphavstan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L_Section_Capacity!$BC$2:$BC$362</c:f>
              <c:numCache>
                <c:formatCode>General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L_Section_Capacity!$BF$2:$BF$362</c:f>
              <c:numCache>
                <c:formatCode>0.000</c:formatCode>
                <c:ptCount val="361"/>
                <c:pt idx="0">
                  <c:v>6.130730909370361</c:v>
                </c:pt>
                <c:pt idx="1">
                  <c:v>6.1335088351519245</c:v>
                </c:pt>
                <c:pt idx="2">
                  <c:v>6.1362840837544956</c:v>
                </c:pt>
                <c:pt idx="3">
                  <c:v>6.1390587535485146</c:v>
                </c:pt>
                <c:pt idx="4">
                  <c:v>6.1418349449687426</c:v>
                </c:pt>
                <c:pt idx="5">
                  <c:v>6.144614767370383</c:v>
                </c:pt>
                <c:pt idx="6">
                  <c:v>6.1474003459665685</c:v>
                </c:pt>
                <c:pt idx="7">
                  <c:v>6.1501938289156399</c:v>
                </c:pt>
                <c:pt idx="8">
                  <c:v>6.1529973946018801</c:v>
                </c:pt>
                <c:pt idx="9">
                  <c:v>6.1558132591679149</c:v>
                </c:pt>
                <c:pt idx="10">
                  <c:v>6.1586436364163752</c:v>
                </c:pt>
                <c:pt idx="11">
                  <c:v>6.161489897886419</c:v>
                </c:pt>
                <c:pt idx="12">
                  <c:v>6.1643519605047272</c:v>
                </c:pt>
                <c:pt idx="13">
                  <c:v>6.1672290985170948</c:v>
                </c:pt>
                <c:pt idx="14">
                  <c:v>6.1701204655531336</c:v>
                </c:pt>
                <c:pt idx="15">
                  <c:v>6.1730253191319857</c:v>
                </c:pt>
                <c:pt idx="16">
                  <c:v>6.1759431090181858</c:v>
                </c:pt>
                <c:pt idx="17">
                  <c:v>6.1788735022651764</c:v>
                </c:pt>
                <c:pt idx="18">
                  <c:v>6.1818163790684748</c:v>
                </c:pt>
                <c:pt idx="19">
                  <c:v>6.1847718158512404</c:v>
                </c:pt>
                <c:pt idx="20">
                  <c:v>6.1877400635176825</c:v>
                </c:pt>
                <c:pt idx="21">
                  <c:v>6.1907215246815364</c:v>
                </c:pt>
                <c:pt idx="22">
                  <c:v>6.1937167315696211</c:v>
                </c:pt>
                <c:pt idx="23">
                  <c:v>6.1967263252313707</c:v>
                </c:pt>
                <c:pt idx="24">
                  <c:v>6.1997510361468144</c:v>
                </c:pt>
                <c:pt idx="25">
                  <c:v>6.2027916660305529</c:v>
                </c:pt>
                <c:pt idx="26">
                  <c:v>6.2058490704773748</c:v>
                </c:pt>
                <c:pt idx="27">
                  <c:v>6.2089299902474471</c:v>
                </c:pt>
                <c:pt idx="28">
                  <c:v>6.2120473841314183</c:v>
                </c:pt>
                <c:pt idx="29">
                  <c:v>6.2151840323026883</c:v>
                </c:pt>
                <c:pt idx="30">
                  <c:v>6.2183409928681099</c:v>
                </c:pt>
                <c:pt idx="31">
                  <c:v>6.2215192977739511</c:v>
                </c:pt>
                <c:pt idx="32">
                  <c:v>6.2247199317987922</c:v>
                </c:pt>
                <c:pt idx="33">
                  <c:v>6.2279438083473799</c:v>
                </c:pt>
                <c:pt idx="34">
                  <c:v>6.2311917410353708</c:v>
                </c:pt>
                <c:pt idx="35">
                  <c:v>6.2344644098347501</c:v>
                </c:pt>
                <c:pt idx="36">
                  <c:v>6.2377623202710897</c:v>
                </c:pt>
                <c:pt idx="37">
                  <c:v>6.2410857537919258</c:v>
                </c:pt>
                <c:pt idx="38">
                  <c:v>6.2444347069377057</c:v>
                </c:pt>
                <c:pt idx="39">
                  <c:v>6.247808816308801</c:v>
                </c:pt>
                <c:pt idx="40">
                  <c:v>6.2512072654685449</c:v>
                </c:pt>
                <c:pt idx="41">
                  <c:v>6.2546286687948331</c:v>
                </c:pt>
                <c:pt idx="42">
                  <c:v>6.2580709257631248</c:v>
                </c:pt>
                <c:pt idx="43">
                  <c:v>6.2615310370932784</c:v>
                </c:pt>
                <c:pt idx="44">
                  <c:v>6.2650048713562612</c:v>
                </c:pt>
                <c:pt idx="45">
                  <c:v>6.2684868667375921</c:v>
                </c:pt>
                <c:pt idx="46">
                  <c:v>6.2719696471516153</c:v>
                </c:pt>
                <c:pt idx="47">
                  <c:v>6.2754435240981534</c:v>
                </c:pt>
                <c:pt idx="48">
                  <c:v>6.2788984935693355</c:v>
                </c:pt>
                <c:pt idx="49">
                  <c:v>1.7831237500174721E-5</c:v>
                </c:pt>
                <c:pt idx="50">
                  <c:v>4.4681182378829253E-3</c:v>
                </c:pt>
                <c:pt idx="51">
                  <c:v>8.8849221276842399E-3</c:v>
                </c:pt>
                <c:pt idx="52">
                  <c:v>1.3274630393097495E-2</c:v>
                </c:pt>
                <c:pt idx="53">
                  <c:v>1.7643582303522143E-2</c:v>
                </c:pt>
                <c:pt idx="54">
                  <c:v>2.1998116540543115E-2</c:v>
                </c:pt>
                <c:pt idx="55">
                  <c:v>2.634462066698591E-2</c:v>
                </c:pt>
                <c:pt idx="56">
                  <c:v>3.0864309106911143E-2</c:v>
                </c:pt>
                <c:pt idx="57">
                  <c:v>3.5909115682146796E-2</c:v>
                </c:pt>
                <c:pt idx="58">
                  <c:v>4.0967528544890067E-2</c:v>
                </c:pt>
                <c:pt idx="59">
                  <c:v>4.6047455122013747E-2</c:v>
                </c:pt>
                <c:pt idx="60">
                  <c:v>5.1157155934440694E-2</c:v>
                </c:pt>
                <c:pt idx="61">
                  <c:v>5.6305332072853584E-2</c:v>
                </c:pt>
                <c:pt idx="62">
                  <c:v>6.1501225965941264E-2</c:v>
                </c:pt>
                <c:pt idx="63">
                  <c:v>6.6754739025688445E-2</c:v>
                </c:pt>
                <c:pt idx="64">
                  <c:v>7.205751504190612E-2</c:v>
                </c:pt>
                <c:pt idx="65">
                  <c:v>7.7375662137379217E-2</c:v>
                </c:pt>
                <c:pt idx="66">
                  <c:v>8.2782759606611578E-2</c:v>
                </c:pt>
                <c:pt idx="67">
                  <c:v>8.8293995818176513E-2</c:v>
                </c:pt>
                <c:pt idx="68">
                  <c:v>9.3926519009282075E-2</c:v>
                </c:pt>
                <c:pt idx="69">
                  <c:v>9.9699902405228497E-2</c:v>
                </c:pt>
                <c:pt idx="70">
                  <c:v>0.10563674487561216</c:v>
                </c:pt>
                <c:pt idx="71">
                  <c:v>0.11176345882752872</c:v>
                </c:pt>
                <c:pt idx="72">
                  <c:v>0.11811132127507484</c:v>
                </c:pt>
                <c:pt idx="73">
                  <c:v>0.12471790233716205</c:v>
                </c:pt>
                <c:pt idx="74">
                  <c:v>0.1316290469059084</c:v>
                </c:pt>
                <c:pt idx="75">
                  <c:v>0.13890168759546395</c:v>
                </c:pt>
                <c:pt idx="76">
                  <c:v>0.14660794238473376</c:v>
                </c:pt>
                <c:pt idx="77">
                  <c:v>0.15484126200074566</c:v>
                </c:pt>
                <c:pt idx="78">
                  <c:v>0.16372596948988138</c:v>
                </c:pt>
                <c:pt idx="79">
                  <c:v>0.1734324456104126</c:v>
                </c:pt>
                <c:pt idx="80">
                  <c:v>0.18414720357183881</c:v>
                </c:pt>
                <c:pt idx="81">
                  <c:v>0.19550845021919905</c:v>
                </c:pt>
                <c:pt idx="82">
                  <c:v>0.20785531374191393</c:v>
                </c:pt>
                <c:pt idx="83">
                  <c:v>0.22139198944572219</c:v>
                </c:pt>
                <c:pt idx="84">
                  <c:v>0.23628593510933718</c:v>
                </c:pt>
                <c:pt idx="85">
                  <c:v>0.25273913698550504</c:v>
                </c:pt>
                <c:pt idx="86">
                  <c:v>0.27098106119714671</c:v>
                </c:pt>
                <c:pt idx="87">
                  <c:v>0.29123683990183175</c:v>
                </c:pt>
                <c:pt idx="88">
                  <c:v>0.31363028403857229</c:v>
                </c:pt>
                <c:pt idx="89">
                  <c:v>0.33806345518983177</c:v>
                </c:pt>
                <c:pt idx="90">
                  <c:v>0.36470326168507072</c:v>
                </c:pt>
                <c:pt idx="91">
                  <c:v>0.42206052087937657</c:v>
                </c:pt>
                <c:pt idx="92">
                  <c:v>0.49563648866432508</c:v>
                </c:pt>
                <c:pt idx="93">
                  <c:v>0.58937423275385326</c:v>
                </c:pt>
                <c:pt idx="94">
                  <c:v>0.70415762183241437</c:v>
                </c:pt>
                <c:pt idx="95">
                  <c:v>0.85431428334075188</c:v>
                </c:pt>
                <c:pt idx="96">
                  <c:v>1.0513587897254177</c:v>
                </c:pt>
                <c:pt idx="97">
                  <c:v>1.2539353183935782</c:v>
                </c:pt>
                <c:pt idx="98">
                  <c:v>1.4336056116761899</c:v>
                </c:pt>
                <c:pt idx="99">
                  <c:v>1.5856533510823236</c:v>
                </c:pt>
                <c:pt idx="100">
                  <c:v>1.7112751498538168</c:v>
                </c:pt>
                <c:pt idx="101">
                  <c:v>1.8143581669138624</c:v>
                </c:pt>
                <c:pt idx="102">
                  <c:v>1.8992581391926888</c:v>
                </c:pt>
                <c:pt idx="103">
                  <c:v>1.9698292802452146</c:v>
                </c:pt>
                <c:pt idx="104">
                  <c:v>2.0291771855369367</c:v>
                </c:pt>
                <c:pt idx="105">
                  <c:v>2.0797072118813711</c:v>
                </c:pt>
                <c:pt idx="106">
                  <c:v>2.1232558547490665</c:v>
                </c:pt>
                <c:pt idx="107">
                  <c:v>2.1612229751561602</c:v>
                </c:pt>
                <c:pt idx="108">
                  <c:v>2.1946808310867247</c:v>
                </c:pt>
                <c:pt idx="109">
                  <c:v>2.2244574931452683</c:v>
                </c:pt>
                <c:pt idx="110">
                  <c:v>2.2511987124647823</c:v>
                </c:pt>
                <c:pt idx="111">
                  <c:v>2.2754132930950757</c:v>
                </c:pt>
                <c:pt idx="112">
                  <c:v>2.2975063257401676</c:v>
                </c:pt>
                <c:pt idx="113">
                  <c:v>2.317803629135514</c:v>
                </c:pt>
                <c:pt idx="114">
                  <c:v>2.3365698494831326</c:v>
                </c:pt>
                <c:pt idx="115">
                  <c:v>2.3540219770241597</c:v>
                </c:pt>
                <c:pt idx="116">
                  <c:v>2.3703395318193601</c:v>
                </c:pt>
                <c:pt idx="117">
                  <c:v>2.385672312366717</c:v>
                </c:pt>
                <c:pt idx="118">
                  <c:v>2.4001463446958646</c:v>
                </c:pt>
                <c:pt idx="119">
                  <c:v>2.4138684927424965</c:v>
                </c:pt>
                <c:pt idx="120">
                  <c:v>2.4269300627503161</c:v>
                </c:pt>
                <c:pt idx="121">
                  <c:v>2.4394096462274382</c:v>
                </c:pt>
                <c:pt idx="122">
                  <c:v>2.451617390048765</c:v>
                </c:pt>
                <c:pt idx="123">
                  <c:v>2.4633912800248567</c:v>
                </c:pt>
                <c:pt idx="124">
                  <c:v>2.4747701503509152</c:v>
                </c:pt>
                <c:pt idx="125">
                  <c:v>2.4858000559297388</c:v>
                </c:pt>
                <c:pt idx="126">
                  <c:v>2.4965221342105615</c:v>
                </c:pt>
                <c:pt idx="127">
                  <c:v>2.5069734098870686</c:v>
                </c:pt>
                <c:pt idx="128">
                  <c:v>2.5171874684223905</c:v>
                </c:pt>
                <c:pt idx="129">
                  <c:v>2.5271950242475762</c:v>
                </c:pt>
                <c:pt idx="130">
                  <c:v>2.5370244058673466</c:v>
                </c:pt>
                <c:pt idx="131">
                  <c:v>2.5467019745105</c:v>
                </c:pt>
                <c:pt idx="132">
                  <c:v>2.556252489912894</c:v>
                </c:pt>
                <c:pt idx="133">
                  <c:v>2.5656994350880806</c:v>
                </c:pt>
                <c:pt idx="134">
                  <c:v>2.575065309121114</c:v>
                </c:pt>
                <c:pt idx="135">
                  <c:v>2.5843718960904654</c:v>
                </c:pt>
                <c:pt idx="136">
                  <c:v>2.5936405175046073</c:v>
                </c:pt>
                <c:pt idx="137">
                  <c:v>2.6028922741377976</c:v>
                </c:pt>
                <c:pt idx="138">
                  <c:v>2.6121482835752161</c:v>
                </c:pt>
                <c:pt idx="139">
                  <c:v>2.6214299190239734</c:v>
                </c:pt>
                <c:pt idx="140">
                  <c:v>2.6307590552404898</c:v>
                </c:pt>
                <c:pt idx="141">
                  <c:v>2.6401583276409131</c:v>
                </c:pt>
                <c:pt idx="142">
                  <c:v>2.6496514111906642</c:v>
                </c:pt>
                <c:pt idx="143">
                  <c:v>2.6592633266178267</c:v>
                </c:pt>
                <c:pt idx="144">
                  <c:v>2.6690207823785115</c:v>
                </c:pt>
                <c:pt idx="145">
                  <c:v>2.6789525626351458</c:v>
                </c:pt>
                <c:pt idx="146">
                  <c:v>2.6890899733174201</c:v>
                </c:pt>
                <c:pt idx="147">
                  <c:v>2.6994673614095266</c:v>
                </c:pt>
                <c:pt idx="148">
                  <c:v>2.71012272545503</c:v>
                </c:pt>
                <c:pt idx="149">
                  <c:v>2.72108702576329</c:v>
                </c:pt>
                <c:pt idx="150">
                  <c:v>2.7322183469442343</c:v>
                </c:pt>
                <c:pt idx="151">
                  <c:v>2.7437845426970457</c:v>
                </c:pt>
                <c:pt idx="152">
                  <c:v>2.7558478193024212</c:v>
                </c:pt>
                <c:pt idx="153">
                  <c:v>2.7684796690337432</c:v>
                </c:pt>
                <c:pt idx="154">
                  <c:v>2.7817628252557403</c:v>
                </c:pt>
                <c:pt idx="155">
                  <c:v>2.7957936939363437</c:v>
                </c:pt>
                <c:pt idx="156">
                  <c:v>2.8106853993579781</c:v>
                </c:pt>
                <c:pt idx="157">
                  <c:v>2.8265716267070964</c:v>
                </c:pt>
                <c:pt idx="158">
                  <c:v>2.8436115048635666</c:v>
                </c:pt>
                <c:pt idx="159">
                  <c:v>2.8619958553577884</c:v>
                </c:pt>
                <c:pt idx="160">
                  <c:v>2.8819552452122172</c:v>
                </c:pt>
                <c:pt idx="161">
                  <c:v>2.903770432231473</c:v>
                </c:pt>
                <c:pt idx="162">
                  <c:v>2.9277859914716582</c:v>
                </c:pt>
                <c:pt idx="163">
                  <c:v>2.9544281697525658</c:v>
                </c:pt>
                <c:pt idx="164">
                  <c:v>2.9842283281846504</c:v>
                </c:pt>
                <c:pt idx="165">
                  <c:v>3.0176996938918883</c:v>
                </c:pt>
                <c:pt idx="166">
                  <c:v>3.0545606168583195</c:v>
                </c:pt>
                <c:pt idx="167">
                  <c:v>3.0942184525394225</c:v>
                </c:pt>
                <c:pt idx="168">
                  <c:v>3.1360817961279936</c:v>
                </c:pt>
                <c:pt idx="169">
                  <c:v>3.1795606018856493</c:v>
                </c:pt>
                <c:pt idx="170">
                  <c:v>3.2240705223187858</c:v>
                </c:pt>
                <c:pt idx="171">
                  <c:v>3.2690405375849454</c:v>
                </c:pt>
                <c:pt idx="172">
                  <c:v>3.3139222562340453</c:v>
                </c:pt>
                <c:pt idx="173">
                  <c:v>3.3581994572544476</c:v>
                </c:pt>
                <c:pt idx="174">
                  <c:v>3.4013973871032173</c:v>
                </c:pt>
                <c:pt idx="175">
                  <c:v>3.4430944351774344</c:v>
                </c:pt>
                <c:pt idx="176">
                  <c:v>3.4829507732234983</c:v>
                </c:pt>
                <c:pt idx="177">
                  <c:v>3.5208140363668319</c:v>
                </c:pt>
                <c:pt idx="178">
                  <c:v>3.5567844100608821</c:v>
                </c:pt>
                <c:pt idx="179">
                  <c:v>3.5920285925069484</c:v>
                </c:pt>
                <c:pt idx="180">
                  <c:v>3.6257507158085298</c:v>
                </c:pt>
                <c:pt idx="181">
                  <c:v>3.6505341859385307</c:v>
                </c:pt>
                <c:pt idx="182">
                  <c:v>3.6748585067557786</c:v>
                </c:pt>
                <c:pt idx="183">
                  <c:v>3.6997130295146463</c:v>
                </c:pt>
                <c:pt idx="184">
                  <c:v>3.7241465598801486</c:v>
                </c:pt>
                <c:pt idx="185">
                  <c:v>3.7482125826383141</c:v>
                </c:pt>
                <c:pt idx="186">
                  <c:v>3.7719123607972813</c:v>
                </c:pt>
                <c:pt idx="187">
                  <c:v>3.795194756102755</c:v>
                </c:pt>
                <c:pt idx="188">
                  <c:v>3.8184159423993362</c:v>
                </c:pt>
                <c:pt idx="189">
                  <c:v>3.8412513235502379</c:v>
                </c:pt>
                <c:pt idx="190">
                  <c:v>3.8635271041522414</c:v>
                </c:pt>
                <c:pt idx="191">
                  <c:v>3.885232505418851</c:v>
                </c:pt>
                <c:pt idx="192">
                  <c:v>3.9063651133281789</c:v>
                </c:pt>
                <c:pt idx="193">
                  <c:v>3.9269287403471269</c:v>
                </c:pt>
                <c:pt idx="194">
                  <c:v>3.9469317245038185</c:v>
                </c:pt>
                <c:pt idx="195">
                  <c:v>3.9663855957361891</c:v>
                </c:pt>
                <c:pt idx="196">
                  <c:v>3.9853040327438043</c:v>
                </c:pt>
                <c:pt idx="197">
                  <c:v>4.0037020463506767</c:v>
                </c:pt>
                <c:pt idx="198">
                  <c:v>4.0215953364160111</c:v>
                </c:pt>
                <c:pt idx="199">
                  <c:v>4.0389997818212269</c:v>
                </c:pt>
                <c:pt idx="200">
                  <c:v>4.0559310324302054</c:v>
                </c:pt>
                <c:pt idx="201">
                  <c:v>4.0724041767844437</c:v>
                </c:pt>
                <c:pt idx="202">
                  <c:v>4.0884334660538668</c:v>
                </c:pt>
                <c:pt idx="203">
                  <c:v>4.1040851001586045</c:v>
                </c:pt>
                <c:pt idx="204">
                  <c:v>4.1193323240783171</c:v>
                </c:pt>
                <c:pt idx="205">
                  <c:v>4.1341760674610422</c:v>
                </c:pt>
                <c:pt idx="206">
                  <c:v>4.1486262094548643</c:v>
                </c:pt>
                <c:pt idx="207">
                  <c:v>4.1627129654204582</c:v>
                </c:pt>
                <c:pt idx="208">
                  <c:v>4.1764876780923519</c:v>
                </c:pt>
                <c:pt idx="209">
                  <c:v>4.1899965624970292</c:v>
                </c:pt>
                <c:pt idx="210">
                  <c:v>4.2032803756610866</c:v>
                </c:pt>
                <c:pt idx="211">
                  <c:v>4.2163754564739913</c:v>
                </c:pt>
                <c:pt idx="212">
                  <c:v>4.2293145565460195</c:v>
                </c:pt>
                <c:pt idx="213">
                  <c:v>4.2421275113598931</c:v>
                </c:pt>
                <c:pt idx="214">
                  <c:v>4.2548417893225681</c:v>
                </c:pt>
                <c:pt idx="215">
                  <c:v>4.2674829455781298</c:v>
                </c:pt>
                <c:pt idx="216">
                  <c:v>4.280075002419327</c:v>
                </c:pt>
                <c:pt idx="217">
                  <c:v>4.2926407723610946</c:v>
                </c:pt>
                <c:pt idx="218">
                  <c:v>4.3052021363807995</c:v>
                </c:pt>
                <c:pt idx="219">
                  <c:v>4.3177802872196178</c:v>
                </c:pt>
                <c:pt idx="220">
                  <c:v>4.3303959460906416</c:v>
                </c:pt>
                <c:pt idx="221">
                  <c:v>4.3430695588482324</c:v>
                </c:pt>
                <c:pt idx="222">
                  <c:v>4.3558214769090435</c:v>
                </c:pt>
                <c:pt idx="223">
                  <c:v>4.3686721277193286</c:v>
                </c:pt>
                <c:pt idx="224">
                  <c:v>4.3816421780399679</c:v>
                </c:pt>
                <c:pt idx="225">
                  <c:v>4.3947526942072406</c:v>
                </c:pt>
                <c:pt idx="226">
                  <c:v>4.4080253014273527</c:v>
                </c:pt>
                <c:pt idx="227">
                  <c:v>4.4214823458442396</c:v>
                </c:pt>
                <c:pt idx="228">
                  <c:v>4.4351470615000146</c:v>
                </c:pt>
                <c:pt idx="229">
                  <c:v>4.4490437453486233</c:v>
                </c:pt>
                <c:pt idx="230">
                  <c:v>4.4631979426684429</c:v>
                </c:pt>
                <c:pt idx="231">
                  <c:v>4.47763664619624</c:v>
                </c:pt>
                <c:pt idx="232">
                  <c:v>4.4923885116438571</c:v>
                </c:pt>
                <c:pt idx="233">
                  <c:v>4.5074840933704232</c:v>
                </c:pt>
                <c:pt idx="234">
                  <c:v>4.5229561035105723</c:v>
                </c:pt>
                <c:pt idx="235">
                  <c:v>4.5388396989514774</c:v>
                </c:pt>
                <c:pt idx="236">
                  <c:v>4.5551728006745789</c:v>
                </c:pt>
                <c:pt idx="237">
                  <c:v>4.5719964505271324</c:v>
                </c:pt>
                <c:pt idx="238">
                  <c:v>4.5893552114704512</c:v>
                </c:pt>
                <c:pt idx="239">
                  <c:v>4.6072976177950018</c:v>
                </c:pt>
                <c:pt idx="240">
                  <c:v>4.6258766828372089</c:v>
                </c:pt>
                <c:pt idx="241">
                  <c:v>4.6451504724480071</c:v>
                </c:pt>
                <c:pt idx="242">
                  <c:v>4.6651827539581818</c:v>
                </c:pt>
                <c:pt idx="243">
                  <c:v>4.6860437306396552</c:v>
                </c:pt>
                <c:pt idx="244">
                  <c:v>4.7078108732658555</c:v>
                </c:pt>
                <c:pt idx="245">
                  <c:v>4.7306211263089235</c:v>
                </c:pt>
                <c:pt idx="246">
                  <c:v>4.7549084189748516</c:v>
                </c:pt>
                <c:pt idx="247">
                  <c:v>4.7803763784926669</c:v>
                </c:pt>
                <c:pt idx="248">
                  <c:v>4.8068921066763561</c:v>
                </c:pt>
                <c:pt idx="249">
                  <c:v>4.8347806204053878</c:v>
                </c:pt>
                <c:pt idx="250">
                  <c:v>4.8641893940367886</c:v>
                </c:pt>
                <c:pt idx="251">
                  <c:v>4.8952691031289115</c:v>
                </c:pt>
                <c:pt idx="252">
                  <c:v>4.9281877675338581</c:v>
                </c:pt>
                <c:pt idx="253">
                  <c:v>4.9623216899201097</c:v>
                </c:pt>
                <c:pt idx="254">
                  <c:v>4.9953576901169692</c:v>
                </c:pt>
                <c:pt idx="255">
                  <c:v>5.0308389205712194</c:v>
                </c:pt>
                <c:pt idx="256">
                  <c:v>5.069059018159785</c:v>
                </c:pt>
                <c:pt idx="257">
                  <c:v>5.1103246628961649</c:v>
                </c:pt>
                <c:pt idx="258">
                  <c:v>5.1541325330315022</c:v>
                </c:pt>
                <c:pt idx="259">
                  <c:v>5.199155932303765</c:v>
                </c:pt>
                <c:pt idx="260">
                  <c:v>5.244283236470098</c:v>
                </c:pt>
                <c:pt idx="261">
                  <c:v>5.2860142153709022</c:v>
                </c:pt>
                <c:pt idx="262">
                  <c:v>5.3191021050759222</c:v>
                </c:pt>
                <c:pt idx="263">
                  <c:v>5.3487069553022195</c:v>
                </c:pt>
                <c:pt idx="264">
                  <c:v>5.3782074548535528</c:v>
                </c:pt>
                <c:pt idx="265">
                  <c:v>5.4074790619227642</c:v>
                </c:pt>
                <c:pt idx="266">
                  <c:v>5.4358016418470969</c:v>
                </c:pt>
                <c:pt idx="267">
                  <c:v>5.4633790648341893</c:v>
                </c:pt>
                <c:pt idx="268">
                  <c:v>5.4900483366489485</c:v>
                </c:pt>
                <c:pt idx="269">
                  <c:v>5.5157145785170911</c:v>
                </c:pt>
                <c:pt idx="270">
                  <c:v>5.5404740666073833</c:v>
                </c:pt>
                <c:pt idx="271">
                  <c:v>5.5656332342648085</c:v>
                </c:pt>
                <c:pt idx="272">
                  <c:v>5.5900518369423509</c:v>
                </c:pt>
                <c:pt idx="273">
                  <c:v>5.6137920127384282</c:v>
                </c:pt>
                <c:pt idx="274">
                  <c:v>5.636703374290855</c:v>
                </c:pt>
                <c:pt idx="275">
                  <c:v>5.6585040459839213</c:v>
                </c:pt>
                <c:pt idx="276">
                  <c:v>5.6790608277252943</c:v>
                </c:pt>
                <c:pt idx="277">
                  <c:v>5.6983528165352668</c:v>
                </c:pt>
                <c:pt idx="278">
                  <c:v>5.7164138583540671</c:v>
                </c:pt>
                <c:pt idx="279">
                  <c:v>5.7332993386513529</c:v>
                </c:pt>
                <c:pt idx="280">
                  <c:v>5.7490429744020961</c:v>
                </c:pt>
                <c:pt idx="281">
                  <c:v>5.7636147421690245</c:v>
                </c:pt>
                <c:pt idx="282">
                  <c:v>5.7772022563824805</c:v>
                </c:pt>
                <c:pt idx="283">
                  <c:v>5.7898343418796641</c:v>
                </c:pt>
                <c:pt idx="284">
                  <c:v>5.801524935690253</c:v>
                </c:pt>
                <c:pt idx="285">
                  <c:v>5.8122704695335381</c:v>
                </c:pt>
                <c:pt idx="286">
                  <c:v>5.8220907460510229</c:v>
                </c:pt>
                <c:pt idx="287">
                  <c:v>5.8311183415006962</c:v>
                </c:pt>
                <c:pt idx="288">
                  <c:v>5.8394805460794785</c:v>
                </c:pt>
                <c:pt idx="289">
                  <c:v>5.8472785384149306</c:v>
                </c:pt>
                <c:pt idx="290">
                  <c:v>5.8545939354601604</c:v>
                </c:pt>
                <c:pt idx="291">
                  <c:v>5.8614934500764395</c:v>
                </c:pt>
                <c:pt idx="292">
                  <c:v>5.8680322685176627</c:v>
                </c:pt>
                <c:pt idx="293">
                  <c:v>5.8742565429893112</c:v>
                </c:pt>
                <c:pt idx="294">
                  <c:v>5.8802052604773074</c:v>
                </c:pt>
                <c:pt idx="295">
                  <c:v>5.8859116641877378</c:v>
                </c:pt>
                <c:pt idx="296">
                  <c:v>5.891404348995481</c:v>
                </c:pt>
                <c:pt idx="297">
                  <c:v>5.896708115916419</c:v>
                </c:pt>
                <c:pt idx="298">
                  <c:v>5.9018446461220329</c:v>
                </c:pt>
                <c:pt idx="299">
                  <c:v>5.9068330382012135</c:v>
                </c:pt>
                <c:pt idx="300">
                  <c:v>5.9116902406626943</c:v>
                </c:pt>
                <c:pt idx="301">
                  <c:v>5.9164314033987466</c:v>
                </c:pt>
                <c:pt idx="302">
                  <c:v>5.9210701658995974</c:v>
                </c:pt>
                <c:pt idx="303">
                  <c:v>5.9256188957106266</c:v>
                </c:pt>
                <c:pt idx="304">
                  <c:v>5.9300888874717144</c:v>
                </c:pt>
                <c:pt idx="305">
                  <c:v>5.9344905305442834</c:v>
                </c:pt>
                <c:pt idx="306">
                  <c:v>5.9388334514840704</c:v>
                </c:pt>
                <c:pt idx="307">
                  <c:v>5.9431266363019146</c:v>
                </c:pt>
                <c:pt idx="308">
                  <c:v>5.9473785364554717</c:v>
                </c:pt>
                <c:pt idx="309">
                  <c:v>5.9515971617489267</c:v>
                </c:pt>
                <c:pt idx="310">
                  <c:v>5.9557901627340666</c:v>
                </c:pt>
                <c:pt idx="311">
                  <c:v>5.9599649047558056</c:v>
                </c:pt>
                <c:pt idx="312">
                  <c:v>5.9641285354390474</c:v>
                </c:pt>
                <c:pt idx="313">
                  <c:v>5.96828804714524</c:v>
                </c:pt>
                <c:pt idx="314">
                  <c:v>5.9724484568664362</c:v>
                </c:pt>
                <c:pt idx="315">
                  <c:v>5.9766019195515296</c:v>
                </c:pt>
                <c:pt idx="316">
                  <c:v>5.9807374667446762</c:v>
                </c:pt>
                <c:pt idx="317">
                  <c:v>5.9848469243318769</c:v>
                </c:pt>
                <c:pt idx="318">
                  <c:v>5.9889243070679132</c:v>
                </c:pt>
                <c:pt idx="319">
                  <c:v>5.9929653338347251</c:v>
                </c:pt>
                <c:pt idx="320">
                  <c:v>5.9969822902947447</c:v>
                </c:pt>
                <c:pt idx="321">
                  <c:v>6.0009693494012453</c:v>
                </c:pt>
                <c:pt idx="322">
                  <c:v>6.0049154284072115</c:v>
                </c:pt>
                <c:pt idx="323">
                  <c:v>6.0088198879727317</c:v>
                </c:pt>
                <c:pt idx="324">
                  <c:v>6.0126826071785056</c:v>
                </c:pt>
                <c:pt idx="325">
                  <c:v>6.0165038682378409</c:v>
                </c:pt>
                <c:pt idx="326">
                  <c:v>6.0202842641698417</c:v>
                </c:pt>
                <c:pt idx="327">
                  <c:v>6.024024624387331</c:v>
                </c:pt>
                <c:pt idx="328">
                  <c:v>6.0277259543314345</c:v>
                </c:pt>
                <c:pt idx="329">
                  <c:v>6.0313893860884757</c:v>
                </c:pt>
                <c:pt idx="330">
                  <c:v>6.0350161375839386</c:v>
                </c:pt>
                <c:pt idx="331">
                  <c:v>6.0386074784526311</c:v>
                </c:pt>
                <c:pt idx="332">
                  <c:v>6.0421647010099422</c:v>
                </c:pt>
                <c:pt idx="333">
                  <c:v>6.0456890950798137</c:v>
                </c:pt>
                <c:pt idx="334">
                  <c:v>6.0491819256129418</c:v>
                </c:pt>
                <c:pt idx="335">
                  <c:v>6.0526444122046703</c:v>
                </c:pt>
                <c:pt idx="336">
                  <c:v>6.0560777097428469</c:v>
                </c:pt>
                <c:pt idx="337">
                  <c:v>6.0594828895228749</c:v>
                </c:pt>
                <c:pt idx="338">
                  <c:v>6.0628609202117172</c:v>
                </c:pt>
                <c:pt idx="339">
                  <c:v>6.0662126481680012</c:v>
                </c:pt>
                <c:pt idx="340">
                  <c:v>6.0695387766619211</c:v>
                </c:pt>
                <c:pt idx="341">
                  <c:v>6.0728398437049034</c:v>
                </c:pt>
                <c:pt idx="342">
                  <c:v>6.0761161984198475</c:v>
                </c:pt>
                <c:pt idx="343">
                  <c:v>6.0793679762697286</c:v>
                </c:pt>
                <c:pt idx="344">
                  <c:v>6.0825950742380606</c:v>
                </c:pt>
                <c:pt idx="345">
                  <c:v>6.0857971284609258</c:v>
                </c:pt>
                <c:pt idx="346">
                  <c:v>6.08897349946026</c:v>
                </c:pt>
                <c:pt idx="347">
                  <c:v>6.0921232753614731</c:v>
                </c:pt>
                <c:pt idx="348">
                  <c:v>6.0952453136994134</c:v>
                </c:pt>
                <c:pt idx="349">
                  <c:v>6.0983383635685184</c:v>
                </c:pt>
                <c:pt idx="350">
                  <c:v>6.1014013550131256</c:v>
                </c:pt>
                <c:pt idx="351">
                  <c:v>6.1044340439966254</c:v>
                </c:pt>
                <c:pt idx="352">
                  <c:v>6.1074379811754795</c:v>
                </c:pt>
                <c:pt idx="353">
                  <c:v>6.1104157253315616</c:v>
                </c:pt>
                <c:pt idx="354">
                  <c:v>6.1133698092086064</c:v>
                </c:pt>
                <c:pt idx="355">
                  <c:v>6.1163026904448907</c:v>
                </c:pt>
                <c:pt idx="356">
                  <c:v>6.1192167605330647</c:v>
                </c:pt>
                <c:pt idx="357">
                  <c:v>6.1221143533163458</c:v>
                </c:pt>
                <c:pt idx="358">
                  <c:v>6.1249977530870989</c:v>
                </c:pt>
                <c:pt idx="359">
                  <c:v>6.1278692023615209</c:v>
                </c:pt>
                <c:pt idx="360">
                  <c:v>6.1307309093707536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A6-4C1C-8104-DDB130C453A2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1.2330359753468976</c:v>
                </c:pt>
              </c:numCache>
            </c:numRef>
          </c:xVal>
          <c:yVal>
            <c:numRef>
              <c:f>L_Section_Capacity!$U$7</c:f>
              <c:numCache>
                <c:formatCode>0.000E+00</c:formatCode>
                <c:ptCount val="1"/>
                <c:pt idx="0">
                  <c:v>0.46364760892927465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5A6-4C1C-8104-DDB130C453A2}"/>
            </c:ext>
          </c:extLst>
        </c:ser>
        <c:ser>
          <c:idx val="2"/>
          <c:order val="2"/>
          <c:tx>
            <c:v>2*pi bounding box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L_Section_Capacity!$AD$37:$AD$41</c:f>
              <c:numCache>
                <c:formatCode>General</c:formatCode>
                <c:ptCount val="5"/>
                <c:pt idx="0">
                  <c:v>0</c:v>
                </c:pt>
                <c:pt idx="1">
                  <c:v>6.2831853071795862</c:v>
                </c:pt>
                <c:pt idx="2">
                  <c:v>6.2831853071795862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L_Section_Capacity!$AE$37:$AE$41</c:f>
              <c:numCache>
                <c:formatCode>General</c:formatCode>
                <c:ptCount val="5"/>
                <c:pt idx="0">
                  <c:v>6.2831853071795862</c:v>
                </c:pt>
                <c:pt idx="1">
                  <c:v>6.2831853071795862</c:v>
                </c:pt>
                <c:pt idx="2">
                  <c:v>0</c:v>
                </c:pt>
                <c:pt idx="3">
                  <c:v>0</c:v>
                </c:pt>
                <c:pt idx="4">
                  <c:v>6.2831853071795862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5A6-4C1C-8104-DDB130C453A2}"/>
            </c:ext>
          </c:extLst>
        </c:ser>
        <c:ser>
          <c:idx val="3"/>
          <c:order val="3"/>
          <c:tx>
            <c:v>alphavtan-interior reference 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L_Section_Capacity!$BW$15:$BW$375</c:f>
              <c:numCache>
                <c:formatCode>0.000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L_Section_Capacity!$CC$15:$CC$375</c:f>
              <c:numCache>
                <c:formatCode>0.000</c:formatCode>
                <c:ptCount val="361"/>
                <c:pt idx="0">
                  <c:v>2.9891382557805679</c:v>
                </c:pt>
                <c:pt idx="1">
                  <c:v>2.9919161815621313</c:v>
                </c:pt>
                <c:pt idx="2">
                  <c:v>2.994691430164703</c:v>
                </c:pt>
                <c:pt idx="3">
                  <c:v>2.9974660999587219</c:v>
                </c:pt>
                <c:pt idx="4">
                  <c:v>3.0002422913789499</c:v>
                </c:pt>
                <c:pt idx="5">
                  <c:v>3.0030221137805895</c:v>
                </c:pt>
                <c:pt idx="6">
                  <c:v>3.0058076923767758</c:v>
                </c:pt>
                <c:pt idx="7">
                  <c:v>3.0086011753258468</c:v>
                </c:pt>
                <c:pt idx="8">
                  <c:v>3.0114047410120866</c:v>
                </c:pt>
                <c:pt idx="9">
                  <c:v>3.0142206055781213</c:v>
                </c:pt>
                <c:pt idx="10">
                  <c:v>3.0170509828265826</c:v>
                </c:pt>
                <c:pt idx="11">
                  <c:v>3.0198972442966254</c:v>
                </c:pt>
                <c:pt idx="12">
                  <c:v>3.0227593069149337</c:v>
                </c:pt>
                <c:pt idx="13">
                  <c:v>3.0256364449273017</c:v>
                </c:pt>
                <c:pt idx="14">
                  <c:v>3.0285278119633405</c:v>
                </c:pt>
                <c:pt idx="15">
                  <c:v>3.0314326655421926</c:v>
                </c:pt>
                <c:pt idx="16">
                  <c:v>3.0343504554283927</c:v>
                </c:pt>
                <c:pt idx="17">
                  <c:v>3.0372808486753833</c:v>
                </c:pt>
                <c:pt idx="18">
                  <c:v>3.0402237254786812</c:v>
                </c:pt>
                <c:pt idx="19">
                  <c:v>3.0431791622614472</c:v>
                </c:pt>
                <c:pt idx="20">
                  <c:v>3.0461474099278889</c:v>
                </c:pt>
                <c:pt idx="21">
                  <c:v>3.0491288710917432</c:v>
                </c:pt>
                <c:pt idx="22">
                  <c:v>3.0521240779798284</c:v>
                </c:pt>
                <c:pt idx="23">
                  <c:v>3.0551336716415776</c:v>
                </c:pt>
                <c:pt idx="24">
                  <c:v>3.0581583825570213</c:v>
                </c:pt>
                <c:pt idx="25">
                  <c:v>3.0611990124407593</c:v>
                </c:pt>
                <c:pt idx="26">
                  <c:v>3.0642564168875817</c:v>
                </c:pt>
                <c:pt idx="27">
                  <c:v>3.0673373366576535</c:v>
                </c:pt>
                <c:pt idx="28">
                  <c:v>3.0704547305416248</c:v>
                </c:pt>
                <c:pt idx="29">
                  <c:v>3.0735913787128952</c:v>
                </c:pt>
                <c:pt idx="30">
                  <c:v>3.0767483392783168</c:v>
                </c:pt>
                <c:pt idx="31">
                  <c:v>3.079926644184158</c:v>
                </c:pt>
                <c:pt idx="32">
                  <c:v>3.0831272782089991</c:v>
                </c:pt>
                <c:pt idx="33">
                  <c:v>3.0863511547575873</c:v>
                </c:pt>
                <c:pt idx="34">
                  <c:v>3.0895990874455772</c:v>
                </c:pt>
                <c:pt idx="35">
                  <c:v>3.092871756244957</c:v>
                </c:pt>
                <c:pt idx="36">
                  <c:v>3.0961696666812966</c:v>
                </c:pt>
                <c:pt idx="37">
                  <c:v>3.0994931002021322</c:v>
                </c:pt>
                <c:pt idx="38">
                  <c:v>3.1028420533479126</c:v>
                </c:pt>
                <c:pt idx="39">
                  <c:v>3.1062161627190079</c:v>
                </c:pt>
                <c:pt idx="40">
                  <c:v>3.1096146118787522</c:v>
                </c:pt>
                <c:pt idx="41">
                  <c:v>3.1130360152050396</c:v>
                </c:pt>
                <c:pt idx="42">
                  <c:v>3.1164782721733317</c:v>
                </c:pt>
                <c:pt idx="43">
                  <c:v>3.1199383835034853</c:v>
                </c:pt>
                <c:pt idx="44">
                  <c:v>3.123412217766468</c:v>
                </c:pt>
                <c:pt idx="45">
                  <c:v>3.126894213147799</c:v>
                </c:pt>
                <c:pt idx="46">
                  <c:v>3.1303769935618226</c:v>
                </c:pt>
                <c:pt idx="47">
                  <c:v>3.1338508705083608</c:v>
                </c:pt>
                <c:pt idx="48">
                  <c:v>3.1373058399795424</c:v>
                </c:pt>
                <c:pt idx="49">
                  <c:v>-3.1415748223522928</c:v>
                </c:pt>
                <c:pt idx="50">
                  <c:v>-3.1371245353519104</c:v>
                </c:pt>
                <c:pt idx="51">
                  <c:v>-3.132707731462109</c:v>
                </c:pt>
                <c:pt idx="52">
                  <c:v>-3.1283180231966958</c:v>
                </c:pt>
                <c:pt idx="53">
                  <c:v>-3.1239490712862708</c:v>
                </c:pt>
                <c:pt idx="54">
                  <c:v>-3.1195945370492502</c:v>
                </c:pt>
                <c:pt idx="55">
                  <c:v>-3.1152480329228074</c:v>
                </c:pt>
                <c:pt idx="56">
                  <c:v>-3.1107283444828822</c:v>
                </c:pt>
                <c:pt idx="57">
                  <c:v>-3.1056835379076464</c:v>
                </c:pt>
                <c:pt idx="58">
                  <c:v>-3.1006251250449028</c:v>
                </c:pt>
                <c:pt idx="59">
                  <c:v>-3.0955451984677795</c:v>
                </c:pt>
                <c:pt idx="60">
                  <c:v>-3.0904354976553523</c:v>
                </c:pt>
                <c:pt idx="61">
                  <c:v>-3.0852873215169394</c:v>
                </c:pt>
                <c:pt idx="62">
                  <c:v>-3.0800914276238518</c:v>
                </c:pt>
                <c:pt idx="63">
                  <c:v>-3.0748379145641045</c:v>
                </c:pt>
                <c:pt idx="64">
                  <c:v>-3.0695351385478871</c:v>
                </c:pt>
                <c:pt idx="65">
                  <c:v>-3.064216991452414</c:v>
                </c:pt>
                <c:pt idx="66">
                  <c:v>-3.0588098939831814</c:v>
                </c:pt>
                <c:pt idx="67">
                  <c:v>-3.0532986577716166</c:v>
                </c:pt>
                <c:pt idx="68">
                  <c:v>-3.0476661345805112</c:v>
                </c:pt>
                <c:pt idx="69">
                  <c:v>-3.0418927511845646</c:v>
                </c:pt>
                <c:pt idx="70">
                  <c:v>-3.0359559087141808</c:v>
                </c:pt>
                <c:pt idx="71">
                  <c:v>-3.0298291947622644</c:v>
                </c:pt>
                <c:pt idx="72">
                  <c:v>-3.0234813323147183</c:v>
                </c:pt>
                <c:pt idx="73">
                  <c:v>-3.0168747512526308</c:v>
                </c:pt>
                <c:pt idx="74">
                  <c:v>-3.0099636066838849</c:v>
                </c:pt>
                <c:pt idx="75">
                  <c:v>-3.0026909659943293</c:v>
                </c:pt>
                <c:pt idx="76">
                  <c:v>-2.9949847112050594</c:v>
                </c:pt>
                <c:pt idx="77">
                  <c:v>-2.9867513915890473</c:v>
                </c:pt>
                <c:pt idx="78">
                  <c:v>-2.9778666840999115</c:v>
                </c:pt>
                <c:pt idx="79">
                  <c:v>-2.9681602079793805</c:v>
                </c:pt>
                <c:pt idx="80">
                  <c:v>-2.9574454500179543</c:v>
                </c:pt>
                <c:pt idx="81">
                  <c:v>-2.9460842033705941</c:v>
                </c:pt>
                <c:pt idx="82">
                  <c:v>-2.933737339847879</c:v>
                </c:pt>
                <c:pt idx="83">
                  <c:v>-2.9202006641440708</c:v>
                </c:pt>
                <c:pt idx="84">
                  <c:v>-2.905306718480456</c:v>
                </c:pt>
                <c:pt idx="85">
                  <c:v>-2.8888535166042879</c:v>
                </c:pt>
                <c:pt idx="86">
                  <c:v>-2.8706115923926463</c:v>
                </c:pt>
                <c:pt idx="87">
                  <c:v>-2.8503558136879614</c:v>
                </c:pt>
                <c:pt idx="88">
                  <c:v>-2.8279623695512206</c:v>
                </c:pt>
                <c:pt idx="89">
                  <c:v>-2.8035291983999615</c:v>
                </c:pt>
                <c:pt idx="90">
                  <c:v>-2.7768893919047226</c:v>
                </c:pt>
                <c:pt idx="91">
                  <c:v>-2.7195321327104165</c:v>
                </c:pt>
                <c:pt idx="92">
                  <c:v>-2.6459561649254679</c:v>
                </c:pt>
                <c:pt idx="93">
                  <c:v>-2.5522184208359397</c:v>
                </c:pt>
                <c:pt idx="94">
                  <c:v>-2.4374350317573787</c:v>
                </c:pt>
                <c:pt idx="95">
                  <c:v>-2.2872783702490413</c:v>
                </c:pt>
                <c:pt idx="96">
                  <c:v>-2.0902338638643752</c:v>
                </c:pt>
                <c:pt idx="97">
                  <c:v>-1.8876573351962149</c:v>
                </c:pt>
                <c:pt idx="98">
                  <c:v>-1.7079870419136032</c:v>
                </c:pt>
                <c:pt idx="99">
                  <c:v>-1.5559393025074695</c:v>
                </c:pt>
                <c:pt idx="100">
                  <c:v>-1.4303175037359763</c:v>
                </c:pt>
                <c:pt idx="101">
                  <c:v>-1.3272344866759307</c:v>
                </c:pt>
                <c:pt idx="102">
                  <c:v>-1.2423345143971043</c:v>
                </c:pt>
                <c:pt idx="103">
                  <c:v>-1.1717633733445785</c:v>
                </c:pt>
                <c:pt idx="104">
                  <c:v>-1.1124154680528564</c:v>
                </c:pt>
                <c:pt idx="105">
                  <c:v>-1.061885441708422</c:v>
                </c:pt>
                <c:pt idx="106">
                  <c:v>-1.0183367988407264</c:v>
                </c:pt>
                <c:pt idx="107">
                  <c:v>-0.98036967843363287</c:v>
                </c:pt>
                <c:pt idx="108">
                  <c:v>-0.94691182250306849</c:v>
                </c:pt>
                <c:pt idx="109">
                  <c:v>-0.9171351604445247</c:v>
                </c:pt>
                <c:pt idx="110">
                  <c:v>-0.89039394112501091</c:v>
                </c:pt>
                <c:pt idx="111">
                  <c:v>-0.86617936049471733</c:v>
                </c:pt>
                <c:pt idx="112">
                  <c:v>-0.84408632784962567</c:v>
                </c:pt>
                <c:pt idx="113">
                  <c:v>-0.82378902445427926</c:v>
                </c:pt>
                <c:pt idx="114">
                  <c:v>-0.80502280410666049</c:v>
                </c:pt>
                <c:pt idx="115">
                  <c:v>-0.7875706765656334</c:v>
                </c:pt>
                <c:pt idx="116">
                  <c:v>-0.77125312177043293</c:v>
                </c:pt>
                <c:pt idx="117">
                  <c:v>-0.75592034122307594</c:v>
                </c:pt>
                <c:pt idx="118">
                  <c:v>-0.7414463088939286</c:v>
                </c:pt>
                <c:pt idx="119">
                  <c:v>-0.72772416084729674</c:v>
                </c:pt>
                <c:pt idx="120">
                  <c:v>-0.71466259083947703</c:v>
                </c:pt>
                <c:pt idx="121">
                  <c:v>-0.70218300736235495</c:v>
                </c:pt>
                <c:pt idx="122">
                  <c:v>-0.68997526354102823</c:v>
                </c:pt>
                <c:pt idx="123">
                  <c:v>-0.67820137356493648</c:v>
                </c:pt>
                <c:pt idx="124">
                  <c:v>-0.66682250323887826</c:v>
                </c:pt>
                <c:pt idx="125">
                  <c:v>-0.65579259766005427</c:v>
                </c:pt>
                <c:pt idx="126">
                  <c:v>-0.64507051937923177</c:v>
                </c:pt>
                <c:pt idx="127">
                  <c:v>-0.63461924370272416</c:v>
                </c:pt>
                <c:pt idx="128">
                  <c:v>-0.62440518516740295</c:v>
                </c:pt>
                <c:pt idx="129">
                  <c:v>-0.61439762934221664</c:v>
                </c:pt>
                <c:pt idx="130">
                  <c:v>-0.60456824772244677</c:v>
                </c:pt>
                <c:pt idx="131">
                  <c:v>-0.59489067907929316</c:v>
                </c:pt>
                <c:pt idx="132">
                  <c:v>-0.58534016367689901</c:v>
                </c:pt>
                <c:pt idx="133">
                  <c:v>-0.57589321850171238</c:v>
                </c:pt>
                <c:pt idx="134">
                  <c:v>-0.56652734446867892</c:v>
                </c:pt>
                <c:pt idx="135">
                  <c:v>-0.55722075749932753</c:v>
                </c:pt>
                <c:pt idx="136">
                  <c:v>-0.54795213608518567</c:v>
                </c:pt>
                <c:pt idx="137">
                  <c:v>-0.53870037945199534</c:v>
                </c:pt>
                <c:pt idx="138">
                  <c:v>-0.52944437001457723</c:v>
                </c:pt>
                <c:pt idx="139">
                  <c:v>-0.52016273456581974</c:v>
                </c:pt>
                <c:pt idx="140">
                  <c:v>-0.51083359834930342</c:v>
                </c:pt>
                <c:pt idx="141">
                  <c:v>-0.50143432594887982</c:v>
                </c:pt>
                <c:pt idx="142">
                  <c:v>-0.49194124239912917</c:v>
                </c:pt>
                <c:pt idx="143">
                  <c:v>-0.48232932697196645</c:v>
                </c:pt>
                <c:pt idx="144">
                  <c:v>-0.47257187121128175</c:v>
                </c:pt>
                <c:pt idx="145">
                  <c:v>-0.46264009095464742</c:v>
                </c:pt>
                <c:pt idx="146">
                  <c:v>-0.45250268027237311</c:v>
                </c:pt>
                <c:pt idx="147">
                  <c:v>-0.4421252921802668</c:v>
                </c:pt>
                <c:pt idx="148">
                  <c:v>-0.43146992813476326</c:v>
                </c:pt>
                <c:pt idx="149">
                  <c:v>-0.42050562782650308</c:v>
                </c:pt>
                <c:pt idx="150">
                  <c:v>-0.40937430664555891</c:v>
                </c:pt>
                <c:pt idx="151">
                  <c:v>-0.39780811089274754</c:v>
                </c:pt>
                <c:pt idx="152">
                  <c:v>-0.38574483428737211</c:v>
                </c:pt>
                <c:pt idx="153">
                  <c:v>-0.3731129845560498</c:v>
                </c:pt>
                <c:pt idx="154">
                  <c:v>-0.35982982833405297</c:v>
                </c:pt>
                <c:pt idx="155">
                  <c:v>-0.34579895965344931</c:v>
                </c:pt>
                <c:pt idx="156">
                  <c:v>-0.33090725423181505</c:v>
                </c:pt>
                <c:pt idx="157">
                  <c:v>-0.31502102688269695</c:v>
                </c:pt>
                <c:pt idx="158">
                  <c:v>-0.2979811487262265</c:v>
                </c:pt>
                <c:pt idx="159">
                  <c:v>-0.27959679823200467</c:v>
                </c:pt>
                <c:pt idx="160">
                  <c:v>-0.2596374083775761</c:v>
                </c:pt>
                <c:pt idx="161">
                  <c:v>-0.23782222135832012</c:v>
                </c:pt>
                <c:pt idx="162">
                  <c:v>-0.2138066621181349</c:v>
                </c:pt>
                <c:pt idx="163">
                  <c:v>-0.18716448383722709</c:v>
                </c:pt>
                <c:pt idx="164">
                  <c:v>-0.1573643254051427</c:v>
                </c:pt>
                <c:pt idx="165">
                  <c:v>-0.12389295969790477</c:v>
                </c:pt>
                <c:pt idx="166">
                  <c:v>-8.7032036731473625E-2</c:v>
                </c:pt>
                <c:pt idx="167">
                  <c:v>-4.7374201050370802E-2</c:v>
                </c:pt>
                <c:pt idx="168">
                  <c:v>-5.5108574617993766E-3</c:v>
                </c:pt>
                <c:pt idx="169">
                  <c:v>3.796794829585632E-2</c:v>
                </c:pt>
                <c:pt idx="170">
                  <c:v>8.2477868728992682E-2</c:v>
                </c:pt>
                <c:pt idx="171">
                  <c:v>0.12744788399515222</c:v>
                </c:pt>
                <c:pt idx="172">
                  <c:v>0.17232960264425246</c:v>
                </c:pt>
                <c:pt idx="173">
                  <c:v>0.21660680366465432</c:v>
                </c:pt>
                <c:pt idx="174">
                  <c:v>0.25980473351342398</c:v>
                </c:pt>
                <c:pt idx="175">
                  <c:v>0.30150178158764135</c:v>
                </c:pt>
                <c:pt idx="176">
                  <c:v>0.3413581196337051</c:v>
                </c:pt>
                <c:pt idx="177">
                  <c:v>0.3792213827770386</c:v>
                </c:pt>
                <c:pt idx="178">
                  <c:v>0.4151917564710888</c:v>
                </c:pt>
                <c:pt idx="179">
                  <c:v>0.45043593891715544</c:v>
                </c:pt>
                <c:pt idx="180">
                  <c:v>0.48415806221873647</c:v>
                </c:pt>
                <c:pt idx="181">
                  <c:v>0.5089415323487374</c:v>
                </c:pt>
                <c:pt idx="182">
                  <c:v>0.53326585316598563</c:v>
                </c:pt>
                <c:pt idx="183">
                  <c:v>0.55812037592485331</c:v>
                </c:pt>
                <c:pt idx="184">
                  <c:v>0.58255390629035553</c:v>
                </c:pt>
                <c:pt idx="185">
                  <c:v>0.60661992904852091</c:v>
                </c:pt>
                <c:pt idx="186">
                  <c:v>0.63031970720748798</c:v>
                </c:pt>
                <c:pt idx="187">
                  <c:v>0.6536021025129618</c:v>
                </c:pt>
                <c:pt idx="188">
                  <c:v>0.67682328880954323</c:v>
                </c:pt>
                <c:pt idx="189">
                  <c:v>0.6996586699604449</c:v>
                </c:pt>
                <c:pt idx="190">
                  <c:v>0.72193445056244843</c:v>
                </c:pt>
                <c:pt idx="191">
                  <c:v>0.7436398518290579</c:v>
                </c:pt>
                <c:pt idx="192">
                  <c:v>0.7647724597383857</c:v>
                </c:pt>
                <c:pt idx="193">
                  <c:v>0.78533608675733402</c:v>
                </c:pt>
                <c:pt idx="194">
                  <c:v>0.80533907091402523</c:v>
                </c:pt>
                <c:pt idx="195">
                  <c:v>0.82479294214639598</c:v>
                </c:pt>
                <c:pt idx="196">
                  <c:v>0.8437113791540114</c:v>
                </c:pt>
                <c:pt idx="197">
                  <c:v>0.86210939276088372</c:v>
                </c:pt>
                <c:pt idx="198">
                  <c:v>0.88000268282621841</c:v>
                </c:pt>
                <c:pt idx="199">
                  <c:v>0.8974071282314332</c:v>
                </c:pt>
                <c:pt idx="200">
                  <c:v>0.91433837884041169</c:v>
                </c:pt>
                <c:pt idx="201">
                  <c:v>0.93081152319465066</c:v>
                </c:pt>
                <c:pt idx="202">
                  <c:v>0.94684081246407359</c:v>
                </c:pt>
                <c:pt idx="203">
                  <c:v>0.9624924465688115</c:v>
                </c:pt>
                <c:pt idx="204">
                  <c:v>0.97773967048852384</c:v>
                </c:pt>
                <c:pt idx="205">
                  <c:v>0.99258341387124904</c:v>
                </c:pt>
                <c:pt idx="206">
                  <c:v>1.0070335558650712</c:v>
                </c:pt>
                <c:pt idx="207">
                  <c:v>1.0211203118306651</c:v>
                </c:pt>
                <c:pt idx="208">
                  <c:v>1.0348950245025588</c:v>
                </c:pt>
                <c:pt idx="209">
                  <c:v>1.0484039089072357</c:v>
                </c:pt>
                <c:pt idx="210">
                  <c:v>1.0616877220712935</c:v>
                </c:pt>
                <c:pt idx="211">
                  <c:v>1.0747828028841979</c:v>
                </c:pt>
                <c:pt idx="212">
                  <c:v>1.0877219029562266</c:v>
                </c:pt>
                <c:pt idx="213">
                  <c:v>1.1005348577700995</c:v>
                </c:pt>
                <c:pt idx="214">
                  <c:v>1.113249135732775</c:v>
                </c:pt>
                <c:pt idx="215">
                  <c:v>1.1258902919883365</c:v>
                </c:pt>
                <c:pt idx="216">
                  <c:v>1.1384823488295339</c:v>
                </c:pt>
                <c:pt idx="217">
                  <c:v>1.1510481187713015</c:v>
                </c:pt>
                <c:pt idx="218">
                  <c:v>1.1636094827910066</c:v>
                </c:pt>
                <c:pt idx="219">
                  <c:v>1.1761876336298245</c:v>
                </c:pt>
                <c:pt idx="220">
                  <c:v>1.1888032925008485</c:v>
                </c:pt>
                <c:pt idx="221">
                  <c:v>1.2014769052584391</c:v>
                </c:pt>
                <c:pt idx="222">
                  <c:v>1.2142288233192504</c:v>
                </c:pt>
                <c:pt idx="223">
                  <c:v>1.227079474129535</c:v>
                </c:pt>
                <c:pt idx="224">
                  <c:v>1.2400495244501752</c:v>
                </c:pt>
                <c:pt idx="225">
                  <c:v>1.2531600406174475</c:v>
                </c:pt>
                <c:pt idx="226">
                  <c:v>1.2664326478375598</c:v>
                </c:pt>
                <c:pt idx="227">
                  <c:v>1.2798896922544465</c:v>
                </c:pt>
                <c:pt idx="228">
                  <c:v>1.2935544079102217</c:v>
                </c:pt>
                <c:pt idx="229">
                  <c:v>1.3074510917588307</c:v>
                </c:pt>
                <c:pt idx="230">
                  <c:v>1.32160528907865</c:v>
                </c:pt>
                <c:pt idx="231">
                  <c:v>1.3360439926064469</c:v>
                </c:pt>
                <c:pt idx="232">
                  <c:v>1.3507958580540638</c:v>
                </c:pt>
                <c:pt idx="233">
                  <c:v>1.3658914397806299</c:v>
                </c:pt>
                <c:pt idx="234">
                  <c:v>1.381363449920779</c:v>
                </c:pt>
                <c:pt idx="235">
                  <c:v>1.3972470453616841</c:v>
                </c:pt>
                <c:pt idx="236">
                  <c:v>1.413580147084786</c:v>
                </c:pt>
                <c:pt idx="237">
                  <c:v>1.4304037969373395</c:v>
                </c:pt>
                <c:pt idx="238">
                  <c:v>1.4477625578806579</c:v>
                </c:pt>
                <c:pt idx="239">
                  <c:v>1.4657049642052087</c:v>
                </c:pt>
                <c:pt idx="240">
                  <c:v>1.484284029247416</c:v>
                </c:pt>
                <c:pt idx="241">
                  <c:v>1.5035578188582142</c:v>
                </c:pt>
                <c:pt idx="242">
                  <c:v>1.5235901003683885</c:v>
                </c:pt>
                <c:pt idx="243">
                  <c:v>1.5444510770498616</c:v>
                </c:pt>
                <c:pt idx="244">
                  <c:v>1.5662182196760621</c:v>
                </c:pt>
                <c:pt idx="245">
                  <c:v>1.5890284727191302</c:v>
                </c:pt>
                <c:pt idx="246">
                  <c:v>1.6133157653850585</c:v>
                </c:pt>
                <c:pt idx="247">
                  <c:v>1.6387837249028741</c:v>
                </c:pt>
                <c:pt idx="248">
                  <c:v>1.6652994530865628</c:v>
                </c:pt>
                <c:pt idx="249">
                  <c:v>1.6931879668155947</c:v>
                </c:pt>
                <c:pt idx="250">
                  <c:v>1.722596740446996</c:v>
                </c:pt>
                <c:pt idx="251">
                  <c:v>1.7536764495391184</c:v>
                </c:pt>
                <c:pt idx="252">
                  <c:v>1.7865951139440646</c:v>
                </c:pt>
                <c:pt idx="253">
                  <c:v>1.8207290363303161</c:v>
                </c:pt>
                <c:pt idx="254">
                  <c:v>1.8537650365271761</c:v>
                </c:pt>
                <c:pt idx="255">
                  <c:v>1.8892462669814265</c:v>
                </c:pt>
                <c:pt idx="256">
                  <c:v>1.9274663645699919</c:v>
                </c:pt>
                <c:pt idx="257">
                  <c:v>1.9687320093063723</c:v>
                </c:pt>
                <c:pt idx="258">
                  <c:v>2.0125398794417091</c:v>
                </c:pt>
                <c:pt idx="259">
                  <c:v>2.0575632787139719</c:v>
                </c:pt>
                <c:pt idx="260">
                  <c:v>2.1026905828803049</c:v>
                </c:pt>
                <c:pt idx="261">
                  <c:v>2.1444215617811087</c:v>
                </c:pt>
                <c:pt idx="262">
                  <c:v>2.1775094514861295</c:v>
                </c:pt>
                <c:pt idx="263">
                  <c:v>2.2071143017124268</c:v>
                </c:pt>
                <c:pt idx="264">
                  <c:v>2.2366148012637592</c:v>
                </c:pt>
                <c:pt idx="265">
                  <c:v>2.2658864083329711</c:v>
                </c:pt>
                <c:pt idx="266">
                  <c:v>2.2942089882573033</c:v>
                </c:pt>
                <c:pt idx="267">
                  <c:v>2.3217864112443962</c:v>
                </c:pt>
                <c:pt idx="268">
                  <c:v>2.3484556830591554</c:v>
                </c:pt>
                <c:pt idx="269">
                  <c:v>2.374121924927298</c:v>
                </c:pt>
                <c:pt idx="270">
                  <c:v>2.3988814130175902</c:v>
                </c:pt>
                <c:pt idx="271">
                  <c:v>2.4240405806750149</c:v>
                </c:pt>
                <c:pt idx="272">
                  <c:v>2.4484591833525577</c:v>
                </c:pt>
                <c:pt idx="273">
                  <c:v>2.4721993591486351</c:v>
                </c:pt>
                <c:pt idx="274">
                  <c:v>2.4951107207010619</c:v>
                </c:pt>
                <c:pt idx="275">
                  <c:v>2.5169113923941282</c:v>
                </c:pt>
                <c:pt idx="276">
                  <c:v>2.5374681741355012</c:v>
                </c:pt>
                <c:pt idx="277">
                  <c:v>2.5567601629454737</c:v>
                </c:pt>
                <c:pt idx="278">
                  <c:v>2.574821204764274</c:v>
                </c:pt>
                <c:pt idx="279">
                  <c:v>2.5917066850615598</c:v>
                </c:pt>
                <c:pt idx="280">
                  <c:v>2.607450320812303</c:v>
                </c:pt>
                <c:pt idx="281">
                  <c:v>2.6220220885792314</c:v>
                </c:pt>
                <c:pt idx="282">
                  <c:v>2.635609602792687</c:v>
                </c:pt>
                <c:pt idx="283">
                  <c:v>2.6482416882898709</c:v>
                </c:pt>
                <c:pt idx="284">
                  <c:v>2.6599322821004603</c:v>
                </c:pt>
                <c:pt idx="285">
                  <c:v>2.670677815943745</c:v>
                </c:pt>
                <c:pt idx="286">
                  <c:v>2.6804980924612298</c:v>
                </c:pt>
                <c:pt idx="287">
                  <c:v>2.6895256879109031</c:v>
                </c:pt>
                <c:pt idx="288">
                  <c:v>2.6978878924896859</c:v>
                </c:pt>
                <c:pt idx="289">
                  <c:v>2.7056858848251371</c:v>
                </c:pt>
                <c:pt idx="290">
                  <c:v>2.7130012818703673</c:v>
                </c:pt>
                <c:pt idx="291">
                  <c:v>2.7199007964866464</c:v>
                </c:pt>
                <c:pt idx="292">
                  <c:v>2.7264396149278691</c:v>
                </c:pt>
                <c:pt idx="293">
                  <c:v>2.7326638893995181</c:v>
                </c:pt>
                <c:pt idx="294">
                  <c:v>2.7386126068875143</c:v>
                </c:pt>
                <c:pt idx="295">
                  <c:v>2.7443190105979447</c:v>
                </c:pt>
                <c:pt idx="296">
                  <c:v>2.7498116954056875</c:v>
                </c:pt>
                <c:pt idx="297">
                  <c:v>2.7551154623266259</c:v>
                </c:pt>
                <c:pt idx="298">
                  <c:v>2.7602519925322397</c:v>
                </c:pt>
                <c:pt idx="299">
                  <c:v>2.7652403846114209</c:v>
                </c:pt>
                <c:pt idx="300">
                  <c:v>2.7700975870729012</c:v>
                </c:pt>
                <c:pt idx="301">
                  <c:v>2.7748387498089535</c:v>
                </c:pt>
                <c:pt idx="302">
                  <c:v>2.7794775123098048</c:v>
                </c:pt>
                <c:pt idx="303">
                  <c:v>2.7840262421208335</c:v>
                </c:pt>
                <c:pt idx="304">
                  <c:v>2.7884962338819212</c:v>
                </c:pt>
                <c:pt idx="305">
                  <c:v>2.7928978769544903</c:v>
                </c:pt>
                <c:pt idx="306">
                  <c:v>2.7972407978942773</c:v>
                </c:pt>
                <c:pt idx="307">
                  <c:v>2.8015339827121215</c:v>
                </c:pt>
                <c:pt idx="308">
                  <c:v>2.8057858828656785</c:v>
                </c:pt>
                <c:pt idx="309">
                  <c:v>2.8100045081591336</c:v>
                </c:pt>
                <c:pt idx="310">
                  <c:v>2.8141975091442735</c:v>
                </c:pt>
                <c:pt idx="311">
                  <c:v>2.8183722511660125</c:v>
                </c:pt>
                <c:pt idx="312">
                  <c:v>2.8225358818492539</c:v>
                </c:pt>
                <c:pt idx="313">
                  <c:v>2.8266953935554469</c:v>
                </c:pt>
                <c:pt idx="314">
                  <c:v>2.8308558032766431</c:v>
                </c:pt>
                <c:pt idx="315">
                  <c:v>2.8350092659617365</c:v>
                </c:pt>
                <c:pt idx="316">
                  <c:v>2.8391448131548835</c:v>
                </c:pt>
                <c:pt idx="317">
                  <c:v>2.8432542707420843</c:v>
                </c:pt>
                <c:pt idx="318">
                  <c:v>2.8473316534781201</c:v>
                </c:pt>
                <c:pt idx="319">
                  <c:v>2.851372680244932</c:v>
                </c:pt>
                <c:pt idx="320">
                  <c:v>2.8553896367049512</c:v>
                </c:pt>
                <c:pt idx="321">
                  <c:v>2.8593766958114522</c:v>
                </c:pt>
                <c:pt idx="322">
                  <c:v>2.8633227748174184</c:v>
                </c:pt>
                <c:pt idx="323">
                  <c:v>2.8672272343829386</c:v>
                </c:pt>
                <c:pt idx="324">
                  <c:v>2.871089953588712</c:v>
                </c:pt>
                <c:pt idx="325">
                  <c:v>2.8749112146480478</c:v>
                </c:pt>
                <c:pt idx="326">
                  <c:v>2.8786916105800486</c:v>
                </c:pt>
                <c:pt idx="327">
                  <c:v>2.8824319707975374</c:v>
                </c:pt>
                <c:pt idx="328">
                  <c:v>2.8861333007416419</c:v>
                </c:pt>
                <c:pt idx="329">
                  <c:v>2.8897967324986826</c:v>
                </c:pt>
                <c:pt idx="330">
                  <c:v>2.8934234839941455</c:v>
                </c:pt>
                <c:pt idx="331">
                  <c:v>2.897014824862838</c:v>
                </c:pt>
                <c:pt idx="332">
                  <c:v>2.9005720474201495</c:v>
                </c:pt>
                <c:pt idx="333">
                  <c:v>2.9040964414900206</c:v>
                </c:pt>
                <c:pt idx="334">
                  <c:v>2.9075892720231487</c:v>
                </c:pt>
                <c:pt idx="335">
                  <c:v>2.9110517586148772</c:v>
                </c:pt>
                <c:pt idx="336">
                  <c:v>2.9144850561530533</c:v>
                </c:pt>
                <c:pt idx="337">
                  <c:v>2.9178902359330818</c:v>
                </c:pt>
                <c:pt idx="338">
                  <c:v>2.9212682666219245</c:v>
                </c:pt>
                <c:pt idx="339">
                  <c:v>2.9246199945782085</c:v>
                </c:pt>
                <c:pt idx="340">
                  <c:v>2.9279461230721275</c:v>
                </c:pt>
                <c:pt idx="341">
                  <c:v>2.9312471901151103</c:v>
                </c:pt>
                <c:pt idx="342">
                  <c:v>2.9345235448300548</c:v>
                </c:pt>
                <c:pt idx="343">
                  <c:v>2.9377753226799355</c:v>
                </c:pt>
                <c:pt idx="344">
                  <c:v>2.9410024206482679</c:v>
                </c:pt>
                <c:pt idx="345">
                  <c:v>2.9442044748711327</c:v>
                </c:pt>
                <c:pt idx="346">
                  <c:v>2.9473808458704664</c:v>
                </c:pt>
                <c:pt idx="347">
                  <c:v>2.9505306217716796</c:v>
                </c:pt>
                <c:pt idx="348">
                  <c:v>2.9536526601096207</c:v>
                </c:pt>
                <c:pt idx="349">
                  <c:v>2.9567457099787258</c:v>
                </c:pt>
                <c:pt idx="350">
                  <c:v>2.959808701423333</c:v>
                </c:pt>
                <c:pt idx="351">
                  <c:v>2.9628413904068323</c:v>
                </c:pt>
                <c:pt idx="352">
                  <c:v>2.9658453275856864</c:v>
                </c:pt>
                <c:pt idx="353">
                  <c:v>2.9688230717417685</c:v>
                </c:pt>
                <c:pt idx="354">
                  <c:v>2.9717771556188133</c:v>
                </c:pt>
                <c:pt idx="355">
                  <c:v>2.974710036855098</c:v>
                </c:pt>
                <c:pt idx="356">
                  <c:v>2.9776241069432721</c:v>
                </c:pt>
                <c:pt idx="357">
                  <c:v>2.9805216997265522</c:v>
                </c:pt>
                <c:pt idx="358">
                  <c:v>2.9834050994973058</c:v>
                </c:pt>
                <c:pt idx="359">
                  <c:v>2.9862765487717282</c:v>
                </c:pt>
                <c:pt idx="360">
                  <c:v>2.9891382557809605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B7-4D85-BC30-76F07C687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356345413320352E-2"/>
          <c:y val="3.6745399230082618E-2"/>
          <c:w val="0.93690399965013715"/>
          <c:h val="0.77188800934066304"/>
        </c:manualLayout>
      </c:layout>
      <c:scatterChart>
        <c:scatterStyle val="lineMarker"/>
        <c:varyColors val="0"/>
        <c:ser>
          <c:idx val="1"/>
          <c:order val="0"/>
          <c:tx>
            <c:v>Tan-1 @ alphs vs req res Tan-1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L_Section_Capacity!$BC$2:$BC$362</c:f>
              <c:numCache>
                <c:formatCode>General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L_Section_Capacity!$BH$2:$BH$362</c:f>
              <c:numCache>
                <c:formatCode>0.000</c:formatCode>
                <c:ptCount val="361"/>
                <c:pt idx="0">
                  <c:v>0.61610200681003158</c:v>
                </c:pt>
                <c:pt idx="1">
                  <c:v>0.61332408102846814</c:v>
                </c:pt>
                <c:pt idx="2">
                  <c:v>0.61054883242589697</c:v>
                </c:pt>
                <c:pt idx="3">
                  <c:v>0.607774162631878</c:v>
                </c:pt>
                <c:pt idx="4">
                  <c:v>0.60499797121165011</c:v>
                </c:pt>
                <c:pt idx="5">
                  <c:v>0.60221814881000957</c:v>
                </c:pt>
                <c:pt idx="6">
                  <c:v>0.59943257021382423</c:v>
                </c:pt>
                <c:pt idx="7">
                  <c:v>0.59663908726475268</c:v>
                </c:pt>
                <c:pt idx="8">
                  <c:v>0.59383552157851249</c:v>
                </c:pt>
                <c:pt idx="9">
                  <c:v>0.59101965701247772</c:v>
                </c:pt>
                <c:pt idx="10">
                  <c:v>0.58818927976401736</c:v>
                </c:pt>
                <c:pt idx="11">
                  <c:v>0.58534301829397362</c:v>
                </c:pt>
                <c:pt idx="12">
                  <c:v>0.58248095567566549</c:v>
                </c:pt>
                <c:pt idx="13">
                  <c:v>0.57960381766329794</c:v>
                </c:pt>
                <c:pt idx="14">
                  <c:v>0.57671245062725895</c:v>
                </c:pt>
                <c:pt idx="15">
                  <c:v>0.57380759704840689</c:v>
                </c:pt>
                <c:pt idx="16">
                  <c:v>0.57088980716220694</c:v>
                </c:pt>
                <c:pt idx="17">
                  <c:v>0.5679594139152162</c:v>
                </c:pt>
                <c:pt idx="18">
                  <c:v>0.5650165371119179</c:v>
                </c:pt>
                <c:pt idx="19">
                  <c:v>0.56206110032915224</c:v>
                </c:pt>
                <c:pt idx="20">
                  <c:v>0.55909285266271014</c:v>
                </c:pt>
                <c:pt idx="21">
                  <c:v>0.55611139149885624</c:v>
                </c:pt>
                <c:pt idx="22">
                  <c:v>0.5531161846107715</c:v>
                </c:pt>
                <c:pt idx="23">
                  <c:v>0.55010659094902192</c:v>
                </c:pt>
                <c:pt idx="24">
                  <c:v>0.54708188003357827</c:v>
                </c:pt>
                <c:pt idx="25">
                  <c:v>0.54404125014983973</c:v>
                </c:pt>
                <c:pt idx="26">
                  <c:v>0.54098384570301794</c:v>
                </c:pt>
                <c:pt idx="27">
                  <c:v>0.53790292593294564</c:v>
                </c:pt>
                <c:pt idx="28">
                  <c:v>0.53478553204897428</c:v>
                </c:pt>
                <c:pt idx="29">
                  <c:v>0.53164888387770426</c:v>
                </c:pt>
                <c:pt idx="30">
                  <c:v>0.52849192331228279</c:v>
                </c:pt>
                <c:pt idx="31">
                  <c:v>0.52531361840644164</c:v>
                </c:pt>
                <c:pt idx="32">
                  <c:v>0.52211298438160036</c:v>
                </c:pt>
                <c:pt idx="33">
                  <c:v>0.51888910783301279</c:v>
                </c:pt>
                <c:pt idx="34">
                  <c:v>0.51564117514502184</c:v>
                </c:pt>
                <c:pt idx="35">
                  <c:v>0.51236850634564246</c:v>
                </c:pt>
                <c:pt idx="36">
                  <c:v>0.50907059590930293</c:v>
                </c:pt>
                <c:pt idx="37">
                  <c:v>0.50574716238846684</c:v>
                </c:pt>
                <c:pt idx="38">
                  <c:v>0.50239820924268697</c:v>
                </c:pt>
                <c:pt idx="39">
                  <c:v>0.49902409987159158</c:v>
                </c:pt>
                <c:pt idx="40">
                  <c:v>0.49562565071184778</c:v>
                </c:pt>
                <c:pt idx="41">
                  <c:v>0.49220424738555946</c:v>
                </c:pt>
                <c:pt idx="42">
                  <c:v>0.48876199041726776</c:v>
                </c:pt>
                <c:pt idx="43">
                  <c:v>0.4853018790871142</c:v>
                </c:pt>
                <c:pt idx="44">
                  <c:v>0.48182804482413144</c:v>
                </c:pt>
                <c:pt idx="45">
                  <c:v>0.47834604944280046</c:v>
                </c:pt>
                <c:pt idx="46">
                  <c:v>0.47486326902877735</c:v>
                </c:pt>
                <c:pt idx="47">
                  <c:v>0.47138939208223918</c:v>
                </c:pt>
                <c:pt idx="48">
                  <c:v>0.46793442261105711</c:v>
                </c:pt>
                <c:pt idx="49">
                  <c:v>0.46362977776330588</c:v>
                </c:pt>
                <c:pt idx="50">
                  <c:v>0.45917949076292319</c:v>
                </c:pt>
                <c:pt idx="51">
                  <c:v>0.45476268687312188</c:v>
                </c:pt>
                <c:pt idx="52">
                  <c:v>0.45037297860770864</c:v>
                </c:pt>
                <c:pt idx="53">
                  <c:v>0.44600402669728395</c:v>
                </c:pt>
                <c:pt idx="54">
                  <c:v>0.44164949246026297</c:v>
                </c:pt>
                <c:pt idx="55">
                  <c:v>0.4373029883338202</c:v>
                </c:pt>
                <c:pt idx="56">
                  <c:v>0.43278329989389491</c:v>
                </c:pt>
                <c:pt idx="57">
                  <c:v>0.42773849331865932</c:v>
                </c:pt>
                <c:pt idx="58">
                  <c:v>0.42268008045591604</c:v>
                </c:pt>
                <c:pt idx="59">
                  <c:v>0.41760015387879235</c:v>
                </c:pt>
                <c:pt idx="60">
                  <c:v>0.41249045306636539</c:v>
                </c:pt>
                <c:pt idx="61">
                  <c:v>0.4073422769279525</c:v>
                </c:pt>
                <c:pt idx="62">
                  <c:v>0.40214638303486488</c:v>
                </c:pt>
                <c:pt idx="63">
                  <c:v>0.39689286997511769</c:v>
                </c:pt>
                <c:pt idx="64">
                  <c:v>0.39159009395889999</c:v>
                </c:pt>
                <c:pt idx="65">
                  <c:v>0.38627194686342686</c:v>
                </c:pt>
                <c:pt idx="66">
                  <c:v>0.38086484939419452</c:v>
                </c:pt>
                <c:pt idx="67">
                  <c:v>0.37535361318262966</c:v>
                </c:pt>
                <c:pt idx="68">
                  <c:v>0.36972108999152403</c:v>
                </c:pt>
                <c:pt idx="69">
                  <c:v>0.36394770659557762</c:v>
                </c:pt>
                <c:pt idx="70">
                  <c:v>0.3580108641251939</c:v>
                </c:pt>
                <c:pt idx="71">
                  <c:v>0.35188415017327734</c:v>
                </c:pt>
                <c:pt idx="72">
                  <c:v>0.34553628772573125</c:v>
                </c:pt>
                <c:pt idx="73">
                  <c:v>0.33892970666364408</c:v>
                </c:pt>
                <c:pt idx="74">
                  <c:v>0.33201856209489772</c:v>
                </c:pt>
                <c:pt idx="75">
                  <c:v>0.32474592140534214</c:v>
                </c:pt>
                <c:pt idx="76">
                  <c:v>0.3170396666160723</c:v>
                </c:pt>
                <c:pt idx="77">
                  <c:v>0.30880634700006049</c:v>
                </c:pt>
                <c:pt idx="78">
                  <c:v>0.29992163951092471</c:v>
                </c:pt>
                <c:pt idx="79">
                  <c:v>0.29021516339039344</c:v>
                </c:pt>
                <c:pt idx="80">
                  <c:v>0.27950040542896731</c:v>
                </c:pt>
                <c:pt idx="81">
                  <c:v>0.26813915878160705</c:v>
                </c:pt>
                <c:pt idx="82">
                  <c:v>0.25579229525889213</c:v>
                </c:pt>
                <c:pt idx="83">
                  <c:v>0.2422556195550839</c:v>
                </c:pt>
                <c:pt idx="84">
                  <c:v>0.22736167389146889</c:v>
                </c:pt>
                <c:pt idx="85">
                  <c:v>0.21090847201530105</c:v>
                </c:pt>
                <c:pt idx="86">
                  <c:v>0.19266654780365938</c:v>
                </c:pt>
                <c:pt idx="87">
                  <c:v>0.17241076909897435</c:v>
                </c:pt>
                <c:pt idx="88">
                  <c:v>0.1500173249622338</c:v>
                </c:pt>
                <c:pt idx="89">
                  <c:v>0.12558415381097435</c:v>
                </c:pt>
                <c:pt idx="90">
                  <c:v>9.894434731573537E-2</c:v>
                </c:pt>
                <c:pt idx="91">
                  <c:v>4.1587088121429527E-2</c:v>
                </c:pt>
                <c:pt idx="92">
                  <c:v>-3.1988879663518988E-2</c:v>
                </c:pt>
                <c:pt idx="93">
                  <c:v>-0.12572662375304719</c:v>
                </c:pt>
                <c:pt idx="94">
                  <c:v>-0.24051001283160828</c:v>
                </c:pt>
                <c:pt idx="95">
                  <c:v>-0.39066667433994579</c:v>
                </c:pt>
                <c:pt idx="96">
                  <c:v>-0.58771118072461159</c:v>
                </c:pt>
                <c:pt idx="97">
                  <c:v>-0.79028770939277193</c:v>
                </c:pt>
                <c:pt idx="98">
                  <c:v>-0.96995800267538379</c:v>
                </c:pt>
                <c:pt idx="99">
                  <c:v>-1.1220057420815175</c:v>
                </c:pt>
                <c:pt idx="100">
                  <c:v>-1.2476275408530106</c:v>
                </c:pt>
                <c:pt idx="101">
                  <c:v>-1.3507105579130563</c:v>
                </c:pt>
                <c:pt idx="102">
                  <c:v>-1.4356105301918827</c:v>
                </c:pt>
                <c:pt idx="103">
                  <c:v>-1.5061816712444085</c:v>
                </c:pt>
                <c:pt idx="104">
                  <c:v>-1.5655295765361306</c:v>
                </c:pt>
                <c:pt idx="105">
                  <c:v>-1.6160596028805647</c:v>
                </c:pt>
                <c:pt idx="106">
                  <c:v>-1.6596082457482602</c:v>
                </c:pt>
                <c:pt idx="107">
                  <c:v>-1.6975753661553539</c:v>
                </c:pt>
                <c:pt idx="108">
                  <c:v>-1.7310332220859184</c:v>
                </c:pt>
                <c:pt idx="109">
                  <c:v>-1.7608098841444619</c:v>
                </c:pt>
                <c:pt idx="110">
                  <c:v>-1.7875511034639759</c:v>
                </c:pt>
                <c:pt idx="111">
                  <c:v>-1.8117656840942693</c:v>
                </c:pt>
                <c:pt idx="112">
                  <c:v>-1.8338587167393614</c:v>
                </c:pt>
                <c:pt idx="113">
                  <c:v>-1.8541560201347076</c:v>
                </c:pt>
                <c:pt idx="114">
                  <c:v>-1.8729222404823263</c:v>
                </c:pt>
                <c:pt idx="115">
                  <c:v>-1.8903743680233533</c:v>
                </c:pt>
                <c:pt idx="116">
                  <c:v>-1.9066919228185537</c:v>
                </c:pt>
                <c:pt idx="117">
                  <c:v>-1.9220247033659106</c:v>
                </c:pt>
                <c:pt idx="118">
                  <c:v>-1.9364987356950583</c:v>
                </c:pt>
                <c:pt idx="119">
                  <c:v>-1.9502208837416901</c:v>
                </c:pt>
                <c:pt idx="120">
                  <c:v>-1.9632824537495097</c:v>
                </c:pt>
                <c:pt idx="121">
                  <c:v>-1.9757620372266318</c:v>
                </c:pt>
                <c:pt idx="122">
                  <c:v>-1.9879697810479589</c:v>
                </c:pt>
                <c:pt idx="123">
                  <c:v>-1.9997436710240506</c:v>
                </c:pt>
                <c:pt idx="124">
                  <c:v>-2.011122541350109</c:v>
                </c:pt>
                <c:pt idx="125">
                  <c:v>-2.0221524469289327</c:v>
                </c:pt>
                <c:pt idx="126">
                  <c:v>-2.0328745252097553</c:v>
                </c:pt>
                <c:pt idx="127">
                  <c:v>-2.0433258008862625</c:v>
                </c:pt>
                <c:pt idx="128">
                  <c:v>-2.0535398594215843</c:v>
                </c:pt>
                <c:pt idx="129">
                  <c:v>-2.0635474152467701</c:v>
                </c:pt>
                <c:pt idx="130">
                  <c:v>-2.0733767968665404</c:v>
                </c:pt>
                <c:pt idx="131">
                  <c:v>-2.0830543655096934</c:v>
                </c:pt>
                <c:pt idx="132">
                  <c:v>-2.0926048809120879</c:v>
                </c:pt>
                <c:pt idx="133">
                  <c:v>-2.1020518260872745</c:v>
                </c:pt>
                <c:pt idx="134">
                  <c:v>-2.1114177001203078</c:v>
                </c:pt>
                <c:pt idx="135">
                  <c:v>-2.1207242870896588</c:v>
                </c:pt>
                <c:pt idx="136">
                  <c:v>-2.1299929085038007</c:v>
                </c:pt>
                <c:pt idx="137">
                  <c:v>-2.1392446651369914</c:v>
                </c:pt>
                <c:pt idx="138">
                  <c:v>-2.14850067457441</c:v>
                </c:pt>
                <c:pt idx="139">
                  <c:v>-2.1577823100231672</c:v>
                </c:pt>
                <c:pt idx="140">
                  <c:v>-2.1671114462396837</c:v>
                </c:pt>
                <c:pt idx="141">
                  <c:v>-2.1765107186401069</c:v>
                </c:pt>
                <c:pt idx="142">
                  <c:v>-2.186003802189858</c:v>
                </c:pt>
                <c:pt idx="143">
                  <c:v>-2.1956157176170206</c:v>
                </c:pt>
                <c:pt idx="144">
                  <c:v>-2.2053731733777053</c:v>
                </c:pt>
                <c:pt idx="145">
                  <c:v>-2.2153049536343397</c:v>
                </c:pt>
                <c:pt idx="146">
                  <c:v>-2.2254423643166135</c:v>
                </c:pt>
                <c:pt idx="147">
                  <c:v>-2.2358197524087204</c:v>
                </c:pt>
                <c:pt idx="148">
                  <c:v>-2.2464751164542238</c:v>
                </c:pt>
                <c:pt idx="149">
                  <c:v>-2.2574394167624838</c:v>
                </c:pt>
                <c:pt idx="150">
                  <c:v>-2.2685707379434281</c:v>
                </c:pt>
                <c:pt idx="151">
                  <c:v>-2.2801369336962392</c:v>
                </c:pt>
                <c:pt idx="152">
                  <c:v>-2.2922002103016146</c:v>
                </c:pt>
                <c:pt idx="153">
                  <c:v>-2.3048320600329371</c:v>
                </c:pt>
                <c:pt idx="154">
                  <c:v>-2.3181152162549337</c:v>
                </c:pt>
                <c:pt idx="155">
                  <c:v>-2.3321460849355375</c:v>
                </c:pt>
                <c:pt idx="156">
                  <c:v>-2.347037790357172</c:v>
                </c:pt>
                <c:pt idx="157">
                  <c:v>-2.3629240177062902</c:v>
                </c:pt>
                <c:pt idx="158">
                  <c:v>-2.3799638958627605</c:v>
                </c:pt>
                <c:pt idx="159">
                  <c:v>-2.3983482463569823</c:v>
                </c:pt>
                <c:pt idx="160">
                  <c:v>-2.4183076362114111</c:v>
                </c:pt>
                <c:pt idx="161">
                  <c:v>-2.4401228232306664</c:v>
                </c:pt>
                <c:pt idx="162">
                  <c:v>-2.464138382470852</c:v>
                </c:pt>
                <c:pt idx="163">
                  <c:v>-2.4907805607517597</c:v>
                </c:pt>
                <c:pt idx="164">
                  <c:v>-2.5205807191838439</c:v>
                </c:pt>
                <c:pt idx="165">
                  <c:v>-2.5540520848910822</c:v>
                </c:pt>
                <c:pt idx="166">
                  <c:v>-2.5909130078575133</c:v>
                </c:pt>
                <c:pt idx="167">
                  <c:v>-2.6305708435386164</c:v>
                </c:pt>
                <c:pt idx="168">
                  <c:v>-2.6724341871271875</c:v>
                </c:pt>
                <c:pt idx="169">
                  <c:v>-2.7159129928848431</c:v>
                </c:pt>
                <c:pt idx="170">
                  <c:v>-2.7604229133179796</c:v>
                </c:pt>
                <c:pt idx="171">
                  <c:v>-2.8053929285841392</c:v>
                </c:pt>
                <c:pt idx="172">
                  <c:v>-2.8502746472332392</c:v>
                </c:pt>
                <c:pt idx="173">
                  <c:v>-2.8945518482536414</c:v>
                </c:pt>
                <c:pt idx="174">
                  <c:v>-2.9377497781024111</c:v>
                </c:pt>
                <c:pt idx="175">
                  <c:v>-2.9794468261766283</c:v>
                </c:pt>
                <c:pt idx="176">
                  <c:v>-3.0193031642226922</c:v>
                </c:pt>
                <c:pt idx="177">
                  <c:v>-3.0571664273660257</c:v>
                </c:pt>
                <c:pt idx="178">
                  <c:v>-3.0931368010600759</c:v>
                </c:pt>
                <c:pt idx="179">
                  <c:v>-3.1283809835061422</c:v>
                </c:pt>
                <c:pt idx="180">
                  <c:v>3.1210822003718626</c:v>
                </c:pt>
                <c:pt idx="181">
                  <c:v>3.0962987302418616</c:v>
                </c:pt>
                <c:pt idx="182">
                  <c:v>3.0719744094246138</c:v>
                </c:pt>
                <c:pt idx="183">
                  <c:v>3.0471198866657461</c:v>
                </c:pt>
                <c:pt idx="184">
                  <c:v>3.0226863563002437</c:v>
                </c:pt>
                <c:pt idx="185">
                  <c:v>2.9986203335420782</c:v>
                </c:pt>
                <c:pt idx="186">
                  <c:v>2.9749205553831111</c:v>
                </c:pt>
                <c:pt idx="187">
                  <c:v>2.9516381600776374</c:v>
                </c:pt>
                <c:pt idx="188">
                  <c:v>2.9284169737810561</c:v>
                </c:pt>
                <c:pt idx="189">
                  <c:v>2.9055815926301545</c:v>
                </c:pt>
                <c:pt idx="190">
                  <c:v>2.8833058120281509</c:v>
                </c:pt>
                <c:pt idx="191">
                  <c:v>2.8616004107615414</c:v>
                </c:pt>
                <c:pt idx="192">
                  <c:v>2.8404678028522135</c:v>
                </c:pt>
                <c:pt idx="193">
                  <c:v>2.8199041758332655</c:v>
                </c:pt>
                <c:pt idx="194">
                  <c:v>2.7999011916765739</c:v>
                </c:pt>
                <c:pt idx="195">
                  <c:v>2.7804473204442033</c:v>
                </c:pt>
                <c:pt idx="196">
                  <c:v>2.7615288834365881</c:v>
                </c:pt>
                <c:pt idx="197">
                  <c:v>2.7431308698297157</c:v>
                </c:pt>
                <c:pt idx="198">
                  <c:v>2.7252375797643813</c:v>
                </c:pt>
                <c:pt idx="199">
                  <c:v>2.7078331343591655</c:v>
                </c:pt>
                <c:pt idx="200">
                  <c:v>2.690901883750187</c:v>
                </c:pt>
                <c:pt idx="201">
                  <c:v>2.6744287393959487</c:v>
                </c:pt>
                <c:pt idx="202">
                  <c:v>2.6583994501265256</c:v>
                </c:pt>
                <c:pt idx="203">
                  <c:v>2.6427478160217879</c:v>
                </c:pt>
                <c:pt idx="204">
                  <c:v>2.6275005921020753</c:v>
                </c:pt>
                <c:pt idx="205">
                  <c:v>2.6126568487193502</c:v>
                </c:pt>
                <c:pt idx="206">
                  <c:v>2.5982067067255281</c:v>
                </c:pt>
                <c:pt idx="207">
                  <c:v>2.5841199507599342</c:v>
                </c:pt>
                <c:pt idx="208">
                  <c:v>2.5703452380880405</c:v>
                </c:pt>
                <c:pt idx="209">
                  <c:v>2.5568363536833631</c:v>
                </c:pt>
                <c:pt idx="210">
                  <c:v>2.5435525405193058</c:v>
                </c:pt>
                <c:pt idx="211">
                  <c:v>2.5304574597064011</c:v>
                </c:pt>
                <c:pt idx="212">
                  <c:v>2.5175183596343729</c:v>
                </c:pt>
                <c:pt idx="213">
                  <c:v>2.5047054048204993</c:v>
                </c:pt>
                <c:pt idx="214">
                  <c:v>2.4919911268578243</c:v>
                </c:pt>
                <c:pt idx="215">
                  <c:v>2.4793499706022626</c:v>
                </c:pt>
                <c:pt idx="216">
                  <c:v>2.4667579137610653</c:v>
                </c:pt>
                <c:pt idx="217">
                  <c:v>2.4541921438192977</c:v>
                </c:pt>
                <c:pt idx="218">
                  <c:v>2.4416307797995929</c:v>
                </c:pt>
                <c:pt idx="219">
                  <c:v>2.4290526289607746</c:v>
                </c:pt>
                <c:pt idx="220">
                  <c:v>2.4164369700897508</c:v>
                </c:pt>
                <c:pt idx="221">
                  <c:v>2.40376335733216</c:v>
                </c:pt>
                <c:pt idx="222">
                  <c:v>2.3910114392713488</c:v>
                </c:pt>
                <c:pt idx="223">
                  <c:v>2.3781607884610638</c:v>
                </c:pt>
                <c:pt idx="224">
                  <c:v>2.3651907381404245</c:v>
                </c:pt>
                <c:pt idx="225">
                  <c:v>2.3520802219731518</c:v>
                </c:pt>
                <c:pt idx="226">
                  <c:v>2.3388076147530397</c:v>
                </c:pt>
                <c:pt idx="227">
                  <c:v>2.3253505703361528</c:v>
                </c:pt>
                <c:pt idx="228">
                  <c:v>2.3116858546803778</c:v>
                </c:pt>
                <c:pt idx="229">
                  <c:v>2.297789170831769</c:v>
                </c:pt>
                <c:pt idx="230">
                  <c:v>2.2836349735119494</c:v>
                </c:pt>
                <c:pt idx="231">
                  <c:v>2.2691962699841524</c:v>
                </c:pt>
                <c:pt idx="232">
                  <c:v>2.2544444045365353</c:v>
                </c:pt>
                <c:pt idx="233">
                  <c:v>2.2393488228099692</c:v>
                </c:pt>
                <c:pt idx="234">
                  <c:v>2.2238768126698201</c:v>
                </c:pt>
                <c:pt idx="235">
                  <c:v>2.207993217228915</c:v>
                </c:pt>
                <c:pt idx="236">
                  <c:v>2.1916601155058135</c:v>
                </c:pt>
                <c:pt idx="237">
                  <c:v>2.1748364656532599</c:v>
                </c:pt>
                <c:pt idx="238">
                  <c:v>2.1574777047099412</c:v>
                </c:pt>
                <c:pt idx="239">
                  <c:v>2.1395352983853906</c:v>
                </c:pt>
                <c:pt idx="240">
                  <c:v>2.1209562333431835</c:v>
                </c:pt>
                <c:pt idx="241">
                  <c:v>2.1016824437323853</c:v>
                </c:pt>
                <c:pt idx="242">
                  <c:v>2.0816501622222106</c:v>
                </c:pt>
                <c:pt idx="243">
                  <c:v>2.0607891855407372</c:v>
                </c:pt>
                <c:pt idx="244">
                  <c:v>2.0390220429145369</c:v>
                </c:pt>
                <c:pt idx="245">
                  <c:v>2.0162117898714689</c:v>
                </c:pt>
                <c:pt idx="246">
                  <c:v>1.9919244972055408</c:v>
                </c:pt>
                <c:pt idx="247">
                  <c:v>1.9664565376877257</c:v>
                </c:pt>
                <c:pt idx="248">
                  <c:v>1.9399408095040365</c:v>
                </c:pt>
                <c:pt idx="249">
                  <c:v>1.9120522957750046</c:v>
                </c:pt>
                <c:pt idx="250">
                  <c:v>1.882643522143604</c:v>
                </c:pt>
                <c:pt idx="251">
                  <c:v>1.8515638130514809</c:v>
                </c:pt>
                <c:pt idx="252">
                  <c:v>1.8186451486465343</c:v>
                </c:pt>
                <c:pt idx="253">
                  <c:v>1.7845112262602829</c:v>
                </c:pt>
                <c:pt idx="254">
                  <c:v>1.7514752260634232</c:v>
                </c:pt>
                <c:pt idx="255">
                  <c:v>1.715993995609173</c:v>
                </c:pt>
                <c:pt idx="256">
                  <c:v>1.6777738980206076</c:v>
                </c:pt>
                <c:pt idx="257">
                  <c:v>1.6365082532842277</c:v>
                </c:pt>
                <c:pt idx="258">
                  <c:v>1.5927003831488904</c:v>
                </c:pt>
                <c:pt idx="259">
                  <c:v>1.5476769838766276</c:v>
                </c:pt>
                <c:pt idx="260">
                  <c:v>1.5025496797102946</c:v>
                </c:pt>
                <c:pt idx="261">
                  <c:v>1.4608187008094904</c:v>
                </c:pt>
                <c:pt idx="262">
                  <c:v>1.4277308111044704</c:v>
                </c:pt>
                <c:pt idx="263">
                  <c:v>1.3981259608781731</c:v>
                </c:pt>
                <c:pt idx="264">
                  <c:v>1.3686254613268398</c:v>
                </c:pt>
                <c:pt idx="265">
                  <c:v>1.3393538542576284</c:v>
                </c:pt>
                <c:pt idx="266">
                  <c:v>1.3110312743332957</c:v>
                </c:pt>
                <c:pt idx="267">
                  <c:v>1.2834538513462033</c:v>
                </c:pt>
                <c:pt idx="268">
                  <c:v>1.2567845795314441</c:v>
                </c:pt>
                <c:pt idx="269">
                  <c:v>1.2311183376633015</c:v>
                </c:pt>
                <c:pt idx="270">
                  <c:v>1.2063588495730093</c:v>
                </c:pt>
                <c:pt idx="271">
                  <c:v>1.1811996819155841</c:v>
                </c:pt>
                <c:pt idx="272">
                  <c:v>1.1567810792380417</c:v>
                </c:pt>
                <c:pt idx="273">
                  <c:v>1.1330409034419644</c:v>
                </c:pt>
                <c:pt idx="274">
                  <c:v>1.1101295418895376</c:v>
                </c:pt>
                <c:pt idx="275">
                  <c:v>1.0883288701964713</c:v>
                </c:pt>
                <c:pt idx="276">
                  <c:v>1.0677720884550983</c:v>
                </c:pt>
                <c:pt idx="277">
                  <c:v>1.0484800996451258</c:v>
                </c:pt>
                <c:pt idx="278">
                  <c:v>1.0304190578263255</c:v>
                </c:pt>
                <c:pt idx="279">
                  <c:v>1.0135335775290397</c:v>
                </c:pt>
                <c:pt idx="280">
                  <c:v>0.9977899417782965</c:v>
                </c:pt>
                <c:pt idx="281">
                  <c:v>0.98321817401136813</c:v>
                </c:pt>
                <c:pt idx="282">
                  <c:v>0.96963065979791208</c:v>
                </c:pt>
                <c:pt idx="283">
                  <c:v>0.95699857430072854</c:v>
                </c:pt>
                <c:pt idx="284">
                  <c:v>0.94530798049013975</c:v>
                </c:pt>
                <c:pt idx="285">
                  <c:v>0.93456244664685451</c:v>
                </c:pt>
                <c:pt idx="286">
                  <c:v>0.92474217012936977</c:v>
                </c:pt>
                <c:pt idx="287">
                  <c:v>0.91571457467969641</c:v>
                </c:pt>
                <c:pt idx="288">
                  <c:v>0.90735237010091407</c:v>
                </c:pt>
                <c:pt idx="289">
                  <c:v>0.89955437776546199</c:v>
                </c:pt>
                <c:pt idx="290">
                  <c:v>0.89223898072023222</c:v>
                </c:pt>
                <c:pt idx="291">
                  <c:v>0.88533946610395309</c:v>
                </c:pt>
                <c:pt idx="292">
                  <c:v>0.87880064766272992</c:v>
                </c:pt>
                <c:pt idx="293">
                  <c:v>0.87257637319108139</c:v>
                </c:pt>
                <c:pt idx="294">
                  <c:v>0.86662765570308531</c:v>
                </c:pt>
                <c:pt idx="295">
                  <c:v>0.86092125199265479</c:v>
                </c:pt>
                <c:pt idx="296">
                  <c:v>0.85542856718491156</c:v>
                </c:pt>
                <c:pt idx="297">
                  <c:v>0.85012480026397363</c:v>
                </c:pt>
                <c:pt idx="298">
                  <c:v>0.84498827005835975</c:v>
                </c:pt>
                <c:pt idx="299">
                  <c:v>0.83999987797917908</c:v>
                </c:pt>
                <c:pt idx="300">
                  <c:v>0.83514267551769827</c:v>
                </c:pt>
                <c:pt idx="301">
                  <c:v>0.83040151278164598</c:v>
                </c:pt>
                <c:pt idx="302">
                  <c:v>0.82576275028079515</c:v>
                </c:pt>
                <c:pt idx="303">
                  <c:v>0.82121402046976599</c:v>
                </c:pt>
                <c:pt idx="304">
                  <c:v>0.81674402870867813</c:v>
                </c:pt>
                <c:pt idx="305">
                  <c:v>0.81234238563610928</c:v>
                </c:pt>
                <c:pt idx="306">
                  <c:v>0.80799946469632222</c:v>
                </c:pt>
                <c:pt idx="307">
                  <c:v>0.80370627987847809</c:v>
                </c:pt>
                <c:pt idx="308">
                  <c:v>0.79945437972492106</c:v>
                </c:pt>
                <c:pt idx="309">
                  <c:v>0.79523575443146599</c:v>
                </c:pt>
                <c:pt idx="310">
                  <c:v>0.79104275344632602</c:v>
                </c:pt>
                <c:pt idx="311">
                  <c:v>0.78686801142458707</c:v>
                </c:pt>
                <c:pt idx="312">
                  <c:v>0.78270438074134518</c:v>
                </c:pt>
                <c:pt idx="313">
                  <c:v>0.77854486903515263</c:v>
                </c:pt>
                <c:pt idx="314">
                  <c:v>0.77438445931395639</c:v>
                </c:pt>
                <c:pt idx="315">
                  <c:v>0.77023099662886296</c:v>
                </c:pt>
                <c:pt idx="316">
                  <c:v>0.76609544943571628</c:v>
                </c:pt>
                <c:pt idx="317">
                  <c:v>0.76198599184851568</c:v>
                </c:pt>
                <c:pt idx="318">
                  <c:v>0.75790860911247937</c:v>
                </c:pt>
                <c:pt idx="319">
                  <c:v>0.75386758234566764</c:v>
                </c:pt>
                <c:pt idx="320">
                  <c:v>0.74985062588564799</c:v>
                </c:pt>
                <c:pt idx="321">
                  <c:v>0.74586356677914734</c:v>
                </c:pt>
                <c:pt idx="322">
                  <c:v>0.74191748777318112</c:v>
                </c:pt>
                <c:pt idx="323">
                  <c:v>0.7380130282076609</c:v>
                </c:pt>
                <c:pt idx="324">
                  <c:v>0.73415030900188716</c:v>
                </c:pt>
                <c:pt idx="325">
                  <c:v>0.73032904794255171</c:v>
                </c:pt>
                <c:pt idx="326">
                  <c:v>0.72654865201055085</c:v>
                </c:pt>
                <c:pt idx="327">
                  <c:v>0.72280829179306161</c:v>
                </c:pt>
                <c:pt idx="328">
                  <c:v>0.71910696184895806</c:v>
                </c:pt>
                <c:pt idx="329">
                  <c:v>0.71544353009191686</c:v>
                </c:pt>
                <c:pt idx="330">
                  <c:v>0.71181677859645398</c:v>
                </c:pt>
                <c:pt idx="331">
                  <c:v>0.70822543772776148</c:v>
                </c:pt>
                <c:pt idx="332">
                  <c:v>0.70466821517045053</c:v>
                </c:pt>
                <c:pt idx="333">
                  <c:v>0.70114382110057893</c:v>
                </c:pt>
                <c:pt idx="334">
                  <c:v>0.69765099056745083</c:v>
                </c:pt>
                <c:pt idx="335">
                  <c:v>0.6941885039757224</c:v>
                </c:pt>
                <c:pt idx="336">
                  <c:v>0.69075520643754573</c:v>
                </c:pt>
                <c:pt idx="337">
                  <c:v>0.68735002665751765</c:v>
                </c:pt>
                <c:pt idx="338">
                  <c:v>0.68397199596867542</c:v>
                </c:pt>
                <c:pt idx="339">
                  <c:v>0.68062026801239139</c:v>
                </c:pt>
                <c:pt idx="340">
                  <c:v>0.67729413951847151</c:v>
                </c:pt>
                <c:pt idx="341">
                  <c:v>0.67399307247548923</c:v>
                </c:pt>
                <c:pt idx="342">
                  <c:v>0.67071671776054509</c:v>
                </c:pt>
                <c:pt idx="343">
                  <c:v>0.66746493991066402</c:v>
                </c:pt>
                <c:pt idx="344">
                  <c:v>0.66423784194233204</c:v>
                </c:pt>
                <c:pt idx="345">
                  <c:v>0.66103578771946681</c:v>
                </c:pt>
                <c:pt idx="346">
                  <c:v>0.65785941672013259</c:v>
                </c:pt>
                <c:pt idx="347">
                  <c:v>0.65470964081891947</c:v>
                </c:pt>
                <c:pt idx="348">
                  <c:v>0.65158760248097924</c:v>
                </c:pt>
                <c:pt idx="349">
                  <c:v>0.64849455261187416</c:v>
                </c:pt>
                <c:pt idx="350">
                  <c:v>0.64543156116726697</c:v>
                </c:pt>
                <c:pt idx="351">
                  <c:v>0.64239887218376723</c:v>
                </c:pt>
                <c:pt idx="352">
                  <c:v>0.63939493500491318</c:v>
                </c:pt>
                <c:pt idx="353">
                  <c:v>0.63641719084883097</c:v>
                </c:pt>
                <c:pt idx="354">
                  <c:v>0.63346310697178621</c:v>
                </c:pt>
                <c:pt idx="355">
                  <c:v>0.63053022573550188</c:v>
                </c:pt>
                <c:pt idx="356">
                  <c:v>0.62761615564732787</c:v>
                </c:pt>
                <c:pt idx="357">
                  <c:v>0.62471856286404681</c:v>
                </c:pt>
                <c:pt idx="358">
                  <c:v>0.62183516309329379</c:v>
                </c:pt>
                <c:pt idx="359">
                  <c:v>0.61896371381887183</c:v>
                </c:pt>
                <c:pt idx="360">
                  <c:v>0.616102006809639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C15-452B-86B0-21DF09300368}"/>
            </c:ext>
          </c:extLst>
        </c:ser>
        <c:ser>
          <c:idx val="2"/>
          <c:order val="1"/>
          <c:tx>
            <c:v>@ alpha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1.2330359753468976</c:v>
                </c:pt>
              </c:numCache>
            </c:numRef>
          </c:xVal>
          <c:yVal>
            <c:numRef>
              <c:f>L_Section_Capacity!$W$7</c:f>
              <c:numCache>
                <c:formatCode>0.000E+00</c:formatCode>
                <c:ptCount val="1"/>
                <c:pt idx="0">
                  <c:v>7.1531447431993911E-11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C15-452B-86B0-21DF09300368}"/>
            </c:ext>
          </c:extLst>
        </c:ser>
        <c:ser>
          <c:idx val="3"/>
          <c:order val="2"/>
          <c:tx>
            <c:v>Tan-1(My/Mx)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L_Section_Capacity!$U$13</c:f>
              <c:numCache>
                <c:formatCode>0.000E+00</c:formatCode>
                <c:ptCount val="1"/>
                <c:pt idx="0">
                  <c:v>0.46364760900080609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1C15-452B-86B0-21DF09300368}"/>
            </c:ext>
          </c:extLst>
        </c:ser>
        <c:ser>
          <c:idx val="4"/>
          <c:order val="3"/>
          <c:tx>
            <c:v>User+/-pi/3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L_Section_Capacity!$AD$45:$AD$46</c:f>
              <c:numCache>
                <c:formatCode>0.000E+00</c:formatCode>
                <c:ptCount val="2"/>
                <c:pt idx="0">
                  <c:v>1.5108451601974038</c:v>
                </c:pt>
                <c:pt idx="1">
                  <c:v>-0.58354994219579148</c:v>
                </c:pt>
              </c:numCache>
            </c:numRef>
          </c:xVal>
          <c:yVal>
            <c:numRef>
              <c:f>L_Section_Capacity!$AE$45:$AE$46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C15-452B-86B0-21DF09300368}"/>
            </c:ext>
          </c:extLst>
        </c:ser>
        <c:ser>
          <c:idx val="5"/>
          <c:order val="4"/>
          <c:tx>
            <c:v>2*pi box</c:v>
          </c:tx>
          <c:spPr>
            <a:ln w="158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L_Section_Capacity!$AC$49:$AC$53</c:f>
              <c:numCache>
                <c:formatCode>General</c:formatCode>
                <c:ptCount val="5"/>
                <c:pt idx="0">
                  <c:v>0</c:v>
                </c:pt>
                <c:pt idx="1">
                  <c:v>6.2831853071795862</c:v>
                </c:pt>
                <c:pt idx="2">
                  <c:v>6.2831853071795862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L_Section_Capacity!$AD$49:$AD$53</c:f>
              <c:numCache>
                <c:formatCode>General</c:formatCode>
                <c:ptCount val="5"/>
                <c:pt idx="0">
                  <c:v>-3.1415926535897931</c:v>
                </c:pt>
                <c:pt idx="1">
                  <c:v>-3.1415926535897931</c:v>
                </c:pt>
                <c:pt idx="2">
                  <c:v>3.1415926535897931</c:v>
                </c:pt>
                <c:pt idx="3">
                  <c:v>3.1415926535897931</c:v>
                </c:pt>
                <c:pt idx="4">
                  <c:v>-3.1415926535897931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C8-4CF1-8E8A-41825DE61A6A}"/>
            </c:ext>
          </c:extLst>
        </c:ser>
        <c:ser>
          <c:idx val="0"/>
          <c:order val="5"/>
          <c:tx>
            <c:v>new reference point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L_Section_Capacity!$BW$15:$BW$375</c:f>
              <c:numCache>
                <c:formatCode>0.000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L_Section_Capacity!$CJ$15:$CJ$375</c:f>
              <c:numCache>
                <c:formatCode>General</c:formatCode>
                <c:ptCount val="361"/>
                <c:pt idx="0">
                  <c:v>0.94441535109016894</c:v>
                </c:pt>
                <c:pt idx="1">
                  <c:v>0.94104657287329851</c:v>
                </c:pt>
                <c:pt idx="2">
                  <c:v>0.93769730931290651</c:v>
                </c:pt>
                <c:pt idx="3">
                  <c:v>0.93436508155122922</c:v>
                </c:pt>
                <c:pt idx="4">
                  <c:v>0.931047449904153</c:v>
                </c:pt>
                <c:pt idx="5">
                  <c:v>0.9277420061724404</c:v>
                </c:pt>
                <c:pt idx="6">
                  <c:v>0.92444636611652209</c:v>
                </c:pt>
                <c:pt idx="7">
                  <c:v>0.92115816196571554</c:v>
                </c:pt>
                <c:pt idx="8">
                  <c:v>0.91787503495164047</c:v>
                </c:pt>
                <c:pt idx="9">
                  <c:v>0.91459462780349621</c:v>
                </c:pt>
                <c:pt idx="10">
                  <c:v>0.91131462184373913</c:v>
                </c:pt>
                <c:pt idx="11">
                  <c:v>0.90803350839357844</c:v>
                </c:pt>
                <c:pt idx="12">
                  <c:v>0.90475110579279283</c:v>
                </c:pt>
                <c:pt idx="13">
                  <c:v>0.90146777144483281</c:v>
                </c:pt>
                <c:pt idx="14">
                  <c:v>0.89818392679120285</c:v>
                </c:pt>
                <c:pt idx="15">
                  <c:v>0.8948998703326041</c:v>
                </c:pt>
                <c:pt idx="16">
                  <c:v>0.89161571579895749</c:v>
                </c:pt>
                <c:pt idx="17">
                  <c:v>0.8883313847793658</c:v>
                </c:pt>
                <c:pt idx="18">
                  <c:v>0.88504662224389319</c:v>
                </c:pt>
                <c:pt idx="19">
                  <c:v>0.8817610205055868</c:v>
                </c:pt>
                <c:pt idx="20">
                  <c:v>0.87847404527085415</c:v>
                </c:pt>
                <c:pt idx="21">
                  <c:v>0.87518506097380055</c:v>
                </c:pt>
                <c:pt idx="22">
                  <c:v>0.8718933544384202</c:v>
                </c:pt>
                <c:pt idx="23">
                  <c:v>0.86859815676023677</c:v>
                </c:pt>
                <c:pt idx="24">
                  <c:v>0.86529866362611851</c:v>
                </c:pt>
                <c:pt idx="25">
                  <c:v>0.86199405453097144</c:v>
                </c:pt>
                <c:pt idx="26">
                  <c:v>0.85868351144399846</c:v>
                </c:pt>
                <c:pt idx="27">
                  <c:v>0.8565440420164816</c:v>
                </c:pt>
                <c:pt idx="28">
                  <c:v>0.85806385756600279</c:v>
                </c:pt>
                <c:pt idx="29">
                  <c:v>0.85960788019381751</c:v>
                </c:pt>
                <c:pt idx="30">
                  <c:v>0.86117903089035608</c:v>
                </c:pt>
                <c:pt idx="31">
                  <c:v>0.86278046054346325</c:v>
                </c:pt>
                <c:pt idx="32">
                  <c:v>0.86441557756581744</c:v>
                </c:pt>
                <c:pt idx="33">
                  <c:v>0.86608807879222716</c:v>
                </c:pt>
                <c:pt idx="34">
                  <c:v>0.86780198409474518</c:v>
                </c:pt>
                <c:pt idx="35">
                  <c:v>0.86956167520533456</c:v>
                </c:pt>
                <c:pt idx="36">
                  <c:v>0.87137193926210577</c:v>
                </c:pt>
                <c:pt idx="37">
                  <c:v>0.87323801762241882</c:v>
                </c:pt>
                <c:pt idx="38">
                  <c:v>0.87516566049842015</c:v>
                </c:pt>
                <c:pt idx="39">
                  <c:v>0.8771611879449841</c:v>
                </c:pt>
                <c:pt idx="40">
                  <c:v>0.87923155767099259</c:v>
                </c:pt>
                <c:pt idx="41">
                  <c:v>0.8813844399893066</c:v>
                </c:pt>
                <c:pt idx="42">
                  <c:v>0.88362829996894321</c:v>
                </c:pt>
                <c:pt idx="43">
                  <c:v>0.88597248636324988</c:v>
                </c:pt>
                <c:pt idx="44">
                  <c:v>0.88842732614721187</c:v>
                </c:pt>
                <c:pt idx="45">
                  <c:v>0.89100422223319031</c:v>
                </c:pt>
                <c:pt idx="46">
                  <c:v>0.8937157500023829</c:v>
                </c:pt>
                <c:pt idx="47">
                  <c:v>0.89657574517363248</c:v>
                </c:pt>
                <c:pt idx="48">
                  <c:v>0.89959826342013915</c:v>
                </c:pt>
                <c:pt idx="49">
                  <c:v>0.90345783616847752</c:v>
                </c:pt>
                <c:pt idx="50">
                  <c:v>0.90774766383492911</c:v>
                </c:pt>
                <c:pt idx="51">
                  <c:v>0.91235288498208122</c:v>
                </c:pt>
                <c:pt idx="52">
                  <c:v>0.91729104140800388</c:v>
                </c:pt>
                <c:pt idx="53">
                  <c:v>0.92258203347245793</c:v>
                </c:pt>
                <c:pt idx="54">
                  <c:v>0.92824839509510038</c:v>
                </c:pt>
                <c:pt idx="55">
                  <c:v>0.93431561997446733</c:v>
                </c:pt>
                <c:pt idx="56">
                  <c:v>0.94120105971355716</c:v>
                </c:pt>
                <c:pt idx="57">
                  <c:v>0.94983178730780438</c:v>
                </c:pt>
                <c:pt idx="58">
                  <c:v>0.95918343626554281</c:v>
                </c:pt>
                <c:pt idx="59">
                  <c:v>0.96932310700975122</c:v>
                </c:pt>
                <c:pt idx="60">
                  <c:v>0.9803274373958264</c:v>
                </c:pt>
                <c:pt idx="61">
                  <c:v>0.99228417501501243</c:v>
                </c:pt>
                <c:pt idx="62">
                  <c:v>1.005294064370309</c:v>
                </c:pt>
                <c:pt idx="63">
                  <c:v>1.0194731188668855</c:v>
                </c:pt>
                <c:pt idx="64">
                  <c:v>1.0351858456018883</c:v>
                </c:pt>
                <c:pt idx="65">
                  <c:v>1.0531402426138463</c:v>
                </c:pt>
                <c:pt idx="66">
                  <c:v>1.0727875807921354</c:v>
                </c:pt>
                <c:pt idx="67">
                  <c:v>1.0943326283250625</c:v>
                </c:pt>
                <c:pt idx="68">
                  <c:v>1.1180123745956674</c:v>
                </c:pt>
                <c:pt idx="69">
                  <c:v>1.1441016876336758</c:v>
                </c:pt>
                <c:pt idx="70">
                  <c:v>1.1729199614907284</c:v>
                </c:pt>
                <c:pt idx="71">
                  <c:v>1.2048388761340638</c:v>
                </c:pt>
                <c:pt idx="72">
                  <c:v>1.2402913812713585</c:v>
                </c:pt>
                <c:pt idx="73">
                  <c:v>1.2797820008094611</c:v>
                </c:pt>
                <c:pt idx="74">
                  <c:v>1.3238985607972613</c:v>
                </c:pt>
                <c:pt idx="75">
                  <c:v>1.3733255450241231</c:v>
                </c:pt>
                <c:pt idx="76">
                  <c:v>1.4288596686788892</c:v>
                </c:pt>
                <c:pt idx="77">
                  <c:v>1.4914293760607589</c:v>
                </c:pt>
                <c:pt idx="78">
                  <c:v>1.5621227871988184</c:v>
                </c:pt>
                <c:pt idx="79">
                  <c:v>1.6422341911813072</c:v>
                </c:pt>
                <c:pt idx="80">
                  <c:v>1.7330649559517999</c:v>
                </c:pt>
                <c:pt idx="81">
                  <c:v>1.839674214298417</c:v>
                </c:pt>
                <c:pt idx="82">
                  <c:v>1.9586028339779271</c:v>
                </c:pt>
                <c:pt idx="83">
                  <c:v>2.0869638457778903</c:v>
                </c:pt>
                <c:pt idx="84">
                  <c:v>2.2210222447788754</c:v>
                </c:pt>
                <c:pt idx="85">
                  <c:v>2.3559505384902804</c:v>
                </c:pt>
                <c:pt idx="86">
                  <c:v>2.4867645160202017</c:v>
                </c:pt>
                <c:pt idx="87">
                  <c:v>2.6092800042628439</c:v>
                </c:pt>
                <c:pt idx="88">
                  <c:v>2.720531031482047</c:v>
                </c:pt>
                <c:pt idx="89">
                  <c:v>2.818654004363478</c:v>
                </c:pt>
                <c:pt idx="90">
                  <c:v>2.9043071926103421</c:v>
                </c:pt>
                <c:pt idx="91">
                  <c:v>3.0839442942705739</c:v>
                </c:pt>
                <c:pt idx="92">
                  <c:v>-3.1134156996682814</c:v>
                </c:pt>
                <c:pt idx="93">
                  <c:v>-3.0668925462336727</c:v>
                </c:pt>
                <c:pt idx="94">
                  <c:v>-3.040196694910092</c:v>
                </c:pt>
                <c:pt idx="95">
                  <c:v>-3.0237928893719408</c:v>
                </c:pt>
                <c:pt idx="96">
                  <c:v>-3.0145926031127508</c:v>
                </c:pt>
                <c:pt idx="97">
                  <c:v>-3.0095308749370715</c:v>
                </c:pt>
                <c:pt idx="98">
                  <c:v>-3.0072534939750692</c:v>
                </c:pt>
                <c:pt idx="99">
                  <c:v>-3.0064792955356379</c:v>
                </c:pt>
                <c:pt idx="100">
                  <c:v>-3.0065092356233438</c:v>
                </c:pt>
                <c:pt idx="101">
                  <c:v>-3.0069849071049615</c:v>
                </c:pt>
                <c:pt idx="102">
                  <c:v>-3.007710144846103</c:v>
                </c:pt>
                <c:pt idx="103">
                  <c:v>-3.0085724686855979</c:v>
                </c:pt>
                <c:pt idx="104">
                  <c:v>-3.0095052374553894</c:v>
                </c:pt>
                <c:pt idx="105">
                  <c:v>-3.0104681120383567</c:v>
                </c:pt>
                <c:pt idx="106">
                  <c:v>-3.0114364040308357</c:v>
                </c:pt>
                <c:pt idx="107">
                  <c:v>-3.0123950072126964</c:v>
                </c:pt>
                <c:pt idx="108">
                  <c:v>-3.0133348132580551</c:v>
                </c:pt>
                <c:pt idx="109">
                  <c:v>-3.0142505308539507</c:v>
                </c:pt>
                <c:pt idx="110">
                  <c:v>-3.0151393255889016</c:v>
                </c:pt>
                <c:pt idx="111">
                  <c:v>-3.0159999544102041</c:v>
                </c:pt>
                <c:pt idx="112">
                  <c:v>-3.0168322055593713</c:v>
                </c:pt>
                <c:pt idx="113">
                  <c:v>-3.0176365313892073</c:v>
                </c:pt>
                <c:pt idx="114">
                  <c:v>-3.0184138053044092</c:v>
                </c:pt>
                <c:pt idx="115">
                  <c:v>-3.0191651597488001</c:v>
                </c:pt>
                <c:pt idx="116">
                  <c:v>-3.0198918780242234</c:v>
                </c:pt>
                <c:pt idx="117">
                  <c:v>-3.0205953220665629</c:v>
                </c:pt>
                <c:pt idx="118">
                  <c:v>-3.0212768847319493</c:v>
                </c:pt>
                <c:pt idx="119">
                  <c:v>-3.0219379586608972</c:v>
                </c:pt>
                <c:pt idx="120">
                  <c:v>-3.0225799166632772</c:v>
                </c:pt>
                <c:pt idx="121">
                  <c:v>-3.0232040999745591</c:v>
                </c:pt>
                <c:pt idx="122">
                  <c:v>-3.0238255165683756</c:v>
                </c:pt>
                <c:pt idx="123">
                  <c:v>-3.024432673608934</c:v>
                </c:pt>
                <c:pt idx="124">
                  <c:v>-3.0250260678818122</c:v>
                </c:pt>
                <c:pt idx="125">
                  <c:v>-3.0256069080033914</c:v>
                </c:pt>
                <c:pt idx="126">
                  <c:v>-3.0261763693518189</c:v>
                </c:pt>
                <c:pt idx="127">
                  <c:v>-3.0267355989201201</c:v>
                </c:pt>
                <c:pt idx="128">
                  <c:v>-3.0272857208045862</c:v>
                </c:pt>
                <c:pt idx="129">
                  <c:v>-3.0278278424674498</c:v>
                </c:pt>
                <c:pt idx="130">
                  <c:v>-3.0283630614664978</c:v>
                </c:pt>
                <c:pt idx="131">
                  <c:v>-3.0288924727389208</c:v>
                </c:pt>
                <c:pt idx="132">
                  <c:v>-3.0294171765374509</c:v>
                </c:pt>
                <c:pt idx="133">
                  <c:v>-3.0299382869350437</c:v>
                </c:pt>
                <c:pt idx="134">
                  <c:v>-3.0304569411263751</c:v>
                </c:pt>
                <c:pt idx="135">
                  <c:v>-3.0309743096653063</c:v>
                </c:pt>
                <c:pt idx="136">
                  <c:v>-3.0314916077084297</c:v>
                </c:pt>
                <c:pt idx="137">
                  <c:v>-3.0320101076449055</c:v>
                </c:pt>
                <c:pt idx="138">
                  <c:v>-3.0325311532615351</c:v>
                </c:pt>
                <c:pt idx="139">
                  <c:v>-3.0330561758420429</c:v>
                </c:pt>
                <c:pt idx="140">
                  <c:v>-3.0335867125923102</c:v>
                </c:pt>
                <c:pt idx="141">
                  <c:v>-3.0341244278985573</c:v>
                </c:pt>
                <c:pt idx="142">
                  <c:v>-3.0346711380447506</c:v>
                </c:pt>
                <c:pt idx="143">
                  <c:v>-3.03522884010011</c:v>
                </c:pt>
                <c:pt idx="144">
                  <c:v>-3.0357997459860364</c:v>
                </c:pt>
                <c:pt idx="145">
                  <c:v>-3.0363863228429762</c:v>
                </c:pt>
                <c:pt idx="146">
                  <c:v>-3.0369913412328833</c:v>
                </c:pt>
                <c:pt idx="147">
                  <c:v>-3.0376179328967154</c:v>
                </c:pt>
                <c:pt idx="148">
                  <c:v>-3.0382696606513955</c:v>
                </c:pt>
                <c:pt idx="149">
                  <c:v>-3.0389499605777943</c:v>
                </c:pt>
                <c:pt idx="150">
                  <c:v>-3.0396529126847476</c:v>
                </c:pt>
                <c:pt idx="151">
                  <c:v>-3.0403960721550694</c:v>
                </c:pt>
                <c:pt idx="152">
                  <c:v>-3.041185860539938</c:v>
                </c:pt>
                <c:pt idx="153">
                  <c:v>-3.0420298152647423</c:v>
                </c:pt>
                <c:pt idx="154">
                  <c:v>-3.0429368399168815</c:v>
                </c:pt>
                <c:pt idx="155">
                  <c:v>-3.0439175211642784</c:v>
                </c:pt>
                <c:pt idx="156">
                  <c:v>-3.0449845333822814</c:v>
                </c:pt>
                <c:pt idx="157">
                  <c:v>-3.0461531597124227</c:v>
                </c:pt>
                <c:pt idx="158">
                  <c:v>-3.0474419695448209</c:v>
                </c:pt>
                <c:pt idx="159">
                  <c:v>-3.0488737081387085</c:v>
                </c:pt>
                <c:pt idx="160">
                  <c:v>-3.050476477835268</c:v>
                </c:pt>
                <c:pt idx="161">
                  <c:v>-3.0522853249356845</c:v>
                </c:pt>
                <c:pt idx="162">
                  <c:v>-3.0543443993110864</c:v>
                </c:pt>
                <c:pt idx="163">
                  <c:v>-3.056709935038679</c:v>
                </c:pt>
                <c:pt idx="164">
                  <c:v>-3.0594544282328129</c:v>
                </c:pt>
                <c:pt idx="165">
                  <c:v>-3.0626555228880088</c:v>
                </c:pt>
                <c:pt idx="166">
                  <c:v>-3.0663104714093352</c:v>
                </c:pt>
                <c:pt idx="167">
                  <c:v>-3.070385024234116</c:v>
                </c:pt>
                <c:pt idx="168">
                  <c:v>-3.0748464308143379</c:v>
                </c:pt>
                <c:pt idx="169">
                  <c:v>-3.0796624060256019</c:v>
                </c:pt>
                <c:pt idx="170">
                  <c:v>-3.084800046805162</c:v>
                </c:pt>
                <c:pt idx="171">
                  <c:v>-3.0902247151366917</c:v>
                </c:pt>
                <c:pt idx="172">
                  <c:v>-3.0958988647506387</c:v>
                </c:pt>
                <c:pt idx="173">
                  <c:v>-3.101780833650233</c:v>
                </c:pt>
                <c:pt idx="174">
                  <c:v>-3.107823764858523</c:v>
                </c:pt>
                <c:pt idx="175">
                  <c:v>-3.1139753267870121</c:v>
                </c:pt>
                <c:pt idx="176">
                  <c:v>-3.1201810617849888</c:v>
                </c:pt>
                <c:pt idx="177">
                  <c:v>-3.126403044214523</c:v>
                </c:pt>
                <c:pt idx="178">
                  <c:v>-3.1326385039244116</c:v>
                </c:pt>
                <c:pt idx="179">
                  <c:v>-3.1390778652982685</c:v>
                </c:pt>
                <c:pt idx="180">
                  <c:v>3.1375781487803254</c:v>
                </c:pt>
                <c:pt idx="181">
                  <c:v>3.1327550565967175</c:v>
                </c:pt>
                <c:pt idx="182">
                  <c:v>3.1280559665912415</c:v>
                </c:pt>
                <c:pt idx="183">
                  <c:v>3.1232145121221708</c:v>
                </c:pt>
                <c:pt idx="184">
                  <c:v>3.1184372800421847</c:v>
                </c:pt>
                <c:pt idx="185">
                  <c:v>3.1137079318151342</c:v>
                </c:pt>
                <c:pt idx="186">
                  <c:v>3.1090211878404044</c:v>
                </c:pt>
                <c:pt idx="187">
                  <c:v>3.1043824642433928</c:v>
                </c:pt>
                <c:pt idx="188">
                  <c:v>3.0997151614471141</c:v>
                </c:pt>
                <c:pt idx="189">
                  <c:v>3.0950790345305355</c:v>
                </c:pt>
                <c:pt idx="190">
                  <c:v>3.0905058287856071</c:v>
                </c:pt>
                <c:pt idx="191">
                  <c:v>3.0859953541778165</c:v>
                </c:pt>
                <c:pt idx="192">
                  <c:v>3.0815464108433015</c:v>
                </c:pt>
                <c:pt idx="193">
                  <c:v>3.0771571335752439</c:v>
                </c:pt>
                <c:pt idx="194">
                  <c:v>3.0728252477719464</c:v>
                </c:pt>
                <c:pt idx="195">
                  <c:v>3.0685482564533726</c:v>
                </c:pt>
                <c:pt idx="196">
                  <c:v>3.0643235767226216</c:v>
                </c:pt>
                <c:pt idx="197">
                  <c:v>3.0601486399140674</c:v>
                </c:pt>
                <c:pt idx="198">
                  <c:v>3.0560209663776554</c:v>
                </c:pt>
                <c:pt idx="199">
                  <c:v>3.0519382228048686</c:v>
                </c:pt>
                <c:pt idx="200">
                  <c:v>3.0478982678340469</c:v>
                </c:pt>
                <c:pt idx="201">
                  <c:v>3.0438991904980717</c:v>
                </c:pt>
                <c:pt idx="202">
                  <c:v>3.0399393447683063</c:v>
                </c:pt>
                <c:pt idx="203">
                  <c:v>3.036008168623558</c:v>
                </c:pt>
                <c:pt idx="204">
                  <c:v>3.0321108372254439</c:v>
                </c:pt>
                <c:pt idx="205">
                  <c:v>3.0282482386689562</c:v>
                </c:pt>
                <c:pt idx="206">
                  <c:v>3.0244198115278467</c:v>
                </c:pt>
                <c:pt idx="207">
                  <c:v>3.0206199003362504</c:v>
                </c:pt>
                <c:pt idx="208">
                  <c:v>3.0168372642258254</c:v>
                </c:pt>
                <c:pt idx="209">
                  <c:v>3.0130614697072904</c:v>
                </c:pt>
                <c:pt idx="210">
                  <c:v>3.009283022746557</c:v>
                </c:pt>
                <c:pt idx="211">
                  <c:v>3.0054931514201049</c:v>
                </c:pt>
                <c:pt idx="212">
                  <c:v>3.0016836284939634</c:v>
                </c:pt>
                <c:pt idx="213">
                  <c:v>2.9978466241759358</c:v>
                </c:pt>
                <c:pt idx="214">
                  <c:v>2.9939745815106464</c:v>
                </c:pt>
                <c:pt idx="215">
                  <c:v>2.9900601088915479</c:v>
                </c:pt>
                <c:pt idx="216">
                  <c:v>2.9860958851325643</c:v>
                </c:pt>
                <c:pt idx="217">
                  <c:v>2.9820745736045162</c:v>
                </c:pt>
                <c:pt idx="218">
                  <c:v>2.9779887425912328</c:v>
                </c:pt>
                <c:pt idx="219">
                  <c:v>2.973830789477617</c:v>
                </c:pt>
                <c:pt idx="220">
                  <c:v>2.9695928666240192</c:v>
                </c:pt>
                <c:pt idx="221">
                  <c:v>2.9652668071378327</c:v>
                </c:pt>
                <c:pt idx="222">
                  <c:v>2.9608440488124979</c:v>
                </c:pt>
                <c:pt idx="223">
                  <c:v>2.9563155544837656</c:v>
                </c:pt>
                <c:pt idx="224">
                  <c:v>2.9516717271987236</c:v>
                </c:pt>
                <c:pt idx="225">
                  <c:v>2.9469023182497178</c:v>
                </c:pt>
                <c:pt idx="226">
                  <c:v>2.9419963263093445</c:v>
                </c:pt>
                <c:pt idx="227">
                  <c:v>2.9369418853126481</c:v>
                </c:pt>
                <c:pt idx="228">
                  <c:v>2.9317261387138198</c:v>
                </c:pt>
                <c:pt idx="229">
                  <c:v>2.9263350971312985</c:v>
                </c:pt>
                <c:pt idx="230">
                  <c:v>2.9207534760473761</c:v>
                </c:pt>
                <c:pt idx="231">
                  <c:v>2.9149645093956118</c:v>
                </c:pt>
                <c:pt idx="232">
                  <c:v>2.9089497342072486</c:v>
                </c:pt>
                <c:pt idx="233">
                  <c:v>2.902688740253935</c:v>
                </c:pt>
                <c:pt idx="234">
                  <c:v>2.8961588774511764</c:v>
                </c:pt>
                <c:pt idx="235">
                  <c:v>2.8893349119359284</c:v>
                </c:pt>
                <c:pt idx="236">
                  <c:v>2.8821886196263935</c:v>
                </c:pt>
                <c:pt idx="237">
                  <c:v>2.8746883032771287</c:v>
                </c:pt>
                <c:pt idx="238">
                  <c:v>2.8667982153465172</c:v>
                </c:pt>
                <c:pt idx="239">
                  <c:v>2.8584778643486168</c:v>
                </c:pt>
                <c:pt idx="240">
                  <c:v>2.8496811761390468</c:v>
                </c:pt>
                <c:pt idx="241">
                  <c:v>2.8403554734840992</c:v>
                </c:pt>
                <c:pt idx="242">
                  <c:v>2.8304402262927191</c:v>
                </c:pt>
                <c:pt idx="243">
                  <c:v>2.8198655105399029</c:v>
                </c:pt>
                <c:pt idx="244">
                  <c:v>2.8085500940939707</c:v>
                </c:pt>
                <c:pt idx="245">
                  <c:v>2.7962689406055099</c:v>
                </c:pt>
                <c:pt idx="246">
                  <c:v>2.7819540272632528</c:v>
                </c:pt>
                <c:pt idx="247">
                  <c:v>2.7663941547614863</c:v>
                </c:pt>
                <c:pt idx="248">
                  <c:v>2.7501400984998257</c:v>
                </c:pt>
                <c:pt idx="249">
                  <c:v>2.7323765448032371</c:v>
                </c:pt>
                <c:pt idx="250">
                  <c:v>2.7128153998258142</c:v>
                </c:pt>
                <c:pt idx="251">
                  <c:v>2.6911488553179321</c:v>
                </c:pt>
                <c:pt idx="252">
                  <c:v>2.6669967278865161</c:v>
                </c:pt>
                <c:pt idx="253">
                  <c:v>2.6406414983296838</c:v>
                </c:pt>
                <c:pt idx="254">
                  <c:v>2.61416267733473</c:v>
                </c:pt>
                <c:pt idx="255">
                  <c:v>2.5840390755111802</c:v>
                </c:pt>
                <c:pt idx="256">
                  <c:v>2.5494430198880327</c:v>
                </c:pt>
                <c:pt idx="257">
                  <c:v>2.5093135082433191</c:v>
                </c:pt>
                <c:pt idx="258">
                  <c:v>2.4629908232069053</c:v>
                </c:pt>
                <c:pt idx="259">
                  <c:v>2.410529899105029</c:v>
                </c:pt>
                <c:pt idx="260">
                  <c:v>2.3520917176232299</c:v>
                </c:pt>
                <c:pt idx="261">
                  <c:v>2.292298313765615</c:v>
                </c:pt>
                <c:pt idx="262">
                  <c:v>2.2382618330090134</c:v>
                </c:pt>
                <c:pt idx="263">
                  <c:v>2.1843508939778782</c:v>
                </c:pt>
                <c:pt idx="264">
                  <c:v>2.1258934797628655</c:v>
                </c:pt>
                <c:pt idx="265">
                  <c:v>2.0628220075224659</c:v>
                </c:pt>
                <c:pt idx="266">
                  <c:v>2.0201877477092127</c:v>
                </c:pt>
                <c:pt idx="267">
                  <c:v>1.9820050614360674</c:v>
                </c:pt>
                <c:pt idx="268">
                  <c:v>1.9439057564583084</c:v>
                </c:pt>
                <c:pt idx="269">
                  <c:v>1.9062091312896015</c:v>
                </c:pt>
                <c:pt idx="270">
                  <c:v>1.8689225938151597</c:v>
                </c:pt>
                <c:pt idx="271">
                  <c:v>1.8316976910587754</c:v>
                </c:pt>
                <c:pt idx="272">
                  <c:v>1.7947455995753623</c:v>
                </c:pt>
                <c:pt idx="273">
                  <c:v>1.7580756426178619</c:v>
                </c:pt>
                <c:pt idx="274">
                  <c:v>1.7219964342260903</c:v>
                </c:pt>
                <c:pt idx="275">
                  <c:v>1.6870259058518879</c:v>
                </c:pt>
                <c:pt idx="276">
                  <c:v>1.6534864257928814</c:v>
                </c:pt>
                <c:pt idx="277">
                  <c:v>1.6215357933421279</c:v>
                </c:pt>
                <c:pt idx="278">
                  <c:v>1.5912387272053197</c:v>
                </c:pt>
                <c:pt idx="279">
                  <c:v>1.5626116437173414</c:v>
                </c:pt>
                <c:pt idx="280">
                  <c:v>1.5371302857045845</c:v>
                </c:pt>
                <c:pt idx="281">
                  <c:v>1.5200966014334969</c:v>
                </c:pt>
                <c:pt idx="282">
                  <c:v>1.5035521327795272</c:v>
                </c:pt>
                <c:pt idx="283">
                  <c:v>1.4876012382689339</c:v>
                </c:pt>
                <c:pt idx="284">
                  <c:v>1.4723502888820932</c:v>
                </c:pt>
                <c:pt idx="285">
                  <c:v>1.4579143831524428</c:v>
                </c:pt>
                <c:pt idx="286">
                  <c:v>1.4443593550970473</c:v>
                </c:pt>
                <c:pt idx="287">
                  <c:v>1.4315687519120379</c:v>
                </c:pt>
                <c:pt idx="288">
                  <c:v>1.4194175589497358</c:v>
                </c:pt>
                <c:pt idx="289">
                  <c:v>1.4078066851297997</c:v>
                </c:pt>
                <c:pt idx="290">
                  <c:v>1.3966563506300471</c:v>
                </c:pt>
                <c:pt idx="291">
                  <c:v>1.3859013950737171</c:v>
                </c:pt>
                <c:pt idx="292">
                  <c:v>1.375487886377692</c:v>
                </c:pt>
                <c:pt idx="293">
                  <c:v>1.3653706283580782</c:v>
                </c:pt>
                <c:pt idx="294">
                  <c:v>1.3555113007252149</c:v>
                </c:pt>
                <c:pt idx="295">
                  <c:v>1.3458770514302156</c:v>
                </c:pt>
                <c:pt idx="296">
                  <c:v>1.3364394174031187</c:v>
                </c:pt>
                <c:pt idx="297">
                  <c:v>1.3271734869830205</c:v>
                </c:pt>
                <c:pt idx="298">
                  <c:v>1.3180572424281265</c:v>
                </c:pt>
                <c:pt idx="299">
                  <c:v>1.3090710381296418</c:v>
                </c:pt>
                <c:pt idx="300">
                  <c:v>1.3001971821495115</c:v>
                </c:pt>
                <c:pt idx="301">
                  <c:v>1.291419597155173</c:v>
                </c:pt>
                <c:pt idx="302">
                  <c:v>1.282723542877704</c:v>
                </c:pt>
                <c:pt idx="303">
                  <c:v>1.274095386592925</c:v>
                </c:pt>
                <c:pt idx="304">
                  <c:v>1.2655224113153174</c:v>
                </c:pt>
                <c:pt idx="305">
                  <c:v>1.2569926537571869</c:v>
                </c:pt>
                <c:pt idx="306">
                  <c:v>1.2484947658559631</c:v>
                </c:pt>
                <c:pt idx="307">
                  <c:v>1.2400178949903791</c:v>
                </c:pt>
                <c:pt idx="308">
                  <c:v>1.2315515789976621</c:v>
                </c:pt>
                <c:pt idx="309">
                  <c:v>1.2230856528590164</c:v>
                </c:pt>
                <c:pt idx="310">
                  <c:v>1.2146101644909852</c:v>
                </c:pt>
                <c:pt idx="311">
                  <c:v>1.2061152975146372</c:v>
                </c:pt>
                <c:pt idx="312">
                  <c:v>1.1975912992040032</c:v>
                </c:pt>
                <c:pt idx="313">
                  <c:v>1.1890284120670811</c:v>
                </c:pt>
                <c:pt idx="314">
                  <c:v>1.180420207590914</c:v>
                </c:pt>
                <c:pt idx="315">
                  <c:v>1.1717833162361015</c:v>
                </c:pt>
                <c:pt idx="316">
                  <c:v>1.1631398159862569</c:v>
                </c:pt>
                <c:pt idx="317">
                  <c:v>1.1545065356183748</c:v>
                </c:pt>
                <c:pt idx="318">
                  <c:v>1.1458961620826456</c:v>
                </c:pt>
                <c:pt idx="319">
                  <c:v>1.1373181282776088</c:v>
                </c:pt>
                <c:pt idx="320">
                  <c:v>1.1303879448649492</c:v>
                </c:pt>
                <c:pt idx="321">
                  <c:v>1.1245926400787656</c:v>
                </c:pt>
                <c:pt idx="322">
                  <c:v>1.1188716613978635</c:v>
                </c:pt>
                <c:pt idx="323">
                  <c:v>1.113225013213214</c:v>
                </c:pt>
                <c:pt idx="324">
                  <c:v>1.1076520539929369</c:v>
                </c:pt>
                <c:pt idx="325">
                  <c:v>1.1021516528191093</c:v>
                </c:pt>
                <c:pt idx="326">
                  <c:v>1.0967223140909224</c:v>
                </c:pt>
                <c:pt idx="327">
                  <c:v>1.0913622775748493</c:v>
                </c:pt>
                <c:pt idx="328">
                  <c:v>1.086069599199925</c:v>
                </c:pt>
                <c:pt idx="329">
                  <c:v>1.0808422169431473</c:v>
                </c:pt>
                <c:pt idx="330">
                  <c:v>1.0756780051774257</c:v>
                </c:pt>
                <c:pt idx="331">
                  <c:v>1.0705748201057266</c:v>
                </c:pt>
                <c:pt idx="332">
                  <c:v>1.0655305385341456</c:v>
                </c:pt>
                <c:pt idx="333">
                  <c:v>1.0605430916726677</c:v>
                </c:pt>
                <c:pt idx="334">
                  <c:v>1.055610495474824</c:v>
                </c:pt>
                <c:pt idx="335">
                  <c:v>1.0507308787525342</c:v>
                </c:pt>
                <c:pt idx="336">
                  <c:v>1.0459025101359096</c:v>
                </c:pt>
                <c:pt idx="337">
                  <c:v>1.0411238247693764</c:v>
                </c:pt>
                <c:pt idx="338">
                  <c:v>1.0363934516328401</c:v>
                </c:pt>
                <c:pt idx="339">
                  <c:v>1.0317102420803137</c:v>
                </c:pt>
                <c:pt idx="340">
                  <c:v>1.0270733002160906</c:v>
                </c:pt>
                <c:pt idx="341">
                  <c:v>1.0224820153802401</c:v>
                </c:pt>
                <c:pt idx="342">
                  <c:v>1.0179360966400119</c:v>
                </c:pt>
                <c:pt idx="343">
                  <c:v>1.0134356085655667</c:v>
                </c:pt>
                <c:pt idx="344">
                  <c:v>1.0089810062451623</c:v>
                </c:pt>
                <c:pt idx="345">
                  <c:v>1.0045731652308061</c:v>
                </c:pt>
                <c:pt idx="346">
                  <c:v>1.0002133979720267</c:v>
                </c:pt>
                <c:pt idx="347">
                  <c:v>0.99590344007502662</c:v>
                </c:pt>
                <c:pt idx="348">
                  <c:v>0.99164537429812794</c:v>
                </c:pt>
                <c:pt idx="349">
                  <c:v>0.98744142845930416</c:v>
                </c:pt>
                <c:pt idx="350">
                  <c:v>0.98329351710179713</c:v>
                </c:pt>
                <c:pt idx="351">
                  <c:v>0.97920225001902317</c:v>
                </c:pt>
                <c:pt idx="352">
                  <c:v>0.97516548134424785</c:v>
                </c:pt>
                <c:pt idx="353">
                  <c:v>0.97117954789393401</c:v>
                </c:pt>
                <c:pt idx="354">
                  <c:v>0.96724085194811815</c:v>
                </c:pt>
                <c:pt idx="355">
                  <c:v>0.96334593646831701</c:v>
                </c:pt>
                <c:pt idx="356">
                  <c:v>0.95949147214388186</c:v>
                </c:pt>
                <c:pt idx="357">
                  <c:v>0.95567424526284683</c:v>
                </c:pt>
                <c:pt idx="358">
                  <c:v>0.95189114631836391</c:v>
                </c:pt>
                <c:pt idx="359">
                  <c:v>0.94813915921768743</c:v>
                </c:pt>
                <c:pt idx="360">
                  <c:v>0.94441535108846919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39-4C29-979B-E30241554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352424</xdr:colOff>
      <xdr:row>2</xdr:row>
      <xdr:rowOff>85724</xdr:rowOff>
    </xdr:from>
    <xdr:to>
      <xdr:col>18</xdr:col>
      <xdr:colOff>381000</xdr:colOff>
      <xdr:row>28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590550</xdr:colOff>
      <xdr:row>29</xdr:row>
      <xdr:rowOff>95251</xdr:rowOff>
    </xdr:from>
    <xdr:to>
      <xdr:col>23</xdr:col>
      <xdr:colOff>590550</xdr:colOff>
      <xdr:row>47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</xdr:row>
          <xdr:rowOff>9525</xdr:rowOff>
        </xdr:from>
        <xdr:to>
          <xdr:col>9</xdr:col>
          <xdr:colOff>190500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NA Depth for Sum P=0 @ Constant NA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8</xdr:row>
          <xdr:rowOff>28575</xdr:rowOff>
        </xdr:from>
        <xdr:to>
          <xdr:col>9</xdr:col>
          <xdr:colOff>200025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Both NA Depth and Angle for User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295275</xdr:colOff>
          <xdr:row>24</xdr:row>
          <xdr:rowOff>85725</xdr:rowOff>
        </xdr:from>
        <xdr:to>
          <xdr:col>20</xdr:col>
          <xdr:colOff>800100</xdr:colOff>
          <xdr:row>27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a Solution with Matching Unit Vector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5556</xdr:colOff>
      <xdr:row>21</xdr:row>
      <xdr:rowOff>162718</xdr:rowOff>
    </xdr:from>
    <xdr:to>
      <xdr:col>31</xdr:col>
      <xdr:colOff>484982</xdr:colOff>
      <xdr:row>37</xdr:row>
      <xdr:rowOff>3174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383382</xdr:colOff>
      <xdr:row>0</xdr:row>
      <xdr:rowOff>121443</xdr:rowOff>
    </xdr:from>
    <xdr:to>
      <xdr:col>43</xdr:col>
      <xdr:colOff>526256</xdr:colOff>
      <xdr:row>25</xdr:row>
      <xdr:rowOff>128588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431006</xdr:colOff>
      <xdr:row>26</xdr:row>
      <xdr:rowOff>50005</xdr:rowOff>
    </xdr:from>
    <xdr:to>
      <xdr:col>43</xdr:col>
      <xdr:colOff>573880</xdr:colOff>
      <xdr:row>51</xdr:row>
      <xdr:rowOff>126206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385761</xdr:colOff>
      <xdr:row>52</xdr:row>
      <xdr:rowOff>30957</xdr:rowOff>
    </xdr:from>
    <xdr:to>
      <xdr:col>43</xdr:col>
      <xdr:colOff>583406</xdr:colOff>
      <xdr:row>82</xdr:row>
      <xdr:rowOff>23812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295275</xdr:colOff>
          <xdr:row>2</xdr:row>
          <xdr:rowOff>85725</xdr:rowOff>
        </xdr:from>
        <xdr:to>
          <xdr:col>31</xdr:col>
          <xdr:colOff>180975</xdr:colOff>
          <xdr:row>5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Mx vs My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54E9-EA59-4EEC-AB5F-C1E14D94F20F}">
  <sheetPr codeName="Sheet1"/>
  <dimension ref="A1:EK378"/>
  <sheetViews>
    <sheetView tabSelected="1" zoomScale="80" zoomScaleNormal="80" workbookViewId="0">
      <selection activeCell="DX4" sqref="DX4"/>
    </sheetView>
  </sheetViews>
  <sheetFormatPr defaultColWidth="8.85546875" defaultRowHeight="15" x14ac:dyDescent="0.25"/>
  <cols>
    <col min="1" max="1" width="15.28515625" customWidth="1"/>
    <col min="2" max="2" width="16" customWidth="1"/>
    <col min="3" max="3" width="12.42578125" customWidth="1"/>
    <col min="4" max="5" width="11.140625" customWidth="1"/>
    <col min="12" max="12" width="12.42578125" customWidth="1"/>
    <col min="13" max="13" width="13.140625" bestFit="1" customWidth="1"/>
    <col min="14" max="14" width="11.42578125" bestFit="1" customWidth="1"/>
    <col min="15" max="15" width="12.140625" bestFit="1" customWidth="1"/>
    <col min="16" max="16" width="10.7109375" bestFit="1" customWidth="1"/>
    <col min="20" max="20" width="16.5703125" customWidth="1"/>
    <col min="21" max="21" width="12.85546875" bestFit="1" customWidth="1"/>
    <col min="22" max="22" width="12.7109375" bestFit="1" customWidth="1"/>
    <col min="23" max="23" width="12.140625" bestFit="1" customWidth="1"/>
    <col min="24" max="24" width="11" bestFit="1" customWidth="1"/>
    <col min="25" max="25" width="10.28515625" bestFit="1" customWidth="1"/>
    <col min="26" max="26" width="11.42578125" bestFit="1" customWidth="1"/>
    <col min="27" max="28" width="11" bestFit="1" customWidth="1"/>
    <col min="29" max="29" width="11.42578125" bestFit="1" customWidth="1"/>
    <col min="30" max="30" width="14" bestFit="1" customWidth="1"/>
    <col min="31" max="31" width="11" bestFit="1" customWidth="1"/>
    <col min="45" max="47" width="13.7109375" style="6" bestFit="1" customWidth="1"/>
    <col min="48" max="48" width="14.42578125" style="6" bestFit="1" customWidth="1"/>
    <col min="49" max="49" width="19.42578125" style="6" bestFit="1" customWidth="1"/>
    <col min="50" max="50" width="19.140625" style="6" bestFit="1" customWidth="1"/>
    <col min="51" max="51" width="24.28515625" style="6" bestFit="1" customWidth="1"/>
    <col min="52" max="52" width="11" style="49" bestFit="1" customWidth="1"/>
    <col min="53" max="53" width="19.42578125" style="49" bestFit="1" customWidth="1"/>
    <col min="54" max="54" width="19.140625" style="49" bestFit="1" customWidth="1"/>
    <col min="55" max="56" width="24.28515625" style="49" bestFit="1" customWidth="1"/>
    <col min="57" max="57" width="10.7109375" bestFit="1" customWidth="1"/>
    <col min="58" max="58" width="14.42578125" bestFit="1" customWidth="1"/>
    <col min="59" max="59" width="19.42578125" bestFit="1" customWidth="1"/>
    <col min="60" max="60" width="19.140625" bestFit="1" customWidth="1"/>
    <col min="61" max="61" width="24.28515625" bestFit="1" customWidth="1"/>
    <col min="65" max="65" width="13.7109375" bestFit="1" customWidth="1"/>
    <col min="70" max="71" width="13.7109375" bestFit="1" customWidth="1"/>
    <col min="72" max="72" width="11" bestFit="1" customWidth="1"/>
    <col min="73" max="73" width="13" bestFit="1" customWidth="1"/>
    <col min="78" max="78" width="13" bestFit="1" customWidth="1"/>
    <col min="80" max="80" width="10.7109375" bestFit="1" customWidth="1"/>
    <col min="81" max="81" width="14.42578125" customWidth="1"/>
    <col min="83" max="83" width="8.85546875" customWidth="1"/>
    <col min="84" max="84" width="9.28515625" bestFit="1" customWidth="1"/>
    <col min="85" max="85" width="13" bestFit="1" customWidth="1"/>
    <col min="86" max="88" width="13.7109375" bestFit="1" customWidth="1"/>
    <col min="89" max="89" width="11" bestFit="1" customWidth="1"/>
    <col min="90" max="90" width="13" bestFit="1" customWidth="1"/>
    <col min="91" max="91" width="13.7109375" bestFit="1" customWidth="1"/>
    <col min="92" max="92" width="13" bestFit="1" customWidth="1"/>
    <col min="93" max="93" width="12" bestFit="1" customWidth="1"/>
    <col min="94" max="95" width="13.7109375" bestFit="1" customWidth="1"/>
    <col min="96" max="96" width="10" bestFit="1" customWidth="1"/>
    <col min="106" max="106" width="7" customWidth="1"/>
    <col min="112" max="112" width="10.28515625" bestFit="1" customWidth="1"/>
    <col min="120" max="120" width="9.140625" bestFit="1" customWidth="1"/>
    <col min="121" max="121" width="13.85546875" bestFit="1" customWidth="1"/>
    <col min="122" max="122" width="13" bestFit="1" customWidth="1"/>
    <col min="123" max="123" width="9" bestFit="1" customWidth="1"/>
    <col min="125" max="125" width="13" bestFit="1" customWidth="1"/>
    <col min="126" max="126" width="13.7109375" bestFit="1" customWidth="1"/>
    <col min="127" max="127" width="13.140625" bestFit="1" customWidth="1"/>
    <col min="129" max="129" width="13.7109375" bestFit="1" customWidth="1"/>
  </cols>
  <sheetData>
    <row r="1" spans="1:141" x14ac:dyDescent="0.25">
      <c r="A1" s="8" t="s">
        <v>194</v>
      </c>
      <c r="B1" s="20" t="s">
        <v>220</v>
      </c>
      <c r="K1" s="8" t="s">
        <v>71</v>
      </c>
      <c r="L1" s="56">
        <v>1.0000000000000001E-9</v>
      </c>
      <c r="P1" s="8" t="s">
        <v>142</v>
      </c>
      <c r="Q1" s="4">
        <v>1</v>
      </c>
      <c r="T1" t="s">
        <v>155</v>
      </c>
      <c r="U1" s="4">
        <v>0</v>
      </c>
      <c r="W1" t="s">
        <v>195</v>
      </c>
      <c r="X1" s="4">
        <v>1</v>
      </c>
      <c r="Z1" s="1" t="s">
        <v>224</v>
      </c>
      <c r="AA1" s="4">
        <v>0</v>
      </c>
      <c r="BC1" s="6" t="s">
        <v>111</v>
      </c>
      <c r="BD1" s="6" t="s">
        <v>100</v>
      </c>
      <c r="BE1" s="6" t="s">
        <v>101</v>
      </c>
      <c r="BF1" s="6" t="s">
        <v>112</v>
      </c>
      <c r="BG1" s="6" t="s">
        <v>143</v>
      </c>
      <c r="BH1" s="6" t="s">
        <v>144</v>
      </c>
      <c r="BI1" s="6" t="s">
        <v>145</v>
      </c>
      <c r="BJ1" s="6" t="s">
        <v>222</v>
      </c>
      <c r="BK1" s="6" t="s">
        <v>223</v>
      </c>
      <c r="BW1" s="45" t="s">
        <v>146</v>
      </c>
      <c r="CU1" t="s">
        <v>113</v>
      </c>
      <c r="DC1" t="s">
        <v>136</v>
      </c>
      <c r="DK1" t="s">
        <v>141</v>
      </c>
      <c r="DN1" s="1" t="s">
        <v>230</v>
      </c>
      <c r="DO1">
        <v>1E-10</v>
      </c>
      <c r="DV1" t="s">
        <v>206</v>
      </c>
    </row>
    <row r="2" spans="1:141" ht="15.75" thickBot="1" x14ac:dyDescent="0.3">
      <c r="A2" s="8" t="s">
        <v>0</v>
      </c>
      <c r="B2" s="2">
        <v>5</v>
      </c>
      <c r="C2" t="s">
        <v>1</v>
      </c>
      <c r="E2" s="1" t="s">
        <v>8</v>
      </c>
      <c r="F2" s="1" t="s">
        <v>9</v>
      </c>
      <c r="H2" t="s">
        <v>25</v>
      </c>
      <c r="I2" s="6">
        <f>B5/2</f>
        <v>6</v>
      </c>
      <c r="K2" s="8" t="s">
        <v>72</v>
      </c>
      <c r="L2" s="4">
        <v>75</v>
      </c>
      <c r="M2">
        <v>1236</v>
      </c>
      <c r="N2">
        <v>30</v>
      </c>
      <c r="O2">
        <v>1</v>
      </c>
      <c r="AD2" s="8" t="s">
        <v>156</v>
      </c>
      <c r="AE2" s="20">
        <v>360</v>
      </c>
      <c r="AS2" s="6" t="s">
        <v>200</v>
      </c>
      <c r="AT2" s="7">
        <v>2.5</v>
      </c>
      <c r="BC2">
        <v>0</v>
      </c>
      <c r="BD2">
        <v>277.65011198714569</v>
      </c>
      <c r="BE2">
        <v>-42.66</v>
      </c>
      <c r="BF2" s="6">
        <f t="shared" ref="BF2:BF33" si="0">IF(BC2&lt;&gt;"",IF(AND(BD2=0,BE2=0),0,MOD(ATAN2(BD2,BE2),2*PI())),NA())</f>
        <v>6.130730909370361</v>
      </c>
      <c r="BG2" s="6">
        <f t="shared" ref="BG2:BG33" si="1">ABS(BC2-BF2)</f>
        <v>6.130730909370361</v>
      </c>
      <c r="BH2" s="6">
        <f>ATAN2(COS($U$13-BF2),SIN($U$13-BF2))</f>
        <v>0.61610200681003158</v>
      </c>
      <c r="BI2" s="6">
        <f>ABS(BH2)</f>
        <v>0.61610200681003158</v>
      </c>
      <c r="BJ2">
        <v>308.50012443016186</v>
      </c>
      <c r="BK2">
        <v>-47.4</v>
      </c>
      <c r="BT2">
        <v>0.78539816339744828</v>
      </c>
      <c r="BV2" s="38"/>
      <c r="CJ2">
        <v>3.1415926535897931</v>
      </c>
      <c r="CU2" s="1" t="s">
        <v>114</v>
      </c>
      <c r="CV2" s="1" t="s">
        <v>33</v>
      </c>
      <c r="CW2" s="1" t="s">
        <v>115</v>
      </c>
      <c r="CX2" s="1" t="s">
        <v>116</v>
      </c>
      <c r="CY2" s="1" t="s">
        <v>117</v>
      </c>
      <c r="CZ2" s="1" t="s">
        <v>118</v>
      </c>
      <c r="DC2" s="1" t="s">
        <v>137</v>
      </c>
      <c r="DD2">
        <v>0.46364760900080609</v>
      </c>
      <c r="DK2" s="1" t="s">
        <v>236</v>
      </c>
      <c r="DL2" s="1" t="s">
        <v>228</v>
      </c>
      <c r="DM2" s="1" t="s">
        <v>229</v>
      </c>
      <c r="DN2" s="1" t="s">
        <v>231</v>
      </c>
      <c r="DO2" s="1" t="s">
        <v>232</v>
      </c>
      <c r="DP2" s="1" t="s">
        <v>233</v>
      </c>
      <c r="DQ2" s="1" t="s">
        <v>234</v>
      </c>
      <c r="DR2" s="1" t="s">
        <v>235</v>
      </c>
    </row>
    <row r="3" spans="1:141" x14ac:dyDescent="0.25">
      <c r="A3" s="8" t="s">
        <v>2</v>
      </c>
      <c r="B3" s="3">
        <f>(POWER(145,1.5)*33*SQRT(1000*B2))/1000</f>
        <v>4074.2806880478911</v>
      </c>
      <c r="C3" t="s">
        <v>1</v>
      </c>
      <c r="E3">
        <v>0</v>
      </c>
      <c r="F3">
        <v>0</v>
      </c>
      <c r="H3" t="s">
        <v>26</v>
      </c>
      <c r="I3" s="1">
        <f>B8/2</f>
        <v>12</v>
      </c>
      <c r="T3" s="25" t="s">
        <v>78</v>
      </c>
      <c r="U3" s="18">
        <f ca="1">IF(ABS(K72)&lt;0.002,0.65,IF(ABS(K72)&gt;0.005,0.9,0.65+((ABS(K72)-0.002)*(250/3))))</f>
        <v>0.9</v>
      </c>
      <c r="V3" s="15"/>
      <c r="W3" s="29" t="s">
        <v>95</v>
      </c>
      <c r="X3" t="s">
        <v>79</v>
      </c>
      <c r="AA3" t="s">
        <v>110</v>
      </c>
      <c r="AS3" s="6" t="s">
        <v>8</v>
      </c>
      <c r="AT3" s="6" t="s">
        <v>9</v>
      </c>
      <c r="BC3">
        <v>1.7453292519943295E-2</v>
      </c>
      <c r="BD3">
        <v>277.57038759620008</v>
      </c>
      <c r="BE3">
        <v>-41.858812519794796</v>
      </c>
      <c r="BF3" s="6">
        <f t="shared" si="0"/>
        <v>6.1335088351519245</v>
      </c>
      <c r="BG3" s="6">
        <f t="shared" si="1"/>
        <v>6.1160555426319814</v>
      </c>
      <c r="BH3" s="6">
        <f t="shared" ref="BH3:BH66" si="2">ATAN2(COS($U$13-BF3),SIN($U$13-BF3))</f>
        <v>0.61332408102846814</v>
      </c>
      <c r="BI3" s="6">
        <f t="shared" ref="BI3:BI66" si="3">ABS(BH3)</f>
        <v>0.61332408102846814</v>
      </c>
      <c r="BJ3">
        <v>308.41154177355565</v>
      </c>
      <c r="BK3">
        <v>-46.509791688660883</v>
      </c>
      <c r="BV3" s="38"/>
      <c r="BW3" t="s">
        <v>147</v>
      </c>
      <c r="CU3">
        <v>1.5108451601974038</v>
      </c>
      <c r="CV3">
        <v>-0.58354994219579148</v>
      </c>
      <c r="CW3">
        <v>0.46364760900080615</v>
      </c>
      <c r="CX3">
        <v>-0.53886260336890324</v>
      </c>
      <c r="CY3">
        <v>0.70193777201851071</v>
      </c>
      <c r="CZ3">
        <v>0.2591815302634578</v>
      </c>
      <c r="DC3" s="1" t="s">
        <v>225</v>
      </c>
      <c r="DD3" s="1" t="s">
        <v>226</v>
      </c>
      <c r="DE3" s="1" t="s">
        <v>140</v>
      </c>
      <c r="DF3" s="1" t="s">
        <v>139</v>
      </c>
      <c r="DG3" s="1" t="s">
        <v>138</v>
      </c>
      <c r="DH3" s="1" t="s">
        <v>227</v>
      </c>
      <c r="DK3">
        <v>0.46364760900080609</v>
      </c>
      <c r="DL3">
        <v>0.2591815302634578</v>
      </c>
      <c r="DV3" s="9"/>
      <c r="DW3" s="9" t="str">
        <f t="shared" ref="DW3:DY5" si="4">Z14</f>
        <v>P</v>
      </c>
      <c r="DX3" s="9" t="str">
        <f t="shared" si="4"/>
        <v>Mx</v>
      </c>
      <c r="DY3" s="9" t="str">
        <f t="shared" si="4"/>
        <v>My</v>
      </c>
    </row>
    <row r="4" spans="1:141" x14ac:dyDescent="0.25">
      <c r="A4" s="8" t="s">
        <v>3</v>
      </c>
      <c r="B4" s="1">
        <f>IF(B2&lt;=4,0.85,IF(B2&lt;=8,0.85 - ((0.05*(B2-4))/1),0.65))</f>
        <v>0.79999999999999993</v>
      </c>
      <c r="E4" s="5">
        <f>B5</f>
        <v>12</v>
      </c>
      <c r="F4">
        <v>0</v>
      </c>
      <c r="G4">
        <f>((E3*F4)-(E4*F3))*0.5</f>
        <v>0</v>
      </c>
      <c r="T4" s="26" t="s">
        <v>75</v>
      </c>
      <c r="U4" s="10">
        <f ca="1">U3*IF(B1="PCA_Parabolic",B200,B75)</f>
        <v>9.9999999991572857</v>
      </c>
      <c r="V4" s="16" t="s">
        <v>68</v>
      </c>
      <c r="W4" s="30">
        <f ca="1">U4-U10</f>
        <v>-8.4271434275251522E-10</v>
      </c>
      <c r="X4" cm="1">
        <f t="array" ref="X4">MAX(ABS(E3:F11))+10</f>
        <v>34</v>
      </c>
      <c r="Y4">
        <f>X4</f>
        <v>34</v>
      </c>
      <c r="AA4" t="s">
        <v>8</v>
      </c>
      <c r="AB4" t="s">
        <v>9</v>
      </c>
      <c r="AS4" s="6">
        <v>0</v>
      </c>
      <c r="AT4" s="6">
        <v>0</v>
      </c>
      <c r="BC4">
        <v>3.4906585039886591E-2</v>
      </c>
      <c r="BD4">
        <v>277.47470519226954</v>
      </c>
      <c r="BE4">
        <v>-41.057136680328789</v>
      </c>
      <c r="BF4" s="6">
        <f t="shared" si="0"/>
        <v>6.1362840837544956</v>
      </c>
      <c r="BG4" s="6">
        <f t="shared" si="1"/>
        <v>6.1013774987146094</v>
      </c>
      <c r="BH4" s="6">
        <f t="shared" si="2"/>
        <v>0.61054883242589697</v>
      </c>
      <c r="BI4" s="6">
        <f t="shared" si="3"/>
        <v>0.61054883242589697</v>
      </c>
      <c r="BJ4">
        <v>308.30522799141062</v>
      </c>
      <c r="BK4">
        <v>-45.619040755920878</v>
      </c>
      <c r="BV4" s="38"/>
      <c r="BW4" s="1" t="s">
        <v>100</v>
      </c>
      <c r="BX4" s="1" t="s">
        <v>101</v>
      </c>
      <c r="CU4">
        <v>1.5108451601974038</v>
      </c>
      <c r="CV4">
        <v>0.46364760900080615</v>
      </c>
      <c r="CW4">
        <v>0.98724638459910496</v>
      </c>
      <c r="CX4">
        <v>-0.53886260336890324</v>
      </c>
      <c r="CY4">
        <v>0.2591815302634578</v>
      </c>
      <c r="CZ4">
        <v>0.10275946435179362</v>
      </c>
      <c r="DE4">
        <v>0.20446607873734826</v>
      </c>
      <c r="DF4">
        <v>1</v>
      </c>
      <c r="DG4">
        <v>0.72282913926426395</v>
      </c>
      <c r="DH4">
        <v>0.2591815302634578</v>
      </c>
      <c r="DK4">
        <v>0.46364760900080609</v>
      </c>
      <c r="DL4">
        <v>0.2591815302634578</v>
      </c>
      <c r="DM4">
        <v>0.4636476091008061</v>
      </c>
      <c r="DN4">
        <v>0.25918153023346913</v>
      </c>
      <c r="DO4">
        <v>0.46364760890080609</v>
      </c>
      <c r="DP4">
        <v>0.25918153029344632</v>
      </c>
      <c r="DQ4">
        <v>-0.29988594940633106</v>
      </c>
      <c r="DR4">
        <v>1.3279146104276696</v>
      </c>
      <c r="DV4" s="9" t="str">
        <f>Y15</f>
        <v>Max</v>
      </c>
      <c r="DW4" s="9">
        <f t="shared" ca="1" si="4"/>
        <v>910.1105</v>
      </c>
      <c r="DX4" s="9">
        <f t="shared" ca="1" si="4"/>
        <v>0</v>
      </c>
      <c r="DY4" s="9">
        <f t="shared" ca="1" si="4"/>
        <v>0</v>
      </c>
      <c r="DZ4" s="9"/>
      <c r="EA4" t="s">
        <v>214</v>
      </c>
      <c r="EB4" s="9">
        <f>U10</f>
        <v>10</v>
      </c>
      <c r="EC4" s="9">
        <f>U11</f>
        <v>100</v>
      </c>
      <c r="ED4" s="9">
        <f>U12</f>
        <v>50</v>
      </c>
      <c r="EF4">
        <f>ATAN2(EC4,ED4)</f>
        <v>0.46364760900080609</v>
      </c>
      <c r="EG4" s="9">
        <f>SQRT(POWER(EB4,2)+POWER(EC4,2)+POWER(ED4,2))</f>
        <v>112.24972160321825</v>
      </c>
      <c r="EH4">
        <f>EB4/EG4</f>
        <v>8.9087080637474794E-2</v>
      </c>
      <c r="EI4">
        <f>EC4/EG4</f>
        <v>0.89087080637474791</v>
      </c>
      <c r="EJ4">
        <f>ED4/EG4</f>
        <v>0.44543540318737396</v>
      </c>
      <c r="EK4">
        <v>0</v>
      </c>
    </row>
    <row r="5" spans="1:141" x14ac:dyDescent="0.25">
      <c r="A5" s="8" t="s">
        <v>5</v>
      </c>
      <c r="B5" s="44">
        <v>12</v>
      </c>
      <c r="C5" t="s">
        <v>4</v>
      </c>
      <c r="E5" s="5">
        <f>E4</f>
        <v>12</v>
      </c>
      <c r="F5">
        <f>(B8-B9)</f>
        <v>16</v>
      </c>
      <c r="G5">
        <f t="shared" ref="G5:G11" si="5">((E4*F5)-(E5*F4))*0.5</f>
        <v>96</v>
      </c>
      <c r="T5" s="26" t="s">
        <v>77</v>
      </c>
      <c r="U5" s="10">
        <f ca="1">U3*IF(B1="PCA_Parabolic",B204*(1/12),B79*(1/12))</f>
        <v>128.13204879839861</v>
      </c>
      <c r="V5" s="16" t="s">
        <v>70</v>
      </c>
      <c r="W5" s="31"/>
      <c r="X5">
        <f>X4</f>
        <v>34</v>
      </c>
      <c r="Y5">
        <f>X5</f>
        <v>34</v>
      </c>
      <c r="AA5">
        <v>0</v>
      </c>
      <c r="AB5">
        <v>0</v>
      </c>
      <c r="AS5" s="6">
        <f>AS4+(AT2*(U11-AS4))</f>
        <v>250</v>
      </c>
      <c r="AT5" s="6">
        <f>AT4+(AT2*(U12-AT4))</f>
        <v>125</v>
      </c>
      <c r="BC5">
        <v>5.235987755982989E-2</v>
      </c>
      <c r="BD5">
        <v>277.36296267728272</v>
      </c>
      <c r="BE5">
        <v>-40.254482930908381</v>
      </c>
      <c r="BF5" s="6">
        <f t="shared" si="0"/>
        <v>6.1390587535485146</v>
      </c>
      <c r="BG5" s="6">
        <f t="shared" si="1"/>
        <v>6.0866988759886844</v>
      </c>
      <c r="BH5" s="6">
        <f t="shared" si="2"/>
        <v>0.607774162631878</v>
      </c>
      <c r="BI5" s="6">
        <f t="shared" si="3"/>
        <v>0.607774162631878</v>
      </c>
      <c r="BJ5">
        <v>308.18106964142527</v>
      </c>
      <c r="BK5">
        <v>-44.72720325656487</v>
      </c>
      <c r="BV5" s="38"/>
      <c r="BW5">
        <f ca="1">B132</f>
        <v>0</v>
      </c>
      <c r="BX5">
        <f ca="1">B133</f>
        <v>0</v>
      </c>
      <c r="CU5">
        <v>1.5108451601974038</v>
      </c>
      <c r="CV5">
        <v>0.98724638459910496</v>
      </c>
      <c r="CW5">
        <v>1.2490457723982544</v>
      </c>
      <c r="CX5">
        <v>-0.53886260336890324</v>
      </c>
      <c r="CY5">
        <v>0.10275946435179362</v>
      </c>
      <c r="CZ5">
        <v>-7.0545827379002723E-3</v>
      </c>
      <c r="DC5">
        <v>0.46364760900080609</v>
      </c>
      <c r="DD5">
        <v>0.20446607873734826</v>
      </c>
      <c r="DE5">
        <v>0.27617939447494178</v>
      </c>
      <c r="DF5">
        <v>3.6141339665820231</v>
      </c>
      <c r="DG5">
        <v>1.4003643810366757</v>
      </c>
      <c r="DH5">
        <v>0.18746821452586432</v>
      </c>
      <c r="DK5">
        <v>1.3279146104276696</v>
      </c>
      <c r="DL5">
        <v>-7.4078229620658631E-2</v>
      </c>
      <c r="DM5">
        <v>1.3279146105276696</v>
      </c>
      <c r="DN5">
        <v>-7.4078229720844588E-2</v>
      </c>
      <c r="DO5">
        <v>1.3279146103276696</v>
      </c>
      <c r="DP5">
        <v>-7.4078229517143324E-2</v>
      </c>
      <c r="DQ5">
        <v>-1.0185063209489087</v>
      </c>
      <c r="DR5">
        <v>1.2551823866829583</v>
      </c>
      <c r="DV5" s="9" t="str">
        <f>Y16</f>
        <v>Min</v>
      </c>
      <c r="DW5" s="9">
        <f t="shared" ca="1" si="4"/>
        <v>-170.64000000000001</v>
      </c>
      <c r="DX5" s="9">
        <f t="shared" ca="1" si="4"/>
        <v>0</v>
      </c>
      <c r="DY5" s="9">
        <f t="shared" ca="1" si="4"/>
        <v>0</v>
      </c>
      <c r="DZ5" s="9"/>
      <c r="EA5" t="s">
        <v>215</v>
      </c>
      <c r="EB5" s="9">
        <f ca="1">U4</f>
        <v>9.9999999991572857</v>
      </c>
      <c r="EC5" s="9">
        <f ca="1">U5</f>
        <v>128.13204879839861</v>
      </c>
      <c r="ED5" s="9">
        <f ca="1">U6</f>
        <v>64.066024387742459</v>
      </c>
      <c r="EF5">
        <f ca="1">ATAN2(EC5,ED5)</f>
        <v>0.46364760892927465</v>
      </c>
      <c r="EG5" s="9">
        <f t="shared" ref="EG5:EG6" ca="1" si="6">SQRT(POWER(EB5,2)+POWER(EC5,2)+POWER(ED5,2))</f>
        <v>143.60458700929146</v>
      </c>
      <c r="EH5">
        <f t="shared" ref="EH5:EH6" ca="1" si="7">EB5/EG5</f>
        <v>6.9635658633315584E-2</v>
      </c>
      <c r="EI5">
        <f t="shared" ref="EI5:EI6" ca="1" si="8">EC5/EG5</f>
        <v>0.89225596108645366</v>
      </c>
      <c r="EJ5">
        <f t="shared" ref="EJ5:EJ6" ca="1" si="9">ED5/EG5</f>
        <v>0.44612798046344632</v>
      </c>
      <c r="EK5">
        <v>0</v>
      </c>
    </row>
    <row r="6" spans="1:141" x14ac:dyDescent="0.25">
      <c r="A6" s="8" t="s">
        <v>92</v>
      </c>
      <c r="B6" s="44">
        <v>0</v>
      </c>
      <c r="C6" t="s">
        <v>4</v>
      </c>
      <c r="E6" s="5">
        <f>B7+B5</f>
        <v>12</v>
      </c>
      <c r="F6">
        <f>F5</f>
        <v>16</v>
      </c>
      <c r="G6">
        <f t="shared" si="5"/>
        <v>0</v>
      </c>
      <c r="T6" s="26" t="s">
        <v>76</v>
      </c>
      <c r="U6" s="10">
        <f ca="1">U3*IF(B1="PCA_Parabolic",B205*(1/12),B80*(1/12))</f>
        <v>64.066024387742459</v>
      </c>
      <c r="V6" s="16" t="s">
        <v>70</v>
      </c>
      <c r="W6" s="30">
        <f t="shared" ref="W6" ca="1" si="10">U6</f>
        <v>64.066024387742459</v>
      </c>
      <c r="X6">
        <f>IF(B6=0,0,-1*X5)</f>
        <v>0</v>
      </c>
      <c r="Y6">
        <f>IF(B6=0,0,Y5)</f>
        <v>0</v>
      </c>
      <c r="AA6">
        <f>U14</f>
        <v>111.80339887498948</v>
      </c>
      <c r="AB6">
        <f>U10</f>
        <v>10</v>
      </c>
      <c r="BC6">
        <v>6.9813170079773182E-2</v>
      </c>
      <c r="BD6">
        <v>277.23501857246367</v>
      </c>
      <c r="BE6">
        <v>-39.450359331792853</v>
      </c>
      <c r="BF6" s="6">
        <f t="shared" si="0"/>
        <v>6.1418349449687426</v>
      </c>
      <c r="BG6" s="6">
        <f t="shared" si="1"/>
        <v>6.0720217748889693</v>
      </c>
      <c r="BH6" s="6">
        <f t="shared" si="2"/>
        <v>0.60499797121165011</v>
      </c>
      <c r="BI6" s="6">
        <f t="shared" si="3"/>
        <v>0.60499797121165011</v>
      </c>
      <c r="BJ6">
        <v>308.03890952495965</v>
      </c>
      <c r="BK6">
        <v>-43.833732590880949</v>
      </c>
      <c r="BV6" s="38"/>
      <c r="CU6">
        <v>1.2490457723982544</v>
      </c>
      <c r="CV6">
        <v>0.98724638459910496</v>
      </c>
      <c r="CW6">
        <v>1.1181460784986796</v>
      </c>
      <c r="CX6">
        <v>-7.0545827379002723E-3</v>
      </c>
      <c r="CY6">
        <v>0.10275946435179362</v>
      </c>
      <c r="CZ6">
        <v>4.1305171989700455E-2</v>
      </c>
      <c r="DC6">
        <v>0.72282913926426395</v>
      </c>
      <c r="DD6">
        <v>0.27617939447494178</v>
      </c>
      <c r="DE6">
        <v>0.63172362289110173</v>
      </c>
      <c r="DF6">
        <v>1.9056285761988674</v>
      </c>
      <c r="DG6">
        <v>1.0800739259937306</v>
      </c>
      <c r="DH6">
        <v>-0.16807601389029564</v>
      </c>
      <c r="DK6">
        <v>1.2551823866829583</v>
      </c>
      <c r="DL6">
        <v>-1.1531176818695532E-2</v>
      </c>
      <c r="DM6">
        <v>1.2551823867829583</v>
      </c>
      <c r="DN6">
        <v>-1.153117689151245E-2</v>
      </c>
      <c r="DO6">
        <v>1.2551823865829583</v>
      </c>
      <c r="DP6">
        <v>-1.153117674307208E-2</v>
      </c>
      <c r="DQ6">
        <v>-0.74220184685669377</v>
      </c>
      <c r="DR6">
        <v>1.2396459435071143</v>
      </c>
      <c r="DZ6" s="9"/>
      <c r="EA6" t="s">
        <v>218</v>
      </c>
      <c r="EB6" s="9">
        <f ca="1">EB5</f>
        <v>9.9999999991572857</v>
      </c>
      <c r="EC6" s="9">
        <f>EC4+5</f>
        <v>105</v>
      </c>
      <c r="ED6" s="9">
        <f>ED4+5</f>
        <v>55</v>
      </c>
      <c r="EF6">
        <f>ATAN2(EC6,ED6)</f>
        <v>0.48251329502247692</v>
      </c>
      <c r="EG6" s="9">
        <f t="shared" ca="1" si="6"/>
        <v>118.95377253363235</v>
      </c>
      <c r="EH6">
        <f t="shared" ca="1" si="7"/>
        <v>8.406627033480539E-2</v>
      </c>
      <c r="EI6">
        <f t="shared" ca="1" si="8"/>
        <v>0.88269583858984269</v>
      </c>
      <c r="EJ6">
        <f t="shared" ca="1" si="9"/>
        <v>0.46236448688039378</v>
      </c>
      <c r="EK6">
        <v>0</v>
      </c>
    </row>
    <row r="7" spans="1:141" ht="15.75" thickBot="1" x14ac:dyDescent="0.3">
      <c r="A7" s="8" t="s">
        <v>91</v>
      </c>
      <c r="B7" s="44">
        <v>0</v>
      </c>
      <c r="C7" t="s">
        <v>4</v>
      </c>
      <c r="E7" s="5">
        <f>E6</f>
        <v>12</v>
      </c>
      <c r="F7">
        <f>B8</f>
        <v>24</v>
      </c>
      <c r="G7">
        <f t="shared" si="5"/>
        <v>48</v>
      </c>
      <c r="T7" s="27" t="s">
        <v>96</v>
      </c>
      <c r="U7" s="28">
        <f ca="1">IF(AND(U5=0,U6=0),0,MOD(ATAN2(U5,U6),2*PI()))</f>
        <v>0.46364760892927465</v>
      </c>
      <c r="V7" s="17" t="s">
        <v>97</v>
      </c>
      <c r="W7" s="32">
        <f ca="1">IF((U13-U7)=0,0,ATAN2(COS(U13-U7),SIN(U13-U7)))</f>
        <v>7.1531447431993911E-11</v>
      </c>
      <c r="X7" s="38">
        <f ca="1">U7+2*PI()</f>
        <v>6.7468329161088612</v>
      </c>
      <c r="AA7">
        <f ca="1">U8</f>
        <v>143.25598559964612</v>
      </c>
      <c r="AB7" s="9">
        <f ca="1">U4</f>
        <v>9.9999999991572857</v>
      </c>
      <c r="BC7">
        <v>8.7266462599716474E-2</v>
      </c>
      <c r="BD7">
        <v>277.09069141158091</v>
      </c>
      <c r="BE7">
        <v>-38.644270344160084</v>
      </c>
      <c r="BF7" s="6">
        <f t="shared" si="0"/>
        <v>6.144614767370383</v>
      </c>
      <c r="BG7" s="6">
        <f t="shared" si="1"/>
        <v>6.0573483047706667</v>
      </c>
      <c r="BH7" s="6">
        <f t="shared" si="2"/>
        <v>0.60221814881000957</v>
      </c>
      <c r="BI7" s="6">
        <f t="shared" si="3"/>
        <v>0.60221814881000957</v>
      </c>
      <c r="BJ7">
        <v>307.87854601286767</v>
      </c>
      <c r="BK7">
        <v>-42.938078160177874</v>
      </c>
      <c r="BV7" s="38"/>
      <c r="BW7" t="s">
        <v>205</v>
      </c>
      <c r="CU7">
        <v>1.2490457723982544</v>
      </c>
      <c r="CV7">
        <v>1.1181460784986796</v>
      </c>
      <c r="CW7">
        <v>1.1835959254484671</v>
      </c>
      <c r="CX7">
        <v>-7.0545827379002723E-3</v>
      </c>
      <c r="CY7">
        <v>4.1305171989700455E-2</v>
      </c>
      <c r="CZ7">
        <v>1.6377293842422425E-2</v>
      </c>
      <c r="DC7">
        <v>1.4003643810366757</v>
      </c>
      <c r="DD7">
        <v>0.63172362289110173</v>
      </c>
      <c r="DE7">
        <v>0.4020035027908736</v>
      </c>
      <c r="DF7">
        <v>1.3942638324549048</v>
      </c>
      <c r="DG7">
        <v>1.1660220737662483</v>
      </c>
      <c r="DH7">
        <v>6.1644106209932492E-2</v>
      </c>
      <c r="DK7">
        <v>1.2396459435071143</v>
      </c>
      <c r="DL7">
        <v>-2.4402087853832022E-3</v>
      </c>
      <c r="DM7">
        <v>1.2396459436071143</v>
      </c>
      <c r="DN7">
        <v>-2.4402088223154368E-3</v>
      </c>
      <c r="DO7">
        <v>1.2396459434071143</v>
      </c>
      <c r="DP7">
        <v>-2.4402087475086098E-3</v>
      </c>
      <c r="DQ7">
        <v>-0.37403413482781089</v>
      </c>
      <c r="DR7">
        <v>1.233121916531591</v>
      </c>
      <c r="DV7" t="s">
        <v>207</v>
      </c>
    </row>
    <row r="8" spans="1:141" ht="15.75" thickBot="1" x14ac:dyDescent="0.3">
      <c r="A8" s="8" t="s">
        <v>6</v>
      </c>
      <c r="B8" s="7">
        <v>24</v>
      </c>
      <c r="C8" t="s">
        <v>4</v>
      </c>
      <c r="E8" s="5">
        <f>E7-(B7+B6+B5)</f>
        <v>0</v>
      </c>
      <c r="F8">
        <f>F7</f>
        <v>24</v>
      </c>
      <c r="G8">
        <f t="shared" si="5"/>
        <v>144</v>
      </c>
      <c r="T8" s="36" t="s">
        <v>109</v>
      </c>
      <c r="U8" s="6">
        <f ca="1">SQRT(POWER(U5,2)+POWER(U6,2))</f>
        <v>143.25598559964612</v>
      </c>
      <c r="V8" s="40" t="s">
        <v>70</v>
      </c>
      <c r="X8">
        <f ca="1">DEGREES(U7)</f>
        <v>26.56505117297954</v>
      </c>
      <c r="BC8">
        <v>0.10471975511965977</v>
      </c>
      <c r="BD8">
        <v>276.92975890513054</v>
      </c>
      <c r="BE8">
        <v>-37.835715601305473</v>
      </c>
      <c r="BF8" s="6">
        <f t="shared" si="0"/>
        <v>6.1474003459665685</v>
      </c>
      <c r="BG8" s="6">
        <f t="shared" si="1"/>
        <v>6.042680590846909</v>
      </c>
      <c r="BH8" s="6">
        <f t="shared" si="2"/>
        <v>0.59943257021382423</v>
      </c>
      <c r="BI8" s="6">
        <f t="shared" si="3"/>
        <v>0.59943257021382423</v>
      </c>
      <c r="BJ8">
        <v>307.69973211681173</v>
      </c>
      <c r="BK8">
        <v>-42.039684001450524</v>
      </c>
      <c r="BV8" s="38"/>
      <c r="BW8" s="1" t="s">
        <v>203</v>
      </c>
      <c r="BX8" s="1" t="s">
        <v>204</v>
      </c>
      <c r="BY8" s="1"/>
      <c r="BZ8" s="1"/>
      <c r="CA8" s="1"/>
      <c r="CB8" s="1" t="s">
        <v>201</v>
      </c>
      <c r="CC8" s="1" t="s">
        <v>202</v>
      </c>
      <c r="CD8" s="1"/>
      <c r="CE8" s="1"/>
      <c r="CG8" s="1"/>
      <c r="CN8" s="1"/>
      <c r="CO8" s="1"/>
      <c r="CP8" s="1"/>
      <c r="CQ8" s="1"/>
      <c r="CU8">
        <v>1.2490457723982544</v>
      </c>
      <c r="CV8">
        <v>1.1835959254484671</v>
      </c>
      <c r="CW8">
        <v>1.2163208489233608</v>
      </c>
      <c r="CX8">
        <v>-7.0545827379002723E-3</v>
      </c>
      <c r="CY8">
        <v>1.6377293842422425E-2</v>
      </c>
      <c r="CZ8">
        <v>5.8812713898604993E-3</v>
      </c>
      <c r="DC8">
        <v>1.0800739259937306</v>
      </c>
      <c r="DD8">
        <v>0.4020035027908736</v>
      </c>
      <c r="DE8">
        <v>0.44209267860661078</v>
      </c>
      <c r="DF8">
        <v>2.1439240399344497</v>
      </c>
      <c r="DG8">
        <v>1.2122342072174774</v>
      </c>
      <c r="DH8">
        <v>2.1554930394195315E-2</v>
      </c>
      <c r="DK8">
        <v>1.233121916531591</v>
      </c>
      <c r="DL8">
        <v>-3.1288797775419486E-5</v>
      </c>
      <c r="DM8">
        <v>1.233121916631591</v>
      </c>
      <c r="DN8">
        <v>-3.1288834432929846E-5</v>
      </c>
      <c r="DO8">
        <v>1.233121916431591</v>
      </c>
      <c r="DP8">
        <v>-3.1288762014858307E-5</v>
      </c>
      <c r="DQ8">
        <v>-0.3620903576972978</v>
      </c>
      <c r="DR8">
        <v>1.2330355049574899</v>
      </c>
      <c r="DW8" s="9">
        <f ca="1">DW5</f>
        <v>-170.64000000000001</v>
      </c>
      <c r="DX8" s="9">
        <f ca="1">DX5</f>
        <v>0</v>
      </c>
      <c r="DY8" s="9">
        <f ca="1">DY5</f>
        <v>0</v>
      </c>
    </row>
    <row r="9" spans="1:141" x14ac:dyDescent="0.25">
      <c r="A9" s="8" t="s">
        <v>7</v>
      </c>
      <c r="B9" s="7">
        <v>8</v>
      </c>
      <c r="C9" t="s">
        <v>4</v>
      </c>
      <c r="E9" s="5">
        <f>E8</f>
        <v>0</v>
      </c>
      <c r="F9">
        <f>F6</f>
        <v>16</v>
      </c>
      <c r="G9">
        <f t="shared" si="5"/>
        <v>0</v>
      </c>
      <c r="T9" s="34" t="s">
        <v>98</v>
      </c>
      <c r="U9" s="35"/>
      <c r="V9" s="15"/>
      <c r="AA9" s="9">
        <f ca="1">U5-U11</f>
        <v>28.132048798398614</v>
      </c>
      <c r="AB9" s="9">
        <f ca="1">U6-U12</f>
        <v>14.066024387742459</v>
      </c>
      <c r="AC9" s="9">
        <f ca="1">AA9+AB9</f>
        <v>42.198073186141073</v>
      </c>
      <c r="BC9">
        <v>0.12217304763960306</v>
      </c>
      <c r="BD9">
        <v>276.75195690141783</v>
      </c>
      <c r="BE9">
        <v>-37.024188654556689</v>
      </c>
      <c r="BF9" s="6">
        <f t="shared" si="0"/>
        <v>6.1501938289156399</v>
      </c>
      <c r="BG9" s="6">
        <f t="shared" si="1"/>
        <v>6.0280207812760365</v>
      </c>
      <c r="BH9" s="6">
        <f t="shared" si="2"/>
        <v>0.59663908726475268</v>
      </c>
      <c r="BI9" s="6">
        <f t="shared" si="3"/>
        <v>0.59663908726475268</v>
      </c>
      <c r="BJ9">
        <v>307.50217433490872</v>
      </c>
      <c r="BK9">
        <v>-41.137987393951875</v>
      </c>
      <c r="BV9" s="38" t="s">
        <v>198</v>
      </c>
      <c r="BW9" s="6">
        <f ca="1">(BW5-U11)</f>
        <v>-100</v>
      </c>
      <c r="BX9" s="6">
        <f ca="1">(BX5-U12)</f>
        <v>-50</v>
      </c>
      <c r="BY9" s="1"/>
      <c r="BZ9" s="1"/>
      <c r="CA9" s="1"/>
      <c r="CB9" s="6">
        <f ca="1">BW5-U5</f>
        <v>-128.13204879839861</v>
      </c>
      <c r="CC9" s="6">
        <f ca="1">BX5-U6</f>
        <v>-64.066024387742459</v>
      </c>
      <c r="CD9" s="1"/>
      <c r="CE9" s="6"/>
      <c r="CF9" s="9"/>
      <c r="CI9" s="6">
        <f ca="1">BW9-CB9</f>
        <v>28.132048798398614</v>
      </c>
      <c r="CJ9" s="6">
        <f ca="1">BX9-CC9</f>
        <v>14.066024387742459</v>
      </c>
      <c r="CK9" s="1"/>
      <c r="CL9" s="1"/>
      <c r="CM9" s="9"/>
      <c r="CR9" s="38"/>
      <c r="CU9">
        <v>1.2490457723982544</v>
      </c>
      <c r="CV9">
        <v>1.2163208489233608</v>
      </c>
      <c r="CW9">
        <v>1.2326833106608075</v>
      </c>
      <c r="CX9">
        <v>-7.0545827379002723E-3</v>
      </c>
      <c r="CY9">
        <v>5.8812713898604993E-3</v>
      </c>
      <c r="CZ9">
        <v>1.2827753098515471E-4</v>
      </c>
      <c r="DC9">
        <v>1.1660220737662483</v>
      </c>
      <c r="DD9">
        <v>0.44209267860661078</v>
      </c>
      <c r="DE9">
        <v>0.45638647312167491</v>
      </c>
      <c r="DF9">
        <v>3.2330206931774805</v>
      </c>
      <c r="DG9">
        <v>1.2357096097706821</v>
      </c>
      <c r="DH9">
        <v>7.2611358791311864E-3</v>
      </c>
      <c r="DK9">
        <v>1.2330355049574899</v>
      </c>
      <c r="DL9">
        <v>1.7129647628122413E-7</v>
      </c>
      <c r="DM9">
        <v>1.2330355050574899</v>
      </c>
      <c r="DN9">
        <v>1.7125983414745249E-7</v>
      </c>
      <c r="DO9">
        <v>1.2330355048574899</v>
      </c>
      <c r="DP9">
        <v>1.7133222207643684E-7</v>
      </c>
      <c r="DQ9">
        <v>-0.36193964492170494</v>
      </c>
      <c r="DR9">
        <v>1.2330359782310831</v>
      </c>
      <c r="DW9" s="9" t="s">
        <v>211</v>
      </c>
      <c r="DX9" s="9" t="s">
        <v>8</v>
      </c>
      <c r="DY9" s="9" t="s">
        <v>9</v>
      </c>
      <c r="DZ9" s="9" t="s">
        <v>213</v>
      </c>
    </row>
    <row r="10" spans="1:141" x14ac:dyDescent="0.25">
      <c r="E10">
        <v>0</v>
      </c>
      <c r="F10">
        <f>F9</f>
        <v>16</v>
      </c>
      <c r="G10">
        <f t="shared" si="5"/>
        <v>0</v>
      </c>
      <c r="T10" s="36" t="s">
        <v>99</v>
      </c>
      <c r="U10" s="47">
        <v>10</v>
      </c>
      <c r="V10" s="16" t="s">
        <v>68</v>
      </c>
      <c r="W10" t="str">
        <f>"+ Compression"</f>
        <v>+ Compression</v>
      </c>
      <c r="BC10">
        <v>0.13962634015954636</v>
      </c>
      <c r="BD10">
        <v>276.55697811618393</v>
      </c>
      <c r="BE10">
        <v>-36.209175687160261</v>
      </c>
      <c r="BF10" s="6">
        <f t="shared" si="0"/>
        <v>6.1529973946018801</v>
      </c>
      <c r="BG10" s="6">
        <f t="shared" si="1"/>
        <v>6.0133710544423336</v>
      </c>
      <c r="BH10" s="6">
        <f t="shared" si="2"/>
        <v>0.59383552157851249</v>
      </c>
      <c r="BI10" s="6">
        <f t="shared" si="3"/>
        <v>0.59383552157851249</v>
      </c>
      <c r="BJ10">
        <v>307.28553124020436</v>
      </c>
      <c r="BK10">
        <v>-40.232417430178067</v>
      </c>
      <c r="BV10" s="38" t="s">
        <v>199</v>
      </c>
      <c r="BW10" s="1">
        <f ca="1">SQRT(POWER(BW9,2)+POWER(BX9,2))</f>
        <v>111.80339887498948</v>
      </c>
      <c r="BX10" s="1"/>
      <c r="BY10" s="1"/>
      <c r="BZ10" s="1" t="s">
        <v>153</v>
      </c>
      <c r="CA10" s="39" t="s">
        <v>199</v>
      </c>
      <c r="CB10" s="1">
        <f ca="1">SQRT(POWER(CB9,2)+POWER(CC9,2))</f>
        <v>143.25598559964612</v>
      </c>
      <c r="CC10" s="1"/>
      <c r="CD10" s="1"/>
      <c r="CE10" s="1" t="s">
        <v>153</v>
      </c>
      <c r="CH10" s="39" t="s">
        <v>199</v>
      </c>
      <c r="CI10" s="1">
        <f ca="1">SQRT(POWER(CI9,2)+POWER(CJ9,2))</f>
        <v>31.45258672465663</v>
      </c>
      <c r="CJ10" s="1"/>
      <c r="CK10" s="1"/>
      <c r="CL10" s="1" t="s">
        <v>153</v>
      </c>
      <c r="CU10">
        <v>1.2490457723982544</v>
      </c>
      <c r="CV10">
        <v>1.2326833106608075</v>
      </c>
      <c r="CW10">
        <v>1.240864541529531</v>
      </c>
      <c r="CX10">
        <v>-7.0545827379002723E-3</v>
      </c>
      <c r="CY10">
        <v>1.2827753098515471E-4</v>
      </c>
      <c r="CZ10">
        <v>-2.8977189344415177E-3</v>
      </c>
      <c r="DC10">
        <v>1.2122342072174774</v>
      </c>
      <c r="DD10">
        <v>0.45638647312167491</v>
      </c>
      <c r="DE10">
        <v>0.46462634653598878</v>
      </c>
      <c r="DF10">
        <v>2.8490003878487333</v>
      </c>
      <c r="DG10">
        <v>1.2329211861533445</v>
      </c>
      <c r="DH10">
        <v>-9.7873753518268325E-4</v>
      </c>
      <c r="DK10">
        <v>1.2330359782310831</v>
      </c>
      <c r="DL10">
        <v>-9.788807542321365E-10</v>
      </c>
      <c r="DV10" t="s">
        <v>196</v>
      </c>
      <c r="DW10" s="9">
        <f ca="1">DW4-$DW$8</f>
        <v>1080.7505000000001</v>
      </c>
      <c r="DX10" s="9">
        <f ca="1">DX4-$DX$8</f>
        <v>0</v>
      </c>
      <c r="DY10" s="9">
        <f ca="1">DY4-$DY$8</f>
        <v>0</v>
      </c>
      <c r="DZ10" s="9">
        <v>0</v>
      </c>
      <c r="EB10" s="9">
        <f ca="1">EB4-$DW$8</f>
        <v>180.64000000000001</v>
      </c>
      <c r="EC10" s="9">
        <f ca="1">EC4-$DX$8</f>
        <v>100</v>
      </c>
      <c r="ED10" s="9">
        <f ca="1">ED4-$DY$8</f>
        <v>50</v>
      </c>
      <c r="EE10" s="9">
        <v>0</v>
      </c>
      <c r="EF10">
        <f ca="1">ATAN2(EC10,ED10)</f>
        <v>0.46364760900080609</v>
      </c>
      <c r="EG10" s="9">
        <f ca="1">SQRT(POWER(EB10,2)+POWER(EC10,2)+POWER(ED10,2))</f>
        <v>212.44013180187969</v>
      </c>
      <c r="EH10">
        <f ca="1">EB10/EG10</f>
        <v>0.85031014840672259</v>
      </c>
      <c r="EI10">
        <f ca="1">EC10/EG10</f>
        <v>0.4707208527495142</v>
      </c>
      <c r="EJ10">
        <f ca="1">ED10/EG10</f>
        <v>0.2353604263747571</v>
      </c>
      <c r="EK10">
        <v>0</v>
      </c>
    </row>
    <row r="11" spans="1:141" x14ac:dyDescent="0.25">
      <c r="A11" t="s">
        <v>10</v>
      </c>
      <c r="E11">
        <v>0</v>
      </c>
      <c r="F11">
        <v>0</v>
      </c>
      <c r="G11">
        <f t="shared" si="5"/>
        <v>0</v>
      </c>
      <c r="T11" s="36" t="s">
        <v>100</v>
      </c>
      <c r="U11" s="47">
        <v>100</v>
      </c>
      <c r="V11" s="16" t="s">
        <v>70</v>
      </c>
      <c r="W11" t="str">
        <f>"+ Puts Top of Section in Compression"</f>
        <v>+ Puts Top of Section in Compression</v>
      </c>
      <c r="BC11">
        <v>0.15707963267948966</v>
      </c>
      <c r="BD11">
        <v>276.34447062261194</v>
      </c>
      <c r="BE11">
        <v>-35.390154189103804</v>
      </c>
      <c r="BF11" s="6">
        <f t="shared" si="0"/>
        <v>6.1558132591679149</v>
      </c>
      <c r="BG11" s="6">
        <f t="shared" si="1"/>
        <v>5.9987336264884252</v>
      </c>
      <c r="BH11" s="6">
        <f t="shared" si="2"/>
        <v>0.59101965701247772</v>
      </c>
      <c r="BI11" s="6">
        <f t="shared" si="3"/>
        <v>0.59101965701247772</v>
      </c>
      <c r="BJ11">
        <v>307.04941180290217</v>
      </c>
      <c r="BK11">
        <v>-39.322393543448669</v>
      </c>
      <c r="BV11" s="38" t="s">
        <v>148</v>
      </c>
      <c r="BW11" s="1">
        <f ca="1">BW9/BW10</f>
        <v>-0.89442719099991586</v>
      </c>
      <c r="BX11" s="1">
        <f ca="1">BX9/BW10</f>
        <v>-0.44721359549995793</v>
      </c>
      <c r="BY11" s="1"/>
      <c r="BZ11" s="1">
        <f ca="1">ATAN2(BW11,BX11)</f>
        <v>-2.677945044588987</v>
      </c>
      <c r="CA11" s="39" t="s">
        <v>148</v>
      </c>
      <c r="CB11" s="1">
        <f ca="1">CB9/CB10</f>
        <v>-0.89442719103190571</v>
      </c>
      <c r="CC11" s="1">
        <f ca="1">CC9/CB10</f>
        <v>-0.44721359543597822</v>
      </c>
      <c r="CD11" s="1"/>
      <c r="CE11" s="1">
        <f ca="1">ATAN2(CB11,CC11)</f>
        <v>-2.6779450446605186</v>
      </c>
      <c r="CF11" s="9"/>
      <c r="CG11">
        <f ca="1">ATAN2(COS(CE11-BZ11),SIN(CE11-BZ11))</f>
        <v>-7.1531669476598836E-11</v>
      </c>
      <c r="CH11" s="39" t="s">
        <v>148</v>
      </c>
      <c r="CI11" s="1">
        <f ca="1">CI9/CI10</f>
        <v>0.89442719114561897</v>
      </c>
      <c r="CJ11" s="1">
        <f ca="1">CJ9/CI10</f>
        <v>0.44721359520855175</v>
      </c>
      <c r="CK11" s="1"/>
      <c r="CL11" s="1">
        <f ca="1">ATAN2(CI11,CJ11)</f>
        <v>0.4636476086750041</v>
      </c>
      <c r="CM11" s="38">
        <f ca="1">ATAN2(COS(U13-CL11),SIN(U13-CL11))</f>
        <v>3.2580199649245856E-10</v>
      </c>
      <c r="CU11">
        <v>1.240864541529531</v>
      </c>
      <c r="CV11">
        <v>1.2326833106608075</v>
      </c>
      <c r="CW11">
        <v>1.2367739260951693</v>
      </c>
      <c r="CX11">
        <v>-2.8977189344415177E-3</v>
      </c>
      <c r="CY11">
        <v>1.2827753098515471E-4</v>
      </c>
      <c r="CZ11">
        <v>-1.3714575821515138E-3</v>
      </c>
      <c r="DC11">
        <v>1.2357096097706821</v>
      </c>
      <c r="DD11">
        <v>0.46462634653598878</v>
      </c>
      <c r="DE11">
        <v>0.46360583490513896</v>
      </c>
      <c r="DF11">
        <v>2.7323780866815204</v>
      </c>
      <c r="DG11">
        <v>1.2330353287769362</v>
      </c>
      <c r="DH11">
        <v>4.1774095667135303E-5</v>
      </c>
      <c r="DV11" t="s">
        <v>197</v>
      </c>
      <c r="DW11" s="9">
        <f ca="1">DW5-$DW$8</f>
        <v>0</v>
      </c>
      <c r="DX11" s="9">
        <f ca="1">DX5-$DX$8</f>
        <v>0</v>
      </c>
      <c r="DY11" s="9">
        <f ca="1">DY5-$DY$8</f>
        <v>0</v>
      </c>
      <c r="DZ11" s="9">
        <v>0</v>
      </c>
      <c r="EB11" s="9">
        <f ca="1">EB5-$DW$8</f>
        <v>180.63999999915731</v>
      </c>
      <c r="EC11" s="9">
        <f ca="1">EC5-$DX$8</f>
        <v>128.13204879839861</v>
      </c>
      <c r="ED11" s="9">
        <f ca="1">ED5-$DY$8</f>
        <v>64.066024387742459</v>
      </c>
      <c r="EE11" s="9">
        <v>0</v>
      </c>
      <c r="EF11">
        <f ca="1">ATAN2(EC11,ED11)</f>
        <v>0.46364760892927465</v>
      </c>
      <c r="EG11" s="9">
        <f t="shared" ref="EG11:EG12" ca="1" si="11">SQRT(POWER(EB11,2)+POWER(EC11,2)+POWER(ED11,2))</f>
        <v>230.54953266016733</v>
      </c>
      <c r="EH11">
        <f t="shared" ref="EH11:EH12" ca="1" si="12">EB11/EG11</f>
        <v>0.78351926336551181</v>
      </c>
      <c r="EI11">
        <f t="shared" ref="EI11:EI12" ca="1" si="13">EC11/EG11</f>
        <v>0.55576798321802168</v>
      </c>
      <c r="EJ11">
        <f t="shared" ref="EJ11:EJ12" ca="1" si="14">ED11/EG11</f>
        <v>0.2778839915593172</v>
      </c>
      <c r="EK11">
        <v>0</v>
      </c>
    </row>
    <row r="12" spans="1:141" x14ac:dyDescent="0.25">
      <c r="A12" s="8" t="s">
        <v>11</v>
      </c>
      <c r="B12" s="2">
        <v>60</v>
      </c>
      <c r="C12" t="s">
        <v>1</v>
      </c>
      <c r="G12">
        <f>SUM(G4:G11)</f>
        <v>288</v>
      </c>
      <c r="T12" s="36" t="s">
        <v>101</v>
      </c>
      <c r="U12" s="47">
        <v>50</v>
      </c>
      <c r="V12" s="16" t="s">
        <v>70</v>
      </c>
      <c r="W12" t="str">
        <f>"+ Puts Left of Section in Compression"</f>
        <v>+ Puts Left of Section in Compression</v>
      </c>
      <c r="BC12">
        <v>0.17453292519943295</v>
      </c>
      <c r="BD12">
        <v>276.11404667603995</v>
      </c>
      <c r="BE12">
        <v>-34.566606356066345</v>
      </c>
      <c r="BF12" s="6">
        <f t="shared" si="0"/>
        <v>6.1586436364163752</v>
      </c>
      <c r="BG12" s="6">
        <f t="shared" si="1"/>
        <v>5.9841107112169425</v>
      </c>
      <c r="BH12" s="6">
        <f t="shared" si="2"/>
        <v>0.58818927976401736</v>
      </c>
      <c r="BI12" s="6">
        <f t="shared" si="3"/>
        <v>0.58818927976401736</v>
      </c>
      <c r="BJ12">
        <v>306.79338519559991</v>
      </c>
      <c r="BK12">
        <v>-38.407340395629269</v>
      </c>
      <c r="BV12" s="38"/>
      <c r="CN12" s="1"/>
      <c r="CO12" s="1"/>
      <c r="CP12" s="1"/>
      <c r="CQ12" s="1"/>
      <c r="CU12">
        <v>1.2367739260951693</v>
      </c>
      <c r="CV12">
        <v>1.2326833106608075</v>
      </c>
      <c r="CW12">
        <v>1.2347286183779884</v>
      </c>
      <c r="CX12">
        <v>-1.3714575821515138E-3</v>
      </c>
      <c r="CY12">
        <v>1.2827753098515471E-4</v>
      </c>
      <c r="CZ12">
        <v>-6.183380064124222E-4</v>
      </c>
      <c r="DC12">
        <v>1.2329211861533445</v>
      </c>
      <c r="DD12">
        <v>0.46360583490513896</v>
      </c>
      <c r="DE12">
        <v>0.46364737357405794</v>
      </c>
      <c r="DF12">
        <v>2.7478642566615634</v>
      </c>
      <c r="DG12">
        <v>1.2330359756976825</v>
      </c>
      <c r="DH12">
        <v>2.3542674815191234E-7</v>
      </c>
      <c r="EB12" s="9">
        <f ca="1">EB6-$DW$8</f>
        <v>180.63999999915731</v>
      </c>
      <c r="EC12" s="9">
        <f ca="1">EC6-$DX$8</f>
        <v>105</v>
      </c>
      <c r="ED12" s="9">
        <f ca="1">ED6-$DY$8</f>
        <v>55</v>
      </c>
      <c r="EE12" s="9">
        <v>0</v>
      </c>
      <c r="EF12">
        <f ca="1">ATAN2(EC12,ED12)</f>
        <v>0.48251329502247692</v>
      </c>
      <c r="EG12" s="9">
        <f t="shared" ca="1" si="11"/>
        <v>216.05742199631919</v>
      </c>
      <c r="EH12">
        <f t="shared" ca="1" si="12"/>
        <v>0.836074032218318</v>
      </c>
      <c r="EI12">
        <f t="shared" ca="1" si="13"/>
        <v>0.48598191642677663</v>
      </c>
      <c r="EJ12">
        <f t="shared" ca="1" si="14"/>
        <v>0.25456195622354966</v>
      </c>
      <c r="EK12">
        <v>0</v>
      </c>
    </row>
    <row r="13" spans="1:141" ht="15.75" thickBot="1" x14ac:dyDescent="0.3">
      <c r="A13" s="8" t="s">
        <v>12</v>
      </c>
      <c r="B13" s="3">
        <v>29000</v>
      </c>
      <c r="C13" t="s">
        <v>1</v>
      </c>
      <c r="T13" s="27" t="s">
        <v>96</v>
      </c>
      <c r="U13" s="28">
        <f>IF(AND(U11=0,U12=0),0,MOD(ATAN2(U11,U12),2*PI()))</f>
        <v>0.46364760900080609</v>
      </c>
      <c r="V13" s="17" t="s">
        <v>97</v>
      </c>
      <c r="X13" s="38"/>
      <c r="Y13" s="9"/>
      <c r="AA13" s="48"/>
      <c r="BC13">
        <v>0.19198621771937624</v>
      </c>
      <c r="BD13">
        <v>275.86547723921962</v>
      </c>
      <c r="BE13">
        <v>-33.738278914687946</v>
      </c>
      <c r="BF13" s="6">
        <f t="shared" si="0"/>
        <v>6.161489897886419</v>
      </c>
      <c r="BG13" s="6">
        <f t="shared" si="1"/>
        <v>5.9695036801670431</v>
      </c>
      <c r="BH13" s="6">
        <f t="shared" si="2"/>
        <v>0.58534301829397362</v>
      </c>
      <c r="BI13" s="6">
        <f t="shared" si="3"/>
        <v>0.58534301829397362</v>
      </c>
      <c r="BJ13">
        <v>306.51719693246622</v>
      </c>
      <c r="BK13">
        <v>-37.486976571875495</v>
      </c>
      <c r="BV13" s="38"/>
      <c r="BW13" t="s">
        <v>149</v>
      </c>
      <c r="CI13" s="9"/>
      <c r="CJ13" s="9"/>
      <c r="CU13">
        <v>1.2347286183779884</v>
      </c>
      <c r="CV13">
        <v>1.2326833106608075</v>
      </c>
      <c r="CW13">
        <v>1.233705964519398</v>
      </c>
      <c r="CX13">
        <v>-6.183380064124222E-4</v>
      </c>
      <c r="CY13">
        <v>1.2827753098515471E-4</v>
      </c>
      <c r="CZ13">
        <v>-2.4422502859910988E-4</v>
      </c>
      <c r="DC13">
        <v>1.2330353287769362</v>
      </c>
      <c r="DD13">
        <v>0.46364737357405794</v>
      </c>
      <c r="DE13">
        <v>0.46364760905736879</v>
      </c>
      <c r="DF13">
        <v>2.7472042242315315</v>
      </c>
      <c r="DG13">
        <v>1.2330359755422933</v>
      </c>
      <c r="DH13">
        <v>-5.6562698969031544E-11</v>
      </c>
      <c r="DV13" t="s">
        <v>219</v>
      </c>
    </row>
    <row r="14" spans="1:141" ht="15.75" thickBot="1" x14ac:dyDescent="0.3">
      <c r="B14" s="1" t="s">
        <v>13</v>
      </c>
      <c r="C14" s="1" t="s">
        <v>14</v>
      </c>
      <c r="D14" s="1" t="s">
        <v>8</v>
      </c>
      <c r="E14" s="1" t="s">
        <v>9</v>
      </c>
      <c r="G14" s="1">
        <v>0</v>
      </c>
      <c r="H14" s="6">
        <v>0</v>
      </c>
      <c r="I14" s="6">
        <v>0</v>
      </c>
      <c r="T14" s="41" t="s">
        <v>109</v>
      </c>
      <c r="U14" s="42">
        <f>SQRT(POWER(U11,2)+POWER(U12,2))</f>
        <v>111.80339887498948</v>
      </c>
      <c r="V14" s="43" t="s">
        <v>70</v>
      </c>
      <c r="Y14" s="57"/>
      <c r="Z14" s="58" t="s">
        <v>99</v>
      </c>
      <c r="AA14" s="59" t="s">
        <v>100</v>
      </c>
      <c r="AB14" s="60" t="s">
        <v>101</v>
      </c>
      <c r="AC14" s="63" t="s">
        <v>221</v>
      </c>
      <c r="AD14" s="58" t="s">
        <v>222</v>
      </c>
      <c r="AE14" s="60" t="s">
        <v>223</v>
      </c>
      <c r="BC14">
        <v>0.20943951023931953</v>
      </c>
      <c r="BD14">
        <v>275.59887119879613</v>
      </c>
      <c r="BE14">
        <v>-32.905371798229638</v>
      </c>
      <c r="BF14" s="6">
        <f t="shared" si="0"/>
        <v>6.1643519605047272</v>
      </c>
      <c r="BG14" s="6">
        <f t="shared" si="1"/>
        <v>5.9549124502654074</v>
      </c>
      <c r="BH14" s="6">
        <f t="shared" si="2"/>
        <v>0.58248095567566549</v>
      </c>
      <c r="BI14" s="6">
        <f t="shared" si="3"/>
        <v>0.58248095567566549</v>
      </c>
      <c r="BJ14">
        <v>306.22096799866239</v>
      </c>
      <c r="BK14">
        <v>-36.561524220255151</v>
      </c>
      <c r="BV14" s="38"/>
      <c r="BW14" t="s">
        <v>111</v>
      </c>
      <c r="BX14" s="1" t="s">
        <v>100</v>
      </c>
      <c r="BY14" s="1" t="s">
        <v>101</v>
      </c>
      <c r="BZ14" s="1" t="s">
        <v>150</v>
      </c>
      <c r="CA14" s="1" t="s">
        <v>151</v>
      </c>
      <c r="CB14" s="1" t="s">
        <v>152</v>
      </c>
      <c r="CC14" s="1" t="s">
        <v>153</v>
      </c>
      <c r="CD14" s="1"/>
      <c r="CE14" s="1"/>
      <c r="CF14" s="1" t="s">
        <v>150</v>
      </c>
      <c r="CG14" s="1" t="s">
        <v>151</v>
      </c>
      <c r="CH14" s="1" t="s">
        <v>152</v>
      </c>
      <c r="CI14" s="1" t="s">
        <v>153</v>
      </c>
      <c r="CJ14" s="1" t="s">
        <v>154</v>
      </c>
      <c r="CL14" s="1"/>
      <c r="CM14" s="1"/>
      <c r="CN14" s="1"/>
      <c r="CO14" s="1"/>
      <c r="CP14" s="1"/>
      <c r="CU14">
        <v>1.233705964519398</v>
      </c>
      <c r="CV14">
        <v>1.2326833106608075</v>
      </c>
      <c r="CW14">
        <v>1.2331946375901026</v>
      </c>
      <c r="CX14">
        <v>-2.4422502859910988E-4</v>
      </c>
      <c r="CY14">
        <v>1.2827753098515471E-4</v>
      </c>
      <c r="CZ14">
        <v>-5.7773410302552897E-5</v>
      </c>
      <c r="DV14" t="s">
        <v>208</v>
      </c>
      <c r="DW14" t="e">
        <f ca="1">ATAN2(-1*DX10,-1*DY10)</f>
        <v>#DIV/0!</v>
      </c>
      <c r="DX14" t="s">
        <v>97</v>
      </c>
    </row>
    <row r="15" spans="1:141" x14ac:dyDescent="0.25">
      <c r="A15">
        <v>1</v>
      </c>
      <c r="B15" s="19">
        <v>0</v>
      </c>
      <c r="C15" s="6">
        <f ca="1">OFFSET($G$14,MATCH(B15,$G$14:$G$29,0)-1,2)</f>
        <v>0</v>
      </c>
      <c r="D15" s="2">
        <v>2</v>
      </c>
      <c r="E15" s="2">
        <v>2</v>
      </c>
      <c r="G15" s="1">
        <v>3</v>
      </c>
      <c r="H15" s="6">
        <v>0.375</v>
      </c>
      <c r="I15" s="6">
        <v>0.11</v>
      </c>
      <c r="K15" s="1" t="e">
        <f t="shared" ref="K15:K24" si="15">IF($B15=0,NA(),D15)</f>
        <v>#N/A</v>
      </c>
      <c r="L15" s="1" t="e">
        <f t="shared" ref="L15:L24" si="16">IF($B15=0,NA(),E15)</f>
        <v>#N/A</v>
      </c>
      <c r="T15" s="37" t="s">
        <v>103</v>
      </c>
      <c r="U15" s="6">
        <f>SQRT(POWER(U12,2)+POWER(U11,2)+POWER(U10,2))</f>
        <v>112.24972160321825</v>
      </c>
      <c r="Y15" s="61" t="s">
        <v>196</v>
      </c>
      <c r="Z15" s="65">
        <f ca="1">B115</f>
        <v>910.1105</v>
      </c>
      <c r="AA15" s="65">
        <f ca="1">C116</f>
        <v>0</v>
      </c>
      <c r="AB15" s="66">
        <f ca="1">C117</f>
        <v>0</v>
      </c>
      <c r="AC15" s="67">
        <f ca="1">Z15/0.65</f>
        <v>1400.1699999999998</v>
      </c>
      <c r="AD15" s="65">
        <f t="shared" ref="AD15:AE15" ca="1" si="17">AA15/0.65</f>
        <v>0</v>
      </c>
      <c r="AE15" s="66">
        <f t="shared" ca="1" si="17"/>
        <v>0</v>
      </c>
      <c r="BC15">
        <v>0.22689280275926282</v>
      </c>
      <c r="BD15">
        <v>275.31452449045719</v>
      </c>
      <c r="BE15">
        <v>-32.068285823065068</v>
      </c>
      <c r="BF15" s="6">
        <f t="shared" si="0"/>
        <v>6.1672290985170948</v>
      </c>
      <c r="BG15" s="6">
        <f t="shared" si="1"/>
        <v>5.9403362957578318</v>
      </c>
      <c r="BH15" s="6">
        <f t="shared" si="2"/>
        <v>0.57960381766329794</v>
      </c>
      <c r="BI15" s="6">
        <f t="shared" si="3"/>
        <v>0.57960381766329794</v>
      </c>
      <c r="BJ15">
        <v>305.90502721161909</v>
      </c>
      <c r="BK15">
        <v>-35.63142869229452</v>
      </c>
      <c r="BV15" s="38"/>
      <c r="BW15" s="6">
        <f t="shared" ref="BW15:BW78" si="18">BC2</f>
        <v>0</v>
      </c>
      <c r="BX15" s="9">
        <f ca="1">$BW$5-BD2</f>
        <v>-277.65011198714569</v>
      </c>
      <c r="BY15" s="9">
        <f ca="1">$BX$5-BE2</f>
        <v>42.66</v>
      </c>
      <c r="BZ15">
        <f ca="1">SQRT(POWER(BX15,2)+POWER(BY15,2))</f>
        <v>280.90827735485925</v>
      </c>
      <c r="CA15" s="6">
        <f t="shared" ref="CA15" ca="1" si="19">BX15/BZ15</f>
        <v>-0.9884013194684268</v>
      </c>
      <c r="CB15" s="6">
        <f t="shared" ref="CB15" ca="1" si="20">BY15/BZ15</f>
        <v>0.15186451749198357</v>
      </c>
      <c r="CC15" s="6">
        <f t="shared" ref="CC15" ca="1" si="21">ATAN2(CA15,CB15)</f>
        <v>2.9891382557805679</v>
      </c>
      <c r="CD15" s="6">
        <f ca="1">$BW$9-BX15</f>
        <v>177.65011198714569</v>
      </c>
      <c r="CE15" s="9">
        <f ca="1">$BX$9-BY15</f>
        <v>-92.66</v>
      </c>
      <c r="CF15">
        <f ca="1">SQRT(POWER(CD15,2)+POWER(CE15,2))</f>
        <v>200.36326481929117</v>
      </c>
      <c r="CG15" s="6">
        <f t="shared" ref="CG15" ca="1" si="22">CD15/CF15</f>
        <v>0.8866401340952863</v>
      </c>
      <c r="CH15" s="6">
        <f t="shared" ref="CH15" ca="1" si="23">CE15/CF15</f>
        <v>-0.46246002271709141</v>
      </c>
      <c r="CI15" s="6">
        <f t="shared" ref="CI15" ca="1" si="24">ATAN2(CG15,CH15)</f>
        <v>-0.48076774208936279</v>
      </c>
      <c r="CJ15" s="1">
        <f ca="1">ATAN2(COS($U$13-CI15),SIN($U$13-CI15))</f>
        <v>0.94441535109016894</v>
      </c>
      <c r="CK15" s="38"/>
      <c r="CL15" s="9"/>
      <c r="CM15" s="9"/>
      <c r="CN15" s="1"/>
      <c r="CO15" s="1"/>
      <c r="CP15" s="1"/>
      <c r="CQ15" s="1"/>
      <c r="CU15">
        <v>1.2331946375901026</v>
      </c>
      <c r="CV15">
        <v>1.2326833106608075</v>
      </c>
      <c r="CW15">
        <v>1.2329389741254551</v>
      </c>
      <c r="CX15">
        <v>-5.7773410302552897E-5</v>
      </c>
      <c r="CY15">
        <v>1.2827753098515471E-4</v>
      </c>
      <c r="CZ15">
        <v>3.5302025362560212E-5</v>
      </c>
      <c r="DV15" t="s">
        <v>209</v>
      </c>
      <c r="DW15">
        <v>1</v>
      </c>
      <c r="DX15">
        <v>0</v>
      </c>
      <c r="DY15">
        <v>0</v>
      </c>
    </row>
    <row r="16" spans="1:141" ht="15.75" thickBot="1" x14ac:dyDescent="0.3">
      <c r="A16">
        <v>2</v>
      </c>
      <c r="B16" s="19">
        <v>0</v>
      </c>
      <c r="C16" s="6">
        <f t="shared" ref="C16:C24" ca="1" si="25">OFFSET($G$14,MATCH(B16,$G$14:$G$29,0)-1,2)</f>
        <v>0</v>
      </c>
      <c r="D16" s="2">
        <v>2</v>
      </c>
      <c r="E16" s="2">
        <v>4</v>
      </c>
      <c r="G16" s="1">
        <v>4</v>
      </c>
      <c r="H16" s="6">
        <v>0.5</v>
      </c>
      <c r="I16" s="6">
        <v>0.2</v>
      </c>
      <c r="K16" s="1" t="e">
        <f t="shared" si="15"/>
        <v>#N/A</v>
      </c>
      <c r="L16" s="1" t="e">
        <f t="shared" si="16"/>
        <v>#N/A</v>
      </c>
      <c r="T16" s="37" t="s">
        <v>104</v>
      </c>
      <c r="U16" s="39">
        <f>U10/U15</f>
        <v>8.9087080637474794E-2</v>
      </c>
      <c r="V16" s="39">
        <f>U11/U15</f>
        <v>0.89087080637474791</v>
      </c>
      <c r="W16" s="39">
        <f>U12/U15</f>
        <v>0.44543540318737396</v>
      </c>
      <c r="X16" s="38"/>
      <c r="Y16" s="62" t="s">
        <v>197</v>
      </c>
      <c r="Z16" s="68">
        <f ca="1">J115</f>
        <v>-170.64000000000001</v>
      </c>
      <c r="AA16" s="68">
        <f ca="1">K116</f>
        <v>0</v>
      </c>
      <c r="AB16" s="69">
        <f ca="1">K117</f>
        <v>0</v>
      </c>
      <c r="AC16" s="70">
        <f ca="1">Z16/0.9</f>
        <v>-189.60000000000002</v>
      </c>
      <c r="AD16" s="68">
        <f t="shared" ref="AD16:AE16" ca="1" si="26">AA16/0.9</f>
        <v>0</v>
      </c>
      <c r="AE16" s="69">
        <f t="shared" ca="1" si="26"/>
        <v>0</v>
      </c>
      <c r="BC16">
        <v>0.24434609527920612</v>
      </c>
      <c r="BD16">
        <v>275.01279946026273</v>
      </c>
      <c r="BE16">
        <v>-31.227459217292395</v>
      </c>
      <c r="BF16" s="6">
        <f t="shared" si="0"/>
        <v>6.1701204655531336</v>
      </c>
      <c r="BG16" s="6">
        <f t="shared" si="1"/>
        <v>5.9257743702739276</v>
      </c>
      <c r="BH16" s="6">
        <f t="shared" si="2"/>
        <v>0.57671245062725895</v>
      </c>
      <c r="BI16" s="6">
        <f t="shared" si="3"/>
        <v>0.57671245062725895</v>
      </c>
      <c r="BJ16">
        <v>305.56977717806967</v>
      </c>
      <c r="BK16">
        <v>-34.697176908102662</v>
      </c>
      <c r="BV16" s="38"/>
      <c r="BW16" s="6">
        <f t="shared" si="18"/>
        <v>1.7453292519943295E-2</v>
      </c>
      <c r="BX16" s="9">
        <f t="shared" ref="BX16:BX79" ca="1" si="27">$BW$5-BD3</f>
        <v>-277.57038759620008</v>
      </c>
      <c r="BY16" s="9">
        <f t="shared" ref="BY16:BY79" ca="1" si="28">$BX$5-BE3</f>
        <v>41.858812519794796</v>
      </c>
      <c r="BZ16">
        <f t="shared" ref="BZ16:BZ79" ca="1" si="29">SQRT(POWER(BX16,2)+POWER(BY16,2))</f>
        <v>280.708888808089</v>
      </c>
      <c r="CA16" s="6">
        <f t="shared" ref="CA16:CA79" ca="1" si="30">BX16/BZ16</f>
        <v>-0.98881937360368166</v>
      </c>
      <c r="CB16" s="6">
        <f t="shared" ref="CB16:CB79" ca="1" si="31">BY16/BZ16</f>
        <v>0.14911822955635803</v>
      </c>
      <c r="CC16" s="6">
        <f t="shared" ref="CC16:CC79" ca="1" si="32">ATAN2(CA16,CB16)</f>
        <v>2.9919161815621313</v>
      </c>
      <c r="CD16" s="6">
        <f t="shared" ref="CD16:CD79" ca="1" si="33">$BW$9-BX16</f>
        <v>177.57038759620008</v>
      </c>
      <c r="CE16" s="9">
        <f t="shared" ref="CE16:CE79" ca="1" si="34">$BX$9-BY16</f>
        <v>-91.858812519794796</v>
      </c>
      <c r="CF16">
        <f t="shared" ref="CF16:CF79" ca="1" si="35">SQRT(POWER(CD16,2)+POWER(CE16,2))</f>
        <v>199.92319522409485</v>
      </c>
      <c r="CG16" s="6">
        <f t="shared" ref="CG16:CG79" ca="1" si="36">CD16/CF16</f>
        <v>0.88819302531234856</v>
      </c>
      <c r="CH16" s="6">
        <f t="shared" ref="CH16:CH79" ca="1" si="37">CE16/CF16</f>
        <v>-0.45947051024684665</v>
      </c>
      <c r="CI16" s="6">
        <f t="shared" ref="CI16:CI79" ca="1" si="38">ATAN2(CG16,CH16)</f>
        <v>-0.47739896387249242</v>
      </c>
      <c r="CJ16" s="1">
        <f t="shared" ref="CJ16:CJ79" ca="1" si="39">ATAN2(COS($U$13-CI16),SIN($U$13-CI16))</f>
        <v>0.94104657287329851</v>
      </c>
      <c r="CK16" s="38"/>
      <c r="CU16">
        <v>1.2331946375901026</v>
      </c>
      <c r="CV16">
        <v>1.2329389741254551</v>
      </c>
      <c r="CW16">
        <v>1.2330668058577787</v>
      </c>
      <c r="CX16">
        <v>-5.7773410302552897E-5</v>
      </c>
      <c r="CY16">
        <v>3.5302025362560212E-5</v>
      </c>
      <c r="CZ16">
        <v>-1.1223186547615338E-5</v>
      </c>
      <c r="DV16" t="s">
        <v>210</v>
      </c>
      <c r="DW16" t="e">
        <f ca="1">(DW15*DW15*(1-COS(DW14)))+COS(DW14)</f>
        <v>#DIV/0!</v>
      </c>
      <c r="DX16" t="e">
        <f ca="1">(DX15*DW15*(1-COS(DW14)))-(DY15*SIN(DW14))</f>
        <v>#DIV/0!</v>
      </c>
      <c r="DY16" t="e">
        <f ca="1">(DY15*DW15*(1-COS(DW14)))+(DX15*SIN(DW14))</f>
        <v>#DIV/0!</v>
      </c>
      <c r="DZ16">
        <v>0</v>
      </c>
    </row>
    <row r="17" spans="1:136" x14ac:dyDescent="0.25">
      <c r="A17">
        <v>3</v>
      </c>
      <c r="B17" s="19">
        <v>0</v>
      </c>
      <c r="C17" s="6">
        <f t="shared" ca="1" si="25"/>
        <v>0</v>
      </c>
      <c r="D17" s="2">
        <v>4</v>
      </c>
      <c r="E17" s="2">
        <v>2</v>
      </c>
      <c r="G17" s="1">
        <v>5</v>
      </c>
      <c r="H17" s="6">
        <v>0.625</v>
      </c>
      <c r="I17" s="6">
        <v>0.31</v>
      </c>
      <c r="K17" s="1" t="e">
        <f t="shared" si="15"/>
        <v>#N/A</v>
      </c>
      <c r="L17" s="1" t="e">
        <f t="shared" si="16"/>
        <v>#N/A</v>
      </c>
      <c r="Y17" s="63" t="s">
        <v>214</v>
      </c>
      <c r="Z17" s="71">
        <f>U10</f>
        <v>10</v>
      </c>
      <c r="AA17" s="71">
        <f>U11</f>
        <v>100</v>
      </c>
      <c r="AB17" s="72">
        <f>U12</f>
        <v>50</v>
      </c>
      <c r="AC17" s="73">
        <f ca="1">Z17/$U$3</f>
        <v>11.111111111111111</v>
      </c>
      <c r="AD17" s="71">
        <f t="shared" ref="AD17:AE17" ca="1" si="40">AA17/$U$3</f>
        <v>111.11111111111111</v>
      </c>
      <c r="AE17" s="72">
        <f t="shared" ca="1" si="40"/>
        <v>55.555555555555557</v>
      </c>
      <c r="BC17">
        <v>0.26179938779914941</v>
      </c>
      <c r="BD17">
        <v>274.69406015287598</v>
      </c>
      <c r="BE17">
        <v>-30.383296621334939</v>
      </c>
      <c r="BF17" s="6">
        <f t="shared" si="0"/>
        <v>6.1730253191319857</v>
      </c>
      <c r="BG17" s="6">
        <f t="shared" si="1"/>
        <v>5.9112259313328366</v>
      </c>
      <c r="BH17" s="6">
        <f t="shared" si="2"/>
        <v>0.57380759704840689</v>
      </c>
      <c r="BI17" s="6">
        <f t="shared" si="3"/>
        <v>0.57380759704840689</v>
      </c>
      <c r="BJ17">
        <v>305.21562239208441</v>
      </c>
      <c r="BK17">
        <v>-33.759218468149932</v>
      </c>
      <c r="BV17" s="38"/>
      <c r="BW17" s="6">
        <f t="shared" si="18"/>
        <v>3.4906585039886591E-2</v>
      </c>
      <c r="BX17" s="9">
        <f t="shared" ca="1" si="27"/>
        <v>-277.47470519226954</v>
      </c>
      <c r="BY17" s="9">
        <f t="shared" ca="1" si="28"/>
        <v>41.057136680328789</v>
      </c>
      <c r="BZ17">
        <f t="shared" ca="1" si="29"/>
        <v>280.49581190086263</v>
      </c>
      <c r="CA17" s="6">
        <f t="shared" ca="1" si="30"/>
        <v>-0.98922940528730297</v>
      </c>
      <c r="CB17" s="6">
        <f t="shared" ca="1" si="31"/>
        <v>0.14637343923994084</v>
      </c>
      <c r="CC17" s="6">
        <f t="shared" ca="1" si="32"/>
        <v>2.994691430164703</v>
      </c>
      <c r="CD17" s="6">
        <f t="shared" ca="1" si="33"/>
        <v>177.47470519226954</v>
      </c>
      <c r="CE17" s="9">
        <f t="shared" ca="1" si="34"/>
        <v>-91.057136680328796</v>
      </c>
      <c r="CF17">
        <f t="shared" ca="1" si="35"/>
        <v>199.47098316171969</v>
      </c>
      <c r="CG17" s="6">
        <f t="shared" ca="1" si="36"/>
        <v>0.88972692859483815</v>
      </c>
      <c r="CH17" s="6">
        <f t="shared" ca="1" si="37"/>
        <v>-0.45649314620615705</v>
      </c>
      <c r="CI17" s="6">
        <f t="shared" ca="1" si="38"/>
        <v>-0.47404970031210042</v>
      </c>
      <c r="CJ17" s="1">
        <f t="shared" ca="1" si="39"/>
        <v>0.93769730931290651</v>
      </c>
      <c r="CK17" s="38"/>
      <c r="CU17">
        <v>1.2330668058577787</v>
      </c>
      <c r="CV17">
        <v>1.2329389741254551</v>
      </c>
      <c r="CW17">
        <v>1.2330028899916168</v>
      </c>
      <c r="CX17">
        <v>-1.1223186547615338E-5</v>
      </c>
      <c r="CY17">
        <v>3.5302025362560212E-5</v>
      </c>
      <c r="CZ17">
        <v>1.2042543688528527E-5</v>
      </c>
      <c r="DW17" t="e">
        <f ca="1">(DW15*DX15*(1-COS(DW14)))+(DY15*SIN(DW14))</f>
        <v>#DIV/0!</v>
      </c>
      <c r="DX17" t="e">
        <f ca="1">(DX15*DX15*(1-COS(DW14)))+COS(DW14)</f>
        <v>#DIV/0!</v>
      </c>
      <c r="DY17" t="e">
        <f ca="1">(DY15*DX15*(1-COS(DW14)))-(DW15*SIN(DW14))</f>
        <v>#DIV/0!</v>
      </c>
      <c r="DZ17">
        <v>0</v>
      </c>
    </row>
    <row r="18" spans="1:136" ht="15.75" thickBot="1" x14ac:dyDescent="0.3">
      <c r="A18">
        <v>4</v>
      </c>
      <c r="B18" s="19">
        <v>0</v>
      </c>
      <c r="C18" s="6">
        <f t="shared" ca="1" si="25"/>
        <v>0</v>
      </c>
      <c r="D18" s="2">
        <v>4</v>
      </c>
      <c r="E18" s="2">
        <v>4</v>
      </c>
      <c r="G18" s="1">
        <v>6</v>
      </c>
      <c r="H18" s="6">
        <v>0.75</v>
      </c>
      <c r="I18" s="6">
        <v>0.44</v>
      </c>
      <c r="K18" s="1" t="e">
        <f t="shared" si="15"/>
        <v>#N/A</v>
      </c>
      <c r="L18" s="1" t="e">
        <f t="shared" si="16"/>
        <v>#N/A</v>
      </c>
      <c r="T18" s="8" t="s">
        <v>105</v>
      </c>
      <c r="U18" s="6">
        <f ca="1">SQRT(POWER(U6,2)+POWER(U5,2)+POWER(U4,2))</f>
        <v>143.60458700929146</v>
      </c>
      <c r="Y18" s="64" t="s">
        <v>215</v>
      </c>
      <c r="Z18" s="68">
        <f ca="1">U4</f>
        <v>9.9999999991572857</v>
      </c>
      <c r="AA18" s="68">
        <f ca="1">U5</f>
        <v>128.13204879839861</v>
      </c>
      <c r="AB18" s="69">
        <f ca="1">U6</f>
        <v>64.066024387742459</v>
      </c>
      <c r="AC18" s="70">
        <f ca="1">Z18/$U$3</f>
        <v>11.111111110174761</v>
      </c>
      <c r="AD18" s="68">
        <f t="shared" ref="AD18" ca="1" si="41">AA18/$U$3</f>
        <v>142.36894310933178</v>
      </c>
      <c r="AE18" s="69">
        <f t="shared" ref="AE18" ca="1" si="42">AB18/$U$3</f>
        <v>71.184471541936063</v>
      </c>
      <c r="BC18">
        <v>0.27925268031909273</v>
      </c>
      <c r="BD18">
        <v>274.35863779841463</v>
      </c>
      <c r="BE18">
        <v>-29.536140940934647</v>
      </c>
      <c r="BF18" s="6">
        <f t="shared" si="0"/>
        <v>6.1759431090181858</v>
      </c>
      <c r="BG18" s="6">
        <f t="shared" si="1"/>
        <v>5.8966904286990927</v>
      </c>
      <c r="BH18" s="6">
        <f t="shared" si="2"/>
        <v>0.57088980716220694</v>
      </c>
      <c r="BI18" s="6">
        <f t="shared" si="3"/>
        <v>0.57088980716220694</v>
      </c>
      <c r="BJ18">
        <v>304.84293088712735</v>
      </c>
      <c r="BK18">
        <v>-32.817934378816275</v>
      </c>
      <c r="BV18" s="38"/>
      <c r="BW18" s="6">
        <f t="shared" si="18"/>
        <v>5.235987755982989E-2</v>
      </c>
      <c r="BX18" s="9">
        <f t="shared" ca="1" si="27"/>
        <v>-277.36296267728272</v>
      </c>
      <c r="BY18" s="9">
        <f t="shared" ca="1" si="28"/>
        <v>40.254482930908381</v>
      </c>
      <c r="BZ18">
        <f t="shared" ca="1" si="29"/>
        <v>280.2688645946148</v>
      </c>
      <c r="CA18" s="6">
        <f t="shared" ca="1" si="30"/>
        <v>-0.98963173479317723</v>
      </c>
      <c r="CB18" s="6">
        <f t="shared" ca="1" si="31"/>
        <v>0.14362809436265098</v>
      </c>
      <c r="CC18" s="6">
        <f t="shared" ca="1" si="32"/>
        <v>2.9974660999587219</v>
      </c>
      <c r="CD18" s="6">
        <f t="shared" ca="1" si="33"/>
        <v>177.36296267728272</v>
      </c>
      <c r="CE18" s="9">
        <f t="shared" ca="1" si="34"/>
        <v>-90.254482930908381</v>
      </c>
      <c r="CF18">
        <f t="shared" ca="1" si="35"/>
        <v>199.0062617577367</v>
      </c>
      <c r="CG18" s="6">
        <f t="shared" ca="1" si="36"/>
        <v>0.89124312527008942</v>
      </c>
      <c r="CH18" s="6">
        <f t="shared" ca="1" si="37"/>
        <v>-0.45352584453237482</v>
      </c>
      <c r="CI18" s="6">
        <f t="shared" ca="1" si="38"/>
        <v>-0.47071747255042307</v>
      </c>
      <c r="CJ18" s="1">
        <f t="shared" ca="1" si="39"/>
        <v>0.93436508155122922</v>
      </c>
      <c r="CK18" s="38"/>
      <c r="CU18">
        <v>1.2330668058577787</v>
      </c>
      <c r="CV18">
        <v>1.2330028899916168</v>
      </c>
      <c r="CW18">
        <v>1.2330348479246978</v>
      </c>
      <c r="CX18">
        <v>-1.1223186547615338E-5</v>
      </c>
      <c r="CY18">
        <v>1.2042543688528527E-5</v>
      </c>
      <c r="CZ18">
        <v>4.1046040549774787E-7</v>
      </c>
      <c r="DW18" t="e">
        <f ca="1">(DW15*DY15*(1-COS(DW14)))-(DX15*SIN(DW14))</f>
        <v>#DIV/0!</v>
      </c>
      <c r="DX18" t="e">
        <f ca="1">(DX15*DY15*(1-COS(DW14)))+(DW15*SIN(DW14))</f>
        <v>#DIV/0!</v>
      </c>
      <c r="DY18" t="e">
        <f ca="1">(DY15*DY15*(1-COS(DW14)))+COS(DW14)</f>
        <v>#DIV/0!</v>
      </c>
      <c r="DZ18">
        <v>0</v>
      </c>
    </row>
    <row r="19" spans="1:136" x14ac:dyDescent="0.25">
      <c r="A19">
        <v>5</v>
      </c>
      <c r="B19" s="19">
        <v>0</v>
      </c>
      <c r="C19" s="6">
        <f t="shared" ca="1" si="25"/>
        <v>0</v>
      </c>
      <c r="D19" s="2">
        <v>6</v>
      </c>
      <c r="E19" s="2">
        <v>2</v>
      </c>
      <c r="G19" s="1">
        <v>7</v>
      </c>
      <c r="H19" s="6">
        <v>0.875</v>
      </c>
      <c r="I19" s="6">
        <v>0.6</v>
      </c>
      <c r="K19" s="1" t="e">
        <f t="shared" si="15"/>
        <v>#N/A</v>
      </c>
      <c r="L19" s="1" t="e">
        <f t="shared" si="16"/>
        <v>#N/A</v>
      </c>
      <c r="T19" s="8" t="s">
        <v>106</v>
      </c>
      <c r="U19" s="39">
        <f ca="1">U4/U18</f>
        <v>6.9635658633315584E-2</v>
      </c>
      <c r="V19" s="39">
        <f ca="1">U5/U18</f>
        <v>0.89225596108645366</v>
      </c>
      <c r="W19" s="39">
        <f ca="1">U6/U18</f>
        <v>0.44612798046344632</v>
      </c>
      <c r="X19" s="38"/>
      <c r="BC19">
        <v>0.29670597283903605</v>
      </c>
      <c r="BD19">
        <v>274.00681302344918</v>
      </c>
      <c r="BE19">
        <v>-28.686265409087095</v>
      </c>
      <c r="BF19" s="6">
        <f t="shared" si="0"/>
        <v>6.1788735022651764</v>
      </c>
      <c r="BG19" s="6">
        <f t="shared" si="1"/>
        <v>5.8821675294261402</v>
      </c>
      <c r="BH19" s="6">
        <f t="shared" si="2"/>
        <v>0.5679594139152162</v>
      </c>
      <c r="BI19" s="6">
        <f t="shared" si="3"/>
        <v>0.5679594139152162</v>
      </c>
      <c r="BJ19">
        <v>304.45201447049908</v>
      </c>
      <c r="BK19">
        <v>-31.873628232318993</v>
      </c>
      <c r="BV19" s="38"/>
      <c r="BW19" s="6">
        <f t="shared" si="18"/>
        <v>6.9813170079773182E-2</v>
      </c>
      <c r="BX19" s="9">
        <f t="shared" ca="1" si="27"/>
        <v>-277.23501857246367</v>
      </c>
      <c r="BY19" s="9">
        <f t="shared" ca="1" si="28"/>
        <v>39.450359331792853</v>
      </c>
      <c r="BZ19">
        <f t="shared" ca="1" si="29"/>
        <v>280.02783142802406</v>
      </c>
      <c r="CA19" s="6">
        <f t="shared" ca="1" si="30"/>
        <v>-0.99002665970265091</v>
      </c>
      <c r="CB19" s="6">
        <f t="shared" ca="1" si="31"/>
        <v>0.14088013727282972</v>
      </c>
      <c r="CC19" s="6">
        <f t="shared" ca="1" si="32"/>
        <v>3.0002422913789499</v>
      </c>
      <c r="CD19" s="6">
        <f t="shared" ca="1" si="33"/>
        <v>177.23501857246367</v>
      </c>
      <c r="CE19" s="9">
        <f t="shared" ca="1" si="34"/>
        <v>-89.450359331792853</v>
      </c>
      <c r="CF19">
        <f t="shared" ca="1" si="35"/>
        <v>198.52863418904693</v>
      </c>
      <c r="CG19" s="6">
        <f t="shared" ca="1" si="36"/>
        <v>0.89274284939518289</v>
      </c>
      <c r="CH19" s="6">
        <f t="shared" ca="1" si="37"/>
        <v>-0.45056653765428434</v>
      </c>
      <c r="CI19" s="6">
        <f t="shared" ca="1" si="38"/>
        <v>-0.46739984090334696</v>
      </c>
      <c r="CJ19" s="1">
        <f t="shared" ca="1" si="39"/>
        <v>0.931047449904153</v>
      </c>
      <c r="CK19" s="38"/>
      <c r="CU19">
        <v>1.2330668058577787</v>
      </c>
      <c r="CV19">
        <v>1.2330348479246978</v>
      </c>
      <c r="CW19">
        <v>1.2330508268912381</v>
      </c>
      <c r="CX19">
        <v>-1.1223186547615338E-5</v>
      </c>
      <c r="CY19">
        <v>4.1046040549774787E-7</v>
      </c>
      <c r="CZ19">
        <v>-5.4061676353911459E-6</v>
      </c>
      <c r="DW19">
        <v>0</v>
      </c>
      <c r="DX19">
        <v>0</v>
      </c>
      <c r="DY19">
        <v>0</v>
      </c>
      <c r="DZ19">
        <v>1</v>
      </c>
    </row>
    <row r="20" spans="1:136" x14ac:dyDescent="0.25">
      <c r="A20">
        <v>6</v>
      </c>
      <c r="B20" s="19">
        <v>0</v>
      </c>
      <c r="C20" s="6">
        <f t="shared" ca="1" si="25"/>
        <v>0</v>
      </c>
      <c r="D20" s="2">
        <v>0</v>
      </c>
      <c r="E20" s="2">
        <v>8.66</v>
      </c>
      <c r="G20" s="1">
        <v>8</v>
      </c>
      <c r="H20" s="6">
        <v>1</v>
      </c>
      <c r="I20" s="6">
        <v>0.79</v>
      </c>
      <c r="K20" s="1" t="e">
        <f t="shared" si="15"/>
        <v>#N/A</v>
      </c>
      <c r="L20" s="1" t="e">
        <f t="shared" si="16"/>
        <v>#N/A</v>
      </c>
      <c r="BC20">
        <v>0.31415926535897937</v>
      </c>
      <c r="BD20">
        <v>273.63880743944509</v>
      </c>
      <c r="BE20">
        <v>-27.833875115740863</v>
      </c>
      <c r="BF20" s="6">
        <f t="shared" si="0"/>
        <v>6.1818163790684748</v>
      </c>
      <c r="BG20" s="6">
        <f t="shared" si="1"/>
        <v>5.8676571137094955</v>
      </c>
      <c r="BH20" s="6">
        <f t="shared" si="2"/>
        <v>0.5650165371119179</v>
      </c>
      <c r="BI20" s="6">
        <f t="shared" si="3"/>
        <v>0.5650165371119179</v>
      </c>
      <c r="BJ20">
        <v>304.04311937716119</v>
      </c>
      <c r="BK20">
        <v>-30.926527906378737</v>
      </c>
      <c r="BV20" s="38"/>
      <c r="BW20" s="6">
        <f t="shared" si="18"/>
        <v>8.7266462599716474E-2</v>
      </c>
      <c r="BX20" s="9">
        <f t="shared" ca="1" si="27"/>
        <v>-277.09069141158091</v>
      </c>
      <c r="BY20" s="9">
        <f t="shared" ca="1" si="28"/>
        <v>38.644270344160084</v>
      </c>
      <c r="BZ20">
        <f t="shared" ca="1" si="29"/>
        <v>279.77246272172766</v>
      </c>
      <c r="CA20" s="6">
        <f t="shared" ca="1" si="30"/>
        <v>-0.99041445579004628</v>
      </c>
      <c r="CB20" s="6">
        <f t="shared" ca="1" si="31"/>
        <v>0.13812749821127732</v>
      </c>
      <c r="CC20" s="6">
        <f t="shared" ca="1" si="32"/>
        <v>3.0030221137805895</v>
      </c>
      <c r="CD20" s="6">
        <f t="shared" ca="1" si="33"/>
        <v>177.09069141158091</v>
      </c>
      <c r="CE20" s="9">
        <f t="shared" ca="1" si="34"/>
        <v>-88.644270344160077</v>
      </c>
      <c r="CF20">
        <f t="shared" ca="1" si="35"/>
        <v>198.03767229868239</v>
      </c>
      <c r="CG20" s="6">
        <f t="shared" ca="1" si="36"/>
        <v>0.89422729198963191</v>
      </c>
      <c r="CH20" s="6">
        <f t="shared" ca="1" si="37"/>
        <v>-0.44761317033895404</v>
      </c>
      <c r="CI20" s="6">
        <f t="shared" ca="1" si="38"/>
        <v>-0.46409439717163425</v>
      </c>
      <c r="CJ20" s="1">
        <f t="shared" ca="1" si="39"/>
        <v>0.9277420061724404</v>
      </c>
      <c r="CK20" s="38"/>
      <c r="CU20">
        <v>1.2330508268912381</v>
      </c>
      <c r="CV20">
        <v>1.2330348479246978</v>
      </c>
      <c r="CW20">
        <v>1.2330428374079681</v>
      </c>
      <c r="CX20">
        <v>-5.4061676353911459E-6</v>
      </c>
      <c r="CY20">
        <v>4.1046040549774787E-7</v>
      </c>
      <c r="CZ20">
        <v>-2.4978049283364001E-6</v>
      </c>
      <c r="DV20" t="s">
        <v>196</v>
      </c>
      <c r="DW20" t="e">
        <f t="array" aca="1" ref="DW20:DZ20" ca="1">MMULT(DW10:DZ10,DW16:DZ19)</f>
        <v>#DIV/0!</v>
      </c>
      <c r="DX20" t="e">
        <f ca="1"/>
        <v>#DIV/0!</v>
      </c>
      <c r="DY20" t="e">
        <f ca="1"/>
        <v>#DIV/0!</v>
      </c>
      <c r="DZ20" s="9" t="e">
        <f ca="1"/>
        <v>#DIV/0!</v>
      </c>
      <c r="EB20" t="e">
        <f t="array" aca="1" ref="EB20:EE20" ca="1">MMULT(EB10:EE10,DW16:DZ19)</f>
        <v>#DIV/0!</v>
      </c>
      <c r="EC20" t="e">
        <f ca="1"/>
        <v>#DIV/0!</v>
      </c>
      <c r="ED20" t="e">
        <f ca="1"/>
        <v>#DIV/0!</v>
      </c>
      <c r="EE20" s="9" t="e">
        <f ca="1"/>
        <v>#DIV/0!</v>
      </c>
    </row>
    <row r="21" spans="1:136" x14ac:dyDescent="0.25">
      <c r="A21">
        <v>7</v>
      </c>
      <c r="B21" s="19">
        <v>8</v>
      </c>
      <c r="C21" s="6">
        <f t="shared" ca="1" si="25"/>
        <v>0.79</v>
      </c>
      <c r="D21" s="2">
        <v>2</v>
      </c>
      <c r="E21" s="2">
        <v>22</v>
      </c>
      <c r="G21" s="1">
        <v>9</v>
      </c>
      <c r="H21" s="6">
        <v>1.1279999999999999</v>
      </c>
      <c r="I21" s="6">
        <v>1</v>
      </c>
      <c r="K21" s="1">
        <f t="shared" si="15"/>
        <v>2</v>
      </c>
      <c r="L21" s="1">
        <f t="shared" si="16"/>
        <v>22</v>
      </c>
      <c r="T21" s="8" t="s">
        <v>107</v>
      </c>
      <c r="U21" s="39">
        <f ca="1">U16-U19</f>
        <v>1.9451422004159211E-2</v>
      </c>
      <c r="V21" s="39">
        <f t="shared" ref="V21:W21" ca="1" si="43">V16-V19</f>
        <v>-1.3851547117057494E-3</v>
      </c>
      <c r="W21" s="39">
        <f t="shared" ca="1" si="43"/>
        <v>-6.9257727607235919E-4</v>
      </c>
      <c r="BC21">
        <v>0.33161255787892269</v>
      </c>
      <c r="BD21">
        <v>273.25478055787573</v>
      </c>
      <c r="BE21">
        <v>-26.979112772330193</v>
      </c>
      <c r="BF21" s="6">
        <f t="shared" si="0"/>
        <v>6.1847718158512404</v>
      </c>
      <c r="BG21" s="6">
        <f t="shared" si="1"/>
        <v>5.853159257972318</v>
      </c>
      <c r="BH21" s="6">
        <f t="shared" si="2"/>
        <v>0.56206110032915224</v>
      </c>
      <c r="BI21" s="6">
        <f t="shared" si="3"/>
        <v>0.56206110032915224</v>
      </c>
      <c r="BJ21">
        <v>303.61642284208415</v>
      </c>
      <c r="BK21">
        <v>-29.976791969255771</v>
      </c>
      <c r="BV21" s="38"/>
      <c r="BW21" s="6">
        <f t="shared" si="18"/>
        <v>0.10471975511965977</v>
      </c>
      <c r="BX21" s="9">
        <f t="shared" ca="1" si="27"/>
        <v>-276.92975890513054</v>
      </c>
      <c r="BY21" s="9">
        <f t="shared" ca="1" si="28"/>
        <v>37.835715601305473</v>
      </c>
      <c r="BZ21">
        <f t="shared" ca="1" si="29"/>
        <v>279.5024735889051</v>
      </c>
      <c r="CA21" s="6">
        <f t="shared" ca="1" si="30"/>
        <v>-0.99079537776270798</v>
      </c>
      <c r="CB21" s="6">
        <f t="shared" ca="1" si="31"/>
        <v>0.13536808857353658</v>
      </c>
      <c r="CC21" s="6">
        <f t="shared" ca="1" si="32"/>
        <v>3.0058076923767758</v>
      </c>
      <c r="CD21" s="6">
        <f t="shared" ca="1" si="33"/>
        <v>176.92975890513054</v>
      </c>
      <c r="CE21" s="9">
        <f t="shared" ca="1" si="34"/>
        <v>-87.835715601305481</v>
      </c>
      <c r="CF21">
        <f t="shared" ca="1" si="35"/>
        <v>197.5329150329662</v>
      </c>
      <c r="CG21" s="6">
        <f t="shared" ca="1" si="36"/>
        <v>0.8956976050072607</v>
      </c>
      <c r="CH21" s="6">
        <f t="shared" ca="1" si="37"/>
        <v>-0.4446636935755573</v>
      </c>
      <c r="CI21" s="6">
        <f t="shared" ca="1" si="38"/>
        <v>-0.46079875711571594</v>
      </c>
      <c r="CJ21" s="1">
        <f t="shared" ca="1" si="39"/>
        <v>0.92444636611652209</v>
      </c>
      <c r="CK21" s="38"/>
      <c r="CU21">
        <v>1.2330428374079681</v>
      </c>
      <c r="CV21">
        <v>1.2330348479246978</v>
      </c>
      <c r="CW21">
        <v>1.2330388426663328</v>
      </c>
      <c r="CX21">
        <v>-2.4978049283364001E-6</v>
      </c>
      <c r="CY21">
        <v>4.1046040549774787E-7</v>
      </c>
      <c r="CZ21">
        <v>-1.0436598661400787E-6</v>
      </c>
      <c r="DV21" t="s">
        <v>197</v>
      </c>
      <c r="DW21" t="e">
        <f t="array" aca="1" ref="DW21:DZ21" ca="1">MMULT(DW11:DZ11,DW16:DZ19)</f>
        <v>#DIV/0!</v>
      </c>
      <c r="DX21" t="e">
        <f ca="1"/>
        <v>#DIV/0!</v>
      </c>
      <c r="DY21" t="e">
        <f ca="1"/>
        <v>#DIV/0!</v>
      </c>
      <c r="DZ21" s="9" t="e">
        <f ca="1"/>
        <v>#DIV/0!</v>
      </c>
      <c r="EB21" t="e">
        <f t="array" aca="1" ref="EB21:EE21" ca="1">MMULT(EB11:EE11,DW16:DZ19)</f>
        <v>#DIV/0!</v>
      </c>
      <c r="EC21" t="e">
        <f ca="1"/>
        <v>#DIV/0!</v>
      </c>
      <c r="ED21" t="e">
        <f ca="1"/>
        <v>#DIV/0!</v>
      </c>
      <c r="EE21" s="9" t="e">
        <f ca="1"/>
        <v>#DIV/0!</v>
      </c>
    </row>
    <row r="22" spans="1:136" x14ac:dyDescent="0.25">
      <c r="A22">
        <v>8</v>
      </c>
      <c r="B22" s="19">
        <v>8</v>
      </c>
      <c r="C22" s="6">
        <f t="shared" ca="1" si="25"/>
        <v>0.79</v>
      </c>
      <c r="D22" s="2">
        <v>10</v>
      </c>
      <c r="E22" s="2">
        <v>22</v>
      </c>
      <c r="G22" s="1">
        <v>10</v>
      </c>
      <c r="H22" s="6">
        <v>1.27</v>
      </c>
      <c r="I22" s="6">
        <v>1.27</v>
      </c>
      <c r="K22" s="1">
        <f t="shared" si="15"/>
        <v>10</v>
      </c>
      <c r="L22" s="1">
        <f t="shared" si="16"/>
        <v>22</v>
      </c>
      <c r="U22" s="1" t="s">
        <v>99</v>
      </c>
      <c r="V22" s="1" t="s">
        <v>100</v>
      </c>
      <c r="W22" s="1" t="s">
        <v>101</v>
      </c>
      <c r="BC22">
        <v>0.34906585039886601</v>
      </c>
      <c r="BD22">
        <v>272.85482964845966</v>
      </c>
      <c r="BE22">
        <v>-26.122066134360413</v>
      </c>
      <c r="BF22" s="6">
        <f t="shared" si="0"/>
        <v>6.1877400635176825</v>
      </c>
      <c r="BG22" s="6">
        <f t="shared" si="1"/>
        <v>5.8386742131188161</v>
      </c>
      <c r="BH22" s="6">
        <f t="shared" si="2"/>
        <v>0.55909285266271014</v>
      </c>
      <c r="BI22" s="6">
        <f t="shared" si="3"/>
        <v>0.55909285266271014</v>
      </c>
      <c r="BJ22">
        <v>303.17203294273293</v>
      </c>
      <c r="BK22">
        <v>-29.024517927067123</v>
      </c>
      <c r="BV22" s="38"/>
      <c r="BW22" s="6">
        <f t="shared" si="18"/>
        <v>0.12217304763960306</v>
      </c>
      <c r="BX22" s="9">
        <f t="shared" ca="1" si="27"/>
        <v>-276.75195690141783</v>
      </c>
      <c r="BY22" s="9">
        <f t="shared" ca="1" si="28"/>
        <v>37.024188654556689</v>
      </c>
      <c r="BZ22">
        <f t="shared" ca="1" si="29"/>
        <v>279.21754277676115</v>
      </c>
      <c r="CA22" s="6">
        <f t="shared" ca="1" si="30"/>
        <v>-0.99116965986154171</v>
      </c>
      <c r="CB22" s="6">
        <f t="shared" ca="1" si="31"/>
        <v>0.13259979400419736</v>
      </c>
      <c r="CC22" s="6">
        <f t="shared" ca="1" si="32"/>
        <v>3.0086011753258468</v>
      </c>
      <c r="CD22" s="6">
        <f t="shared" ca="1" si="33"/>
        <v>176.75195690141783</v>
      </c>
      <c r="CE22" s="9">
        <f t="shared" ca="1" si="34"/>
        <v>-87.024188654556696</v>
      </c>
      <c r="CF22">
        <f t="shared" ca="1" si="35"/>
        <v>197.01386671872754</v>
      </c>
      <c r="CG22" s="6">
        <f t="shared" ca="1" si="36"/>
        <v>0.89715490511011997</v>
      </c>
      <c r="CH22" s="6">
        <f t="shared" ca="1" si="37"/>
        <v>-0.44171605838689137</v>
      </c>
      <c r="CI22" s="6">
        <f t="shared" ca="1" si="38"/>
        <v>-0.45751055296490961</v>
      </c>
      <c r="CJ22" s="1">
        <f t="shared" ca="1" si="39"/>
        <v>0.92115816196571554</v>
      </c>
      <c r="CK22" s="38"/>
      <c r="CU22">
        <v>1.2330388426663328</v>
      </c>
      <c r="CV22">
        <v>1.2330348479246978</v>
      </c>
      <c r="CW22">
        <v>1.2330368452955152</v>
      </c>
      <c r="CX22">
        <v>-1.0436598661400787E-6</v>
      </c>
      <c r="CY22">
        <v>4.1046040549774787E-7</v>
      </c>
      <c r="CZ22">
        <v>-3.1659663130012556E-7</v>
      </c>
      <c r="EB22" t="e">
        <f t="array" aca="1" ref="EB22:EE22" ca="1">MMULT(EB12:EE12,DW16:DZ19)</f>
        <v>#DIV/0!</v>
      </c>
      <c r="EC22" t="e">
        <f ca="1"/>
        <v>#DIV/0!</v>
      </c>
      <c r="ED22" t="e">
        <f ca="1"/>
        <v>#DIV/0!</v>
      </c>
      <c r="EE22" t="e">
        <f ca="1"/>
        <v>#DIV/0!</v>
      </c>
    </row>
    <row r="23" spans="1:136" x14ac:dyDescent="0.25">
      <c r="A23">
        <v>9</v>
      </c>
      <c r="B23" s="19">
        <v>8</v>
      </c>
      <c r="C23" s="6">
        <f t="shared" ca="1" si="25"/>
        <v>0.79</v>
      </c>
      <c r="D23" s="2">
        <v>2</v>
      </c>
      <c r="E23" s="2">
        <v>2</v>
      </c>
      <c r="G23" s="1">
        <v>11</v>
      </c>
      <c r="H23" s="6">
        <v>1.41</v>
      </c>
      <c r="I23" s="6">
        <v>1.56</v>
      </c>
      <c r="K23" s="1">
        <f t="shared" si="15"/>
        <v>2</v>
      </c>
      <c r="L23" s="1">
        <f t="shared" si="16"/>
        <v>2</v>
      </c>
      <c r="T23" s="8" t="s">
        <v>108</v>
      </c>
      <c r="U23" s="39">
        <f ca="1">SQRT(POWER(U21,2)+POWER(V21,2)+POWER(W21,2))</f>
        <v>1.9512973500791252E-2</v>
      </c>
      <c r="V23" t="str">
        <f ca="1">IF(ABS(U23)&lt;=L1,"","NG")</f>
        <v>NG</v>
      </c>
      <c r="BC23">
        <v>0.36651914291880933</v>
      </c>
      <c r="BD23">
        <v>272.43899121758636</v>
      </c>
      <c r="BE23">
        <v>-25.262775827175769</v>
      </c>
      <c r="BF23" s="6">
        <f t="shared" si="0"/>
        <v>6.1907215246815364</v>
      </c>
      <c r="BG23" s="6">
        <f t="shared" si="1"/>
        <v>5.8242023817627269</v>
      </c>
      <c r="BH23" s="6">
        <f t="shared" si="2"/>
        <v>0.55611139149885624</v>
      </c>
      <c r="BI23" s="6">
        <f t="shared" si="3"/>
        <v>0.55611139149885624</v>
      </c>
      <c r="BJ23">
        <v>302.70999024176263</v>
      </c>
      <c r="BK23">
        <v>-28.069750919084186</v>
      </c>
      <c r="BV23" s="38"/>
      <c r="BW23" s="6">
        <f t="shared" si="18"/>
        <v>0.13962634015954636</v>
      </c>
      <c r="BX23" s="9">
        <f t="shared" ca="1" si="27"/>
        <v>-276.55697811618393</v>
      </c>
      <c r="BY23" s="9">
        <f t="shared" ca="1" si="28"/>
        <v>36.209175687160261</v>
      </c>
      <c r="BZ23">
        <f t="shared" ca="1" si="29"/>
        <v>278.91731131053712</v>
      </c>
      <c r="CA23" s="6">
        <f t="shared" ca="1" si="30"/>
        <v>-0.99153751632244413</v>
      </c>
      <c r="CB23" s="6">
        <f t="shared" ca="1" si="31"/>
        <v>0.12982046728123731</v>
      </c>
      <c r="CC23" s="6">
        <f t="shared" ca="1" si="32"/>
        <v>3.0114047410120866</v>
      </c>
      <c r="CD23" s="6">
        <f t="shared" ca="1" si="33"/>
        <v>176.55697811618393</v>
      </c>
      <c r="CE23" s="9">
        <f t="shared" ca="1" si="34"/>
        <v>-86.209175687160268</v>
      </c>
      <c r="CF23">
        <f t="shared" ca="1" si="35"/>
        <v>196.47999515008726</v>
      </c>
      <c r="CG23" s="6">
        <f t="shared" ca="1" si="36"/>
        <v>0.8986002772512055</v>
      </c>
      <c r="CH23" s="6">
        <f t="shared" ca="1" si="37"/>
        <v>-0.43876820956406654</v>
      </c>
      <c r="CI23" s="6">
        <f t="shared" ca="1" si="38"/>
        <v>-0.45422742595083432</v>
      </c>
      <c r="CJ23" s="1">
        <f t="shared" ca="1" si="39"/>
        <v>0.91787503495164047</v>
      </c>
      <c r="CK23" s="38"/>
      <c r="CU23">
        <v>1.2330368452955152</v>
      </c>
      <c r="CV23">
        <v>1.2330348479246978</v>
      </c>
      <c r="CW23">
        <v>1.2330358466101066</v>
      </c>
      <c r="CX23">
        <v>-3.1659663130012556E-7</v>
      </c>
      <c r="CY23">
        <v>4.1046040549774787E-7</v>
      </c>
      <c r="CZ23">
        <v>4.6932325636905858E-8</v>
      </c>
      <c r="DV23" t="s">
        <v>212</v>
      </c>
    </row>
    <row r="24" spans="1:136" ht="15.75" thickBot="1" x14ac:dyDescent="0.3">
      <c r="A24">
        <v>10</v>
      </c>
      <c r="B24" s="19">
        <v>8</v>
      </c>
      <c r="C24" s="11">
        <f t="shared" ca="1" si="25"/>
        <v>0.79</v>
      </c>
      <c r="D24" s="2">
        <v>10</v>
      </c>
      <c r="E24" s="2">
        <v>2</v>
      </c>
      <c r="G24" s="1">
        <v>14</v>
      </c>
      <c r="H24" s="6">
        <v>1.6930000000000001</v>
      </c>
      <c r="I24" s="6">
        <v>2.25</v>
      </c>
      <c r="K24" s="1">
        <f t="shared" si="15"/>
        <v>10</v>
      </c>
      <c r="L24" s="1">
        <f t="shared" si="16"/>
        <v>2</v>
      </c>
      <c r="BC24">
        <v>0.38397243543875265</v>
      </c>
      <c r="BD24">
        <v>272.00724331351489</v>
      </c>
      <c r="BE24">
        <v>-24.401242993708074</v>
      </c>
      <c r="BF24" s="6">
        <f t="shared" si="0"/>
        <v>6.1937167315696211</v>
      </c>
      <c r="BG24" s="6">
        <f t="shared" si="1"/>
        <v>5.8097442961308685</v>
      </c>
      <c r="BH24" s="6">
        <f t="shared" si="2"/>
        <v>0.5531161846107715</v>
      </c>
      <c r="BI24" s="6">
        <f t="shared" si="3"/>
        <v>0.5531161846107715</v>
      </c>
      <c r="BJ24">
        <v>302.23027034834985</v>
      </c>
      <c r="BK24">
        <v>-27.112492215231192</v>
      </c>
      <c r="BV24" s="38"/>
      <c r="BW24" s="6">
        <f t="shared" si="18"/>
        <v>0.15707963267948966</v>
      </c>
      <c r="BX24" s="9">
        <f t="shared" ca="1" si="27"/>
        <v>-276.34447062261194</v>
      </c>
      <c r="BY24" s="9">
        <f t="shared" ca="1" si="28"/>
        <v>35.390154189103804</v>
      </c>
      <c r="BZ24">
        <f t="shared" ca="1" si="29"/>
        <v>278.60138093200504</v>
      </c>
      <c r="CA24" s="6">
        <f t="shared" ca="1" si="30"/>
        <v>-0.99189914169899995</v>
      </c>
      <c r="CB24" s="6">
        <f t="shared" ca="1" si="31"/>
        <v>0.12702792093389179</v>
      </c>
      <c r="CC24" s="6">
        <f t="shared" ca="1" si="32"/>
        <v>3.0142206055781213</v>
      </c>
      <c r="CD24" s="6">
        <f t="shared" ca="1" si="33"/>
        <v>176.34447062261194</v>
      </c>
      <c r="CE24" s="9">
        <f t="shared" ca="1" si="34"/>
        <v>-85.390154189103811</v>
      </c>
      <c r="CF24">
        <f t="shared" ca="1" si="35"/>
        <v>195.93072947245454</v>
      </c>
      <c r="CG24" s="6">
        <f t="shared" ca="1" si="36"/>
        <v>0.9000347780943867</v>
      </c>
      <c r="CH24" s="6">
        <f t="shared" ca="1" si="37"/>
        <v>-0.43581807927229005</v>
      </c>
      <c r="CI24" s="6">
        <f t="shared" ca="1" si="38"/>
        <v>-0.45094701880269017</v>
      </c>
      <c r="CJ24" s="1">
        <f t="shared" ca="1" si="39"/>
        <v>0.91459462780349621</v>
      </c>
      <c r="CK24" s="38"/>
      <c r="CU24">
        <v>1.2330368452955152</v>
      </c>
      <c r="CV24">
        <v>1.2330358466101066</v>
      </c>
      <c r="CW24">
        <v>1.2330363459528109</v>
      </c>
      <c r="CX24">
        <v>-3.1659663130012556E-7</v>
      </c>
      <c r="CY24">
        <v>4.6932325636905858E-8</v>
      </c>
      <c r="CZ24">
        <v>-1.3483215549614513E-7</v>
      </c>
      <c r="DV24" t="s">
        <v>208</v>
      </c>
      <c r="DW24" t="e">
        <f ca="1">ATAN2(DW20,DX20)</f>
        <v>#DIV/0!</v>
      </c>
    </row>
    <row r="25" spans="1:136" ht="15.75" thickTop="1" x14ac:dyDescent="0.25">
      <c r="C25" s="6">
        <f ca="1">SUM(C15:C24)</f>
        <v>3.16</v>
      </c>
      <c r="D25" s="24">
        <f ca="1">C25/(B5*F27)</f>
        <v>1.196969696969697E-2</v>
      </c>
      <c r="G25" s="1">
        <v>18</v>
      </c>
      <c r="H25" s="6">
        <v>2.2570000000000001</v>
      </c>
      <c r="I25" s="6">
        <v>4</v>
      </c>
      <c r="BC25">
        <v>0.40142572795869597</v>
      </c>
      <c r="BD25">
        <v>271.55950819619477</v>
      </c>
      <c r="BE25">
        <v>-23.537436531532958</v>
      </c>
      <c r="BF25" s="6">
        <f t="shared" si="0"/>
        <v>6.1967263252313707</v>
      </c>
      <c r="BG25" s="6">
        <f t="shared" si="1"/>
        <v>5.795300597272675</v>
      </c>
      <c r="BH25" s="6">
        <f t="shared" si="2"/>
        <v>0.55010659094902192</v>
      </c>
      <c r="BI25" s="6">
        <f t="shared" si="3"/>
        <v>0.55010659094902192</v>
      </c>
      <c r="BJ25">
        <v>301.73278688466087</v>
      </c>
      <c r="BK25">
        <v>-26.152707257258839</v>
      </c>
      <c r="BV25" s="38"/>
      <c r="BW25" s="6">
        <f t="shared" si="18"/>
        <v>0.17453292519943295</v>
      </c>
      <c r="BX25" s="9">
        <f t="shared" ca="1" si="27"/>
        <v>-276.11404667603995</v>
      </c>
      <c r="BY25" s="9">
        <f t="shared" ca="1" si="28"/>
        <v>34.566606356066345</v>
      </c>
      <c r="BZ25">
        <f t="shared" ca="1" si="29"/>
        <v>278.26932466010982</v>
      </c>
      <c r="CA25" s="6">
        <f t="shared" ca="1" si="30"/>
        <v>-0.99225470508938629</v>
      </c>
      <c r="CB25" s="6">
        <f t="shared" ca="1" si="31"/>
        <v>0.12421996710664207</v>
      </c>
      <c r="CC25" s="6">
        <f t="shared" ca="1" si="32"/>
        <v>3.0170509828265826</v>
      </c>
      <c r="CD25" s="6">
        <f t="shared" ca="1" si="33"/>
        <v>176.11404667603995</v>
      </c>
      <c r="CE25" s="9">
        <f t="shared" ca="1" si="34"/>
        <v>-84.566606356066345</v>
      </c>
      <c r="CF25">
        <f t="shared" ca="1" si="35"/>
        <v>195.36547378488416</v>
      </c>
      <c r="CG25" s="6">
        <f t="shared" ca="1" si="36"/>
        <v>0.9014594199482665</v>
      </c>
      <c r="CH25" s="6">
        <f t="shared" ca="1" si="37"/>
        <v>-0.43286362077048562</v>
      </c>
      <c r="CI25" s="6">
        <f t="shared" ca="1" si="38"/>
        <v>-0.44766701284293314</v>
      </c>
      <c r="CJ25" s="1">
        <f t="shared" ca="1" si="39"/>
        <v>0.91131462184373913</v>
      </c>
      <c r="CK25" s="38"/>
      <c r="CU25">
        <v>1.2330363459528109</v>
      </c>
      <c r="CV25">
        <v>1.2330358466101066</v>
      </c>
      <c r="CW25">
        <v>1.2330360962814586</v>
      </c>
      <c r="CX25">
        <v>-1.3483215549614513E-7</v>
      </c>
      <c r="CY25">
        <v>4.6932325636905858E-8</v>
      </c>
      <c r="CZ25">
        <v>-4.3949635153417439E-8</v>
      </c>
      <c r="DV25" t="s">
        <v>209</v>
      </c>
      <c r="DW25">
        <v>0</v>
      </c>
      <c r="DX25">
        <v>0</v>
      </c>
      <c r="DY25">
        <v>1</v>
      </c>
    </row>
    <row r="26" spans="1:136" x14ac:dyDescent="0.25">
      <c r="E26" s="8" t="s">
        <v>86</v>
      </c>
      <c r="F26" s="20" t="s">
        <v>80</v>
      </c>
      <c r="G26" s="1" t="s">
        <v>81</v>
      </c>
      <c r="H26" s="23">
        <v>4.0000000000000001E-3</v>
      </c>
      <c r="I26" s="6">
        <f>IF(F26="web",(B5*F27)*H26,G12*H26)</f>
        <v>1.056</v>
      </c>
      <c r="BC26">
        <v>0.41887902047863929</v>
      </c>
      <c r="BD26">
        <v>271.09565514270912</v>
      </c>
      <c r="BE26">
        <v>-22.671299867856536</v>
      </c>
      <c r="BF26" s="6">
        <f t="shared" si="0"/>
        <v>6.1997510361468144</v>
      </c>
      <c r="BG26" s="6">
        <f t="shared" si="1"/>
        <v>5.7808720156681748</v>
      </c>
      <c r="BH26" s="6">
        <f t="shared" si="2"/>
        <v>0.54708188003357827</v>
      </c>
      <c r="BI26" s="6">
        <f t="shared" si="3"/>
        <v>0.54708188003357827</v>
      </c>
      <c r="BJ26">
        <v>301.21739460301012</v>
      </c>
      <c r="BK26">
        <v>-25.19033318650726</v>
      </c>
      <c r="BV26" s="38"/>
      <c r="BW26" s="6">
        <f t="shared" si="18"/>
        <v>0.19198621771937624</v>
      </c>
      <c r="BX26" s="9">
        <f t="shared" ca="1" si="27"/>
        <v>-275.86547723921962</v>
      </c>
      <c r="BY26" s="9">
        <f t="shared" ca="1" si="28"/>
        <v>33.738278914687946</v>
      </c>
      <c r="BZ26">
        <f t="shared" ca="1" si="29"/>
        <v>277.92091140565094</v>
      </c>
      <c r="CA26" s="6">
        <f t="shared" ca="1" si="30"/>
        <v>-0.99260424789183554</v>
      </c>
      <c r="CB26" s="6">
        <f t="shared" ca="1" si="31"/>
        <v>0.12139525141900477</v>
      </c>
      <c r="CC26" s="6">
        <f t="shared" ca="1" si="32"/>
        <v>3.0198972442966254</v>
      </c>
      <c r="CD26" s="6">
        <f t="shared" ca="1" si="33"/>
        <v>175.86547723921962</v>
      </c>
      <c r="CE26" s="9">
        <f t="shared" ca="1" si="34"/>
        <v>-83.738278914687953</v>
      </c>
      <c r="CF26">
        <f t="shared" ca="1" si="35"/>
        <v>194.78389420116989</v>
      </c>
      <c r="CG26" s="6">
        <f t="shared" ca="1" si="36"/>
        <v>0.90287483962913473</v>
      </c>
      <c r="CH26" s="6">
        <f t="shared" ca="1" si="37"/>
        <v>-0.42990350541099825</v>
      </c>
      <c r="CI26" s="6">
        <f t="shared" ca="1" si="38"/>
        <v>-0.44438589939277229</v>
      </c>
      <c r="CJ26" s="1">
        <f t="shared" ca="1" si="39"/>
        <v>0.90803350839357844</v>
      </c>
      <c r="CK26" s="38"/>
      <c r="CU26">
        <v>1.2330360962814586</v>
      </c>
      <c r="CV26">
        <v>1.2330358466101066</v>
      </c>
      <c r="CW26">
        <v>1.2330359714457826</v>
      </c>
      <c r="CX26">
        <v>-4.3949635153417439E-8</v>
      </c>
      <c r="CY26">
        <v>4.6932325636905858E-8</v>
      </c>
      <c r="CZ26">
        <v>1.4911349932589246E-9</v>
      </c>
      <c r="DW26" t="e">
        <f ca="1">(DW25*DW25*(1-COS(DW24)))+COS(DW24)</f>
        <v>#DIV/0!</v>
      </c>
      <c r="DX26" t="e">
        <f ca="1">(DX25*DW25*(1-COS(DW24)))-(DY25*SIN(DW24))</f>
        <v>#DIV/0!</v>
      </c>
      <c r="DY26" t="e">
        <f ca="1">(DY25*DW25*(1-COS(DW24)))+(DX25*SIN(DW24))</f>
        <v>#DIV/0!</v>
      </c>
      <c r="DZ26">
        <v>0</v>
      </c>
    </row>
    <row r="27" spans="1:136" x14ac:dyDescent="0.25">
      <c r="A27" s="8" t="s">
        <v>15</v>
      </c>
      <c r="B27" s="33">
        <v>1.2330359753468976</v>
      </c>
      <c r="C27" t="s">
        <v>16</v>
      </c>
      <c r="E27" s="8" t="s">
        <v>90</v>
      </c>
      <c r="F27" s="3" cm="1">
        <f t="array" ref="F27">B8-MIN(IF(E15:E24&gt;0,E15:E24))</f>
        <v>22</v>
      </c>
      <c r="G27" s="1" t="s">
        <v>82</v>
      </c>
      <c r="H27" s="23">
        <f>F28</f>
        <v>3.5355339059327377E-3</v>
      </c>
      <c r="I27" s="6">
        <f>IF(F26="web",(B5*F27)*H27,G12*H27)</f>
        <v>0.93338095116624276</v>
      </c>
      <c r="BC27">
        <v>0.43633231299858261</v>
      </c>
      <c r="BD27">
        <v>270.61550325679644</v>
      </c>
      <c r="BE27">
        <v>-21.802757315909503</v>
      </c>
      <c r="BF27" s="6">
        <f t="shared" si="0"/>
        <v>6.2027916660305529</v>
      </c>
      <c r="BG27" s="6">
        <f t="shared" si="1"/>
        <v>5.7664593530319701</v>
      </c>
      <c r="BH27" s="6">
        <f t="shared" si="2"/>
        <v>0.54404125014983973</v>
      </c>
      <c r="BI27" s="6">
        <f t="shared" si="3"/>
        <v>0.54404125014983973</v>
      </c>
      <c r="BJ27">
        <v>300.6838925075516</v>
      </c>
      <c r="BK27">
        <v>-24.225285906566114</v>
      </c>
      <c r="BV27" s="38"/>
      <c r="BW27" s="6">
        <f t="shared" si="18"/>
        <v>0.20943951023931953</v>
      </c>
      <c r="BX27" s="9">
        <f t="shared" ca="1" si="27"/>
        <v>-275.59887119879613</v>
      </c>
      <c r="BY27" s="9">
        <f t="shared" ca="1" si="28"/>
        <v>32.905371798229638</v>
      </c>
      <c r="BZ27">
        <f t="shared" ca="1" si="29"/>
        <v>277.55630293551314</v>
      </c>
      <c r="CA27" s="6">
        <f t="shared" ca="1" si="30"/>
        <v>-0.99294762282097482</v>
      </c>
      <c r="CB27" s="6">
        <f t="shared" ca="1" si="31"/>
        <v>0.11855386258648504</v>
      </c>
      <c r="CC27" s="6">
        <f t="shared" ca="1" si="32"/>
        <v>3.0227593069149337</v>
      </c>
      <c r="CD27" s="6">
        <f t="shared" ca="1" si="33"/>
        <v>175.59887119879613</v>
      </c>
      <c r="CE27" s="9">
        <f t="shared" ca="1" si="34"/>
        <v>-82.905371798229638</v>
      </c>
      <c r="CF27">
        <f t="shared" ca="1" si="35"/>
        <v>194.18615872222739</v>
      </c>
      <c r="CG27" s="6">
        <f t="shared" ca="1" si="36"/>
        <v>0.90428108962174103</v>
      </c>
      <c r="CH27" s="6">
        <f t="shared" ca="1" si="37"/>
        <v>-0.42693759608696524</v>
      </c>
      <c r="CI27" s="6">
        <f t="shared" ca="1" si="38"/>
        <v>-0.44110349679198674</v>
      </c>
      <c r="CJ27" s="1">
        <f t="shared" ca="1" si="39"/>
        <v>0.90475110579279283</v>
      </c>
      <c r="CK27" s="38"/>
      <c r="CU27">
        <v>1.2330360962814586</v>
      </c>
      <c r="CV27">
        <v>1.2330359714457826</v>
      </c>
      <c r="CW27">
        <v>1.2330360338636206</v>
      </c>
      <c r="CX27">
        <v>-4.3949635153417439E-8</v>
      </c>
      <c r="CY27">
        <v>1.4911349932589246E-9</v>
      </c>
      <c r="CZ27">
        <v>-2.1229694946445221E-8</v>
      </c>
      <c r="DW27" t="e">
        <f ca="1">(DW25*DX25*(1-COS(DW24)))+(DY25*SIN(DW24))</f>
        <v>#DIV/0!</v>
      </c>
      <c r="DX27" t="e">
        <f ca="1">(DX25*DX25*(1-COS(DW24)))+COS(DW24)</f>
        <v>#DIV/0!</v>
      </c>
      <c r="DY27" t="e">
        <f ca="1">(DY25*DX25*(1-COS(DW24)))-(DW25*SIN(DW24))</f>
        <v>#DIV/0!</v>
      </c>
      <c r="DZ27">
        <v>0</v>
      </c>
    </row>
    <row r="28" spans="1:136" x14ac:dyDescent="0.25">
      <c r="A28" s="8" t="s">
        <v>17</v>
      </c>
      <c r="B28" s="33">
        <v>5.3590760020797585</v>
      </c>
      <c r="C28" t="s">
        <v>4</v>
      </c>
      <c r="E28" s="8" t="s">
        <v>87</v>
      </c>
      <c r="F28" s="22">
        <f>MAX(200/(B12*1000),(3*SQRT(B2*1000))/(B12*1000))</f>
        <v>3.5355339059327377E-3</v>
      </c>
      <c r="G28" s="1" t="s">
        <v>83</v>
      </c>
      <c r="H28" s="21" t="s">
        <v>85</v>
      </c>
      <c r="I28" s="7">
        <v>1.056</v>
      </c>
      <c r="BC28">
        <v>0.45378560551852593</v>
      </c>
      <c r="BD28">
        <v>270.11882422499076</v>
      </c>
      <c r="BE28">
        <v>-20.931720105993627</v>
      </c>
      <c r="BF28" s="6">
        <f t="shared" si="0"/>
        <v>6.2058490704773748</v>
      </c>
      <c r="BG28" s="6">
        <f t="shared" si="1"/>
        <v>5.7520634649588489</v>
      </c>
      <c r="BH28" s="6">
        <f t="shared" si="2"/>
        <v>0.54098384570301794</v>
      </c>
      <c r="BI28" s="6">
        <f t="shared" si="3"/>
        <v>0.54098384570301794</v>
      </c>
      <c r="BJ28">
        <v>300.1320269166564</v>
      </c>
      <c r="BK28">
        <v>-23.257466784437362</v>
      </c>
      <c r="BV28" s="38"/>
      <c r="BW28" s="6">
        <f t="shared" si="18"/>
        <v>0.22689280275926282</v>
      </c>
      <c r="BX28" s="9">
        <f t="shared" ca="1" si="27"/>
        <v>-275.31452449045719</v>
      </c>
      <c r="BY28" s="9">
        <f t="shared" ca="1" si="28"/>
        <v>32.068285823065068</v>
      </c>
      <c r="BZ28">
        <f t="shared" ca="1" si="29"/>
        <v>277.1758689912171</v>
      </c>
      <c r="CA28" s="6">
        <f t="shared" ca="1" si="30"/>
        <v>-0.99328460840572341</v>
      </c>
      <c r="CB28" s="6">
        <f t="shared" ca="1" si="31"/>
        <v>0.1156965284884927</v>
      </c>
      <c r="CC28" s="6">
        <f t="shared" ca="1" si="32"/>
        <v>3.0256364449273017</v>
      </c>
      <c r="CD28" s="6">
        <f t="shared" ca="1" si="33"/>
        <v>175.31452449045719</v>
      </c>
      <c r="CE28" s="9">
        <f t="shared" ca="1" si="34"/>
        <v>-82.068285823065068</v>
      </c>
      <c r="CF28">
        <f t="shared" ca="1" si="35"/>
        <v>193.57268928041324</v>
      </c>
      <c r="CG28" s="6">
        <f t="shared" ca="1" si="36"/>
        <v>0.90567799177751307</v>
      </c>
      <c r="CH28" s="6">
        <f t="shared" ca="1" si="37"/>
        <v>-0.42396624300744884</v>
      </c>
      <c r="CI28" s="6">
        <f t="shared" ca="1" si="38"/>
        <v>-0.43782016244402683</v>
      </c>
      <c r="CJ28" s="1">
        <f t="shared" ca="1" si="39"/>
        <v>0.90146777144483281</v>
      </c>
      <c r="CK28" s="38"/>
      <c r="CU28">
        <v>1.2330360338636206</v>
      </c>
      <c r="CV28">
        <v>1.2330359714457826</v>
      </c>
      <c r="CW28">
        <v>1.2330360026547016</v>
      </c>
      <c r="CX28">
        <v>-2.1229694946445221E-8</v>
      </c>
      <c r="CY28">
        <v>1.4911349932589246E-9</v>
      </c>
      <c r="CZ28">
        <v>-9.8692791716814554E-9</v>
      </c>
      <c r="DW28" t="e">
        <f ca="1">(DW25*DY25*(1-COS(DW24)))-(DX25*SIN(DW24))</f>
        <v>#DIV/0!</v>
      </c>
      <c r="DX28" t="e">
        <f ca="1">(DX25*DY25*(1-COS(DW24)))+(DW25*SIN(DW24))</f>
        <v>#DIV/0!</v>
      </c>
      <c r="DY28" t="e">
        <f ca="1">(DY25*DY25*(1-COS(DW24)))+COS(DW24)</f>
        <v>#DIV/0!</v>
      </c>
      <c r="DZ28">
        <v>0</v>
      </c>
    </row>
    <row r="29" spans="1:136" x14ac:dyDescent="0.25">
      <c r="A29" s="8" t="s">
        <v>18</v>
      </c>
      <c r="B29" s="6">
        <f>B28*B4</f>
        <v>4.2872608016638063</v>
      </c>
      <c r="C29" t="s">
        <v>4</v>
      </c>
      <c r="G29" s="1" t="s">
        <v>84</v>
      </c>
      <c r="H29" s="21" t="s">
        <v>85</v>
      </c>
      <c r="I29" s="7">
        <v>5</v>
      </c>
      <c r="BC29">
        <v>0.47123889803846924</v>
      </c>
      <c r="BD29">
        <v>268.91267210317841</v>
      </c>
      <c r="BE29">
        <v>-20.004977378933567</v>
      </c>
      <c r="BF29" s="6">
        <f t="shared" si="0"/>
        <v>6.2089299902474471</v>
      </c>
      <c r="BG29" s="6">
        <f t="shared" si="1"/>
        <v>5.7376910922089781</v>
      </c>
      <c r="BH29" s="6">
        <f t="shared" si="2"/>
        <v>0.53790292593294564</v>
      </c>
      <c r="BI29" s="6">
        <f t="shared" si="3"/>
        <v>0.53790292593294564</v>
      </c>
      <c r="BJ29">
        <v>299.58010757765391</v>
      </c>
      <c r="BK29">
        <v>-22.286392189691885</v>
      </c>
      <c r="BV29" s="38"/>
      <c r="BW29" s="6">
        <f t="shared" si="18"/>
        <v>0.24434609527920612</v>
      </c>
      <c r="BX29" s="9">
        <f t="shared" ca="1" si="27"/>
        <v>-275.01279946026273</v>
      </c>
      <c r="BY29" s="9">
        <f t="shared" ca="1" si="28"/>
        <v>31.227459217292395</v>
      </c>
      <c r="BZ29">
        <f t="shared" ca="1" si="29"/>
        <v>276.78004638365519</v>
      </c>
      <c r="CA29" s="6">
        <f t="shared" ca="1" si="30"/>
        <v>-0.99361497713985203</v>
      </c>
      <c r="CB29" s="6">
        <f t="shared" ca="1" si="31"/>
        <v>0.11282409850458239</v>
      </c>
      <c r="CC29" s="6">
        <f t="shared" ca="1" si="32"/>
        <v>3.0285278119633405</v>
      </c>
      <c r="CD29" s="6">
        <f t="shared" ca="1" si="33"/>
        <v>175.01279946026273</v>
      </c>
      <c r="CE29" s="9">
        <f t="shared" ca="1" si="34"/>
        <v>-81.227459217292392</v>
      </c>
      <c r="CF29">
        <f t="shared" ca="1" si="35"/>
        <v>192.94398178179861</v>
      </c>
      <c r="CG29" s="6">
        <f t="shared" ca="1" si="36"/>
        <v>0.90706534530932215</v>
      </c>
      <c r="CH29" s="6">
        <f t="shared" ca="1" si="37"/>
        <v>-0.42098985657481125</v>
      </c>
      <c r="CI29" s="6">
        <f t="shared" ca="1" si="38"/>
        <v>-0.4345363177903967</v>
      </c>
      <c r="CJ29" s="1">
        <f t="shared" ca="1" si="39"/>
        <v>0.89818392679120285</v>
      </c>
      <c r="CK29" s="38"/>
      <c r="CU29">
        <v>1.2330360026547016</v>
      </c>
      <c r="CV29">
        <v>1.2330359714457826</v>
      </c>
      <c r="CW29">
        <v>1.2330359870502421</v>
      </c>
      <c r="CX29">
        <v>-9.8692791716814554E-9</v>
      </c>
      <c r="CY29">
        <v>1.4911349932589246E-9</v>
      </c>
      <c r="CZ29">
        <v>-4.1890718671666605E-9</v>
      </c>
      <c r="DW29">
        <v>0</v>
      </c>
      <c r="DX29">
        <v>0</v>
      </c>
      <c r="DY29">
        <v>0</v>
      </c>
      <c r="DZ29">
        <v>1</v>
      </c>
      <c r="EF29" t="s">
        <v>216</v>
      </c>
    </row>
    <row r="30" spans="1:136" x14ac:dyDescent="0.25">
      <c r="A30" s="8" t="s">
        <v>102</v>
      </c>
      <c r="B30" s="1">
        <v>3.0000000000000001E-3</v>
      </c>
      <c r="BC30">
        <v>0.48869219055841256</v>
      </c>
      <c r="BD30">
        <v>265.5971415303469</v>
      </c>
      <c r="BE30">
        <v>-18.925965398052121</v>
      </c>
      <c r="BF30" s="6">
        <f t="shared" si="0"/>
        <v>6.2120473841314183</v>
      </c>
      <c r="BG30" s="6">
        <f t="shared" si="1"/>
        <v>5.7233551935730054</v>
      </c>
      <c r="BH30" s="6">
        <f t="shared" si="2"/>
        <v>0.53478553204897428</v>
      </c>
      <c r="BI30" s="6">
        <f t="shared" si="3"/>
        <v>0.53478553204897428</v>
      </c>
      <c r="BJ30">
        <v>299.06627716613662</v>
      </c>
      <c r="BK30">
        <v>-21.310914645984042</v>
      </c>
      <c r="BV30" s="38"/>
      <c r="BW30" s="6">
        <f t="shared" si="18"/>
        <v>0.26179938779914941</v>
      </c>
      <c r="BX30" s="9">
        <f t="shared" ca="1" si="27"/>
        <v>-274.69406015287598</v>
      </c>
      <c r="BY30" s="9">
        <f t="shared" ca="1" si="28"/>
        <v>30.383296621334939</v>
      </c>
      <c r="BZ30">
        <f t="shared" ca="1" si="29"/>
        <v>276.36926637535493</v>
      </c>
      <c r="CA30" s="6">
        <f t="shared" ca="1" si="30"/>
        <v>-0.99393852202001454</v>
      </c>
      <c r="CB30" s="6">
        <f t="shared" ca="1" si="31"/>
        <v>0.10993732052705681</v>
      </c>
      <c r="CC30" s="6">
        <f t="shared" ca="1" si="32"/>
        <v>3.0314326655421926</v>
      </c>
      <c r="CD30" s="6">
        <f t="shared" ca="1" si="33"/>
        <v>174.69406015287598</v>
      </c>
      <c r="CE30" s="9">
        <f t="shared" ca="1" si="34"/>
        <v>-80.383296621334935</v>
      </c>
      <c r="CF30">
        <f t="shared" ca="1" si="35"/>
        <v>192.3005174938699</v>
      </c>
      <c r="CG30" s="6">
        <f t="shared" ca="1" si="36"/>
        <v>0.90844300592402105</v>
      </c>
      <c r="CH30" s="6">
        <f t="shared" ca="1" si="37"/>
        <v>-0.41800873793226984</v>
      </c>
      <c r="CI30" s="6">
        <f t="shared" ca="1" si="38"/>
        <v>-0.431252261331798</v>
      </c>
      <c r="CJ30" s="1">
        <f t="shared" ca="1" si="39"/>
        <v>0.8948998703326041</v>
      </c>
      <c r="CK30" s="38"/>
      <c r="CU30">
        <v>1.2330359870502421</v>
      </c>
      <c r="CV30">
        <v>1.2330359714457826</v>
      </c>
      <c r="CW30">
        <v>1.2330359792480123</v>
      </c>
      <c r="CX30">
        <v>-4.1890718671666605E-9</v>
      </c>
      <c r="CY30">
        <v>1.4911349932589246E-9</v>
      </c>
      <c r="CZ30">
        <v>-1.3489686034873216E-9</v>
      </c>
      <c r="DV30" t="s">
        <v>196</v>
      </c>
      <c r="DW30" t="e">
        <f t="array" aca="1" ref="DW30:DZ30" ca="1">MMULT(DW20:DZ20,DW26:DZ29)</f>
        <v>#DIV/0!</v>
      </c>
      <c r="DX30" t="e">
        <f ca="1"/>
        <v>#DIV/0!</v>
      </c>
      <c r="DY30" t="e">
        <f ca="1"/>
        <v>#DIV/0!</v>
      </c>
      <c r="DZ30" s="9" t="e">
        <f ca="1"/>
        <v>#DIV/0!</v>
      </c>
      <c r="EB30" t="e">
        <f t="array" aca="1" ref="EB30:EE30" ca="1">MMULT(EB20:EE20,DW26:DZ29)</f>
        <v>#DIV/0!</v>
      </c>
      <c r="EC30" t="e">
        <f ca="1"/>
        <v>#DIV/0!</v>
      </c>
      <c r="ED30" t="e">
        <f ca="1"/>
        <v>#DIV/0!</v>
      </c>
      <c r="EE30" s="9" t="e">
        <f ca="1"/>
        <v>#DIV/0!</v>
      </c>
      <c r="EF30" t="e">
        <f ca="1">ATAN2(EC30,ED30)</f>
        <v>#DIV/0!</v>
      </c>
    </row>
    <row r="31" spans="1:136" x14ac:dyDescent="0.25">
      <c r="A31" s="8" t="s">
        <v>49</v>
      </c>
      <c r="B31" s="1">
        <f>B2*0.85</f>
        <v>4.25</v>
      </c>
      <c r="C31" t="s">
        <v>1</v>
      </c>
      <c r="BC31">
        <v>0.50614548307835583</v>
      </c>
      <c r="BD31">
        <v>262.3470762067501</v>
      </c>
      <c r="BE31">
        <v>-17.867484918989227</v>
      </c>
      <c r="BF31" s="6">
        <f t="shared" si="0"/>
        <v>6.2151840323026883</v>
      </c>
      <c r="BG31" s="6">
        <f t="shared" si="1"/>
        <v>5.7090385492243323</v>
      </c>
      <c r="BH31" s="6">
        <f t="shared" si="2"/>
        <v>0.53164888387770426</v>
      </c>
      <c r="BI31" s="6">
        <f t="shared" si="3"/>
        <v>0.53164888387770426</v>
      </c>
      <c r="BJ31">
        <v>298.53214521641405</v>
      </c>
      <c r="BK31">
        <v>-20.331915566248409</v>
      </c>
      <c r="BV31" s="38"/>
      <c r="BW31" s="6">
        <f t="shared" si="18"/>
        <v>0.27925268031909273</v>
      </c>
      <c r="BX31" s="9">
        <f t="shared" ca="1" si="27"/>
        <v>-274.35863779841463</v>
      </c>
      <c r="BY31" s="9">
        <f t="shared" ca="1" si="28"/>
        <v>29.536140940934647</v>
      </c>
      <c r="BZ31">
        <f t="shared" ca="1" si="29"/>
        <v>275.94391777367451</v>
      </c>
      <c r="CA31" s="6">
        <f t="shared" ca="1" si="30"/>
        <v>-0.99425506462309454</v>
      </c>
      <c r="CB31" s="6">
        <f t="shared" ca="1" si="31"/>
        <v>0.10703675289976781</v>
      </c>
      <c r="CC31" s="6">
        <f t="shared" ca="1" si="32"/>
        <v>3.0343504554283927</v>
      </c>
      <c r="CD31" s="6">
        <f t="shared" ca="1" si="33"/>
        <v>174.35863779841463</v>
      </c>
      <c r="CE31" s="9">
        <f t="shared" ca="1" si="34"/>
        <v>-79.536140940934644</v>
      </c>
      <c r="CF31">
        <f t="shared" ca="1" si="35"/>
        <v>191.64272042186985</v>
      </c>
      <c r="CG31" s="6">
        <f t="shared" ca="1" si="36"/>
        <v>0.90981090966874634</v>
      </c>
      <c r="CH31" s="6">
        <f t="shared" ca="1" si="37"/>
        <v>-0.41502302182858258</v>
      </c>
      <c r="CI31" s="6">
        <f t="shared" ca="1" si="38"/>
        <v>-0.42796810679815128</v>
      </c>
      <c r="CJ31" s="1">
        <f t="shared" ca="1" si="39"/>
        <v>0.89161571579895749</v>
      </c>
      <c r="CK31" s="38"/>
      <c r="CU31">
        <v>1.2330359792480123</v>
      </c>
      <c r="CV31">
        <v>1.2330359714457826</v>
      </c>
      <c r="CW31">
        <v>1.2330359753468976</v>
      </c>
      <c r="CX31">
        <v>-1.3489686034873216E-9</v>
      </c>
      <c r="CY31">
        <v>1.4911349932589246E-9</v>
      </c>
      <c r="CZ31">
        <v>7.1531447431993911E-11</v>
      </c>
      <c r="DV31" t="s">
        <v>197</v>
      </c>
      <c r="DW31" t="e">
        <f t="array" aca="1" ref="DW31:DY31" ca="1">MMULT(DW21:DY21,DW26:DY28)</f>
        <v>#DIV/0!</v>
      </c>
      <c r="DX31" t="e">
        <f ca="1"/>
        <v>#DIV/0!</v>
      </c>
      <c r="DY31" t="e">
        <f ca="1"/>
        <v>#DIV/0!</v>
      </c>
      <c r="DZ31" s="9" t="e">
        <f ca="1">SQRT(POWER(DW31,2)+POWER(DX31,2)+POWER(DY31,2))</f>
        <v>#DIV/0!</v>
      </c>
      <c r="EB31" t="e">
        <f t="array" aca="1" ref="EB31:EE31" ca="1">MMULT(EB21:EE21,DW26:DZ29)</f>
        <v>#DIV/0!</v>
      </c>
      <c r="EC31" t="e">
        <f ca="1"/>
        <v>#DIV/0!</v>
      </c>
      <c r="ED31" t="e">
        <f ca="1"/>
        <v>#DIV/0!</v>
      </c>
      <c r="EE31" s="9" t="e">
        <f ca="1"/>
        <v>#DIV/0!</v>
      </c>
      <c r="EF31" t="e">
        <f ca="1">ATAN2(EC31,ED31)</f>
        <v>#DIV/0!</v>
      </c>
    </row>
    <row r="32" spans="1:136" x14ac:dyDescent="0.25">
      <c r="J32" t="s">
        <v>88</v>
      </c>
      <c r="N32" t="s">
        <v>89</v>
      </c>
      <c r="BC32">
        <v>0.52359877559829915</v>
      </c>
      <c r="BD32">
        <v>259.1586663503407</v>
      </c>
      <c r="BE32">
        <v>-16.828559457193919</v>
      </c>
      <c r="BF32" s="6">
        <f t="shared" si="0"/>
        <v>6.2183409928681099</v>
      </c>
      <c r="BG32" s="6">
        <f t="shared" si="1"/>
        <v>5.6947422172698108</v>
      </c>
      <c r="BH32" s="6">
        <f t="shared" si="2"/>
        <v>0.52849192331228279</v>
      </c>
      <c r="BI32" s="6">
        <f t="shared" si="3"/>
        <v>0.52849192331228279</v>
      </c>
      <c r="BJ32">
        <v>297.97726091601027</v>
      </c>
      <c r="BK32">
        <v>-19.349258594493733</v>
      </c>
      <c r="BV32" s="38"/>
      <c r="BW32" s="6">
        <f t="shared" si="18"/>
        <v>0.29670597283903605</v>
      </c>
      <c r="BX32" s="9">
        <f t="shared" ca="1" si="27"/>
        <v>-274.00681302344918</v>
      </c>
      <c r="BY32" s="9">
        <f t="shared" ca="1" si="28"/>
        <v>28.686265409087095</v>
      </c>
      <c r="BZ32">
        <f t="shared" ca="1" si="29"/>
        <v>275.5043291971798</v>
      </c>
      <c r="CA32" s="6">
        <f t="shared" ca="1" si="30"/>
        <v>-0.99456445501929358</v>
      </c>
      <c r="CB32" s="6">
        <f t="shared" ca="1" si="31"/>
        <v>0.10412273916957651</v>
      </c>
      <c r="CC32" s="6">
        <f t="shared" ca="1" si="32"/>
        <v>3.0372808486753833</v>
      </c>
      <c r="CD32" s="6">
        <f t="shared" ca="1" si="33"/>
        <v>174.00681302344918</v>
      </c>
      <c r="CE32" s="9">
        <f t="shared" ca="1" si="34"/>
        <v>-78.686265409087099</v>
      </c>
      <c r="CF32">
        <f t="shared" ca="1" si="35"/>
        <v>190.97093847653076</v>
      </c>
      <c r="CG32" s="6">
        <f t="shared" ca="1" si="36"/>
        <v>0.91116907321913609</v>
      </c>
      <c r="CH32" s="6">
        <f t="shared" ca="1" si="37"/>
        <v>-0.41203266861861915</v>
      </c>
      <c r="CI32" s="6">
        <f t="shared" ca="1" si="38"/>
        <v>-0.4246837757785597</v>
      </c>
      <c r="CJ32" s="1">
        <f t="shared" ca="1" si="39"/>
        <v>0.8883313847793658</v>
      </c>
      <c r="CK32" s="38"/>
      <c r="EB32" t="e">
        <f t="array" aca="1" ref="EB32:EE32" ca="1">MMULT(EB22:EE22,DW26:DZ29)</f>
        <v>#DIV/0!</v>
      </c>
      <c r="EC32" t="e">
        <f ca="1"/>
        <v>#DIV/0!</v>
      </c>
      <c r="ED32" t="e">
        <f ca="1"/>
        <v>#DIV/0!</v>
      </c>
      <c r="EE32" s="9" t="e">
        <f ca="1"/>
        <v>#DIV/0!</v>
      </c>
      <c r="EF32" t="e">
        <f ca="1">ATAN2(COS(EF30-EF31),SIN(EF30-EF31))</f>
        <v>#DIV/0!</v>
      </c>
    </row>
    <row r="33" spans="1:139" x14ac:dyDescent="0.25">
      <c r="A33" t="s">
        <v>19</v>
      </c>
      <c r="J33">
        <f>(J38*COS(-1*$B$27))+(K38*SIN(-1*$B$27))+$I$2</f>
        <v>-2.778735908367846</v>
      </c>
      <c r="K33">
        <f>(-1*J38*SIN(-1*$B$27))+(K38*COS(-1*$B$27))+$I$3</f>
        <v>-8.3939544910833774E-2</v>
      </c>
      <c r="N33" t="e">
        <f>IF(B1="PCA_Parabolic",NA(),(N38*COS(-1*$B$27))+(O38*SIN(-1*$B$27))+$I$2)</f>
        <v>#N/A</v>
      </c>
      <c r="O33">
        <f>(-1*N38*SIN(-1*$B$27))+(O38*COS(-1*$B$27))+$I$3</f>
        <v>0.2712330224798869</v>
      </c>
      <c r="BC33">
        <v>0.54105206811824247</v>
      </c>
      <c r="BD33">
        <v>256.02831714612495</v>
      </c>
      <c r="BE33">
        <v>-15.808287736275487</v>
      </c>
      <c r="BF33" s="6">
        <f t="shared" si="0"/>
        <v>6.2215192977739511</v>
      </c>
      <c r="BG33" s="6">
        <f t="shared" si="1"/>
        <v>5.6804672296557088</v>
      </c>
      <c r="BH33" s="6">
        <f t="shared" si="2"/>
        <v>0.52531361840644164</v>
      </c>
      <c r="BI33" s="6">
        <f t="shared" si="3"/>
        <v>0.52531361840644164</v>
      </c>
      <c r="BJ33">
        <v>297.40113251975151</v>
      </c>
      <c r="BK33">
        <v>-18.362823020405052</v>
      </c>
      <c r="BV33" s="38"/>
      <c r="BW33" s="6">
        <f t="shared" si="18"/>
        <v>0.31415926535897937</v>
      </c>
      <c r="BX33" s="9">
        <f t="shared" ca="1" si="27"/>
        <v>-273.63880743944509</v>
      </c>
      <c r="BY33" s="9">
        <f t="shared" ca="1" si="28"/>
        <v>27.833875115740863</v>
      </c>
      <c r="BZ33">
        <f t="shared" ca="1" si="29"/>
        <v>275.0507617528815</v>
      </c>
      <c r="CA33" s="6">
        <f t="shared" ca="1" si="30"/>
        <v>-0.9948665682493002</v>
      </c>
      <c r="CB33" s="6">
        <f t="shared" ca="1" si="31"/>
        <v>0.10119541185182436</v>
      </c>
      <c r="CC33" s="6">
        <f t="shared" ca="1" si="32"/>
        <v>3.0402237254786812</v>
      </c>
      <c r="CD33" s="6">
        <f t="shared" ca="1" si="33"/>
        <v>173.63880743944509</v>
      </c>
      <c r="CE33" s="9">
        <f t="shared" ca="1" si="34"/>
        <v>-77.833875115740867</v>
      </c>
      <c r="CF33">
        <f t="shared" ca="1" si="35"/>
        <v>190.28543707947131</v>
      </c>
      <c r="CG33" s="6">
        <f t="shared" ca="1" si="36"/>
        <v>0.91251758465849453</v>
      </c>
      <c r="CH33" s="6">
        <f t="shared" ca="1" si="37"/>
        <v>-0.40903747712040689</v>
      </c>
      <c r="CI33" s="6">
        <f t="shared" ca="1" si="38"/>
        <v>-0.42139901324308693</v>
      </c>
      <c r="CJ33" s="1">
        <f t="shared" ca="1" si="39"/>
        <v>0.88504662224389319</v>
      </c>
      <c r="CK33" s="38"/>
    </row>
    <row r="34" spans="1:139" x14ac:dyDescent="0.25">
      <c r="J34">
        <f>(J39*COS(-1*$B$27))+(K39*SIN(-1*$B$27))+$I$2</f>
        <v>6.7053699519973451</v>
      </c>
      <c r="K34">
        <f>(-1*J39*SIN(-1*$B$27))+(K39*COS(-1*$B$27))+$I$3</f>
        <v>26.919458847583787</v>
      </c>
      <c r="N34" t="e">
        <f>IF(B1="PCA_Parabolic",NA(),(N39*COS(-1*$B$27))+(O39*SIN(-1*$B$27))+$I$2)</f>
        <v>#N/A</v>
      </c>
      <c r="O34">
        <f>(-1*N39*SIN(-1*$B$27))+(O39*COS(-1*$B$27))+$I$3</f>
        <v>27.274631414974507</v>
      </c>
      <c r="BC34">
        <v>0.55850536063818579</v>
      </c>
      <c r="BD34">
        <v>252.9526425119698</v>
      </c>
      <c r="BE34">
        <v>-14.805844823740191</v>
      </c>
      <c r="BF34" s="6">
        <f t="shared" ref="BF34:BF65" si="44">IF(BC34&lt;&gt;"",IF(AND(BD34=0,BE34=0),0,MOD(ATAN2(BD34,BE34),2*PI())),NA())</f>
        <v>6.2247199317987922</v>
      </c>
      <c r="BG34" s="6">
        <f t="shared" ref="BG34:BG65" si="45">ABS(BC34-BF34)</f>
        <v>5.6662145711606069</v>
      </c>
      <c r="BH34" s="6">
        <f t="shared" si="2"/>
        <v>0.52211298438160036</v>
      </c>
      <c r="BI34" s="6">
        <f t="shared" si="3"/>
        <v>0.52211298438160036</v>
      </c>
      <c r="BJ34">
        <v>296.80323075199215</v>
      </c>
      <c r="BK34">
        <v>-17.372511052106535</v>
      </c>
      <c r="BV34" s="38"/>
      <c r="BW34" s="6">
        <f t="shared" si="18"/>
        <v>0.33161255787892269</v>
      </c>
      <c r="BX34" s="9">
        <f t="shared" ca="1" si="27"/>
        <v>-273.25478055787573</v>
      </c>
      <c r="BY34" s="9">
        <f t="shared" ca="1" si="28"/>
        <v>26.979112772330193</v>
      </c>
      <c r="BZ34">
        <f t="shared" ca="1" si="29"/>
        <v>274.58340740786747</v>
      </c>
      <c r="CA34" s="6">
        <f t="shared" ca="1" si="30"/>
        <v>-0.99516129957547583</v>
      </c>
      <c r="CB34" s="6">
        <f t="shared" ca="1" si="31"/>
        <v>9.8254708931684628E-2</v>
      </c>
      <c r="CC34" s="6">
        <f t="shared" ca="1" si="32"/>
        <v>3.0431791622614472</v>
      </c>
      <c r="CD34" s="6">
        <f t="shared" ca="1" si="33"/>
        <v>173.25478055787573</v>
      </c>
      <c r="CE34" s="9">
        <f t="shared" ca="1" si="34"/>
        <v>-76.979112772330197</v>
      </c>
      <c r="CF34">
        <f t="shared" ca="1" si="35"/>
        <v>189.58639927318839</v>
      </c>
      <c r="CG34" s="6">
        <f t="shared" ca="1" si="36"/>
        <v>0.91385659109554962</v>
      </c>
      <c r="CH34" s="6">
        <f t="shared" ca="1" si="37"/>
        <v>-0.40603710533794979</v>
      </c>
      <c r="CI34" s="6">
        <f t="shared" ca="1" si="38"/>
        <v>-0.41811341150478076</v>
      </c>
      <c r="CJ34" s="1">
        <f t="shared" ca="1" si="39"/>
        <v>0.8817610205055868</v>
      </c>
      <c r="CK34" s="38"/>
      <c r="EB34" t="s">
        <v>217</v>
      </c>
    </row>
    <row r="35" spans="1:139" x14ac:dyDescent="0.25">
      <c r="A35" s="8" t="s">
        <v>20</v>
      </c>
      <c r="AD35" t="s">
        <v>135</v>
      </c>
      <c r="BC35">
        <v>0.57595865315812911</v>
      </c>
      <c r="BD35">
        <v>249.92846027807801</v>
      </c>
      <c r="BE35">
        <v>-13.820483910541885</v>
      </c>
      <c r="BF35" s="6">
        <f t="shared" si="44"/>
        <v>6.2279438083473799</v>
      </c>
      <c r="BG35" s="6">
        <f t="shared" si="45"/>
        <v>5.6519851551892506</v>
      </c>
      <c r="BH35" s="6">
        <f t="shared" si="2"/>
        <v>0.51888910783301279</v>
      </c>
      <c r="BI35" s="6">
        <f t="shared" si="3"/>
        <v>0.51888910783301279</v>
      </c>
      <c r="BJ35">
        <v>296.1829928556719</v>
      </c>
      <c r="BK35">
        <v>-16.378255932851836</v>
      </c>
      <c r="BV35" s="38"/>
      <c r="BW35" s="6">
        <f t="shared" si="18"/>
        <v>0.34906585039886601</v>
      </c>
      <c r="BX35" s="9">
        <f t="shared" ca="1" si="27"/>
        <v>-272.85482964845966</v>
      </c>
      <c r="BY35" s="9">
        <f t="shared" ca="1" si="28"/>
        <v>26.122066134360413</v>
      </c>
      <c r="BZ35">
        <f t="shared" ca="1" si="29"/>
        <v>274.10239036100694</v>
      </c>
      <c r="CA35" s="6">
        <f t="shared" ca="1" si="30"/>
        <v>-0.9954485595295095</v>
      </c>
      <c r="CB35" s="6">
        <f t="shared" ca="1" si="31"/>
        <v>9.5300395228061704E-2</v>
      </c>
      <c r="CC35" s="6">
        <f t="shared" ca="1" si="32"/>
        <v>3.0461474099278889</v>
      </c>
      <c r="CD35" s="6">
        <f t="shared" ca="1" si="33"/>
        <v>172.85482964845966</v>
      </c>
      <c r="CE35" s="9">
        <f t="shared" ca="1" si="34"/>
        <v>-76.122066134360409</v>
      </c>
      <c r="CF35">
        <f t="shared" ca="1" si="35"/>
        <v>188.87392907800151</v>
      </c>
      <c r="CG35" s="6">
        <f t="shared" ca="1" si="36"/>
        <v>0.91518628585882678</v>
      </c>
      <c r="CH35" s="6">
        <f t="shared" ca="1" si="37"/>
        <v>-0.4030310933115781</v>
      </c>
      <c r="CI35" s="6">
        <f t="shared" ca="1" si="38"/>
        <v>-0.414826436270048</v>
      </c>
      <c r="CJ35" s="1">
        <f t="shared" ca="1" si="39"/>
        <v>0.87847404527085415</v>
      </c>
      <c r="CK35" s="38"/>
      <c r="EE35" s="9"/>
    </row>
    <row r="36" spans="1:139" x14ac:dyDescent="0.25">
      <c r="A36" s="1" t="s">
        <v>8</v>
      </c>
      <c r="B36" s="1" t="s">
        <v>9</v>
      </c>
      <c r="C36" s="1" t="s">
        <v>21</v>
      </c>
      <c r="D36" s="1" t="s">
        <v>22</v>
      </c>
      <c r="F36" s="8" t="s">
        <v>73</v>
      </c>
      <c r="G36" s="1">
        <f>(-1*0.003*MAX(J62:J71))/((B12/B13)-0.003)</f>
        <v>53.892433388513219</v>
      </c>
      <c r="H36" s="14" t="s">
        <v>4</v>
      </c>
      <c r="J36" t="s">
        <v>52</v>
      </c>
      <c r="N36" t="s">
        <v>53</v>
      </c>
      <c r="AD36" t="s">
        <v>8</v>
      </c>
      <c r="AE36" t="s">
        <v>9</v>
      </c>
      <c r="BC36">
        <v>0.59341194567807243</v>
      </c>
      <c r="BD36">
        <v>246.95278909262444</v>
      </c>
      <c r="BE36">
        <v>-12.851538915988201</v>
      </c>
      <c r="BF36" s="6">
        <f t="shared" si="44"/>
        <v>6.2311917410353708</v>
      </c>
      <c r="BG36" s="6">
        <f t="shared" si="45"/>
        <v>5.6377797953572983</v>
      </c>
      <c r="BH36" s="6">
        <f t="shared" si="2"/>
        <v>0.51564117514502184</v>
      </c>
      <c r="BI36" s="6">
        <f t="shared" si="3"/>
        <v>0.51564117514502184</v>
      </c>
      <c r="BJ36">
        <v>295.53982755076572</v>
      </c>
      <c r="BK36">
        <v>-15.380031174981145</v>
      </c>
      <c r="BV36" s="38"/>
      <c r="BW36" s="6">
        <f t="shared" si="18"/>
        <v>0.36651914291880933</v>
      </c>
      <c r="BX36" s="9">
        <f t="shared" ca="1" si="27"/>
        <v>-272.43899121758636</v>
      </c>
      <c r="BY36" s="9">
        <f t="shared" ca="1" si="28"/>
        <v>25.262775827175769</v>
      </c>
      <c r="BZ36">
        <f t="shared" ca="1" si="29"/>
        <v>273.60776995207982</v>
      </c>
      <c r="CA36" s="6">
        <f t="shared" ca="1" si="30"/>
        <v>-0.99572826921290225</v>
      </c>
      <c r="CB36" s="6">
        <f t="shared" ca="1" si="31"/>
        <v>9.233208483662704E-2</v>
      </c>
      <c r="CC36" s="6">
        <f t="shared" ca="1" si="32"/>
        <v>3.0491288710917432</v>
      </c>
      <c r="CD36" s="6">
        <f t="shared" ca="1" si="33"/>
        <v>172.43899121758636</v>
      </c>
      <c r="CE36" s="9">
        <f t="shared" ca="1" si="34"/>
        <v>-75.262775827175773</v>
      </c>
      <c r="CF36">
        <f t="shared" ca="1" si="35"/>
        <v>188.14805637409742</v>
      </c>
      <c r="CG36" s="6">
        <f t="shared" ca="1" si="36"/>
        <v>0.91650689643438832</v>
      </c>
      <c r="CH36" s="6">
        <f t="shared" ca="1" si="37"/>
        <v>-0.40001888553942722</v>
      </c>
      <c r="CI36" s="6">
        <f t="shared" ca="1" si="38"/>
        <v>-0.41153745197299441</v>
      </c>
      <c r="CJ36" s="1">
        <f t="shared" ca="1" si="39"/>
        <v>0.87518506097380055</v>
      </c>
      <c r="CK36" s="38"/>
      <c r="EB36" t="e">
        <f ca="1">(EB32-EB30)</f>
        <v>#DIV/0!</v>
      </c>
      <c r="EC36" t="e">
        <f t="shared" ref="EC36:ED36" ca="1" si="46">(EC32-EC30)</f>
        <v>#DIV/0!</v>
      </c>
      <c r="ED36" t="e">
        <f t="shared" ca="1" si="46"/>
        <v>#DIV/0!</v>
      </c>
      <c r="EE36" s="9" t="e">
        <f ca="1">SQRT(POWER(EB36,2)+POWER(EC36,2)+POWER(ED36,2))</f>
        <v>#DIV/0!</v>
      </c>
      <c r="EF36" t="e">
        <f ca="1">EB36/EE36</f>
        <v>#DIV/0!</v>
      </c>
      <c r="EG36" t="e">
        <f ca="1">EC36/EE36</f>
        <v>#DIV/0!</v>
      </c>
      <c r="EH36" t="e">
        <f ca="1">ED36/EE36</f>
        <v>#DIV/0!</v>
      </c>
    </row>
    <row r="37" spans="1:139" x14ac:dyDescent="0.25">
      <c r="A37" s="3">
        <f t="shared" ref="A37:A45" si="47">E3-$I$2</f>
        <v>-6</v>
      </c>
      <c r="B37" s="6">
        <f t="shared" ref="B37:B45" si="48">F3-$I$3</f>
        <v>-12</v>
      </c>
      <c r="C37" s="6">
        <f t="shared" ref="C37:C45" si="49">A37*COS($B$27)+B37*SIN($B$27)</f>
        <v>-13.310239242535348</v>
      </c>
      <c r="D37" s="6">
        <f t="shared" ref="D37:D45" si="50">-1*A37*SIN($B$27)+B37*COS($B$27)</f>
        <v>1.6844973453443064</v>
      </c>
      <c r="F37" s="8" t="s">
        <v>23</v>
      </c>
      <c r="G37" s="1">
        <f>MAX(D37:D41)-MIN(D37:D41)</f>
        <v>11.321990332166001</v>
      </c>
      <c r="H37" t="s">
        <v>4</v>
      </c>
      <c r="J37" t="s">
        <v>8</v>
      </c>
      <c r="K37" t="s">
        <v>9</v>
      </c>
      <c r="N37" t="s">
        <v>8</v>
      </c>
      <c r="O37" t="s">
        <v>9</v>
      </c>
      <c r="AD37">
        <v>0</v>
      </c>
      <c r="AE37">
        <f>2*PI()</f>
        <v>6.2831853071795862</v>
      </c>
      <c r="BC37">
        <v>0.61086523819801575</v>
      </c>
      <c r="BD37">
        <v>244.02284740959951</v>
      </c>
      <c r="BE37">
        <v>-11.898428124033236</v>
      </c>
      <c r="BF37" s="6">
        <f t="shared" si="44"/>
        <v>6.2344644098347501</v>
      </c>
      <c r="BG37" s="6">
        <f t="shared" si="45"/>
        <v>5.6235991716367346</v>
      </c>
      <c r="BH37" s="6">
        <f t="shared" si="2"/>
        <v>0.51236850634564246</v>
      </c>
      <c r="BI37" s="6">
        <f t="shared" si="3"/>
        <v>0.51236850634564246</v>
      </c>
      <c r="BJ37">
        <v>294.87312121098398</v>
      </c>
      <c r="BK37">
        <v>-14.377861235874642</v>
      </c>
      <c r="BV37" s="38"/>
      <c r="BW37" s="6">
        <f t="shared" si="18"/>
        <v>0.38397243543875265</v>
      </c>
      <c r="BX37" s="9">
        <f t="shared" ca="1" si="27"/>
        <v>-272.00724331351489</v>
      </c>
      <c r="BY37" s="9">
        <f t="shared" ca="1" si="28"/>
        <v>24.401242993708074</v>
      </c>
      <c r="BZ37">
        <f t="shared" ca="1" si="29"/>
        <v>273.09954425933353</v>
      </c>
      <c r="CA37" s="6">
        <f t="shared" ca="1" si="30"/>
        <v>-0.99600035602849124</v>
      </c>
      <c r="CB37" s="6">
        <f t="shared" ca="1" si="31"/>
        <v>8.9349262957893527E-2</v>
      </c>
      <c r="CC37" s="6">
        <f t="shared" ca="1" si="32"/>
        <v>3.0521240779798284</v>
      </c>
      <c r="CD37" s="6">
        <f t="shared" ca="1" si="33"/>
        <v>172.00724331351489</v>
      </c>
      <c r="CE37" s="9">
        <f t="shared" ca="1" si="34"/>
        <v>-74.401242993708081</v>
      </c>
      <c r="CF37">
        <f t="shared" ca="1" si="35"/>
        <v>187.40874235564229</v>
      </c>
      <c r="CG37" s="6">
        <f t="shared" ca="1" si="36"/>
        <v>0.91781867351257151</v>
      </c>
      <c r="CH37" s="6">
        <f t="shared" ca="1" si="37"/>
        <v>-0.3969998520801028</v>
      </c>
      <c r="CI37" s="6">
        <f t="shared" ca="1" si="38"/>
        <v>-0.40824574543761416</v>
      </c>
      <c r="CJ37" s="1">
        <f t="shared" ca="1" si="39"/>
        <v>0.8718933544384202</v>
      </c>
      <c r="CK37" s="38"/>
      <c r="EB37" t="e">
        <f ca="1">EB31-EB30</f>
        <v>#DIV/0!</v>
      </c>
      <c r="EC37" t="e">
        <f t="shared" ref="EC37:ED37" ca="1" si="51">EC31-EC30</f>
        <v>#DIV/0!</v>
      </c>
      <c r="ED37" t="e">
        <f t="shared" ca="1" si="51"/>
        <v>#DIV/0!</v>
      </c>
      <c r="EE37" s="9" t="e">
        <f ca="1">SQRT(POWER(EB37,2)+POWER(EC37,2)+POWER(ED37,2))</f>
        <v>#DIV/0!</v>
      </c>
      <c r="EF37" t="e">
        <f ca="1">EB37/EE37</f>
        <v>#DIV/0!</v>
      </c>
      <c r="EG37" t="e">
        <f ca="1">EC37/EE37</f>
        <v>#DIV/0!</v>
      </c>
      <c r="EH37" t="e">
        <f ca="1">ED37/EE37</f>
        <v>#DIV/0!</v>
      </c>
    </row>
    <row r="38" spans="1:139" x14ac:dyDescent="0.25">
      <c r="A38" s="3">
        <f t="shared" si="47"/>
        <v>6</v>
      </c>
      <c r="B38" s="6">
        <f t="shared" si="48"/>
        <v>-12</v>
      </c>
      <c r="C38" s="6">
        <f t="shared" si="49"/>
        <v>-9.3337414217966543</v>
      </c>
      <c r="D38" s="6">
        <f t="shared" si="50"/>
        <v>-9.6374929868216945</v>
      </c>
      <c r="F38" s="8" t="s">
        <v>24</v>
      </c>
      <c r="G38" s="6">
        <f>MAX(D37:D43)</f>
        <v>9.6374929868216945</v>
      </c>
      <c r="H38" t="s">
        <v>4</v>
      </c>
      <c r="J38" s="9">
        <f>MIN(C37:C43,A37:A43)-1</f>
        <v>-14.310239242535348</v>
      </c>
      <c r="K38" s="9">
        <f>G40</f>
        <v>4.278416984741936</v>
      </c>
      <c r="N38" s="9">
        <f>J38</f>
        <v>-14.310239242535348</v>
      </c>
      <c r="O38" s="9">
        <f>G41</f>
        <v>5.3502321851578882</v>
      </c>
      <c r="AD38">
        <f>AE37</f>
        <v>6.2831853071795862</v>
      </c>
      <c r="AE38">
        <f>AE37</f>
        <v>6.2831853071795862</v>
      </c>
      <c r="BC38">
        <v>0.62831853071795907</v>
      </c>
      <c r="BD38">
        <v>241.1360549819268</v>
      </c>
      <c r="BE38">
        <v>-10.960659090722094</v>
      </c>
      <c r="BF38" s="6">
        <f t="shared" si="44"/>
        <v>6.2377623202710897</v>
      </c>
      <c r="BG38" s="6">
        <f t="shared" si="45"/>
        <v>5.6094437895531311</v>
      </c>
      <c r="BH38" s="6">
        <f t="shared" si="2"/>
        <v>0.50907059590930293</v>
      </c>
      <c r="BI38" s="6">
        <f t="shared" si="3"/>
        <v>0.50907059590930293</v>
      </c>
      <c r="BJ38">
        <v>294.18224566243202</v>
      </c>
      <c r="BK38">
        <v>-13.37183402743587</v>
      </c>
      <c r="BV38" s="38"/>
      <c r="BW38" s="6">
        <f t="shared" si="18"/>
        <v>0.40142572795869597</v>
      </c>
      <c r="BX38" s="9">
        <f t="shared" ca="1" si="27"/>
        <v>-271.55950819619477</v>
      </c>
      <c r="BY38" s="9">
        <f t="shared" ca="1" si="28"/>
        <v>23.537436531532958</v>
      </c>
      <c r="BZ38">
        <f t="shared" ca="1" si="29"/>
        <v>272.57765390845071</v>
      </c>
      <c r="CA38" s="6">
        <f t="shared" ca="1" si="30"/>
        <v>-0.99626474988812586</v>
      </c>
      <c r="CB38" s="6">
        <f t="shared" ca="1" si="31"/>
        <v>8.6351306477376752E-2</v>
      </c>
      <c r="CC38" s="6">
        <f t="shared" ca="1" si="32"/>
        <v>3.0551336716415776</v>
      </c>
      <c r="CD38" s="6">
        <f t="shared" ca="1" si="33"/>
        <v>171.55950819619477</v>
      </c>
      <c r="CE38" s="9">
        <f t="shared" ca="1" si="34"/>
        <v>-73.537436531532961</v>
      </c>
      <c r="CF38">
        <f t="shared" ca="1" si="35"/>
        <v>186.6558850509393</v>
      </c>
      <c r="CG38" s="6">
        <f t="shared" ca="1" si="36"/>
        <v>0.91912188115244986</v>
      </c>
      <c r="CH38" s="6">
        <f t="shared" ca="1" si="37"/>
        <v>-0.39397330821615528</v>
      </c>
      <c r="CI38" s="6">
        <f t="shared" ca="1" si="38"/>
        <v>-0.40495054775943073</v>
      </c>
      <c r="CJ38" s="1">
        <f t="shared" ca="1" si="39"/>
        <v>0.86859815676023677</v>
      </c>
      <c r="CK38" s="38"/>
      <c r="EF38" t="e">
        <f ca="1">EF36-EF37</f>
        <v>#DIV/0!</v>
      </c>
      <c r="EG38" t="e">
        <f ca="1">EG36-EG37</f>
        <v>#DIV/0!</v>
      </c>
      <c r="EH38" t="e">
        <f ca="1">EH36-EH37</f>
        <v>#DIV/0!</v>
      </c>
      <c r="EI38" s="9"/>
    </row>
    <row r="39" spans="1:139" x14ac:dyDescent="0.25">
      <c r="A39" s="3">
        <f t="shared" si="47"/>
        <v>6</v>
      </c>
      <c r="B39" s="6">
        <f t="shared" si="48"/>
        <v>4</v>
      </c>
      <c r="C39" s="6">
        <f t="shared" si="49"/>
        <v>5.7622456877580142</v>
      </c>
      <c r="D39" s="6">
        <f t="shared" si="50"/>
        <v>-4.3354958925034355</v>
      </c>
      <c r="J39" s="9">
        <f>MAX(C37:C43,A37:A43)+1</f>
        <v>14.310239242535348</v>
      </c>
      <c r="K39" s="9">
        <f>K38</f>
        <v>4.278416984741936</v>
      </c>
      <c r="N39" s="9">
        <f>J39</f>
        <v>14.310239242535348</v>
      </c>
      <c r="O39" s="9">
        <f>G41</f>
        <v>5.3502321851578882</v>
      </c>
      <c r="AD39">
        <f>AD38</f>
        <v>6.2831853071795862</v>
      </c>
      <c r="AE39">
        <v>0</v>
      </c>
      <c r="BC39">
        <v>0.64577182323790239</v>
      </c>
      <c r="BD39">
        <v>238.29003737779959</v>
      </c>
      <c r="BE39">
        <v>-10.037835111782028</v>
      </c>
      <c r="BF39" s="6">
        <f t="shared" si="44"/>
        <v>6.2410857537919258</v>
      </c>
      <c r="BG39" s="6">
        <f t="shared" si="45"/>
        <v>5.5953139305540232</v>
      </c>
      <c r="BH39" s="6">
        <f t="shared" si="2"/>
        <v>0.50574716238846684</v>
      </c>
      <c r="BI39" s="6">
        <f t="shared" si="3"/>
        <v>0.50574716238846684</v>
      </c>
      <c r="BJ39">
        <v>293.46656811289665</v>
      </c>
      <c r="BK39">
        <v>-12.362115739095731</v>
      </c>
      <c r="BV39" s="38"/>
      <c r="BW39" s="6">
        <f t="shared" si="18"/>
        <v>0.41887902047863929</v>
      </c>
      <c r="BX39" s="9">
        <f t="shared" ca="1" si="27"/>
        <v>-271.09565514270912</v>
      </c>
      <c r="BY39" s="9">
        <f t="shared" ca="1" si="28"/>
        <v>22.671299867856536</v>
      </c>
      <c r="BZ39">
        <f t="shared" ca="1" si="29"/>
        <v>272.04198586790409</v>
      </c>
      <c r="CA39" s="6">
        <f t="shared" ca="1" si="30"/>
        <v>-0.99652137988121259</v>
      </c>
      <c r="CB39" s="6">
        <f t="shared" ca="1" si="31"/>
        <v>8.3337503200204832E-2</v>
      </c>
      <c r="CC39" s="6">
        <f t="shared" ca="1" si="32"/>
        <v>3.0581583825570213</v>
      </c>
      <c r="CD39" s="6">
        <f t="shared" ca="1" si="33"/>
        <v>171.09565514270912</v>
      </c>
      <c r="CE39" s="9">
        <f t="shared" ca="1" si="34"/>
        <v>-72.671299867856533</v>
      </c>
      <c r="CF39">
        <f t="shared" ca="1" si="35"/>
        <v>185.88932468863501</v>
      </c>
      <c r="CG39" s="6">
        <f t="shared" ca="1" si="36"/>
        <v>0.92041678794247428</v>
      </c>
      <c r="CH39" s="6">
        <f t="shared" ca="1" si="37"/>
        <v>-0.39093853285863028</v>
      </c>
      <c r="CI39" s="6">
        <f t="shared" ca="1" si="38"/>
        <v>-0.40165105462531248</v>
      </c>
      <c r="CJ39" s="1">
        <f t="shared" ca="1" si="39"/>
        <v>0.86529866362611851</v>
      </c>
      <c r="CK39" s="38"/>
    </row>
    <row r="40" spans="1:139" x14ac:dyDescent="0.25">
      <c r="A40" s="3">
        <f t="shared" si="47"/>
        <v>6</v>
      </c>
      <c r="B40" s="6">
        <f t="shared" si="48"/>
        <v>4</v>
      </c>
      <c r="C40" s="6">
        <f t="shared" si="49"/>
        <v>5.7622456877580142</v>
      </c>
      <c r="D40" s="6">
        <f t="shared" si="50"/>
        <v>-4.3354958925034355</v>
      </c>
      <c r="F40" s="8" t="s">
        <v>50</v>
      </c>
      <c r="G40" s="9">
        <f>G38-B28</f>
        <v>4.278416984741936</v>
      </c>
      <c r="AD40">
        <f>AE39</f>
        <v>0</v>
      </c>
      <c r="AE40">
        <f>AE39</f>
        <v>0</v>
      </c>
      <c r="BC40">
        <v>0.66322511575784571</v>
      </c>
      <c r="BD40">
        <v>235.48263416907909</v>
      </c>
      <c r="BE40">
        <v>-9.1296636065237387</v>
      </c>
      <c r="BF40" s="6">
        <f t="shared" si="44"/>
        <v>6.2444347069377057</v>
      </c>
      <c r="BG40" s="6">
        <f t="shared" si="45"/>
        <v>5.58120959117986</v>
      </c>
      <c r="BH40" s="6">
        <f t="shared" si="2"/>
        <v>0.50239820924268697</v>
      </c>
      <c r="BI40" s="6">
        <f t="shared" si="3"/>
        <v>0.50239820924268697</v>
      </c>
      <c r="BJ40">
        <v>292.72546386139527</v>
      </c>
      <c r="BK40">
        <v>-11.348968570647495</v>
      </c>
      <c r="BV40" s="38"/>
      <c r="BW40" s="6">
        <f t="shared" si="18"/>
        <v>0.43633231299858261</v>
      </c>
      <c r="BX40" s="9">
        <f t="shared" ca="1" si="27"/>
        <v>-270.61550325679644</v>
      </c>
      <c r="BY40" s="9">
        <f t="shared" ca="1" si="28"/>
        <v>21.802757315909503</v>
      </c>
      <c r="BZ40">
        <f t="shared" ca="1" si="29"/>
        <v>271.49237711122879</v>
      </c>
      <c r="CA40" s="6">
        <f t="shared" ca="1" si="30"/>
        <v>-0.99677017136259005</v>
      </c>
      <c r="CB40" s="6">
        <f t="shared" ca="1" si="31"/>
        <v>8.0307069936542061E-2</v>
      </c>
      <c r="CC40" s="6">
        <f t="shared" ca="1" si="32"/>
        <v>3.0611990124407593</v>
      </c>
      <c r="CD40" s="6">
        <f t="shared" ca="1" si="33"/>
        <v>170.61550325679644</v>
      </c>
      <c r="CE40" s="9">
        <f t="shared" ca="1" si="34"/>
        <v>-71.802757315909503</v>
      </c>
      <c r="CF40">
        <f t="shared" ca="1" si="35"/>
        <v>185.10884881533167</v>
      </c>
      <c r="CG40" s="6">
        <f t="shared" ca="1" si="36"/>
        <v>0.92170365894828676</v>
      </c>
      <c r="CH40" s="6">
        <f t="shared" ca="1" si="37"/>
        <v>-0.3878947860971324</v>
      </c>
      <c r="CI40" s="6">
        <f t="shared" ca="1" si="38"/>
        <v>-0.39834644553016529</v>
      </c>
      <c r="CJ40" s="1">
        <f t="shared" ca="1" si="39"/>
        <v>0.86199405453097144</v>
      </c>
      <c r="CK40" s="38"/>
      <c r="DW40" t="e">
        <f t="array" aca="1" ref="DW40:DZ43" ca="1">MMULT(DW16:DZ19,DW26:DZ29)</f>
        <v>#DIV/0!</v>
      </c>
      <c r="DX40" t="e">
        <f ca="1"/>
        <v>#DIV/0!</v>
      </c>
      <c r="DY40" t="e">
        <f ca="1"/>
        <v>#DIV/0!</v>
      </c>
      <c r="DZ40" t="e">
        <f ca="1"/>
        <v>#DIV/0!</v>
      </c>
    </row>
    <row r="41" spans="1:139" x14ac:dyDescent="0.25">
      <c r="A41" s="3">
        <f t="shared" si="47"/>
        <v>6</v>
      </c>
      <c r="B41" s="6">
        <f t="shared" si="48"/>
        <v>12</v>
      </c>
      <c r="C41" s="6">
        <f t="shared" si="49"/>
        <v>13.310239242535348</v>
      </c>
      <c r="D41" s="6">
        <f t="shared" si="50"/>
        <v>-1.6844973453443064</v>
      </c>
      <c r="F41" s="8" t="s">
        <v>51</v>
      </c>
      <c r="G41" s="9">
        <f>G38-B29</f>
        <v>5.3502321851578882</v>
      </c>
      <c r="J41" s="9"/>
      <c r="K41" s="9"/>
      <c r="N41" s="9"/>
      <c r="O41" s="9"/>
      <c r="AD41">
        <f>AD40</f>
        <v>0</v>
      </c>
      <c r="AE41">
        <f>AE37</f>
        <v>6.2831853071795862</v>
      </c>
      <c r="BC41">
        <v>0.68067840827778903</v>
      </c>
      <c r="BD41">
        <v>232.71191162017482</v>
      </c>
      <c r="BE41">
        <v>-8.2359668637982448</v>
      </c>
      <c r="BF41" s="6">
        <f t="shared" si="44"/>
        <v>6.247808816308801</v>
      </c>
      <c r="BG41" s="6">
        <f t="shared" si="45"/>
        <v>5.5671304080310122</v>
      </c>
      <c r="BH41" s="6">
        <f t="shared" si="2"/>
        <v>0.49902409987159158</v>
      </c>
      <c r="BI41" s="6">
        <f t="shared" si="3"/>
        <v>0.49902409987159158</v>
      </c>
      <c r="BJ41">
        <v>291.95833263935009</v>
      </c>
      <c r="BK41">
        <v>-10.332772123638089</v>
      </c>
      <c r="BV41" s="38"/>
      <c r="BW41" s="6">
        <f t="shared" si="18"/>
        <v>0.45378560551852593</v>
      </c>
      <c r="BX41" s="9">
        <f t="shared" ca="1" si="27"/>
        <v>-270.11882422499076</v>
      </c>
      <c r="BY41" s="9">
        <f t="shared" ca="1" si="28"/>
        <v>20.931720105993627</v>
      </c>
      <c r="BZ41">
        <f t="shared" ca="1" si="29"/>
        <v>270.9286181031585</v>
      </c>
      <c r="CA41" s="6">
        <f t="shared" ca="1" si="30"/>
        <v>-0.99701104341122282</v>
      </c>
      <c r="CB41" s="6">
        <f t="shared" ca="1" si="31"/>
        <v>7.7259169786278115E-2</v>
      </c>
      <c r="CC41" s="6">
        <f t="shared" ca="1" si="32"/>
        <v>3.0642564168875817</v>
      </c>
      <c r="CD41" s="6">
        <f t="shared" ca="1" si="33"/>
        <v>170.11882422499076</v>
      </c>
      <c r="CE41" s="9">
        <f t="shared" ca="1" si="34"/>
        <v>-70.931720105993634</v>
      </c>
      <c r="CF41">
        <f t="shared" ca="1" si="35"/>
        <v>184.31419715498947</v>
      </c>
      <c r="CG41" s="6">
        <f t="shared" ca="1" si="36"/>
        <v>0.92298274821411697</v>
      </c>
      <c r="CH41" s="6">
        <f t="shared" ca="1" si="37"/>
        <v>-0.38484132639195057</v>
      </c>
      <c r="CI41" s="6">
        <f t="shared" ca="1" si="38"/>
        <v>-0.39503590244319231</v>
      </c>
      <c r="CJ41" s="1">
        <f t="shared" ca="1" si="39"/>
        <v>0.85868351144399846</v>
      </c>
      <c r="CK41" s="38"/>
      <c r="DW41" t="e">
        <f ca="1"/>
        <v>#DIV/0!</v>
      </c>
      <c r="DX41" t="e">
        <f ca="1"/>
        <v>#DIV/0!</v>
      </c>
      <c r="DY41" t="e">
        <f ca="1"/>
        <v>#DIV/0!</v>
      </c>
      <c r="DZ41" t="e">
        <f ca="1"/>
        <v>#DIV/0!</v>
      </c>
    </row>
    <row r="42" spans="1:139" x14ac:dyDescent="0.25">
      <c r="A42" s="3">
        <f t="shared" si="47"/>
        <v>-6</v>
      </c>
      <c r="B42" s="6">
        <f t="shared" si="48"/>
        <v>12</v>
      </c>
      <c r="C42" s="6">
        <f t="shared" si="49"/>
        <v>9.3337414217966543</v>
      </c>
      <c r="D42" s="6">
        <f t="shared" si="50"/>
        <v>9.6374929868216945</v>
      </c>
      <c r="J42" s="9"/>
      <c r="K42" s="9"/>
      <c r="N42" s="9"/>
      <c r="O42" s="9"/>
      <c r="BC42">
        <v>0.69813170079773235</v>
      </c>
      <c r="BD42">
        <v>229.9761809472374</v>
      </c>
      <c r="BE42">
        <v>-7.3566957183046915</v>
      </c>
      <c r="BF42" s="6">
        <f t="shared" si="44"/>
        <v>6.2512072654685449</v>
      </c>
      <c r="BG42" s="6">
        <f t="shared" si="45"/>
        <v>5.553075564670813</v>
      </c>
      <c r="BH42" s="6">
        <f t="shared" si="2"/>
        <v>0.49562565071184778</v>
      </c>
      <c r="BI42" s="6">
        <f t="shared" si="3"/>
        <v>0.49562565071184778</v>
      </c>
      <c r="BJ42">
        <v>291.16461967829156</v>
      </c>
      <c r="BK42">
        <v>-9.3140494032316106</v>
      </c>
      <c r="BV42" s="38"/>
      <c r="BW42" s="6">
        <f t="shared" si="18"/>
        <v>0.47123889803846924</v>
      </c>
      <c r="BX42" s="9">
        <f t="shared" ca="1" si="27"/>
        <v>-268.91267210317841</v>
      </c>
      <c r="BY42" s="9">
        <f t="shared" ca="1" si="28"/>
        <v>20.004977378933567</v>
      </c>
      <c r="BZ42">
        <f t="shared" ca="1" si="29"/>
        <v>269.65575153814757</v>
      </c>
      <c r="CA42" s="6">
        <f t="shared" ca="1" si="30"/>
        <v>-0.99724434049438759</v>
      </c>
      <c r="CB42" s="6">
        <f t="shared" ca="1" si="31"/>
        <v>7.418709693682729E-2</v>
      </c>
      <c r="CC42" s="6">
        <f t="shared" ca="1" si="32"/>
        <v>3.0673373366576535</v>
      </c>
      <c r="CD42" s="6">
        <f t="shared" ca="1" si="33"/>
        <v>168.91267210317841</v>
      </c>
      <c r="CE42" s="9">
        <f t="shared" ca="1" si="34"/>
        <v>-70.004977378933575</v>
      </c>
      <c r="CF42">
        <f t="shared" ca="1" si="35"/>
        <v>182.84470912460353</v>
      </c>
      <c r="CG42" s="6">
        <f t="shared" ca="1" si="36"/>
        <v>0.92380399144100567</v>
      </c>
      <c r="CH42" s="6">
        <f t="shared" ca="1" si="37"/>
        <v>-0.38286575375406218</v>
      </c>
      <c r="CI42" s="6">
        <f t="shared" ca="1" si="38"/>
        <v>-0.39289643301567556</v>
      </c>
      <c r="CJ42" s="1">
        <f t="shared" ca="1" si="39"/>
        <v>0.8565440420164816</v>
      </c>
      <c r="CK42" s="38"/>
      <c r="DW42" t="e">
        <f ca="1"/>
        <v>#DIV/0!</v>
      </c>
      <c r="DX42" t="e">
        <f ca="1"/>
        <v>#DIV/0!</v>
      </c>
      <c r="DY42" t="e">
        <f ca="1"/>
        <v>#DIV/0!</v>
      </c>
      <c r="DZ42" t="e">
        <f ca="1"/>
        <v>#DIV/0!</v>
      </c>
    </row>
    <row r="43" spans="1:139" x14ac:dyDescent="0.25">
      <c r="A43" s="3">
        <f t="shared" si="47"/>
        <v>-6</v>
      </c>
      <c r="B43" s="6">
        <f t="shared" si="48"/>
        <v>4</v>
      </c>
      <c r="C43" s="6">
        <f t="shared" si="49"/>
        <v>1.7857478670193201</v>
      </c>
      <c r="D43" s="6">
        <f t="shared" si="50"/>
        <v>6.9864944396625654</v>
      </c>
      <c r="AD43" t="s">
        <v>134</v>
      </c>
      <c r="BC43">
        <v>0.71558499331767567</v>
      </c>
      <c r="BD43">
        <v>227.27402354759838</v>
      </c>
      <c r="BE43">
        <v>-6.4919468883783971</v>
      </c>
      <c r="BF43" s="6">
        <f t="shared" si="44"/>
        <v>6.2546286687948331</v>
      </c>
      <c r="BG43" s="6">
        <f t="shared" si="45"/>
        <v>5.5390436754771573</v>
      </c>
      <c r="BH43" s="6">
        <f t="shared" si="2"/>
        <v>0.49220424738555946</v>
      </c>
      <c r="BI43" s="6">
        <f t="shared" si="3"/>
        <v>0.49220424738555946</v>
      </c>
      <c r="BJ43">
        <v>290.34384295664131</v>
      </c>
      <c r="BK43">
        <v>-8.2934986516285107</v>
      </c>
      <c r="BV43" s="38"/>
      <c r="BW43" s="6">
        <f t="shared" si="18"/>
        <v>0.48869219055841256</v>
      </c>
      <c r="BX43" s="9">
        <f t="shared" ca="1" si="27"/>
        <v>-265.5971415303469</v>
      </c>
      <c r="BY43" s="9">
        <f t="shared" ca="1" si="28"/>
        <v>18.925965398052121</v>
      </c>
      <c r="BZ43">
        <f t="shared" ca="1" si="29"/>
        <v>266.27060249929843</v>
      </c>
      <c r="CA43" s="6">
        <f t="shared" ca="1" si="30"/>
        <v>-0.99747076484362063</v>
      </c>
      <c r="CB43" s="6">
        <f t="shared" ca="1" si="31"/>
        <v>7.1077938084066136E-2</v>
      </c>
      <c r="CC43" s="6">
        <f t="shared" ca="1" si="32"/>
        <v>3.0704547305416248</v>
      </c>
      <c r="CD43" s="6">
        <f t="shared" ca="1" si="33"/>
        <v>165.5971415303469</v>
      </c>
      <c r="CE43" s="9">
        <f t="shared" ca="1" si="34"/>
        <v>-68.925965398052114</v>
      </c>
      <c r="CF43">
        <f t="shared" ca="1" si="35"/>
        <v>179.36889916893404</v>
      </c>
      <c r="CG43" s="6">
        <f t="shared" ca="1" si="36"/>
        <v>0.92322103941990219</v>
      </c>
      <c r="CH43" s="6">
        <f t="shared" ca="1" si="37"/>
        <v>-0.38426932270535902</v>
      </c>
      <c r="CI43" s="6">
        <f t="shared" ca="1" si="38"/>
        <v>-0.39441624856519669</v>
      </c>
      <c r="CJ43" s="1">
        <f t="shared" ca="1" si="39"/>
        <v>0.85806385756600279</v>
      </c>
      <c r="CK43" s="38"/>
      <c r="DV43" s="5"/>
      <c r="DW43" t="e">
        <f ca="1"/>
        <v>#DIV/0!</v>
      </c>
      <c r="DX43" t="e">
        <f ca="1"/>
        <v>#DIV/0!</v>
      </c>
      <c r="DY43" t="e">
        <f ca="1"/>
        <v>#DIV/0!</v>
      </c>
      <c r="DZ43" t="e">
        <f ca="1"/>
        <v>#DIV/0!</v>
      </c>
    </row>
    <row r="44" spans="1:139" x14ac:dyDescent="0.25">
      <c r="A44" s="3">
        <f t="shared" si="47"/>
        <v>-6</v>
      </c>
      <c r="B44" s="6">
        <f t="shared" si="48"/>
        <v>4</v>
      </c>
      <c r="C44" s="6">
        <f t="shared" si="49"/>
        <v>1.7857478670193201</v>
      </c>
      <c r="D44" s="6">
        <f t="shared" si="50"/>
        <v>6.9864944396625654</v>
      </c>
      <c r="AD44" t="s">
        <v>8</v>
      </c>
      <c r="AE44" t="s">
        <v>9</v>
      </c>
      <c r="BC44">
        <v>0.73303828583761899</v>
      </c>
      <c r="BD44">
        <v>224.60432504603551</v>
      </c>
      <c r="BE44">
        <v>-5.6419849306433232</v>
      </c>
      <c r="BF44" s="6">
        <f t="shared" si="44"/>
        <v>6.2580709257631248</v>
      </c>
      <c r="BG44" s="6">
        <f t="shared" si="45"/>
        <v>5.5250326399255059</v>
      </c>
      <c r="BH44" s="6">
        <f t="shared" si="2"/>
        <v>0.48876199041726776</v>
      </c>
      <c r="BI44" s="6">
        <f t="shared" si="3"/>
        <v>0.48876199041726776</v>
      </c>
      <c r="BJ44">
        <v>289.49562852151598</v>
      </c>
      <c r="BK44">
        <v>-7.2720325989748362</v>
      </c>
      <c r="BV44" s="38"/>
      <c r="BW44" s="6">
        <f t="shared" si="18"/>
        <v>0.50614548307835583</v>
      </c>
      <c r="BX44" s="9">
        <f t="shared" ca="1" si="27"/>
        <v>-262.3470762067501</v>
      </c>
      <c r="BY44" s="9">
        <f t="shared" ca="1" si="28"/>
        <v>17.867484918989227</v>
      </c>
      <c r="BZ44">
        <f t="shared" ca="1" si="29"/>
        <v>262.95481629276281</v>
      </c>
      <c r="CA44" s="6">
        <f t="shared" ca="1" si="30"/>
        <v>-0.99768880412771721</v>
      </c>
      <c r="CB44" s="6">
        <f t="shared" ca="1" si="31"/>
        <v>6.7948878711908897E-2</v>
      </c>
      <c r="CC44" s="6">
        <f t="shared" ca="1" si="32"/>
        <v>3.0735913787128952</v>
      </c>
      <c r="CD44" s="6">
        <f t="shared" ca="1" si="33"/>
        <v>162.3470762067501</v>
      </c>
      <c r="CE44" s="9">
        <f t="shared" ca="1" si="34"/>
        <v>-67.86748491898922</v>
      </c>
      <c r="CF44">
        <f t="shared" ca="1" si="35"/>
        <v>175.96183865290098</v>
      </c>
      <c r="CG44" s="6">
        <f t="shared" ca="1" si="36"/>
        <v>0.92262661864424422</v>
      </c>
      <c r="CH44" s="6">
        <f t="shared" ca="1" si="37"/>
        <v>-0.38569433826423777</v>
      </c>
      <c r="CI44" s="6">
        <f t="shared" ca="1" si="38"/>
        <v>-0.39596027119301141</v>
      </c>
      <c r="CJ44" s="1">
        <f t="shared" ca="1" si="39"/>
        <v>0.85960788019381751</v>
      </c>
      <c r="CK44" s="38"/>
      <c r="DV44" s="5"/>
      <c r="DW44" t="e">
        <f t="array" aca="1" ref="DW44:DZ44" ca="1">MMULT(DW10:DZ10,DW40:DZ43)</f>
        <v>#DIV/0!</v>
      </c>
      <c r="DX44" t="e">
        <f ca="1"/>
        <v>#DIV/0!</v>
      </c>
      <c r="DY44" t="e">
        <f ca="1"/>
        <v>#DIV/0!</v>
      </c>
      <c r="DZ44" t="e">
        <f ca="1"/>
        <v>#DIV/0!</v>
      </c>
    </row>
    <row r="45" spans="1:139" x14ac:dyDescent="0.25">
      <c r="A45" s="3">
        <f t="shared" si="47"/>
        <v>-6</v>
      </c>
      <c r="B45" s="6">
        <f t="shared" si="48"/>
        <v>-12</v>
      </c>
      <c r="C45" s="6">
        <f t="shared" si="49"/>
        <v>-13.310239242535348</v>
      </c>
      <c r="D45" s="6">
        <f t="shared" si="50"/>
        <v>1.6844973453443064</v>
      </c>
      <c r="AD45" s="38">
        <f>U13+PI()/3</f>
        <v>1.5108451601974038</v>
      </c>
      <c r="AE45">
        <v>0</v>
      </c>
      <c r="BC45">
        <v>0.75049157835756231</v>
      </c>
      <c r="BD45">
        <v>221.96632062498597</v>
      </c>
      <c r="BE45">
        <v>-4.8072700685576937</v>
      </c>
      <c r="BF45" s="6">
        <f t="shared" si="44"/>
        <v>6.2615310370932784</v>
      </c>
      <c r="BG45" s="6">
        <f t="shared" si="45"/>
        <v>5.5110394587357163</v>
      </c>
      <c r="BH45" s="6">
        <f t="shared" si="2"/>
        <v>0.4853018790871142</v>
      </c>
      <c r="BI45" s="6">
        <f t="shared" si="3"/>
        <v>0.4853018790871142</v>
      </c>
      <c r="BJ45">
        <v>288.6197564513368</v>
      </c>
      <c r="BK45">
        <v>-6.2508272087235728</v>
      </c>
      <c r="BV45" s="38"/>
      <c r="BW45" s="6">
        <f t="shared" si="18"/>
        <v>0.52359877559829915</v>
      </c>
      <c r="BX45" s="9">
        <f t="shared" ca="1" si="27"/>
        <v>-259.1586663503407</v>
      </c>
      <c r="BY45" s="9">
        <f t="shared" ca="1" si="28"/>
        <v>16.828559457193919</v>
      </c>
      <c r="BZ45">
        <f t="shared" ca="1" si="29"/>
        <v>259.70447581412901</v>
      </c>
      <c r="CA45" s="6">
        <f t="shared" ca="1" si="30"/>
        <v>-0.99789834402323141</v>
      </c>
      <c r="CB45" s="6">
        <f t="shared" ca="1" si="31"/>
        <v>6.4798881129943059E-2</v>
      </c>
      <c r="CC45" s="6">
        <f t="shared" ca="1" si="32"/>
        <v>3.0767483392783168</v>
      </c>
      <c r="CD45" s="6">
        <f t="shared" ca="1" si="33"/>
        <v>159.1586663503407</v>
      </c>
      <c r="CE45" s="9">
        <f t="shared" ca="1" si="34"/>
        <v>-66.828559457193919</v>
      </c>
      <c r="CF45">
        <f t="shared" ca="1" si="35"/>
        <v>172.61963223672672</v>
      </c>
      <c r="CG45" s="6">
        <f t="shared" ca="1" si="36"/>
        <v>0.92201949620697865</v>
      </c>
      <c r="CH45" s="6">
        <f t="shared" ca="1" si="37"/>
        <v>-0.38714344707644099</v>
      </c>
      <c r="CI45" s="6">
        <f t="shared" ca="1" si="38"/>
        <v>-0.39753142188954987</v>
      </c>
      <c r="CJ45" s="1">
        <f t="shared" ca="1" si="39"/>
        <v>0.86117903089035608</v>
      </c>
      <c r="CK45" s="38"/>
      <c r="DV45" s="5"/>
    </row>
    <row r="46" spans="1:139" x14ac:dyDescent="0.25">
      <c r="AD46" s="38">
        <f>U13-PI()/3</f>
        <v>-0.58354994219579148</v>
      </c>
      <c r="AE46">
        <f>AE45</f>
        <v>0</v>
      </c>
      <c r="BC46">
        <v>0.76794487087750563</v>
      </c>
      <c r="BD46">
        <v>219.35965496120622</v>
      </c>
      <c r="BE46">
        <v>-3.9884935755285542</v>
      </c>
      <c r="BF46" s="6">
        <f t="shared" si="44"/>
        <v>6.2650048713562612</v>
      </c>
      <c r="BG46" s="6">
        <f t="shared" si="45"/>
        <v>5.497060000478756</v>
      </c>
      <c r="BH46" s="6">
        <f t="shared" si="2"/>
        <v>0.48182804482413144</v>
      </c>
      <c r="BI46" s="6">
        <f t="shared" si="3"/>
        <v>0.48182804482413144</v>
      </c>
      <c r="BJ46">
        <v>287.71622087533569</v>
      </c>
      <c r="BK46">
        <v>-5.2313826749024388</v>
      </c>
      <c r="BV46" s="38"/>
      <c r="BW46" s="6">
        <f t="shared" si="18"/>
        <v>0.54105206811824247</v>
      </c>
      <c r="BX46" s="9">
        <f t="shared" ca="1" si="27"/>
        <v>-256.02831714612495</v>
      </c>
      <c r="BY46" s="9">
        <f t="shared" ca="1" si="28"/>
        <v>15.808287736275487</v>
      </c>
      <c r="BZ46">
        <f t="shared" ca="1" si="29"/>
        <v>256.51588867325472</v>
      </c>
      <c r="CA46" s="6">
        <f t="shared" ca="1" si="30"/>
        <v>-0.99809925408655353</v>
      </c>
      <c r="CB46" s="6">
        <f t="shared" ca="1" si="31"/>
        <v>6.1626933980732074E-2</v>
      </c>
      <c r="CC46" s="6">
        <f t="shared" ca="1" si="32"/>
        <v>3.079926644184158</v>
      </c>
      <c r="CD46" s="6">
        <f t="shared" ca="1" si="33"/>
        <v>156.02831714612495</v>
      </c>
      <c r="CE46" s="9">
        <f t="shared" ca="1" si="34"/>
        <v>-65.808287736275489</v>
      </c>
      <c r="CF46">
        <f t="shared" ca="1" si="35"/>
        <v>169.33861487041926</v>
      </c>
      <c r="CG46" s="6">
        <f t="shared" ca="1" si="36"/>
        <v>0.9213983311811097</v>
      </c>
      <c r="CH46" s="6">
        <f t="shared" ca="1" si="37"/>
        <v>-0.38861949937781815</v>
      </c>
      <c r="CI46" s="6">
        <f t="shared" ca="1" si="38"/>
        <v>-0.39913285154265721</v>
      </c>
      <c r="CJ46" s="1">
        <f t="shared" ca="1" si="39"/>
        <v>0.86278046054346325</v>
      </c>
      <c r="CK46" s="38"/>
    </row>
    <row r="47" spans="1:139" x14ac:dyDescent="0.25">
      <c r="A47" t="s">
        <v>27</v>
      </c>
      <c r="BC47">
        <v>0.78539816339744895</v>
      </c>
      <c r="BD47">
        <v>216.78446130312727</v>
      </c>
      <c r="BE47">
        <v>-3.1866229802716299</v>
      </c>
      <c r="BF47" s="6">
        <f t="shared" si="44"/>
        <v>6.2684868667375921</v>
      </c>
      <c r="BG47" s="6">
        <f t="shared" si="45"/>
        <v>5.483088703340143</v>
      </c>
      <c r="BH47" s="6">
        <f t="shared" si="2"/>
        <v>0.47834604944280046</v>
      </c>
      <c r="BI47" s="6">
        <f t="shared" si="3"/>
        <v>0.47834604944280046</v>
      </c>
      <c r="BJ47">
        <v>286.7853087337129</v>
      </c>
      <c r="BK47">
        <v>-4.2156003697021447</v>
      </c>
      <c r="BV47" s="38"/>
      <c r="BW47" s="6">
        <f t="shared" si="18"/>
        <v>0.55850536063818579</v>
      </c>
      <c r="BX47" s="9">
        <f t="shared" ca="1" si="27"/>
        <v>-252.9526425119698</v>
      </c>
      <c r="BY47" s="9">
        <f t="shared" ca="1" si="28"/>
        <v>14.805844823740191</v>
      </c>
      <c r="BZ47">
        <f t="shared" ca="1" si="29"/>
        <v>253.38558047910516</v>
      </c>
      <c r="CA47" s="6">
        <f t="shared" ca="1" si="30"/>
        <v>-0.99829138672249318</v>
      </c>
      <c r="CB47" s="6">
        <f t="shared" ca="1" si="31"/>
        <v>5.8432073347445754E-2</v>
      </c>
      <c r="CC47" s="6">
        <f t="shared" ca="1" si="32"/>
        <v>3.0831272782089991</v>
      </c>
      <c r="CD47" s="6">
        <f t="shared" ca="1" si="33"/>
        <v>152.9526425119698</v>
      </c>
      <c r="CE47" s="9">
        <f t="shared" ca="1" si="34"/>
        <v>-64.805844823740188</v>
      </c>
      <c r="CF47">
        <f t="shared" ca="1" si="35"/>
        <v>166.11534659601179</v>
      </c>
      <c r="CG47" s="6">
        <f t="shared" ca="1" si="36"/>
        <v>0.92076166137705906</v>
      </c>
      <c r="CH47" s="6">
        <f t="shared" ca="1" si="37"/>
        <v>-0.39012557329423825</v>
      </c>
      <c r="CI47" s="6">
        <f t="shared" ca="1" si="38"/>
        <v>-0.40076796856501135</v>
      </c>
      <c r="CJ47" s="1">
        <f t="shared" ca="1" si="39"/>
        <v>0.86441557756581744</v>
      </c>
      <c r="CK47" s="38"/>
    </row>
    <row r="48" spans="1:139" x14ac:dyDescent="0.25">
      <c r="B48" s="1" t="s">
        <v>28</v>
      </c>
      <c r="C48" s="1" t="s">
        <v>29</v>
      </c>
      <c r="D48" s="1" t="s">
        <v>30</v>
      </c>
      <c r="E48" s="1" t="s">
        <v>31</v>
      </c>
      <c r="F48" s="1" t="s">
        <v>32</v>
      </c>
      <c r="G48" s="1" t="s">
        <v>33</v>
      </c>
      <c r="H48" s="1" t="s">
        <v>34</v>
      </c>
      <c r="I48" s="1" t="s">
        <v>35</v>
      </c>
      <c r="J48" s="1" t="s">
        <v>36</v>
      </c>
      <c r="K48" s="1" t="s">
        <v>37</v>
      </c>
      <c r="L48" s="1" t="s">
        <v>38</v>
      </c>
      <c r="M48" s="1" t="s">
        <v>39</v>
      </c>
      <c r="N48" s="1" t="s">
        <v>40</v>
      </c>
      <c r="O48" s="1" t="s">
        <v>41</v>
      </c>
      <c r="P48" s="1" t="s">
        <v>42</v>
      </c>
      <c r="BC48">
        <v>0.80285145591739226</v>
      </c>
      <c r="BD48">
        <v>214.24146594535583</v>
      </c>
      <c r="BE48">
        <v>-2.4029602037283531</v>
      </c>
      <c r="BF48" s="6">
        <f t="shared" si="44"/>
        <v>6.2719696471516153</v>
      </c>
      <c r="BG48" s="6">
        <f t="shared" si="45"/>
        <v>5.469118191234223</v>
      </c>
      <c r="BH48" s="6">
        <f t="shared" si="2"/>
        <v>0.47486326902877735</v>
      </c>
      <c r="BI48" s="6">
        <f t="shared" si="3"/>
        <v>0.47486326902877735</v>
      </c>
      <c r="BJ48">
        <v>285.82770368275209</v>
      </c>
      <c r="BK48">
        <v>-3.205880775890023</v>
      </c>
      <c r="BV48" s="38"/>
      <c r="BW48" s="6">
        <f t="shared" si="18"/>
        <v>0.57595865315812911</v>
      </c>
      <c r="BX48" s="9">
        <f t="shared" ca="1" si="27"/>
        <v>-249.92846027807801</v>
      </c>
      <c r="BY48" s="9">
        <f t="shared" ca="1" si="28"/>
        <v>13.820483910541885</v>
      </c>
      <c r="BZ48">
        <f t="shared" ca="1" si="29"/>
        <v>250.31028950582987</v>
      </c>
      <c r="CA48" s="6">
        <f t="shared" ca="1" si="30"/>
        <v>-0.99847457638075654</v>
      </c>
      <c r="CB48" s="6">
        <f t="shared" ca="1" si="31"/>
        <v>5.5213407078976665E-2</v>
      </c>
      <c r="CC48" s="6">
        <f t="shared" ca="1" si="32"/>
        <v>3.0863511547575873</v>
      </c>
      <c r="CD48" s="6">
        <f t="shared" ca="1" si="33"/>
        <v>149.92846027807801</v>
      </c>
      <c r="CE48" s="9">
        <f t="shared" ca="1" si="34"/>
        <v>-63.820483910541881</v>
      </c>
      <c r="CF48">
        <f t="shared" ca="1" si="35"/>
        <v>162.94660894885462</v>
      </c>
      <c r="CG48" s="6">
        <f t="shared" ca="1" si="36"/>
        <v>0.92010788837672142</v>
      </c>
      <c r="CH48" s="6">
        <f t="shared" ca="1" si="37"/>
        <v>-0.39166500194289861</v>
      </c>
      <c r="CI48" s="6">
        <f t="shared" ca="1" si="38"/>
        <v>-0.40244046979142112</v>
      </c>
      <c r="CJ48" s="1">
        <f t="shared" ca="1" si="39"/>
        <v>0.86608807879222716</v>
      </c>
      <c r="CK48" s="38"/>
    </row>
    <row r="49" spans="1:89" x14ac:dyDescent="0.25">
      <c r="A49" t="s">
        <v>43</v>
      </c>
      <c r="B49" s="6">
        <f>C37</f>
        <v>-13.310239242535348</v>
      </c>
      <c r="C49" s="6">
        <f>D37</f>
        <v>1.6844973453443064</v>
      </c>
      <c r="D49" s="6">
        <f t="shared" ref="D49:E56" si="52">C38</f>
        <v>-9.3337414217966543</v>
      </c>
      <c r="E49" s="6">
        <f t="shared" si="52"/>
        <v>-9.6374929868216945</v>
      </c>
      <c r="F49" s="6">
        <f t="shared" ref="F49:F56" si="53">IF(B49=D49,"V",(C49-E49)/(B49-D49))</f>
        <v>-2.8472265904732152</v>
      </c>
      <c r="G49" s="6">
        <f t="shared" ref="G49:G56" si="54">IF(F49="V",0,(-1*B49*F49)+C49)</f>
        <v>-36.212769751562405</v>
      </c>
      <c r="H49" s="6">
        <f t="shared" ref="H49:H56" si="55">IF(AND(C49&lt;$G$41,E49&lt;$G$41),0,IF(AND(C49&lt;$G$41,E49&gt;$G$41),IF(F49="V",B49,($G$41-G49)/F49),B49))</f>
        <v>0</v>
      </c>
      <c r="I49" s="6">
        <f t="shared" ref="I49:I56" si="56">IF(AND(C49&lt;$G$41,E49&lt;$G$41),0,IF(AND(C49&lt;$G$41,E49&gt;$G$41),$G$41,C49))</f>
        <v>0</v>
      </c>
      <c r="J49" s="6">
        <f t="shared" ref="J49:J56" si="57">IF(AND(C49&lt;$G$41,E49&lt;$G$41),0,IF(E49&gt;=$G$41,D49,IF(F49="V",D49,($G$41-G49)/F49)))</f>
        <v>0</v>
      </c>
      <c r="K49" s="6">
        <f t="shared" ref="K49:K56" si="58">IF(AND(C49&lt;$G$41,E49&lt;$G$41),0,IF(E49&gt;=$G$41,E49,$G$41))</f>
        <v>0</v>
      </c>
      <c r="L49" s="6">
        <f t="shared" ref="L49:L56" si="59">IF(AND(I49=0,K49=0,H49=0,J49=0),0,$B$31)</f>
        <v>0</v>
      </c>
      <c r="M49" s="6">
        <f t="shared" ref="M49:M56" si="60">IF(AND(I49=0,K49=0,H49=0,J49=0),0,$B$31)</f>
        <v>0</v>
      </c>
      <c r="N49" s="10">
        <f t="shared" ref="N49:N56" si="61">(1/6)*(K49-I49)*((L49*((2*H49)+J49))+(M49*(H49+(2*J49))))</f>
        <v>0</v>
      </c>
      <c r="O49" s="10">
        <f t="shared" ref="O49:O56" si="62">((1/12)*(K49-I49)*(L49*H49*((3*I49)+K49)+L49*J49*(I49+K49)+M49*H49*(I49+K49)+M49*J49*(I49+(3*K49))))</f>
        <v>0</v>
      </c>
      <c r="P49" s="10">
        <f t="shared" ref="P49:P56" si="63">((-1/24)*(K49-I49)*(H49*H49*((3*L49)+M49)+2*H49*J49*(L49+M49)+J49*J49*(L49+(3*M49))))</f>
        <v>0</v>
      </c>
      <c r="S49" t="e">
        <f t="shared" ref="S49:S56" si="64">IF(AND(I49=0,K49=0,H49=0,J49=0),NA(),H49)</f>
        <v>#N/A</v>
      </c>
      <c r="T49" t="e">
        <f t="shared" ref="T49:T56" si="65">IF(AND(I49=0,K49=0,H49=0,J49=0),NA(),I49)</f>
        <v>#N/A</v>
      </c>
      <c r="V49" t="e">
        <f t="shared" ref="V49:V56" si="66">IF(AND(I49=0,K49=0,H49=0,J49=0),NA(),J49)</f>
        <v>#N/A</v>
      </c>
      <c r="W49" t="e">
        <f t="shared" ref="W49:W56" si="67">IF(AND(I49=0,K49=0,H49=0,J49=0),NA(),K49)</f>
        <v>#N/A</v>
      </c>
      <c r="AC49">
        <v>0</v>
      </c>
      <c r="AD49">
        <f>-PI()</f>
        <v>-3.1415926535897931</v>
      </c>
      <c r="BC49">
        <v>0.82030474843733558</v>
      </c>
      <c r="BD49">
        <v>211.73212686336805</v>
      </c>
      <c r="BE49">
        <v>-1.639216946612126</v>
      </c>
      <c r="BF49" s="6">
        <f t="shared" si="44"/>
        <v>6.2754435240981534</v>
      </c>
      <c r="BG49" s="6">
        <f t="shared" si="45"/>
        <v>5.4551387756608181</v>
      </c>
      <c r="BH49" s="6">
        <f t="shared" si="2"/>
        <v>0.47138939208223918</v>
      </c>
      <c r="BI49" s="6">
        <f t="shared" si="3"/>
        <v>0.47138939208223918</v>
      </c>
      <c r="BJ49">
        <v>284.84462410280867</v>
      </c>
      <c r="BK49">
        <v>-2.205249349249641</v>
      </c>
      <c r="BV49" s="38"/>
      <c r="BW49" s="6">
        <f t="shared" si="18"/>
        <v>0.59341194567807243</v>
      </c>
      <c r="BX49" s="9">
        <f t="shared" ca="1" si="27"/>
        <v>-246.95278909262444</v>
      </c>
      <c r="BY49" s="9">
        <f t="shared" ca="1" si="28"/>
        <v>12.851538915988201</v>
      </c>
      <c r="BZ49">
        <f t="shared" ca="1" si="29"/>
        <v>247.2869630472569</v>
      </c>
      <c r="CA49" s="6">
        <f t="shared" ca="1" si="30"/>
        <v>-0.99864863901228551</v>
      </c>
      <c r="CB49" s="6">
        <f t="shared" ca="1" si="31"/>
        <v>5.1970143341249463E-2</v>
      </c>
      <c r="CC49" s="6">
        <f t="shared" ca="1" si="32"/>
        <v>3.0895990874455772</v>
      </c>
      <c r="CD49" s="6">
        <f t="shared" ca="1" si="33"/>
        <v>146.95278909262444</v>
      </c>
      <c r="CE49" s="9">
        <f t="shared" ca="1" si="34"/>
        <v>-62.851538915988201</v>
      </c>
      <c r="CF49">
        <f t="shared" ca="1" si="35"/>
        <v>159.82940332182105</v>
      </c>
      <c r="CG49" s="6">
        <f t="shared" ca="1" si="36"/>
        <v>0.91943526058675717</v>
      </c>
      <c r="CH49" s="6">
        <f t="shared" ca="1" si="37"/>
        <v>-0.39324140370739447</v>
      </c>
      <c r="CI49" s="6">
        <f t="shared" ca="1" si="38"/>
        <v>-0.40415437509393909</v>
      </c>
      <c r="CJ49" s="1">
        <f t="shared" ca="1" si="39"/>
        <v>0.86780198409474518</v>
      </c>
      <c r="CK49" s="38"/>
    </row>
    <row r="50" spans="1:89" x14ac:dyDescent="0.25">
      <c r="A50" t="s">
        <v>44</v>
      </c>
      <c r="B50" s="6">
        <f t="shared" ref="B50:C56" si="68">D49</f>
        <v>-9.3337414217966543</v>
      </c>
      <c r="C50" s="6">
        <f t="shared" si="68"/>
        <v>-9.6374929868216945</v>
      </c>
      <c r="D50" s="6">
        <f t="shared" si="52"/>
        <v>5.7622456877580142</v>
      </c>
      <c r="E50" s="6">
        <f t="shared" si="52"/>
        <v>-4.3354958925034355</v>
      </c>
      <c r="F50" s="6">
        <f t="shared" si="53"/>
        <v>0.35121897334971081</v>
      </c>
      <c r="G50" s="6">
        <f t="shared" si="54"/>
        <v>-6.359305907146604</v>
      </c>
      <c r="H50" s="6">
        <f t="shared" si="55"/>
        <v>0</v>
      </c>
      <c r="I50" s="6">
        <f t="shared" si="56"/>
        <v>0</v>
      </c>
      <c r="J50" s="6">
        <f t="shared" si="57"/>
        <v>0</v>
      </c>
      <c r="K50" s="6">
        <f t="shared" si="58"/>
        <v>0</v>
      </c>
      <c r="L50" s="6">
        <f t="shared" si="59"/>
        <v>0</v>
      </c>
      <c r="M50" s="6">
        <f t="shared" si="60"/>
        <v>0</v>
      </c>
      <c r="N50" s="10">
        <f t="shared" si="61"/>
        <v>0</v>
      </c>
      <c r="O50" s="10">
        <f t="shared" si="62"/>
        <v>0</v>
      </c>
      <c r="P50" s="10">
        <f t="shared" si="63"/>
        <v>0</v>
      </c>
      <c r="S50" t="e">
        <f t="shared" si="64"/>
        <v>#N/A</v>
      </c>
      <c r="T50" t="e">
        <f t="shared" si="65"/>
        <v>#N/A</v>
      </c>
      <c r="V50" t="e">
        <f t="shared" si="66"/>
        <v>#N/A</v>
      </c>
      <c r="W50" t="e">
        <f t="shared" si="67"/>
        <v>#N/A</v>
      </c>
      <c r="AC50">
        <f>2*PI()</f>
        <v>6.2831853071795862</v>
      </c>
      <c r="AD50">
        <f>AD49</f>
        <v>-3.1415926535897931</v>
      </c>
      <c r="BC50">
        <v>0.8377580409572789</v>
      </c>
      <c r="BD50">
        <v>209.25793684114475</v>
      </c>
      <c r="BE50">
        <v>-0.89705526670338465</v>
      </c>
      <c r="BF50" s="6">
        <f t="shared" si="44"/>
        <v>6.2788984935693355</v>
      </c>
      <c r="BG50" s="6">
        <f t="shared" si="45"/>
        <v>5.441140452612057</v>
      </c>
      <c r="BH50" s="6">
        <f t="shared" si="2"/>
        <v>0.46793442261105711</v>
      </c>
      <c r="BI50" s="6">
        <f t="shared" si="3"/>
        <v>0.46793442261105711</v>
      </c>
      <c r="BJ50">
        <v>283.83743696506565</v>
      </c>
      <c r="BK50">
        <v>-1.2167656412974754</v>
      </c>
      <c r="BV50" s="38"/>
      <c r="BW50" s="6">
        <f t="shared" si="18"/>
        <v>0.61086523819801575</v>
      </c>
      <c r="BX50" s="9">
        <f t="shared" ca="1" si="27"/>
        <v>-244.02284740959951</v>
      </c>
      <c r="BY50" s="9">
        <f t="shared" ca="1" si="28"/>
        <v>11.898428124033236</v>
      </c>
      <c r="BZ50">
        <f t="shared" ca="1" si="29"/>
        <v>244.31275580638737</v>
      </c>
      <c r="CA50" s="6">
        <f t="shared" ca="1" si="30"/>
        <v>-0.99881337183631291</v>
      </c>
      <c r="CB50" s="6">
        <f t="shared" ca="1" si="31"/>
        <v>4.8701624623572602E-2</v>
      </c>
      <c r="CC50" s="6">
        <f t="shared" ca="1" si="32"/>
        <v>3.092871756244957</v>
      </c>
      <c r="CD50" s="6">
        <f t="shared" ca="1" si="33"/>
        <v>144.02284740959951</v>
      </c>
      <c r="CE50" s="9">
        <f t="shared" ca="1" si="34"/>
        <v>-61.898428124033238</v>
      </c>
      <c r="CF50">
        <f t="shared" ca="1" si="35"/>
        <v>156.76095170735246</v>
      </c>
      <c r="CG50" s="6">
        <f t="shared" ca="1" si="36"/>
        <v>0.91874185402029873</v>
      </c>
      <c r="CH50" s="6">
        <f t="shared" ca="1" si="37"/>
        <v>-0.39485871608886164</v>
      </c>
      <c r="CI50" s="6">
        <f t="shared" ca="1" si="38"/>
        <v>-0.40591406620452847</v>
      </c>
      <c r="CJ50" s="1">
        <f t="shared" ca="1" si="39"/>
        <v>0.86956167520533456</v>
      </c>
      <c r="CK50" s="38"/>
    </row>
    <row r="51" spans="1:89" x14ac:dyDescent="0.25">
      <c r="A51" t="s">
        <v>45</v>
      </c>
      <c r="B51" s="6">
        <f t="shared" si="68"/>
        <v>5.7622456877580142</v>
      </c>
      <c r="C51" s="6">
        <f t="shared" si="68"/>
        <v>-4.3354958925034355</v>
      </c>
      <c r="D51" s="6">
        <f t="shared" si="52"/>
        <v>5.7622456877580142</v>
      </c>
      <c r="E51" s="6">
        <f t="shared" si="52"/>
        <v>-4.3354958925034355</v>
      </c>
      <c r="F51" s="6" t="str">
        <f t="shared" si="53"/>
        <v>V</v>
      </c>
      <c r="G51" s="6">
        <f t="shared" si="54"/>
        <v>0</v>
      </c>
      <c r="H51" s="6">
        <f t="shared" si="55"/>
        <v>0</v>
      </c>
      <c r="I51" s="6">
        <f t="shared" si="56"/>
        <v>0</v>
      </c>
      <c r="J51" s="6">
        <f t="shared" si="57"/>
        <v>0</v>
      </c>
      <c r="K51" s="6">
        <f t="shared" si="58"/>
        <v>0</v>
      </c>
      <c r="L51" s="6">
        <f t="shared" si="59"/>
        <v>0</v>
      </c>
      <c r="M51" s="6">
        <f t="shared" si="60"/>
        <v>0</v>
      </c>
      <c r="N51" s="10">
        <f t="shared" si="61"/>
        <v>0</v>
      </c>
      <c r="O51" s="10">
        <f t="shared" si="62"/>
        <v>0</v>
      </c>
      <c r="P51" s="10">
        <f t="shared" si="63"/>
        <v>0</v>
      </c>
      <c r="S51" t="e">
        <f t="shared" si="64"/>
        <v>#N/A</v>
      </c>
      <c r="T51" t="e">
        <f t="shared" si="65"/>
        <v>#N/A</v>
      </c>
      <c r="V51" t="e">
        <f t="shared" si="66"/>
        <v>#N/A</v>
      </c>
      <c r="W51" t="e">
        <f t="shared" si="67"/>
        <v>#N/A</v>
      </c>
      <c r="AC51">
        <f>AC50</f>
        <v>6.2831853071795862</v>
      </c>
      <c r="AD51">
        <f>-1*AD50</f>
        <v>3.1415926535897931</v>
      </c>
      <c r="BC51">
        <v>0.85521133347722222</v>
      </c>
      <c r="BD51">
        <v>206.25110789920936</v>
      </c>
      <c r="BE51">
        <v>3.6777124900147446E-3</v>
      </c>
      <c r="BF51" s="6">
        <f t="shared" si="44"/>
        <v>1.7831237500174721E-5</v>
      </c>
      <c r="BG51" s="6">
        <f t="shared" si="45"/>
        <v>0.85519350223972201</v>
      </c>
      <c r="BH51" s="6">
        <f t="shared" si="2"/>
        <v>0.46362977776330588</v>
      </c>
      <c r="BI51" s="6">
        <f t="shared" si="3"/>
        <v>0.46362977776330588</v>
      </c>
      <c r="BJ51">
        <v>281.52059120905079</v>
      </c>
      <c r="BK51">
        <v>5.0198605235702107E-3</v>
      </c>
      <c r="BV51" s="38"/>
      <c r="BW51" s="6">
        <f t="shared" si="18"/>
        <v>0.62831853071795907</v>
      </c>
      <c r="BX51" s="9">
        <f t="shared" ca="1" si="27"/>
        <v>-241.1360549819268</v>
      </c>
      <c r="BY51" s="9">
        <f t="shared" ca="1" si="28"/>
        <v>10.960659090722094</v>
      </c>
      <c r="BZ51">
        <f t="shared" ca="1" si="29"/>
        <v>241.38503072881272</v>
      </c>
      <c r="CA51" s="6">
        <f t="shared" ca="1" si="30"/>
        <v>-0.9989685534925915</v>
      </c>
      <c r="CB51" s="6">
        <f t="shared" ca="1" si="31"/>
        <v>4.5407368707283242E-2</v>
      </c>
      <c r="CC51" s="6">
        <f t="shared" ca="1" si="32"/>
        <v>3.0961696666812966</v>
      </c>
      <c r="CD51" s="6">
        <f t="shared" ca="1" si="33"/>
        <v>141.1360549819268</v>
      </c>
      <c r="CE51" s="9">
        <f t="shared" ca="1" si="34"/>
        <v>-60.960659090722096</v>
      </c>
      <c r="CF51">
        <f t="shared" ca="1" si="35"/>
        <v>153.73870030879246</v>
      </c>
      <c r="CG51" s="6">
        <f t="shared" ca="1" si="36"/>
        <v>0.91802555048564505</v>
      </c>
      <c r="CH51" s="6">
        <f t="shared" ca="1" si="37"/>
        <v>-0.39652123354938823</v>
      </c>
      <c r="CI51" s="6">
        <f t="shared" ca="1" si="38"/>
        <v>-0.40772433026129967</v>
      </c>
      <c r="CJ51" s="1">
        <f t="shared" ca="1" si="39"/>
        <v>0.87137193926210577</v>
      </c>
      <c r="CK51" s="38"/>
    </row>
    <row r="52" spans="1:89" x14ac:dyDescent="0.25">
      <c r="A52" t="s">
        <v>46</v>
      </c>
      <c r="B52" s="6">
        <f t="shared" si="68"/>
        <v>5.7622456877580142</v>
      </c>
      <c r="C52" s="6">
        <f t="shared" si="68"/>
        <v>-4.3354958925034355</v>
      </c>
      <c r="D52" s="6">
        <f t="shared" si="52"/>
        <v>13.310239242535348</v>
      </c>
      <c r="E52" s="6">
        <f t="shared" si="52"/>
        <v>-1.6844973453443064</v>
      </c>
      <c r="F52" s="6">
        <f t="shared" si="53"/>
        <v>0.35121897334971081</v>
      </c>
      <c r="G52" s="6">
        <f t="shared" si="54"/>
        <v>-6.359305907146604</v>
      </c>
      <c r="H52" s="6">
        <f t="shared" si="55"/>
        <v>0</v>
      </c>
      <c r="I52" s="6">
        <f t="shared" si="56"/>
        <v>0</v>
      </c>
      <c r="J52" s="6">
        <f t="shared" si="57"/>
        <v>0</v>
      </c>
      <c r="K52" s="6">
        <f t="shared" si="58"/>
        <v>0</v>
      </c>
      <c r="L52" s="6">
        <f t="shared" si="59"/>
        <v>0</v>
      </c>
      <c r="M52" s="6">
        <f t="shared" si="60"/>
        <v>0</v>
      </c>
      <c r="N52" s="10">
        <f t="shared" si="61"/>
        <v>0</v>
      </c>
      <c r="O52" s="10">
        <f t="shared" si="62"/>
        <v>0</v>
      </c>
      <c r="P52" s="10">
        <f t="shared" si="63"/>
        <v>0</v>
      </c>
      <c r="S52" t="e">
        <f t="shared" si="64"/>
        <v>#N/A</v>
      </c>
      <c r="T52" t="e">
        <f t="shared" si="65"/>
        <v>#N/A</v>
      </c>
      <c r="V52" t="e">
        <f t="shared" si="66"/>
        <v>#N/A</v>
      </c>
      <c r="W52" t="e">
        <f t="shared" si="67"/>
        <v>#N/A</v>
      </c>
      <c r="AC52">
        <f>0</f>
        <v>0</v>
      </c>
      <c r="AD52">
        <f>AD51</f>
        <v>3.1415926535897931</v>
      </c>
      <c r="BC52">
        <v>0.87266462599716554</v>
      </c>
      <c r="BD52">
        <v>203.17837561163131</v>
      </c>
      <c r="BE52">
        <v>0.90783104695919159</v>
      </c>
      <c r="BF52" s="6">
        <f t="shared" si="44"/>
        <v>4.4681182378829253E-3</v>
      </c>
      <c r="BG52" s="6">
        <f t="shared" si="45"/>
        <v>0.86819650775928259</v>
      </c>
      <c r="BH52" s="6">
        <f t="shared" si="2"/>
        <v>0.45917949076292319</v>
      </c>
      <c r="BI52" s="6">
        <f t="shared" si="3"/>
        <v>0.45917949076292319</v>
      </c>
      <c r="BJ52">
        <v>278.94188873489429</v>
      </c>
      <c r="BK52">
        <v>1.2463536344783961</v>
      </c>
      <c r="BV52" s="38"/>
      <c r="BW52" s="6">
        <f t="shared" si="18"/>
        <v>0.64577182323790239</v>
      </c>
      <c r="BX52" s="9">
        <f t="shared" ca="1" si="27"/>
        <v>-238.29003737779959</v>
      </c>
      <c r="BY52" s="9">
        <f t="shared" ca="1" si="28"/>
        <v>10.037835111782028</v>
      </c>
      <c r="BZ52">
        <f t="shared" ca="1" si="29"/>
        <v>238.50136277858971</v>
      </c>
      <c r="CA52" s="6">
        <f t="shared" ca="1" si="30"/>
        <v>-0.99911394468221004</v>
      </c>
      <c r="CB52" s="6">
        <f t="shared" ca="1" si="31"/>
        <v>4.2087118475295879E-2</v>
      </c>
      <c r="CC52" s="6">
        <f t="shared" ca="1" si="32"/>
        <v>3.0994931002021322</v>
      </c>
      <c r="CD52" s="6">
        <f t="shared" ca="1" si="33"/>
        <v>138.29003737779959</v>
      </c>
      <c r="CE52" s="9">
        <f t="shared" ca="1" si="34"/>
        <v>-60.03783511178203</v>
      </c>
      <c r="CF52">
        <f t="shared" ca="1" si="35"/>
        <v>150.76032662097393</v>
      </c>
      <c r="CG52" s="6">
        <f t="shared" ca="1" si="36"/>
        <v>0.91728401282569616</v>
      </c>
      <c r="CH52" s="6">
        <f t="shared" ca="1" si="37"/>
        <v>-0.3982336497765952</v>
      </c>
      <c r="CI52" s="6">
        <f t="shared" ca="1" si="38"/>
        <v>-0.40959040862161267</v>
      </c>
      <c r="CJ52" s="1">
        <f t="shared" ca="1" si="39"/>
        <v>0.87323801762241882</v>
      </c>
      <c r="CK52" s="38"/>
    </row>
    <row r="53" spans="1:89" x14ac:dyDescent="0.25">
      <c r="A53" t="s">
        <v>47</v>
      </c>
      <c r="B53" s="6">
        <f t="shared" si="68"/>
        <v>13.310239242535348</v>
      </c>
      <c r="C53" s="6">
        <f t="shared" si="68"/>
        <v>-1.6844973453443064</v>
      </c>
      <c r="D53" s="6">
        <f t="shared" si="52"/>
        <v>9.3337414217966543</v>
      </c>
      <c r="E53" s="6">
        <f t="shared" si="52"/>
        <v>9.6374929868216945</v>
      </c>
      <c r="F53" s="6">
        <f t="shared" si="53"/>
        <v>-2.8472265904732152</v>
      </c>
      <c r="G53" s="6">
        <f t="shared" si="54"/>
        <v>36.212769751562405</v>
      </c>
      <c r="H53" s="6">
        <f t="shared" si="55"/>
        <v>10.839508759039475</v>
      </c>
      <c r="I53" s="6">
        <f t="shared" si="56"/>
        <v>5.3502321851578882</v>
      </c>
      <c r="J53" s="6">
        <f t="shared" si="57"/>
        <v>9.3337414217966543</v>
      </c>
      <c r="K53" s="6">
        <f t="shared" si="58"/>
        <v>9.6374929868216945</v>
      </c>
      <c r="L53" s="6">
        <f t="shared" si="59"/>
        <v>4.25</v>
      </c>
      <c r="M53" s="6">
        <f t="shared" si="60"/>
        <v>4.25</v>
      </c>
      <c r="N53" s="10">
        <f t="shared" si="61"/>
        <v>183.78696757771903</v>
      </c>
      <c r="O53" s="10">
        <f t="shared" si="62"/>
        <v>1367.4720394219883</v>
      </c>
      <c r="P53" s="10">
        <f t="shared" si="63"/>
        <v>-928.61648568843702</v>
      </c>
      <c r="S53">
        <f t="shared" si="64"/>
        <v>10.839508759039475</v>
      </c>
      <c r="T53">
        <f t="shared" si="65"/>
        <v>5.3502321851578882</v>
      </c>
      <c r="V53">
        <f t="shared" si="66"/>
        <v>9.3337414217966543</v>
      </c>
      <c r="W53">
        <f t="shared" si="67"/>
        <v>9.6374929868216945</v>
      </c>
      <c r="AC53">
        <f>AC49</f>
        <v>0</v>
      </c>
      <c r="AD53">
        <f>AD49</f>
        <v>-3.1415926535897931</v>
      </c>
      <c r="BC53">
        <v>0.89011791851710886</v>
      </c>
      <c r="BD53">
        <v>200.15712693563364</v>
      </c>
      <c r="BE53">
        <v>1.7784272838118187</v>
      </c>
      <c r="BF53" s="6">
        <f t="shared" si="44"/>
        <v>8.8849221276842399E-3</v>
      </c>
      <c r="BG53" s="6">
        <f t="shared" si="45"/>
        <v>0.88123299638942465</v>
      </c>
      <c r="BH53" s="6">
        <f t="shared" si="2"/>
        <v>0.45476268687312188</v>
      </c>
      <c r="BI53" s="6">
        <f t="shared" si="3"/>
        <v>0.45476268687312188</v>
      </c>
      <c r="BJ53">
        <v>276.37268810162828</v>
      </c>
      <c r="BK53">
        <v>2.4556144292499198</v>
      </c>
      <c r="BV53" s="38"/>
      <c r="BW53" s="6">
        <f t="shared" si="18"/>
        <v>0.66322511575784571</v>
      </c>
      <c r="BX53" s="9">
        <f t="shared" ca="1" si="27"/>
        <v>-235.48263416907909</v>
      </c>
      <c r="BY53" s="9">
        <f t="shared" ca="1" si="28"/>
        <v>9.1296636065237387</v>
      </c>
      <c r="BZ53">
        <f t="shared" ca="1" si="29"/>
        <v>235.65954627974784</v>
      </c>
      <c r="CA53" s="6">
        <f t="shared" ca="1" si="30"/>
        <v>-0.99924928943697977</v>
      </c>
      <c r="CB53" s="6">
        <f t="shared" ca="1" si="31"/>
        <v>3.8740902928184606E-2</v>
      </c>
      <c r="CC53" s="6">
        <f t="shared" ca="1" si="32"/>
        <v>3.1028420533479126</v>
      </c>
      <c r="CD53" s="6">
        <f t="shared" ca="1" si="33"/>
        <v>135.48263416907909</v>
      </c>
      <c r="CE53" s="9">
        <f t="shared" ca="1" si="34"/>
        <v>-59.129663606523735</v>
      </c>
      <c r="CF53">
        <f t="shared" ca="1" si="35"/>
        <v>147.82375072907999</v>
      </c>
      <c r="CG53" s="6">
        <f t="shared" ca="1" si="36"/>
        <v>0.91651465681845168</v>
      </c>
      <c r="CH53" s="6">
        <f t="shared" ca="1" si="37"/>
        <v>-0.40000110479466888</v>
      </c>
      <c r="CI53" s="6">
        <f t="shared" ca="1" si="38"/>
        <v>-0.41151805149761406</v>
      </c>
      <c r="CJ53" s="1">
        <f t="shared" ca="1" si="39"/>
        <v>0.87516566049842015</v>
      </c>
      <c r="CK53" s="38"/>
    </row>
    <row r="54" spans="1:89" x14ac:dyDescent="0.25">
      <c r="A54" t="s">
        <v>48</v>
      </c>
      <c r="B54" s="6">
        <f t="shared" si="68"/>
        <v>9.3337414217966543</v>
      </c>
      <c r="C54" s="6">
        <f t="shared" si="68"/>
        <v>9.6374929868216945</v>
      </c>
      <c r="D54" s="6">
        <f t="shared" si="52"/>
        <v>1.7857478670193201</v>
      </c>
      <c r="E54" s="6">
        <f t="shared" si="52"/>
        <v>6.9864944396625654</v>
      </c>
      <c r="F54" s="6">
        <f t="shared" si="53"/>
        <v>0.35121897334971075</v>
      </c>
      <c r="G54" s="6">
        <f t="shared" si="54"/>
        <v>6.359305907146604</v>
      </c>
      <c r="H54" s="6">
        <f t="shared" si="55"/>
        <v>9.3337414217966543</v>
      </c>
      <c r="I54" s="6">
        <f t="shared" si="56"/>
        <v>9.6374929868216945</v>
      </c>
      <c r="J54" s="6">
        <f t="shared" si="57"/>
        <v>1.7857478670193201</v>
      </c>
      <c r="K54" s="6">
        <f t="shared" si="58"/>
        <v>6.9864944396625654</v>
      </c>
      <c r="L54" s="6">
        <f t="shared" si="59"/>
        <v>4.25</v>
      </c>
      <c r="M54" s="6">
        <f t="shared" si="60"/>
        <v>4.25</v>
      </c>
      <c r="N54" s="10">
        <f t="shared" si="61"/>
        <v>-62.640218643330613</v>
      </c>
      <c r="O54" s="10">
        <f t="shared" si="62"/>
        <v>-539.45213594856375</v>
      </c>
      <c r="P54" s="10">
        <f t="shared" si="63"/>
        <v>200.87727915054666</v>
      </c>
      <c r="S54">
        <f t="shared" si="64"/>
        <v>9.3337414217966543</v>
      </c>
      <c r="T54">
        <f t="shared" si="65"/>
        <v>9.6374929868216945</v>
      </c>
      <c r="V54">
        <f t="shared" si="66"/>
        <v>1.7857478670193201</v>
      </c>
      <c r="W54">
        <f t="shared" si="67"/>
        <v>6.9864944396625654</v>
      </c>
      <c r="BC54">
        <v>0.90757121103705218</v>
      </c>
      <c r="BD54">
        <v>197.18320176117655</v>
      </c>
      <c r="BE54">
        <v>2.6176878842456337</v>
      </c>
      <c r="BF54" s="6">
        <f t="shared" si="44"/>
        <v>1.3274630393097495E-2</v>
      </c>
      <c r="BG54" s="6">
        <f t="shared" si="45"/>
        <v>0.89429658064395467</v>
      </c>
      <c r="BH54" s="6">
        <f t="shared" si="2"/>
        <v>0.45037297860770864</v>
      </c>
      <c r="BI54" s="6">
        <f t="shared" si="3"/>
        <v>0.45037297860770864</v>
      </c>
      <c r="BJ54">
        <v>273.8095773364671</v>
      </c>
      <c r="BK54">
        <v>3.6349344507155097</v>
      </c>
      <c r="BV54" s="38"/>
      <c r="BW54" s="6">
        <f t="shared" si="18"/>
        <v>0.68067840827778903</v>
      </c>
      <c r="BX54" s="9">
        <f t="shared" ca="1" si="27"/>
        <v>-232.71191162017482</v>
      </c>
      <c r="BY54" s="9">
        <f t="shared" ca="1" si="28"/>
        <v>8.2359668637982448</v>
      </c>
      <c r="BZ54">
        <f t="shared" ca="1" si="29"/>
        <v>232.85760661850333</v>
      </c>
      <c r="CA54" s="6">
        <f t="shared" ca="1" si="30"/>
        <v>-0.99937431720421654</v>
      </c>
      <c r="CB54" s="6">
        <f t="shared" ca="1" si="31"/>
        <v>3.5369112409076003E-2</v>
      </c>
      <c r="CC54" s="6">
        <f t="shared" ca="1" si="32"/>
        <v>3.1062161627190079</v>
      </c>
      <c r="CD54" s="6">
        <f t="shared" ca="1" si="33"/>
        <v>132.71191162017482</v>
      </c>
      <c r="CE54" s="9">
        <f t="shared" ca="1" si="34"/>
        <v>-58.235966863798247</v>
      </c>
      <c r="CF54">
        <f t="shared" ca="1" si="35"/>
        <v>144.92715177785871</v>
      </c>
      <c r="CG54" s="6">
        <f t="shared" ca="1" si="36"/>
        <v>0.91571461932538933</v>
      </c>
      <c r="CH54" s="6">
        <f t="shared" ca="1" si="37"/>
        <v>-0.40182923730579562</v>
      </c>
      <c r="CI54" s="6">
        <f t="shared" ca="1" si="38"/>
        <v>-0.41351357894417812</v>
      </c>
      <c r="CJ54" s="1">
        <f t="shared" ca="1" si="39"/>
        <v>0.8771611879449841</v>
      </c>
      <c r="CK54" s="38"/>
    </row>
    <row r="55" spans="1:89" x14ac:dyDescent="0.25">
      <c r="A55" t="s">
        <v>93</v>
      </c>
      <c r="B55" s="6">
        <f t="shared" si="68"/>
        <v>1.7857478670193201</v>
      </c>
      <c r="C55" s="6">
        <f t="shared" si="68"/>
        <v>6.9864944396625654</v>
      </c>
      <c r="D55" s="6">
        <f t="shared" si="52"/>
        <v>1.7857478670193201</v>
      </c>
      <c r="E55" s="6">
        <f t="shared" si="52"/>
        <v>6.9864944396625654</v>
      </c>
      <c r="F55" s="6" t="str">
        <f t="shared" si="53"/>
        <v>V</v>
      </c>
      <c r="G55" s="6">
        <f t="shared" si="54"/>
        <v>0</v>
      </c>
      <c r="H55" s="6">
        <f t="shared" si="55"/>
        <v>1.7857478670193201</v>
      </c>
      <c r="I55" s="6">
        <f t="shared" si="56"/>
        <v>6.9864944396625654</v>
      </c>
      <c r="J55" s="6">
        <f t="shared" si="57"/>
        <v>1.7857478670193201</v>
      </c>
      <c r="K55" s="6">
        <f t="shared" si="58"/>
        <v>6.9864944396625654</v>
      </c>
      <c r="L55" s="6">
        <f t="shared" si="59"/>
        <v>4.25</v>
      </c>
      <c r="M55" s="6">
        <f t="shared" si="60"/>
        <v>4.25</v>
      </c>
      <c r="N55" s="10">
        <f t="shared" si="61"/>
        <v>0</v>
      </c>
      <c r="O55" s="10">
        <f t="shared" si="62"/>
        <v>0</v>
      </c>
      <c r="P55" s="10">
        <f t="shared" si="63"/>
        <v>0</v>
      </c>
      <c r="S55">
        <f t="shared" si="64"/>
        <v>1.7857478670193201</v>
      </c>
      <c r="T55">
        <f t="shared" si="65"/>
        <v>6.9864944396625654</v>
      </c>
      <c r="V55">
        <f t="shared" si="66"/>
        <v>1.7857478670193201</v>
      </c>
      <c r="W55">
        <f t="shared" si="67"/>
        <v>6.9864944396625654</v>
      </c>
      <c r="BC55">
        <v>0.9250245035569955</v>
      </c>
      <c r="BD55">
        <v>194.25263622167202</v>
      </c>
      <c r="BE55">
        <v>3.4276680553490655</v>
      </c>
      <c r="BF55" s="6">
        <f t="shared" si="44"/>
        <v>1.7643582303522143E-2</v>
      </c>
      <c r="BG55" s="6">
        <f t="shared" si="45"/>
        <v>0.90738092125347336</v>
      </c>
      <c r="BH55" s="6">
        <f t="shared" si="2"/>
        <v>0.44600402669728395</v>
      </c>
      <c r="BI55" s="6">
        <f t="shared" si="3"/>
        <v>0.44600402669728395</v>
      </c>
      <c r="BJ55">
        <v>271.24913117679876</v>
      </c>
      <c r="BK55">
        <v>4.7863030333081911</v>
      </c>
      <c r="BV55" s="38"/>
      <c r="BW55" s="6">
        <f t="shared" si="18"/>
        <v>0.69813170079773235</v>
      </c>
      <c r="BX55" s="9">
        <f t="shared" ca="1" si="27"/>
        <v>-229.9761809472374</v>
      </c>
      <c r="BY55" s="9">
        <f t="shared" ca="1" si="28"/>
        <v>7.3566957183046915</v>
      </c>
      <c r="BZ55">
        <f t="shared" ca="1" si="29"/>
        <v>230.0938173332091</v>
      </c>
      <c r="CA55" s="6">
        <f t="shared" ca="1" si="30"/>
        <v>-0.99948874599354687</v>
      </c>
      <c r="CB55" s="6">
        <f t="shared" ca="1" si="31"/>
        <v>3.1972591891294207E-2</v>
      </c>
      <c r="CC55" s="6">
        <f t="shared" ca="1" si="32"/>
        <v>3.1096146118787522</v>
      </c>
      <c r="CD55" s="6">
        <f t="shared" ca="1" si="33"/>
        <v>129.9761809472374</v>
      </c>
      <c r="CE55" s="9">
        <f t="shared" ca="1" si="34"/>
        <v>-57.356695718304692</v>
      </c>
      <c r="CF55">
        <f t="shared" ca="1" si="35"/>
        <v>142.0689908366748</v>
      </c>
      <c r="CG55" s="6">
        <f t="shared" ca="1" si="36"/>
        <v>0.91488072225881067</v>
      </c>
      <c r="CH55" s="6">
        <f t="shared" ca="1" si="37"/>
        <v>-0.40372424257059047</v>
      </c>
      <c r="CI55" s="6">
        <f t="shared" ca="1" si="38"/>
        <v>-0.41558394867018661</v>
      </c>
      <c r="CJ55" s="1">
        <f t="shared" ca="1" si="39"/>
        <v>0.87923155767099259</v>
      </c>
      <c r="CK55" s="38"/>
    </row>
    <row r="56" spans="1:89" ht="15.75" thickBot="1" x14ac:dyDescent="0.3">
      <c r="A56" t="s">
        <v>94</v>
      </c>
      <c r="B56" s="6">
        <f t="shared" si="68"/>
        <v>1.7857478670193201</v>
      </c>
      <c r="C56" s="6">
        <f t="shared" si="68"/>
        <v>6.9864944396625654</v>
      </c>
      <c r="D56" s="6">
        <f t="shared" si="52"/>
        <v>-13.310239242535348</v>
      </c>
      <c r="E56" s="6">
        <f t="shared" si="52"/>
        <v>1.6844973453443064</v>
      </c>
      <c r="F56" s="6">
        <f t="shared" si="53"/>
        <v>0.35121897334971086</v>
      </c>
      <c r="G56" s="6">
        <f t="shared" si="54"/>
        <v>6.359305907146604</v>
      </c>
      <c r="H56" s="6">
        <f t="shared" si="55"/>
        <v>1.7857478670193201</v>
      </c>
      <c r="I56" s="6">
        <f t="shared" si="56"/>
        <v>6.9864944396625654</v>
      </c>
      <c r="J56" s="6">
        <f t="shared" si="57"/>
        <v>-2.8730615329940474</v>
      </c>
      <c r="K56" s="6">
        <f t="shared" si="58"/>
        <v>5.3502321851578882</v>
      </c>
      <c r="L56" s="6">
        <f t="shared" si="59"/>
        <v>4.25</v>
      </c>
      <c r="M56" s="6">
        <f t="shared" si="60"/>
        <v>4.25</v>
      </c>
      <c r="N56" s="11">
        <f t="shared" si="61"/>
        <v>3.7806519096882996</v>
      </c>
      <c r="O56" s="11">
        <f t="shared" si="62"/>
        <v>18.902813561526155</v>
      </c>
      <c r="P56" s="11">
        <f t="shared" si="63"/>
        <v>7.3166725755192799</v>
      </c>
      <c r="S56">
        <f t="shared" si="64"/>
        <v>1.7857478670193201</v>
      </c>
      <c r="T56">
        <f t="shared" si="65"/>
        <v>6.9864944396625654</v>
      </c>
      <c r="V56">
        <f t="shared" si="66"/>
        <v>-2.8730615329940474</v>
      </c>
      <c r="W56">
        <f t="shared" si="67"/>
        <v>5.3502321851578882</v>
      </c>
      <c r="BC56">
        <v>0.94247779607693882</v>
      </c>
      <c r="BD56">
        <v>191.36163706388638</v>
      </c>
      <c r="BE56">
        <v>4.210274756792181</v>
      </c>
      <c r="BF56" s="6">
        <f t="shared" si="44"/>
        <v>2.1998116540543115E-2</v>
      </c>
      <c r="BG56" s="6">
        <f t="shared" si="45"/>
        <v>0.92047967953639576</v>
      </c>
      <c r="BH56" s="6">
        <f t="shared" si="2"/>
        <v>0.44164949246026297</v>
      </c>
      <c r="BI56" s="6">
        <f t="shared" si="3"/>
        <v>0.44164949246026297</v>
      </c>
      <c r="BJ56">
        <v>268.68788639563019</v>
      </c>
      <c r="BK56">
        <v>5.911581040507599</v>
      </c>
      <c r="BV56" s="38"/>
      <c r="BW56" s="6">
        <f t="shared" si="18"/>
        <v>0.71558499331767567</v>
      </c>
      <c r="BX56" s="9">
        <f t="shared" ca="1" si="27"/>
        <v>-227.27402354759838</v>
      </c>
      <c r="BY56" s="9">
        <f t="shared" ca="1" si="28"/>
        <v>6.4919468883783971</v>
      </c>
      <c r="BZ56">
        <f t="shared" ca="1" si="29"/>
        <v>227.36672393715801</v>
      </c>
      <c r="CA56" s="6">
        <f t="shared" ca="1" si="30"/>
        <v>-0.99959228691008772</v>
      </c>
      <c r="CB56" s="6">
        <f t="shared" ca="1" si="31"/>
        <v>2.8552757307497244E-2</v>
      </c>
      <c r="CC56" s="6">
        <f t="shared" ca="1" si="32"/>
        <v>3.1130360152050396</v>
      </c>
      <c r="CD56" s="6">
        <f t="shared" ca="1" si="33"/>
        <v>127.27402354759838</v>
      </c>
      <c r="CE56" s="9">
        <f t="shared" ca="1" si="34"/>
        <v>-56.491946888378394</v>
      </c>
      <c r="CF56">
        <f t="shared" ca="1" si="35"/>
        <v>139.24804175726851</v>
      </c>
      <c r="CG56" s="6">
        <f t="shared" ca="1" si="36"/>
        <v>0.91400943195637352</v>
      </c>
      <c r="CH56" s="6">
        <f t="shared" ca="1" si="37"/>
        <v>-0.40569293596855632</v>
      </c>
      <c r="CI56" s="6">
        <f t="shared" ca="1" si="38"/>
        <v>-0.4177368309885004</v>
      </c>
      <c r="CJ56" s="1">
        <f t="shared" ca="1" si="39"/>
        <v>0.8813844399893066</v>
      </c>
      <c r="CK56" s="38"/>
    </row>
    <row r="57" spans="1:89" ht="15.75" thickTop="1" x14ac:dyDescent="0.25">
      <c r="N57" s="6">
        <f>SUM(N49:N56)</f>
        <v>124.92740084407671</v>
      </c>
      <c r="O57" s="6">
        <f>SUM(O49:O56)</f>
        <v>846.92271703495067</v>
      </c>
      <c r="P57" s="6">
        <f>SUM(P49:P56)</f>
        <v>-720.42253396237106</v>
      </c>
      <c r="BC57">
        <v>0.95993108859688214</v>
      </c>
      <c r="BD57">
        <v>188.50655746186439</v>
      </c>
      <c r="BE57">
        <v>4.9672829655103996</v>
      </c>
      <c r="BF57" s="6">
        <f t="shared" si="44"/>
        <v>2.634462066698591E-2</v>
      </c>
      <c r="BG57" s="6">
        <f t="shared" si="45"/>
        <v>0.93358646792989619</v>
      </c>
      <c r="BH57" s="6">
        <f t="shared" si="2"/>
        <v>0.4373029883338202</v>
      </c>
      <c r="BI57" s="6">
        <f t="shared" si="3"/>
        <v>0.4373029883338202</v>
      </c>
      <c r="BJ57">
        <v>266.12231578937764</v>
      </c>
      <c r="BK57">
        <v>7.0125138550163229</v>
      </c>
      <c r="BV57" s="38"/>
      <c r="BW57" s="6">
        <f t="shared" si="18"/>
        <v>0.73303828583761899</v>
      </c>
      <c r="BX57" s="9">
        <f t="shared" ca="1" si="27"/>
        <v>-224.60432504603551</v>
      </c>
      <c r="BY57" s="9">
        <f t="shared" ca="1" si="28"/>
        <v>5.6419849306433232</v>
      </c>
      <c r="BZ57">
        <f t="shared" ca="1" si="29"/>
        <v>224.67517625083281</v>
      </c>
      <c r="CA57" s="6">
        <f t="shared" ca="1" si="30"/>
        <v>-0.99968465049864608</v>
      </c>
      <c r="CB57" s="6">
        <f t="shared" ca="1" si="31"/>
        <v>2.51117414250717E-2</v>
      </c>
      <c r="CC57" s="6">
        <f t="shared" ca="1" si="32"/>
        <v>3.1164782721733317</v>
      </c>
      <c r="CD57" s="6">
        <f t="shared" ca="1" si="33"/>
        <v>124.60432504603551</v>
      </c>
      <c r="CE57" s="9">
        <f t="shared" ca="1" si="34"/>
        <v>-55.641984930643325</v>
      </c>
      <c r="CF57">
        <f t="shared" ca="1" si="35"/>
        <v>136.46343212450731</v>
      </c>
      <c r="CG57" s="6">
        <f t="shared" ca="1" si="36"/>
        <v>0.91309681360167083</v>
      </c>
      <c r="CH57" s="6">
        <f t="shared" ca="1" si="37"/>
        <v>-0.40774282212011465</v>
      </c>
      <c r="CI57" s="6">
        <f t="shared" ca="1" si="38"/>
        <v>-0.41998069096813712</v>
      </c>
      <c r="CJ57" s="1">
        <f t="shared" ca="1" si="39"/>
        <v>0.88362829996894321</v>
      </c>
      <c r="CK57" s="38"/>
    </row>
    <row r="58" spans="1:89" x14ac:dyDescent="0.25">
      <c r="O58" s="6">
        <f>O57/N57</f>
        <v>6.779319119045824</v>
      </c>
      <c r="P58" s="6">
        <f>-1*P57/N57</f>
        <v>5.7667295492806936</v>
      </c>
      <c r="S58">
        <f>(P58*COS(-1*$B$27))+(O58*SIN(-1*$B$27))+$I$2</f>
        <v>1.5146668300832635</v>
      </c>
      <c r="T58">
        <f>(-1*P58*SIN(-1*$B$27))+(O58*COS(-1*$B$27))+$I$3</f>
        <v>19.687400325679157</v>
      </c>
      <c r="BC58">
        <v>0.97738438111682546</v>
      </c>
      <c r="BD58">
        <v>185.54770840975479</v>
      </c>
      <c r="BE58">
        <v>5.7286209807341821</v>
      </c>
      <c r="BF58" s="6">
        <f t="shared" si="44"/>
        <v>3.0864309106911143E-2</v>
      </c>
      <c r="BG58" s="6">
        <f t="shared" si="45"/>
        <v>0.94652007200991428</v>
      </c>
      <c r="BH58" s="6">
        <f t="shared" si="2"/>
        <v>0.43278329989389491</v>
      </c>
      <c r="BI58" s="6">
        <f t="shared" si="3"/>
        <v>0.43278329989389491</v>
      </c>
      <c r="BJ58">
        <v>263.25722195852649</v>
      </c>
      <c r="BK58">
        <v>8.1278333101856024</v>
      </c>
      <c r="BV58" s="38"/>
      <c r="BW58" s="6">
        <f t="shared" si="18"/>
        <v>0.75049157835756231</v>
      </c>
      <c r="BX58" s="9">
        <f t="shared" ca="1" si="27"/>
        <v>-221.96632062498597</v>
      </c>
      <c r="BY58" s="9">
        <f t="shared" ca="1" si="28"/>
        <v>4.8072700685576937</v>
      </c>
      <c r="BZ58">
        <f t="shared" ca="1" si="29"/>
        <v>222.01837162114788</v>
      </c>
      <c r="CA58" s="6">
        <f t="shared" ca="1" si="30"/>
        <v>-0.99976555545479484</v>
      </c>
      <c r="CB58" s="6">
        <f t="shared" ca="1" si="31"/>
        <v>2.165257781802318E-2</v>
      </c>
      <c r="CC58" s="6">
        <f t="shared" ca="1" si="32"/>
        <v>3.1199383835034853</v>
      </c>
      <c r="CD58" s="6">
        <f t="shared" ca="1" si="33"/>
        <v>121.96632062498597</v>
      </c>
      <c r="CE58" s="9">
        <f t="shared" ca="1" si="34"/>
        <v>-54.807270068557692</v>
      </c>
      <c r="CF58">
        <f t="shared" ca="1" si="35"/>
        <v>133.71469709483955</v>
      </c>
      <c r="CG58" s="6">
        <f t="shared" ca="1" si="36"/>
        <v>0.91213848047293677</v>
      </c>
      <c r="CH58" s="6">
        <f t="shared" ca="1" si="37"/>
        <v>-0.40988216897118385</v>
      </c>
      <c r="CI58" s="6">
        <f t="shared" ca="1" si="38"/>
        <v>-0.42232487736244378</v>
      </c>
      <c r="CJ58" s="1">
        <f t="shared" ca="1" si="39"/>
        <v>0.88597248636324988</v>
      </c>
      <c r="CK58" s="38"/>
    </row>
    <row r="59" spans="1:89" x14ac:dyDescent="0.25">
      <c r="A59" t="s">
        <v>54</v>
      </c>
      <c r="O59">
        <f>O57/12</f>
        <v>70.576893086245889</v>
      </c>
      <c r="P59">
        <f>P57/12</f>
        <v>-60.035211163530924</v>
      </c>
      <c r="BC59">
        <v>0.99483767363676878</v>
      </c>
      <c r="BD59">
        <v>182.22147566634828</v>
      </c>
      <c r="BE59">
        <v>6.5462260002557713</v>
      </c>
      <c r="BF59" s="6">
        <f t="shared" si="44"/>
        <v>3.5909115682146796E-2</v>
      </c>
      <c r="BG59" s="6">
        <f t="shared" si="45"/>
        <v>0.95892855795462195</v>
      </c>
      <c r="BH59" s="6">
        <f t="shared" si="2"/>
        <v>0.42773849331865932</v>
      </c>
      <c r="BI59" s="6">
        <f t="shared" si="3"/>
        <v>0.42773849331865932</v>
      </c>
      <c r="BJ59">
        <v>259.52544772174792</v>
      </c>
      <c r="BK59">
        <v>9.3233370402228193</v>
      </c>
      <c r="BV59" s="38"/>
      <c r="BW59" s="6">
        <f t="shared" si="18"/>
        <v>0.76794487087750563</v>
      </c>
      <c r="BX59" s="9">
        <f t="shared" ca="1" si="27"/>
        <v>-219.35965496120622</v>
      </c>
      <c r="BY59" s="9">
        <f t="shared" ca="1" si="28"/>
        <v>3.9884935755285542</v>
      </c>
      <c r="BZ59">
        <f t="shared" ca="1" si="29"/>
        <v>219.39591223562365</v>
      </c>
      <c r="CA59" s="6">
        <f t="shared" ca="1" si="30"/>
        <v>-0.99983474042862519</v>
      </c>
      <c r="CB59" s="6">
        <f t="shared" ca="1" si="31"/>
        <v>1.8179434315280449E-2</v>
      </c>
      <c r="CC59" s="6">
        <f t="shared" ca="1" si="32"/>
        <v>3.123412217766468</v>
      </c>
      <c r="CD59" s="6">
        <f t="shared" ca="1" si="33"/>
        <v>119.35965496120622</v>
      </c>
      <c r="CE59" s="9">
        <f t="shared" ca="1" si="34"/>
        <v>-53.988493575528551</v>
      </c>
      <c r="CF59">
        <f t="shared" ca="1" si="35"/>
        <v>131.00184987630169</v>
      </c>
      <c r="CG59" s="6">
        <f t="shared" ca="1" si="36"/>
        <v>0.91112953804783214</v>
      </c>
      <c r="CH59" s="6">
        <f t="shared" ca="1" si="37"/>
        <v>-0.41212008552938079</v>
      </c>
      <c r="CI59" s="6">
        <f t="shared" ca="1" si="38"/>
        <v>-0.42477971714640589</v>
      </c>
      <c r="CJ59" s="1">
        <f t="shared" ca="1" si="39"/>
        <v>0.88842732614721187</v>
      </c>
      <c r="CK59" s="38"/>
    </row>
    <row r="60" spans="1:89" x14ac:dyDescent="0.25">
      <c r="BC60">
        <v>1.0122909661567121</v>
      </c>
      <c r="BD60">
        <v>178.93400294366535</v>
      </c>
      <c r="BE60">
        <v>7.3345876391175224</v>
      </c>
      <c r="BF60" s="6">
        <f t="shared" si="44"/>
        <v>4.0967528544890067E-2</v>
      </c>
      <c r="BG60" s="6">
        <f t="shared" si="45"/>
        <v>0.97132343761182205</v>
      </c>
      <c r="BH60" s="6">
        <f t="shared" si="2"/>
        <v>0.42268008045591604</v>
      </c>
      <c r="BI60" s="6">
        <f t="shared" si="3"/>
        <v>0.42268008045591604</v>
      </c>
      <c r="BJ60">
        <v>255.79648952537343</v>
      </c>
      <c r="BK60">
        <v>10.485216556593437</v>
      </c>
      <c r="BV60" s="38"/>
      <c r="BW60" s="6">
        <f t="shared" si="18"/>
        <v>0.78539816339744895</v>
      </c>
      <c r="BX60" s="9">
        <f t="shared" ca="1" si="27"/>
        <v>-216.78446130312727</v>
      </c>
      <c r="BY60" s="9">
        <f t="shared" ca="1" si="28"/>
        <v>3.1866229802716299</v>
      </c>
      <c r="BZ60">
        <f t="shared" ca="1" si="29"/>
        <v>216.80788091881135</v>
      </c>
      <c r="CA60" s="6">
        <f t="shared" ca="1" si="30"/>
        <v>-0.99989197986906742</v>
      </c>
      <c r="CB60" s="6">
        <f t="shared" ca="1" si="31"/>
        <v>1.4697911195695574E-2</v>
      </c>
      <c r="CC60" s="6">
        <f t="shared" ca="1" si="32"/>
        <v>3.126894213147799</v>
      </c>
      <c r="CD60" s="6">
        <f t="shared" ca="1" si="33"/>
        <v>116.78446130312727</v>
      </c>
      <c r="CE60" s="9">
        <f t="shared" ca="1" si="34"/>
        <v>-53.186622980271629</v>
      </c>
      <c r="CF60">
        <f t="shared" ca="1" si="35"/>
        <v>128.32547395551356</v>
      </c>
      <c r="CG60" s="6">
        <f t="shared" ca="1" si="36"/>
        <v>0.91006452346018851</v>
      </c>
      <c r="CH60" s="6">
        <f t="shared" ca="1" si="37"/>
        <v>-0.41446660075231651</v>
      </c>
      <c r="CI60" s="6">
        <f t="shared" ca="1" si="38"/>
        <v>-0.42735661323238427</v>
      </c>
      <c r="CJ60" s="1">
        <f t="shared" ca="1" si="39"/>
        <v>0.89100422223319031</v>
      </c>
      <c r="CK60" s="38"/>
    </row>
    <row r="61" spans="1:89" x14ac:dyDescent="0.25">
      <c r="A61">
        <f t="shared" ref="A61:E71" si="69">A14</f>
        <v>0</v>
      </c>
      <c r="B61" s="1" t="str">
        <f t="shared" si="69"/>
        <v>Bar #</v>
      </c>
      <c r="C61" s="1" t="str">
        <f t="shared" si="69"/>
        <v>As (in^2)</v>
      </c>
      <c r="D61" s="1" t="str">
        <f t="shared" si="69"/>
        <v>x</v>
      </c>
      <c r="E61" s="1" t="str">
        <f t="shared" si="69"/>
        <v>y</v>
      </c>
      <c r="F61" s="1" t="s">
        <v>55</v>
      </c>
      <c r="G61" s="1" t="s">
        <v>56</v>
      </c>
      <c r="H61" s="1" t="s">
        <v>21</v>
      </c>
      <c r="I61" s="1" t="s">
        <v>22</v>
      </c>
      <c r="J61" s="1" t="s">
        <v>57</v>
      </c>
      <c r="K61" s="1" t="s">
        <v>58</v>
      </c>
      <c r="L61" s="1" t="s">
        <v>59</v>
      </c>
      <c r="M61" s="1" t="s">
        <v>60</v>
      </c>
      <c r="N61" s="1" t="s">
        <v>61</v>
      </c>
      <c r="O61" s="1" t="s">
        <v>62</v>
      </c>
      <c r="BC61">
        <v>1.0297442586766554</v>
      </c>
      <c r="BD61">
        <v>175.6817283824347</v>
      </c>
      <c r="BE61">
        <v>8.0954190686056755</v>
      </c>
      <c r="BF61" s="6">
        <f t="shared" si="44"/>
        <v>4.6047455122013747E-2</v>
      </c>
      <c r="BG61" s="6">
        <f t="shared" si="45"/>
        <v>0.98369680355464162</v>
      </c>
      <c r="BH61" s="6">
        <f t="shared" si="2"/>
        <v>0.41760015387879235</v>
      </c>
      <c r="BI61" s="6">
        <f t="shared" si="3"/>
        <v>0.41760015387879235</v>
      </c>
      <c r="BJ61">
        <v>252.06601378485644</v>
      </c>
      <c r="BK61">
        <v>11.615209124646638</v>
      </c>
      <c r="BV61" s="38"/>
      <c r="BW61" s="6">
        <f t="shared" si="18"/>
        <v>0.80285145591739226</v>
      </c>
      <c r="BX61" s="9">
        <f t="shared" ca="1" si="27"/>
        <v>-214.24146594535583</v>
      </c>
      <c r="BY61" s="9">
        <f t="shared" ca="1" si="28"/>
        <v>2.4029602037283531</v>
      </c>
      <c r="BZ61">
        <f t="shared" ca="1" si="29"/>
        <v>214.25494147896745</v>
      </c>
      <c r="CA61" s="6">
        <f t="shared" ca="1" si="30"/>
        <v>-0.99993710514437328</v>
      </c>
      <c r="CB61" s="6">
        <f t="shared" ca="1" si="31"/>
        <v>1.1215424891211865E-2</v>
      </c>
      <c r="CC61" s="6">
        <f t="shared" ca="1" si="32"/>
        <v>3.1303769935618226</v>
      </c>
      <c r="CD61" s="6">
        <f t="shared" ca="1" si="33"/>
        <v>114.24146594535583</v>
      </c>
      <c r="CE61" s="9">
        <f t="shared" ca="1" si="34"/>
        <v>-52.402960203728355</v>
      </c>
      <c r="CF61">
        <f t="shared" ca="1" si="35"/>
        <v>125.68684409856678</v>
      </c>
      <c r="CG61" s="6">
        <f t="shared" ca="1" si="36"/>
        <v>0.90893734157064843</v>
      </c>
      <c r="CH61" s="6">
        <f t="shared" ca="1" si="37"/>
        <v>-0.41693273929793828</v>
      </c>
      <c r="CI61" s="6">
        <f t="shared" ca="1" si="38"/>
        <v>-0.43006814100157675</v>
      </c>
      <c r="CJ61" s="1">
        <f t="shared" ca="1" si="39"/>
        <v>0.8937157500023829</v>
      </c>
      <c r="CK61" s="38"/>
    </row>
    <row r="62" spans="1:89" x14ac:dyDescent="0.25">
      <c r="A62">
        <f t="shared" si="69"/>
        <v>1</v>
      </c>
      <c r="B62" s="1">
        <f t="shared" si="69"/>
        <v>0</v>
      </c>
      <c r="C62" s="1">
        <f t="shared" ca="1" si="69"/>
        <v>0</v>
      </c>
      <c r="D62" s="1">
        <f t="shared" si="69"/>
        <v>2</v>
      </c>
      <c r="E62" s="1">
        <f t="shared" si="69"/>
        <v>2</v>
      </c>
      <c r="F62" s="1">
        <f t="shared" ref="F62:F71" si="70">D62-$I$2</f>
        <v>-4</v>
      </c>
      <c r="G62" s="1">
        <f t="shared" ref="G62:G71" si="71">E62-$I$3</f>
        <v>-10</v>
      </c>
      <c r="H62" s="6">
        <f t="shared" ref="H62:H71" si="72">F62*COS($B$27)+G62*SIN($B$27)</f>
        <v>-10.760491217051232</v>
      </c>
      <c r="I62" s="6">
        <f t="shared" ref="I62:I71" si="73">-1*F62*SIN($B$27)+G62*COS($B$27)</f>
        <v>0.4602485934397551</v>
      </c>
      <c r="J62" s="6">
        <f t="shared" ref="J62:J71" si="74">$G$38-I62</f>
        <v>9.1772443933819403</v>
      </c>
      <c r="K62">
        <f t="shared" ref="K62:K71" ca="1" si="75">IF($B$28=0,-1,IF(C62=0,0,(($B$28-J62)/$B$28)*$B$30)*IF($B$28&lt;0,-1,1))</f>
        <v>0</v>
      </c>
      <c r="L62">
        <f t="shared" ref="L62:L71" ca="1" si="76">IF(AND(K62&gt;0,J62&lt;=$B$29),MIN((K62*B$13),B$12)-$B$31,MAX(K62*B$13,-1*B$12))</f>
        <v>0</v>
      </c>
      <c r="M62" s="6">
        <f t="shared" ref="M62:M71" ca="1" si="77">L62*C62</f>
        <v>0</v>
      </c>
      <c r="N62" s="6">
        <f t="shared" ref="N62:N71" ca="1" si="78">M62*I62</f>
        <v>0</v>
      </c>
      <c r="O62" s="6">
        <f t="shared" ref="O62:O71" ca="1" si="79">M62*H62*-1</f>
        <v>0</v>
      </c>
      <c r="Q62" t="e">
        <f t="shared" ref="Q62:Q71" si="80">IF($B62=0,NA(),H62)</f>
        <v>#N/A</v>
      </c>
      <c r="R62" t="e">
        <f t="shared" ref="R62:R71" si="81">IF($B62=0,NA(),I62)</f>
        <v>#N/A</v>
      </c>
      <c r="BC62">
        <v>1.0471975511965987</v>
      </c>
      <c r="BD62">
        <v>172.46120352858588</v>
      </c>
      <c r="BE62">
        <v>8.8303291770665684</v>
      </c>
      <c r="BF62" s="6">
        <f t="shared" si="44"/>
        <v>5.1157155934440694E-2</v>
      </c>
      <c r="BG62" s="6">
        <f t="shared" si="45"/>
        <v>0.99604039526215804</v>
      </c>
      <c r="BH62" s="6">
        <f t="shared" si="2"/>
        <v>0.41249045306636539</v>
      </c>
      <c r="BI62" s="6">
        <f t="shared" si="3"/>
        <v>0.41249045306636539</v>
      </c>
      <c r="BJ62">
        <v>248.32959957419649</v>
      </c>
      <c r="BK62">
        <v>12.714929872826833</v>
      </c>
      <c r="BV62" s="38"/>
      <c r="BW62" s="6">
        <f t="shared" si="18"/>
        <v>0.82030474843733558</v>
      </c>
      <c r="BX62" s="9">
        <f t="shared" ca="1" si="27"/>
        <v>-211.73212686336805</v>
      </c>
      <c r="BY62" s="9">
        <f t="shared" ca="1" si="28"/>
        <v>1.639216946612126</v>
      </c>
      <c r="BZ62">
        <f t="shared" ca="1" si="29"/>
        <v>211.73847212607217</v>
      </c>
      <c r="CA62" s="6">
        <f t="shared" ca="1" si="30"/>
        <v>-0.99997003254703598</v>
      </c>
      <c r="CB62" s="6">
        <f t="shared" ca="1" si="31"/>
        <v>7.7417057474378692E-3</v>
      </c>
      <c r="CC62" s="6">
        <f t="shared" ca="1" si="32"/>
        <v>3.1338508705083608</v>
      </c>
      <c r="CD62" s="6">
        <f t="shared" ca="1" si="33"/>
        <v>111.73212686336805</v>
      </c>
      <c r="CE62" s="9">
        <f t="shared" ca="1" si="34"/>
        <v>-51.639216946612123</v>
      </c>
      <c r="CF62">
        <f t="shared" ca="1" si="35"/>
        <v>123.08808593958656</v>
      </c>
      <c r="CG62" s="6">
        <f t="shared" ca="1" si="36"/>
        <v>0.90774120021825522</v>
      </c>
      <c r="CH62" s="6">
        <f t="shared" ca="1" si="37"/>
        <v>-0.41953058699732654</v>
      </c>
      <c r="CI62" s="6">
        <f t="shared" ca="1" si="38"/>
        <v>-0.43292813617282638</v>
      </c>
      <c r="CJ62" s="1">
        <f t="shared" ca="1" si="39"/>
        <v>0.89657574517363248</v>
      </c>
      <c r="CK62" s="38"/>
    </row>
    <row r="63" spans="1:89" x14ac:dyDescent="0.25">
      <c r="A63">
        <f t="shared" si="69"/>
        <v>2</v>
      </c>
      <c r="B63" s="1">
        <f t="shared" si="69"/>
        <v>0</v>
      </c>
      <c r="C63" s="1">
        <f t="shared" ca="1" si="69"/>
        <v>0</v>
      </c>
      <c r="D63" s="1">
        <f t="shared" si="69"/>
        <v>2</v>
      </c>
      <c r="E63" s="1">
        <f t="shared" si="69"/>
        <v>4</v>
      </c>
      <c r="F63" s="1">
        <f t="shared" si="70"/>
        <v>-4</v>
      </c>
      <c r="G63" s="1">
        <f t="shared" si="71"/>
        <v>-8</v>
      </c>
      <c r="H63" s="6">
        <f t="shared" si="72"/>
        <v>-8.8734928283568983</v>
      </c>
      <c r="I63" s="6">
        <f t="shared" si="73"/>
        <v>1.1229982302295376</v>
      </c>
      <c r="J63" s="6">
        <f t="shared" si="74"/>
        <v>8.5144947565921569</v>
      </c>
      <c r="K63">
        <f t="shared" ca="1" si="75"/>
        <v>0</v>
      </c>
      <c r="L63">
        <f t="shared" ca="1" si="76"/>
        <v>0</v>
      </c>
      <c r="M63" s="6">
        <f t="shared" ca="1" si="77"/>
        <v>0</v>
      </c>
      <c r="N63" s="6">
        <f t="shared" ca="1" si="78"/>
        <v>0</v>
      </c>
      <c r="O63" s="6">
        <f t="shared" ca="1" si="79"/>
        <v>0</v>
      </c>
      <c r="Q63" t="e">
        <f t="shared" si="80"/>
        <v>#N/A</v>
      </c>
      <c r="R63" t="e">
        <f t="shared" si="81"/>
        <v>#N/A</v>
      </c>
      <c r="BC63">
        <v>1.0646508437165421</v>
      </c>
      <c r="BD63">
        <v>169.26907431048778</v>
      </c>
      <c r="BE63">
        <v>9.5408359772693458</v>
      </c>
      <c r="BF63" s="6">
        <f t="shared" si="44"/>
        <v>5.6305332072853584E-2</v>
      </c>
      <c r="BG63" s="6">
        <f t="shared" si="45"/>
        <v>1.0083455116436886</v>
      </c>
      <c r="BH63" s="6">
        <f t="shared" si="2"/>
        <v>0.4073422769279525</v>
      </c>
      <c r="BI63" s="6">
        <f t="shared" si="3"/>
        <v>0.4073422769279525</v>
      </c>
      <c r="BJ63">
        <v>244.58270480627147</v>
      </c>
      <c r="BK63">
        <v>13.785881909847129</v>
      </c>
      <c r="BV63" s="38"/>
      <c r="BW63" s="6">
        <f t="shared" si="18"/>
        <v>0.8377580409572789</v>
      </c>
      <c r="BX63" s="9">
        <f t="shared" ca="1" si="27"/>
        <v>-209.25793684114475</v>
      </c>
      <c r="BY63" s="9">
        <f t="shared" ca="1" si="28"/>
        <v>0.89705526670338465</v>
      </c>
      <c r="BZ63">
        <f t="shared" ca="1" si="29"/>
        <v>209.25985959845249</v>
      </c>
      <c r="CA63" s="6">
        <f t="shared" ca="1" si="30"/>
        <v>-0.99999081162860648</v>
      </c>
      <c r="CB63" s="6">
        <f t="shared" ca="1" si="31"/>
        <v>4.2868004806308228E-3</v>
      </c>
      <c r="CC63" s="6">
        <f t="shared" ca="1" si="32"/>
        <v>3.1373058399795424</v>
      </c>
      <c r="CD63" s="6">
        <f t="shared" ca="1" si="33"/>
        <v>109.25793684114475</v>
      </c>
      <c r="CE63" s="9">
        <f t="shared" ca="1" si="34"/>
        <v>-50.897055266703383</v>
      </c>
      <c r="CF63">
        <f t="shared" ca="1" si="35"/>
        <v>120.53135275771793</v>
      </c>
      <c r="CG63" s="6">
        <f t="shared" ca="1" si="36"/>
        <v>0.90646901691019721</v>
      </c>
      <c r="CH63" s="6">
        <f t="shared" ca="1" si="37"/>
        <v>-0.42227233082675508</v>
      </c>
      <c r="CI63" s="6">
        <f t="shared" ca="1" si="38"/>
        <v>-0.43595065441933306</v>
      </c>
      <c r="CJ63" s="1">
        <f t="shared" ca="1" si="39"/>
        <v>0.89959826342013915</v>
      </c>
      <c r="CK63" s="38"/>
    </row>
    <row r="64" spans="1:89" x14ac:dyDescent="0.25">
      <c r="A64">
        <f t="shared" si="69"/>
        <v>3</v>
      </c>
      <c r="B64" s="1">
        <f t="shared" si="69"/>
        <v>0</v>
      </c>
      <c r="C64" s="1">
        <f t="shared" ca="1" si="69"/>
        <v>0</v>
      </c>
      <c r="D64" s="1">
        <f t="shared" si="69"/>
        <v>4</v>
      </c>
      <c r="E64" s="1">
        <f t="shared" si="69"/>
        <v>2</v>
      </c>
      <c r="F64" s="1">
        <f t="shared" si="70"/>
        <v>-2</v>
      </c>
      <c r="G64" s="1">
        <f t="shared" si="71"/>
        <v>-10</v>
      </c>
      <c r="H64" s="6">
        <f t="shared" si="72"/>
        <v>-10.097741580261449</v>
      </c>
      <c r="I64" s="6">
        <f t="shared" si="73"/>
        <v>-1.4267497952545785</v>
      </c>
      <c r="J64" s="6">
        <f t="shared" si="74"/>
        <v>11.064242782076272</v>
      </c>
      <c r="K64">
        <f t="shared" ca="1" si="75"/>
        <v>0</v>
      </c>
      <c r="L64">
        <f t="shared" ca="1" si="76"/>
        <v>0</v>
      </c>
      <c r="M64" s="6">
        <f t="shared" ca="1" si="77"/>
        <v>0</v>
      </c>
      <c r="N64" s="6">
        <f t="shared" ca="1" si="78"/>
        <v>0</v>
      </c>
      <c r="O64" s="6">
        <f t="shared" ca="1" si="79"/>
        <v>0</v>
      </c>
      <c r="Q64" t="e">
        <f t="shared" si="80"/>
        <v>#N/A</v>
      </c>
      <c r="R64" t="e">
        <f t="shared" si="81"/>
        <v>#N/A</v>
      </c>
      <c r="BC64">
        <v>1.0821041362364854</v>
      </c>
      <c r="BD64">
        <v>166.10206206322704</v>
      </c>
      <c r="BE64">
        <v>10.228379649146277</v>
      </c>
      <c r="BF64" s="6">
        <f t="shared" si="44"/>
        <v>6.1501225965941264E-2</v>
      </c>
      <c r="BG64" s="6">
        <f t="shared" si="45"/>
        <v>1.0206029102705441</v>
      </c>
      <c r="BH64" s="6">
        <f t="shared" si="2"/>
        <v>0.40214638303486488</v>
      </c>
      <c r="BI64" s="6">
        <f t="shared" si="3"/>
        <v>0.40214638303486488</v>
      </c>
      <c r="BJ64">
        <v>240.82062856911085</v>
      </c>
      <c r="BK64">
        <v>14.829465605389563</v>
      </c>
      <c r="BV64" s="38"/>
      <c r="BW64" s="6">
        <f t="shared" si="18"/>
        <v>0.85521133347722222</v>
      </c>
      <c r="BX64" s="9">
        <f t="shared" ca="1" si="27"/>
        <v>-206.25110789920936</v>
      </c>
      <c r="BY64" s="9">
        <f t="shared" ca="1" si="28"/>
        <v>-3.6777124900147446E-3</v>
      </c>
      <c r="BZ64">
        <f t="shared" ca="1" si="29"/>
        <v>206.25110793199843</v>
      </c>
      <c r="CA64" s="6">
        <f t="shared" ca="1" si="30"/>
        <v>-0.9999999998410235</v>
      </c>
      <c r="CB64" s="6">
        <f t="shared" ca="1" si="31"/>
        <v>-1.7831237499229805E-5</v>
      </c>
      <c r="CC64" s="6">
        <f t="shared" ca="1" si="32"/>
        <v>-3.1415748223522928</v>
      </c>
      <c r="CD64" s="6">
        <f t="shared" ca="1" si="33"/>
        <v>106.25110789920936</v>
      </c>
      <c r="CE64" s="9">
        <f t="shared" ca="1" si="34"/>
        <v>-49.996322287509983</v>
      </c>
      <c r="CF64">
        <f t="shared" ca="1" si="35"/>
        <v>117.42627547566174</v>
      </c>
      <c r="CG64" s="6">
        <f t="shared" ca="1" si="36"/>
        <v>0.90483247866642424</v>
      </c>
      <c r="CH64" s="6">
        <f t="shared" ca="1" si="37"/>
        <v>-0.42576776011151296</v>
      </c>
      <c r="CI64" s="6">
        <f t="shared" ca="1" si="38"/>
        <v>-0.43981022716767143</v>
      </c>
      <c r="CJ64" s="1">
        <f t="shared" ca="1" si="39"/>
        <v>0.90345783616847752</v>
      </c>
      <c r="CK64" s="38"/>
    </row>
    <row r="65" spans="1:89" x14ac:dyDescent="0.25">
      <c r="A65">
        <f t="shared" si="69"/>
        <v>4</v>
      </c>
      <c r="B65" s="1">
        <f t="shared" si="69"/>
        <v>0</v>
      </c>
      <c r="C65" s="1">
        <f t="shared" ca="1" si="69"/>
        <v>0</v>
      </c>
      <c r="D65" s="1">
        <f t="shared" si="69"/>
        <v>4</v>
      </c>
      <c r="E65" s="1">
        <f t="shared" si="69"/>
        <v>4</v>
      </c>
      <c r="F65" s="1">
        <f t="shared" si="70"/>
        <v>-2</v>
      </c>
      <c r="G65" s="1">
        <f t="shared" si="71"/>
        <v>-8</v>
      </c>
      <c r="H65" s="6">
        <f t="shared" si="72"/>
        <v>-8.2107431915671167</v>
      </c>
      <c r="I65" s="6">
        <f t="shared" si="73"/>
        <v>-0.76400015846479596</v>
      </c>
      <c r="J65" s="6">
        <f t="shared" si="74"/>
        <v>10.401493145286491</v>
      </c>
      <c r="K65">
        <f t="shared" ca="1" si="75"/>
        <v>0</v>
      </c>
      <c r="L65">
        <f t="shared" ca="1" si="76"/>
        <v>0</v>
      </c>
      <c r="M65" s="6">
        <f t="shared" ca="1" si="77"/>
        <v>0</v>
      </c>
      <c r="N65" s="6">
        <f t="shared" ca="1" si="78"/>
        <v>0</v>
      </c>
      <c r="O65" s="6">
        <f t="shared" ca="1" si="79"/>
        <v>0</v>
      </c>
      <c r="Q65" t="e">
        <f t="shared" si="80"/>
        <v>#N/A</v>
      </c>
      <c r="R65" t="e">
        <f t="shared" si="81"/>
        <v>#N/A</v>
      </c>
      <c r="BC65">
        <v>1.0995574287564287</v>
      </c>
      <c r="BD65">
        <v>162.95694417732639</v>
      </c>
      <c r="BE65">
        <v>10.894335518977954</v>
      </c>
      <c r="BF65" s="6">
        <f t="shared" si="44"/>
        <v>6.6754739025688445E-2</v>
      </c>
      <c r="BG65" s="6">
        <f t="shared" si="45"/>
        <v>1.0328026897307403</v>
      </c>
      <c r="BH65" s="6">
        <f t="shared" si="2"/>
        <v>0.39689286997511769</v>
      </c>
      <c r="BI65" s="6">
        <f t="shared" si="3"/>
        <v>0.39689286997511769</v>
      </c>
      <c r="BJ65">
        <v>237.03846847783134</v>
      </c>
      <c r="BK65">
        <v>15.846987187560936</v>
      </c>
      <c r="BV65" s="38"/>
      <c r="BW65" s="6">
        <f t="shared" si="18"/>
        <v>0.87266462599716554</v>
      </c>
      <c r="BX65" s="9">
        <f t="shared" ca="1" si="27"/>
        <v>-203.17837561163131</v>
      </c>
      <c r="BY65" s="9">
        <f t="shared" ca="1" si="28"/>
        <v>-0.90783104695919159</v>
      </c>
      <c r="BZ65">
        <f t="shared" ca="1" si="29"/>
        <v>203.18040376323441</v>
      </c>
      <c r="CA65" s="6">
        <f t="shared" ca="1" si="30"/>
        <v>-0.99999001797631304</v>
      </c>
      <c r="CB65" s="6">
        <f t="shared" ca="1" si="31"/>
        <v>-4.4681033709190023E-3</v>
      </c>
      <c r="CC65" s="6">
        <f t="shared" ca="1" si="32"/>
        <v>-3.1371245353519104</v>
      </c>
      <c r="CD65" s="6">
        <f t="shared" ca="1" si="33"/>
        <v>103.17837561163131</v>
      </c>
      <c r="CE65" s="9">
        <f t="shared" ca="1" si="34"/>
        <v>-49.092168953040812</v>
      </c>
      <c r="CF65">
        <f t="shared" ca="1" si="35"/>
        <v>114.26205952269886</v>
      </c>
      <c r="CG65" s="6">
        <f t="shared" ca="1" si="36"/>
        <v>0.90299768831957983</v>
      </c>
      <c r="CH65" s="6">
        <f t="shared" ca="1" si="37"/>
        <v>-0.42964540599137679</v>
      </c>
      <c r="CI65" s="6">
        <f t="shared" ca="1" si="38"/>
        <v>-0.44410005483412307</v>
      </c>
      <c r="CJ65" s="1">
        <f t="shared" ca="1" si="39"/>
        <v>0.90774766383492911</v>
      </c>
      <c r="CK65" s="38"/>
    </row>
    <row r="66" spans="1:89" x14ac:dyDescent="0.25">
      <c r="A66">
        <f t="shared" si="69"/>
        <v>5</v>
      </c>
      <c r="B66" s="1">
        <f t="shared" si="69"/>
        <v>0</v>
      </c>
      <c r="C66" s="1">
        <f t="shared" ca="1" si="69"/>
        <v>0</v>
      </c>
      <c r="D66" s="1">
        <f t="shared" si="69"/>
        <v>6</v>
      </c>
      <c r="E66" s="1">
        <f t="shared" si="69"/>
        <v>2</v>
      </c>
      <c r="F66" s="1">
        <f t="shared" si="70"/>
        <v>0</v>
      </c>
      <c r="G66" s="1">
        <f t="shared" si="71"/>
        <v>-10</v>
      </c>
      <c r="H66" s="6">
        <f t="shared" si="72"/>
        <v>-9.4349919434716671</v>
      </c>
      <c r="I66" s="6">
        <f t="shared" si="73"/>
        <v>-3.313748183948912</v>
      </c>
      <c r="J66" s="6">
        <f t="shared" si="74"/>
        <v>12.951241170770606</v>
      </c>
      <c r="K66">
        <f t="shared" ca="1" si="75"/>
        <v>0</v>
      </c>
      <c r="L66">
        <f t="shared" ca="1" si="76"/>
        <v>0</v>
      </c>
      <c r="M66" s="6">
        <f t="shared" ca="1" si="77"/>
        <v>0</v>
      </c>
      <c r="N66" s="6">
        <f t="shared" ca="1" si="78"/>
        <v>0</v>
      </c>
      <c r="O66" s="6">
        <f t="shared" ca="1" si="79"/>
        <v>0</v>
      </c>
      <c r="Q66" t="e">
        <f t="shared" si="80"/>
        <v>#N/A</v>
      </c>
      <c r="R66" t="e">
        <f t="shared" si="81"/>
        <v>#N/A</v>
      </c>
      <c r="BC66">
        <v>1.117010721276372</v>
      </c>
      <c r="BD66">
        <v>159.80756624782228</v>
      </c>
      <c r="BE66">
        <v>11.535307893557247</v>
      </c>
      <c r="BF66" s="6">
        <f t="shared" ref="BF66:BF97" si="82">IF(BC66&lt;&gt;"",IF(AND(BD66=0,BE66=0),0,MOD(ATAN2(BD66,BE66),2*PI())),NA())</f>
        <v>7.205751504190612E-2</v>
      </c>
      <c r="BG66" s="6">
        <f t="shared" ref="BG66:BG97" si="83">ABS(BC66-BF66)</f>
        <v>1.044953206234466</v>
      </c>
      <c r="BH66" s="6">
        <f t="shared" si="2"/>
        <v>0.39159009395889999</v>
      </c>
      <c r="BI66" s="6">
        <f t="shared" si="3"/>
        <v>0.39159009395889999</v>
      </c>
      <c r="BJ66">
        <v>233.17304162348555</v>
      </c>
      <c r="BK66">
        <v>16.831010513188382</v>
      </c>
      <c r="BV66" s="38"/>
      <c r="BW66" s="6">
        <f t="shared" si="18"/>
        <v>0.89011791851710886</v>
      </c>
      <c r="BX66" s="9">
        <f t="shared" ca="1" si="27"/>
        <v>-200.15712693563364</v>
      </c>
      <c r="BY66" s="9">
        <f t="shared" ca="1" si="28"/>
        <v>-1.7784272838118187</v>
      </c>
      <c r="BZ66">
        <f t="shared" ca="1" si="29"/>
        <v>200.16502758157122</v>
      </c>
      <c r="CA66" s="6">
        <f t="shared" ca="1" si="30"/>
        <v>-0.99996052933905066</v>
      </c>
      <c r="CB66" s="6">
        <f t="shared" ca="1" si="31"/>
        <v>-8.8848052294603474E-3</v>
      </c>
      <c r="CC66" s="6">
        <f t="shared" ca="1" si="32"/>
        <v>-3.132707731462109</v>
      </c>
      <c r="CD66" s="6">
        <f t="shared" ca="1" si="33"/>
        <v>100.15712693563364</v>
      </c>
      <c r="CE66" s="9">
        <f t="shared" ca="1" si="34"/>
        <v>-48.221572716188184</v>
      </c>
      <c r="CF66">
        <f t="shared" ca="1" si="35"/>
        <v>111.16101003150006</v>
      </c>
      <c r="CG66" s="6">
        <f t="shared" ca="1" si="36"/>
        <v>0.90100950780540578</v>
      </c>
      <c r="CH66" s="6">
        <f t="shared" ca="1" si="37"/>
        <v>-0.43379933937739035</v>
      </c>
      <c r="CI66" s="6">
        <f t="shared" ca="1" si="38"/>
        <v>-0.44870527598127519</v>
      </c>
      <c r="CJ66" s="1">
        <f t="shared" ca="1" si="39"/>
        <v>0.91235288498208122</v>
      </c>
      <c r="CK66" s="38"/>
    </row>
    <row r="67" spans="1:89" x14ac:dyDescent="0.25">
      <c r="A67">
        <f t="shared" si="69"/>
        <v>6</v>
      </c>
      <c r="B67" s="1">
        <f t="shared" si="69"/>
        <v>0</v>
      </c>
      <c r="C67" s="1">
        <f t="shared" ca="1" si="69"/>
        <v>0</v>
      </c>
      <c r="D67" s="1">
        <f t="shared" si="69"/>
        <v>0</v>
      </c>
      <c r="E67" s="1">
        <f t="shared" si="69"/>
        <v>8.66</v>
      </c>
      <c r="F67" s="1">
        <f t="shared" si="70"/>
        <v>-6</v>
      </c>
      <c r="G67" s="1">
        <f t="shared" si="71"/>
        <v>-3.34</v>
      </c>
      <c r="H67" s="6">
        <f t="shared" si="72"/>
        <v>-5.1395362194888836</v>
      </c>
      <c r="I67" s="6">
        <f t="shared" si="73"/>
        <v>4.554203272644064</v>
      </c>
      <c r="J67" s="6">
        <f t="shared" si="74"/>
        <v>5.0832897141776305</v>
      </c>
      <c r="K67">
        <f t="shared" ca="1" si="75"/>
        <v>0</v>
      </c>
      <c r="L67">
        <f t="shared" ca="1" si="76"/>
        <v>0</v>
      </c>
      <c r="M67" s="6">
        <f t="shared" ca="1" si="77"/>
        <v>0</v>
      </c>
      <c r="N67" s="6">
        <f t="shared" ca="1" si="78"/>
        <v>0</v>
      </c>
      <c r="O67" s="6">
        <f t="shared" ca="1" si="79"/>
        <v>0</v>
      </c>
      <c r="Q67" t="e">
        <f t="shared" si="80"/>
        <v>#N/A</v>
      </c>
      <c r="R67" t="e">
        <f t="shared" si="81"/>
        <v>#N/A</v>
      </c>
      <c r="BC67">
        <v>1.1344640137963153</v>
      </c>
      <c r="BD67">
        <v>156.60463447580469</v>
      </c>
      <c r="BE67">
        <v>12.141627576572018</v>
      </c>
      <c r="BF67" s="6">
        <f t="shared" si="82"/>
        <v>7.7375662137379217E-2</v>
      </c>
      <c r="BG67" s="6">
        <f t="shared" si="83"/>
        <v>1.0570883516589362</v>
      </c>
      <c r="BH67" s="6">
        <f t="shared" ref="BH67:BH130" si="84">ATAN2(COS($U$13-BF67),SIN($U$13-BF67))</f>
        <v>0.38627194686342686</v>
      </c>
      <c r="BI67" s="6">
        <f t="shared" ref="BI67:BI130" si="85">ABS(BH67)</f>
        <v>0.38627194686342686</v>
      </c>
      <c r="BJ67">
        <v>229.10092132093786</v>
      </c>
      <c r="BK67">
        <v>17.762297223445962</v>
      </c>
      <c r="BV67" s="38"/>
      <c r="BW67" s="6">
        <f t="shared" si="18"/>
        <v>0.90757121103705218</v>
      </c>
      <c r="BX67" s="9">
        <f t="shared" ca="1" si="27"/>
        <v>-197.18320176117655</v>
      </c>
      <c r="BY67" s="9">
        <f t="shared" ca="1" si="28"/>
        <v>-2.6176878842456337</v>
      </c>
      <c r="BZ67">
        <f t="shared" ca="1" si="29"/>
        <v>197.20057643589226</v>
      </c>
      <c r="CA67" s="6">
        <f t="shared" ca="1" si="30"/>
        <v>-0.99991189338778952</v>
      </c>
      <c r="CB67" s="6">
        <f t="shared" ca="1" si="31"/>
        <v>-1.3274240529903397E-2</v>
      </c>
      <c r="CC67" s="6">
        <f t="shared" ca="1" si="32"/>
        <v>-3.1283180231966958</v>
      </c>
      <c r="CD67" s="6">
        <f t="shared" ca="1" si="33"/>
        <v>97.183201761176548</v>
      </c>
      <c r="CE67" s="9">
        <f t="shared" ca="1" si="34"/>
        <v>-47.382312115754367</v>
      </c>
      <c r="CF67">
        <f t="shared" ca="1" si="35"/>
        <v>108.11872273564977</v>
      </c>
      <c r="CG67" s="6">
        <f t="shared" ca="1" si="36"/>
        <v>0.89885636180506345</v>
      </c>
      <c r="CH67" s="6">
        <f t="shared" ca="1" si="37"/>
        <v>-0.43824335801306219</v>
      </c>
      <c r="CI67" s="6">
        <f t="shared" ca="1" si="38"/>
        <v>-0.45364343240719779</v>
      </c>
      <c r="CJ67" s="1">
        <f t="shared" ca="1" si="39"/>
        <v>0.91729104140800388</v>
      </c>
      <c r="CK67" s="38"/>
    </row>
    <row r="68" spans="1:89" x14ac:dyDescent="0.25">
      <c r="A68">
        <f t="shared" si="69"/>
        <v>7</v>
      </c>
      <c r="B68" s="1">
        <f t="shared" si="69"/>
        <v>8</v>
      </c>
      <c r="C68" s="1">
        <f t="shared" ca="1" si="69"/>
        <v>0.79</v>
      </c>
      <c r="D68" s="1">
        <f t="shared" si="69"/>
        <v>2</v>
      </c>
      <c r="E68" s="1">
        <f t="shared" si="69"/>
        <v>22</v>
      </c>
      <c r="F68" s="1">
        <f t="shared" si="70"/>
        <v>-4</v>
      </c>
      <c r="G68" s="1">
        <f t="shared" si="71"/>
        <v>10</v>
      </c>
      <c r="H68" s="6">
        <f t="shared" si="72"/>
        <v>8.1094926698921022</v>
      </c>
      <c r="I68" s="6">
        <f t="shared" si="73"/>
        <v>7.0877449613375791</v>
      </c>
      <c r="J68" s="6">
        <f t="shared" si="74"/>
        <v>2.5497480254841154</v>
      </c>
      <c r="K68">
        <f t="shared" ca="1" si="75"/>
        <v>1.5726561680625883E-3</v>
      </c>
      <c r="L68">
        <f t="shared" ca="1" si="76"/>
        <v>41.357028873815061</v>
      </c>
      <c r="M68" s="6">
        <f t="shared" ca="1" si="77"/>
        <v>32.6720528103139</v>
      </c>
      <c r="N68" s="6">
        <f t="shared" ca="1" si="78"/>
        <v>231.57117768285764</v>
      </c>
      <c r="O68" s="6">
        <f t="shared" ca="1" si="79"/>
        <v>-264.95377277556821</v>
      </c>
      <c r="Q68">
        <f t="shared" si="80"/>
        <v>8.1094926698921022</v>
      </c>
      <c r="R68">
        <f t="shared" si="81"/>
        <v>7.0877449613375791</v>
      </c>
      <c r="BC68">
        <v>1.1519173063162587</v>
      </c>
      <c r="BD68">
        <v>153.42317129358614</v>
      </c>
      <c r="BE68">
        <v>12.729886041852875</v>
      </c>
      <c r="BF68" s="6">
        <f t="shared" si="82"/>
        <v>8.2782759606611578E-2</v>
      </c>
      <c r="BG68" s="6">
        <f t="shared" si="83"/>
        <v>1.0691345467096471</v>
      </c>
      <c r="BH68" s="6">
        <f t="shared" si="84"/>
        <v>0.38086484939419452</v>
      </c>
      <c r="BI68" s="6">
        <f t="shared" si="85"/>
        <v>0.38086484939419452</v>
      </c>
      <c r="BJ68">
        <v>225.01313250773356</v>
      </c>
      <c r="BK68">
        <v>18.669875681702422</v>
      </c>
      <c r="BV68" s="38"/>
      <c r="BW68" s="6">
        <f t="shared" si="18"/>
        <v>0.9250245035569955</v>
      </c>
      <c r="BX68" s="9">
        <f t="shared" ca="1" si="27"/>
        <v>-194.25263622167202</v>
      </c>
      <c r="BY68" s="9">
        <f t="shared" ca="1" si="28"/>
        <v>-3.4276680553490655</v>
      </c>
      <c r="BZ68">
        <f t="shared" ca="1" si="29"/>
        <v>194.28287517783679</v>
      </c>
      <c r="CA68" s="6">
        <f t="shared" ca="1" si="30"/>
        <v>-0.99984435603942401</v>
      </c>
      <c r="CB68" s="6">
        <f t="shared" ca="1" si="31"/>
        <v>-1.7642666921680823E-2</v>
      </c>
      <c r="CC68" s="6">
        <f t="shared" ca="1" si="32"/>
        <v>-3.1239490712862708</v>
      </c>
      <c r="CD68" s="6">
        <f t="shared" ca="1" si="33"/>
        <v>94.25263622167202</v>
      </c>
      <c r="CE68" s="9">
        <f t="shared" ca="1" si="34"/>
        <v>-46.572331944650934</v>
      </c>
      <c r="CF68">
        <f t="shared" ca="1" si="35"/>
        <v>105.13106837418515</v>
      </c>
      <c r="CG68" s="6">
        <f t="shared" ca="1" si="36"/>
        <v>0.89652504896274487</v>
      </c>
      <c r="CH68" s="6">
        <f t="shared" ca="1" si="37"/>
        <v>-0.4429930434920486</v>
      </c>
      <c r="CI68" s="6">
        <f t="shared" ca="1" si="38"/>
        <v>-0.45893442447165178</v>
      </c>
      <c r="CJ68" s="1">
        <f t="shared" ca="1" si="39"/>
        <v>0.92258203347245793</v>
      </c>
      <c r="CK68" s="38"/>
    </row>
    <row r="69" spans="1:89" x14ac:dyDescent="0.25">
      <c r="A69">
        <f t="shared" si="69"/>
        <v>8</v>
      </c>
      <c r="B69" s="1">
        <f t="shared" si="69"/>
        <v>8</v>
      </c>
      <c r="C69" s="1">
        <f t="shared" ca="1" si="69"/>
        <v>0.79</v>
      </c>
      <c r="D69" s="1">
        <f t="shared" si="69"/>
        <v>10</v>
      </c>
      <c r="E69" s="1">
        <f t="shared" si="69"/>
        <v>22</v>
      </c>
      <c r="F69" s="1">
        <f t="shared" si="70"/>
        <v>4</v>
      </c>
      <c r="G69" s="1">
        <f t="shared" si="71"/>
        <v>10</v>
      </c>
      <c r="H69" s="6">
        <f t="shared" si="72"/>
        <v>10.760491217051232</v>
      </c>
      <c r="I69" s="6">
        <f t="shared" si="73"/>
        <v>-0.4602485934397551</v>
      </c>
      <c r="J69" s="6">
        <f t="shared" si="74"/>
        <v>10.097741580261449</v>
      </c>
      <c r="K69">
        <f t="shared" ca="1" si="75"/>
        <v>-2.6526954887424819E-3</v>
      </c>
      <c r="L69">
        <f t="shared" ca="1" si="76"/>
        <v>-60</v>
      </c>
      <c r="M69" s="6">
        <f t="shared" ca="1" si="77"/>
        <v>-47.400000000000006</v>
      </c>
      <c r="N69" s="6">
        <f t="shared" ca="1" si="78"/>
        <v>21.815783329044393</v>
      </c>
      <c r="O69" s="6">
        <f t="shared" ca="1" si="79"/>
        <v>510.04728368822845</v>
      </c>
      <c r="Q69">
        <f t="shared" si="80"/>
        <v>10.760491217051232</v>
      </c>
      <c r="R69">
        <f t="shared" si="81"/>
        <v>-0.4602485934397551</v>
      </c>
      <c r="BC69">
        <v>1.169370598836202</v>
      </c>
      <c r="BD69">
        <v>150.26036147677982</v>
      </c>
      <c r="BE69">
        <v>13.301671561246414</v>
      </c>
      <c r="BF69" s="6">
        <f t="shared" si="82"/>
        <v>8.8293995818176513E-2</v>
      </c>
      <c r="BG69" s="6">
        <f t="shared" si="83"/>
        <v>1.0810766030180254</v>
      </c>
      <c r="BH69" s="6">
        <f t="shared" si="84"/>
        <v>0.37535361318262966</v>
      </c>
      <c r="BI69" s="6">
        <f t="shared" si="85"/>
        <v>0.37535361318262966</v>
      </c>
      <c r="BJ69">
        <v>220.90463036393967</v>
      </c>
      <c r="BK69">
        <v>19.555395784893989</v>
      </c>
      <c r="BV69" s="38"/>
      <c r="BW69" s="6">
        <f t="shared" si="18"/>
        <v>0.94247779607693882</v>
      </c>
      <c r="BX69" s="9">
        <f t="shared" ca="1" si="27"/>
        <v>-191.36163706388638</v>
      </c>
      <c r="BY69" s="9">
        <f t="shared" ca="1" si="28"/>
        <v>-4.210274756792181</v>
      </c>
      <c r="BZ69">
        <f t="shared" ca="1" si="29"/>
        <v>191.4079479888394</v>
      </c>
      <c r="CA69" s="6">
        <f t="shared" ca="1" si="30"/>
        <v>-0.99975805119150163</v>
      </c>
      <c r="CB69" s="6">
        <f t="shared" ca="1" si="31"/>
        <v>-2.1996342372562677E-2</v>
      </c>
      <c r="CC69" s="6">
        <f t="shared" ca="1" si="32"/>
        <v>-3.1195945370492502</v>
      </c>
      <c r="CD69" s="6">
        <f t="shared" ca="1" si="33"/>
        <v>91.361637063886377</v>
      </c>
      <c r="CE69" s="9">
        <f t="shared" ca="1" si="34"/>
        <v>-45.789725243207819</v>
      </c>
      <c r="CF69">
        <f t="shared" ca="1" si="35"/>
        <v>102.19416649125213</v>
      </c>
      <c r="CG69" s="6">
        <f t="shared" ca="1" si="36"/>
        <v>0.8940005109949889</v>
      </c>
      <c r="CH69" s="6">
        <f t="shared" ca="1" si="37"/>
        <v>-0.44806593972394149</v>
      </c>
      <c r="CI69" s="6">
        <f t="shared" ca="1" si="38"/>
        <v>-0.46460078609429434</v>
      </c>
      <c r="CJ69" s="1">
        <f t="shared" ca="1" si="39"/>
        <v>0.92824839509510038</v>
      </c>
      <c r="CK69" s="38"/>
    </row>
    <row r="70" spans="1:89" x14ac:dyDescent="0.25">
      <c r="A70">
        <f t="shared" si="69"/>
        <v>9</v>
      </c>
      <c r="B70" s="1">
        <f t="shared" si="69"/>
        <v>8</v>
      </c>
      <c r="C70" s="1">
        <f t="shared" ca="1" si="69"/>
        <v>0.79</v>
      </c>
      <c r="D70" s="1">
        <f t="shared" si="69"/>
        <v>2</v>
      </c>
      <c r="E70" s="1">
        <f t="shared" si="69"/>
        <v>2</v>
      </c>
      <c r="F70" s="1">
        <f t="shared" si="70"/>
        <v>-4</v>
      </c>
      <c r="G70" s="1">
        <f t="shared" si="71"/>
        <v>-10</v>
      </c>
      <c r="H70" s="6">
        <f t="shared" si="72"/>
        <v>-10.760491217051232</v>
      </c>
      <c r="I70" s="6">
        <f t="shared" si="73"/>
        <v>0.4602485934397551</v>
      </c>
      <c r="J70" s="6">
        <f t="shared" si="74"/>
        <v>9.1772443933819403</v>
      </c>
      <c r="K70">
        <f t="shared" ca="1" si="75"/>
        <v>-2.1374030092988537E-3</v>
      </c>
      <c r="L70">
        <f t="shared" ca="1" si="76"/>
        <v>-60</v>
      </c>
      <c r="M70" s="6">
        <f t="shared" ca="1" si="77"/>
        <v>-47.400000000000006</v>
      </c>
      <c r="N70" s="6">
        <f t="shared" ca="1" si="78"/>
        <v>-21.815783329044393</v>
      </c>
      <c r="O70" s="6">
        <f t="shared" ca="1" si="79"/>
        <v>-510.04728368822845</v>
      </c>
      <c r="Q70">
        <f t="shared" si="80"/>
        <v>-10.760491217051232</v>
      </c>
      <c r="R70">
        <f t="shared" si="81"/>
        <v>0.4602485934397551</v>
      </c>
      <c r="BC70">
        <v>1.1868238913561453</v>
      </c>
      <c r="BD70">
        <v>147.1133951254775</v>
      </c>
      <c r="BE70">
        <v>13.858627579900002</v>
      </c>
      <c r="BF70" s="6">
        <f t="shared" si="82"/>
        <v>9.3926519009282075E-2</v>
      </c>
      <c r="BG70" s="6">
        <f t="shared" si="83"/>
        <v>1.0928973723468631</v>
      </c>
      <c r="BH70" s="6">
        <f t="shared" si="84"/>
        <v>0.36972108999152403</v>
      </c>
      <c r="BI70" s="6">
        <f t="shared" si="85"/>
        <v>0.36972108999152403</v>
      </c>
      <c r="BJ70">
        <v>216.77002836032779</v>
      </c>
      <c r="BK70">
        <v>20.42054084176241</v>
      </c>
      <c r="BV70" s="38"/>
      <c r="BW70" s="6">
        <f t="shared" si="18"/>
        <v>0.95993108859688214</v>
      </c>
      <c r="BX70" s="9">
        <f t="shared" ca="1" si="27"/>
        <v>-188.50655746186439</v>
      </c>
      <c r="BY70" s="9">
        <f t="shared" ca="1" si="28"/>
        <v>-4.9672829655103996</v>
      </c>
      <c r="BZ70">
        <f t="shared" ca="1" si="29"/>
        <v>188.57199183914514</v>
      </c>
      <c r="CA70" s="6">
        <f t="shared" ca="1" si="30"/>
        <v>-0.99965300055091655</v>
      </c>
      <c r="CB70" s="6">
        <f t="shared" ca="1" si="31"/>
        <v>-2.6341573406869295E-2</v>
      </c>
      <c r="CC70" s="6">
        <f t="shared" ca="1" si="32"/>
        <v>-3.1152480329228074</v>
      </c>
      <c r="CD70" s="6">
        <f t="shared" ca="1" si="33"/>
        <v>88.506557461864389</v>
      </c>
      <c r="CE70" s="9">
        <f t="shared" ca="1" si="34"/>
        <v>-45.0327170344896</v>
      </c>
      <c r="CF70">
        <f t="shared" ca="1" si="35"/>
        <v>99.304362025334584</v>
      </c>
      <c r="CG70" s="6">
        <f t="shared" ca="1" si="36"/>
        <v>0.89126555628326321</v>
      </c>
      <c r="CH70" s="6">
        <f t="shared" ca="1" si="37"/>
        <v>-0.45348176168737508</v>
      </c>
      <c r="CI70" s="6">
        <f t="shared" ca="1" si="38"/>
        <v>-0.47066801097366118</v>
      </c>
      <c r="CJ70" s="1">
        <f t="shared" ca="1" si="39"/>
        <v>0.93431561997446733</v>
      </c>
      <c r="CK70" s="38"/>
    </row>
    <row r="71" spans="1:89" ht="15.75" thickBot="1" x14ac:dyDescent="0.3">
      <c r="A71">
        <f t="shared" si="69"/>
        <v>10</v>
      </c>
      <c r="B71" s="1">
        <f t="shared" si="69"/>
        <v>8</v>
      </c>
      <c r="C71" s="1">
        <f t="shared" ca="1" si="69"/>
        <v>0.79</v>
      </c>
      <c r="D71" s="1">
        <f t="shared" si="69"/>
        <v>10</v>
      </c>
      <c r="E71" s="1">
        <f t="shared" si="69"/>
        <v>2</v>
      </c>
      <c r="F71" s="1">
        <f t="shared" si="70"/>
        <v>4</v>
      </c>
      <c r="G71" s="1">
        <f t="shared" si="71"/>
        <v>-10</v>
      </c>
      <c r="H71" s="6">
        <f t="shared" si="72"/>
        <v>-8.1094926698921022</v>
      </c>
      <c r="I71" s="6">
        <f t="shared" si="73"/>
        <v>-7.0877449613375791</v>
      </c>
      <c r="J71" s="6">
        <f t="shared" si="74"/>
        <v>16.725237948159275</v>
      </c>
      <c r="K71" s="12">
        <f t="shared" ca="1" si="75"/>
        <v>-6.3627546661039246E-3</v>
      </c>
      <c r="L71">
        <f t="shared" ca="1" si="76"/>
        <v>-60</v>
      </c>
      <c r="M71" s="11">
        <f t="shared" ca="1" si="77"/>
        <v>-47.400000000000006</v>
      </c>
      <c r="N71" s="11">
        <f t="shared" ca="1" si="78"/>
        <v>335.95911116740132</v>
      </c>
      <c r="O71" s="11">
        <f t="shared" ca="1" si="79"/>
        <v>-384.38995255288569</v>
      </c>
      <c r="Q71">
        <f t="shared" si="80"/>
        <v>-8.1094926698921022</v>
      </c>
      <c r="R71">
        <f t="shared" si="81"/>
        <v>-7.0877449613375791</v>
      </c>
      <c r="BC71">
        <v>1.2042771838760886</v>
      </c>
      <c r="BD71">
        <v>143.97943541744428</v>
      </c>
      <c r="BE71">
        <v>14.402487894380945</v>
      </c>
      <c r="BF71" s="6">
        <f t="shared" si="82"/>
        <v>9.9699902405228497E-2</v>
      </c>
      <c r="BG71" s="6">
        <f t="shared" si="83"/>
        <v>1.1045772814708601</v>
      </c>
      <c r="BH71" s="6">
        <f t="shared" si="84"/>
        <v>0.36394770659557762</v>
      </c>
      <c r="BI71" s="6">
        <f t="shared" si="85"/>
        <v>0.36394770659557762</v>
      </c>
      <c r="BJ71">
        <v>212.6035029714823</v>
      </c>
      <c r="BK71">
        <v>21.267060597730115</v>
      </c>
      <c r="BV71" s="38"/>
      <c r="BW71" s="6">
        <f t="shared" si="18"/>
        <v>0.97738438111682546</v>
      </c>
      <c r="BX71" s="9">
        <f t="shared" ca="1" si="27"/>
        <v>-185.54770840975479</v>
      </c>
      <c r="BY71" s="9">
        <f t="shared" ca="1" si="28"/>
        <v>-5.7286209807341821</v>
      </c>
      <c r="BZ71">
        <f t="shared" ca="1" si="29"/>
        <v>185.63612039269807</v>
      </c>
      <c r="CA71" s="6">
        <f t="shared" ca="1" si="30"/>
        <v>-0.99952373502120029</v>
      </c>
      <c r="CB71" s="6">
        <f t="shared" ca="1" si="31"/>
        <v>-3.0859409088143792E-2</v>
      </c>
      <c r="CC71" s="6">
        <f t="shared" ca="1" si="32"/>
        <v>-3.1107283444828822</v>
      </c>
      <c r="CD71" s="6">
        <f t="shared" ca="1" si="33"/>
        <v>85.54770840975479</v>
      </c>
      <c r="CE71" s="9">
        <f t="shared" ca="1" si="34"/>
        <v>-44.271379019265815</v>
      </c>
      <c r="CF71">
        <f t="shared" ca="1" si="35"/>
        <v>96.324272197758745</v>
      </c>
      <c r="CG71" s="6">
        <f t="shared" ca="1" si="36"/>
        <v>0.88812203256642197</v>
      </c>
      <c r="CH71" s="6">
        <f t="shared" ca="1" si="37"/>
        <v>-0.45960771889741736</v>
      </c>
      <c r="CI71" s="6">
        <f t="shared" ca="1" si="38"/>
        <v>-0.47755345071275107</v>
      </c>
      <c r="CJ71" s="1">
        <f t="shared" ca="1" si="39"/>
        <v>0.94120105971355716</v>
      </c>
      <c r="CK71" s="38"/>
    </row>
    <row r="72" spans="1:89" ht="15.75" thickTop="1" x14ac:dyDescent="0.25">
      <c r="K72" s="13">
        <f ca="1">MIN(K62:K71)</f>
        <v>-6.3627546661039246E-3</v>
      </c>
      <c r="M72" s="9">
        <f ca="1">SUM(M62:M71)</f>
        <v>-109.52794718968612</v>
      </c>
      <c r="N72" s="9">
        <f ca="1">SUM(N62:N71)</f>
        <v>567.53028885025901</v>
      </c>
      <c r="O72" s="9">
        <f ca="1">SUM(O62:O71)</f>
        <v>-649.34372532845396</v>
      </c>
      <c r="BC72">
        <v>1.2217304763960319</v>
      </c>
      <c r="BD72">
        <v>140.85557634286354</v>
      </c>
      <c r="BE72">
        <v>14.935120231130115</v>
      </c>
      <c r="BF72" s="6">
        <f t="shared" si="82"/>
        <v>0.10563674487561216</v>
      </c>
      <c r="BG72" s="6">
        <f t="shared" si="83"/>
        <v>1.1160937315204198</v>
      </c>
      <c r="BH72" s="6">
        <f t="shared" si="84"/>
        <v>0.3580108641251939</v>
      </c>
      <c r="BI72" s="6">
        <f t="shared" si="85"/>
        <v>0.3580108641251939</v>
      </c>
      <c r="BJ72">
        <v>208.39867019695913</v>
      </c>
      <c r="BK72">
        <v>22.096812041172058</v>
      </c>
      <c r="BV72" s="38"/>
      <c r="BW72" s="6">
        <f t="shared" si="18"/>
        <v>0.99483767363676878</v>
      </c>
      <c r="BX72" s="9">
        <f t="shared" ca="1" si="27"/>
        <v>-182.22147566634828</v>
      </c>
      <c r="BY72" s="9">
        <f t="shared" ca="1" si="28"/>
        <v>-6.5462260002557713</v>
      </c>
      <c r="BZ72">
        <f t="shared" ca="1" si="29"/>
        <v>182.33902289106405</v>
      </c>
      <c r="CA72" s="6">
        <f t="shared" ca="1" si="30"/>
        <v>-0.99935533698244072</v>
      </c>
      <c r="CB72" s="6">
        <f t="shared" ca="1" si="31"/>
        <v>-3.5901398924171733E-2</v>
      </c>
      <c r="CC72" s="6">
        <f t="shared" ca="1" si="32"/>
        <v>-3.1056835379076464</v>
      </c>
      <c r="CD72" s="6">
        <f t="shared" ca="1" si="33"/>
        <v>82.221475666348283</v>
      </c>
      <c r="CE72" s="9">
        <f t="shared" ca="1" si="34"/>
        <v>-43.453773999744229</v>
      </c>
      <c r="CF72">
        <f t="shared" ca="1" si="35"/>
        <v>92.997857693458457</v>
      </c>
      <c r="CG72" s="6">
        <f t="shared" ca="1" si="36"/>
        <v>0.88412225513160192</v>
      </c>
      <c r="CH72" s="6">
        <f t="shared" ca="1" si="37"/>
        <v>-0.46725564521042512</v>
      </c>
      <c r="CI72" s="6">
        <f t="shared" ca="1" si="38"/>
        <v>-0.48618417830699834</v>
      </c>
      <c r="CJ72" s="1">
        <f t="shared" ca="1" si="39"/>
        <v>0.94983178730780438</v>
      </c>
      <c r="CK72" s="38"/>
    </row>
    <row r="73" spans="1:89" x14ac:dyDescent="0.25">
      <c r="N73" s="46">
        <f ca="1">N72/12</f>
        <v>47.294190737521582</v>
      </c>
      <c r="O73" s="46">
        <f ca="1">O72/12</f>
        <v>-54.111977110704494</v>
      </c>
      <c r="BC73">
        <v>1.2391837689159753</v>
      </c>
      <c r="BD73">
        <v>137.73878510822937</v>
      </c>
      <c r="BE73">
        <v>15.458581445949415</v>
      </c>
      <c r="BF73" s="6">
        <f t="shared" si="82"/>
        <v>0.11176345882752872</v>
      </c>
      <c r="BG73" s="6">
        <f t="shared" si="83"/>
        <v>1.1274203100884466</v>
      </c>
      <c r="BH73" s="6">
        <f t="shared" si="84"/>
        <v>0.35188415017327734</v>
      </c>
      <c r="BI73" s="6">
        <f t="shared" si="85"/>
        <v>0.35188415017327734</v>
      </c>
      <c r="BJ73">
        <v>204.14842210688178</v>
      </c>
      <c r="BK73">
        <v>22.911810988615599</v>
      </c>
      <c r="BV73" s="38"/>
      <c r="BW73" s="6">
        <f t="shared" si="18"/>
        <v>1.0122909661567121</v>
      </c>
      <c r="BX73" s="9">
        <f t="shared" ca="1" si="27"/>
        <v>-178.93400294366535</v>
      </c>
      <c r="BY73" s="9">
        <f t="shared" ca="1" si="28"/>
        <v>-7.3345876391175224</v>
      </c>
      <c r="BZ73">
        <f t="shared" ca="1" si="29"/>
        <v>179.08426392421958</v>
      </c>
      <c r="CA73" s="6">
        <f t="shared" ca="1" si="30"/>
        <v>-0.9991609481633863</v>
      </c>
      <c r="CB73" s="6">
        <f t="shared" ca="1" si="31"/>
        <v>-4.0956069943818126E-2</v>
      </c>
      <c r="CC73" s="6">
        <f t="shared" ca="1" si="32"/>
        <v>-3.1006251250449028</v>
      </c>
      <c r="CD73" s="6">
        <f t="shared" ca="1" si="33"/>
        <v>78.934002943665348</v>
      </c>
      <c r="CE73" s="9">
        <f t="shared" ca="1" si="34"/>
        <v>-42.665412360882478</v>
      </c>
      <c r="CF73">
        <f t="shared" ca="1" si="35"/>
        <v>89.726886899271804</v>
      </c>
      <c r="CG73" s="6">
        <f t="shared" ca="1" si="36"/>
        <v>0.87971404861373781</v>
      </c>
      <c r="CH73" s="6">
        <f t="shared" ca="1" si="37"/>
        <v>-0.47550309428186277</v>
      </c>
      <c r="CI73" s="6">
        <f t="shared" ca="1" si="38"/>
        <v>-0.49553582726473672</v>
      </c>
      <c r="CJ73" s="1">
        <f t="shared" ca="1" si="39"/>
        <v>0.95918343626554281</v>
      </c>
      <c r="CK73" s="38"/>
    </row>
    <row r="74" spans="1:89" x14ac:dyDescent="0.25">
      <c r="BC74">
        <v>1.2566370614359186</v>
      </c>
      <c r="BD74">
        <v>134.62582092861925</v>
      </c>
      <c r="BE74">
        <v>15.975188908938655</v>
      </c>
      <c r="BF74" s="6">
        <f t="shared" si="82"/>
        <v>0.11811132127507484</v>
      </c>
      <c r="BG74" s="6">
        <f t="shared" si="83"/>
        <v>1.1385257401608437</v>
      </c>
      <c r="BH74" s="6">
        <f t="shared" si="84"/>
        <v>0.34553628772573125</v>
      </c>
      <c r="BI74" s="6">
        <f t="shared" si="85"/>
        <v>0.34553628772573125</v>
      </c>
      <c r="BJ74">
        <v>199.84470576921422</v>
      </c>
      <c r="BK74">
        <v>23.714298676828157</v>
      </c>
      <c r="BV74" s="38"/>
      <c r="BW74" s="6">
        <f t="shared" si="18"/>
        <v>1.0297442586766554</v>
      </c>
      <c r="BX74" s="9">
        <f t="shared" ca="1" si="27"/>
        <v>-175.6817283824347</v>
      </c>
      <c r="BY74" s="9">
        <f t="shared" ca="1" si="28"/>
        <v>-8.0954190686056755</v>
      </c>
      <c r="BZ74">
        <f t="shared" ca="1" si="29"/>
        <v>175.86814804658604</v>
      </c>
      <c r="CA74" s="6">
        <f t="shared" ca="1" si="30"/>
        <v>-0.99894000325686061</v>
      </c>
      <c r="CB74" s="6">
        <f t="shared" ca="1" si="31"/>
        <v>-4.6031183921157029E-2</v>
      </c>
      <c r="CC74" s="6">
        <f t="shared" ca="1" si="32"/>
        <v>-3.0955451984677795</v>
      </c>
      <c r="CD74" s="6">
        <f t="shared" ca="1" si="33"/>
        <v>75.681728382434699</v>
      </c>
      <c r="CE74" s="9">
        <f t="shared" ca="1" si="34"/>
        <v>-41.904580931394321</v>
      </c>
      <c r="CF74">
        <f t="shared" ca="1" si="35"/>
        <v>86.508484635834407</v>
      </c>
      <c r="CG74" s="6">
        <f t="shared" ca="1" si="36"/>
        <v>0.87484746381842249</v>
      </c>
      <c r="CH74" s="6">
        <f t="shared" ca="1" si="37"/>
        <v>-0.48439850851388266</v>
      </c>
      <c r="CI74" s="6">
        <f t="shared" ca="1" si="38"/>
        <v>-0.50567549800894507</v>
      </c>
      <c r="CJ74" s="1">
        <f t="shared" ca="1" si="39"/>
        <v>0.96932310700975122</v>
      </c>
      <c r="CK74" s="38"/>
    </row>
    <row r="75" spans="1:89" x14ac:dyDescent="0.25">
      <c r="A75" s="8" t="s">
        <v>63</v>
      </c>
      <c r="B75" s="9">
        <f ca="1">N57+M72</f>
        <v>15.399453654390598</v>
      </c>
      <c r="C75" t="s">
        <v>68</v>
      </c>
      <c r="E75">
        <f>((O59*COS(-1*B27))+(P59*SIN(-1*B27)))</f>
        <v>80.030578494583835</v>
      </c>
      <c r="F75">
        <f>(-1*(O59)*SIN(-1*B27))+((P59)*COS(-1*B27))</f>
        <v>46.695084569785124</v>
      </c>
      <c r="BC75">
        <v>1.2740903539558619</v>
      </c>
      <c r="BD75">
        <v>131.51311699273819</v>
      </c>
      <c r="BE75">
        <v>16.487614696394203</v>
      </c>
      <c r="BF75" s="6">
        <f t="shared" si="82"/>
        <v>0.12471790233716205</v>
      </c>
      <c r="BG75" s="6">
        <f t="shared" si="83"/>
        <v>1.1493724516186998</v>
      </c>
      <c r="BH75" s="6">
        <f t="shared" si="84"/>
        <v>0.33892970666364408</v>
      </c>
      <c r="BI75" s="6">
        <f t="shared" si="85"/>
        <v>0.33892970666364408</v>
      </c>
      <c r="BJ75">
        <v>195.47821756475449</v>
      </c>
      <c r="BK75">
        <v>24.506829481682452</v>
      </c>
      <c r="BV75" s="38"/>
      <c r="BW75" s="6">
        <f t="shared" si="18"/>
        <v>1.0471975511965987</v>
      </c>
      <c r="BX75" s="9">
        <f t="shared" ca="1" si="27"/>
        <v>-172.46120352858588</v>
      </c>
      <c r="BY75" s="9">
        <f t="shared" ca="1" si="28"/>
        <v>-8.8303291770665684</v>
      </c>
      <c r="BZ75">
        <f t="shared" ca="1" si="29"/>
        <v>172.68712006372587</v>
      </c>
      <c r="CA75" s="6">
        <f t="shared" ca="1" si="30"/>
        <v>-0.99869175804740606</v>
      </c>
      <c r="CB75" s="6">
        <f t="shared" ca="1" si="31"/>
        <v>-5.1134845342304371E-2</v>
      </c>
      <c r="CC75" s="6">
        <f t="shared" ca="1" si="32"/>
        <v>-3.0904354976553523</v>
      </c>
      <c r="CD75" s="6">
        <f t="shared" ca="1" si="33"/>
        <v>72.461203528585884</v>
      </c>
      <c r="CE75" s="9">
        <f t="shared" ca="1" si="34"/>
        <v>-41.169670822933433</v>
      </c>
      <c r="CF75">
        <f t="shared" ca="1" si="35"/>
        <v>83.340073268985336</v>
      </c>
      <c r="CG75" s="6">
        <f t="shared" ca="1" si="36"/>
        <v>0.86946412075632318</v>
      </c>
      <c r="CH75" s="6">
        <f t="shared" ca="1" si="37"/>
        <v>-0.49399609585242055</v>
      </c>
      <c r="CI75" s="6">
        <f t="shared" ca="1" si="38"/>
        <v>-0.51667982839502036</v>
      </c>
      <c r="CJ75" s="1">
        <f t="shared" ca="1" si="39"/>
        <v>0.9803274373958264</v>
      </c>
      <c r="CK75" s="38"/>
    </row>
    <row r="76" spans="1:89" x14ac:dyDescent="0.25">
      <c r="A76" s="8" t="s">
        <v>66</v>
      </c>
      <c r="B76" s="9">
        <f ca="1">O57+N72</f>
        <v>1414.4530058852097</v>
      </c>
      <c r="C76" t="s">
        <v>69</v>
      </c>
      <c r="E76">
        <f ca="1">((N73*COS(-1*B27))+(O73*SIN(-1*B27)))</f>
        <v>66.726710675261586</v>
      </c>
      <c r="F76">
        <f ca="1">(-1*(N73)*SIN(-1*B27))+((O73)*COS(-1*B27))</f>
        <v>26.690684270104637</v>
      </c>
      <c r="BC76">
        <v>1.2915436464758052</v>
      </c>
      <c r="BD76">
        <v>128.39660413211945</v>
      </c>
      <c r="BE76">
        <v>16.999012346482957</v>
      </c>
      <c r="BF76" s="6">
        <f t="shared" si="82"/>
        <v>0.1316290469059084</v>
      </c>
      <c r="BG76" s="6">
        <f t="shared" si="83"/>
        <v>1.1599145995698967</v>
      </c>
      <c r="BH76" s="6">
        <f t="shared" si="84"/>
        <v>0.33201856209489772</v>
      </c>
      <c r="BI76" s="6">
        <f t="shared" si="85"/>
        <v>0.33201856209489772</v>
      </c>
      <c r="BJ76">
        <v>191.03797070645362</v>
      </c>
      <c r="BK76">
        <v>25.292388725051001</v>
      </c>
      <c r="BV76" s="38"/>
      <c r="BW76" s="6">
        <f t="shared" si="18"/>
        <v>1.0646508437165421</v>
      </c>
      <c r="BX76" s="9">
        <f t="shared" ca="1" si="27"/>
        <v>-169.26907431048778</v>
      </c>
      <c r="BY76" s="9">
        <f t="shared" ca="1" si="28"/>
        <v>-9.5408359772693458</v>
      </c>
      <c r="BZ76">
        <f t="shared" ca="1" si="29"/>
        <v>169.53774526362733</v>
      </c>
      <c r="CA76" s="6">
        <f t="shared" ca="1" si="30"/>
        <v>-0.99841527352671955</v>
      </c>
      <c r="CB76" s="6">
        <f t="shared" ca="1" si="31"/>
        <v>-5.6275586079274346E-2</v>
      </c>
      <c r="CC76" s="6">
        <f t="shared" ca="1" si="32"/>
        <v>-3.0852873215169394</v>
      </c>
      <c r="CD76" s="6">
        <f t="shared" ca="1" si="33"/>
        <v>69.269074310487781</v>
      </c>
      <c r="CE76" s="9">
        <f t="shared" ca="1" si="34"/>
        <v>-40.459164022730654</v>
      </c>
      <c r="CF76">
        <f t="shared" ca="1" si="35"/>
        <v>80.219378015851632</v>
      </c>
      <c r="CG76" s="6">
        <f t="shared" ca="1" si="36"/>
        <v>0.86349552968111976</v>
      </c>
      <c r="CH76" s="6">
        <f t="shared" ca="1" si="37"/>
        <v>-0.5043564912051024</v>
      </c>
      <c r="CI76" s="6">
        <f t="shared" ca="1" si="38"/>
        <v>-0.52863656601420628</v>
      </c>
      <c r="CJ76" s="1">
        <f t="shared" ca="1" si="39"/>
        <v>0.99228417501501243</v>
      </c>
      <c r="CK76" s="38"/>
    </row>
    <row r="77" spans="1:89" x14ac:dyDescent="0.25">
      <c r="A77" s="8" t="s">
        <v>67</v>
      </c>
      <c r="B77" s="9">
        <f ca="1">P57+O72</f>
        <v>-1369.766259290825</v>
      </c>
      <c r="C77" t="s">
        <v>69</v>
      </c>
      <c r="BC77">
        <v>1.3089969389957485</v>
      </c>
      <c r="BD77">
        <v>125.27144042710707</v>
      </c>
      <c r="BE77">
        <v>17.513190914542758</v>
      </c>
      <c r="BF77" s="6">
        <f t="shared" si="82"/>
        <v>0.13890168759546395</v>
      </c>
      <c r="BG77" s="6">
        <f t="shared" si="83"/>
        <v>1.1700952514002845</v>
      </c>
      <c r="BH77" s="6">
        <f t="shared" si="84"/>
        <v>0.32474592140534214</v>
      </c>
      <c r="BI77" s="6">
        <f t="shared" si="85"/>
        <v>0.32474592140534214</v>
      </c>
      <c r="BJ77">
        <v>186.51066837969464</v>
      </c>
      <c r="BK77">
        <v>26.074554038781219</v>
      </c>
      <c r="BV77" s="38"/>
      <c r="BW77" s="6">
        <f t="shared" si="18"/>
        <v>1.0821041362364854</v>
      </c>
      <c r="BX77" s="9">
        <f t="shared" ca="1" si="27"/>
        <v>-166.10206206322704</v>
      </c>
      <c r="BY77" s="9">
        <f t="shared" ca="1" si="28"/>
        <v>-10.228379649146277</v>
      </c>
      <c r="BZ77">
        <f t="shared" ca="1" si="29"/>
        <v>166.41669018431776</v>
      </c>
      <c r="CA77" s="6">
        <f t="shared" ca="1" si="30"/>
        <v>-0.99810939563368162</v>
      </c>
      <c r="CB77" s="6">
        <f t="shared" ca="1" si="31"/>
        <v>-6.1462462916535912E-2</v>
      </c>
      <c r="CC77" s="6">
        <f t="shared" ca="1" si="32"/>
        <v>-3.0800914276238518</v>
      </c>
      <c r="CD77" s="6">
        <f t="shared" ca="1" si="33"/>
        <v>66.102062063227038</v>
      </c>
      <c r="CE77" s="9">
        <f t="shared" ca="1" si="34"/>
        <v>-39.771620350853723</v>
      </c>
      <c r="CF77">
        <f t="shared" ca="1" si="35"/>
        <v>77.144438518555319</v>
      </c>
      <c r="CG77" s="6">
        <f t="shared" ca="1" si="36"/>
        <v>0.85686101723752528</v>
      </c>
      <c r="CH77" s="6">
        <f t="shared" ca="1" si="37"/>
        <v>-0.51554747321529315</v>
      </c>
      <c r="CI77" s="6">
        <f t="shared" ca="1" si="38"/>
        <v>-0.54164645536950284</v>
      </c>
      <c r="CJ77" s="1">
        <f t="shared" ca="1" si="39"/>
        <v>1.005294064370309</v>
      </c>
      <c r="CK77" s="38"/>
    </row>
    <row r="78" spans="1:89" x14ac:dyDescent="0.25">
      <c r="BC78">
        <v>1.3264502315156919</v>
      </c>
      <c r="BD78">
        <v>122.13158566746442</v>
      </c>
      <c r="BE78">
        <v>18.034859092609519</v>
      </c>
      <c r="BF78" s="6">
        <f t="shared" si="82"/>
        <v>0.14660794238473376</v>
      </c>
      <c r="BG78" s="6">
        <f t="shared" si="83"/>
        <v>1.1798422891309581</v>
      </c>
      <c r="BH78" s="6">
        <f t="shared" si="84"/>
        <v>0.3170396666160723</v>
      </c>
      <c r="BI78" s="6">
        <f t="shared" si="85"/>
        <v>0.3170396666160723</v>
      </c>
      <c r="BJ78">
        <v>181.8797713276586</v>
      </c>
      <c r="BK78">
        <v>26.857720955343293</v>
      </c>
      <c r="BV78" s="38"/>
      <c r="BW78" s="6">
        <f t="shared" si="18"/>
        <v>1.0995574287564287</v>
      </c>
      <c r="BX78" s="9">
        <f t="shared" ca="1" si="27"/>
        <v>-162.95694417732639</v>
      </c>
      <c r="BY78" s="9">
        <f t="shared" ca="1" si="28"/>
        <v>-10.894335518977954</v>
      </c>
      <c r="BZ78">
        <f t="shared" ca="1" si="29"/>
        <v>163.32070353146392</v>
      </c>
      <c r="CA78" s="6">
        <f t="shared" ca="1" si="30"/>
        <v>-0.99777272968905961</v>
      </c>
      <c r="CB78" s="6">
        <f t="shared" ca="1" si="31"/>
        <v>-6.6705171380058062E-2</v>
      </c>
      <c r="CC78" s="6">
        <f t="shared" ca="1" si="32"/>
        <v>-3.0748379145641045</v>
      </c>
      <c r="CD78" s="6">
        <f t="shared" ca="1" si="33"/>
        <v>62.956944177326392</v>
      </c>
      <c r="CE78" s="9">
        <f t="shared" ca="1" si="34"/>
        <v>-39.105664481022046</v>
      </c>
      <c r="CF78">
        <f t="shared" ca="1" si="35"/>
        <v>74.113627725602939</v>
      </c>
      <c r="CG78" s="6">
        <f t="shared" ca="1" si="36"/>
        <v>0.84946515383671584</v>
      </c>
      <c r="CH78" s="6">
        <f t="shared" ca="1" si="37"/>
        <v>-0.52764472177513977</v>
      </c>
      <c r="CI78" s="6">
        <f t="shared" ca="1" si="38"/>
        <v>-0.55582550986607948</v>
      </c>
      <c r="CJ78" s="1">
        <f t="shared" ca="1" si="39"/>
        <v>1.0194731188668855</v>
      </c>
      <c r="CK78" s="38"/>
    </row>
    <row r="79" spans="1:89" x14ac:dyDescent="0.25">
      <c r="A79" s="8" t="s">
        <v>64</v>
      </c>
      <c r="B79">
        <f ca="1">((B76*COS(-1*B27))+(B77*SIN(-1*B27)))</f>
        <v>1761.0874700381451</v>
      </c>
      <c r="C79" t="s">
        <v>69</v>
      </c>
      <c r="BC79">
        <v>1.3439035240356352</v>
      </c>
      <c r="BD79">
        <v>118.969113310944</v>
      </c>
      <c r="BE79">
        <v>18.569975511962372</v>
      </c>
      <c r="BF79" s="6">
        <f t="shared" si="82"/>
        <v>0.15484126200074566</v>
      </c>
      <c r="BG79" s="6">
        <f t="shared" si="83"/>
        <v>1.1890622620348896</v>
      </c>
      <c r="BH79" s="6">
        <f t="shared" si="84"/>
        <v>0.30880634700006049</v>
      </c>
      <c r="BI79" s="6">
        <f t="shared" si="85"/>
        <v>0.30880634700006049</v>
      </c>
      <c r="BJ79">
        <v>177.1240714845176</v>
      </c>
      <c r="BK79">
        <v>27.647425272892164</v>
      </c>
      <c r="BV79" s="38"/>
      <c r="BW79" s="6">
        <f t="shared" ref="BW79:BW142" si="86">BC66</f>
        <v>1.117010721276372</v>
      </c>
      <c r="BX79" s="9">
        <f t="shared" ca="1" si="27"/>
        <v>-159.80756624782228</v>
      </c>
      <c r="BY79" s="9">
        <f t="shared" ca="1" si="28"/>
        <v>-11.535307893557247</v>
      </c>
      <c r="BZ79">
        <f t="shared" ca="1" si="29"/>
        <v>160.22334897963927</v>
      </c>
      <c r="CA79" s="6">
        <f t="shared" ca="1" si="30"/>
        <v>-0.99740498039477488</v>
      </c>
      <c r="CB79" s="6">
        <f t="shared" ca="1" si="31"/>
        <v>-7.1995174030615991E-2</v>
      </c>
      <c r="CC79" s="6">
        <f t="shared" ca="1" si="32"/>
        <v>-3.0695351385478871</v>
      </c>
      <c r="CD79" s="6">
        <f t="shared" ca="1" si="33"/>
        <v>59.80756624782228</v>
      </c>
      <c r="CE79" s="9">
        <f t="shared" ca="1" si="34"/>
        <v>-38.464692106442754</v>
      </c>
      <c r="CF79">
        <f t="shared" ca="1" si="35"/>
        <v>71.108913079381907</v>
      </c>
      <c r="CG79" s="6">
        <f t="shared" ca="1" si="36"/>
        <v>0.84106989768014806</v>
      </c>
      <c r="CH79" s="6">
        <f t="shared" ca="1" si="37"/>
        <v>-0.54092645268678174</v>
      </c>
      <c r="CI79" s="6">
        <f t="shared" ca="1" si="38"/>
        <v>-0.57153823660108216</v>
      </c>
      <c r="CJ79" s="1">
        <f t="shared" ca="1" si="39"/>
        <v>1.0351858456018883</v>
      </c>
      <c r="CK79" s="38"/>
    </row>
    <row r="80" spans="1:89" x14ac:dyDescent="0.25">
      <c r="A80" s="8" t="s">
        <v>65</v>
      </c>
      <c r="B80">
        <f ca="1">(-1*(B76)*SIN(-1*B27))+((B77)*COS(-1*B27))</f>
        <v>880.62922607867711</v>
      </c>
      <c r="C80" t="s">
        <v>69</v>
      </c>
      <c r="BC80">
        <v>1.3613568165555785</v>
      </c>
      <c r="BD80">
        <v>115.77306501068053</v>
      </c>
      <c r="BE80">
        <v>19.126264282565849</v>
      </c>
      <c r="BF80" s="6">
        <f t="shared" si="82"/>
        <v>0.16372596948988138</v>
      </c>
      <c r="BG80" s="6">
        <f t="shared" si="83"/>
        <v>1.1976308470656971</v>
      </c>
      <c r="BH80" s="6">
        <f t="shared" si="84"/>
        <v>0.29992163951092471</v>
      </c>
      <c r="BI80" s="6">
        <f t="shared" si="85"/>
        <v>0.29992163951092471</v>
      </c>
      <c r="BJ80">
        <v>172.21544158231774</v>
      </c>
      <c r="BK80">
        <v>28.450814953705507</v>
      </c>
      <c r="BV80" s="38"/>
      <c r="BW80" s="6">
        <f t="shared" si="86"/>
        <v>1.1344640137963153</v>
      </c>
      <c r="BX80" s="9">
        <f t="shared" ref="BX80:BX143" ca="1" si="87">$BW$5-BD67</f>
        <v>-156.60463447580469</v>
      </c>
      <c r="BY80" s="9">
        <f t="shared" ref="BY80:BY143" ca="1" si="88">$BX$5-BE67</f>
        <v>-12.141627576572018</v>
      </c>
      <c r="BZ80">
        <f t="shared" ref="BZ80:BZ143" ca="1" si="89">SQRT(POWER(BX80,2)+POWER(BY80,2))</f>
        <v>157.07460221025093</v>
      </c>
      <c r="CA80" s="6">
        <f t="shared" ref="CA80:CA143" ca="1" si="90">BX80/BZ80</f>
        <v>-0.99700799665997453</v>
      </c>
      <c r="CB80" s="6">
        <f t="shared" ref="CB80:CB143" ca="1" si="91">BY80/BZ80</f>
        <v>-7.7298477320476941E-2</v>
      </c>
      <c r="CC80" s="6">
        <f t="shared" ref="CC80:CC143" ca="1" si="92">ATAN2(CA80,CB80)</f>
        <v>-3.064216991452414</v>
      </c>
      <c r="CD80" s="6">
        <f t="shared" ref="CD80:CD143" ca="1" si="93">$BW$9-BX80</f>
        <v>56.604634475804687</v>
      </c>
      <c r="CE80" s="9">
        <f t="shared" ref="CE80:CE143" ca="1" si="94">$BX$9-BY80</f>
        <v>-37.85837242342798</v>
      </c>
      <c r="CF80">
        <f t="shared" ref="CF80:CF143" ca="1" si="95">SQRT(POWER(CD80,2)+POWER(CE80,2))</f>
        <v>68.09802498377195</v>
      </c>
      <c r="CG80" s="6">
        <f t="shared" ref="CG80:CG143" ca="1" si="96">CD80/CF80</f>
        <v>0.83122285101945048</v>
      </c>
      <c r="CH80" s="6">
        <f t="shared" ref="CH80:CH143" ca="1" si="97">CE80/CF80</f>
        <v>-0.55593935995133181</v>
      </c>
      <c r="CI80" s="6">
        <f t="shared" ref="CI80:CI143" ca="1" si="98">ATAN2(CG80,CH80)</f>
        <v>-0.58949263361304016</v>
      </c>
      <c r="CJ80" s="1">
        <f t="shared" ref="CJ80:CJ143" ca="1" si="99">ATAN2(COS($U$13-CI80),SIN($U$13-CI80))</f>
        <v>1.0531402426138463</v>
      </c>
      <c r="CK80" s="38"/>
    </row>
    <row r="81" spans="1:89" x14ac:dyDescent="0.25">
      <c r="BC81">
        <v>1.3788101090755218</v>
      </c>
      <c r="BD81">
        <v>112.52752159601688</v>
      </c>
      <c r="BE81">
        <v>19.713978453347778</v>
      </c>
      <c r="BF81" s="6">
        <f t="shared" si="82"/>
        <v>0.1734324456104126</v>
      </c>
      <c r="BG81" s="6">
        <f t="shared" si="83"/>
        <v>1.2053776634651092</v>
      </c>
      <c r="BH81" s="6">
        <f t="shared" si="84"/>
        <v>0.29021516339039344</v>
      </c>
      <c r="BI81" s="6">
        <f t="shared" si="85"/>
        <v>0.29021516339039344</v>
      </c>
      <c r="BJ81">
        <v>167.11524278268129</v>
      </c>
      <c r="BK81">
        <v>29.277338101085281</v>
      </c>
      <c r="BV81" s="38"/>
      <c r="BW81" s="6">
        <f t="shared" si="86"/>
        <v>1.1519173063162587</v>
      </c>
      <c r="BX81" s="9">
        <f t="shared" ca="1" si="87"/>
        <v>-153.42317129358614</v>
      </c>
      <c r="BY81" s="9">
        <f t="shared" ca="1" si="88"/>
        <v>-12.729886041852875</v>
      </c>
      <c r="BZ81">
        <f t="shared" ca="1" si="89"/>
        <v>153.95037995542472</v>
      </c>
      <c r="CA81" s="6">
        <f t="shared" ca="1" si="90"/>
        <v>-0.99657546371765215</v>
      </c>
      <c r="CB81" s="6">
        <f t="shared" ca="1" si="91"/>
        <v>-8.2688240493714441E-2</v>
      </c>
      <c r="CC81" s="6">
        <f t="shared" ca="1" si="92"/>
        <v>-3.0588098939831814</v>
      </c>
      <c r="CD81" s="6">
        <f t="shared" ca="1" si="93"/>
        <v>53.423171293586137</v>
      </c>
      <c r="CE81" s="9">
        <f t="shared" ca="1" si="94"/>
        <v>-37.270113958147121</v>
      </c>
      <c r="CF81">
        <f t="shared" ca="1" si="95"/>
        <v>65.139056068668353</v>
      </c>
      <c r="CG81" s="6">
        <f t="shared" ca="1" si="96"/>
        <v>0.82014039683455719</v>
      </c>
      <c r="CH81" s="6">
        <f t="shared" ca="1" si="97"/>
        <v>-0.57216232791058064</v>
      </c>
      <c r="CI81" s="6">
        <f t="shared" ca="1" si="98"/>
        <v>-0.60913997179132939</v>
      </c>
      <c r="CJ81" s="1">
        <f t="shared" ca="1" si="99"/>
        <v>1.0727875807921354</v>
      </c>
      <c r="CK81" s="38"/>
    </row>
    <row r="82" spans="1:89" x14ac:dyDescent="0.25">
      <c r="B82">
        <f>ATAN2(1,0)</f>
        <v>0</v>
      </c>
      <c r="BC82">
        <v>1.3962634015954651</v>
      </c>
      <c r="BD82">
        <v>109.2188717852531</v>
      </c>
      <c r="BE82">
        <v>20.342814244519666</v>
      </c>
      <c r="BF82" s="6">
        <f t="shared" si="82"/>
        <v>0.18414720357183881</v>
      </c>
      <c r="BG82" s="6">
        <f t="shared" si="83"/>
        <v>1.2121161980236264</v>
      </c>
      <c r="BH82" s="6">
        <f t="shared" si="84"/>
        <v>0.27950040542896731</v>
      </c>
      <c r="BI82" s="6">
        <f t="shared" si="85"/>
        <v>0.27950040542896731</v>
      </c>
      <c r="BJ82">
        <v>161.78943277266018</v>
      </c>
      <c r="BK82">
        <v>30.13446599312719</v>
      </c>
      <c r="BV82" s="38"/>
      <c r="BW82" s="6">
        <f t="shared" si="86"/>
        <v>1.169370598836202</v>
      </c>
      <c r="BX82" s="9">
        <f t="shared" ca="1" si="87"/>
        <v>-150.26036147677982</v>
      </c>
      <c r="BY82" s="9">
        <f t="shared" ca="1" si="88"/>
        <v>-13.301671561246414</v>
      </c>
      <c r="BZ82">
        <f t="shared" ca="1" si="89"/>
        <v>150.84797213570957</v>
      </c>
      <c r="CA82" s="6">
        <f t="shared" ca="1" si="90"/>
        <v>-0.99610461678330608</v>
      </c>
      <c r="CB82" s="6">
        <f t="shared" ca="1" si="91"/>
        <v>-8.8179319701292613E-2</v>
      </c>
      <c r="CC82" s="6">
        <f t="shared" ca="1" si="92"/>
        <v>-3.0532986577716166</v>
      </c>
      <c r="CD82" s="6">
        <f t="shared" ca="1" si="93"/>
        <v>50.260361476779821</v>
      </c>
      <c r="CE82" s="9">
        <f t="shared" ca="1" si="94"/>
        <v>-36.698328438753585</v>
      </c>
      <c r="CF82">
        <f t="shared" ca="1" si="95"/>
        <v>62.232397077207331</v>
      </c>
      <c r="CG82" s="6">
        <f t="shared" ca="1" si="96"/>
        <v>0.80762374321569752</v>
      </c>
      <c r="CH82" s="6">
        <f t="shared" ca="1" si="97"/>
        <v>-0.58969813412818672</v>
      </c>
      <c r="CI82" s="6">
        <f t="shared" ca="1" si="98"/>
        <v>-0.63068501932425647</v>
      </c>
      <c r="CJ82" s="1">
        <f t="shared" ca="1" si="99"/>
        <v>1.0943326283250625</v>
      </c>
      <c r="CK82" s="38"/>
    </row>
    <row r="83" spans="1:89" x14ac:dyDescent="0.25">
      <c r="A83" t="s">
        <v>74</v>
      </c>
      <c r="B83">
        <f ca="1">ATAN2(B79,B80)</f>
        <v>0.46368644382349428</v>
      </c>
      <c r="BC83">
        <v>1.4137166941154085</v>
      </c>
      <c r="BD83">
        <v>105.73285241018895</v>
      </c>
      <c r="BE83">
        <v>20.93913786199635</v>
      </c>
      <c r="BF83" s="6">
        <f t="shared" si="82"/>
        <v>0.19550845021919905</v>
      </c>
      <c r="BG83" s="6">
        <f t="shared" si="83"/>
        <v>1.2182082438962094</v>
      </c>
      <c r="BH83" s="6">
        <f t="shared" si="84"/>
        <v>0.26813915878160705</v>
      </c>
      <c r="BI83" s="6">
        <f t="shared" si="85"/>
        <v>0.26813915878160705</v>
      </c>
      <c r="BJ83">
        <v>155.88059178534007</v>
      </c>
      <c r="BK83">
        <v>30.870303098796146</v>
      </c>
      <c r="BV83" s="38"/>
      <c r="BW83" s="6">
        <f t="shared" si="86"/>
        <v>1.1868238913561453</v>
      </c>
      <c r="BX83" s="9">
        <f t="shared" ca="1" si="87"/>
        <v>-147.1133951254775</v>
      </c>
      <c r="BY83" s="9">
        <f t="shared" ca="1" si="88"/>
        <v>-13.858627579900002</v>
      </c>
      <c r="BZ83">
        <f t="shared" ca="1" si="89"/>
        <v>147.76472036228142</v>
      </c>
      <c r="CA83" s="6">
        <f t="shared" ca="1" si="90"/>
        <v>-0.99559214652044792</v>
      </c>
      <c r="CB83" s="6">
        <f t="shared" ca="1" si="91"/>
        <v>-9.3788473635128738E-2</v>
      </c>
      <c r="CC83" s="6">
        <f t="shared" ca="1" si="92"/>
        <v>-3.0476661345805112</v>
      </c>
      <c r="CD83" s="6">
        <f t="shared" ca="1" si="93"/>
        <v>47.113395125477496</v>
      </c>
      <c r="CE83" s="9">
        <f t="shared" ca="1" si="94"/>
        <v>-36.141372420099998</v>
      </c>
      <c r="CF83">
        <f t="shared" ca="1" si="95"/>
        <v>59.379043446806484</v>
      </c>
      <c r="CG83" s="6">
        <f t="shared" ca="1" si="96"/>
        <v>0.79343472697877115</v>
      </c>
      <c r="CH83" s="6">
        <f t="shared" ca="1" si="97"/>
        <v>-0.60865534912963892</v>
      </c>
      <c r="CI83" s="6">
        <f t="shared" ca="1" si="98"/>
        <v>-0.65436476559486134</v>
      </c>
      <c r="CJ83" s="1">
        <f t="shared" ca="1" si="99"/>
        <v>1.1180123745956674</v>
      </c>
      <c r="CK83" s="38"/>
    </row>
    <row r="84" spans="1:89" x14ac:dyDescent="0.25">
      <c r="BC84">
        <v>1.4311699866353518</v>
      </c>
      <c r="BD84">
        <v>102.16211995533689</v>
      </c>
      <c r="BE84">
        <v>21.546128679339859</v>
      </c>
      <c r="BF84" s="6">
        <f t="shared" si="82"/>
        <v>0.20785531374191393</v>
      </c>
      <c r="BG84" s="6">
        <f t="shared" si="83"/>
        <v>1.2233146728934379</v>
      </c>
      <c r="BH84" s="6">
        <f t="shared" si="84"/>
        <v>0.25579229525889213</v>
      </c>
      <c r="BI84" s="6">
        <f t="shared" si="85"/>
        <v>0.25579229525889213</v>
      </c>
      <c r="BJ84">
        <v>149.62671950278036</v>
      </c>
      <c r="BK84">
        <v>31.556476644022336</v>
      </c>
      <c r="BV84" s="38"/>
      <c r="BW84" s="6">
        <f t="shared" si="86"/>
        <v>1.2042771838760886</v>
      </c>
      <c r="BX84" s="9">
        <f t="shared" ca="1" si="87"/>
        <v>-143.97943541744428</v>
      </c>
      <c r="BY84" s="9">
        <f t="shared" ca="1" si="88"/>
        <v>-14.402487894380945</v>
      </c>
      <c r="BZ84">
        <f t="shared" ca="1" si="89"/>
        <v>144.69799404509311</v>
      </c>
      <c r="CA84" s="6">
        <f t="shared" ca="1" si="90"/>
        <v>-0.99503408024146556</v>
      </c>
      <c r="CB84" s="6">
        <f t="shared" ca="1" si="91"/>
        <v>-9.9534813799095317E-2</v>
      </c>
      <c r="CC84" s="6">
        <f t="shared" ca="1" si="92"/>
        <v>-3.0418927511845646</v>
      </c>
      <c r="CD84" s="6">
        <f t="shared" ca="1" si="93"/>
        <v>43.979435417444279</v>
      </c>
      <c r="CE84" s="9">
        <f t="shared" ca="1" si="94"/>
        <v>-35.597512105619053</v>
      </c>
      <c r="CF84">
        <f t="shared" ca="1" si="95"/>
        <v>56.580682284211164</v>
      </c>
      <c r="CG84" s="6">
        <f t="shared" ca="1" si="96"/>
        <v>0.77728711712118637</v>
      </c>
      <c r="CH84" s="6">
        <f t="shared" ca="1" si="97"/>
        <v>-0.62914603833882254</v>
      </c>
      <c r="CI84" s="6">
        <f t="shared" ca="1" si="98"/>
        <v>-0.68045407863286966</v>
      </c>
      <c r="CJ84" s="1">
        <f t="shared" ca="1" si="99"/>
        <v>1.1441016876336758</v>
      </c>
      <c r="CK84" s="38"/>
    </row>
    <row r="85" spans="1:89" x14ac:dyDescent="0.25">
      <c r="BC85">
        <v>1.4486232791552951</v>
      </c>
      <c r="BD85">
        <v>98.537496807824269</v>
      </c>
      <c r="BE85">
        <v>22.178965059425856</v>
      </c>
      <c r="BF85" s="6">
        <f t="shared" si="82"/>
        <v>0.22139198944572219</v>
      </c>
      <c r="BG85" s="6">
        <f t="shared" si="83"/>
        <v>1.227231289709573</v>
      </c>
      <c r="BH85" s="6">
        <f t="shared" si="84"/>
        <v>0.2422556195550839</v>
      </c>
      <c r="BI85" s="6">
        <f t="shared" si="85"/>
        <v>0.2422556195550839</v>
      </c>
      <c r="BJ85">
        <v>143.08583491202512</v>
      </c>
      <c r="BK85">
        <v>32.205970679382972</v>
      </c>
      <c r="BV85" s="38"/>
      <c r="BW85" s="6">
        <f t="shared" si="86"/>
        <v>1.2217304763960319</v>
      </c>
      <c r="BX85" s="9">
        <f t="shared" ca="1" si="87"/>
        <v>-140.85557634286354</v>
      </c>
      <c r="BY85" s="9">
        <f t="shared" ca="1" si="88"/>
        <v>-14.935120231130115</v>
      </c>
      <c r="BZ85">
        <f t="shared" ca="1" si="89"/>
        <v>141.64515947676637</v>
      </c>
      <c r="CA85" s="6">
        <f t="shared" ca="1" si="90"/>
        <v>-0.99442562571979498</v>
      </c>
      <c r="CB85" s="6">
        <f t="shared" ca="1" si="91"/>
        <v>-0.10544038558253647</v>
      </c>
      <c r="CC85" s="6">
        <f t="shared" ca="1" si="92"/>
        <v>-3.0359559087141808</v>
      </c>
      <c r="CD85" s="6">
        <f t="shared" ca="1" si="93"/>
        <v>40.855576342863543</v>
      </c>
      <c r="CE85" s="9">
        <f t="shared" ca="1" si="94"/>
        <v>-35.064879768869886</v>
      </c>
      <c r="CF85">
        <f t="shared" ca="1" si="95"/>
        <v>53.839798583509314</v>
      </c>
      <c r="CG85" s="6">
        <f t="shared" ca="1" si="96"/>
        <v>0.75883598040385813</v>
      </c>
      <c r="CH85" s="6">
        <f t="shared" ca="1" si="97"/>
        <v>-0.65128177837593115</v>
      </c>
      <c r="CI85" s="6">
        <f t="shared" ca="1" si="98"/>
        <v>-0.70927235248992238</v>
      </c>
      <c r="CJ85" s="1">
        <f t="shared" ca="1" si="99"/>
        <v>1.1729199614907284</v>
      </c>
      <c r="CK85" s="38"/>
    </row>
    <row r="86" spans="1:89" x14ac:dyDescent="0.25">
      <c r="BC86">
        <v>1.4660765716752384</v>
      </c>
      <c r="BD86">
        <v>94.873663018924432</v>
      </c>
      <c r="BE86">
        <v>22.84403852885805</v>
      </c>
      <c r="BF86" s="6">
        <f t="shared" si="82"/>
        <v>0.23628593510933718</v>
      </c>
      <c r="BG86" s="6">
        <f t="shared" si="83"/>
        <v>1.2297906365659013</v>
      </c>
      <c r="BH86" s="6">
        <f t="shared" si="84"/>
        <v>0.22736167389146889</v>
      </c>
      <c r="BI86" s="6">
        <f t="shared" si="85"/>
        <v>0.22736167389146889</v>
      </c>
      <c r="BJ86">
        <v>136.25805975960174</v>
      </c>
      <c r="BK86">
        <v>32.808729714535197</v>
      </c>
      <c r="BV86" s="38"/>
      <c r="BW86" s="6">
        <f t="shared" si="86"/>
        <v>1.2391837689159753</v>
      </c>
      <c r="BX86" s="9">
        <f t="shared" ca="1" si="87"/>
        <v>-137.73878510822937</v>
      </c>
      <c r="BY86" s="9">
        <f t="shared" ca="1" si="88"/>
        <v>-15.458581445949415</v>
      </c>
      <c r="BZ86">
        <f t="shared" ca="1" si="89"/>
        <v>138.60353770164755</v>
      </c>
      <c r="CA86" s="6">
        <f t="shared" ca="1" si="90"/>
        <v>-0.99376096304785799</v>
      </c>
      <c r="CB86" s="6">
        <f t="shared" ca="1" si="91"/>
        <v>-0.11153092989029574</v>
      </c>
      <c r="CC86" s="6">
        <f t="shared" ca="1" si="92"/>
        <v>-3.0298291947622644</v>
      </c>
      <c r="CD86" s="6">
        <f t="shared" ca="1" si="93"/>
        <v>37.738785108229365</v>
      </c>
      <c r="CE86" s="9">
        <f t="shared" ca="1" si="94"/>
        <v>-34.541418554050587</v>
      </c>
      <c r="CF86">
        <f t="shared" ca="1" si="95"/>
        <v>51.15980352944316</v>
      </c>
      <c r="CG86" s="6">
        <f t="shared" ca="1" si="96"/>
        <v>0.7376647779053761</v>
      </c>
      <c r="CH86" s="6">
        <f t="shared" ca="1" si="97"/>
        <v>-0.67516714629624275</v>
      </c>
      <c r="CI86" s="6">
        <f t="shared" ca="1" si="98"/>
        <v>-0.74119126713325767</v>
      </c>
      <c r="CJ86" s="1">
        <f t="shared" ca="1" si="99"/>
        <v>1.2048388761340638</v>
      </c>
      <c r="CK86" s="38"/>
    </row>
    <row r="87" spans="1:89" x14ac:dyDescent="0.25">
      <c r="A87" t="s">
        <v>119</v>
      </c>
      <c r="BC87">
        <v>1.4835298641951817</v>
      </c>
      <c r="BD87">
        <v>91.190871709275797</v>
      </c>
      <c r="BE87">
        <v>23.551109369899745</v>
      </c>
      <c r="BF87" s="6">
        <f t="shared" si="82"/>
        <v>0.25273913698550504</v>
      </c>
      <c r="BG87" s="6">
        <f t="shared" si="83"/>
        <v>1.2307907272096767</v>
      </c>
      <c r="BH87" s="6">
        <f t="shared" si="84"/>
        <v>0.21090847201530105</v>
      </c>
      <c r="BI87" s="6">
        <f t="shared" si="85"/>
        <v>0.21090847201530105</v>
      </c>
      <c r="BJ87">
        <v>129.14472403562775</v>
      </c>
      <c r="BK87">
        <v>33.35313571741208</v>
      </c>
      <c r="BV87" s="38"/>
      <c r="BW87" s="6">
        <f t="shared" si="86"/>
        <v>1.2566370614359186</v>
      </c>
      <c r="BX87" s="9">
        <f t="shared" ca="1" si="87"/>
        <v>-134.62582092861925</v>
      </c>
      <c r="BY87" s="9">
        <f t="shared" ca="1" si="88"/>
        <v>-15.975188908938655</v>
      </c>
      <c r="BZ87">
        <f t="shared" ca="1" si="89"/>
        <v>135.57034454990861</v>
      </c>
      <c r="CA87" s="6">
        <f t="shared" ca="1" si="90"/>
        <v>-0.99303296289151466</v>
      </c>
      <c r="CB87" s="6">
        <f t="shared" ca="1" si="91"/>
        <v>-0.11783689834215609</v>
      </c>
      <c r="CC87" s="6">
        <f t="shared" ca="1" si="92"/>
        <v>-3.0234813323147183</v>
      </c>
      <c r="CD87" s="6">
        <f t="shared" ca="1" si="93"/>
        <v>34.625820928619248</v>
      </c>
      <c r="CE87" s="9">
        <f t="shared" ca="1" si="94"/>
        <v>-34.024811091061345</v>
      </c>
      <c r="CF87">
        <f t="shared" ca="1" si="95"/>
        <v>48.545187658131653</v>
      </c>
      <c r="CG87" s="6">
        <f t="shared" ca="1" si="96"/>
        <v>0.71326989551392095</v>
      </c>
      <c r="CH87" s="6">
        <f t="shared" ca="1" si="97"/>
        <v>-0.70088947499128584</v>
      </c>
      <c r="CI87" s="6">
        <f t="shared" ca="1" si="98"/>
        <v>-0.77664377227055237</v>
      </c>
      <c r="CJ87" s="1">
        <f t="shared" ca="1" si="99"/>
        <v>1.2402913812713585</v>
      </c>
      <c r="CK87" s="38"/>
    </row>
    <row r="88" spans="1:89" x14ac:dyDescent="0.25">
      <c r="A88" t="s">
        <v>120</v>
      </c>
      <c r="BC88">
        <v>1.5009831567151251</v>
      </c>
      <c r="BD88">
        <v>87.518628043361957</v>
      </c>
      <c r="BE88">
        <v>24.313955155378615</v>
      </c>
      <c r="BF88" s="6">
        <f t="shared" si="82"/>
        <v>0.27098106119714671</v>
      </c>
      <c r="BG88" s="6">
        <f t="shared" si="83"/>
        <v>1.2300020955179782</v>
      </c>
      <c r="BH88" s="6">
        <f t="shared" si="84"/>
        <v>0.19266654780365938</v>
      </c>
      <c r="BI88" s="6">
        <f t="shared" si="85"/>
        <v>0.19266654780365938</v>
      </c>
      <c r="BJ88">
        <v>121.75177292973999</v>
      </c>
      <c r="BK88">
        <v>33.824423591682041</v>
      </c>
      <c r="BV88" s="38"/>
      <c r="BW88" s="6">
        <f t="shared" si="86"/>
        <v>1.2740903539558619</v>
      </c>
      <c r="BX88" s="9">
        <f t="shared" ca="1" si="87"/>
        <v>-131.51311699273819</v>
      </c>
      <c r="BY88" s="9">
        <f t="shared" ca="1" si="88"/>
        <v>-16.487614696394203</v>
      </c>
      <c r="BZ88">
        <f t="shared" ca="1" si="89"/>
        <v>132.54260213049386</v>
      </c>
      <c r="CA88" s="6">
        <f t="shared" ca="1" si="90"/>
        <v>-0.99223279820067134</v>
      </c>
      <c r="CB88" s="6">
        <f t="shared" ca="1" si="91"/>
        <v>-0.12439483178519041</v>
      </c>
      <c r="CC88" s="6">
        <f t="shared" ca="1" si="92"/>
        <v>-3.0168747512526308</v>
      </c>
      <c r="CD88" s="6">
        <f t="shared" ca="1" si="93"/>
        <v>31.51311699273819</v>
      </c>
      <c r="CE88" s="9">
        <f t="shared" ca="1" si="94"/>
        <v>-33.512385303605797</v>
      </c>
      <c r="CF88">
        <f t="shared" ca="1" si="95"/>
        <v>46.0017011787101</v>
      </c>
      <c r="CG88" s="6">
        <f t="shared" ca="1" si="96"/>
        <v>0.68504242637275936</v>
      </c>
      <c r="CH88" s="6">
        <f t="shared" ca="1" si="97"/>
        <v>-0.72850317368514095</v>
      </c>
      <c r="CI88" s="6">
        <f t="shared" ca="1" si="98"/>
        <v>-0.81613439180865499</v>
      </c>
      <c r="CJ88" s="1">
        <f t="shared" ca="1" si="99"/>
        <v>1.2797820008094611</v>
      </c>
      <c r="CK88" s="38"/>
    </row>
    <row r="89" spans="1:89" x14ac:dyDescent="0.25">
      <c r="A89" s="1" t="s">
        <v>8</v>
      </c>
      <c r="B89" s="1" t="s">
        <v>9</v>
      </c>
      <c r="C89" s="1" t="s">
        <v>121</v>
      </c>
      <c r="D89" s="1" t="s">
        <v>122</v>
      </c>
      <c r="E89" s="1" t="s">
        <v>123</v>
      </c>
      <c r="BC89">
        <v>1.5184364492350684</v>
      </c>
      <c r="BD89">
        <v>83.902208536931084</v>
      </c>
      <c r="BE89">
        <v>25.150548292591754</v>
      </c>
      <c r="BF89" s="6">
        <f t="shared" si="82"/>
        <v>0.29123683990183175</v>
      </c>
      <c r="BG89" s="6">
        <f t="shared" si="83"/>
        <v>1.2271996093332367</v>
      </c>
      <c r="BH89" s="6">
        <f t="shared" si="84"/>
        <v>0.17241076909897435</v>
      </c>
      <c r="BI89" s="6">
        <f t="shared" si="85"/>
        <v>0.17241076909897435</v>
      </c>
      <c r="BJ89">
        <v>114.09684305077486</v>
      </c>
      <c r="BK89">
        <v>34.201699945927757</v>
      </c>
      <c r="BV89" s="38"/>
      <c r="BW89" s="6">
        <f t="shared" si="86"/>
        <v>1.2915436464758052</v>
      </c>
      <c r="BX89" s="9">
        <f t="shared" ca="1" si="87"/>
        <v>-128.39660413211945</v>
      </c>
      <c r="BY89" s="9">
        <f t="shared" ca="1" si="88"/>
        <v>-16.999012346482957</v>
      </c>
      <c r="BZ89">
        <f t="shared" ca="1" si="89"/>
        <v>129.51700418638501</v>
      </c>
      <c r="CA89" s="6">
        <f t="shared" ca="1" si="90"/>
        <v>-0.99134939800913546</v>
      </c>
      <c r="CB89" s="6">
        <f t="shared" ca="1" si="91"/>
        <v>-0.13124927072911646</v>
      </c>
      <c r="CC89" s="6">
        <f t="shared" ca="1" si="92"/>
        <v>-3.0099636066838849</v>
      </c>
      <c r="CD89" s="6">
        <f t="shared" ca="1" si="93"/>
        <v>28.39660413211945</v>
      </c>
      <c r="CE89" s="9">
        <f t="shared" ca="1" si="94"/>
        <v>-33.000987653517043</v>
      </c>
      <c r="CF89">
        <f t="shared" ca="1" si="95"/>
        <v>43.536562936730405</v>
      </c>
      <c r="CG89" s="6">
        <f t="shared" ca="1" si="96"/>
        <v>0.65224726566924607</v>
      </c>
      <c r="CH89" s="6">
        <f t="shared" ca="1" si="97"/>
        <v>-0.75800626938501769</v>
      </c>
      <c r="CI89" s="6">
        <f t="shared" ca="1" si="98"/>
        <v>-0.86025095179645517</v>
      </c>
      <c r="CJ89" s="1">
        <f t="shared" ca="1" si="99"/>
        <v>1.3238985607972613</v>
      </c>
      <c r="CK89" s="38"/>
    </row>
    <row r="90" spans="1:89" x14ac:dyDescent="0.25">
      <c r="A90" s="6">
        <f t="shared" ref="A90:A98" si="100">E3-$I$2</f>
        <v>-6</v>
      </c>
      <c r="B90" s="1">
        <f t="shared" ref="B90:B98" si="101">F3-$I$3</f>
        <v>-12</v>
      </c>
      <c r="C90" s="1"/>
      <c r="BC90">
        <v>1.5358897417550117</v>
      </c>
      <c r="BD90">
        <v>80.416294759657276</v>
      </c>
      <c r="BE90">
        <v>26.08181649328678</v>
      </c>
      <c r="BF90" s="6">
        <f t="shared" si="82"/>
        <v>0.31363028403857229</v>
      </c>
      <c r="BG90" s="6">
        <f t="shared" si="83"/>
        <v>1.2222594577164394</v>
      </c>
      <c r="BH90" s="6">
        <f t="shared" si="84"/>
        <v>0.1500173249622338</v>
      </c>
      <c r="BI90" s="6">
        <f t="shared" si="85"/>
        <v>0.1500173249622338</v>
      </c>
      <c r="BJ90">
        <v>106.22525749824482</v>
      </c>
      <c r="BK90">
        <v>34.452565631154485</v>
      </c>
      <c r="BV90" s="38"/>
      <c r="BW90" s="6">
        <f t="shared" si="86"/>
        <v>1.3089969389957485</v>
      </c>
      <c r="BX90" s="9">
        <f t="shared" ca="1" si="87"/>
        <v>-125.27144042710707</v>
      </c>
      <c r="BY90" s="9">
        <f t="shared" ca="1" si="88"/>
        <v>-17.513190914542758</v>
      </c>
      <c r="BZ90">
        <f t="shared" ca="1" si="89"/>
        <v>126.48970567872888</v>
      </c>
      <c r="CA90" s="6">
        <f t="shared" ca="1" si="90"/>
        <v>-0.99036866087177022</v>
      </c>
      <c r="CB90" s="6">
        <f t="shared" ca="1" si="91"/>
        <v>-0.13845546418634652</v>
      </c>
      <c r="CC90" s="6">
        <f t="shared" ca="1" si="92"/>
        <v>-3.0026909659943293</v>
      </c>
      <c r="CD90" s="6">
        <f t="shared" ca="1" si="93"/>
        <v>25.271440427107066</v>
      </c>
      <c r="CE90" s="9">
        <f t="shared" ca="1" si="94"/>
        <v>-32.486809085457239</v>
      </c>
      <c r="CF90">
        <f t="shared" ca="1" si="95"/>
        <v>41.158698543755833</v>
      </c>
      <c r="CG90" s="6">
        <f t="shared" ca="1" si="96"/>
        <v>0.61399998836797487</v>
      </c>
      <c r="CH90" s="6">
        <f t="shared" ca="1" si="97"/>
        <v>-0.78930603335089655</v>
      </c>
      <c r="CI90" s="6">
        <f t="shared" ca="1" si="98"/>
        <v>-0.90967793602331704</v>
      </c>
      <c r="CJ90" s="1">
        <f t="shared" ca="1" si="99"/>
        <v>1.3733255450241231</v>
      </c>
      <c r="CK90" s="38"/>
    </row>
    <row r="91" spans="1:89" x14ac:dyDescent="0.25">
      <c r="A91" s="6">
        <f t="shared" si="100"/>
        <v>6</v>
      </c>
      <c r="B91" s="1">
        <f t="shared" si="101"/>
        <v>-12</v>
      </c>
      <c r="C91" s="1">
        <f t="shared" ref="C91:C98" si="102">((A90*B91)-(A91*B90))*0.5</f>
        <v>72</v>
      </c>
      <c r="D91" s="6">
        <f t="shared" ref="D91:D98" si="103">(A91+A90)*((A90*B91)-(A91*B90))*(1/6)</f>
        <v>0</v>
      </c>
      <c r="E91" s="6">
        <f t="shared" ref="E91:E98" si="104">(B91+B90)*((A90*B91)-(A91*B90))*(1/6)</f>
        <v>-576</v>
      </c>
      <c r="BC91">
        <v>1.553343034274955</v>
      </c>
      <c r="BD91">
        <v>77.191756851495924</v>
      </c>
      <c r="BE91">
        <v>27.137495646990928</v>
      </c>
      <c r="BF91" s="6">
        <f t="shared" si="82"/>
        <v>0.33806345518983177</v>
      </c>
      <c r="BG91" s="6">
        <f t="shared" si="83"/>
        <v>1.2152795790851232</v>
      </c>
      <c r="BH91" s="6">
        <f t="shared" si="84"/>
        <v>0.12558415381097435</v>
      </c>
      <c r="BI91" s="6">
        <f t="shared" si="85"/>
        <v>0.12558415381097435</v>
      </c>
      <c r="BJ91">
        <v>98.225496745739179</v>
      </c>
      <c r="BK91">
        <v>34.532106782971361</v>
      </c>
      <c r="BV91" s="38"/>
      <c r="BW91" s="6">
        <f t="shared" si="86"/>
        <v>1.3264502315156919</v>
      </c>
      <c r="BX91" s="9">
        <f t="shared" ca="1" si="87"/>
        <v>-122.13158566746442</v>
      </c>
      <c r="BY91" s="9">
        <f t="shared" ca="1" si="88"/>
        <v>-18.034859092609519</v>
      </c>
      <c r="BZ91">
        <f t="shared" ca="1" si="89"/>
        <v>123.45598551767137</v>
      </c>
      <c r="CA91" s="6">
        <f t="shared" ca="1" si="90"/>
        <v>-0.98927229129755423</v>
      </c>
      <c r="CB91" s="6">
        <f t="shared" ca="1" si="91"/>
        <v>-0.14608331071990047</v>
      </c>
      <c r="CC91" s="6">
        <f t="shared" ca="1" si="92"/>
        <v>-2.9949847112050594</v>
      </c>
      <c r="CD91" s="6">
        <f t="shared" ca="1" si="93"/>
        <v>22.131585667464421</v>
      </c>
      <c r="CE91" s="9">
        <f t="shared" ca="1" si="94"/>
        <v>-31.965140907390481</v>
      </c>
      <c r="CF91">
        <f t="shared" ca="1" si="95"/>
        <v>38.879008698597822</v>
      </c>
      <c r="CG91" s="6">
        <f t="shared" ca="1" si="96"/>
        <v>0.56924254008211372</v>
      </c>
      <c r="CH91" s="6">
        <f t="shared" ca="1" si="97"/>
        <v>-0.8221696482848676</v>
      </c>
      <c r="CI91" s="6">
        <f t="shared" ca="1" si="98"/>
        <v>-0.9652120596780831</v>
      </c>
      <c r="CJ91" s="1">
        <f t="shared" ca="1" si="99"/>
        <v>1.4288596686788892</v>
      </c>
      <c r="CK91" s="38"/>
    </row>
    <row r="92" spans="1:89" x14ac:dyDescent="0.25">
      <c r="A92" s="6">
        <f t="shared" si="100"/>
        <v>6</v>
      </c>
      <c r="B92" s="1">
        <f t="shared" si="101"/>
        <v>4</v>
      </c>
      <c r="C92" s="1">
        <f t="shared" si="102"/>
        <v>48</v>
      </c>
      <c r="D92" s="6">
        <f t="shared" si="103"/>
        <v>192</v>
      </c>
      <c r="E92" s="6">
        <f t="shared" si="104"/>
        <v>-128</v>
      </c>
      <c r="BC92">
        <v>1.5707963267948983</v>
      </c>
      <c r="BD92">
        <v>74.41737841316457</v>
      </c>
      <c r="BE92">
        <v>28.41121778131112</v>
      </c>
      <c r="BF92" s="6">
        <f t="shared" si="82"/>
        <v>0.36470326168507072</v>
      </c>
      <c r="BG92" s="6">
        <f t="shared" si="83"/>
        <v>1.2060930651098276</v>
      </c>
      <c r="BH92" s="6">
        <f t="shared" si="84"/>
        <v>9.894434731573537E-2</v>
      </c>
      <c r="BI92" s="6">
        <f t="shared" si="85"/>
        <v>9.894434731573537E-2</v>
      </c>
      <c r="BJ92">
        <v>90.132875055669302</v>
      </c>
      <c r="BK92">
        <v>34.41111198845077</v>
      </c>
      <c r="BV92" s="38"/>
      <c r="BW92" s="6">
        <f t="shared" si="86"/>
        <v>1.3439035240356352</v>
      </c>
      <c r="BX92" s="9">
        <f t="shared" ca="1" si="87"/>
        <v>-118.969113310944</v>
      </c>
      <c r="BY92" s="9">
        <f t="shared" ca="1" si="88"/>
        <v>-18.569975511962372</v>
      </c>
      <c r="BZ92">
        <f t="shared" ca="1" si="89"/>
        <v>120.40969193759743</v>
      </c>
      <c r="CA92" s="6">
        <f t="shared" ca="1" si="90"/>
        <v>-0.98803602431438808</v>
      </c>
      <c r="CB92" s="6">
        <f t="shared" ca="1" si="91"/>
        <v>-0.15422326237315098</v>
      </c>
      <c r="CC92" s="6">
        <f t="shared" ca="1" si="92"/>
        <v>-2.9867513915890473</v>
      </c>
      <c r="CD92" s="6">
        <f t="shared" ca="1" si="93"/>
        <v>18.969113310943996</v>
      </c>
      <c r="CE92" s="9">
        <f t="shared" ca="1" si="94"/>
        <v>-31.430024488037628</v>
      </c>
      <c r="CF92">
        <f t="shared" ca="1" si="95"/>
        <v>36.710675547067744</v>
      </c>
      <c r="CG92" s="6">
        <f t="shared" ca="1" si="96"/>
        <v>0.51671926567036841</v>
      </c>
      <c r="CH92" s="6">
        <f t="shared" ca="1" si="97"/>
        <v>-0.85615489281150248</v>
      </c>
      <c r="CI92" s="6">
        <f t="shared" ca="1" si="98"/>
        <v>-1.0277817670599527</v>
      </c>
      <c r="CJ92" s="1">
        <f t="shared" ca="1" si="99"/>
        <v>1.4914293760607589</v>
      </c>
      <c r="CK92" s="38"/>
    </row>
    <row r="93" spans="1:89" x14ac:dyDescent="0.25">
      <c r="A93" s="6">
        <f t="shared" si="100"/>
        <v>6</v>
      </c>
      <c r="B93" s="1">
        <f t="shared" si="101"/>
        <v>4</v>
      </c>
      <c r="C93" s="1">
        <f t="shared" si="102"/>
        <v>0</v>
      </c>
      <c r="D93" s="6">
        <f t="shared" si="103"/>
        <v>0</v>
      </c>
      <c r="E93" s="6">
        <f t="shared" si="104"/>
        <v>0</v>
      </c>
      <c r="BC93">
        <v>1.5882496193148417</v>
      </c>
      <c r="BD93">
        <v>59.31437128128465</v>
      </c>
      <c r="BE93">
        <v>26.634897210602812</v>
      </c>
      <c r="BF93" s="6">
        <f t="shared" si="82"/>
        <v>0.42206052087937657</v>
      </c>
      <c r="BG93" s="6">
        <f t="shared" si="83"/>
        <v>1.166189098435465</v>
      </c>
      <c r="BH93" s="6">
        <f t="shared" si="84"/>
        <v>4.1587088121429527E-2</v>
      </c>
      <c r="BI93" s="6">
        <f t="shared" si="85"/>
        <v>4.1587088121429527E-2</v>
      </c>
      <c r="BJ93">
        <v>75.54042173643623</v>
      </c>
      <c r="BK93">
        <v>33.921144652348552</v>
      </c>
      <c r="BV93" s="38"/>
      <c r="BW93" s="6">
        <f t="shared" si="86"/>
        <v>1.3613568165555785</v>
      </c>
      <c r="BX93" s="9">
        <f t="shared" ca="1" si="87"/>
        <v>-115.77306501068053</v>
      </c>
      <c r="BY93" s="9">
        <f t="shared" ca="1" si="88"/>
        <v>-19.126264282565849</v>
      </c>
      <c r="BZ93">
        <f t="shared" ca="1" si="89"/>
        <v>117.34230510508056</v>
      </c>
      <c r="CA93" s="6">
        <f t="shared" ca="1" si="90"/>
        <v>-0.98662681721656342</v>
      </c>
      <c r="CB93" s="6">
        <f t="shared" ca="1" si="91"/>
        <v>-0.16299547094663083</v>
      </c>
      <c r="CC93" s="6">
        <f t="shared" ca="1" si="92"/>
        <v>-2.9778666840999115</v>
      </c>
      <c r="CD93" s="6">
        <f t="shared" ca="1" si="93"/>
        <v>15.773065010680526</v>
      </c>
      <c r="CE93" s="9">
        <f t="shared" ca="1" si="94"/>
        <v>-30.873735717434151</v>
      </c>
      <c r="CF93">
        <f t="shared" ca="1" si="95"/>
        <v>34.669541920555041</v>
      </c>
      <c r="CG93" s="6">
        <f t="shared" ca="1" si="96"/>
        <v>0.45495452598780711</v>
      </c>
      <c r="CH93" s="6">
        <f t="shared" ca="1" si="97"/>
        <v>-0.89051467100952919</v>
      </c>
      <c r="CI93" s="6">
        <f t="shared" ca="1" si="98"/>
        <v>-1.0984751781980122</v>
      </c>
      <c r="CJ93" s="1">
        <f t="shared" ca="1" si="99"/>
        <v>1.5621227871988184</v>
      </c>
      <c r="CK93" s="38"/>
    </row>
    <row r="94" spans="1:89" x14ac:dyDescent="0.25">
      <c r="A94" s="6">
        <f t="shared" si="100"/>
        <v>6</v>
      </c>
      <c r="B94" s="1">
        <f t="shared" si="101"/>
        <v>12</v>
      </c>
      <c r="C94" s="1">
        <f t="shared" si="102"/>
        <v>24</v>
      </c>
      <c r="D94" s="6">
        <f t="shared" si="103"/>
        <v>96</v>
      </c>
      <c r="E94" s="6">
        <f t="shared" si="104"/>
        <v>128</v>
      </c>
      <c r="BC94">
        <v>1.605702911834785</v>
      </c>
      <c r="BD94">
        <v>46.080967296938987</v>
      </c>
      <c r="BE94">
        <v>24.913681530497612</v>
      </c>
      <c r="BF94" s="6">
        <f t="shared" si="82"/>
        <v>0.49563648866432508</v>
      </c>
      <c r="BG94" s="6">
        <f t="shared" si="83"/>
        <v>1.1100664231704598</v>
      </c>
      <c r="BH94" s="6">
        <f t="shared" si="84"/>
        <v>-3.1988879663518988E-2</v>
      </c>
      <c r="BI94" s="6">
        <f t="shared" si="85"/>
        <v>3.1988879663518988E-2</v>
      </c>
      <c r="BJ94">
        <v>61.570123669804786</v>
      </c>
      <c r="BK94">
        <v>33.287896128967851</v>
      </c>
      <c r="BV94" s="38"/>
      <c r="BW94" s="6">
        <f t="shared" si="86"/>
        <v>1.3788101090755218</v>
      </c>
      <c r="BX94" s="9">
        <f t="shared" ca="1" si="87"/>
        <v>-112.52752159601688</v>
      </c>
      <c r="BY94" s="9">
        <f t="shared" ca="1" si="88"/>
        <v>-19.713978453347778</v>
      </c>
      <c r="BZ94">
        <f t="shared" ca="1" si="89"/>
        <v>114.2413413042805</v>
      </c>
      <c r="CA94" s="6">
        <f t="shared" ca="1" si="90"/>
        <v>-0.98499825292055287</v>
      </c>
      <c r="CB94" s="6">
        <f t="shared" ca="1" si="91"/>
        <v>-0.17256431190561589</v>
      </c>
      <c r="CC94" s="6">
        <f t="shared" ca="1" si="92"/>
        <v>-2.9681602079793805</v>
      </c>
      <c r="CD94" s="6">
        <f t="shared" ca="1" si="93"/>
        <v>12.527521596016882</v>
      </c>
      <c r="CE94" s="9">
        <f t="shared" ca="1" si="94"/>
        <v>-30.286021546652222</v>
      </c>
      <c r="CF94">
        <f t="shared" ca="1" si="95"/>
        <v>32.774714315504752</v>
      </c>
      <c r="CG94" s="6">
        <f t="shared" ca="1" si="96"/>
        <v>0.38223129804949912</v>
      </c>
      <c r="CH94" s="6">
        <f t="shared" ca="1" si="97"/>
        <v>-0.9240666830869918</v>
      </c>
      <c r="CI94" s="6">
        <f t="shared" ca="1" si="98"/>
        <v>-1.1785865821805013</v>
      </c>
      <c r="CJ94" s="1">
        <f t="shared" ca="1" si="99"/>
        <v>1.6422341911813072</v>
      </c>
      <c r="CK94" s="38"/>
    </row>
    <row r="95" spans="1:89" x14ac:dyDescent="0.25">
      <c r="A95" s="6">
        <f t="shared" si="100"/>
        <v>-6</v>
      </c>
      <c r="B95" s="1">
        <f t="shared" si="101"/>
        <v>12</v>
      </c>
      <c r="C95" s="1">
        <f t="shared" si="102"/>
        <v>72</v>
      </c>
      <c r="D95" s="6">
        <f t="shared" si="103"/>
        <v>0</v>
      </c>
      <c r="E95" s="6">
        <f t="shared" si="104"/>
        <v>576</v>
      </c>
      <c r="BC95">
        <v>1.6231562043547283</v>
      </c>
      <c r="BD95">
        <v>34.840152032236773</v>
      </c>
      <c r="BE95">
        <v>23.295858021062696</v>
      </c>
      <c r="BF95" s="6">
        <f t="shared" si="82"/>
        <v>0.58937423275385326</v>
      </c>
      <c r="BG95" s="6">
        <f t="shared" si="83"/>
        <v>1.0337819716008751</v>
      </c>
      <c r="BH95" s="6">
        <f t="shared" si="84"/>
        <v>-0.12572662375304719</v>
      </c>
      <c r="BI95" s="6">
        <f t="shared" si="85"/>
        <v>0.12572662375304719</v>
      </c>
      <c r="BJ95">
        <v>48.724359605813639</v>
      </c>
      <c r="BK95">
        <v>32.579529575358279</v>
      </c>
      <c r="BV95" s="38"/>
      <c r="BW95" s="6">
        <f t="shared" si="86"/>
        <v>1.3962634015954651</v>
      </c>
      <c r="BX95" s="9">
        <f t="shared" ca="1" si="87"/>
        <v>-109.2188717852531</v>
      </c>
      <c r="BY95" s="9">
        <f t="shared" ca="1" si="88"/>
        <v>-20.342814244519666</v>
      </c>
      <c r="BZ95">
        <f t="shared" ca="1" si="89"/>
        <v>111.09721889152125</v>
      </c>
      <c r="CA95" s="6">
        <f t="shared" ca="1" si="90"/>
        <v>-0.98309276213203656</v>
      </c>
      <c r="CB95" s="6">
        <f t="shared" ca="1" si="91"/>
        <v>-0.18310822221736275</v>
      </c>
      <c r="CC95" s="6">
        <f t="shared" ca="1" si="92"/>
        <v>-2.9574454500179543</v>
      </c>
      <c r="CD95" s="6">
        <f t="shared" ca="1" si="93"/>
        <v>9.2188717852530999</v>
      </c>
      <c r="CE95" s="9">
        <f t="shared" ca="1" si="94"/>
        <v>-29.657185755480334</v>
      </c>
      <c r="CF95">
        <f t="shared" ca="1" si="95"/>
        <v>31.056984140898184</v>
      </c>
      <c r="CG95" s="6">
        <f t="shared" ca="1" si="96"/>
        <v>0.29683731502805494</v>
      </c>
      <c r="CH95" s="6">
        <f t="shared" ca="1" si="97"/>
        <v>-0.95492806451948797</v>
      </c>
      <c r="CI95" s="6">
        <f t="shared" ca="1" si="98"/>
        <v>-1.269417346950994</v>
      </c>
      <c r="CJ95" s="1">
        <f t="shared" ca="1" si="99"/>
        <v>1.7330649559517999</v>
      </c>
      <c r="CK95" s="38"/>
    </row>
    <row r="96" spans="1:89" x14ac:dyDescent="0.25">
      <c r="A96" s="6">
        <f t="shared" si="100"/>
        <v>-6</v>
      </c>
      <c r="B96" s="1">
        <f t="shared" si="101"/>
        <v>4</v>
      </c>
      <c r="C96" s="1">
        <f t="shared" si="102"/>
        <v>24</v>
      </c>
      <c r="D96" s="6">
        <f t="shared" si="103"/>
        <v>-96</v>
      </c>
      <c r="E96" s="6">
        <f t="shared" si="104"/>
        <v>128</v>
      </c>
      <c r="BC96">
        <v>1.6406094968746716</v>
      </c>
      <c r="BD96">
        <v>25.725497239852682</v>
      </c>
      <c r="BE96">
        <v>21.851768422645069</v>
      </c>
      <c r="BF96" s="6">
        <f t="shared" si="82"/>
        <v>0.70415762183241437</v>
      </c>
      <c r="BG96" s="6">
        <f t="shared" si="83"/>
        <v>0.93645187504225724</v>
      </c>
      <c r="BH96" s="6">
        <f t="shared" si="84"/>
        <v>-0.24051001283160828</v>
      </c>
      <c r="BI96" s="6">
        <f t="shared" si="85"/>
        <v>0.24051001283160828</v>
      </c>
      <c r="BJ96">
        <v>37.538212569998542</v>
      </c>
      <c r="BK96">
        <v>31.885732681151072</v>
      </c>
      <c r="BV96" s="38"/>
      <c r="BW96" s="6">
        <f t="shared" si="86"/>
        <v>1.4137166941154085</v>
      </c>
      <c r="BX96" s="9">
        <f t="shared" ca="1" si="87"/>
        <v>-105.73285241018895</v>
      </c>
      <c r="BY96" s="9">
        <f t="shared" ca="1" si="88"/>
        <v>-20.93913786199635</v>
      </c>
      <c r="BZ96">
        <f t="shared" ca="1" si="89"/>
        <v>107.78628657300746</v>
      </c>
      <c r="CA96" s="6">
        <f t="shared" ca="1" si="90"/>
        <v>-0.98094902210563084</v>
      </c>
      <c r="CB96" s="6">
        <f t="shared" ca="1" si="91"/>
        <v>-0.19426532379713751</v>
      </c>
      <c r="CC96" s="6">
        <f t="shared" ca="1" si="92"/>
        <v>-2.9460842033705941</v>
      </c>
      <c r="CD96" s="6">
        <f t="shared" ca="1" si="93"/>
        <v>5.7328524101889542</v>
      </c>
      <c r="CE96" s="9">
        <f t="shared" ca="1" si="94"/>
        <v>-29.06086213800365</v>
      </c>
      <c r="CF96">
        <f t="shared" ca="1" si="95"/>
        <v>29.620926807935355</v>
      </c>
      <c r="CG96" s="6">
        <f t="shared" ca="1" si="96"/>
        <v>0.19354061563843913</v>
      </c>
      <c r="CH96" s="6">
        <f t="shared" ca="1" si="97"/>
        <v>-0.98109226380513981</v>
      </c>
      <c r="CI96" s="6">
        <f t="shared" ca="1" si="98"/>
        <v>-1.3760266052976109</v>
      </c>
      <c r="CJ96" s="1">
        <f t="shared" ca="1" si="99"/>
        <v>1.839674214298417</v>
      </c>
      <c r="CK96" s="38"/>
    </row>
    <row r="97" spans="1:89" x14ac:dyDescent="0.25">
      <c r="A97" s="6">
        <f t="shared" si="100"/>
        <v>-6</v>
      </c>
      <c r="B97" s="1">
        <f t="shared" si="101"/>
        <v>4</v>
      </c>
      <c r="C97" s="1">
        <f t="shared" si="102"/>
        <v>0</v>
      </c>
      <c r="D97" s="6">
        <f t="shared" si="103"/>
        <v>0</v>
      </c>
      <c r="E97" s="6">
        <f t="shared" si="104"/>
        <v>0</v>
      </c>
      <c r="BC97">
        <v>1.6580627893946149</v>
      </c>
      <c r="BD97">
        <v>17.725581718003106</v>
      </c>
      <c r="BE97">
        <v>20.354044348008291</v>
      </c>
      <c r="BF97" s="6">
        <f t="shared" si="82"/>
        <v>0.85431428334075188</v>
      </c>
      <c r="BG97" s="6">
        <f t="shared" si="83"/>
        <v>0.80374850605386305</v>
      </c>
      <c r="BH97" s="6">
        <f t="shared" si="84"/>
        <v>-0.39066667433994579</v>
      </c>
      <c r="BI97" s="6">
        <f t="shared" si="85"/>
        <v>0.39066667433994579</v>
      </c>
      <c r="BJ97">
        <v>26.696137289714645</v>
      </c>
      <c r="BK97">
        <v>30.654811275586397</v>
      </c>
      <c r="BV97" s="38"/>
      <c r="BW97" s="6">
        <f t="shared" si="86"/>
        <v>1.4311699866353518</v>
      </c>
      <c r="BX97" s="9">
        <f t="shared" ca="1" si="87"/>
        <v>-102.16211995533689</v>
      </c>
      <c r="BY97" s="9">
        <f t="shared" ca="1" si="88"/>
        <v>-21.546128679339859</v>
      </c>
      <c r="BZ97">
        <f t="shared" ca="1" si="89"/>
        <v>104.40945558154834</v>
      </c>
      <c r="CA97" s="6">
        <f t="shared" ca="1" si="90"/>
        <v>-0.97847574615063304</v>
      </c>
      <c r="CB97" s="6">
        <f t="shared" ca="1" si="91"/>
        <v>-0.20636185256718814</v>
      </c>
      <c r="CC97" s="6">
        <f t="shared" ca="1" si="92"/>
        <v>-2.933737339847879</v>
      </c>
      <c r="CD97" s="6">
        <f t="shared" ca="1" si="93"/>
        <v>2.1621199553368911</v>
      </c>
      <c r="CE97" s="9">
        <f t="shared" ca="1" si="94"/>
        <v>-28.453871320660141</v>
      </c>
      <c r="CF97">
        <f t="shared" ca="1" si="95"/>
        <v>28.535899422200657</v>
      </c>
      <c r="CG97" s="6">
        <f t="shared" ca="1" si="96"/>
        <v>7.5768417996833218E-2</v>
      </c>
      <c r="CH97" s="6">
        <f t="shared" ca="1" si="97"/>
        <v>-0.99712544187492125</v>
      </c>
      <c r="CI97" s="6">
        <f t="shared" ca="1" si="98"/>
        <v>-1.4949552249771212</v>
      </c>
      <c r="CJ97" s="1">
        <f t="shared" ca="1" si="99"/>
        <v>1.9586028339779271</v>
      </c>
      <c r="CK97" s="38"/>
    </row>
    <row r="98" spans="1:89" x14ac:dyDescent="0.25">
      <c r="A98" s="6">
        <f t="shared" si="100"/>
        <v>-6</v>
      </c>
      <c r="B98" s="1">
        <f t="shared" si="101"/>
        <v>-12</v>
      </c>
      <c r="C98" s="1">
        <f t="shared" si="102"/>
        <v>48</v>
      </c>
      <c r="D98" s="6">
        <f t="shared" si="103"/>
        <v>-192</v>
      </c>
      <c r="E98" s="6">
        <f t="shared" si="104"/>
        <v>-128</v>
      </c>
      <c r="BC98">
        <v>1.6755160819145583</v>
      </c>
      <c r="BD98">
        <v>10.725302198083931</v>
      </c>
      <c r="BE98">
        <v>18.756587577467499</v>
      </c>
      <c r="BF98" s="6">
        <f t="shared" ref="BF98:BF129" si="105">IF(BC98&lt;&gt;"",IF(AND(BD98=0,BE98=0),0,MOD(ATAN2(BD98,BE98),2*PI())),NA())</f>
        <v>1.0513587897254177</v>
      </c>
      <c r="BG98" s="6">
        <f t="shared" ref="BG98:BG129" si="106">ABS(BC98-BF98)</f>
        <v>0.62415729218914051</v>
      </c>
      <c r="BH98" s="6">
        <f t="shared" si="84"/>
        <v>-0.58771118072461159</v>
      </c>
      <c r="BI98" s="6">
        <f t="shared" si="85"/>
        <v>0.58771118072461159</v>
      </c>
      <c r="BJ98">
        <v>16.470281659269848</v>
      </c>
      <c r="BK98">
        <v>28.803503590121789</v>
      </c>
      <c r="BV98" s="38"/>
      <c r="BW98" s="6">
        <f t="shared" si="86"/>
        <v>1.4486232791552951</v>
      </c>
      <c r="BX98" s="9">
        <f t="shared" ca="1" si="87"/>
        <v>-98.537496807824269</v>
      </c>
      <c r="BY98" s="9">
        <f t="shared" ca="1" si="88"/>
        <v>-22.178965059425856</v>
      </c>
      <c r="BZ98">
        <f t="shared" ca="1" si="89"/>
        <v>101.00269683656576</v>
      </c>
      <c r="CA98" s="6">
        <f t="shared" ca="1" si="90"/>
        <v>-0.97559273063044571</v>
      </c>
      <c r="CB98" s="6">
        <f t="shared" ca="1" si="91"/>
        <v>-0.2195878501671498</v>
      </c>
      <c r="CC98" s="6">
        <f t="shared" ca="1" si="92"/>
        <v>-2.9202006641440708</v>
      </c>
      <c r="CD98" s="6">
        <f t="shared" ca="1" si="93"/>
        <v>-1.4625031921757312</v>
      </c>
      <c r="CE98" s="9">
        <f t="shared" ca="1" si="94"/>
        <v>-27.821034940574144</v>
      </c>
      <c r="CF98">
        <f t="shared" ca="1" si="95"/>
        <v>27.859449038912661</v>
      </c>
      <c r="CG98" s="6">
        <f t="shared" ca="1" si="96"/>
        <v>-5.2495768675575066E-2</v>
      </c>
      <c r="CH98" s="6">
        <f t="shared" ca="1" si="97"/>
        <v>-0.99862114651711664</v>
      </c>
      <c r="CI98" s="6">
        <f t="shared" ca="1" si="98"/>
        <v>-1.6233162367770846</v>
      </c>
      <c r="CJ98" s="1">
        <f t="shared" ca="1" si="99"/>
        <v>2.0869638457778903</v>
      </c>
      <c r="CK98" s="38"/>
    </row>
    <row r="99" spans="1:89" x14ac:dyDescent="0.25">
      <c r="C99" s="1">
        <f>SUM(C91:C98)</f>
        <v>288</v>
      </c>
      <c r="D99" s="6">
        <f>SUM(D91:D98)/C99</f>
        <v>0</v>
      </c>
      <c r="E99" s="6">
        <f>SUM(E91:E98)/C99</f>
        <v>0</v>
      </c>
      <c r="BC99">
        <v>1.6929693744345016</v>
      </c>
      <c r="BD99">
        <v>5.7553980506532412</v>
      </c>
      <c r="BE99">
        <v>17.551798692522087</v>
      </c>
      <c r="BF99" s="6">
        <f t="shared" si="105"/>
        <v>1.2539353183935782</v>
      </c>
      <c r="BG99" s="6">
        <f t="shared" si="106"/>
        <v>0.43903405604092338</v>
      </c>
      <c r="BH99" s="6">
        <f t="shared" si="84"/>
        <v>-0.79028770939277193</v>
      </c>
      <c r="BI99" s="6">
        <f t="shared" si="85"/>
        <v>0.79028770939277193</v>
      </c>
      <c r="BJ99">
        <v>8.8544585394665241</v>
      </c>
      <c r="BK99">
        <v>27.002767219264751</v>
      </c>
      <c r="BV99" s="38"/>
      <c r="BW99" s="6">
        <f t="shared" si="86"/>
        <v>1.4660765716752384</v>
      </c>
      <c r="BX99" s="9">
        <f t="shared" ca="1" si="87"/>
        <v>-94.873663018924432</v>
      </c>
      <c r="BY99" s="9">
        <f t="shared" ca="1" si="88"/>
        <v>-22.84403852885805</v>
      </c>
      <c r="BZ99">
        <f t="shared" ca="1" si="89"/>
        <v>97.585152717697696</v>
      </c>
      <c r="CA99" s="6">
        <f t="shared" ca="1" si="90"/>
        <v>-0.97221411635623212</v>
      </c>
      <c r="CB99" s="6">
        <f t="shared" ca="1" si="91"/>
        <v>-0.23409338298565921</v>
      </c>
      <c r="CC99" s="6">
        <f t="shared" ca="1" si="92"/>
        <v>-2.905306718480456</v>
      </c>
      <c r="CD99" s="6">
        <f t="shared" ca="1" si="93"/>
        <v>-5.1263369810755677</v>
      </c>
      <c r="CE99" s="9">
        <f t="shared" ca="1" si="94"/>
        <v>-27.15596147114195</v>
      </c>
      <c r="CF99">
        <f t="shared" ca="1" si="95"/>
        <v>27.635585289001735</v>
      </c>
      <c r="CG99" s="6">
        <f t="shared" ca="1" si="96"/>
        <v>-0.18549768088739269</v>
      </c>
      <c r="CH99" s="6">
        <f t="shared" ca="1" si="97"/>
        <v>-0.98264470200851284</v>
      </c>
      <c r="CI99" s="6">
        <f t="shared" ca="1" si="98"/>
        <v>-1.7573746357780693</v>
      </c>
      <c r="CJ99" s="1">
        <f t="shared" ca="1" si="99"/>
        <v>2.2210222447788754</v>
      </c>
      <c r="CK99" s="38"/>
    </row>
    <row r="100" spans="1:89" x14ac:dyDescent="0.25">
      <c r="A100" s="8" t="s">
        <v>124</v>
      </c>
      <c r="B100" s="1">
        <f>B31*C99*0.65</f>
        <v>795.6</v>
      </c>
      <c r="C100" t="s">
        <v>68</v>
      </c>
      <c r="BC100">
        <v>1.7104226669544449</v>
      </c>
      <c r="BD100">
        <v>2.2929179679954212</v>
      </c>
      <c r="BE100">
        <v>16.608373658973548</v>
      </c>
      <c r="BF100" s="6">
        <f t="shared" si="105"/>
        <v>1.4336056116761899</v>
      </c>
      <c r="BG100" s="6">
        <f t="shared" si="106"/>
        <v>0.27681705527825495</v>
      </c>
      <c r="BH100" s="6">
        <f t="shared" si="84"/>
        <v>-0.96995800267538379</v>
      </c>
      <c r="BI100" s="6">
        <f t="shared" si="85"/>
        <v>0.96995800267538379</v>
      </c>
      <c r="BJ100">
        <v>3.5275661046083404</v>
      </c>
      <c r="BK100">
        <v>25.551344090728534</v>
      </c>
      <c r="BV100" s="38"/>
      <c r="BW100" s="6">
        <f t="shared" si="86"/>
        <v>1.4835298641951817</v>
      </c>
      <c r="BX100" s="9">
        <f t="shared" ca="1" si="87"/>
        <v>-91.190871709275797</v>
      </c>
      <c r="BY100" s="9">
        <f t="shared" ca="1" si="88"/>
        <v>-23.551109369899745</v>
      </c>
      <c r="BZ100">
        <f t="shared" ca="1" si="89"/>
        <v>94.18295936978501</v>
      </c>
      <c r="CA100" s="6">
        <f t="shared" ca="1" si="90"/>
        <v>-0.96823111441251752</v>
      </c>
      <c r="CB100" s="6">
        <f t="shared" ca="1" si="91"/>
        <v>-0.25005701166632927</v>
      </c>
      <c r="CC100" s="6">
        <f t="shared" ca="1" si="92"/>
        <v>-2.8888535166042879</v>
      </c>
      <c r="CD100" s="6">
        <f t="shared" ca="1" si="93"/>
        <v>-8.8091282907242032</v>
      </c>
      <c r="CE100" s="9">
        <f t="shared" ca="1" si="94"/>
        <v>-26.448890630100255</v>
      </c>
      <c r="CF100">
        <f t="shared" ca="1" si="95"/>
        <v>27.877312582195625</v>
      </c>
      <c r="CG100" s="6">
        <f t="shared" ca="1" si="96"/>
        <v>-0.31599632370411201</v>
      </c>
      <c r="CH100" s="6">
        <f t="shared" ca="1" si="97"/>
        <v>-0.94876041412228318</v>
      </c>
      <c r="CI100" s="6">
        <f t="shared" ca="1" si="98"/>
        <v>-1.8923029294894742</v>
      </c>
      <c r="CJ100" s="1">
        <f t="shared" ca="1" si="99"/>
        <v>2.3559505384902804</v>
      </c>
      <c r="CK100" s="38"/>
    </row>
    <row r="101" spans="1:89" x14ac:dyDescent="0.25">
      <c r="A101" s="8" t="s">
        <v>77</v>
      </c>
      <c r="B101" s="1">
        <f>B100*E99</f>
        <v>0</v>
      </c>
      <c r="C101" t="s">
        <v>69</v>
      </c>
      <c r="BC101">
        <v>1.7278759594743882</v>
      </c>
      <c r="BD101">
        <v>-0.23521914611165276</v>
      </c>
      <c r="BE101">
        <v>15.831019359880759</v>
      </c>
      <c r="BF101" s="6">
        <f t="shared" si="105"/>
        <v>1.5856533510823236</v>
      </c>
      <c r="BG101" s="6">
        <f t="shared" si="106"/>
        <v>0.14222260839206458</v>
      </c>
      <c r="BH101" s="6">
        <f t="shared" si="84"/>
        <v>-1.1220057420815175</v>
      </c>
      <c r="BI101" s="6">
        <f t="shared" si="85"/>
        <v>1.1220057420815175</v>
      </c>
      <c r="BJ101">
        <v>-0.36187560940254271</v>
      </c>
      <c r="BK101">
        <v>24.355414399816553</v>
      </c>
      <c r="BV101" s="38"/>
      <c r="BW101" s="6">
        <f t="shared" si="86"/>
        <v>1.5009831567151251</v>
      </c>
      <c r="BX101" s="9">
        <f t="shared" ca="1" si="87"/>
        <v>-87.518628043361957</v>
      </c>
      <c r="BY101" s="9">
        <f t="shared" ca="1" si="88"/>
        <v>-24.313955155378615</v>
      </c>
      <c r="BZ101">
        <f t="shared" ca="1" si="89"/>
        <v>90.833246500882623</v>
      </c>
      <c r="CA101" s="6">
        <f t="shared" ca="1" si="90"/>
        <v>-0.96350875273968706</v>
      </c>
      <c r="CB101" s="6">
        <f t="shared" ca="1" si="91"/>
        <v>-0.26767682640455176</v>
      </c>
      <c r="CC101" s="6">
        <f t="shared" ca="1" si="92"/>
        <v>-2.8706115923926463</v>
      </c>
      <c r="CD101" s="6">
        <f t="shared" ca="1" si="93"/>
        <v>-12.481371956638043</v>
      </c>
      <c r="CE101" s="9">
        <f t="shared" ca="1" si="94"/>
        <v>-25.686044844621385</v>
      </c>
      <c r="CF101">
        <f t="shared" ca="1" si="95"/>
        <v>28.557968164416938</v>
      </c>
      <c r="CG101" s="6">
        <f t="shared" ca="1" si="96"/>
        <v>-0.43705392081043637</v>
      </c>
      <c r="CH101" s="6">
        <f t="shared" ca="1" si="97"/>
        <v>-0.89943530634739088</v>
      </c>
      <c r="CI101" s="6">
        <f t="shared" ca="1" si="98"/>
        <v>-2.0231169070193955</v>
      </c>
      <c r="CJ101" s="1">
        <f t="shared" ca="1" si="99"/>
        <v>2.4867645160202017</v>
      </c>
      <c r="CK101" s="38"/>
    </row>
    <row r="102" spans="1:89" x14ac:dyDescent="0.25">
      <c r="A102" s="8" t="s">
        <v>125</v>
      </c>
      <c r="B102" s="1">
        <f>B100*D99*-1</f>
        <v>0</v>
      </c>
      <c r="C102" t="s">
        <v>69</v>
      </c>
      <c r="J102" t="s">
        <v>127</v>
      </c>
      <c r="BC102">
        <v>1.7453292519943315</v>
      </c>
      <c r="BD102">
        <v>-2.146073014612317</v>
      </c>
      <c r="BE102">
        <v>15.176218577255126</v>
      </c>
      <c r="BF102" s="6">
        <f t="shared" si="105"/>
        <v>1.7112751498538168</v>
      </c>
      <c r="BG102" s="6">
        <f t="shared" si="106"/>
        <v>3.4054102140514741E-2</v>
      </c>
      <c r="BH102" s="6">
        <f t="shared" si="84"/>
        <v>-1.2476275408530106</v>
      </c>
      <c r="BI102" s="6">
        <f t="shared" si="85"/>
        <v>1.2476275408530106</v>
      </c>
      <c r="BJ102">
        <v>-3.301650791711257</v>
      </c>
      <c r="BK102">
        <v>23.348028580392501</v>
      </c>
      <c r="BV102" s="38"/>
      <c r="BW102" s="6">
        <f t="shared" si="86"/>
        <v>1.5184364492350684</v>
      </c>
      <c r="BX102" s="9">
        <f t="shared" ca="1" si="87"/>
        <v>-83.902208536931084</v>
      </c>
      <c r="BY102" s="9">
        <f t="shared" ca="1" si="88"/>
        <v>-25.150548292591754</v>
      </c>
      <c r="BZ102">
        <f t="shared" ca="1" si="89"/>
        <v>87.590699716309274</v>
      </c>
      <c r="CA102" s="6">
        <f t="shared" ca="1" si="90"/>
        <v>-0.95788946553316101</v>
      </c>
      <c r="CB102" s="6">
        <f t="shared" ca="1" si="91"/>
        <v>-0.28713720034261531</v>
      </c>
      <c r="CC102" s="6">
        <f t="shared" ca="1" si="92"/>
        <v>-2.8503558136879614</v>
      </c>
      <c r="CD102" s="6">
        <f t="shared" ca="1" si="93"/>
        <v>-16.097791463068916</v>
      </c>
      <c r="CE102" s="9">
        <f t="shared" ca="1" si="94"/>
        <v>-24.849451707408246</v>
      </c>
      <c r="CF102">
        <f t="shared" ca="1" si="95"/>
        <v>29.608008040853896</v>
      </c>
      <c r="CG102" s="6">
        <f t="shared" ca="1" si="96"/>
        <v>-0.54369721329637466</v>
      </c>
      <c r="CH102" s="6">
        <f t="shared" ca="1" si="97"/>
        <v>-0.83928144281507655</v>
      </c>
      <c r="CI102" s="6">
        <f t="shared" ca="1" si="98"/>
        <v>-2.1456323952620378</v>
      </c>
      <c r="CJ102" s="1">
        <f t="shared" ca="1" si="99"/>
        <v>2.6092800042628439</v>
      </c>
      <c r="CK102" s="38"/>
    </row>
    <row r="103" spans="1:89" x14ac:dyDescent="0.25">
      <c r="F103" s="1" t="s">
        <v>126</v>
      </c>
      <c r="G103" s="1" t="s">
        <v>100</v>
      </c>
      <c r="H103" s="1" t="s">
        <v>101</v>
      </c>
      <c r="J103" s="1" t="s">
        <v>126</v>
      </c>
      <c r="K103" s="1" t="s">
        <v>100</v>
      </c>
      <c r="L103" s="1" t="s">
        <v>101</v>
      </c>
      <c r="BC103">
        <v>1.7627825445142749</v>
      </c>
      <c r="BD103">
        <v>-3.6316843968572163</v>
      </c>
      <c r="BE103">
        <v>14.614708923731458</v>
      </c>
      <c r="BF103" s="6">
        <f t="shared" si="105"/>
        <v>1.8143581669138624</v>
      </c>
      <c r="BG103" s="6">
        <f t="shared" si="106"/>
        <v>5.1575622399587573E-2</v>
      </c>
      <c r="BH103" s="6">
        <f t="shared" si="84"/>
        <v>-1.3507105579130563</v>
      </c>
      <c r="BI103" s="6">
        <f t="shared" si="85"/>
        <v>1.3507105579130563</v>
      </c>
      <c r="BJ103">
        <v>-5.5872067643957175</v>
      </c>
      <c r="BK103">
        <v>22.484167574971472</v>
      </c>
      <c r="BV103" s="38"/>
      <c r="BW103" s="6">
        <f t="shared" si="86"/>
        <v>1.5358897417550117</v>
      </c>
      <c r="BX103" s="9">
        <f t="shared" ca="1" si="87"/>
        <v>-80.416294759657276</v>
      </c>
      <c r="BY103" s="9">
        <f t="shared" ca="1" si="88"/>
        <v>-26.08181649328678</v>
      </c>
      <c r="BZ103">
        <f t="shared" ca="1" si="89"/>
        <v>84.540177516146542</v>
      </c>
      <c r="CA103" s="6">
        <f t="shared" ca="1" si="90"/>
        <v>-0.95121984744234023</v>
      </c>
      <c r="CB103" s="6">
        <f t="shared" ca="1" si="91"/>
        <v>-0.30851386003188069</v>
      </c>
      <c r="CC103" s="6">
        <f t="shared" ca="1" si="92"/>
        <v>-2.8279623695512206</v>
      </c>
      <c r="CD103" s="6">
        <f t="shared" ca="1" si="93"/>
        <v>-19.583705240342724</v>
      </c>
      <c r="CE103" s="9">
        <f t="shared" ca="1" si="94"/>
        <v>-23.91818350671322</v>
      </c>
      <c r="CF103">
        <f t="shared" ca="1" si="95"/>
        <v>30.912796916510732</v>
      </c>
      <c r="CG103" s="6">
        <f t="shared" ca="1" si="96"/>
        <v>-0.63351450511690632</v>
      </c>
      <c r="CH103" s="6">
        <f t="shared" ca="1" si="97"/>
        <v>-0.77373081353044304</v>
      </c>
      <c r="CI103" s="6">
        <f t="shared" ca="1" si="98"/>
        <v>-2.2568834224812409</v>
      </c>
      <c r="CJ103" s="1">
        <f t="shared" ca="1" si="99"/>
        <v>2.720531031482047</v>
      </c>
      <c r="CK103" s="38"/>
    </row>
    <row r="104" spans="1:89" x14ac:dyDescent="0.25">
      <c r="A104">
        <f t="shared" ref="A104:C113" si="107">A15</f>
        <v>1</v>
      </c>
      <c r="B104">
        <f t="shared" si="107"/>
        <v>0</v>
      </c>
      <c r="C104">
        <f t="shared" ca="1" si="107"/>
        <v>0</v>
      </c>
      <c r="D104" s="9">
        <f t="shared" ref="D104:D113" si="108">D15-$I$2</f>
        <v>-4</v>
      </c>
      <c r="E104" s="5">
        <f t="shared" ref="E104:E113" si="109">E15-$I$3</f>
        <v>-10</v>
      </c>
      <c r="F104" s="5">
        <f t="shared" ref="F104:F113" ca="1" si="110">($B$12-$B$31)*C104*0.65</f>
        <v>0</v>
      </c>
      <c r="G104">
        <f t="shared" ref="G104:G113" ca="1" si="111">E104*F104</f>
        <v>0</v>
      </c>
      <c r="H104">
        <f t="shared" ref="H104:H113" ca="1" si="112">D104*F104*-1</f>
        <v>0</v>
      </c>
      <c r="J104">
        <f t="shared" ref="J104:J113" ca="1" si="113">-1*C104*$B$12*0.9</f>
        <v>0</v>
      </c>
      <c r="K104">
        <f t="shared" ref="K104:K113" ca="1" si="114">E104*J104</f>
        <v>0</v>
      </c>
      <c r="L104">
        <f t="shared" ref="L104:L113" ca="1" si="115">D104*J104*-1</f>
        <v>0</v>
      </c>
      <c r="BC104">
        <v>1.7802358370342182</v>
      </c>
      <c r="BD104">
        <v>-4.8142484008470676</v>
      </c>
      <c r="BE104">
        <v>14.126020676366419</v>
      </c>
      <c r="BF104" s="6">
        <f t="shared" si="105"/>
        <v>1.8992581391926888</v>
      </c>
      <c r="BG104" s="6">
        <f t="shared" si="106"/>
        <v>0.11902230215847065</v>
      </c>
      <c r="BH104" s="6">
        <f t="shared" si="84"/>
        <v>-1.4356105301918827</v>
      </c>
      <c r="BI104" s="6">
        <f t="shared" si="85"/>
        <v>1.4356105301918827</v>
      </c>
      <c r="BJ104">
        <v>-7.4065360013031807</v>
      </c>
      <c r="BK104">
        <v>21.732339502102182</v>
      </c>
      <c r="BV104" s="38"/>
      <c r="BW104" s="6">
        <f t="shared" si="86"/>
        <v>1.553343034274955</v>
      </c>
      <c r="BX104" s="9">
        <f t="shared" ca="1" si="87"/>
        <v>-77.191756851495924</v>
      </c>
      <c r="BY104" s="9">
        <f t="shared" ca="1" si="88"/>
        <v>-27.137495646990928</v>
      </c>
      <c r="BZ104">
        <f t="shared" ca="1" si="89"/>
        <v>81.823046849961045</v>
      </c>
      <c r="CA104" s="6">
        <f t="shared" ca="1" si="90"/>
        <v>-0.9433987100607788</v>
      </c>
      <c r="CB104" s="6">
        <f t="shared" ca="1" si="91"/>
        <v>-0.33166078130472171</v>
      </c>
      <c r="CC104" s="6">
        <f t="shared" ca="1" si="92"/>
        <v>-2.8035291983999615</v>
      </c>
      <c r="CD104" s="6">
        <f t="shared" ca="1" si="93"/>
        <v>-22.808243148504076</v>
      </c>
      <c r="CE104" s="9">
        <f t="shared" ca="1" si="94"/>
        <v>-22.862504353009072</v>
      </c>
      <c r="CF104">
        <f t="shared" ca="1" si="95"/>
        <v>32.294118052869038</v>
      </c>
      <c r="CG104" s="6">
        <f t="shared" ca="1" si="96"/>
        <v>-0.70626617240837675</v>
      </c>
      <c r="CH104" s="6">
        <f t="shared" ca="1" si="97"/>
        <v>-0.7079463918345944</v>
      </c>
      <c r="CI104" s="6">
        <f t="shared" ca="1" si="98"/>
        <v>-2.3550063953626719</v>
      </c>
      <c r="CJ104" s="1">
        <f t="shared" ca="1" si="99"/>
        <v>2.818654004363478</v>
      </c>
      <c r="CK104" s="38"/>
    </row>
    <row r="105" spans="1:89" x14ac:dyDescent="0.25">
      <c r="A105">
        <f t="shared" si="107"/>
        <v>2</v>
      </c>
      <c r="B105">
        <f t="shared" si="107"/>
        <v>0</v>
      </c>
      <c r="C105">
        <f t="shared" ca="1" si="107"/>
        <v>0</v>
      </c>
      <c r="D105" s="9">
        <f t="shared" si="108"/>
        <v>-4</v>
      </c>
      <c r="E105" s="5">
        <f t="shared" si="109"/>
        <v>-8</v>
      </c>
      <c r="F105" s="5">
        <f t="shared" ca="1" si="110"/>
        <v>0</v>
      </c>
      <c r="G105">
        <f t="shared" ca="1" si="111"/>
        <v>0</v>
      </c>
      <c r="H105">
        <f t="shared" ca="1" si="112"/>
        <v>0</v>
      </c>
      <c r="J105">
        <f t="shared" ca="1" si="113"/>
        <v>0</v>
      </c>
      <c r="K105">
        <f t="shared" ca="1" si="114"/>
        <v>0</v>
      </c>
      <c r="L105">
        <f t="shared" ca="1" si="115"/>
        <v>0</v>
      </c>
      <c r="BC105">
        <v>1.7976891295541615</v>
      </c>
      <c r="BD105">
        <v>-5.774702825855818</v>
      </c>
      <c r="BE105">
        <v>13.695366150286894</v>
      </c>
      <c r="BF105" s="6">
        <f t="shared" si="105"/>
        <v>1.9698292802452146</v>
      </c>
      <c r="BG105" s="6">
        <f t="shared" si="106"/>
        <v>0.17214015069105315</v>
      </c>
      <c r="BH105" s="6">
        <f t="shared" si="84"/>
        <v>-1.5061816712444085</v>
      </c>
      <c r="BI105" s="6">
        <f t="shared" si="85"/>
        <v>1.5061816712444085</v>
      </c>
      <c r="BJ105">
        <v>-8.8841581936243355</v>
      </c>
      <c r="BK105">
        <v>21.069794077364453</v>
      </c>
      <c r="BV105" s="38"/>
      <c r="BW105" s="6">
        <f t="shared" si="86"/>
        <v>1.5707963267948983</v>
      </c>
      <c r="BX105" s="9">
        <f t="shared" ca="1" si="87"/>
        <v>-74.41737841316457</v>
      </c>
      <c r="BY105" s="9">
        <f t="shared" ca="1" si="88"/>
        <v>-28.41121778131112</v>
      </c>
      <c r="BZ105">
        <f t="shared" ca="1" si="89"/>
        <v>79.656409068606791</v>
      </c>
      <c r="CA105" s="6">
        <f t="shared" ca="1" si="90"/>
        <v>-0.93422964056878421</v>
      </c>
      <c r="CB105" s="6">
        <f t="shared" ca="1" si="91"/>
        <v>-0.35667208845481591</v>
      </c>
      <c r="CC105" s="6">
        <f t="shared" ca="1" si="92"/>
        <v>-2.7768893919047226</v>
      </c>
      <c r="CD105" s="6">
        <f t="shared" ca="1" si="93"/>
        <v>-25.58262158683543</v>
      </c>
      <c r="CE105" s="9">
        <f t="shared" ca="1" si="94"/>
        <v>-21.58878221868888</v>
      </c>
      <c r="CF105">
        <f t="shared" ca="1" si="95"/>
        <v>33.474558173950484</v>
      </c>
      <c r="CG105" s="6">
        <f t="shared" ca="1" si="96"/>
        <v>-0.76424075424372684</v>
      </c>
      <c r="CH105" s="6">
        <f t="shared" ca="1" si="97"/>
        <v>-0.64493105798447914</v>
      </c>
      <c r="CI105" s="6">
        <f t="shared" ca="1" si="98"/>
        <v>-2.4406595836095359</v>
      </c>
      <c r="CJ105" s="1">
        <f t="shared" ca="1" si="99"/>
        <v>2.9043071926103421</v>
      </c>
      <c r="CK105" s="38"/>
    </row>
    <row r="106" spans="1:89" x14ac:dyDescent="0.25">
      <c r="A106">
        <f t="shared" si="107"/>
        <v>3</v>
      </c>
      <c r="B106">
        <f t="shared" si="107"/>
        <v>0</v>
      </c>
      <c r="C106">
        <f t="shared" ca="1" si="107"/>
        <v>0</v>
      </c>
      <c r="D106" s="9">
        <f t="shared" si="108"/>
        <v>-2</v>
      </c>
      <c r="E106" s="5">
        <f t="shared" si="109"/>
        <v>-10</v>
      </c>
      <c r="F106" s="5">
        <f t="shared" ca="1" si="110"/>
        <v>0</v>
      </c>
      <c r="G106">
        <f t="shared" ca="1" si="111"/>
        <v>0</v>
      </c>
      <c r="H106">
        <f t="shared" ca="1" si="112"/>
        <v>0</v>
      </c>
      <c r="J106">
        <f t="shared" ca="1" si="113"/>
        <v>0</v>
      </c>
      <c r="K106">
        <f t="shared" ca="1" si="114"/>
        <v>0</v>
      </c>
      <c r="L106">
        <f t="shared" ca="1" si="115"/>
        <v>0</v>
      </c>
      <c r="BC106">
        <v>1.8151424220741048</v>
      </c>
      <c r="BD106">
        <v>-6.5684782486277102</v>
      </c>
      <c r="BE106">
        <v>13.311772207596471</v>
      </c>
      <c r="BF106" s="6">
        <f t="shared" si="105"/>
        <v>2.0291771855369367</v>
      </c>
      <c r="BG106" s="6">
        <f t="shared" si="106"/>
        <v>0.2140347634628319</v>
      </c>
      <c r="BH106" s="6">
        <f t="shared" si="84"/>
        <v>-1.5655295765361306</v>
      </c>
      <c r="BI106" s="6">
        <f t="shared" si="85"/>
        <v>1.5655295765361306</v>
      </c>
      <c r="BJ106">
        <v>-10.105351151734938</v>
      </c>
      <c r="BK106">
        <v>20.479649550148416</v>
      </c>
      <c r="BV106" s="38"/>
      <c r="BW106" s="6">
        <f t="shared" si="86"/>
        <v>1.5882496193148417</v>
      </c>
      <c r="BX106" s="9">
        <f t="shared" ca="1" si="87"/>
        <v>-59.31437128128465</v>
      </c>
      <c r="BY106" s="9">
        <f t="shared" ca="1" si="88"/>
        <v>-26.634897210602812</v>
      </c>
      <c r="BZ106">
        <f t="shared" ca="1" si="89"/>
        <v>65.020092201668419</v>
      </c>
      <c r="CA106" s="6">
        <f t="shared" ca="1" si="90"/>
        <v>-0.91224680360823363</v>
      </c>
      <c r="CB106" s="6">
        <f t="shared" ca="1" si="91"/>
        <v>-0.40964102493104987</v>
      </c>
      <c r="CC106" s="6">
        <f t="shared" ca="1" si="92"/>
        <v>-2.7195321327104165</v>
      </c>
      <c r="CD106" s="6">
        <f t="shared" ca="1" si="93"/>
        <v>-40.68562871871535</v>
      </c>
      <c r="CE106" s="9">
        <f t="shared" ca="1" si="94"/>
        <v>-23.365102789397188</v>
      </c>
      <c r="CF106">
        <f t="shared" ca="1" si="95"/>
        <v>46.917463833803417</v>
      </c>
      <c r="CG106" s="6">
        <f t="shared" ca="1" si="96"/>
        <v>-0.8671745101746503</v>
      </c>
      <c r="CH106" s="6">
        <f t="shared" ca="1" si="97"/>
        <v>-0.4980043864298338</v>
      </c>
      <c r="CI106" s="6">
        <f t="shared" ca="1" si="98"/>
        <v>-2.6202966852697678</v>
      </c>
      <c r="CJ106" s="1">
        <f t="shared" ca="1" si="99"/>
        <v>3.0839442942705739</v>
      </c>
      <c r="CK106" s="38"/>
    </row>
    <row r="107" spans="1:89" x14ac:dyDescent="0.25">
      <c r="A107">
        <f t="shared" si="107"/>
        <v>4</v>
      </c>
      <c r="B107">
        <f t="shared" si="107"/>
        <v>0</v>
      </c>
      <c r="C107">
        <f t="shared" ca="1" si="107"/>
        <v>0</v>
      </c>
      <c r="D107" s="9">
        <f t="shared" si="108"/>
        <v>-2</v>
      </c>
      <c r="E107" s="5">
        <f t="shared" si="109"/>
        <v>-8</v>
      </c>
      <c r="F107" s="5">
        <f t="shared" ca="1" si="110"/>
        <v>0</v>
      </c>
      <c r="G107">
        <f t="shared" ca="1" si="111"/>
        <v>0</v>
      </c>
      <c r="H107">
        <f t="shared" ca="1" si="112"/>
        <v>0</v>
      </c>
      <c r="J107">
        <f t="shared" ca="1" si="113"/>
        <v>0</v>
      </c>
      <c r="K107">
        <f t="shared" ca="1" si="114"/>
        <v>0</v>
      </c>
      <c r="L107">
        <f t="shared" ca="1" si="115"/>
        <v>0</v>
      </c>
      <c r="BC107">
        <v>1.8325957145940481</v>
      </c>
      <c r="BD107">
        <v>-7.2346239103809875</v>
      </c>
      <c r="BE107">
        <v>12.96690932827577</v>
      </c>
      <c r="BF107" s="6">
        <f t="shared" si="105"/>
        <v>2.0797072118813711</v>
      </c>
      <c r="BG107" s="6">
        <f t="shared" si="106"/>
        <v>0.24711149728732296</v>
      </c>
      <c r="BH107" s="6">
        <f t="shared" si="84"/>
        <v>-1.6160596028805647</v>
      </c>
      <c r="BI107" s="6">
        <f t="shared" si="85"/>
        <v>1.6160596028805647</v>
      </c>
      <c r="BJ107">
        <v>-11.130190631355365</v>
      </c>
      <c r="BK107">
        <v>19.949091274270415</v>
      </c>
      <c r="BV107" s="38"/>
      <c r="BW107" s="6">
        <f t="shared" si="86"/>
        <v>1.605702911834785</v>
      </c>
      <c r="BX107" s="9">
        <f t="shared" ca="1" si="87"/>
        <v>-46.080967296938987</v>
      </c>
      <c r="BY107" s="9">
        <f t="shared" ca="1" si="88"/>
        <v>-24.913681530497612</v>
      </c>
      <c r="BZ107">
        <f t="shared" ca="1" si="89"/>
        <v>52.38460722793117</v>
      </c>
      <c r="CA107" s="6">
        <f t="shared" ca="1" si="90"/>
        <v>-0.87966617934989266</v>
      </c>
      <c r="CB107" s="6">
        <f t="shared" ca="1" si="91"/>
        <v>-0.47559164512001495</v>
      </c>
      <c r="CC107" s="6">
        <f t="shared" ca="1" si="92"/>
        <v>-2.6459561649254679</v>
      </c>
      <c r="CD107" s="6">
        <f t="shared" ca="1" si="93"/>
        <v>-53.919032703061013</v>
      </c>
      <c r="CE107" s="9">
        <f t="shared" ca="1" si="94"/>
        <v>-25.086318469502388</v>
      </c>
      <c r="CF107">
        <f t="shared" ca="1" si="95"/>
        <v>59.469197589904134</v>
      </c>
      <c r="CG107" s="6">
        <f t="shared" ca="1" si="96"/>
        <v>-0.90667160291758586</v>
      </c>
      <c r="CH107" s="6">
        <f t="shared" ca="1" si="97"/>
        <v>-0.42183717766794282</v>
      </c>
      <c r="CI107" s="6">
        <f t="shared" ca="1" si="98"/>
        <v>-2.7061219985104987</v>
      </c>
      <c r="CJ107" s="1">
        <f t="shared" ca="1" si="99"/>
        <v>-3.1134156996682814</v>
      </c>
      <c r="CK107" s="38"/>
    </row>
    <row r="108" spans="1:89" x14ac:dyDescent="0.25">
      <c r="A108">
        <f t="shared" si="107"/>
        <v>5</v>
      </c>
      <c r="B108">
        <f t="shared" si="107"/>
        <v>0</v>
      </c>
      <c r="C108">
        <f t="shared" ca="1" si="107"/>
        <v>0</v>
      </c>
      <c r="D108" s="9">
        <f t="shared" si="108"/>
        <v>0</v>
      </c>
      <c r="E108" s="5">
        <f t="shared" si="109"/>
        <v>-10</v>
      </c>
      <c r="F108" s="5">
        <f t="shared" ca="1" si="110"/>
        <v>0</v>
      </c>
      <c r="G108">
        <f t="shared" ca="1" si="111"/>
        <v>0</v>
      </c>
      <c r="H108">
        <f t="shared" ca="1" si="112"/>
        <v>0</v>
      </c>
      <c r="J108">
        <f t="shared" ca="1" si="113"/>
        <v>0</v>
      </c>
      <c r="K108">
        <f t="shared" ca="1" si="114"/>
        <v>0</v>
      </c>
      <c r="L108">
        <f t="shared" ca="1" si="115"/>
        <v>0</v>
      </c>
      <c r="BC108">
        <v>1.8500490071139915</v>
      </c>
      <c r="BD108">
        <v>-7.8013235813468702</v>
      </c>
      <c r="BE108">
        <v>12.654330197417286</v>
      </c>
      <c r="BF108" s="6">
        <f t="shared" si="105"/>
        <v>2.1232558547490665</v>
      </c>
      <c r="BG108" s="6">
        <f t="shared" si="106"/>
        <v>0.27320684763507508</v>
      </c>
      <c r="BH108" s="6">
        <f t="shared" si="84"/>
        <v>-1.6596082457482602</v>
      </c>
      <c r="BI108" s="6">
        <f t="shared" si="85"/>
        <v>1.6596082457482602</v>
      </c>
      <c r="BJ108">
        <v>-12.002036278995185</v>
      </c>
      <c r="BK108">
        <v>19.468200303718902</v>
      </c>
      <c r="BV108" s="38"/>
      <c r="BW108" s="6">
        <f t="shared" si="86"/>
        <v>1.6231562043547283</v>
      </c>
      <c r="BX108" s="9">
        <f t="shared" ca="1" si="87"/>
        <v>-34.840152032236773</v>
      </c>
      <c r="BY108" s="9">
        <f t="shared" ca="1" si="88"/>
        <v>-23.295858021062696</v>
      </c>
      <c r="BZ108">
        <f t="shared" ca="1" si="89"/>
        <v>41.911015193703953</v>
      </c>
      <c r="CA108" s="6">
        <f t="shared" ca="1" si="90"/>
        <v>-0.83128866889081243</v>
      </c>
      <c r="CB108" s="6">
        <f t="shared" ca="1" si="91"/>
        <v>-0.55584093855503403</v>
      </c>
      <c r="CC108" s="6">
        <f t="shared" ca="1" si="92"/>
        <v>-2.5522184208359397</v>
      </c>
      <c r="CD108" s="6">
        <f t="shared" ca="1" si="93"/>
        <v>-65.159847967763227</v>
      </c>
      <c r="CE108" s="9">
        <f t="shared" ca="1" si="94"/>
        <v>-26.704141978937304</v>
      </c>
      <c r="CF108">
        <f t="shared" ca="1" si="95"/>
        <v>70.4195781442438</v>
      </c>
      <c r="CG108" s="6">
        <f t="shared" ca="1" si="96"/>
        <v>-0.92530869517981473</v>
      </c>
      <c r="CH108" s="6">
        <f t="shared" ca="1" si="97"/>
        <v>-0.37921473946120393</v>
      </c>
      <c r="CI108" s="6">
        <f t="shared" ca="1" si="98"/>
        <v>-2.7526451519451074</v>
      </c>
      <c r="CJ108" s="1">
        <f t="shared" ca="1" si="99"/>
        <v>-3.0668925462336727</v>
      </c>
      <c r="CK108" s="38"/>
    </row>
    <row r="109" spans="1:89" x14ac:dyDescent="0.25">
      <c r="A109">
        <f t="shared" si="107"/>
        <v>6</v>
      </c>
      <c r="B109">
        <f t="shared" si="107"/>
        <v>0</v>
      </c>
      <c r="C109">
        <f t="shared" ca="1" si="107"/>
        <v>0</v>
      </c>
      <c r="D109" s="9">
        <f t="shared" si="108"/>
        <v>-6</v>
      </c>
      <c r="E109" s="5">
        <f t="shared" si="109"/>
        <v>-3.34</v>
      </c>
      <c r="F109" s="5">
        <f t="shared" ca="1" si="110"/>
        <v>0</v>
      </c>
      <c r="G109">
        <f t="shared" ca="1" si="111"/>
        <v>0</v>
      </c>
      <c r="H109">
        <f t="shared" ca="1" si="112"/>
        <v>0</v>
      </c>
      <c r="J109">
        <f t="shared" ca="1" si="113"/>
        <v>0</v>
      </c>
      <c r="K109">
        <f t="shared" ca="1" si="114"/>
        <v>0</v>
      </c>
      <c r="L109">
        <f t="shared" ca="1" si="115"/>
        <v>0</v>
      </c>
      <c r="BC109">
        <v>1.8675022996339348</v>
      </c>
      <c r="BD109">
        <v>-8.2893515037344248</v>
      </c>
      <c r="BE109">
        <v>12.368959002252835</v>
      </c>
      <c r="BF109" s="6">
        <f t="shared" si="105"/>
        <v>2.1612229751561602</v>
      </c>
      <c r="BG109" s="6">
        <f t="shared" si="106"/>
        <v>0.29372067552222547</v>
      </c>
      <c r="BH109" s="6">
        <f t="shared" si="84"/>
        <v>-1.6975753661553539</v>
      </c>
      <c r="BI109" s="6">
        <f t="shared" si="85"/>
        <v>1.6975753661553539</v>
      </c>
      <c r="BJ109">
        <v>-12.75284846728373</v>
      </c>
      <c r="BK109">
        <v>19.029167695773591</v>
      </c>
      <c r="BV109" s="38"/>
      <c r="BW109" s="6">
        <f t="shared" si="86"/>
        <v>1.6406094968746716</v>
      </c>
      <c r="BX109" s="9">
        <f t="shared" ca="1" si="87"/>
        <v>-25.725497239852682</v>
      </c>
      <c r="BY109" s="9">
        <f t="shared" ca="1" si="88"/>
        <v>-21.851768422645069</v>
      </c>
      <c r="BZ109">
        <f t="shared" ca="1" si="89"/>
        <v>33.753533021516077</v>
      </c>
      <c r="CA109" s="6">
        <f t="shared" ca="1" si="90"/>
        <v>-0.76215717102722402</v>
      </c>
      <c r="CB109" s="6">
        <f t="shared" ca="1" si="91"/>
        <v>-0.64739203474539186</v>
      </c>
      <c r="CC109" s="6">
        <f t="shared" ca="1" si="92"/>
        <v>-2.4374350317573787</v>
      </c>
      <c r="CD109" s="6">
        <f t="shared" ca="1" si="93"/>
        <v>-74.274502760147314</v>
      </c>
      <c r="CE109" s="9">
        <f t="shared" ca="1" si="94"/>
        <v>-28.148231577354931</v>
      </c>
      <c r="CF109">
        <f t="shared" ca="1" si="95"/>
        <v>79.429369260995216</v>
      </c>
      <c r="CG109" s="6">
        <f t="shared" ca="1" si="96"/>
        <v>-0.935101253493407</v>
      </c>
      <c r="CH109" s="6">
        <f t="shared" ca="1" si="97"/>
        <v>-0.35438065087566384</v>
      </c>
      <c r="CI109" s="6">
        <f t="shared" ca="1" si="98"/>
        <v>-2.779341003268688</v>
      </c>
      <c r="CJ109" s="1">
        <f t="shared" ca="1" si="99"/>
        <v>-3.040196694910092</v>
      </c>
      <c r="CK109" s="38"/>
    </row>
    <row r="110" spans="1:89" x14ac:dyDescent="0.25">
      <c r="A110">
        <f t="shared" si="107"/>
        <v>7</v>
      </c>
      <c r="B110">
        <f t="shared" si="107"/>
        <v>8</v>
      </c>
      <c r="C110">
        <f t="shared" ca="1" si="107"/>
        <v>0.79</v>
      </c>
      <c r="D110" s="9">
        <f t="shared" si="108"/>
        <v>-4</v>
      </c>
      <c r="E110" s="5">
        <f t="shared" si="109"/>
        <v>10</v>
      </c>
      <c r="F110" s="5">
        <f t="shared" ca="1" si="110"/>
        <v>28.627625000000002</v>
      </c>
      <c r="G110">
        <f t="shared" ca="1" si="111"/>
        <v>286.27625</v>
      </c>
      <c r="H110">
        <f t="shared" ca="1" si="112"/>
        <v>114.51050000000001</v>
      </c>
      <c r="J110">
        <f t="shared" ca="1" si="113"/>
        <v>-42.660000000000004</v>
      </c>
      <c r="K110">
        <f t="shared" ca="1" si="114"/>
        <v>-426.6</v>
      </c>
      <c r="L110">
        <f t="shared" ca="1" si="115"/>
        <v>-170.64000000000001</v>
      </c>
      <c r="BC110">
        <v>1.8849555921538781</v>
      </c>
      <c r="BD110">
        <v>-8.7143058456550104</v>
      </c>
      <c r="BE110">
        <v>12.106739603562417</v>
      </c>
      <c r="BF110" s="6">
        <f t="shared" si="105"/>
        <v>2.1946808310867247</v>
      </c>
      <c r="BG110" s="6">
        <f t="shared" si="106"/>
        <v>0.30972523893284665</v>
      </c>
      <c r="BH110" s="6">
        <f t="shared" si="84"/>
        <v>-1.7310332220859184</v>
      </c>
      <c r="BI110" s="6">
        <f t="shared" si="85"/>
        <v>1.7310332220859184</v>
      </c>
      <c r="BJ110">
        <v>-13.406624377930784</v>
      </c>
      <c r="BK110">
        <v>18.625753236249871</v>
      </c>
      <c r="BV110" s="38"/>
      <c r="BW110" s="6">
        <f t="shared" si="86"/>
        <v>1.6580627893946149</v>
      </c>
      <c r="BX110" s="9">
        <f t="shared" ca="1" si="87"/>
        <v>-17.725581718003106</v>
      </c>
      <c r="BY110" s="9">
        <f t="shared" ca="1" si="88"/>
        <v>-20.354044348008291</v>
      </c>
      <c r="BZ110">
        <f t="shared" ca="1" si="89"/>
        <v>26.990431055511028</v>
      </c>
      <c r="CA110" s="6">
        <f t="shared" ca="1" si="90"/>
        <v>-0.65673577726665533</v>
      </c>
      <c r="CB110" s="6">
        <f t="shared" ca="1" si="91"/>
        <v>-0.75412075880323182</v>
      </c>
      <c r="CC110" s="6">
        <f t="shared" ca="1" si="92"/>
        <v>-2.2872783702490413</v>
      </c>
      <c r="CD110" s="6">
        <f t="shared" ca="1" si="93"/>
        <v>-82.274418281996901</v>
      </c>
      <c r="CE110" s="9">
        <f t="shared" ca="1" si="94"/>
        <v>-29.645955651991709</v>
      </c>
      <c r="CF110">
        <f t="shared" ca="1" si="95"/>
        <v>87.452630550263294</v>
      </c>
      <c r="CG110" s="6">
        <f t="shared" ca="1" si="96"/>
        <v>-0.94078837611076527</v>
      </c>
      <c r="CH110" s="6">
        <f t="shared" ca="1" si="97"/>
        <v>-0.33899444151028402</v>
      </c>
      <c r="CI110" s="6">
        <f t="shared" ca="1" si="98"/>
        <v>-2.7957448088068393</v>
      </c>
      <c r="CJ110" s="1">
        <f t="shared" ca="1" si="99"/>
        <v>-3.0237928893719408</v>
      </c>
      <c r="CK110" s="38"/>
    </row>
    <row r="111" spans="1:89" x14ac:dyDescent="0.25">
      <c r="A111">
        <f t="shared" si="107"/>
        <v>8</v>
      </c>
      <c r="B111">
        <f t="shared" si="107"/>
        <v>8</v>
      </c>
      <c r="C111">
        <f t="shared" ca="1" si="107"/>
        <v>0.79</v>
      </c>
      <c r="D111" s="9">
        <f t="shared" si="108"/>
        <v>4</v>
      </c>
      <c r="E111" s="5">
        <f t="shared" si="109"/>
        <v>10</v>
      </c>
      <c r="F111" s="5">
        <f t="shared" ca="1" si="110"/>
        <v>28.627625000000002</v>
      </c>
      <c r="G111">
        <f t="shared" ca="1" si="111"/>
        <v>286.27625</v>
      </c>
      <c r="H111">
        <f t="shared" ca="1" si="112"/>
        <v>-114.51050000000001</v>
      </c>
      <c r="J111">
        <f t="shared" ca="1" si="113"/>
        <v>-42.660000000000004</v>
      </c>
      <c r="K111">
        <f t="shared" ca="1" si="114"/>
        <v>-426.6</v>
      </c>
      <c r="L111">
        <f t="shared" ca="1" si="115"/>
        <v>170.64000000000001</v>
      </c>
      <c r="BC111">
        <v>1.9024088846738214</v>
      </c>
      <c r="BD111">
        <v>-9.0880916212036933</v>
      </c>
      <c r="BE111">
        <v>11.864387440753394</v>
      </c>
      <c r="BF111" s="6">
        <f t="shared" si="105"/>
        <v>2.2244574931452683</v>
      </c>
      <c r="BG111" s="6">
        <f t="shared" si="106"/>
        <v>0.3220486084714469</v>
      </c>
      <c r="BH111" s="6">
        <f t="shared" si="84"/>
        <v>-1.7608098841444619</v>
      </c>
      <c r="BI111" s="6">
        <f t="shared" si="85"/>
        <v>1.7608098841444619</v>
      </c>
      <c r="BJ111">
        <v>-13.981679417236451</v>
      </c>
      <c r="BK111">
        <v>18.252903755005221</v>
      </c>
      <c r="BV111" s="38"/>
      <c r="BW111" s="6">
        <f t="shared" si="86"/>
        <v>1.6755160819145583</v>
      </c>
      <c r="BX111" s="9">
        <f t="shared" ca="1" si="87"/>
        <v>-10.725302198083931</v>
      </c>
      <c r="BY111" s="9">
        <f t="shared" ca="1" si="88"/>
        <v>-18.756587577467499</v>
      </c>
      <c r="BZ111">
        <f t="shared" ca="1" si="89"/>
        <v>21.606519497397819</v>
      </c>
      <c r="CA111" s="6">
        <f t="shared" ca="1" si="90"/>
        <v>-0.49639194315288182</v>
      </c>
      <c r="CB111" s="6">
        <f t="shared" ca="1" si="91"/>
        <v>-0.86809851904775537</v>
      </c>
      <c r="CC111" s="6">
        <f t="shared" ca="1" si="92"/>
        <v>-2.0902338638643752</v>
      </c>
      <c r="CD111" s="6">
        <f t="shared" ca="1" si="93"/>
        <v>-89.274697801916062</v>
      </c>
      <c r="CE111" s="9">
        <f t="shared" ca="1" si="94"/>
        <v>-31.243412422532501</v>
      </c>
      <c r="CF111">
        <f t="shared" ca="1" si="95"/>
        <v>94.58394413127364</v>
      </c>
      <c r="CG111" s="6">
        <f t="shared" ca="1" si="96"/>
        <v>-0.94386736165295837</v>
      </c>
      <c r="CH111" s="6">
        <f t="shared" ca="1" si="97"/>
        <v>-0.33032469421204907</v>
      </c>
      <c r="CI111" s="6">
        <f t="shared" ca="1" si="98"/>
        <v>-2.8049450950660293</v>
      </c>
      <c r="CJ111" s="1">
        <f t="shared" ca="1" si="99"/>
        <v>-3.0145926031127508</v>
      </c>
      <c r="CK111" s="38"/>
    </row>
    <row r="112" spans="1:89" x14ac:dyDescent="0.25">
      <c r="A112">
        <f t="shared" si="107"/>
        <v>9</v>
      </c>
      <c r="B112">
        <f t="shared" si="107"/>
        <v>8</v>
      </c>
      <c r="C112">
        <f t="shared" ca="1" si="107"/>
        <v>0.79</v>
      </c>
      <c r="D112" s="9">
        <f t="shared" si="108"/>
        <v>-4</v>
      </c>
      <c r="E112" s="5">
        <f t="shared" si="109"/>
        <v>-10</v>
      </c>
      <c r="F112" s="5">
        <f t="shared" ca="1" si="110"/>
        <v>28.627625000000002</v>
      </c>
      <c r="G112">
        <f t="shared" ca="1" si="111"/>
        <v>-286.27625</v>
      </c>
      <c r="H112">
        <f t="shared" ca="1" si="112"/>
        <v>114.51050000000001</v>
      </c>
      <c r="J112">
        <f t="shared" ca="1" si="113"/>
        <v>-42.660000000000004</v>
      </c>
      <c r="K112">
        <f t="shared" ca="1" si="114"/>
        <v>426.6</v>
      </c>
      <c r="L112">
        <f t="shared" ca="1" si="115"/>
        <v>-170.64000000000001</v>
      </c>
      <c r="BC112">
        <v>1.9198621771937647</v>
      </c>
      <c r="BD112">
        <v>-9.4199289810390496</v>
      </c>
      <c r="BE112">
        <v>11.63921096299841</v>
      </c>
      <c r="BF112" s="6">
        <f t="shared" si="105"/>
        <v>2.2511987124647823</v>
      </c>
      <c r="BG112" s="6">
        <f t="shared" si="106"/>
        <v>0.33133653527101758</v>
      </c>
      <c r="BH112" s="6">
        <f t="shared" si="84"/>
        <v>-1.7875511034639759</v>
      </c>
      <c r="BI112" s="6">
        <f t="shared" si="85"/>
        <v>1.7875511034639759</v>
      </c>
      <c r="BJ112">
        <v>-14.492198432367768</v>
      </c>
      <c r="BK112">
        <v>17.906478404612937</v>
      </c>
      <c r="BV112" s="38"/>
      <c r="BW112" s="6">
        <f t="shared" si="86"/>
        <v>1.6929693744345016</v>
      </c>
      <c r="BX112" s="9">
        <f t="shared" ca="1" si="87"/>
        <v>-5.7553980506532412</v>
      </c>
      <c r="BY112" s="9">
        <f t="shared" ca="1" si="88"/>
        <v>-17.551798692522087</v>
      </c>
      <c r="BZ112">
        <f t="shared" ca="1" si="89"/>
        <v>18.471335741204079</v>
      </c>
      <c r="CA112" s="6">
        <f t="shared" ca="1" si="90"/>
        <v>-0.31158537375370493</v>
      </c>
      <c r="CB112" s="6">
        <f t="shared" ca="1" si="91"/>
        <v>-0.95021816172011986</v>
      </c>
      <c r="CC112" s="6">
        <f t="shared" ca="1" si="92"/>
        <v>-1.8876573351962149</v>
      </c>
      <c r="CD112" s="6">
        <f t="shared" ca="1" si="93"/>
        <v>-94.244601949346759</v>
      </c>
      <c r="CE112" s="9">
        <f t="shared" ca="1" si="94"/>
        <v>-32.448201307477916</v>
      </c>
      <c r="CF112">
        <f t="shared" ca="1" si="95"/>
        <v>99.674122843802479</v>
      </c>
      <c r="CG112" s="6">
        <f t="shared" ca="1" si="96"/>
        <v>-0.94552727689448324</v>
      </c>
      <c r="CH112" s="6">
        <f t="shared" ca="1" si="97"/>
        <v>-0.32554288296398565</v>
      </c>
      <c r="CI112" s="6">
        <f t="shared" ca="1" si="98"/>
        <v>-2.8100068232417086</v>
      </c>
      <c r="CJ112" s="1">
        <f t="shared" ca="1" si="99"/>
        <v>-3.0095308749370715</v>
      </c>
      <c r="CK112" s="38"/>
    </row>
    <row r="113" spans="1:89" x14ac:dyDescent="0.25">
      <c r="A113">
        <f t="shared" si="107"/>
        <v>10</v>
      </c>
      <c r="B113">
        <f t="shared" si="107"/>
        <v>8</v>
      </c>
      <c r="C113">
        <f t="shared" ca="1" si="107"/>
        <v>0.79</v>
      </c>
      <c r="D113" s="9">
        <f t="shared" si="108"/>
        <v>4</v>
      </c>
      <c r="E113" s="5">
        <f t="shared" si="109"/>
        <v>-10</v>
      </c>
      <c r="F113" s="5">
        <f t="shared" ca="1" si="110"/>
        <v>28.627625000000002</v>
      </c>
      <c r="G113">
        <f t="shared" ca="1" si="111"/>
        <v>-286.27625</v>
      </c>
      <c r="H113">
        <f t="shared" ca="1" si="112"/>
        <v>-114.51050000000001</v>
      </c>
      <c r="J113">
        <f t="shared" ca="1" si="113"/>
        <v>-42.660000000000004</v>
      </c>
      <c r="K113">
        <f t="shared" ca="1" si="114"/>
        <v>426.6</v>
      </c>
      <c r="L113">
        <f t="shared" ca="1" si="115"/>
        <v>170.64000000000001</v>
      </c>
      <c r="BC113">
        <v>1.937315469713708</v>
      </c>
      <c r="BD113">
        <v>-9.7170533759574944</v>
      </c>
      <c r="BE113">
        <v>11.428980731428673</v>
      </c>
      <c r="BF113" s="6">
        <f t="shared" si="105"/>
        <v>2.2754132930950757</v>
      </c>
      <c r="BG113" s="6">
        <f t="shared" si="106"/>
        <v>0.33809782338136762</v>
      </c>
      <c r="BH113" s="6">
        <f t="shared" si="84"/>
        <v>-1.8117656840942693</v>
      </c>
      <c r="BI113" s="6">
        <f t="shared" si="85"/>
        <v>1.8117656840942693</v>
      </c>
      <c r="BJ113">
        <v>-14.949312886088453</v>
      </c>
      <c r="BK113">
        <v>17.583047279121036</v>
      </c>
      <c r="BV113" s="38"/>
      <c r="BW113" s="6">
        <f t="shared" si="86"/>
        <v>1.7104226669544449</v>
      </c>
      <c r="BX113" s="9">
        <f t="shared" ca="1" si="87"/>
        <v>-2.2929179679954212</v>
      </c>
      <c r="BY113" s="9">
        <f t="shared" ca="1" si="88"/>
        <v>-16.608373658973548</v>
      </c>
      <c r="BZ113">
        <f t="shared" ca="1" si="89"/>
        <v>16.765904341968636</v>
      </c>
      <c r="CA113" s="6">
        <f t="shared" ca="1" si="90"/>
        <v>-0.13676076883343288</v>
      </c>
      <c r="CB113" s="6">
        <f t="shared" ca="1" si="91"/>
        <v>-0.99060410462913384</v>
      </c>
      <c r="CC113" s="6">
        <f t="shared" ca="1" si="92"/>
        <v>-1.7079870419136032</v>
      </c>
      <c r="CD113" s="6">
        <f t="shared" ca="1" si="93"/>
        <v>-97.707082032004578</v>
      </c>
      <c r="CE113" s="9">
        <f t="shared" ca="1" si="94"/>
        <v>-33.391626341026452</v>
      </c>
      <c r="CF113">
        <f t="shared" ca="1" si="95"/>
        <v>103.25538527799702</v>
      </c>
      <c r="CG113" s="6">
        <f t="shared" ca="1" si="96"/>
        <v>-0.9462662094470462</v>
      </c>
      <c r="CH113" s="6">
        <f t="shared" ca="1" si="97"/>
        <v>-0.32338871479802583</v>
      </c>
      <c r="CI113" s="6">
        <f t="shared" ca="1" si="98"/>
        <v>-2.8122842042037108</v>
      </c>
      <c r="CJ113" s="1">
        <f t="shared" ca="1" si="99"/>
        <v>-3.0072534939750692</v>
      </c>
      <c r="CK113" s="38"/>
    </row>
    <row r="114" spans="1:89" x14ac:dyDescent="0.25">
      <c r="F114" s="5">
        <f ca="1">SUM(F104:F113)</f>
        <v>114.51050000000001</v>
      </c>
      <c r="G114" s="5">
        <f ca="1">SUM(G104:G113)</f>
        <v>0</v>
      </c>
      <c r="H114" s="5">
        <f ca="1">SUM(H104:H113)</f>
        <v>0</v>
      </c>
      <c r="J114">
        <f ca="1">SUM(J104:J113)</f>
        <v>-170.64000000000001</v>
      </c>
      <c r="K114">
        <f ca="1">SUM(K104:K113)</f>
        <v>0</v>
      </c>
      <c r="L114">
        <f ca="1">SUM(L104:L113)</f>
        <v>0</v>
      </c>
      <c r="BC114">
        <v>1.9547687622336514</v>
      </c>
      <c r="BD114">
        <v>-9.9852110146046087</v>
      </c>
      <c r="BE114">
        <v>11.231831892366912</v>
      </c>
      <c r="BF114" s="6">
        <f t="shared" si="105"/>
        <v>2.2975063257401676</v>
      </c>
      <c r="BG114" s="6">
        <f t="shared" si="106"/>
        <v>0.34273756350651619</v>
      </c>
      <c r="BH114" s="6">
        <f t="shared" si="84"/>
        <v>-1.8338587167393614</v>
      </c>
      <c r="BI114" s="6">
        <f t="shared" si="85"/>
        <v>1.8338587167393614</v>
      </c>
      <c r="BJ114">
        <v>-15.361863099391705</v>
      </c>
      <c r="BK114">
        <v>17.279741372872174</v>
      </c>
      <c r="BV114" s="38"/>
      <c r="BW114" s="6">
        <f t="shared" si="86"/>
        <v>1.7278759594743882</v>
      </c>
      <c r="BX114" s="9">
        <f t="shared" ca="1" si="87"/>
        <v>0.23521914611165276</v>
      </c>
      <c r="BY114" s="9">
        <f t="shared" ca="1" si="88"/>
        <v>-15.831019359880759</v>
      </c>
      <c r="BZ114">
        <f t="shared" ca="1" si="89"/>
        <v>15.832766720305612</v>
      </c>
      <c r="CA114" s="6">
        <f t="shared" ca="1" si="90"/>
        <v>1.4856477725398613E-2</v>
      </c>
      <c r="CB114" s="6">
        <f t="shared" ca="1" si="91"/>
        <v>-0.99988963644474016</v>
      </c>
      <c r="CC114" s="6">
        <f t="shared" ca="1" si="92"/>
        <v>-1.5559393025074695</v>
      </c>
      <c r="CD114" s="6">
        <f t="shared" ca="1" si="93"/>
        <v>-100.23521914611165</v>
      </c>
      <c r="CE114" s="9">
        <f t="shared" ca="1" si="94"/>
        <v>-34.168980640119244</v>
      </c>
      <c r="CF114">
        <f t="shared" ca="1" si="95"/>
        <v>105.89909534672084</v>
      </c>
      <c r="CG114" s="6">
        <f t="shared" ca="1" si="96"/>
        <v>-0.94651629287233019</v>
      </c>
      <c r="CH114" s="6">
        <f t="shared" ca="1" si="97"/>
        <v>-0.32265602013168931</v>
      </c>
      <c r="CI114" s="6">
        <f t="shared" ca="1" si="98"/>
        <v>-2.8130584026431422</v>
      </c>
      <c r="CJ114" s="1">
        <f t="shared" ca="1" si="99"/>
        <v>-3.0064792955356379</v>
      </c>
      <c r="CK114" s="38"/>
    </row>
    <row r="115" spans="1:89" x14ac:dyDescent="0.25">
      <c r="A115" s="8" t="s">
        <v>99</v>
      </c>
      <c r="B115" s="5">
        <f ca="1">B100+F114</f>
        <v>910.1105</v>
      </c>
      <c r="J115">
        <f ca="1">J114</f>
        <v>-170.64000000000001</v>
      </c>
      <c r="BC115">
        <v>1.9722220547535947</v>
      </c>
      <c r="BD115">
        <v>-10.229015457219424</v>
      </c>
      <c r="BE115">
        <v>11.046190436789264</v>
      </c>
      <c r="BF115" s="6">
        <f t="shared" si="105"/>
        <v>2.317803629135514</v>
      </c>
      <c r="BG115" s="6">
        <f t="shared" si="106"/>
        <v>0.34558157438191928</v>
      </c>
      <c r="BH115" s="6">
        <f t="shared" si="84"/>
        <v>-1.8541560201347076</v>
      </c>
      <c r="BI115" s="6">
        <f t="shared" si="85"/>
        <v>1.8541560201347076</v>
      </c>
      <c r="BJ115">
        <v>-15.736946857260651</v>
      </c>
      <c r="BK115">
        <v>16.994139133521944</v>
      </c>
      <c r="BV115" s="38"/>
      <c r="BW115" s="6">
        <f t="shared" si="86"/>
        <v>1.7453292519943315</v>
      </c>
      <c r="BX115" s="9">
        <f t="shared" ca="1" si="87"/>
        <v>2.146073014612317</v>
      </c>
      <c r="BY115" s="9">
        <f t="shared" ca="1" si="88"/>
        <v>-15.176218577255126</v>
      </c>
      <c r="BZ115">
        <f t="shared" ca="1" si="89"/>
        <v>15.327205866976238</v>
      </c>
      <c r="CA115" s="6">
        <f t="shared" ca="1" si="90"/>
        <v>0.14001723688178633</v>
      </c>
      <c r="CB115" s="6">
        <f t="shared" ca="1" si="91"/>
        <v>-0.99014906624002308</v>
      </c>
      <c r="CC115" s="6">
        <f t="shared" ca="1" si="92"/>
        <v>-1.4303175037359763</v>
      </c>
      <c r="CD115" s="6">
        <f t="shared" ca="1" si="93"/>
        <v>-102.14607301461231</v>
      </c>
      <c r="CE115" s="9">
        <f t="shared" ca="1" si="94"/>
        <v>-34.823781422744872</v>
      </c>
      <c r="CF115">
        <f t="shared" ca="1" si="95"/>
        <v>107.91902512942572</v>
      </c>
      <c r="CG115" s="6">
        <f t="shared" ca="1" si="96"/>
        <v>-0.94650663209855734</v>
      </c>
      <c r="CH115" s="6">
        <f t="shared" ca="1" si="97"/>
        <v>-0.32268435876789303</v>
      </c>
      <c r="CI115" s="6">
        <f t="shared" ca="1" si="98"/>
        <v>-2.8130284625554363</v>
      </c>
      <c r="CJ115" s="1">
        <f t="shared" ca="1" si="99"/>
        <v>-3.0065092356233438</v>
      </c>
      <c r="CK115" s="38"/>
    </row>
    <row r="116" spans="1:89" x14ac:dyDescent="0.25">
      <c r="A116" s="8" t="s">
        <v>100</v>
      </c>
      <c r="B116" s="5">
        <f ca="1">B101+G114</f>
        <v>0</v>
      </c>
      <c r="C116">
        <f ca="1">B116/12</f>
        <v>0</v>
      </c>
      <c r="J116">
        <f ca="1">K114</f>
        <v>0</v>
      </c>
      <c r="K116">
        <f ca="1">J116/12</f>
        <v>0</v>
      </c>
      <c r="BC116">
        <v>1.989675347273538</v>
      </c>
      <c r="BD116">
        <v>-10.4522082242271</v>
      </c>
      <c r="BE116">
        <v>10.870716692197961</v>
      </c>
      <c r="BF116" s="6">
        <f t="shared" si="105"/>
        <v>2.3365698494831326</v>
      </c>
      <c r="BG116" s="6">
        <f t="shared" si="106"/>
        <v>0.34689450220959461</v>
      </c>
      <c r="BH116" s="6">
        <f t="shared" si="84"/>
        <v>-1.8729222404823263</v>
      </c>
      <c r="BI116" s="6">
        <f t="shared" si="85"/>
        <v>1.8729222404823263</v>
      </c>
      <c r="BJ116">
        <v>-16.080320344964768</v>
      </c>
      <c r="BK116">
        <v>16.7241795264584</v>
      </c>
      <c r="BV116" s="38"/>
      <c r="BW116" s="6">
        <f t="shared" si="86"/>
        <v>1.7627825445142749</v>
      </c>
      <c r="BX116" s="9">
        <f t="shared" ca="1" si="87"/>
        <v>3.6316843968572163</v>
      </c>
      <c r="BY116" s="9">
        <f t="shared" ca="1" si="88"/>
        <v>-14.614708923731458</v>
      </c>
      <c r="BZ116">
        <f t="shared" ca="1" si="89"/>
        <v>15.059178214091634</v>
      </c>
      <c r="CA116" s="6">
        <f t="shared" ca="1" si="90"/>
        <v>0.24116086184961047</v>
      </c>
      <c r="CB116" s="6">
        <f t="shared" ca="1" si="91"/>
        <v>-0.97048515635838184</v>
      </c>
      <c r="CC116" s="6">
        <f t="shared" ca="1" si="92"/>
        <v>-1.3272344866759307</v>
      </c>
      <c r="CD116" s="6">
        <f t="shared" ca="1" si="93"/>
        <v>-103.63168439685721</v>
      </c>
      <c r="CE116" s="9">
        <f t="shared" ca="1" si="94"/>
        <v>-35.385291076268544</v>
      </c>
      <c r="CF116">
        <f t="shared" ca="1" si="95"/>
        <v>109.50636892657006</v>
      </c>
      <c r="CG116" s="6">
        <f t="shared" ca="1" si="96"/>
        <v>-0.94635303327743303</v>
      </c>
      <c r="CH116" s="6">
        <f t="shared" ca="1" si="97"/>
        <v>-0.32313454845714312</v>
      </c>
      <c r="CI116" s="6">
        <f t="shared" ca="1" si="98"/>
        <v>-2.8125527910738186</v>
      </c>
      <c r="CJ116" s="1">
        <f t="shared" ca="1" si="99"/>
        <v>-3.0069849071049615</v>
      </c>
      <c r="CK116" s="38"/>
    </row>
    <row r="117" spans="1:89" x14ac:dyDescent="0.25">
      <c r="A117" s="8" t="s">
        <v>101</v>
      </c>
      <c r="B117" s="5">
        <f ca="1">B102+H114</f>
        <v>0</v>
      </c>
      <c r="C117">
        <f ca="1">B117/12</f>
        <v>0</v>
      </c>
      <c r="J117">
        <f ca="1">L114</f>
        <v>0</v>
      </c>
      <c r="K117">
        <f ca="1">J117/12</f>
        <v>0</v>
      </c>
      <c r="BC117">
        <v>2.0071286397934811</v>
      </c>
      <c r="BD117">
        <v>-10.657851947612077</v>
      </c>
      <c r="BE117">
        <v>10.704261493377714</v>
      </c>
      <c r="BF117" s="6">
        <f t="shared" si="105"/>
        <v>2.3540219770241597</v>
      </c>
      <c r="BG117" s="6">
        <f t="shared" si="106"/>
        <v>0.34689333723067861</v>
      </c>
      <c r="BH117" s="6">
        <f t="shared" si="84"/>
        <v>-1.8903743680233533</v>
      </c>
      <c r="BI117" s="6">
        <f t="shared" si="85"/>
        <v>1.8903743680233533</v>
      </c>
      <c r="BJ117">
        <v>-16.396695304018579</v>
      </c>
      <c r="BK117">
        <v>16.468094605196484</v>
      </c>
      <c r="BV117" s="38"/>
      <c r="BW117" s="6">
        <f t="shared" si="86"/>
        <v>1.7802358370342182</v>
      </c>
      <c r="BX117" s="9">
        <f t="shared" ca="1" si="87"/>
        <v>4.8142484008470676</v>
      </c>
      <c r="BY117" s="9">
        <f t="shared" ca="1" si="88"/>
        <v>-14.126020676366419</v>
      </c>
      <c r="BZ117">
        <f t="shared" ca="1" si="89"/>
        <v>14.92385499173019</v>
      </c>
      <c r="CA117" s="6">
        <f t="shared" ca="1" si="90"/>
        <v>0.32258745501847913</v>
      </c>
      <c r="CB117" s="6">
        <f t="shared" ca="1" si="91"/>
        <v>-0.94653966312284077</v>
      </c>
      <c r="CC117" s="6">
        <f t="shared" ca="1" si="92"/>
        <v>-1.2423345143971043</v>
      </c>
      <c r="CD117" s="6">
        <f t="shared" ca="1" si="93"/>
        <v>-104.81424840084706</v>
      </c>
      <c r="CE117" s="9">
        <f t="shared" ca="1" si="94"/>
        <v>-35.873979323633577</v>
      </c>
      <c r="CF117">
        <f t="shared" ca="1" si="95"/>
        <v>110.78343314930694</v>
      </c>
      <c r="CG117" s="6">
        <f t="shared" ca="1" si="96"/>
        <v>-0.94611843505143056</v>
      </c>
      <c r="CH117" s="6">
        <f t="shared" ca="1" si="97"/>
        <v>-0.32382079435365468</v>
      </c>
      <c r="CI117" s="6">
        <f t="shared" ca="1" si="98"/>
        <v>-2.8118275533326771</v>
      </c>
      <c r="CJ117" s="1">
        <f t="shared" ca="1" si="99"/>
        <v>-3.007710144846103</v>
      </c>
      <c r="CK117" s="38"/>
    </row>
    <row r="118" spans="1:89" x14ac:dyDescent="0.25">
      <c r="BC118">
        <v>2.0245819323134242</v>
      </c>
      <c r="BD118">
        <v>-10.848475345670709</v>
      </c>
      <c r="BE118">
        <v>10.545831795775202</v>
      </c>
      <c r="BF118" s="6">
        <f t="shared" si="105"/>
        <v>2.3703395318193601</v>
      </c>
      <c r="BG118" s="6">
        <f t="shared" si="106"/>
        <v>0.34575759950593588</v>
      </c>
      <c r="BH118" s="6">
        <f t="shared" si="84"/>
        <v>-1.9066919228185537</v>
      </c>
      <c r="BI118" s="6">
        <f t="shared" si="85"/>
        <v>1.9066919228185537</v>
      </c>
      <c r="BJ118">
        <v>-16.689962070262627</v>
      </c>
      <c r="BK118">
        <v>16.224356608884925</v>
      </c>
      <c r="BV118" s="38"/>
      <c r="BW118" s="6">
        <f t="shared" si="86"/>
        <v>1.7976891295541615</v>
      </c>
      <c r="BX118" s="9">
        <f t="shared" ca="1" si="87"/>
        <v>5.774702825855818</v>
      </c>
      <c r="BY118" s="9">
        <f t="shared" ca="1" si="88"/>
        <v>-13.695366150286894</v>
      </c>
      <c r="BZ118">
        <f t="shared" ca="1" si="89"/>
        <v>14.863049711192224</v>
      </c>
      <c r="CA118" s="6">
        <f t="shared" ca="1" si="90"/>
        <v>0.38852745150326262</v>
      </c>
      <c r="CB118" s="6">
        <f t="shared" ca="1" si="91"/>
        <v>-0.92143714893007211</v>
      </c>
      <c r="CC118" s="6">
        <f t="shared" ca="1" si="92"/>
        <v>-1.1717633733445785</v>
      </c>
      <c r="CD118" s="6">
        <f t="shared" ca="1" si="93"/>
        <v>-105.77470282585581</v>
      </c>
      <c r="CE118" s="9">
        <f t="shared" ca="1" si="94"/>
        <v>-36.304633849713106</v>
      </c>
      <c r="CF118">
        <f t="shared" ca="1" si="95"/>
        <v>111.83163325669462</v>
      </c>
      <c r="CG118" s="6">
        <f t="shared" ca="1" si="96"/>
        <v>-0.94583884492739256</v>
      </c>
      <c r="CH118" s="6">
        <f t="shared" ca="1" si="97"/>
        <v>-0.32463653433711959</v>
      </c>
      <c r="CI118" s="6">
        <f t="shared" ca="1" si="98"/>
        <v>-2.8109652294931822</v>
      </c>
      <c r="CJ118" s="1">
        <f t="shared" ca="1" si="99"/>
        <v>-3.0085724686855979</v>
      </c>
      <c r="CK118" s="38"/>
    </row>
    <row r="119" spans="1:89" x14ac:dyDescent="0.25">
      <c r="A119" s="8" t="s">
        <v>8</v>
      </c>
      <c r="B119">
        <f ca="1">B117/B115</f>
        <v>0</v>
      </c>
      <c r="J119">
        <f ca="1">J117/J115</f>
        <v>0</v>
      </c>
      <c r="BC119">
        <v>2.0420352248333673</v>
      </c>
      <c r="BD119">
        <v>-11.026183344195063</v>
      </c>
      <c r="BE119">
        <v>10.394563422538122</v>
      </c>
      <c r="BF119" s="6">
        <f t="shared" si="105"/>
        <v>2.385672312366717</v>
      </c>
      <c r="BG119" s="6">
        <f t="shared" si="106"/>
        <v>0.34363708753334965</v>
      </c>
      <c r="BH119" s="6">
        <f t="shared" si="84"/>
        <v>-1.9220247033659106</v>
      </c>
      <c r="BI119" s="6">
        <f t="shared" si="85"/>
        <v>1.9220247033659106</v>
      </c>
      <c r="BJ119">
        <v>-16.963358991069327</v>
      </c>
      <c r="BK119">
        <v>15.991636034674032</v>
      </c>
      <c r="BV119" s="38"/>
      <c r="BW119" s="6">
        <f t="shared" si="86"/>
        <v>1.8151424220741048</v>
      </c>
      <c r="BX119" s="9">
        <f t="shared" ca="1" si="87"/>
        <v>6.5684782486277102</v>
      </c>
      <c r="BY119" s="9">
        <f t="shared" ca="1" si="88"/>
        <v>-13.311772207596471</v>
      </c>
      <c r="BZ119">
        <f t="shared" ca="1" si="89"/>
        <v>14.844129675047748</v>
      </c>
      <c r="CA119" s="6">
        <f t="shared" ca="1" si="90"/>
        <v>0.44249669010026227</v>
      </c>
      <c r="CB119" s="6">
        <f t="shared" ca="1" si="91"/>
        <v>-0.89677013735422328</v>
      </c>
      <c r="CC119" s="6">
        <f t="shared" ca="1" si="92"/>
        <v>-1.1124154680528564</v>
      </c>
      <c r="CD119" s="6">
        <f t="shared" ca="1" si="93"/>
        <v>-106.56847824862771</v>
      </c>
      <c r="CE119" s="9">
        <f t="shared" ca="1" si="94"/>
        <v>-36.688227792403531</v>
      </c>
      <c r="CF119">
        <f t="shared" ca="1" si="95"/>
        <v>112.70699452463245</v>
      </c>
      <c r="CG119" s="6">
        <f t="shared" ca="1" si="96"/>
        <v>-0.94553562268344271</v>
      </c>
      <c r="CH119" s="6">
        <f t="shared" ca="1" si="97"/>
        <v>-0.32551864191876051</v>
      </c>
      <c r="CI119" s="6">
        <f t="shared" ca="1" si="98"/>
        <v>-2.8100324607233906</v>
      </c>
      <c r="CJ119" s="1">
        <f t="shared" ca="1" si="99"/>
        <v>-3.0095052374553894</v>
      </c>
      <c r="CK119" s="38"/>
    </row>
    <row r="120" spans="1:89" x14ac:dyDescent="0.25">
      <c r="A120" s="8" t="s">
        <v>9</v>
      </c>
      <c r="B120">
        <f ca="1">B116/B115</f>
        <v>0</v>
      </c>
      <c r="J120">
        <f ca="1">J116/J115</f>
        <v>0</v>
      </c>
      <c r="BC120">
        <v>2.0594885173533104</v>
      </c>
      <c r="BD120">
        <v>-11.192741607930309</v>
      </c>
      <c r="BE120">
        <v>10.249699243631389</v>
      </c>
      <c r="BF120" s="6">
        <f t="shared" si="105"/>
        <v>2.4001463446958646</v>
      </c>
      <c r="BG120" s="6">
        <f t="shared" si="106"/>
        <v>0.34065782734255423</v>
      </c>
      <c r="BH120" s="6">
        <f t="shared" si="84"/>
        <v>-1.9364987356950583</v>
      </c>
      <c r="BI120" s="6">
        <f t="shared" si="85"/>
        <v>1.9364987356950583</v>
      </c>
      <c r="BJ120">
        <v>-17.219602473738934</v>
      </c>
      <c r="BK120">
        <v>15.768768067125212</v>
      </c>
      <c r="BV120" s="38"/>
      <c r="BW120" s="6">
        <f t="shared" si="86"/>
        <v>1.8325957145940481</v>
      </c>
      <c r="BX120" s="9">
        <f t="shared" ca="1" si="87"/>
        <v>7.2346239103809875</v>
      </c>
      <c r="BY120" s="9">
        <f t="shared" ca="1" si="88"/>
        <v>-12.96690932827577</v>
      </c>
      <c r="BZ120">
        <f t="shared" ca="1" si="89"/>
        <v>14.84858648667884</v>
      </c>
      <c r="CA120" s="6">
        <f t="shared" ca="1" si="90"/>
        <v>0.48722643848095631</v>
      </c>
      <c r="CB120" s="6">
        <f t="shared" ca="1" si="91"/>
        <v>-0.87327567104847426</v>
      </c>
      <c r="CC120" s="6">
        <f t="shared" ca="1" si="92"/>
        <v>-1.061885441708422</v>
      </c>
      <c r="CD120" s="6">
        <f t="shared" ca="1" si="93"/>
        <v>-107.23462391038099</v>
      </c>
      <c r="CE120" s="9">
        <f t="shared" ca="1" si="94"/>
        <v>-37.033090671724231</v>
      </c>
      <c r="CF120">
        <f t="shared" ca="1" si="95"/>
        <v>113.44917086475778</v>
      </c>
      <c r="CG120" s="6">
        <f t="shared" ca="1" si="96"/>
        <v>-0.94522175078930182</v>
      </c>
      <c r="CH120" s="6">
        <f t="shared" ca="1" si="97"/>
        <v>-0.32642892309782684</v>
      </c>
      <c r="CI120" s="6">
        <f t="shared" ca="1" si="98"/>
        <v>-2.8090695861404233</v>
      </c>
      <c r="CJ120" s="1">
        <f t="shared" ca="1" si="99"/>
        <v>-3.0104681120383567</v>
      </c>
      <c r="CK120" s="38"/>
    </row>
    <row r="121" spans="1:89" x14ac:dyDescent="0.25">
      <c r="BC121">
        <v>2.0769418098732535</v>
      </c>
      <c r="BD121">
        <v>-11.349642109959456</v>
      </c>
      <c r="BE121">
        <v>10.110571551533203</v>
      </c>
      <c r="BF121" s="6">
        <f t="shared" si="105"/>
        <v>2.4138684927424965</v>
      </c>
      <c r="BG121" s="6">
        <f t="shared" si="106"/>
        <v>0.33692668286924299</v>
      </c>
      <c r="BH121" s="6">
        <f t="shared" si="84"/>
        <v>-1.9502208837416901</v>
      </c>
      <c r="BI121" s="6">
        <f t="shared" si="85"/>
        <v>1.9502208837416901</v>
      </c>
      <c r="BJ121">
        <v>-17.460987861476085</v>
      </c>
      <c r="BK121">
        <v>15.554725463897235</v>
      </c>
      <c r="BV121" s="38"/>
      <c r="BW121" s="6">
        <f t="shared" si="86"/>
        <v>1.8500490071139915</v>
      </c>
      <c r="BX121" s="9">
        <f t="shared" ca="1" si="87"/>
        <v>7.8013235813468702</v>
      </c>
      <c r="BY121" s="9">
        <f t="shared" ca="1" si="88"/>
        <v>-12.654330197417286</v>
      </c>
      <c r="BZ121">
        <f t="shared" ca="1" si="89"/>
        <v>14.865823971988426</v>
      </c>
      <c r="CA121" s="6">
        <f t="shared" ca="1" si="90"/>
        <v>0.5247824537709348</v>
      </c>
      <c r="CB121" s="6">
        <f t="shared" ca="1" si="91"/>
        <v>-0.85123638092727028</v>
      </c>
      <c r="CC121" s="6">
        <f t="shared" ca="1" si="92"/>
        <v>-1.0183367988407264</v>
      </c>
      <c r="CD121" s="6">
        <f t="shared" ca="1" si="93"/>
        <v>-107.80132358134686</v>
      </c>
      <c r="CE121" s="9">
        <f t="shared" ca="1" si="94"/>
        <v>-37.345669802582712</v>
      </c>
      <c r="CF121">
        <f t="shared" ca="1" si="95"/>
        <v>114.08691607232527</v>
      </c>
      <c r="CG121" s="6">
        <f t="shared" ca="1" si="96"/>
        <v>-0.94490522921144038</v>
      </c>
      <c r="CH121" s="6">
        <f t="shared" ca="1" si="97"/>
        <v>-0.32734402057907735</v>
      </c>
      <c r="CI121" s="6">
        <f t="shared" ca="1" si="98"/>
        <v>-2.8081012941479444</v>
      </c>
      <c r="CJ121" s="1">
        <f t="shared" ca="1" si="99"/>
        <v>-3.0114364040308357</v>
      </c>
      <c r="CK121" s="38"/>
    </row>
    <row r="122" spans="1:89" x14ac:dyDescent="0.25">
      <c r="BC122">
        <v>2.0943951023931966</v>
      </c>
      <c r="BD122">
        <v>-11.498154450906407</v>
      </c>
      <c r="BE122">
        <v>9.9765876924294457</v>
      </c>
      <c r="BF122" s="6">
        <f t="shared" si="105"/>
        <v>2.4269300627503161</v>
      </c>
      <c r="BG122" s="6">
        <f t="shared" si="106"/>
        <v>0.33253496035711949</v>
      </c>
      <c r="BH122" s="6">
        <f t="shared" si="84"/>
        <v>-1.9632824537495097</v>
      </c>
      <c r="BI122" s="6">
        <f t="shared" si="85"/>
        <v>1.9632824537495097</v>
      </c>
      <c r="BJ122">
        <v>-17.689468386009857</v>
      </c>
      <c r="BK122">
        <v>15.348596449891454</v>
      </c>
      <c r="BV122" s="38"/>
      <c r="BW122" s="6">
        <f t="shared" si="86"/>
        <v>1.8675022996339348</v>
      </c>
      <c r="BX122" s="9">
        <f t="shared" ca="1" si="87"/>
        <v>8.2893515037344248</v>
      </c>
      <c r="BY122" s="9">
        <f t="shared" ca="1" si="88"/>
        <v>-12.368959002252835</v>
      </c>
      <c r="BZ122">
        <f t="shared" ca="1" si="89"/>
        <v>14.889744630176692</v>
      </c>
      <c r="CA122" s="6">
        <f t="shared" ca="1" si="90"/>
        <v>0.55671549174420309</v>
      </c>
      <c r="CB122" s="6">
        <f t="shared" ca="1" si="91"/>
        <v>-0.83070323296109183</v>
      </c>
      <c r="CC122" s="6">
        <f t="shared" ca="1" si="92"/>
        <v>-0.98036967843363287</v>
      </c>
      <c r="CD122" s="6">
        <f t="shared" ca="1" si="93"/>
        <v>-108.28935150373442</v>
      </c>
      <c r="CE122" s="9">
        <f t="shared" ca="1" si="94"/>
        <v>-37.631040997747164</v>
      </c>
      <c r="CF122">
        <f t="shared" ca="1" si="95"/>
        <v>114.64152343576683</v>
      </c>
      <c r="CG122" s="6">
        <f t="shared" ca="1" si="96"/>
        <v>-0.94459100209365676</v>
      </c>
      <c r="CH122" s="6">
        <f t="shared" ca="1" si="97"/>
        <v>-0.3282496591981498</v>
      </c>
      <c r="CI122" s="6">
        <f t="shared" ca="1" si="98"/>
        <v>-2.8071426909660837</v>
      </c>
      <c r="CJ122" s="1">
        <f t="shared" ca="1" si="99"/>
        <v>-3.0123950072126964</v>
      </c>
      <c r="CK122" s="38"/>
    </row>
    <row r="123" spans="1:89" x14ac:dyDescent="0.25">
      <c r="A123" t="s">
        <v>128</v>
      </c>
      <c r="BC123">
        <v>2.1118483949131397</v>
      </c>
      <c r="BD123">
        <v>-11.639366394737257</v>
      </c>
      <c r="BE123">
        <v>9.8472182561412005</v>
      </c>
      <c r="BF123" s="6">
        <f t="shared" si="105"/>
        <v>2.4394096462274382</v>
      </c>
      <c r="BG123" s="6">
        <f t="shared" si="106"/>
        <v>0.32756125131429847</v>
      </c>
      <c r="BH123" s="6">
        <f t="shared" si="84"/>
        <v>-1.9757620372266318</v>
      </c>
      <c r="BI123" s="6">
        <f t="shared" si="85"/>
        <v>1.9757620372266318</v>
      </c>
      <c r="BJ123">
        <v>-17.906717530365011</v>
      </c>
      <c r="BK123">
        <v>15.149566547909538</v>
      </c>
      <c r="BV123" s="38"/>
      <c r="BW123" s="6">
        <f t="shared" si="86"/>
        <v>1.8849555921538781</v>
      </c>
      <c r="BX123" s="9">
        <f t="shared" ca="1" si="87"/>
        <v>8.7143058456550104</v>
      </c>
      <c r="BY123" s="9">
        <f t="shared" ca="1" si="88"/>
        <v>-12.106739603562417</v>
      </c>
      <c r="BZ123">
        <f t="shared" ca="1" si="89"/>
        <v>14.916845182547272</v>
      </c>
      <c r="CA123" s="6">
        <f t="shared" ca="1" si="90"/>
        <v>0.58419228322157291</v>
      </c>
      <c r="CB123" s="6">
        <f t="shared" ca="1" si="91"/>
        <v>-0.81161528831359853</v>
      </c>
      <c r="CC123" s="6">
        <f t="shared" ca="1" si="92"/>
        <v>-0.94691182250306849</v>
      </c>
      <c r="CD123" s="6">
        <f t="shared" ca="1" si="93"/>
        <v>-108.71430584565501</v>
      </c>
      <c r="CE123" s="9">
        <f t="shared" ca="1" si="94"/>
        <v>-37.893260396437583</v>
      </c>
      <c r="CF123">
        <f t="shared" ca="1" si="95"/>
        <v>115.12905575472615</v>
      </c>
      <c r="CG123" s="6">
        <f t="shared" ca="1" si="96"/>
        <v>-0.94428209397689067</v>
      </c>
      <c r="CH123" s="6">
        <f t="shared" ca="1" si="97"/>
        <v>-0.32913724644077985</v>
      </c>
      <c r="CI123" s="6">
        <f t="shared" ca="1" si="98"/>
        <v>-2.806202884920725</v>
      </c>
      <c r="CJ123" s="1">
        <f t="shared" ca="1" si="99"/>
        <v>-3.0133348132580551</v>
      </c>
      <c r="CK123" s="38"/>
    </row>
    <row r="124" spans="1:89" x14ac:dyDescent="0.25">
      <c r="BC124">
        <v>2.1293016874330828</v>
      </c>
      <c r="BD124">
        <v>-11.776797397455224</v>
      </c>
      <c r="BE124">
        <v>9.719326351568375</v>
      </c>
      <c r="BF124" s="6">
        <f t="shared" si="105"/>
        <v>2.451617390048765</v>
      </c>
      <c r="BG124" s="6">
        <f t="shared" si="106"/>
        <v>0.32231570261568221</v>
      </c>
      <c r="BH124" s="6">
        <f t="shared" si="84"/>
        <v>-1.9879697810479589</v>
      </c>
      <c r="BI124" s="6">
        <f t="shared" si="85"/>
        <v>1.9879697810479589</v>
      </c>
      <c r="BJ124">
        <v>-18.118149842238807</v>
      </c>
      <c r="BK124">
        <v>14.952809771643654</v>
      </c>
      <c r="BV124" s="38"/>
      <c r="BW124" s="6">
        <f t="shared" si="86"/>
        <v>1.9024088846738214</v>
      </c>
      <c r="BX124" s="9">
        <f t="shared" ca="1" si="87"/>
        <v>9.0880916212036933</v>
      </c>
      <c r="BY124" s="9">
        <f t="shared" ca="1" si="88"/>
        <v>-11.864387440753394</v>
      </c>
      <c r="BZ124">
        <f t="shared" ca="1" si="89"/>
        <v>14.945136287759293</v>
      </c>
      <c r="CA124" s="6">
        <f t="shared" ca="1" si="90"/>
        <v>0.60809693844325996</v>
      </c>
      <c r="CB124" s="6">
        <f t="shared" ca="1" si="91"/>
        <v>-0.79386277999156385</v>
      </c>
      <c r="CC124" s="6">
        <f t="shared" ca="1" si="92"/>
        <v>-0.9171351604445247</v>
      </c>
      <c r="CD124" s="6">
        <f t="shared" ca="1" si="93"/>
        <v>-109.08809162120369</v>
      </c>
      <c r="CE124" s="9">
        <f t="shared" ca="1" si="94"/>
        <v>-38.13561255924661</v>
      </c>
      <c r="CF124">
        <f t="shared" ca="1" si="95"/>
        <v>115.56183054462706</v>
      </c>
      <c r="CG124" s="6">
        <f t="shared" ca="1" si="96"/>
        <v>-0.94398030134246291</v>
      </c>
      <c r="CH124" s="6">
        <f t="shared" ca="1" si="97"/>
        <v>-0.33000180405172452</v>
      </c>
      <c r="CI124" s="6">
        <f t="shared" ca="1" si="98"/>
        <v>-2.8052871673248294</v>
      </c>
      <c r="CJ124" s="1">
        <f t="shared" ca="1" si="99"/>
        <v>-3.0142505308539507</v>
      </c>
      <c r="CK124" s="38"/>
    </row>
    <row r="125" spans="1:89" x14ac:dyDescent="0.25">
      <c r="A125" s="8" t="s">
        <v>77</v>
      </c>
      <c r="B125" s="3">
        <f ca="1">B116</f>
        <v>0</v>
      </c>
      <c r="C125" s="1" t="str">
        <f>"+ t ( "</f>
        <v xml:space="preserve">+ t ( </v>
      </c>
      <c r="D125" s="1">
        <f ca="1">J116</f>
        <v>0</v>
      </c>
      <c r="E125" s="1" t="s">
        <v>129</v>
      </c>
      <c r="F125" s="3">
        <f ca="1">B116</f>
        <v>0</v>
      </c>
      <c r="G125" s="1" t="s">
        <v>130</v>
      </c>
      <c r="BC125">
        <v>2.1467549799530259</v>
      </c>
      <c r="BD125">
        <v>-11.908935881307334</v>
      </c>
      <c r="BE125">
        <v>9.5949210830347287</v>
      </c>
      <c r="BF125" s="6">
        <f t="shared" si="105"/>
        <v>2.4633912800248567</v>
      </c>
      <c r="BG125" s="6">
        <f t="shared" si="106"/>
        <v>0.31663630007183086</v>
      </c>
      <c r="BH125" s="6">
        <f t="shared" si="84"/>
        <v>-1.9997436710240506</v>
      </c>
      <c r="BI125" s="6">
        <f t="shared" si="85"/>
        <v>1.9997436710240506</v>
      </c>
      <c r="BJ125">
        <v>-18.321439817395898</v>
      </c>
      <c r="BK125">
        <v>14.76141705082266</v>
      </c>
      <c r="BV125" s="38"/>
      <c r="BW125" s="6">
        <f t="shared" si="86"/>
        <v>1.9198621771937647</v>
      </c>
      <c r="BX125" s="9">
        <f t="shared" ca="1" si="87"/>
        <v>9.4199289810390496</v>
      </c>
      <c r="BY125" s="9">
        <f t="shared" ca="1" si="88"/>
        <v>-11.63921096299841</v>
      </c>
      <c r="BZ125">
        <f t="shared" ca="1" si="89"/>
        <v>14.97351975485396</v>
      </c>
      <c r="CA125" s="6">
        <f t="shared" ca="1" si="90"/>
        <v>0.62910585722407686</v>
      </c>
      <c r="CB125" s="6">
        <f t="shared" ca="1" si="91"/>
        <v>-0.77731963850552455</v>
      </c>
      <c r="CC125" s="6">
        <f t="shared" ca="1" si="92"/>
        <v>-0.89039394112501091</v>
      </c>
      <c r="CD125" s="6">
        <f t="shared" ca="1" si="93"/>
        <v>-109.41992898103905</v>
      </c>
      <c r="CE125" s="9">
        <f t="shared" ca="1" si="94"/>
        <v>-38.360789037001588</v>
      </c>
      <c r="CF125">
        <f t="shared" ca="1" si="95"/>
        <v>115.94943291692707</v>
      </c>
      <c r="CG125" s="6">
        <f t="shared" ca="1" si="96"/>
        <v>-0.94368662466364861</v>
      </c>
      <c r="CH125" s="6">
        <f t="shared" ca="1" si="97"/>
        <v>-0.33084067831953518</v>
      </c>
      <c r="CI125" s="6">
        <f t="shared" ca="1" si="98"/>
        <v>-2.8043983725898785</v>
      </c>
      <c r="CJ125" s="1">
        <f t="shared" ca="1" si="99"/>
        <v>-3.0151393255889016</v>
      </c>
      <c r="CK125" s="38"/>
    </row>
    <row r="126" spans="1:89" x14ac:dyDescent="0.25">
      <c r="A126" s="8" t="s">
        <v>125</v>
      </c>
      <c r="B126" s="3">
        <f ca="1">B117</f>
        <v>0</v>
      </c>
      <c r="D126" s="1">
        <f ca="1">J117</f>
        <v>0</v>
      </c>
      <c r="F126" s="3">
        <f ca="1">B117</f>
        <v>0</v>
      </c>
      <c r="BC126">
        <v>2.164208272472969</v>
      </c>
      <c r="BD126">
        <v>-12.036349713535676</v>
      </c>
      <c r="BE126">
        <v>9.4737535520392555</v>
      </c>
      <c r="BF126" s="6">
        <f t="shared" si="105"/>
        <v>2.4747701503509152</v>
      </c>
      <c r="BG126" s="6">
        <f t="shared" si="106"/>
        <v>0.3105618778779462</v>
      </c>
      <c r="BH126" s="6">
        <f t="shared" si="84"/>
        <v>-2.011122541350109</v>
      </c>
      <c r="BI126" s="6">
        <f t="shared" si="85"/>
        <v>2.011122541350109</v>
      </c>
      <c r="BJ126">
        <v>-18.517461097747194</v>
      </c>
      <c r="BK126">
        <v>14.575005464675778</v>
      </c>
      <c r="BV126" s="38"/>
      <c r="BW126" s="6">
        <f t="shared" si="86"/>
        <v>1.937315469713708</v>
      </c>
      <c r="BX126" s="9">
        <f t="shared" ca="1" si="87"/>
        <v>9.7170533759574944</v>
      </c>
      <c r="BY126" s="9">
        <f t="shared" ca="1" si="88"/>
        <v>-11.428980731428673</v>
      </c>
      <c r="BZ126">
        <f t="shared" ca="1" si="89"/>
        <v>15.001424161411304</v>
      </c>
      <c r="CA126" s="6">
        <f t="shared" ca="1" si="90"/>
        <v>0.64774205911416172</v>
      </c>
      <c r="CB126" s="6">
        <f t="shared" ca="1" si="91"/>
        <v>-0.76185971468147984</v>
      </c>
      <c r="CC126" s="6">
        <f t="shared" ca="1" si="92"/>
        <v>-0.86617936049471733</v>
      </c>
      <c r="CD126" s="6">
        <f t="shared" ca="1" si="93"/>
        <v>-109.71705337595749</v>
      </c>
      <c r="CE126" s="9">
        <f t="shared" ca="1" si="94"/>
        <v>-38.571019268571327</v>
      </c>
      <c r="CF126">
        <f t="shared" ca="1" si="95"/>
        <v>116.29942101712805</v>
      </c>
      <c r="CG126" s="6">
        <f t="shared" ca="1" si="96"/>
        <v>-0.94340154418996514</v>
      </c>
      <c r="CH126" s="6">
        <f t="shared" ca="1" si="97"/>
        <v>-0.33165271960288401</v>
      </c>
      <c r="CI126" s="6">
        <f t="shared" ca="1" si="98"/>
        <v>-2.803537743768576</v>
      </c>
      <c r="CJ126" s="1">
        <f t="shared" ca="1" si="99"/>
        <v>-3.0159999544102041</v>
      </c>
      <c r="CK126" s="38"/>
    </row>
    <row r="127" spans="1:89" x14ac:dyDescent="0.25">
      <c r="A127" s="8" t="s">
        <v>75</v>
      </c>
      <c r="B127" s="3">
        <f ca="1">B115</f>
        <v>910.1105</v>
      </c>
      <c r="D127" s="1">
        <f ca="1">J115</f>
        <v>-170.64000000000001</v>
      </c>
      <c r="F127" s="3">
        <f ca="1">B115</f>
        <v>910.1105</v>
      </c>
      <c r="BC127">
        <v>2.1816615649929121</v>
      </c>
      <c r="BD127">
        <v>-12.159661084526258</v>
      </c>
      <c r="BE127">
        <v>9.355462444967209</v>
      </c>
      <c r="BF127" s="6">
        <f t="shared" si="105"/>
        <v>2.4858000559297388</v>
      </c>
      <c r="BG127" s="6">
        <f t="shared" si="106"/>
        <v>0.30413849093682677</v>
      </c>
      <c r="BH127" s="6">
        <f t="shared" si="84"/>
        <v>-2.0221524469289327</v>
      </c>
      <c r="BI127" s="6">
        <f t="shared" si="85"/>
        <v>2.0221524469289327</v>
      </c>
      <c r="BJ127">
        <v>-18.707170899271166</v>
      </c>
      <c r="BK127">
        <v>14.393019146103398</v>
      </c>
      <c r="BV127" s="38"/>
      <c r="BW127" s="6">
        <f t="shared" si="86"/>
        <v>1.9547687622336514</v>
      </c>
      <c r="BX127" s="9">
        <f t="shared" ca="1" si="87"/>
        <v>9.9852110146046087</v>
      </c>
      <c r="BY127" s="9">
        <f t="shared" ca="1" si="88"/>
        <v>-11.231831892366912</v>
      </c>
      <c r="BZ127">
        <f t="shared" ca="1" si="89"/>
        <v>15.02858897783061</v>
      </c>
      <c r="CA127" s="6">
        <f t="shared" ca="1" si="90"/>
        <v>0.66441440572593147</v>
      </c>
      <c r="CB127" s="6">
        <f t="shared" ca="1" si="91"/>
        <v>-0.74736436726931077</v>
      </c>
      <c r="CC127" s="6">
        <f t="shared" ca="1" si="92"/>
        <v>-0.84408632784962567</v>
      </c>
      <c r="CD127" s="6">
        <f t="shared" ca="1" si="93"/>
        <v>-109.9852110146046</v>
      </c>
      <c r="CE127" s="9">
        <f t="shared" ca="1" si="94"/>
        <v>-38.768168107633088</v>
      </c>
      <c r="CF127">
        <f t="shared" ca="1" si="95"/>
        <v>116.61782668335404</v>
      </c>
      <c r="CG127" s="6">
        <f t="shared" ca="1" si="96"/>
        <v>-0.94312519914507909</v>
      </c>
      <c r="CH127" s="6">
        <f t="shared" ca="1" si="97"/>
        <v>-0.33243775167323397</v>
      </c>
      <c r="CI127" s="6">
        <f t="shared" ca="1" si="98"/>
        <v>-2.8027054926194088</v>
      </c>
      <c r="CJ127" s="1">
        <f t="shared" ca="1" si="99"/>
        <v>-3.0168322055593713</v>
      </c>
      <c r="CK127" s="38"/>
    </row>
    <row r="128" spans="1:89" x14ac:dyDescent="0.25">
      <c r="BC128">
        <v>2.1991148575128552</v>
      </c>
      <c r="BD128">
        <v>-12.279421574340583</v>
      </c>
      <c r="BE128">
        <v>9.2397133376572658</v>
      </c>
      <c r="BF128" s="6">
        <f t="shared" si="105"/>
        <v>2.4965221342105615</v>
      </c>
      <c r="BG128" s="6">
        <f t="shared" si="106"/>
        <v>0.29740727669770628</v>
      </c>
      <c r="BH128" s="6">
        <f t="shared" si="84"/>
        <v>-2.0328745252097553</v>
      </c>
      <c r="BI128" s="6">
        <f t="shared" si="85"/>
        <v>2.0328745252097553</v>
      </c>
      <c r="BJ128">
        <v>-18.891417806677818</v>
      </c>
      <c r="BK128">
        <v>14.214943596395793</v>
      </c>
      <c r="BV128" s="38"/>
      <c r="BW128" s="6">
        <f t="shared" si="86"/>
        <v>1.9722220547535947</v>
      </c>
      <c r="BX128" s="9">
        <f t="shared" ca="1" si="87"/>
        <v>10.229015457219424</v>
      </c>
      <c r="BY128" s="9">
        <f t="shared" ca="1" si="88"/>
        <v>-11.046190436789264</v>
      </c>
      <c r="BZ128">
        <f t="shared" ca="1" si="89"/>
        <v>15.054935416329373</v>
      </c>
      <c r="CA128" s="6">
        <f t="shared" ca="1" si="90"/>
        <v>0.67944598726903183</v>
      </c>
      <c r="CB128" s="6">
        <f t="shared" ca="1" si="91"/>
        <v>-0.73372552796260992</v>
      </c>
      <c r="CC128" s="6">
        <f t="shared" ca="1" si="92"/>
        <v>-0.82378902445427926</v>
      </c>
      <c r="CD128" s="6">
        <f t="shared" ca="1" si="93"/>
        <v>-110.22901545721942</v>
      </c>
      <c r="CE128" s="9">
        <f t="shared" ca="1" si="94"/>
        <v>-38.95380956321074</v>
      </c>
      <c r="CF128">
        <f t="shared" ca="1" si="95"/>
        <v>116.90951684167891</v>
      </c>
      <c r="CG128" s="6">
        <f t="shared" ca="1" si="96"/>
        <v>-0.94285750583071559</v>
      </c>
      <c r="CH128" s="6">
        <f t="shared" ca="1" si="97"/>
        <v>-0.33319622401624266</v>
      </c>
      <c r="CI128" s="6">
        <f t="shared" ca="1" si="98"/>
        <v>-2.8019011667895728</v>
      </c>
      <c r="CJ128" s="1">
        <f t="shared" ca="1" si="99"/>
        <v>-3.0176365313892073</v>
      </c>
      <c r="CK128" s="38"/>
    </row>
    <row r="129" spans="1:89" x14ac:dyDescent="0.25">
      <c r="A129" s="14" t="s">
        <v>131</v>
      </c>
      <c r="BC129">
        <v>2.2165681500327983</v>
      </c>
      <c r="BD129">
        <v>-12.396123621469558</v>
      </c>
      <c r="BE129">
        <v>9.1261943045565399</v>
      </c>
      <c r="BF129" s="6">
        <f t="shared" si="105"/>
        <v>2.5069734098870686</v>
      </c>
      <c r="BG129" s="6">
        <f t="shared" si="106"/>
        <v>0.29040525985427035</v>
      </c>
      <c r="BH129" s="6">
        <f t="shared" si="84"/>
        <v>-2.0433258008862625</v>
      </c>
      <c r="BI129" s="6">
        <f t="shared" si="85"/>
        <v>2.0433258008862625</v>
      </c>
      <c r="BJ129">
        <v>-19.070959417645472</v>
      </c>
      <c r="BK129">
        <v>14.040298930086983</v>
      </c>
      <c r="BV129" s="38"/>
      <c r="BW129" s="6">
        <f t="shared" si="86"/>
        <v>1.989675347273538</v>
      </c>
      <c r="BX129" s="9">
        <f t="shared" ca="1" si="87"/>
        <v>10.4522082242271</v>
      </c>
      <c r="BY129" s="9">
        <f t="shared" ca="1" si="88"/>
        <v>-10.870716692197961</v>
      </c>
      <c r="BZ129">
        <f t="shared" ca="1" si="89"/>
        <v>15.080488658018744</v>
      </c>
      <c r="CA129" s="6">
        <f t="shared" ca="1" si="90"/>
        <v>0.69309479694276022</v>
      </c>
      <c r="CB129" s="6">
        <f t="shared" ca="1" si="91"/>
        <v>-0.72084644859420244</v>
      </c>
      <c r="CC129" s="6">
        <f t="shared" ca="1" si="92"/>
        <v>-0.80502280410666049</v>
      </c>
      <c r="CD129" s="6">
        <f t="shared" ca="1" si="93"/>
        <v>-110.45220822422709</v>
      </c>
      <c r="CE129" s="9">
        <f t="shared" ca="1" si="94"/>
        <v>-39.129283307802041</v>
      </c>
      <c r="CF129">
        <f t="shared" ca="1" si="95"/>
        <v>117.17845840336976</v>
      </c>
      <c r="CG129" s="6">
        <f t="shared" ca="1" si="96"/>
        <v>-0.94259823630732087</v>
      </c>
      <c r="CH129" s="6">
        <f t="shared" ca="1" si="97"/>
        <v>-0.33392898183644976</v>
      </c>
      <c r="CI129" s="6">
        <f t="shared" ca="1" si="98"/>
        <v>-2.8011238928743709</v>
      </c>
      <c r="CJ129" s="1">
        <f t="shared" ca="1" si="99"/>
        <v>-3.0184138053044092</v>
      </c>
      <c r="CK129" s="38"/>
    </row>
    <row r="130" spans="1:89" x14ac:dyDescent="0.25">
      <c r="A130" s="8" t="s">
        <v>133</v>
      </c>
      <c r="B130" s="1">
        <f>U10</f>
        <v>10</v>
      </c>
      <c r="BC130">
        <v>2.2340214425527414</v>
      </c>
      <c r="BD130">
        <v>-12.510210095018609</v>
      </c>
      <c r="BE130">
        <v>9.0146120596428752</v>
      </c>
      <c r="BF130" s="6">
        <f t="shared" ref="BF130:BF155" si="116">IF(BC130&lt;&gt;"",IF(AND(BD130=0,BE130=0),0,MOD(ATAN2(BD130,BE130),2*PI())),NA())</f>
        <v>2.5171874684223905</v>
      </c>
      <c r="BG130" s="6">
        <f t="shared" ref="BG130:BG155" si="117">ABS(BC130-BF130)</f>
        <v>0.28316602586964912</v>
      </c>
      <c r="BH130" s="6">
        <f t="shared" si="84"/>
        <v>-2.0535398594215843</v>
      </c>
      <c r="BI130" s="6">
        <f t="shared" si="85"/>
        <v>2.0535398594215843</v>
      </c>
      <c r="BJ130">
        <v>-19.246477069259399</v>
      </c>
      <c r="BK130">
        <v>13.868633937912115</v>
      </c>
      <c r="BV130" s="38"/>
      <c r="BW130" s="6">
        <f t="shared" si="86"/>
        <v>2.0071286397934811</v>
      </c>
      <c r="BX130" s="9">
        <f t="shared" ca="1" si="87"/>
        <v>10.657851947612077</v>
      </c>
      <c r="BY130" s="9">
        <f t="shared" ca="1" si="88"/>
        <v>-10.704261493377714</v>
      </c>
      <c r="BZ130">
        <f t="shared" ca="1" si="89"/>
        <v>15.1053309217583</v>
      </c>
      <c r="CA130" s="6">
        <f t="shared" ca="1" si="90"/>
        <v>0.70556891489613749</v>
      </c>
      <c r="CB130" s="6">
        <f t="shared" ca="1" si="91"/>
        <v>-0.70864131006616238</v>
      </c>
      <c r="CC130" s="6">
        <f t="shared" ca="1" si="92"/>
        <v>-0.7875706765656334</v>
      </c>
      <c r="CD130" s="6">
        <f t="shared" ca="1" si="93"/>
        <v>-110.65785194761207</v>
      </c>
      <c r="CE130" s="9">
        <f t="shared" ca="1" si="94"/>
        <v>-39.295738506622286</v>
      </c>
      <c r="CF130">
        <f t="shared" ca="1" si="95"/>
        <v>117.42791517539801</v>
      </c>
      <c r="CG130" s="6">
        <f t="shared" ca="1" si="96"/>
        <v>-0.9423470712421852</v>
      </c>
      <c r="CH130" s="6">
        <f t="shared" ca="1" si="97"/>
        <v>-0.33463711288689407</v>
      </c>
      <c r="CI130" s="6">
        <f t="shared" ca="1" si="98"/>
        <v>-2.80037253842998</v>
      </c>
      <c r="CJ130" s="1">
        <f t="shared" ca="1" si="99"/>
        <v>-3.0191651597488001</v>
      </c>
      <c r="CK130" s="38"/>
    </row>
    <row r="131" spans="1:89" x14ac:dyDescent="0.25">
      <c r="A131" s="8" t="s">
        <v>132</v>
      </c>
      <c r="B131">
        <f ca="1">(U10-B127)/(D127-F127)</f>
        <v>0.83285688972616712</v>
      </c>
      <c r="BC131">
        <v>2.2514747350726845</v>
      </c>
      <c r="BD131">
        <v>-12.622082303280145</v>
      </c>
      <c r="BE131">
        <v>8.9046885035137802</v>
      </c>
      <c r="BF131" s="6">
        <f t="shared" si="116"/>
        <v>2.5271950242475762</v>
      </c>
      <c r="BG131" s="6">
        <f t="shared" si="117"/>
        <v>0.27572028917489178</v>
      </c>
      <c r="BH131" s="6">
        <f t="shared" ref="BH131:BH155" si="118">ATAN2(COS($U$13-BF131),SIN($U$13-BF131))</f>
        <v>-2.0635474152467701</v>
      </c>
      <c r="BI131" s="6">
        <f t="shared" ref="BI131:BI155" si="119">ABS(BH131)</f>
        <v>2.0635474152467701</v>
      </c>
      <c r="BJ131">
        <v>-19.418588158892529</v>
      </c>
      <c r="BK131">
        <v>13.699520774636584</v>
      </c>
      <c r="BV131" s="38"/>
      <c r="BW131" s="6">
        <f t="shared" si="86"/>
        <v>2.0245819323134242</v>
      </c>
      <c r="BX131" s="9">
        <f t="shared" ca="1" si="87"/>
        <v>10.848475345670709</v>
      </c>
      <c r="BY131" s="9">
        <f t="shared" ca="1" si="88"/>
        <v>-10.545831795775202</v>
      </c>
      <c r="BZ131">
        <f t="shared" ca="1" si="89"/>
        <v>15.129573212434263</v>
      </c>
      <c r="CA131" s="6">
        <f t="shared" ca="1" si="90"/>
        <v>0.71703776394398699</v>
      </c>
      <c r="CB131" s="6">
        <f t="shared" ca="1" si="91"/>
        <v>-0.69703432130577836</v>
      </c>
      <c r="CC131" s="6">
        <f t="shared" ca="1" si="92"/>
        <v>-0.77125312177043293</v>
      </c>
      <c r="CD131" s="6">
        <f t="shared" ca="1" si="93"/>
        <v>-110.84847534567071</v>
      </c>
      <c r="CE131" s="9">
        <f t="shared" ca="1" si="94"/>
        <v>-39.4541682042248</v>
      </c>
      <c r="CF131">
        <f t="shared" ca="1" si="95"/>
        <v>117.66059610229344</v>
      </c>
      <c r="CG131" s="6">
        <f t="shared" ca="1" si="96"/>
        <v>-0.94210363552212228</v>
      </c>
      <c r="CH131" s="6">
        <f t="shared" ca="1" si="97"/>
        <v>-0.33532184530089898</v>
      </c>
      <c r="CI131" s="6">
        <f t="shared" ca="1" si="98"/>
        <v>-2.7996458201545567</v>
      </c>
      <c r="CJ131" s="1">
        <f t="shared" ca="1" si="99"/>
        <v>-3.0198918780242234</v>
      </c>
      <c r="CK131" s="38"/>
    </row>
    <row r="132" spans="1:89" x14ac:dyDescent="0.25">
      <c r="A132" s="8" t="s">
        <v>77</v>
      </c>
      <c r="B132">
        <f ca="1">(B125+(B131*(D125-F125)))/12</f>
        <v>0</v>
      </c>
      <c r="BC132">
        <v>2.2689280275926276</v>
      </c>
      <c r="BD132">
        <v>-12.732106784205188</v>
      </c>
      <c r="BE132">
        <v>8.7961576002599724</v>
      </c>
      <c r="BF132" s="6">
        <f t="shared" si="116"/>
        <v>2.5370244058673466</v>
      </c>
      <c r="BG132" s="6">
        <f t="shared" si="117"/>
        <v>0.26809637827471899</v>
      </c>
      <c r="BH132" s="6">
        <f t="shared" si="118"/>
        <v>-2.0733767968665404</v>
      </c>
      <c r="BI132" s="6">
        <f t="shared" si="119"/>
        <v>2.0733767968665404</v>
      </c>
      <c r="BJ132">
        <v>-19.587856591084904</v>
      </c>
      <c r="BK132">
        <v>13.532550154246112</v>
      </c>
      <c r="BV132" s="38"/>
      <c r="BW132" s="6">
        <f t="shared" si="86"/>
        <v>2.0420352248333673</v>
      </c>
      <c r="BX132" s="9">
        <f t="shared" ca="1" si="87"/>
        <v>11.026183344195063</v>
      </c>
      <c r="BY132" s="9">
        <f t="shared" ca="1" si="88"/>
        <v>-10.394563422538122</v>
      </c>
      <c r="BZ132">
        <f t="shared" ca="1" si="89"/>
        <v>15.153338506249112</v>
      </c>
      <c r="CA132" s="6">
        <f t="shared" ca="1" si="90"/>
        <v>0.72764053542709128</v>
      </c>
      <c r="CB132" s="6">
        <f t="shared" ca="1" si="91"/>
        <v>-0.68595863665630441</v>
      </c>
      <c r="CC132" s="6">
        <f t="shared" ca="1" si="92"/>
        <v>-0.75592034122307594</v>
      </c>
      <c r="CD132" s="6">
        <f t="shared" ca="1" si="93"/>
        <v>-111.02618334419506</v>
      </c>
      <c r="CE132" s="9">
        <f t="shared" ca="1" si="94"/>
        <v>-39.60543657746188</v>
      </c>
      <c r="CF132">
        <f t="shared" ca="1" si="95"/>
        <v>117.87876820899587</v>
      </c>
      <c r="CG132" s="6">
        <f t="shared" ca="1" si="96"/>
        <v>-0.9418675222950128</v>
      </c>
      <c r="CH132" s="6">
        <f t="shared" ca="1" si="97"/>
        <v>-0.33598447947167648</v>
      </c>
      <c r="CI132" s="6">
        <f t="shared" ca="1" si="98"/>
        <v>-2.7989423761122172</v>
      </c>
      <c r="CJ132" s="1">
        <f t="shared" ca="1" si="99"/>
        <v>-3.0205953220665629</v>
      </c>
      <c r="CK132" s="38"/>
    </row>
    <row r="133" spans="1:89" x14ac:dyDescent="0.25">
      <c r="A133" s="8" t="s">
        <v>125</v>
      </c>
      <c r="B133">
        <f ca="1">(B126+(B131*(D126-F126)))/12</f>
        <v>0</v>
      </c>
      <c r="BC133">
        <v>2.2863813201125707</v>
      </c>
      <c r="BD133">
        <v>-12.840621100538037</v>
      </c>
      <c r="BE133">
        <v>8.6887624998193473</v>
      </c>
      <c r="BF133" s="6">
        <f t="shared" si="116"/>
        <v>2.5467019745105</v>
      </c>
      <c r="BG133" s="6">
        <f t="shared" si="117"/>
        <v>0.26032065439792929</v>
      </c>
      <c r="BH133" s="6">
        <f t="shared" si="118"/>
        <v>-2.0830543655096934</v>
      </c>
      <c r="BI133" s="6">
        <f t="shared" si="119"/>
        <v>2.0830543655096934</v>
      </c>
      <c r="BJ133">
        <v>-19.754801693135441</v>
      </c>
      <c r="BK133">
        <v>13.367326922798995</v>
      </c>
      <c r="BV133" s="38"/>
      <c r="BW133" s="6">
        <f t="shared" si="86"/>
        <v>2.0594885173533104</v>
      </c>
      <c r="BX133" s="9">
        <f t="shared" ca="1" si="87"/>
        <v>11.192741607930309</v>
      </c>
      <c r="BY133" s="9">
        <f t="shared" ca="1" si="88"/>
        <v>-10.249699243631389</v>
      </c>
      <c r="BZ133">
        <f t="shared" ca="1" si="89"/>
        <v>15.176751934679311</v>
      </c>
      <c r="CA133" s="6">
        <f t="shared" ca="1" si="90"/>
        <v>0.73749255809832237</v>
      </c>
      <c r="CB133" s="6">
        <f t="shared" ca="1" si="91"/>
        <v>-0.67535525965938292</v>
      </c>
      <c r="CC133" s="6">
        <f t="shared" ca="1" si="92"/>
        <v>-0.7414463088939286</v>
      </c>
      <c r="CD133" s="6">
        <f t="shared" ca="1" si="93"/>
        <v>-111.19274160793032</v>
      </c>
      <c r="CE133" s="9">
        <f t="shared" ca="1" si="94"/>
        <v>-39.75030075636861</v>
      </c>
      <c r="CF133">
        <f t="shared" ca="1" si="95"/>
        <v>118.08434357064326</v>
      </c>
      <c r="CG133" s="6">
        <f t="shared" ca="1" si="96"/>
        <v>-0.94163830907363189</v>
      </c>
      <c r="CH133" s="6">
        <f t="shared" ca="1" si="97"/>
        <v>-0.33662634312387257</v>
      </c>
      <c r="CI133" s="6">
        <f t="shared" ca="1" si="98"/>
        <v>-2.7982608134468308</v>
      </c>
      <c r="CJ133" s="1">
        <f t="shared" ca="1" si="99"/>
        <v>-3.0212768847319493</v>
      </c>
      <c r="CK133" s="38"/>
    </row>
    <row r="134" spans="1:89" x14ac:dyDescent="0.25">
      <c r="BC134">
        <v>2.3038346126325138</v>
      </c>
      <c r="BD134">
        <v>-12.9479388209626</v>
      </c>
      <c r="BE134">
        <v>8.5822528332169075</v>
      </c>
      <c r="BF134" s="6">
        <f t="shared" si="116"/>
        <v>2.556252489912894</v>
      </c>
      <c r="BG134" s="6">
        <f t="shared" si="117"/>
        <v>0.25241787728038023</v>
      </c>
      <c r="BH134" s="6">
        <f t="shared" si="118"/>
        <v>-2.0926048809120879</v>
      </c>
      <c r="BI134" s="6">
        <f t="shared" si="119"/>
        <v>2.0926048809120879</v>
      </c>
      <c r="BJ134">
        <v>-19.919905878403998</v>
      </c>
      <c r="BK134">
        <v>13.20346589725678</v>
      </c>
      <c r="BV134" s="38"/>
      <c r="BW134" s="6">
        <f t="shared" si="86"/>
        <v>2.0769418098732535</v>
      </c>
      <c r="BX134" s="9">
        <f t="shared" ca="1" si="87"/>
        <v>11.349642109959456</v>
      </c>
      <c r="BY134" s="9">
        <f t="shared" ca="1" si="88"/>
        <v>-10.110571551533203</v>
      </c>
      <c r="BZ134">
        <f t="shared" ca="1" si="89"/>
        <v>15.199935299955637</v>
      </c>
      <c r="CA134" s="6">
        <f t="shared" ca="1" si="90"/>
        <v>0.74669015926617666</v>
      </c>
      <c r="CB134" s="6">
        <f t="shared" ca="1" si="91"/>
        <v>-0.66517201238104695</v>
      </c>
      <c r="CC134" s="6">
        <f t="shared" ca="1" si="92"/>
        <v>-0.72772416084729674</v>
      </c>
      <c r="CD134" s="6">
        <f t="shared" ca="1" si="93"/>
        <v>-111.34964210995946</v>
      </c>
      <c r="CE134" s="9">
        <f t="shared" ca="1" si="94"/>
        <v>-39.889428448466795</v>
      </c>
      <c r="CF134">
        <f t="shared" ca="1" si="95"/>
        <v>118.27894698534227</v>
      </c>
      <c r="CG134" s="6">
        <f t="shared" ca="1" si="96"/>
        <v>-0.94141556843381835</v>
      </c>
      <c r="CH134" s="6">
        <f t="shared" ca="1" si="97"/>
        <v>-0.33724876205915238</v>
      </c>
      <c r="CI134" s="6">
        <f t="shared" ca="1" si="98"/>
        <v>-2.7975997395178829</v>
      </c>
      <c r="CJ134" s="1">
        <f t="shared" ca="1" si="99"/>
        <v>-3.0219379586608972</v>
      </c>
      <c r="CK134" s="38"/>
    </row>
    <row r="135" spans="1:89" x14ac:dyDescent="0.25">
      <c r="A135" s="8"/>
      <c r="BC135">
        <v>2.3212879051524569</v>
      </c>
      <c r="BD135">
        <v>-13.054353872205319</v>
      </c>
      <c r="BE135">
        <v>8.4763821283643441</v>
      </c>
      <c r="BF135" s="6">
        <f t="shared" si="116"/>
        <v>2.5656994350880806</v>
      </c>
      <c r="BG135" s="6">
        <f t="shared" si="117"/>
        <v>0.24441152993562376</v>
      </c>
      <c r="BH135" s="6">
        <f t="shared" si="118"/>
        <v>-2.1020518260872745</v>
      </c>
      <c r="BI135" s="6">
        <f t="shared" si="119"/>
        <v>2.1020518260872745</v>
      </c>
      <c r="BJ135">
        <v>-20.083621341854336</v>
      </c>
      <c r="BK135">
        <v>13.040587889791299</v>
      </c>
      <c r="BV135" s="38"/>
      <c r="BW135" s="6">
        <f t="shared" si="86"/>
        <v>2.0943951023931966</v>
      </c>
      <c r="BX135" s="9">
        <f t="shared" ca="1" si="87"/>
        <v>11.498154450906407</v>
      </c>
      <c r="BY135" s="9">
        <f t="shared" ca="1" si="88"/>
        <v>-9.9765876924294457</v>
      </c>
      <c r="BZ135">
        <f t="shared" ca="1" si="89"/>
        <v>15.223004229180043</v>
      </c>
      <c r="CA135" s="6">
        <f t="shared" ca="1" si="90"/>
        <v>0.75531440954777507</v>
      </c>
      <c r="CB135" s="6">
        <f t="shared" ca="1" si="91"/>
        <v>-0.65536260400597779</v>
      </c>
      <c r="CC135" s="6">
        <f t="shared" ca="1" si="92"/>
        <v>-0.71466259083947703</v>
      </c>
      <c r="CD135" s="6">
        <f t="shared" ca="1" si="93"/>
        <v>-111.49815445090641</v>
      </c>
      <c r="CE135" s="9">
        <f t="shared" ca="1" si="94"/>
        <v>-40.023412307570553</v>
      </c>
      <c r="CF135">
        <f t="shared" ca="1" si="95"/>
        <v>118.46396911592981</v>
      </c>
      <c r="CG135" s="6">
        <f t="shared" ca="1" si="96"/>
        <v>-0.94119887492367749</v>
      </c>
      <c r="CH135" s="6">
        <f t="shared" ca="1" si="97"/>
        <v>-0.33785304178355963</v>
      </c>
      <c r="CI135" s="6">
        <f t="shared" ca="1" si="98"/>
        <v>-2.7969577815155029</v>
      </c>
      <c r="CJ135" s="1">
        <f t="shared" ca="1" si="99"/>
        <v>-3.0225799166632772</v>
      </c>
      <c r="CK135" s="38"/>
    </row>
    <row r="136" spans="1:89" x14ac:dyDescent="0.25">
      <c r="A136" s="51" t="s">
        <v>157</v>
      </c>
      <c r="BC136">
        <v>2.3387411976724</v>
      </c>
      <c r="BD136">
        <v>-13.160144368795706</v>
      </c>
      <c r="BE136">
        <v>8.3709052814057987</v>
      </c>
      <c r="BF136" s="6">
        <f t="shared" si="116"/>
        <v>2.575065309121114</v>
      </c>
      <c r="BG136" s="6">
        <f t="shared" si="117"/>
        <v>0.23632411144871401</v>
      </c>
      <c r="BH136" s="6">
        <f t="shared" si="118"/>
        <v>-2.1114177001203078</v>
      </c>
      <c r="BI136" s="6">
        <f t="shared" si="119"/>
        <v>2.1114177001203078</v>
      </c>
      <c r="BJ136">
        <v>-20.246375951993393</v>
      </c>
      <c r="BK136">
        <v>12.878315817547382</v>
      </c>
      <c r="BV136" s="38"/>
      <c r="BW136" s="6">
        <f t="shared" si="86"/>
        <v>2.1118483949131397</v>
      </c>
      <c r="BX136" s="9">
        <f t="shared" ca="1" si="87"/>
        <v>11.639366394737257</v>
      </c>
      <c r="BY136" s="9">
        <f t="shared" ca="1" si="88"/>
        <v>-9.8472182561412005</v>
      </c>
      <c r="BZ136">
        <f t="shared" ca="1" si="89"/>
        <v>15.246066950365249</v>
      </c>
      <c r="CA136" s="6">
        <f t="shared" ca="1" si="90"/>
        <v>0.76343403401218923</v>
      </c>
      <c r="CB136" s="6">
        <f t="shared" ca="1" si="91"/>
        <v>-0.64588580702154741</v>
      </c>
      <c r="CC136" s="6">
        <f t="shared" ca="1" si="92"/>
        <v>-0.70218300736235495</v>
      </c>
      <c r="CD136" s="6">
        <f t="shared" ca="1" si="93"/>
        <v>-111.63936639473725</v>
      </c>
      <c r="CE136" s="9">
        <f t="shared" ca="1" si="94"/>
        <v>-40.152781743858796</v>
      </c>
      <c r="CF136">
        <f t="shared" ca="1" si="95"/>
        <v>118.6406086076279</v>
      </c>
      <c r="CG136" s="6">
        <f t="shared" ca="1" si="96"/>
        <v>-0.94098780935922721</v>
      </c>
      <c r="CH136" s="6">
        <f t="shared" ca="1" si="97"/>
        <v>-0.33844045656115429</v>
      </c>
      <c r="CI136" s="6">
        <f t="shared" ca="1" si="98"/>
        <v>-2.796333598204221</v>
      </c>
      <c r="CJ136" s="1">
        <f t="shared" ca="1" si="99"/>
        <v>-3.0232040999745591</v>
      </c>
      <c r="CK136" s="38"/>
    </row>
    <row r="137" spans="1:89" x14ac:dyDescent="0.25">
      <c r="A137" t="s">
        <v>158</v>
      </c>
      <c r="BC137">
        <v>2.3561944901923431</v>
      </c>
      <c r="BD137">
        <v>-13.265576028065926</v>
      </c>
      <c r="BE137">
        <v>8.265576028384082</v>
      </c>
      <c r="BF137" s="6">
        <f t="shared" si="116"/>
        <v>2.5843718960904654</v>
      </c>
      <c r="BG137" s="6">
        <f t="shared" si="117"/>
        <v>0.2281774058981223</v>
      </c>
      <c r="BH137" s="6">
        <f t="shared" si="118"/>
        <v>-2.1207242870896588</v>
      </c>
      <c r="BI137" s="6">
        <f t="shared" si="119"/>
        <v>2.1207242870896588</v>
      </c>
      <c r="BJ137">
        <v>-20.408578504716807</v>
      </c>
      <c r="BK137">
        <v>12.716270812898587</v>
      </c>
      <c r="BV137" s="38"/>
      <c r="BW137" s="6">
        <f t="shared" si="86"/>
        <v>2.1293016874330828</v>
      </c>
      <c r="BX137" s="9">
        <f t="shared" ca="1" si="87"/>
        <v>11.776797397455224</v>
      </c>
      <c r="BY137" s="9">
        <f t="shared" ca="1" si="88"/>
        <v>-9.719326351568375</v>
      </c>
      <c r="BZ137">
        <f t="shared" ca="1" si="89"/>
        <v>15.269520675810343</v>
      </c>
      <c r="CA137" s="6">
        <f t="shared" ca="1" si="90"/>
        <v>0.77126176043703731</v>
      </c>
      <c r="CB137" s="6">
        <f t="shared" ca="1" si="91"/>
        <v>-0.63651810413181664</v>
      </c>
      <c r="CC137" s="6">
        <f t="shared" ca="1" si="92"/>
        <v>-0.68997526354102823</v>
      </c>
      <c r="CD137" s="6">
        <f t="shared" ca="1" si="93"/>
        <v>-111.77679739745523</v>
      </c>
      <c r="CE137" s="9">
        <f t="shared" ca="1" si="94"/>
        <v>-40.280673648431623</v>
      </c>
      <c r="CF137">
        <f t="shared" ca="1" si="95"/>
        <v>118.81323624076236</v>
      </c>
      <c r="CG137" s="6">
        <f t="shared" ca="1" si="96"/>
        <v>-0.9407773151717832</v>
      </c>
      <c r="CH137" s="6">
        <f t="shared" ca="1" si="97"/>
        <v>-0.33902513661699385</v>
      </c>
      <c r="CI137" s="6">
        <f t="shared" ca="1" si="98"/>
        <v>-2.7957121816104045</v>
      </c>
      <c r="CJ137" s="1">
        <f t="shared" ca="1" si="99"/>
        <v>-3.0238255165683756</v>
      </c>
      <c r="CK137" s="38"/>
    </row>
    <row r="138" spans="1:89" ht="18" x14ac:dyDescent="0.35">
      <c r="A138" t="s">
        <v>159</v>
      </c>
      <c r="B138" t="s">
        <v>160</v>
      </c>
      <c r="BC138">
        <v>2.3736477827122862</v>
      </c>
      <c r="BD138">
        <v>-13.370905281032526</v>
      </c>
      <c r="BE138">
        <v>8.1601443685817578</v>
      </c>
      <c r="BF138" s="6">
        <f t="shared" si="116"/>
        <v>2.5936405175046073</v>
      </c>
      <c r="BG138" s="6">
        <f t="shared" si="117"/>
        <v>0.21999273479232118</v>
      </c>
      <c r="BH138" s="6">
        <f t="shared" si="118"/>
        <v>-2.1299929085038007</v>
      </c>
      <c r="BI138" s="6">
        <f t="shared" si="119"/>
        <v>2.1299929085038007</v>
      </c>
      <c r="BJ138">
        <v>-20.570623509280807</v>
      </c>
      <c r="BK138">
        <v>12.55406825935655</v>
      </c>
      <c r="BV138" s="38"/>
      <c r="BW138" s="6">
        <f t="shared" si="86"/>
        <v>2.1467549799530259</v>
      </c>
      <c r="BX138" s="9">
        <f t="shared" ca="1" si="87"/>
        <v>11.908935881307334</v>
      </c>
      <c r="BY138" s="9">
        <f t="shared" ca="1" si="88"/>
        <v>-9.5949210830347287</v>
      </c>
      <c r="BZ138">
        <f t="shared" ca="1" si="89"/>
        <v>15.2933078310336</v>
      </c>
      <c r="CA138" s="6">
        <f t="shared" ca="1" si="90"/>
        <v>0.77870242415060753</v>
      </c>
      <c r="CB138" s="6">
        <f t="shared" ca="1" si="91"/>
        <v>-0.62739344483503112</v>
      </c>
      <c r="CC138" s="6">
        <f t="shared" ca="1" si="92"/>
        <v>-0.67820137356493648</v>
      </c>
      <c r="CD138" s="6">
        <f t="shared" ca="1" si="93"/>
        <v>-111.90893588130733</v>
      </c>
      <c r="CE138" s="9">
        <f t="shared" ca="1" si="94"/>
        <v>-40.405078916965273</v>
      </c>
      <c r="CF138">
        <f t="shared" ca="1" si="95"/>
        <v>118.979747572319</v>
      </c>
      <c r="CG138" s="6">
        <f t="shared" ca="1" si="96"/>
        <v>-0.94057130028189173</v>
      </c>
      <c r="CH138" s="6">
        <f t="shared" ca="1" si="97"/>
        <v>-0.33959627366334771</v>
      </c>
      <c r="CI138" s="6">
        <f t="shared" ca="1" si="98"/>
        <v>-2.7951050245698461</v>
      </c>
      <c r="CJ138" s="1">
        <f t="shared" ca="1" si="99"/>
        <v>-3.024432673608934</v>
      </c>
      <c r="CK138" s="38"/>
    </row>
    <row r="139" spans="1:89" ht="18" x14ac:dyDescent="0.35">
      <c r="A139" t="s">
        <v>161</v>
      </c>
      <c r="B139" t="s">
        <v>162</v>
      </c>
      <c r="BC139">
        <v>2.3911010752322293</v>
      </c>
      <c r="BD139">
        <v>-13.476382128404479</v>
      </c>
      <c r="BE139">
        <v>8.0543538725057573</v>
      </c>
      <c r="BF139" s="6">
        <f t="shared" si="116"/>
        <v>2.6028922741377976</v>
      </c>
      <c r="BG139" s="6">
        <f t="shared" si="117"/>
        <v>0.2117911989055683</v>
      </c>
      <c r="BH139" s="6">
        <f t="shared" si="118"/>
        <v>-2.1392446651369914</v>
      </c>
      <c r="BI139" s="6">
        <f t="shared" si="119"/>
        <v>2.1392446651369914</v>
      </c>
      <c r="BJ139">
        <v>-20.732895582160737</v>
      </c>
      <c r="BK139">
        <v>12.391313650008858</v>
      </c>
      <c r="BV139" s="38"/>
      <c r="BW139" s="6">
        <f t="shared" si="86"/>
        <v>2.164208272472969</v>
      </c>
      <c r="BX139" s="9">
        <f t="shared" ca="1" si="87"/>
        <v>12.036349713535676</v>
      </c>
      <c r="BY139" s="9">
        <f t="shared" ca="1" si="88"/>
        <v>-9.4737535520392555</v>
      </c>
      <c r="BZ139">
        <f t="shared" ca="1" si="89"/>
        <v>15.317497210422687</v>
      </c>
      <c r="CA139" s="6">
        <f t="shared" ca="1" si="90"/>
        <v>0.78579088660421781</v>
      </c>
      <c r="CB139" s="6">
        <f t="shared" ca="1" si="91"/>
        <v>-0.61849226553753867</v>
      </c>
      <c r="CC139" s="6">
        <f t="shared" ca="1" si="92"/>
        <v>-0.66682250323887826</v>
      </c>
      <c r="CD139" s="6">
        <f t="shared" ca="1" si="93"/>
        <v>-112.03634971353567</v>
      </c>
      <c r="CE139" s="9">
        <f t="shared" ca="1" si="94"/>
        <v>-40.526246447960744</v>
      </c>
      <c r="CF139">
        <f t="shared" ca="1" si="95"/>
        <v>119.14075838391543</v>
      </c>
      <c r="CG139" s="6">
        <f t="shared" ca="1" si="96"/>
        <v>-0.94036962021437931</v>
      </c>
      <c r="CH139" s="6">
        <f t="shared" ca="1" si="97"/>
        <v>-0.34015434346464579</v>
      </c>
      <c r="CI139" s="6">
        <f t="shared" ca="1" si="98"/>
        <v>-2.7945116302969679</v>
      </c>
      <c r="CJ139" s="1">
        <f t="shared" ca="1" si="99"/>
        <v>-3.0250260678818122</v>
      </c>
      <c r="CK139" s="38"/>
    </row>
    <row r="140" spans="1:89" ht="18" x14ac:dyDescent="0.35">
      <c r="A140" t="s">
        <v>163</v>
      </c>
      <c r="BC140">
        <v>2.4085543677521724</v>
      </c>
      <c r="BD140">
        <v>-13.582252833102144</v>
      </c>
      <c r="BE140">
        <v>7.947938820528762</v>
      </c>
      <c r="BF140" s="6">
        <f t="shared" si="116"/>
        <v>2.6121482835752161</v>
      </c>
      <c r="BG140" s="6">
        <f t="shared" si="117"/>
        <v>0.20359391582304376</v>
      </c>
      <c r="BH140" s="6">
        <f t="shared" si="118"/>
        <v>-2.14850067457441</v>
      </c>
      <c r="BI140" s="6">
        <f t="shared" si="119"/>
        <v>2.14850067457441</v>
      </c>
      <c r="BJ140">
        <v>-20.895773589387915</v>
      </c>
      <c r="BK140">
        <v>12.227598185428864</v>
      </c>
      <c r="BV140" s="38"/>
      <c r="BW140" s="6">
        <f t="shared" si="86"/>
        <v>2.1816615649929121</v>
      </c>
      <c r="BX140" s="9">
        <f t="shared" ca="1" si="87"/>
        <v>12.159661084526258</v>
      </c>
      <c r="BY140" s="9">
        <f t="shared" ca="1" si="88"/>
        <v>-9.355462444967209</v>
      </c>
      <c r="BZ140">
        <f t="shared" ca="1" si="89"/>
        <v>15.34216527253354</v>
      </c>
      <c r="CA140" s="6">
        <f t="shared" ca="1" si="90"/>
        <v>0.79256486086062494</v>
      </c>
      <c r="CB140" s="6">
        <f t="shared" ca="1" si="91"/>
        <v>-0.6097876198554526</v>
      </c>
      <c r="CC140" s="6">
        <f t="shared" ca="1" si="92"/>
        <v>-0.65579259766005427</v>
      </c>
      <c r="CD140" s="6">
        <f t="shared" ca="1" si="93"/>
        <v>-112.15966108452626</v>
      </c>
      <c r="CE140" s="9">
        <f t="shared" ca="1" si="94"/>
        <v>-40.644537555032791</v>
      </c>
      <c r="CF140">
        <f t="shared" ca="1" si="95"/>
        <v>119.29697400880823</v>
      </c>
      <c r="CG140" s="6">
        <f t="shared" ca="1" si="96"/>
        <v>-0.94017188630656301</v>
      </c>
      <c r="CH140" s="6">
        <f t="shared" ca="1" si="97"/>
        <v>-0.34070049045864165</v>
      </c>
      <c r="CI140" s="6">
        <f t="shared" ca="1" si="98"/>
        <v>-2.7939307901753887</v>
      </c>
      <c r="CJ140" s="1">
        <f t="shared" ca="1" si="99"/>
        <v>-3.0256069080033914</v>
      </c>
      <c r="CK140" s="38"/>
    </row>
    <row r="141" spans="1:89" ht="18.75" x14ac:dyDescent="0.35">
      <c r="A141" t="s">
        <v>164</v>
      </c>
      <c r="B141" t="s">
        <v>165</v>
      </c>
      <c r="BC141">
        <v>2.4260076602721155</v>
      </c>
      <c r="BD141">
        <v>-13.688762499453883</v>
      </c>
      <c r="BE141">
        <v>7.8406210999978256</v>
      </c>
      <c r="BF141" s="6">
        <f t="shared" si="116"/>
        <v>2.6214299190239734</v>
      </c>
      <c r="BG141" s="6">
        <f t="shared" si="117"/>
        <v>0.19542225875185792</v>
      </c>
      <c r="BH141" s="6">
        <f t="shared" si="118"/>
        <v>-2.1577823100231672</v>
      </c>
      <c r="BI141" s="6">
        <f t="shared" si="119"/>
        <v>2.1577823100231672</v>
      </c>
      <c r="BJ141">
        <v>-21.059634614544436</v>
      </c>
      <c r="BK141">
        <v>12.062493999996654</v>
      </c>
      <c r="BV141" s="38"/>
      <c r="BW141" s="6">
        <f t="shared" si="86"/>
        <v>2.1991148575128552</v>
      </c>
      <c r="BX141" s="9">
        <f t="shared" ca="1" si="87"/>
        <v>12.279421574340583</v>
      </c>
      <c r="BY141" s="9">
        <f t="shared" ca="1" si="88"/>
        <v>-9.2397133376572658</v>
      </c>
      <c r="BZ141">
        <f t="shared" ca="1" si="89"/>
        <v>15.367384187377581</v>
      </c>
      <c r="CA141" s="6">
        <f t="shared" ca="1" si="90"/>
        <v>0.7990573688153525</v>
      </c>
      <c r="CB141" s="6">
        <f t="shared" ca="1" si="91"/>
        <v>-0.60125478903862872</v>
      </c>
      <c r="CC141" s="6">
        <f t="shared" ca="1" si="92"/>
        <v>-0.64507051937923177</v>
      </c>
      <c r="CD141" s="6">
        <f t="shared" ca="1" si="93"/>
        <v>-112.27942157434059</v>
      </c>
      <c r="CE141" s="9">
        <f t="shared" ca="1" si="94"/>
        <v>-40.760286662342736</v>
      </c>
      <c r="CF141">
        <f t="shared" ca="1" si="95"/>
        <v>119.44902459988886</v>
      </c>
      <c r="CG141" s="6">
        <f t="shared" ca="1" si="96"/>
        <v>-0.93997771811394981</v>
      </c>
      <c r="CH141" s="6">
        <f t="shared" ca="1" si="97"/>
        <v>-0.34123582673759784</v>
      </c>
      <c r="CI141" s="6">
        <f t="shared" ca="1" si="98"/>
        <v>-2.7933613288269612</v>
      </c>
      <c r="CJ141" s="1">
        <f t="shared" ca="1" si="99"/>
        <v>-3.0261763693518189</v>
      </c>
      <c r="CK141" s="38"/>
    </row>
    <row r="142" spans="1:89" x14ac:dyDescent="0.25">
      <c r="BC142">
        <v>2.4434609527920585</v>
      </c>
      <c r="BD142">
        <v>-13.796157599871986</v>
      </c>
      <c r="BE142">
        <v>7.7321067842336637</v>
      </c>
      <c r="BF142" s="6">
        <f t="shared" si="116"/>
        <v>2.6307590552404898</v>
      </c>
      <c r="BG142" s="6">
        <f t="shared" si="117"/>
        <v>0.18729810244843126</v>
      </c>
      <c r="BH142" s="6">
        <f t="shared" si="118"/>
        <v>-2.1671114462396837</v>
      </c>
      <c r="BI142" s="6">
        <f t="shared" si="119"/>
        <v>2.1671114462396837</v>
      </c>
      <c r="BJ142">
        <v>-21.224857845956901</v>
      </c>
      <c r="BK142">
        <v>11.895548898821021</v>
      </c>
      <c r="BV142" s="38"/>
      <c r="BW142" s="6">
        <f t="shared" si="86"/>
        <v>2.2165681500327983</v>
      </c>
      <c r="BX142" s="9">
        <f t="shared" ca="1" si="87"/>
        <v>12.396123621469558</v>
      </c>
      <c r="BY142" s="9">
        <f t="shared" ca="1" si="88"/>
        <v>-9.1261943045565399</v>
      </c>
      <c r="BZ142">
        <f t="shared" ca="1" si="89"/>
        <v>15.393222642555255</v>
      </c>
      <c r="CA142" s="6">
        <f t="shared" ca="1" si="90"/>
        <v>0.80529749418422092</v>
      </c>
      <c r="CB142" s="6">
        <f t="shared" ca="1" si="91"/>
        <v>-0.5928709352469681</v>
      </c>
      <c r="CC142" s="6">
        <f t="shared" ca="1" si="92"/>
        <v>-0.63461924370272416</v>
      </c>
      <c r="CD142" s="6">
        <f t="shared" ca="1" si="93"/>
        <v>-112.39612362146956</v>
      </c>
      <c r="CE142" s="9">
        <f t="shared" ca="1" si="94"/>
        <v>-40.873805695443458</v>
      </c>
      <c r="CF142">
        <f t="shared" ca="1" si="95"/>
        <v>119.59747738627907</v>
      </c>
      <c r="CG142" s="6">
        <f t="shared" ca="1" si="96"/>
        <v>-0.9397867419765854</v>
      </c>
      <c r="CH142" s="6">
        <f t="shared" ca="1" si="97"/>
        <v>-0.34176143668505793</v>
      </c>
      <c r="CI142" s="6">
        <f t="shared" ca="1" si="98"/>
        <v>-2.79280209925866</v>
      </c>
      <c r="CJ142" s="1">
        <f t="shared" ca="1" si="99"/>
        <v>-3.0267355989201201</v>
      </c>
      <c r="CK142" s="38"/>
    </row>
    <row r="143" spans="1:89" x14ac:dyDescent="0.25">
      <c r="A143" t="s">
        <v>166</v>
      </c>
      <c r="B143" s="3">
        <f>B2*1000</f>
        <v>5000</v>
      </c>
      <c r="C143" t="s">
        <v>167</v>
      </c>
      <c r="BC143">
        <v>2.4609142453120016</v>
      </c>
      <c r="BD143">
        <v>-13.904688503409609</v>
      </c>
      <c r="BE143">
        <v>7.6220823027399973</v>
      </c>
      <c r="BF143" s="6">
        <f t="shared" si="116"/>
        <v>2.6401583276409131</v>
      </c>
      <c r="BG143" s="6">
        <f t="shared" si="117"/>
        <v>0.17924408232891142</v>
      </c>
      <c r="BH143" s="6">
        <f t="shared" si="118"/>
        <v>-2.1765107186401069</v>
      </c>
      <c r="BI143" s="6">
        <f t="shared" si="119"/>
        <v>2.1765107186401069</v>
      </c>
      <c r="BJ143">
        <v>-21.391828466784013</v>
      </c>
      <c r="BK143">
        <v>11.726280465753842</v>
      </c>
      <c r="BV143" s="38"/>
      <c r="BW143" s="6">
        <f t="shared" ref="BW143:BW206" si="120">BC130</f>
        <v>2.2340214425527414</v>
      </c>
      <c r="BX143" s="9">
        <f t="shared" ca="1" si="87"/>
        <v>12.510210095018609</v>
      </c>
      <c r="BY143" s="9">
        <f t="shared" ca="1" si="88"/>
        <v>-9.0146120596428752</v>
      </c>
      <c r="BZ143">
        <f t="shared" ca="1" si="89"/>
        <v>15.419746664824435</v>
      </c>
      <c r="CA143" s="6">
        <f t="shared" ca="1" si="90"/>
        <v>0.81131100055988148</v>
      </c>
      <c r="CB143" s="6">
        <f t="shared" ca="1" si="91"/>
        <v>-0.58461479657166038</v>
      </c>
      <c r="CC143" s="6">
        <f t="shared" ca="1" si="92"/>
        <v>-0.62440518516740295</v>
      </c>
      <c r="CD143" s="6">
        <f t="shared" ca="1" si="93"/>
        <v>-112.51021009501861</v>
      </c>
      <c r="CE143" s="9">
        <f t="shared" ca="1" si="94"/>
        <v>-40.985387940357128</v>
      </c>
      <c r="CF143">
        <f t="shared" ca="1" si="95"/>
        <v>119.74284696902274</v>
      </c>
      <c r="CG143" s="6">
        <f t="shared" ca="1" si="96"/>
        <v>-0.93959858933473328</v>
      </c>
      <c r="CH143" s="6">
        <f t="shared" ca="1" si="97"/>
        <v>-0.34227838219814477</v>
      </c>
      <c r="CI143" s="6">
        <f t="shared" ca="1" si="98"/>
        <v>-2.7922519773741938</v>
      </c>
      <c r="CJ143" s="1">
        <f t="shared" ca="1" si="99"/>
        <v>-3.0272857208045862</v>
      </c>
      <c r="CK143" s="38"/>
    </row>
    <row r="144" spans="1:89" x14ac:dyDescent="0.25">
      <c r="A144" t="s">
        <v>2</v>
      </c>
      <c r="B144" s="3">
        <f>B3*1000</f>
        <v>4074280.688047891</v>
      </c>
      <c r="C144" t="s">
        <v>167</v>
      </c>
      <c r="BC144">
        <v>2.4783675378319447</v>
      </c>
      <c r="BD144">
        <v>-14.014612059654686</v>
      </c>
      <c r="BE144">
        <v>7.5102100949561681</v>
      </c>
      <c r="BF144" s="6">
        <f t="shared" si="116"/>
        <v>2.6496514111906642</v>
      </c>
      <c r="BG144" s="6">
        <f t="shared" si="117"/>
        <v>0.17128387335871942</v>
      </c>
      <c r="BH144" s="6">
        <f t="shared" si="118"/>
        <v>-2.186003802189858</v>
      </c>
      <c r="BI144" s="6">
        <f t="shared" si="119"/>
        <v>2.186003802189858</v>
      </c>
      <c r="BJ144">
        <v>-21.560941630237977</v>
      </c>
      <c r="BK144">
        <v>11.554169376855643</v>
      </c>
      <c r="BV144" s="38"/>
      <c r="BW144" s="6">
        <f t="shared" si="120"/>
        <v>2.2514747350726845</v>
      </c>
      <c r="BX144" s="9">
        <f t="shared" ref="BX144:BX207" ca="1" si="121">$BW$5-BD131</f>
        <v>12.622082303280145</v>
      </c>
      <c r="BY144" s="9">
        <f t="shared" ref="BY144:BY207" ca="1" si="122">$BX$5-BE131</f>
        <v>-8.9046885035137802</v>
      </c>
      <c r="BZ144">
        <f t="shared" ref="BZ144:BZ207" ca="1" si="123">SQRT(POWER(BX144,2)+POWER(BY144,2))</f>
        <v>15.447020392793824</v>
      </c>
      <c r="CA144" s="6">
        <f t="shared" ref="CA144:CA207" ca="1" si="124">BX144/BZ144</f>
        <v>0.81712084158110265</v>
      </c>
      <c r="CB144" s="6">
        <f t="shared" ref="CB144:CB207" ca="1" si="125">BY144/BZ144</f>
        <v>-0.57646641728186609</v>
      </c>
      <c r="CC144" s="6">
        <f t="shared" ref="CC144:CC207" ca="1" si="126">ATAN2(CA144,CB144)</f>
        <v>-0.61439762934221664</v>
      </c>
      <c r="CD144" s="6">
        <f t="shared" ref="CD144:CD207" ca="1" si="127">$BW$9-BX144</f>
        <v>-112.62208230328014</v>
      </c>
      <c r="CE144" s="9">
        <f t="shared" ref="CE144:CE207" ca="1" si="128">$BX$9-BY144</f>
        <v>-41.095311496486218</v>
      </c>
      <c r="CF144">
        <f t="shared" ref="CF144:CF207" ca="1" si="129">SQRT(POWER(CD144,2)+POWER(CE144,2))</f>
        <v>119.88560401199152</v>
      </c>
      <c r="CG144" s="6">
        <f t="shared" ref="CG144:CG207" ca="1" si="130">CD144/CF144</f>
        <v>-0.93941289474602097</v>
      </c>
      <c r="CH144" s="6">
        <f t="shared" ref="CH144:CH207" ca="1" si="131">CE144/CF144</f>
        <v>-0.34278770862576358</v>
      </c>
      <c r="CI144" s="6">
        <f t="shared" ref="CI144:CI207" ca="1" si="132">ATAN2(CG144,CH144)</f>
        <v>-2.7917098557113302</v>
      </c>
      <c r="CJ144" s="1">
        <f t="shared" ref="CJ144:CJ207" ca="1" si="133">ATAN2(COS($U$13-CI144),SIN($U$13-CI144))</f>
        <v>-3.0278278424674498</v>
      </c>
      <c r="CK144" s="38"/>
    </row>
    <row r="145" spans="1:89" ht="18" x14ac:dyDescent="0.35">
      <c r="A145" t="s">
        <v>159</v>
      </c>
      <c r="B145" s="1">
        <f>(2*0.85*B143)/B144</f>
        <v>2.0862578331765852E-3</v>
      </c>
      <c r="C145" t="s">
        <v>168</v>
      </c>
      <c r="BC145">
        <v>2.4958208303518878</v>
      </c>
      <c r="BD145">
        <v>-14.126194304481359</v>
      </c>
      <c r="BE145">
        <v>7.3961236217453461</v>
      </c>
      <c r="BF145" s="6">
        <f t="shared" si="116"/>
        <v>2.6592633266178267</v>
      </c>
      <c r="BG145" s="6">
        <f t="shared" si="117"/>
        <v>0.16344249626593887</v>
      </c>
      <c r="BH145" s="6">
        <f t="shared" si="118"/>
        <v>-2.1956157176170206</v>
      </c>
      <c r="BI145" s="6">
        <f t="shared" si="119"/>
        <v>2.1956157176170206</v>
      </c>
      <c r="BJ145">
        <v>-21.732606622279015</v>
      </c>
      <c r="BK145">
        <v>11.378651725762071</v>
      </c>
      <c r="BV145" s="38"/>
      <c r="BW145" s="6">
        <f t="shared" si="120"/>
        <v>2.2689280275926276</v>
      </c>
      <c r="BX145" s="9">
        <f t="shared" ca="1" si="121"/>
        <v>12.732106784205188</v>
      </c>
      <c r="BY145" s="9">
        <f t="shared" ca="1" si="122"/>
        <v>-8.7961576002599724</v>
      </c>
      <c r="BZ145">
        <f t="shared" ca="1" si="123"/>
        <v>15.475106839470126</v>
      </c>
      <c r="CA145" s="6">
        <f t="shared" ca="1" si="124"/>
        <v>0.82274758528524261</v>
      </c>
      <c r="CB145" s="6">
        <f t="shared" ca="1" si="125"/>
        <v>-0.56840690610451106</v>
      </c>
      <c r="CC145" s="6">
        <f t="shared" ca="1" si="126"/>
        <v>-0.60456824772244677</v>
      </c>
      <c r="CD145" s="6">
        <f t="shared" ca="1" si="127"/>
        <v>-112.73210678420519</v>
      </c>
      <c r="CE145" s="9">
        <f t="shared" ca="1" si="128"/>
        <v>-41.203842399740026</v>
      </c>
      <c r="CF145">
        <f t="shared" ca="1" si="129"/>
        <v>120.02618267906405</v>
      </c>
      <c r="CG145" s="6">
        <f t="shared" ca="1" si="130"/>
        <v>-0.93922929370867048</v>
      </c>
      <c r="CH145" s="6">
        <f t="shared" ca="1" si="131"/>
        <v>-0.34329045113360201</v>
      </c>
      <c r="CI145" s="6">
        <f t="shared" ca="1" si="132"/>
        <v>-2.7911746367122823</v>
      </c>
      <c r="CJ145" s="1">
        <f t="shared" ca="1" si="133"/>
        <v>-3.0283630614664978</v>
      </c>
      <c r="CK145" s="38"/>
    </row>
    <row r="146" spans="1:89" ht="18" x14ac:dyDescent="0.35">
      <c r="A146" t="s">
        <v>169</v>
      </c>
      <c r="B146" s="1">
        <v>3.0000000000000001E-3</v>
      </c>
      <c r="C146" t="s">
        <v>168</v>
      </c>
      <c r="BC146">
        <v>2.5132741228718309</v>
      </c>
      <c r="BD146">
        <v>-14.239713336936591</v>
      </c>
      <c r="BE146">
        <v>7.279421573590251</v>
      </c>
      <c r="BF146" s="6">
        <f t="shared" si="116"/>
        <v>2.6690207823785115</v>
      </c>
      <c r="BG146" s="6">
        <f t="shared" si="117"/>
        <v>0.15574665950668054</v>
      </c>
      <c r="BH146" s="6">
        <f t="shared" si="118"/>
        <v>-2.2053731733777053</v>
      </c>
      <c r="BI146" s="6">
        <f t="shared" si="119"/>
        <v>2.2053731733777053</v>
      </c>
      <c r="BJ146">
        <v>-21.907251287594754</v>
      </c>
      <c r="BK146">
        <v>11.19911011321577</v>
      </c>
      <c r="BV146" s="38"/>
      <c r="BW146" s="6">
        <f t="shared" si="120"/>
        <v>2.2863813201125707</v>
      </c>
      <c r="BX146" s="9">
        <f t="shared" ca="1" si="121"/>
        <v>12.840621100538037</v>
      </c>
      <c r="BY146" s="9">
        <f t="shared" ca="1" si="122"/>
        <v>-8.6887624998193473</v>
      </c>
      <c r="BZ146">
        <f t="shared" ca="1" si="123"/>
        <v>15.504068628132734</v>
      </c>
      <c r="CA146" s="6">
        <f t="shared" ca="1" si="124"/>
        <v>0.82820976922394629</v>
      </c>
      <c r="CB146" s="6">
        <f t="shared" ca="1" si="125"/>
        <v>-0.5604182171932115</v>
      </c>
      <c r="CC146" s="6">
        <f t="shared" ca="1" si="126"/>
        <v>-0.59489067907929316</v>
      </c>
      <c r="CD146" s="6">
        <f t="shared" ca="1" si="127"/>
        <v>-112.84062110053804</v>
      </c>
      <c r="CE146" s="9">
        <f t="shared" ca="1" si="128"/>
        <v>-41.311237500180653</v>
      </c>
      <c r="CF146">
        <f t="shared" ca="1" si="129"/>
        <v>120.16498705592875</v>
      </c>
      <c r="CG146" s="6">
        <f t="shared" ca="1" si="130"/>
        <v>-0.93904742026076449</v>
      </c>
      <c r="CH146" s="6">
        <f t="shared" ca="1" si="131"/>
        <v>-0.34378764157776709</v>
      </c>
      <c r="CI146" s="6">
        <f t="shared" ca="1" si="132"/>
        <v>-2.7906452254398593</v>
      </c>
      <c r="CJ146" s="1">
        <f t="shared" ca="1" si="133"/>
        <v>-3.0288924727389208</v>
      </c>
      <c r="CK146" s="38"/>
    </row>
    <row r="147" spans="1:89" ht="18" x14ac:dyDescent="0.35">
      <c r="A147" t="s">
        <v>170</v>
      </c>
      <c r="B147" s="1">
        <f>B146/B145</f>
        <v>1.4379814193110203</v>
      </c>
      <c r="C147" t="s">
        <v>171</v>
      </c>
      <c r="BC147">
        <v>2.530727415391774</v>
      </c>
      <c r="BD147">
        <v>-14.355462445724616</v>
      </c>
      <c r="BE147">
        <v>7.1596610853990388</v>
      </c>
      <c r="BF147" s="6">
        <f t="shared" si="116"/>
        <v>2.6789525626351458</v>
      </c>
      <c r="BG147" s="6">
        <f t="shared" si="117"/>
        <v>0.14822514724337177</v>
      </c>
      <c r="BH147" s="6">
        <f t="shared" si="118"/>
        <v>-2.2153049536343397</v>
      </c>
      <c r="BI147" s="6">
        <f t="shared" si="119"/>
        <v>2.2153049536343397</v>
      </c>
      <c r="BJ147">
        <v>-22.085326839576332</v>
      </c>
      <c r="BK147">
        <v>11.014863208306213</v>
      </c>
      <c r="BV147" s="38"/>
      <c r="BW147" s="6">
        <f t="shared" si="120"/>
        <v>2.3038346126325138</v>
      </c>
      <c r="BX147" s="9">
        <f t="shared" ca="1" si="121"/>
        <v>12.9479388209626</v>
      </c>
      <c r="BY147" s="9">
        <f t="shared" ca="1" si="122"/>
        <v>-8.5822528332169075</v>
      </c>
      <c r="BZ147">
        <f t="shared" ca="1" si="123"/>
        <v>15.53396869459476</v>
      </c>
      <c r="CA147" s="6">
        <f t="shared" ca="1" si="124"/>
        <v>0.83352419948341971</v>
      </c>
      <c r="CB147" s="6">
        <f t="shared" ca="1" si="125"/>
        <v>-0.55248294894550742</v>
      </c>
      <c r="CC147" s="6">
        <f t="shared" ca="1" si="126"/>
        <v>-0.58534016367689901</v>
      </c>
      <c r="CD147" s="6">
        <f t="shared" ca="1" si="127"/>
        <v>-112.94793882096261</v>
      </c>
      <c r="CE147" s="9">
        <f t="shared" ca="1" si="128"/>
        <v>-41.417747166783094</v>
      </c>
      <c r="CF147">
        <f t="shared" ca="1" si="129"/>
        <v>120.30239675199942</v>
      </c>
      <c r="CG147" s="6">
        <f t="shared" ca="1" si="130"/>
        <v>-0.93886690432113451</v>
      </c>
      <c r="CH147" s="6">
        <f t="shared" ca="1" si="131"/>
        <v>-0.34428031597878145</v>
      </c>
      <c r="CI147" s="6">
        <f t="shared" ca="1" si="132"/>
        <v>-2.7901205216413292</v>
      </c>
      <c r="CJ147" s="1">
        <f t="shared" ca="1" si="133"/>
        <v>-3.0294171765374509</v>
      </c>
      <c r="CK147" s="38"/>
    </row>
    <row r="148" spans="1:89" ht="18" x14ac:dyDescent="0.35">
      <c r="A148" t="s">
        <v>172</v>
      </c>
      <c r="B148" s="6">
        <f>G38</f>
        <v>9.6374929868216945</v>
      </c>
      <c r="C148" t="s">
        <v>4</v>
      </c>
      <c r="BC148">
        <v>2.5481807079117171</v>
      </c>
      <c r="BD148">
        <v>-14.473753551665935</v>
      </c>
      <c r="BE148">
        <v>7.0363497135141451</v>
      </c>
      <c r="BF148" s="6">
        <f t="shared" si="116"/>
        <v>2.6890899733174201</v>
      </c>
      <c r="BG148" s="6">
        <f t="shared" si="117"/>
        <v>0.14090926540570292</v>
      </c>
      <c r="BH148" s="6">
        <f t="shared" si="118"/>
        <v>-2.2254423643166135</v>
      </c>
      <c r="BI148" s="6">
        <f t="shared" si="119"/>
        <v>2.2254423643166135</v>
      </c>
      <c r="BJ148">
        <v>-22.267313156409131</v>
      </c>
      <c r="BK148">
        <v>10.825153405406377</v>
      </c>
      <c r="BV148" s="38"/>
      <c r="BW148" s="6">
        <f t="shared" si="120"/>
        <v>2.3212879051524569</v>
      </c>
      <c r="BX148" s="9">
        <f t="shared" ca="1" si="121"/>
        <v>13.054353872205319</v>
      </c>
      <c r="BY148" s="9">
        <f t="shared" ca="1" si="122"/>
        <v>-8.4763821283643441</v>
      </c>
      <c r="BZ148">
        <f t="shared" ca="1" si="123"/>
        <v>15.564870992295967</v>
      </c>
      <c r="CA148" s="6">
        <f t="shared" ca="1" si="124"/>
        <v>0.83870620441806032</v>
      </c>
      <c r="CB148" s="6">
        <f t="shared" ca="1" si="125"/>
        <v>-0.54458415572861729</v>
      </c>
      <c r="CC148" s="6">
        <f t="shared" ca="1" si="126"/>
        <v>-0.57589321850171238</v>
      </c>
      <c r="CD148" s="6">
        <f t="shared" ca="1" si="127"/>
        <v>-113.05435387220533</v>
      </c>
      <c r="CE148" s="9">
        <f t="shared" ca="1" si="128"/>
        <v>-41.523617871635658</v>
      </c>
      <c r="CF148">
        <f t="shared" ca="1" si="129"/>
        <v>120.43877187439038</v>
      </c>
      <c r="CG148" s="6">
        <f t="shared" ca="1" si="130"/>
        <v>-0.93868736879942194</v>
      </c>
      <c r="CH148" s="6">
        <f t="shared" ca="1" si="131"/>
        <v>-0.34476952251673593</v>
      </c>
      <c r="CI148" s="6">
        <f t="shared" ca="1" si="132"/>
        <v>-2.7895994112437363</v>
      </c>
      <c r="CJ148" s="1">
        <f t="shared" ca="1" si="133"/>
        <v>-3.0299382869350437</v>
      </c>
      <c r="CK148" s="38"/>
    </row>
    <row r="149" spans="1:89" x14ac:dyDescent="0.25">
      <c r="B149" s="1"/>
      <c r="BC149">
        <v>2.5656340004316602</v>
      </c>
      <c r="BD149">
        <v>-14.594921083257955</v>
      </c>
      <c r="BE149">
        <v>6.9089358812686497</v>
      </c>
      <c r="BF149" s="6">
        <f t="shared" si="116"/>
        <v>2.6994673614095266</v>
      </c>
      <c r="BG149" s="6">
        <f t="shared" si="117"/>
        <v>0.13383336097786636</v>
      </c>
      <c r="BH149" s="6">
        <f t="shared" si="118"/>
        <v>-2.2358197524087204</v>
      </c>
      <c r="BI149" s="6">
        <f t="shared" si="119"/>
        <v>2.2358197524087204</v>
      </c>
      <c r="BJ149">
        <v>-22.453724743473774</v>
      </c>
      <c r="BK149">
        <v>10.629132125028692</v>
      </c>
      <c r="BV149" s="38"/>
      <c r="BW149" s="6">
        <f t="shared" si="120"/>
        <v>2.3387411976724</v>
      </c>
      <c r="BX149" s="9">
        <f t="shared" ca="1" si="121"/>
        <v>13.160144368795706</v>
      </c>
      <c r="BY149" s="9">
        <f t="shared" ca="1" si="122"/>
        <v>-8.3709052814057987</v>
      </c>
      <c r="BZ149">
        <f t="shared" ca="1" si="123"/>
        <v>15.596841187811487</v>
      </c>
      <c r="CA149" s="6">
        <f t="shared" ca="1" si="124"/>
        <v>0.84376985123628789</v>
      </c>
      <c r="CB149" s="6">
        <f t="shared" ca="1" si="125"/>
        <v>-0.53670516873297636</v>
      </c>
      <c r="CC149" s="6">
        <f t="shared" ca="1" si="126"/>
        <v>-0.56652734446867892</v>
      </c>
      <c r="CD149" s="6">
        <f t="shared" ca="1" si="127"/>
        <v>-113.1601443687957</v>
      </c>
      <c r="CE149" s="9">
        <f t="shared" ca="1" si="128"/>
        <v>-41.629094718594203</v>
      </c>
      <c r="CF149">
        <f t="shared" ca="1" si="129"/>
        <v>120.57445749683625</v>
      </c>
      <c r="CG149" s="6">
        <f t="shared" ca="1" si="130"/>
        <v>-0.93850842639507548</v>
      </c>
      <c r="CH149" s="6">
        <f t="shared" ca="1" si="131"/>
        <v>-0.34525633026121233</v>
      </c>
      <c r="CI149" s="6">
        <f t="shared" ca="1" si="132"/>
        <v>-2.789080757052405</v>
      </c>
      <c r="CJ149" s="1">
        <f t="shared" ca="1" si="133"/>
        <v>-3.0304569411263751</v>
      </c>
      <c r="CK149" s="38"/>
    </row>
    <row r="150" spans="1:89" x14ac:dyDescent="0.25">
      <c r="A150" t="s">
        <v>173</v>
      </c>
      <c r="B150" s="50">
        <f>B28</f>
        <v>5.3590760020797585</v>
      </c>
      <c r="C150" t="s">
        <v>4</v>
      </c>
      <c r="D150" t="s">
        <v>174</v>
      </c>
      <c r="BC150">
        <v>2.5830872929516033</v>
      </c>
      <c r="BD150">
        <v>-14.719326351918408</v>
      </c>
      <c r="BE150">
        <v>6.776797397166475</v>
      </c>
      <c r="BF150" s="6">
        <f t="shared" si="116"/>
        <v>2.71012272545503</v>
      </c>
      <c r="BG150" s="6">
        <f t="shared" si="117"/>
        <v>0.12703543250342664</v>
      </c>
      <c r="BH150" s="6">
        <f t="shared" si="118"/>
        <v>-2.2464751164542238</v>
      </c>
      <c r="BI150" s="6">
        <f t="shared" si="119"/>
        <v>2.2464751164542238</v>
      </c>
      <c r="BJ150">
        <v>-22.645117464489857</v>
      </c>
      <c r="BK150">
        <v>10.425842149486884</v>
      </c>
      <c r="BV150" s="38"/>
      <c r="BW150" s="6">
        <f t="shared" si="120"/>
        <v>2.3561944901923431</v>
      </c>
      <c r="BX150" s="9">
        <f t="shared" ca="1" si="121"/>
        <v>13.265576028065926</v>
      </c>
      <c r="BY150" s="9">
        <f t="shared" ca="1" si="122"/>
        <v>-8.265576028384082</v>
      </c>
      <c r="BZ150">
        <f t="shared" ca="1" si="123"/>
        <v>15.629947358753162</v>
      </c>
      <c r="CA150" s="6">
        <f t="shared" ca="1" si="124"/>
        <v>0.84872813219277232</v>
      </c>
      <c r="CB150" s="6">
        <f t="shared" ca="1" si="125"/>
        <v>-0.5288294220488946</v>
      </c>
      <c r="CC150" s="6">
        <f t="shared" ca="1" si="126"/>
        <v>-0.55722075749932753</v>
      </c>
      <c r="CD150" s="6">
        <f t="shared" ca="1" si="127"/>
        <v>-113.26557602806592</v>
      </c>
      <c r="CE150" s="9">
        <f t="shared" ca="1" si="128"/>
        <v>-41.734423971615918</v>
      </c>
      <c r="CF150">
        <f t="shared" ca="1" si="129"/>
        <v>120.70978774404406</v>
      </c>
      <c r="CG150" s="6">
        <f t="shared" ca="1" si="130"/>
        <v>-0.93832967603453143</v>
      </c>
      <c r="CH150" s="6">
        <f t="shared" ca="1" si="131"/>
        <v>-0.34574183876547437</v>
      </c>
      <c r="CI150" s="6">
        <f t="shared" ca="1" si="132"/>
        <v>-2.7885633885134737</v>
      </c>
      <c r="CJ150" s="1">
        <f t="shared" ca="1" si="133"/>
        <v>-3.0309743096653063</v>
      </c>
      <c r="CK150" s="38"/>
    </row>
    <row r="151" spans="1:89" ht="18" x14ac:dyDescent="0.35">
      <c r="A151" t="s">
        <v>175</v>
      </c>
      <c r="B151" s="1">
        <f>(((B145/B146)*B150)-B150)*-1</f>
        <v>1.6322712394372405</v>
      </c>
      <c r="C151" t="s">
        <v>4</v>
      </c>
      <c r="D151" t="s">
        <v>176</v>
      </c>
      <c r="BC151">
        <v>2.6005405854715464</v>
      </c>
      <c r="BD151">
        <v>-14.847218255713566</v>
      </c>
      <c r="BE151">
        <v>6.639366394812698</v>
      </c>
      <c r="BF151" s="6">
        <f t="shared" si="116"/>
        <v>2.72108702576329</v>
      </c>
      <c r="BG151" s="6">
        <f t="shared" si="117"/>
        <v>0.12054644029174355</v>
      </c>
      <c r="BH151" s="6">
        <f t="shared" si="118"/>
        <v>-2.2574394167624838</v>
      </c>
      <c r="BI151" s="6">
        <f t="shared" si="119"/>
        <v>2.2574394167624838</v>
      </c>
      <c r="BJ151">
        <v>-22.841874239559331</v>
      </c>
      <c r="BK151">
        <v>10.214409838173381</v>
      </c>
      <c r="BV151" s="38"/>
      <c r="BW151" s="6">
        <f t="shared" si="120"/>
        <v>2.3736477827122862</v>
      </c>
      <c r="BX151" s="9">
        <f t="shared" ca="1" si="121"/>
        <v>13.370905281032526</v>
      </c>
      <c r="BY151" s="9">
        <f t="shared" ca="1" si="122"/>
        <v>-8.1601443685817578</v>
      </c>
      <c r="BZ151">
        <f t="shared" ca="1" si="123"/>
        <v>15.664260727862009</v>
      </c>
      <c r="CA151" s="6">
        <f t="shared" ca="1" si="124"/>
        <v>0.8535931259909193</v>
      </c>
      <c r="CB151" s="6">
        <f t="shared" ca="1" si="125"/>
        <v>-0.52094027993720216</v>
      </c>
      <c r="CC151" s="6">
        <f t="shared" ca="1" si="126"/>
        <v>-0.54795213608518567</v>
      </c>
      <c r="CD151" s="6">
        <f t="shared" ca="1" si="127"/>
        <v>-113.37090528103252</v>
      </c>
      <c r="CE151" s="9">
        <f t="shared" ca="1" si="128"/>
        <v>-41.839855631418246</v>
      </c>
      <c r="CF151">
        <f t="shared" ca="1" si="129"/>
        <v>120.84508961268872</v>
      </c>
      <c r="CG151" s="6">
        <f t="shared" ca="1" si="130"/>
        <v>-0.93815069891866409</v>
      </c>
      <c r="CH151" s="6">
        <f t="shared" ca="1" si="131"/>
        <v>-0.34622718858925872</v>
      </c>
      <c r="CI151" s="6">
        <f t="shared" ca="1" si="132"/>
        <v>-2.7880460904703503</v>
      </c>
      <c r="CJ151" s="1">
        <f t="shared" ca="1" si="133"/>
        <v>-3.0314916077084297</v>
      </c>
      <c r="CK151" s="38"/>
    </row>
    <row r="152" spans="1:89" x14ac:dyDescent="0.25">
      <c r="A152" t="s">
        <v>177</v>
      </c>
      <c r="B152" s="1">
        <f>B148-B151</f>
        <v>8.0052217473844536</v>
      </c>
      <c r="C152" t="s">
        <v>4</v>
      </c>
      <c r="D152" t="s">
        <v>178</v>
      </c>
      <c r="BC152">
        <v>2.6179938779914895</v>
      </c>
      <c r="BD152">
        <v>-14.976587692721521</v>
      </c>
      <c r="BE152">
        <v>6.4981544506616427</v>
      </c>
      <c r="BF152" s="6">
        <f t="shared" si="116"/>
        <v>2.7322183469442343</v>
      </c>
      <c r="BG152" s="6">
        <f t="shared" si="117"/>
        <v>0.11422446895274474</v>
      </c>
      <c r="BH152" s="6">
        <f t="shared" si="118"/>
        <v>-2.2685707379434281</v>
      </c>
      <c r="BI152" s="6">
        <f t="shared" si="119"/>
        <v>2.2685707379434281</v>
      </c>
      <c r="BJ152">
        <v>-23.040904142648493</v>
      </c>
      <c r="BK152">
        <v>9.9971606933256041</v>
      </c>
      <c r="BV152" s="38"/>
      <c r="BW152" s="6">
        <f t="shared" si="120"/>
        <v>2.3911010752322293</v>
      </c>
      <c r="BX152" s="9">
        <f t="shared" ca="1" si="121"/>
        <v>13.476382128404479</v>
      </c>
      <c r="BY152" s="9">
        <f t="shared" ca="1" si="122"/>
        <v>-8.0543538725057573</v>
      </c>
      <c r="BZ152">
        <f t="shared" ca="1" si="123"/>
        <v>15.699856418908045</v>
      </c>
      <c r="CA152" s="6">
        <f t="shared" ca="1" si="124"/>
        <v>0.8583761385342521</v>
      </c>
      <c r="CB152" s="6">
        <f t="shared" ca="1" si="125"/>
        <v>-0.5130208619491281</v>
      </c>
      <c r="CC152" s="6">
        <f t="shared" ca="1" si="126"/>
        <v>-0.53870037945199534</v>
      </c>
      <c r="CD152" s="6">
        <f t="shared" ca="1" si="127"/>
        <v>-113.47638212840448</v>
      </c>
      <c r="CE152" s="9">
        <f t="shared" ca="1" si="128"/>
        <v>-41.945646127494243</v>
      </c>
      <c r="CF152">
        <f t="shared" ca="1" si="129"/>
        <v>120.98068659916197</v>
      </c>
      <c r="CG152" s="6">
        <f t="shared" ca="1" si="130"/>
        <v>-0.93797105404417935</v>
      </c>
      <c r="CH152" s="6">
        <f t="shared" ca="1" si="131"/>
        <v>-0.34671357310502154</v>
      </c>
      <c r="CI152" s="6">
        <f t="shared" ca="1" si="132"/>
        <v>-2.7875275905338746</v>
      </c>
      <c r="CJ152" s="1">
        <f t="shared" ca="1" si="133"/>
        <v>-3.0320101076449055</v>
      </c>
      <c r="CK152" s="38"/>
    </row>
    <row r="153" spans="1:89" x14ac:dyDescent="0.25">
      <c r="A153" t="s">
        <v>179</v>
      </c>
      <c r="B153" s="1">
        <f>B148-B150</f>
        <v>4.278416984741936</v>
      </c>
      <c r="C153" t="s">
        <v>4</v>
      </c>
      <c r="D153" t="s">
        <v>180</v>
      </c>
      <c r="BC153">
        <v>2.6354471705114326</v>
      </c>
      <c r="BD153">
        <v>-15.110571550992198</v>
      </c>
      <c r="BE153">
        <v>6.3496421093757629</v>
      </c>
      <c r="BF153" s="6">
        <f t="shared" si="116"/>
        <v>2.7437845426970457</v>
      </c>
      <c r="BG153" s="6">
        <f t="shared" si="117"/>
        <v>0.10833737218561312</v>
      </c>
      <c r="BH153" s="6">
        <f t="shared" si="118"/>
        <v>-2.2801369336962392</v>
      </c>
      <c r="BI153" s="6">
        <f t="shared" si="119"/>
        <v>2.2801369336962392</v>
      </c>
      <c r="BJ153">
        <v>-23.247033155372613</v>
      </c>
      <c r="BK153">
        <v>9.7686801682704036</v>
      </c>
      <c r="BV153" s="38"/>
      <c r="BW153" s="6">
        <f t="shared" si="120"/>
        <v>2.4085543677521724</v>
      </c>
      <c r="BX153" s="9">
        <f t="shared" ca="1" si="121"/>
        <v>13.582252833102144</v>
      </c>
      <c r="BY153" s="9">
        <f t="shared" ca="1" si="122"/>
        <v>-7.947938820528762</v>
      </c>
      <c r="BZ153">
        <f t="shared" ca="1" si="123"/>
        <v>15.73681427472471</v>
      </c>
      <c r="CA153" s="6">
        <f t="shared" ca="1" si="124"/>
        <v>0.86308782679839713</v>
      </c>
      <c r="CB153" s="6">
        <f t="shared" ca="1" si="125"/>
        <v>-0.50505386171419364</v>
      </c>
      <c r="CC153" s="6">
        <f t="shared" ca="1" si="126"/>
        <v>-0.52944437001457723</v>
      </c>
      <c r="CD153" s="6">
        <f t="shared" ca="1" si="127"/>
        <v>-113.58225283310215</v>
      </c>
      <c r="CE153" s="9">
        <f t="shared" ca="1" si="128"/>
        <v>-42.052061179471238</v>
      </c>
      <c r="CF153">
        <f t="shared" ca="1" si="129"/>
        <v>121.11690223946752</v>
      </c>
      <c r="CG153" s="6">
        <f t="shared" ca="1" si="130"/>
        <v>-0.93779027314067065</v>
      </c>
      <c r="CH153" s="6">
        <f t="shared" ca="1" si="131"/>
        <v>-0.34720225172476404</v>
      </c>
      <c r="CI153" s="6">
        <f t="shared" ca="1" si="132"/>
        <v>-2.787006544917245</v>
      </c>
      <c r="CJ153" s="1">
        <f t="shared" ca="1" si="133"/>
        <v>-3.0325311532615351</v>
      </c>
      <c r="CK153" s="38"/>
    </row>
    <row r="154" spans="1:89" x14ac:dyDescent="0.25">
      <c r="BC154">
        <v>2.6529004630313757</v>
      </c>
      <c r="BD154">
        <v>-15.249699243236364</v>
      </c>
      <c r="BE154">
        <v>6.1927416078182267</v>
      </c>
      <c r="BF154" s="6">
        <f t="shared" si="116"/>
        <v>2.7558478193024212</v>
      </c>
      <c r="BG154" s="6">
        <f t="shared" si="117"/>
        <v>0.10294735627104545</v>
      </c>
      <c r="BH154" s="6">
        <f t="shared" si="118"/>
        <v>-2.2922002103016146</v>
      </c>
      <c r="BI154" s="6">
        <f t="shared" si="119"/>
        <v>2.2922002103016146</v>
      </c>
      <c r="BJ154">
        <v>-23.461075758825174</v>
      </c>
      <c r="BK154">
        <v>9.52729478125881</v>
      </c>
      <c r="BV154" s="38"/>
      <c r="BW154" s="6">
        <f t="shared" si="120"/>
        <v>2.4260076602721155</v>
      </c>
      <c r="BX154" s="9">
        <f t="shared" ca="1" si="121"/>
        <v>13.688762499453883</v>
      </c>
      <c r="BY154" s="9">
        <f t="shared" ca="1" si="122"/>
        <v>-7.8406210999978256</v>
      </c>
      <c r="BZ154">
        <f t="shared" ca="1" si="123"/>
        <v>15.775219744909611</v>
      </c>
      <c r="CA154" s="6">
        <f t="shared" ca="1" si="124"/>
        <v>0.86773830861348278</v>
      </c>
      <c r="CB154" s="6">
        <f t="shared" ca="1" si="125"/>
        <v>-0.4970213554412044</v>
      </c>
      <c r="CC154" s="6">
        <f t="shared" ca="1" si="126"/>
        <v>-0.52016273456581974</v>
      </c>
      <c r="CD154" s="6">
        <f t="shared" ca="1" si="127"/>
        <v>-113.68876249945389</v>
      </c>
      <c r="CE154" s="9">
        <f t="shared" ca="1" si="128"/>
        <v>-42.159378900002174</v>
      </c>
      <c r="CF154">
        <f t="shared" ca="1" si="129"/>
        <v>121.25406363454869</v>
      </c>
      <c r="CG154" s="6">
        <f t="shared" ca="1" si="130"/>
        <v>-0.93760785487655007</v>
      </c>
      <c r="CH154" s="6">
        <f t="shared" ca="1" si="131"/>
        <v>-0.34769456491839817</v>
      </c>
      <c r="CI154" s="6">
        <f t="shared" ca="1" si="132"/>
        <v>-2.7864815223367372</v>
      </c>
      <c r="CJ154" s="1">
        <f t="shared" ca="1" si="133"/>
        <v>-3.0330561758420429</v>
      </c>
      <c r="CK154" s="38"/>
    </row>
    <row r="155" spans="1:89" x14ac:dyDescent="0.25">
      <c r="A155" t="s">
        <v>181</v>
      </c>
      <c r="BC155">
        <v>2.6703537555513188</v>
      </c>
      <c r="BD155">
        <v>-15.394563422546954</v>
      </c>
      <c r="BE155">
        <v>6.026183344145644</v>
      </c>
      <c r="BF155" s="6">
        <f t="shared" si="116"/>
        <v>2.7684796690337432</v>
      </c>
      <c r="BG155" s="6">
        <f t="shared" si="117"/>
        <v>9.8125913482424387E-2</v>
      </c>
      <c r="BH155" s="6">
        <f t="shared" si="118"/>
        <v>-2.3048320600329371</v>
      </c>
      <c r="BI155" s="6">
        <f t="shared" si="119"/>
        <v>2.3048320600329371</v>
      </c>
      <c r="BJ155">
        <v>-23.683943726995313</v>
      </c>
      <c r="BK155">
        <v>9.271051298685606</v>
      </c>
      <c r="BV155" s="38"/>
      <c r="BW155" s="6">
        <f t="shared" si="120"/>
        <v>2.4434609527920585</v>
      </c>
      <c r="BX155" s="9">
        <f t="shared" ca="1" si="121"/>
        <v>13.796157599871986</v>
      </c>
      <c r="BY155" s="9">
        <f t="shared" ca="1" si="122"/>
        <v>-7.7321067842336637</v>
      </c>
      <c r="BZ155">
        <f t="shared" ca="1" si="123"/>
        <v>15.815164869304962</v>
      </c>
      <c r="CA155" s="6">
        <f t="shared" ca="1" si="124"/>
        <v>0.87233726071666895</v>
      </c>
      <c r="CB155" s="6">
        <f t="shared" ca="1" si="125"/>
        <v>-0.48890459556577937</v>
      </c>
      <c r="CC155" s="6">
        <f t="shared" ca="1" si="126"/>
        <v>-0.51083359834930342</v>
      </c>
      <c r="CD155" s="6">
        <f t="shared" ca="1" si="127"/>
        <v>-113.79615759987199</v>
      </c>
      <c r="CE155" s="9">
        <f t="shared" ca="1" si="128"/>
        <v>-42.267893215766335</v>
      </c>
      <c r="CF155">
        <f t="shared" ca="1" si="129"/>
        <v>121.39250504621086</v>
      </c>
      <c r="CG155" s="6">
        <f t="shared" ca="1" si="130"/>
        <v>-0.93742325818676253</v>
      </c>
      <c r="CH155" s="6">
        <f t="shared" ca="1" si="131"/>
        <v>-0.3481919513867523</v>
      </c>
      <c r="CI155" s="6">
        <f t="shared" ca="1" si="132"/>
        <v>-2.7859509855864699</v>
      </c>
      <c r="CJ155" s="1">
        <f t="shared" ca="1" si="133"/>
        <v>-3.0335867125923102</v>
      </c>
      <c r="CK155" s="38"/>
    </row>
    <row r="156" spans="1:89" x14ac:dyDescent="0.25">
      <c r="B156" t="str">
        <f>B48</f>
        <v>xi (in)</v>
      </c>
      <c r="C156" t="str">
        <f t="shared" ref="C156:E156" si="134">C48</f>
        <v>yi (in)</v>
      </c>
      <c r="D156" t="str">
        <f t="shared" si="134"/>
        <v>xj (in)</v>
      </c>
      <c r="E156" t="str">
        <f t="shared" si="134"/>
        <v>yj (in)</v>
      </c>
      <c r="F156" s="1" t="s">
        <v>187</v>
      </c>
      <c r="G156" s="1" t="s">
        <v>188</v>
      </c>
      <c r="H156" s="1" t="s">
        <v>182</v>
      </c>
      <c r="I156" s="1" t="s">
        <v>183</v>
      </c>
      <c r="J156" s="1" t="s">
        <v>184</v>
      </c>
      <c r="K156" s="1" t="s">
        <v>185</v>
      </c>
      <c r="M156" s="1" t="s">
        <v>99</v>
      </c>
      <c r="N156" s="1" t="s">
        <v>100</v>
      </c>
      <c r="O156" s="1" t="s">
        <v>101</v>
      </c>
      <c r="P156" t="s">
        <v>189</v>
      </c>
      <c r="AB156" t="s">
        <v>190</v>
      </c>
      <c r="AS156"/>
      <c r="AT156"/>
      <c r="AU156"/>
      <c r="AV156"/>
      <c r="AW156"/>
      <c r="AX156"/>
      <c r="AY156"/>
      <c r="AZ156"/>
      <c r="BA156"/>
      <c r="BB156"/>
      <c r="BC156">
        <v>2.6878070480712619</v>
      </c>
      <c r="BD156">
        <v>-15.545831795955085</v>
      </c>
      <c r="BE156">
        <v>5.8484753460422612</v>
      </c>
      <c r="BF156" s="6">
        <f t="shared" ref="BF156:BF157" si="135">IF(BC156&lt;&gt;"",IF(AND(BD156=0,BE156=0),0,MOD(ATAN2(BD156,BE156),2*PI())),NA())</f>
        <v>2.7817628252557403</v>
      </c>
      <c r="BG156" s="6">
        <f t="shared" ref="BG156:BG157" si="136">ABS(BC156-BF156)</f>
        <v>9.395577718447834E-2</v>
      </c>
      <c r="BH156" s="6">
        <f t="shared" ref="BH156:BH157" si="137">ATAN2(COS($U$13-BF156),SIN($U$13-BF156))</f>
        <v>-2.3181152162549337</v>
      </c>
      <c r="BI156" s="6">
        <f t="shared" ref="BI156:BI157" si="138">ABS(BH156)</f>
        <v>2.3181152162549337</v>
      </c>
      <c r="BJ156">
        <v>-23.916664301469361</v>
      </c>
      <c r="BK156">
        <v>8.9976543785265548</v>
      </c>
      <c r="BV156" s="38"/>
      <c r="BW156" s="6">
        <f t="shared" si="120"/>
        <v>2.4609142453120016</v>
      </c>
      <c r="BX156" s="9">
        <f t="shared" ca="1" si="121"/>
        <v>13.904688503409609</v>
      </c>
      <c r="BY156" s="9">
        <f t="shared" ca="1" si="122"/>
        <v>-7.6220823027399973</v>
      </c>
      <c r="BZ156">
        <f t="shared" ca="1" si="123"/>
        <v>15.856749383357032</v>
      </c>
      <c r="CA156" s="6">
        <f t="shared" ca="1" si="124"/>
        <v>0.87689400691441388</v>
      </c>
      <c r="CB156" s="6">
        <f t="shared" ca="1" si="125"/>
        <v>-0.48068378445458704</v>
      </c>
      <c r="CC156" s="6">
        <f t="shared" ca="1" si="126"/>
        <v>-0.50143432594887982</v>
      </c>
      <c r="CD156" s="6">
        <f t="shared" ca="1" si="127"/>
        <v>-113.9046885034096</v>
      </c>
      <c r="CE156" s="9">
        <f t="shared" ca="1" si="128"/>
        <v>-42.377917697260003</v>
      </c>
      <c r="CF156">
        <f t="shared" ca="1" si="129"/>
        <v>121.5325716481574</v>
      </c>
      <c r="CG156" s="6">
        <f t="shared" ca="1" si="130"/>
        <v>-0.93723589453178957</v>
      </c>
      <c r="CH156" s="6">
        <f t="shared" ca="1" si="131"/>
        <v>-0.34869596785910284</v>
      </c>
      <c r="CI156" s="6">
        <f t="shared" ca="1" si="132"/>
        <v>-2.7854132702802228</v>
      </c>
      <c r="CJ156" s="1">
        <f t="shared" ca="1" si="133"/>
        <v>-3.0341244278985573</v>
      </c>
      <c r="CK156" s="38"/>
    </row>
    <row r="157" spans="1:89" x14ac:dyDescent="0.25">
      <c r="A157" s="1" t="s">
        <v>43</v>
      </c>
      <c r="B157" s="1">
        <f t="shared" ref="B157:E157" si="139">B49</f>
        <v>-13.310239242535348</v>
      </c>
      <c r="C157" s="1">
        <f t="shared" si="139"/>
        <v>1.6844973453443064</v>
      </c>
      <c r="D157" s="1">
        <f t="shared" si="139"/>
        <v>-9.3337414217966543</v>
      </c>
      <c r="E157" s="1">
        <f t="shared" si="139"/>
        <v>-9.6374929868216945</v>
      </c>
      <c r="F157" s="6">
        <f>IF(E157-C157=0,0,MIN(MAX(($B$152-C157)/(E157-C157),0),1))</f>
        <v>0</v>
      </c>
      <c r="G157" s="6">
        <f>IF(E157-C157=0,0,MIN(MAX(($B$153-C157)/(E157-C157),0),1))</f>
        <v>0</v>
      </c>
      <c r="H157" s="1">
        <f>IF(AND(F157=0,G157=0),0,IF(C157&gt;E157,B157+(F157*(D157-B157)),B157+(G157*(D157-B157))))</f>
        <v>0</v>
      </c>
      <c r="I157" s="1">
        <f>IF(AND(F157=0,G157=0),0,IF(C157&gt;E157,C157+(F157*(E157-C157)),C157+(G157*(E157-C157))))</f>
        <v>0</v>
      </c>
      <c r="J157">
        <f>IF(AND(F157=0,G157=0),0,IF(C157&gt;E157,B157+(G157*(D157-B157)),B157+(F157*(D157-B157))))</f>
        <v>0</v>
      </c>
      <c r="K157">
        <f>IF(AND(F157=0,G157=0),0,IF(C157&gt;E157,C157+(G157*(E157-C157)),C157+(F157*(E157-C157))))</f>
        <v>0</v>
      </c>
      <c r="M157" s="9">
        <f>((17*$B$143*$B$147*(I157-K157))/(240*POWER($B$150,2)))*((H157*((2*I157*((4*$B$150*($B$147-1))+($B$147*K157)-(4*$B$147*$B$148)))+(6*($B$150-$B$148)*(($B$150*($B$147-2))-($B$147*$B$148)))+(4*K157*(($B$150*($B$147-1))-($B$147*$B$148)))+(3*$B$147*I157*I157)+($B$147*K157*K157)))+(J157*((2*I157*((2*$B$150*($B$147-1))+($B$147*K157)-(2*$B$147*$B$148)))+(6*($B$150-$B$148)*(($B$150*($B$147-2))-($B$147*$B$148)))+(8*K157*(($B$150*($B$147-1))-($B$147*$B$148)))+($B$147*I157*I157)+(3*$B$147*K157*K157))))</f>
        <v>0</v>
      </c>
      <c r="N157" s="9">
        <f>((1/(1200*$B$150*$B$150))*17*$B$143*$B$147*(I157-K157))*Z157</f>
        <v>0</v>
      </c>
      <c r="O157" s="9">
        <f>((1/(1200*$B$150*$B$150))*17*$B$143*$B$147*(I157-K157))*AW157</f>
        <v>0</v>
      </c>
      <c r="P157">
        <f t="shared" ref="P157:P164" si="140">((2*I157*I157)*((5*$B$150*($B$147-1))+(3*$B$147*K157)-(5*$B$147*$B$148)))</f>
        <v>0</v>
      </c>
      <c r="Q157">
        <f>(I157)*((20*K157)*(($B$150*($B$147-1))-($B$147*$B$148))+((10*($B$150-$B$148))*(($B$150*($B$147-2))-($B$147*$B$148)))+(9*$B$147*K157*K157))</f>
        <v>0</v>
      </c>
      <c r="R157">
        <f t="shared" ref="R157:R164" si="141">(2*K157)*((15*K157)*(($B$150*($B$147-1))-($B$147*$B$148))+((10*($B$150-$B$148))*(($B$150*($B$147-2))-($B$147*$B$148)))+(6*$B$147*K157*K157))</f>
        <v>0</v>
      </c>
      <c r="S157">
        <f t="shared" ref="S157:S164" si="142">3*$B$147*I157*I157*I157</f>
        <v>0</v>
      </c>
      <c r="T157" s="54">
        <f>J157*(SUM(P157:S157))</f>
        <v>0</v>
      </c>
      <c r="U157" s="55">
        <f t="shared" ref="U157:U164" si="143">(I157*I157)*((30*$B$150*($B$147-1))+(9*$B$147*K157)-(30*$B$147*$B$148))</f>
        <v>0</v>
      </c>
      <c r="V157" s="55">
        <f t="shared" ref="V157:V164" si="144">I157*(((20*K157)*(($B$150*($B$147-1))-($B$147*$B$148)))+(20*($B$150-$B$148)*(($B$150*($B$147-2))-($B$147*$B$148)))+(6*$B$147*K157*K157))</f>
        <v>0</v>
      </c>
      <c r="W157" s="55">
        <f t="shared" ref="W157:W164" si="145">K157*(((10*K157)*(($B$150*($B$147-1))-($B$147*$B$148)))+(10*($B$150-$B$148)*(($B$150*($B$147-2))-($B$147*$B$148)))+(3*$B$147*K157*K157))</f>
        <v>0</v>
      </c>
      <c r="X157" s="55">
        <f t="shared" ref="X157:X164" si="146">12*$B$147*I157*I157*I157</f>
        <v>0</v>
      </c>
      <c r="Y157" s="54">
        <f t="shared" ref="Y157:Y164" si="147">H157*SUM(U157:X157)</f>
        <v>0</v>
      </c>
      <c r="Z157" s="54">
        <f t="shared" ref="Z157:Z164" si="148">T157+Y157</f>
        <v>0</v>
      </c>
      <c r="AB157">
        <f>(3*I157)*(((5*$B$150)*($B$147-1))+($B$147*K157)-(5*$B$147*$B$148))</f>
        <v>0</v>
      </c>
      <c r="AC157">
        <f>(10*($B$150-$B$148))*(($B$150*($B$147-2))-($B$147*$B$148))</f>
        <v>721.78760488364094</v>
      </c>
      <c r="AD157">
        <f>(5*K157)*(($B$150*($B$147-1))-($B$147*$B$148))</f>
        <v>0</v>
      </c>
      <c r="AE157">
        <f>6*$B$147*I157*I157</f>
        <v>0</v>
      </c>
      <c r="AF157">
        <f>$B$147*K157*K157</f>
        <v>0</v>
      </c>
      <c r="AG157">
        <f>SUM(AB157:AF157)</f>
        <v>721.78760488364094</v>
      </c>
      <c r="AH157" s="52">
        <f>AG157*H157*H157</f>
        <v>0</v>
      </c>
      <c r="AI157">
        <f>(2*I157)*(((5*$B$150)*($B$147-1))+(2*$B$147*K157)-(5*$B$147*$B$148))</f>
        <v>0</v>
      </c>
      <c r="AJ157">
        <f>(10*($B$150-$B$148))*(($B$150*($B$147-2))-($B$147*$B$148))</f>
        <v>721.78760488364094</v>
      </c>
      <c r="AK157">
        <f>(10*K157)*(($B$150*($B$147-1))-($B$147*$B$148))</f>
        <v>0</v>
      </c>
      <c r="AL157">
        <f>3*$B$147*I157*I157</f>
        <v>0</v>
      </c>
      <c r="AM157">
        <f>3*$B$147*K157*K157</f>
        <v>0</v>
      </c>
      <c r="AN157">
        <f>SUM(AI157:AM157)</f>
        <v>721.78760488364094</v>
      </c>
      <c r="AO157" s="52">
        <f>(H157*J157)*AN157</f>
        <v>0</v>
      </c>
      <c r="AP157">
        <f>(I157)*(((5*$B$150)*($B$147-1))+(3*$B$147*K157)-(5*$B$147*$B$148))</f>
        <v>0</v>
      </c>
      <c r="AQ157">
        <f>(10*($B$150-$B$148))*(($B$150*($B$147-2))-($B$147*$B$148))</f>
        <v>721.78760488364094</v>
      </c>
      <c r="AR157">
        <f>(15*K157)*(($B$150*($B$147-1))-($B$147*$B$148))</f>
        <v>0</v>
      </c>
      <c r="AS157">
        <f>$B$147*I157*I157</f>
        <v>0</v>
      </c>
      <c r="AT157">
        <f>6*$B$147*K157*K157</f>
        <v>0</v>
      </c>
      <c r="AU157">
        <f>SUM(AP157:AT157)</f>
        <v>721.78760488364094</v>
      </c>
      <c r="AV157" s="52">
        <f>(J157*J157)*AU157</f>
        <v>0</v>
      </c>
      <c r="AW157" s="52">
        <f>AH157+AO157+AV157</f>
        <v>0</v>
      </c>
      <c r="BA157"/>
      <c r="BC157">
        <v>2.705260340591205</v>
      </c>
      <c r="BD157">
        <v>-15.704261493709097</v>
      </c>
      <c r="BE157">
        <v>5.6578519473969777</v>
      </c>
      <c r="BF157" s="6">
        <f t="shared" si="135"/>
        <v>2.7957936939363437</v>
      </c>
      <c r="BG157" s="6">
        <f t="shared" si="136"/>
        <v>9.0533353345138678E-2</v>
      </c>
      <c r="BH157" s="6">
        <f t="shared" si="137"/>
        <v>-2.3321460849355375</v>
      </c>
      <c r="BI157" s="6">
        <f t="shared" si="138"/>
        <v>2.3321460849355375</v>
      </c>
      <c r="BJ157">
        <v>-24.160402298013995</v>
      </c>
      <c r="BK157">
        <v>8.7043876113799659</v>
      </c>
      <c r="BV157" s="38"/>
      <c r="BW157" s="6">
        <f t="shared" si="120"/>
        <v>2.4783675378319447</v>
      </c>
      <c r="BX157" s="9">
        <f t="shared" ca="1" si="121"/>
        <v>14.014612059654686</v>
      </c>
      <c r="BY157" s="9">
        <f t="shared" ca="1" si="122"/>
        <v>-7.5102100949561681</v>
      </c>
      <c r="BZ157">
        <f t="shared" ca="1" si="123"/>
        <v>15.900081976298113</v>
      </c>
      <c r="CA157" s="6">
        <f t="shared" ca="1" si="124"/>
        <v>0.88141759775490136</v>
      </c>
      <c r="CB157" s="6">
        <f t="shared" ca="1" si="125"/>
        <v>-0.47233782229245519</v>
      </c>
      <c r="CC157" s="6">
        <f t="shared" ca="1" si="126"/>
        <v>-0.49194124239912917</v>
      </c>
      <c r="CD157" s="6">
        <f t="shared" ca="1" si="127"/>
        <v>-114.01461205965468</v>
      </c>
      <c r="CE157" s="9">
        <f t="shared" ca="1" si="128"/>
        <v>-42.489789905043835</v>
      </c>
      <c r="CF157">
        <f t="shared" ca="1" si="129"/>
        <v>121.67462352227896</v>
      </c>
      <c r="CG157" s="6">
        <f t="shared" ca="1" si="130"/>
        <v>-0.93704511885157615</v>
      </c>
      <c r="CH157" s="6">
        <f t="shared" ca="1" si="131"/>
        <v>-0.34920831209528119</v>
      </c>
      <c r="CI157" s="6">
        <f t="shared" ca="1" si="132"/>
        <v>-2.7848665601340294</v>
      </c>
      <c r="CJ157" s="1">
        <f t="shared" ca="1" si="133"/>
        <v>-3.0346711380447506</v>
      </c>
      <c r="CK157" s="38"/>
    </row>
    <row r="158" spans="1:89" x14ac:dyDescent="0.25">
      <c r="A158" s="1" t="s">
        <v>44</v>
      </c>
      <c r="B158" s="1">
        <f t="shared" ref="B158:E158" si="149">B50</f>
        <v>-9.3337414217966543</v>
      </c>
      <c r="C158" s="1">
        <f t="shared" si="149"/>
        <v>-9.6374929868216945</v>
      </c>
      <c r="D158" s="1">
        <f t="shared" si="149"/>
        <v>5.7622456877580142</v>
      </c>
      <c r="E158" s="1">
        <f t="shared" si="149"/>
        <v>-4.3354958925034355</v>
      </c>
      <c r="F158" s="6">
        <f t="shared" ref="F158:F164" si="150">IF(E158-C158=0,0,MIN(MAX(($B$152-C158)/(E158-C158),0),1))</f>
        <v>1</v>
      </c>
      <c r="G158" s="6">
        <f t="shared" ref="G158:G164" si="151">IF(E158-C158=0,0,MIN(MAX(($B$153-C158)/(E158-C158),0),1))</f>
        <v>1</v>
      </c>
      <c r="H158" s="1">
        <f t="shared" ref="H158:H164" si="152">IF(AND(F158=0,G158=0),0,IF(C158&gt;E158,B158+(F158*(D158-B158)),B158+(G158*(D158-B158))))</f>
        <v>5.7622456877580142</v>
      </c>
      <c r="I158" s="1">
        <f t="shared" ref="I158:I164" si="153">IF(AND(F158=0,G158=0),0,IF(C158&gt;E158,C158+(F158*(E158-C158)),C158+(G158*(E158-C158))))</f>
        <v>-4.3354958925034355</v>
      </c>
      <c r="J158">
        <f t="shared" ref="J158:J164" si="154">IF(AND(F158=0,G158=0),0,IF(C158&gt;E158,B158+(G158*(D158-B158)),B158+(F158*(D158-B158))))</f>
        <v>5.7622456877580142</v>
      </c>
      <c r="K158">
        <f t="shared" ref="K158:K164" si="155">IF(AND(F158=0,G158=0),0,IF(C158&gt;E158,C158+(G158*(E158-C158)),C158+(F158*(E158-C158))))</f>
        <v>-4.3354958925034355</v>
      </c>
      <c r="M158" s="9">
        <f t="shared" ref="M158:M164" si="156">((17*$B$143*$B$147*(I158-K158))/(240*POWER($B$150,2)))*((H158*((2*I158*((4*$B$150*($B$147-1))+($B$147*K158)-(4*$B$147*$B$148)))+(6*($B$150-$B$148)*(($B$150*($B$147-2))-($B$147*$B$148)))+(4*K158*(($B$150*($B$147-1))-($B$147*$B$148)))+(3*$B$147*I158*I158)+($B$147*K158*K158)))+(J158*((2*I158*((2*$B$150*($B$147-1))+($B$147*K158)-(2*$B$147*$B$148)))+(6*($B$150-$B$148)*(($B$150*($B$147-2))-($B$147*$B$148)))+(8*K158*(($B$150*($B$147-1))-($B$147*$B$148)))+($B$147*I158*I158)+(3*$B$147*K158*K158))))</f>
        <v>0</v>
      </c>
      <c r="N158" s="9">
        <f t="shared" ref="N158:N164" si="157">((1/(1200*$B$150*$B$150))*17*$B$143*$B$147*(I158-K158))*Z158</f>
        <v>0</v>
      </c>
      <c r="O158" s="9">
        <f t="shared" ref="O158:O164" si="158">((1/(1200*$B$150*$B$150))*17*$B$143*$B$147*(I158-K158))*AW158</f>
        <v>0</v>
      </c>
      <c r="P158">
        <f t="shared" si="140"/>
        <v>-2866.8417365839632</v>
      </c>
      <c r="Q158">
        <f t="shared" ref="Q158:Q164" si="159">(I158)*((20*K158)*(($B$150*($B$147-1))-($B$147*$B$148))+((10*($B$150-$B$148))*(($B$150*($B$147-2))-($B$147*$B$148)))+(9*$B$147*K158*K158))</f>
        <v>-8511.4376223949857</v>
      </c>
      <c r="R158">
        <f t="shared" si="141"/>
        <v>-14156.033508206008</v>
      </c>
      <c r="S158">
        <f t="shared" si="142"/>
        <v>-351.55304700585936</v>
      </c>
      <c r="T158" s="54">
        <f t="shared" ref="T158:T164" si="160">J158*(SUM(P158:S158))</f>
        <v>-149160.71923792819</v>
      </c>
      <c r="U158" s="55">
        <f t="shared" si="143"/>
        <v>-7545.8660687343117</v>
      </c>
      <c r="V158" s="55">
        <f t="shared" si="144"/>
        <v>-11289.191771622045</v>
      </c>
      <c r="W158" s="55">
        <f t="shared" si="145"/>
        <v>-5644.5958858110225</v>
      </c>
      <c r="X158" s="55">
        <f t="shared" si="146"/>
        <v>-1406.2121880234374</v>
      </c>
      <c r="Y158" s="54">
        <f t="shared" si="147"/>
        <v>-149160.71923792819</v>
      </c>
      <c r="Z158" s="54">
        <f t="shared" si="148"/>
        <v>-298321.43847585638</v>
      </c>
      <c r="AB158">
        <f t="shared" ref="AB158:AB164" si="161">(3*I158)*(((5*$B$150)*($B$147-1))+($B$147*K158)-(5*$B$147*$B$148))</f>
        <v>829.69897793793746</v>
      </c>
      <c r="AC158">
        <f t="shared" ref="AC158:AC164" si="162">(10*($B$150-$B$148))*(($B$150*($B$147-2))-($B$147*$B$148))</f>
        <v>721.78760488364094</v>
      </c>
      <c r="AD158">
        <f t="shared" ref="AD158:AD164" si="163">(5*K158)*(($B$150*($B$147-1))-($B$147*$B$148))</f>
        <v>249.53727280812203</v>
      </c>
      <c r="AE158">
        <f t="shared" ref="AE158:AE164" si="164">6*$B$147*I158*I158</f>
        <v>162.17431902714264</v>
      </c>
      <c r="AF158">
        <f t="shared" ref="AF158:AF164" si="165">$B$147*K158*K158</f>
        <v>27.029053171190441</v>
      </c>
      <c r="AG158">
        <f t="shared" ref="AG158:AG164" si="166">SUM(AB158:AF158)</f>
        <v>1990.2272278280336</v>
      </c>
      <c r="AH158" s="52">
        <f t="shared" ref="AH158:AH164" si="167">AG158*H158*H158</f>
        <v>66082.460732101405</v>
      </c>
      <c r="AI158">
        <f t="shared" ref="AI158:AI164" si="168">(2*I158)*(((5*$B$150)*($B$147-1))+(2*$B$147*K158)-(5*$B$147*$B$148))</f>
        <v>607.19075830100576</v>
      </c>
      <c r="AJ158">
        <f t="shared" ref="AJ158:AJ164" si="169">(10*($B$150-$B$148))*(($B$150*($B$147-2))-($B$147*$B$148))</f>
        <v>721.78760488364094</v>
      </c>
      <c r="AK158">
        <f t="shared" ref="AK158:AK164" si="170">(10*K158)*(($B$150*($B$147-1))-($B$147*$B$148))</f>
        <v>499.07454561624405</v>
      </c>
      <c r="AL158">
        <f t="shared" ref="AL158:AL164" si="171">3*$B$147*I158*I158</f>
        <v>81.087159513571322</v>
      </c>
      <c r="AM158">
        <f t="shared" ref="AM158:AM164" si="172">3*$B$147*K158*K158</f>
        <v>81.087159513571322</v>
      </c>
      <c r="AN158">
        <f t="shared" ref="AN158:AN164" si="173">SUM(AI158:AM158)</f>
        <v>1990.2272278280334</v>
      </c>
      <c r="AO158" s="52">
        <f t="shared" ref="AO158:AO164" si="174">(H158*J158)*AN158</f>
        <v>66082.460732101405</v>
      </c>
      <c r="AP158">
        <f t="shared" ref="AP158:AP164" si="175">(I158)*(((5*$B$150)*($B$147-1))+(3*$B$147*K158)-(5*$B$147*$B$148))</f>
        <v>330.62443232169335</v>
      </c>
      <c r="AQ158">
        <f t="shared" ref="AQ158:AQ164" si="176">(10*($B$150-$B$148))*(($B$150*($B$147-2))-($B$147*$B$148))</f>
        <v>721.78760488364094</v>
      </c>
      <c r="AR158">
        <f t="shared" ref="AR158:AR164" si="177">(15*K158)*(($B$150*($B$147-1))-($B$147*$B$148))</f>
        <v>748.61181842436611</v>
      </c>
      <c r="AS158">
        <f t="shared" ref="AS158:AS164" si="178">$B$147*I158*I158</f>
        <v>27.029053171190441</v>
      </c>
      <c r="AT158">
        <f t="shared" ref="AT158:AT164" si="179">6*$B$147*K158*K158</f>
        <v>162.17431902714264</v>
      </c>
      <c r="AU158">
        <f t="shared" ref="AU158:AU164" si="180">SUM(AP158:AT158)</f>
        <v>1990.2272278280336</v>
      </c>
      <c r="AV158" s="52">
        <f t="shared" ref="AV158:AV164" si="181">(J158*J158)*AU158</f>
        <v>66082.460732101405</v>
      </c>
      <c r="AW158" s="52">
        <f t="shared" ref="AW158:AW164" si="182">AH158+AO158+AV158</f>
        <v>198247.38219630421</v>
      </c>
      <c r="BC158">
        <v>2.7227136331111481</v>
      </c>
      <c r="BD158">
        <v>-15.870716692088523</v>
      </c>
      <c r="BE158">
        <v>5.4522082244710575</v>
      </c>
      <c r="BF158" s="6">
        <f t="shared" ref="BF158:BF194" si="183">IF(BC158&lt;&gt;"",IF(AND(BD158=0,BE158=0),0,MOD(ATAN2(BD158,BE158),2*PI())),NA())</f>
        <v>2.8106853993579781</v>
      </c>
      <c r="BG158" s="6">
        <f t="shared" ref="BG158:BG194" si="184">ABS(BC158-BF158)</f>
        <v>8.7971766246830008E-2</v>
      </c>
      <c r="BH158" s="6">
        <f t="shared" ref="BH158:BH194" si="185">ATAN2(COS($U$13-BF158),SIN($U$13-BF158))</f>
        <v>-2.347037790357172</v>
      </c>
      <c r="BI158" s="6">
        <f t="shared" ref="BI158:BI194" si="186">ABS(BH158)</f>
        <v>2.347037790357172</v>
      </c>
      <c r="BJ158">
        <v>-24.416487218597727</v>
      </c>
      <c r="BK158">
        <v>8.388012653032396</v>
      </c>
      <c r="BV158" s="38"/>
      <c r="BW158" s="6">
        <f t="shared" si="120"/>
        <v>2.4958208303518878</v>
      </c>
      <c r="BX158" s="9">
        <f t="shared" ca="1" si="121"/>
        <v>14.126194304481359</v>
      </c>
      <c r="BY158" s="9">
        <f t="shared" ca="1" si="122"/>
        <v>-7.3961236217453461</v>
      </c>
      <c r="BZ158">
        <f t="shared" ca="1" si="123"/>
        <v>15.945281752170485</v>
      </c>
      <c r="CA158" s="6">
        <f t="shared" ca="1" si="124"/>
        <v>0.88591688275175751</v>
      </c>
      <c r="CB158" s="6">
        <f t="shared" ca="1" si="125"/>
        <v>-0.46384402211886783</v>
      </c>
      <c r="CC158" s="6">
        <f t="shared" ca="1" si="126"/>
        <v>-0.48232932697196645</v>
      </c>
      <c r="CD158" s="6">
        <f t="shared" ca="1" si="127"/>
        <v>-114.12619430448136</v>
      </c>
      <c r="CE158" s="9">
        <f t="shared" ca="1" si="128"/>
        <v>-42.603876378254654</v>
      </c>
      <c r="CF158">
        <f t="shared" ca="1" si="129"/>
        <v>121.81904000967106</v>
      </c>
      <c r="CG158" s="6">
        <f t="shared" ca="1" si="130"/>
        <v>-0.93685021894295861</v>
      </c>
      <c r="CH158" s="6">
        <f t="shared" ca="1" si="131"/>
        <v>-0.34973084974953328</v>
      </c>
      <c r="CI158" s="6">
        <f t="shared" ca="1" si="132"/>
        <v>-2.7843088580786701</v>
      </c>
      <c r="CJ158" s="1">
        <f t="shared" ca="1" si="133"/>
        <v>-3.03522884010011</v>
      </c>
      <c r="CK158" s="38"/>
    </row>
    <row r="159" spans="1:89" x14ac:dyDescent="0.25">
      <c r="A159" s="1" t="s">
        <v>45</v>
      </c>
      <c r="B159" s="1">
        <f t="shared" ref="B159:E159" si="187">B51</f>
        <v>5.7622456877580142</v>
      </c>
      <c r="C159" s="1">
        <f t="shared" si="187"/>
        <v>-4.3354958925034355</v>
      </c>
      <c r="D159" s="1">
        <f t="shared" si="187"/>
        <v>5.7622456877580142</v>
      </c>
      <c r="E159" s="1">
        <f t="shared" si="187"/>
        <v>-4.3354958925034355</v>
      </c>
      <c r="F159" s="6">
        <f t="shared" si="150"/>
        <v>0</v>
      </c>
      <c r="G159" s="6">
        <f t="shared" si="151"/>
        <v>0</v>
      </c>
      <c r="H159" s="1">
        <f t="shared" si="152"/>
        <v>0</v>
      </c>
      <c r="I159" s="1">
        <f t="shared" si="153"/>
        <v>0</v>
      </c>
      <c r="J159">
        <f t="shared" si="154"/>
        <v>0</v>
      </c>
      <c r="K159">
        <f t="shared" si="155"/>
        <v>0</v>
      </c>
      <c r="M159" s="9">
        <f t="shared" si="156"/>
        <v>0</v>
      </c>
      <c r="N159" s="9">
        <f t="shared" si="157"/>
        <v>0</v>
      </c>
      <c r="O159" s="9">
        <f t="shared" si="158"/>
        <v>0</v>
      </c>
      <c r="P159">
        <f t="shared" si="140"/>
        <v>0</v>
      </c>
      <c r="Q159">
        <f t="shared" si="159"/>
        <v>0</v>
      </c>
      <c r="R159">
        <f t="shared" si="141"/>
        <v>0</v>
      </c>
      <c r="S159">
        <f t="shared" si="142"/>
        <v>0</v>
      </c>
      <c r="T159" s="54">
        <f t="shared" si="160"/>
        <v>0</v>
      </c>
      <c r="U159" s="55">
        <f t="shared" si="143"/>
        <v>0</v>
      </c>
      <c r="V159" s="55">
        <f t="shared" si="144"/>
        <v>0</v>
      </c>
      <c r="W159" s="55">
        <f t="shared" si="145"/>
        <v>0</v>
      </c>
      <c r="X159" s="55">
        <f t="shared" si="146"/>
        <v>0</v>
      </c>
      <c r="Y159" s="54">
        <f t="shared" si="147"/>
        <v>0</v>
      </c>
      <c r="Z159" s="54">
        <f t="shared" si="148"/>
        <v>0</v>
      </c>
      <c r="AB159">
        <f t="shared" si="161"/>
        <v>0</v>
      </c>
      <c r="AC159">
        <f t="shared" si="162"/>
        <v>721.78760488364094</v>
      </c>
      <c r="AD159">
        <f t="shared" si="163"/>
        <v>0</v>
      </c>
      <c r="AE159">
        <f t="shared" si="164"/>
        <v>0</v>
      </c>
      <c r="AF159">
        <f t="shared" si="165"/>
        <v>0</v>
      </c>
      <c r="AG159">
        <f t="shared" si="166"/>
        <v>721.78760488364094</v>
      </c>
      <c r="AH159" s="52">
        <f t="shared" si="167"/>
        <v>0</v>
      </c>
      <c r="AI159">
        <f t="shared" si="168"/>
        <v>0</v>
      </c>
      <c r="AJ159">
        <f t="shared" si="169"/>
        <v>721.78760488364094</v>
      </c>
      <c r="AK159">
        <f t="shared" si="170"/>
        <v>0</v>
      </c>
      <c r="AL159">
        <f t="shared" si="171"/>
        <v>0</v>
      </c>
      <c r="AM159">
        <f t="shared" si="172"/>
        <v>0</v>
      </c>
      <c r="AN159">
        <f t="shared" si="173"/>
        <v>721.78760488364094</v>
      </c>
      <c r="AO159" s="52">
        <f t="shared" si="174"/>
        <v>0</v>
      </c>
      <c r="AP159">
        <f t="shared" si="175"/>
        <v>0</v>
      </c>
      <c r="AQ159">
        <f t="shared" si="176"/>
        <v>721.78760488364094</v>
      </c>
      <c r="AR159">
        <f t="shared" si="177"/>
        <v>0</v>
      </c>
      <c r="AS159">
        <f t="shared" si="178"/>
        <v>0</v>
      </c>
      <c r="AT159">
        <f t="shared" si="179"/>
        <v>0</v>
      </c>
      <c r="AU159">
        <f t="shared" si="180"/>
        <v>721.78760488364094</v>
      </c>
      <c r="AV159" s="52">
        <f t="shared" si="181"/>
        <v>0</v>
      </c>
      <c r="AW159" s="52">
        <f t="shared" si="182"/>
        <v>0</v>
      </c>
      <c r="BC159">
        <v>2.7401669256310912</v>
      </c>
      <c r="BD159">
        <v>-16.046190437001179</v>
      </c>
      <c r="BE159">
        <v>5.2290154573367724</v>
      </c>
      <c r="BF159" s="6">
        <f t="shared" si="183"/>
        <v>2.8265716267070964</v>
      </c>
      <c r="BG159" s="6">
        <f t="shared" si="184"/>
        <v>8.6404701076005175E-2</v>
      </c>
      <c r="BH159" s="6">
        <f t="shared" si="185"/>
        <v>-2.3629240177062902</v>
      </c>
      <c r="BI159" s="6">
        <f t="shared" si="186"/>
        <v>2.3629240177062902</v>
      </c>
      <c r="BJ159">
        <v>-24.68644682615566</v>
      </c>
      <c r="BK159">
        <v>8.0446391651334963</v>
      </c>
      <c r="BV159" s="38"/>
      <c r="BW159" s="6">
        <f t="shared" si="120"/>
        <v>2.5132741228718309</v>
      </c>
      <c r="BX159" s="9">
        <f t="shared" ca="1" si="121"/>
        <v>14.239713336936591</v>
      </c>
      <c r="BY159" s="9">
        <f t="shared" ca="1" si="122"/>
        <v>-7.279421573590251</v>
      </c>
      <c r="BZ159">
        <f t="shared" ca="1" si="123"/>
        <v>15.99247993164853</v>
      </c>
      <c r="CA159" s="6">
        <f t="shared" ca="1" si="124"/>
        <v>0.89040057563284614</v>
      </c>
      <c r="CB159" s="6">
        <f t="shared" ca="1" si="125"/>
        <v>-0.45517778385230567</v>
      </c>
      <c r="CC159" s="6">
        <f t="shared" ca="1" si="126"/>
        <v>-0.47257187121128175</v>
      </c>
      <c r="CD159" s="6">
        <f t="shared" ca="1" si="127"/>
        <v>-114.23971333693659</v>
      </c>
      <c r="CE159" s="9">
        <f t="shared" ca="1" si="128"/>
        <v>-42.720578426409752</v>
      </c>
      <c r="CF159">
        <f t="shared" ca="1" si="129"/>
        <v>121.96622452299027</v>
      </c>
      <c r="CG159" s="6">
        <f t="shared" ca="1" si="130"/>
        <v>-0.93665040287774703</v>
      </c>
      <c r="CH159" s="6">
        <f t="shared" ca="1" si="131"/>
        <v>-0.35026564603020116</v>
      </c>
      <c r="CI159" s="6">
        <f t="shared" ca="1" si="132"/>
        <v>-2.7837379521927437</v>
      </c>
      <c r="CJ159" s="1">
        <f t="shared" ca="1" si="133"/>
        <v>-3.0357997459860364</v>
      </c>
      <c r="CK159" s="38"/>
    </row>
    <row r="160" spans="1:89" x14ac:dyDescent="0.25">
      <c r="A160" s="1" t="s">
        <v>46</v>
      </c>
      <c r="B160" s="1">
        <f t="shared" ref="B160:E160" si="188">B52</f>
        <v>5.7622456877580142</v>
      </c>
      <c r="C160" s="1">
        <f t="shared" si="188"/>
        <v>-4.3354958925034355</v>
      </c>
      <c r="D160" s="1">
        <f t="shared" si="188"/>
        <v>13.310239242535348</v>
      </c>
      <c r="E160" s="1">
        <f t="shared" si="188"/>
        <v>-1.6844973453443064</v>
      </c>
      <c r="F160" s="6">
        <f t="shared" si="150"/>
        <v>1</v>
      </c>
      <c r="G160" s="6">
        <f t="shared" si="151"/>
        <v>1</v>
      </c>
      <c r="H160" s="1">
        <f t="shared" si="152"/>
        <v>13.310239242535348</v>
      </c>
      <c r="I160" s="1">
        <f t="shared" si="153"/>
        <v>-1.6844973453443064</v>
      </c>
      <c r="J160">
        <f t="shared" si="154"/>
        <v>13.310239242535348</v>
      </c>
      <c r="K160">
        <f t="shared" si="155"/>
        <v>-1.6844973453443064</v>
      </c>
      <c r="M160" s="9">
        <f t="shared" si="156"/>
        <v>0</v>
      </c>
      <c r="N160" s="9">
        <f t="shared" si="157"/>
        <v>0</v>
      </c>
      <c r="O160" s="9">
        <f t="shared" si="158"/>
        <v>0</v>
      </c>
      <c r="P160">
        <f t="shared" si="140"/>
        <v>-367.87814940904309</v>
      </c>
      <c r="Q160">
        <f t="shared" si="159"/>
        <v>-1930.9857521901117</v>
      </c>
      <c r="R160">
        <f t="shared" si="141"/>
        <v>-3494.0933549711808</v>
      </c>
      <c r="S160">
        <f t="shared" si="142"/>
        <v>-20.619850956892769</v>
      </c>
      <c r="T160" s="54">
        <f t="shared" si="160"/>
        <v>-77380.102156114051</v>
      </c>
      <c r="U160" s="55">
        <f t="shared" si="143"/>
        <v>-1041.7748953564512</v>
      </c>
      <c r="V160" s="55">
        <f t="shared" si="144"/>
        <v>-3126.2152055621373</v>
      </c>
      <c r="W160" s="55">
        <f t="shared" si="145"/>
        <v>-1563.1076027810686</v>
      </c>
      <c r="X160" s="55">
        <f t="shared" si="146"/>
        <v>-82.479403827571076</v>
      </c>
      <c r="Y160" s="54">
        <f t="shared" si="147"/>
        <v>-77380.102156114051</v>
      </c>
      <c r="Z160" s="54">
        <f t="shared" si="148"/>
        <v>-154760.2043122281</v>
      </c>
      <c r="AB160">
        <f t="shared" si="161"/>
        <v>303.10378559570756</v>
      </c>
      <c r="AC160">
        <f t="shared" si="162"/>
        <v>721.78760488364094</v>
      </c>
      <c r="AD160">
        <f t="shared" si="163"/>
        <v>96.954277903149105</v>
      </c>
      <c r="AE160">
        <f t="shared" si="164"/>
        <v>24.481903772520496</v>
      </c>
      <c r="AF160">
        <f t="shared" si="165"/>
        <v>4.080317295420083</v>
      </c>
      <c r="AG160">
        <f t="shared" si="166"/>
        <v>1150.4078894504385</v>
      </c>
      <c r="AH160" s="52">
        <f t="shared" si="167"/>
        <v>203809.10169955087</v>
      </c>
      <c r="AI160">
        <f t="shared" si="168"/>
        <v>210.2298249879785</v>
      </c>
      <c r="AJ160">
        <f t="shared" si="169"/>
        <v>721.78760488364094</v>
      </c>
      <c r="AK160">
        <f t="shared" si="170"/>
        <v>193.90855580629821</v>
      </c>
      <c r="AL160">
        <f t="shared" si="171"/>
        <v>12.240951886260248</v>
      </c>
      <c r="AM160">
        <f t="shared" si="172"/>
        <v>12.240951886260248</v>
      </c>
      <c r="AN160">
        <f t="shared" si="173"/>
        <v>1150.4078894504382</v>
      </c>
      <c r="AO160" s="52">
        <f t="shared" si="174"/>
        <v>203809.10169955084</v>
      </c>
      <c r="AP160">
        <f t="shared" si="175"/>
        <v>109.19522978940934</v>
      </c>
      <c r="AQ160">
        <f t="shared" si="176"/>
        <v>721.78760488364094</v>
      </c>
      <c r="AR160">
        <f t="shared" si="177"/>
        <v>290.86283370944733</v>
      </c>
      <c r="AS160">
        <f t="shared" si="178"/>
        <v>4.080317295420083</v>
      </c>
      <c r="AT160">
        <f t="shared" si="179"/>
        <v>24.481903772520496</v>
      </c>
      <c r="AU160">
        <f t="shared" si="180"/>
        <v>1150.4078894504385</v>
      </c>
      <c r="AV160" s="52">
        <f t="shared" si="181"/>
        <v>203809.10169955087</v>
      </c>
      <c r="AW160" s="52">
        <f t="shared" si="182"/>
        <v>611427.30509865261</v>
      </c>
      <c r="BC160">
        <v>2.7576202181510343</v>
      </c>
      <c r="BD160">
        <v>-16.231831892320074</v>
      </c>
      <c r="BE160">
        <v>4.9852110149933084</v>
      </c>
      <c r="BF160" s="6">
        <f t="shared" si="183"/>
        <v>2.8436115048635666</v>
      </c>
      <c r="BG160" s="6">
        <f t="shared" si="184"/>
        <v>8.5991286712532311E-2</v>
      </c>
      <c r="BH160" s="6">
        <f t="shared" si="185"/>
        <v>-2.3799638958627605</v>
      </c>
      <c r="BI160" s="6">
        <f t="shared" si="186"/>
        <v>2.3799638958627605</v>
      </c>
      <c r="BJ160">
        <v>-24.972049065107804</v>
      </c>
      <c r="BK160">
        <v>7.6695554076820125</v>
      </c>
      <c r="BV160" s="38"/>
      <c r="BW160" s="6">
        <f t="shared" si="120"/>
        <v>2.530727415391774</v>
      </c>
      <c r="BX160" s="9">
        <f t="shared" ca="1" si="121"/>
        <v>14.355462445724616</v>
      </c>
      <c r="BY160" s="9">
        <f t="shared" ca="1" si="122"/>
        <v>-7.1596610853990388</v>
      </c>
      <c r="BZ160">
        <f t="shared" ca="1" si="123"/>
        <v>16.041821869363439</v>
      </c>
      <c r="CA160" s="6">
        <f t="shared" ca="1" si="124"/>
        <v>0.89487731272846127</v>
      </c>
      <c r="CB160" s="6">
        <f t="shared" ca="1" si="125"/>
        <v>-0.4463122171349197</v>
      </c>
      <c r="CC160" s="6">
        <f t="shared" ca="1" si="126"/>
        <v>-0.46264009095464742</v>
      </c>
      <c r="CD160" s="6">
        <f t="shared" ca="1" si="127"/>
        <v>-114.35546244572461</v>
      </c>
      <c r="CE160" s="9">
        <f t="shared" ca="1" si="128"/>
        <v>-42.840338914600963</v>
      </c>
      <c r="CF160">
        <f t="shared" ca="1" si="129"/>
        <v>122.11660996561199</v>
      </c>
      <c r="CG160" s="6">
        <f t="shared" ca="1" si="130"/>
        <v>-0.93644478403001108</v>
      </c>
      <c r="CH160" s="6">
        <f t="shared" ca="1" si="131"/>
        <v>-0.35081500318969544</v>
      </c>
      <c r="CI160" s="6">
        <f t="shared" ca="1" si="132"/>
        <v>-2.7831513753358039</v>
      </c>
      <c r="CJ160" s="1">
        <f t="shared" ca="1" si="133"/>
        <v>-3.0363863228429762</v>
      </c>
      <c r="CK160" s="38"/>
    </row>
    <row r="161" spans="1:89" x14ac:dyDescent="0.25">
      <c r="A161" s="1" t="s">
        <v>47</v>
      </c>
      <c r="B161" s="1">
        <f t="shared" ref="B161:E161" si="189">B53</f>
        <v>13.310239242535348</v>
      </c>
      <c r="C161" s="1">
        <f t="shared" si="189"/>
        <v>-1.6844973453443064</v>
      </c>
      <c r="D161" s="1">
        <f t="shared" si="189"/>
        <v>9.3337414217966543</v>
      </c>
      <c r="E161" s="1">
        <f t="shared" si="189"/>
        <v>9.6374929868216945</v>
      </c>
      <c r="F161" s="6">
        <f t="shared" si="150"/>
        <v>0.85583177590251724</v>
      </c>
      <c r="G161" s="6">
        <f t="shared" si="151"/>
        <v>0.52666661559898031</v>
      </c>
      <c r="H161" s="1">
        <f>IF(AND(F161=0,G161=0),0,IF(C161&gt;E161,B161+(F161*(D161-B161)),B161+(G161*(D161-B161))))</f>
        <v>11.215950593350179</v>
      </c>
      <c r="I161" s="1">
        <f t="shared" si="153"/>
        <v>4.278416984741936</v>
      </c>
      <c r="J161">
        <f t="shared" si="154"/>
        <v>9.9070260507400612</v>
      </c>
      <c r="K161">
        <f t="shared" si="155"/>
        <v>8.0052217473844536</v>
      </c>
      <c r="M161" s="9">
        <f t="shared" si="156"/>
        <v>109794.05148835867</v>
      </c>
      <c r="N161" s="9">
        <f t="shared" si="157"/>
        <v>722424.49185225507</v>
      </c>
      <c r="O161" s="9">
        <f t="shared" si="158"/>
        <v>571349.36602395924</v>
      </c>
      <c r="P161">
        <f t="shared" si="140"/>
        <v>-842.85496918863623</v>
      </c>
      <c r="Q161">
        <f t="shared" si="159"/>
        <v>-1248.755641907886</v>
      </c>
      <c r="R161">
        <f t="shared" si="141"/>
        <v>-1722.2643679709499</v>
      </c>
      <c r="S161">
        <f t="shared" si="142"/>
        <v>337.84994934984326</v>
      </c>
      <c r="T161" s="54">
        <f t="shared" si="160"/>
        <v>-34437.070522437039</v>
      </c>
      <c r="U161" s="55">
        <f t="shared" si="143"/>
        <v>-4424.9885882403405</v>
      </c>
      <c r="V161" s="55">
        <f t="shared" si="144"/>
        <v>656.57161801568827</v>
      </c>
      <c r="W161" s="55">
        <f t="shared" si="145"/>
        <v>614.24604170175519</v>
      </c>
      <c r="X161" s="55">
        <f t="shared" si="146"/>
        <v>1351.399797399373</v>
      </c>
      <c r="Y161" s="54">
        <f t="shared" si="147"/>
        <v>-20219.791937799462</v>
      </c>
      <c r="Z161" s="54">
        <f t="shared" si="148"/>
        <v>-54656.862460236502</v>
      </c>
      <c r="AB161">
        <f t="shared" si="161"/>
        <v>-591.00478438251753</v>
      </c>
      <c r="AC161">
        <f t="shared" si="162"/>
        <v>721.78760488364094</v>
      </c>
      <c r="AD161">
        <f t="shared" si="163"/>
        <v>-460.75495228139067</v>
      </c>
      <c r="AE161">
        <f t="shared" si="164"/>
        <v>157.93222145233307</v>
      </c>
      <c r="AF161">
        <f t="shared" si="165"/>
        <v>92.150990456278137</v>
      </c>
      <c r="AG161">
        <f t="shared" si="166"/>
        <v>-79.888919871656057</v>
      </c>
      <c r="AH161" s="52">
        <f t="shared" si="167"/>
        <v>-10049.830209252525</v>
      </c>
      <c r="AI161">
        <f t="shared" si="168"/>
        <v>-295.50239219125876</v>
      </c>
      <c r="AJ161">
        <f t="shared" si="169"/>
        <v>721.78760488364094</v>
      </c>
      <c r="AK161">
        <f t="shared" si="170"/>
        <v>-921.50990456278134</v>
      </c>
      <c r="AL161">
        <f t="shared" si="171"/>
        <v>78.966110726166534</v>
      </c>
      <c r="AM161">
        <f t="shared" si="172"/>
        <v>276.45297136883443</v>
      </c>
      <c r="AN161">
        <f t="shared" si="173"/>
        <v>-139.80560977539818</v>
      </c>
      <c r="AO161" s="52">
        <f t="shared" si="174"/>
        <v>-15534.740056568806</v>
      </c>
      <c r="AP161">
        <f t="shared" si="175"/>
        <v>-98.500797397086259</v>
      </c>
      <c r="AQ161">
        <f t="shared" si="176"/>
        <v>721.78760488364094</v>
      </c>
      <c r="AR161">
        <f t="shared" si="177"/>
        <v>-1382.2648568441721</v>
      </c>
      <c r="AS161">
        <f t="shared" si="178"/>
        <v>26.322036908722179</v>
      </c>
      <c r="AT161">
        <f t="shared" si="179"/>
        <v>552.90594273766885</v>
      </c>
      <c r="AU161">
        <f t="shared" si="180"/>
        <v>-179.75006971122627</v>
      </c>
      <c r="AV161" s="52">
        <f t="shared" si="181"/>
        <v>-17642.319281413747</v>
      </c>
      <c r="AW161" s="52">
        <f t="shared" si="182"/>
        <v>-43226.889547235078</v>
      </c>
      <c r="BC161">
        <v>2.7750735106709774</v>
      </c>
      <c r="BD161">
        <v>-16.42898073155564</v>
      </c>
      <c r="BE161">
        <v>4.7170533758760307</v>
      </c>
      <c r="BF161" s="6">
        <f t="shared" si="183"/>
        <v>2.8619958553577884</v>
      </c>
      <c r="BG161" s="6">
        <f t="shared" si="184"/>
        <v>8.6922344686811037E-2</v>
      </c>
      <c r="BH161" s="6">
        <f t="shared" si="185"/>
        <v>-2.3983482463569823</v>
      </c>
      <c r="BI161" s="6">
        <f t="shared" si="186"/>
        <v>2.3983482463569823</v>
      </c>
      <c r="BJ161">
        <v>-25.275354971624061</v>
      </c>
      <c r="BK161">
        <v>7.2570051936554316</v>
      </c>
      <c r="BV161" s="38"/>
      <c r="BW161" s="6">
        <f t="shared" si="120"/>
        <v>2.5481807079117171</v>
      </c>
      <c r="BX161" s="9">
        <f t="shared" ca="1" si="121"/>
        <v>14.473753551665935</v>
      </c>
      <c r="BY161" s="9">
        <f t="shared" ca="1" si="122"/>
        <v>-7.0363497135141451</v>
      </c>
      <c r="BZ161">
        <f t="shared" ca="1" si="123"/>
        <v>16.093469457057196</v>
      </c>
      <c r="CA161" s="6">
        <f t="shared" ca="1" si="124"/>
        <v>0.89935570389509789</v>
      </c>
      <c r="CB161" s="6">
        <f t="shared" ca="1" si="125"/>
        <v>-0.43721770077542937</v>
      </c>
      <c r="CC161" s="6">
        <f t="shared" ca="1" si="126"/>
        <v>-0.45250268027237311</v>
      </c>
      <c r="CD161" s="6">
        <f t="shared" ca="1" si="127"/>
        <v>-114.47375355166594</v>
      </c>
      <c r="CE161" s="9">
        <f t="shared" ca="1" si="128"/>
        <v>-42.963650286485858</v>
      </c>
      <c r="CF161">
        <f t="shared" ca="1" si="129"/>
        <v>122.27066491250878</v>
      </c>
      <c r="CG161" s="6">
        <f t="shared" ca="1" si="130"/>
        <v>-0.93623236312306024</v>
      </c>
      <c r="CH161" s="6">
        <f t="shared" ca="1" si="131"/>
        <v>-0.35138150526316886</v>
      </c>
      <c r="CI161" s="6">
        <f t="shared" ca="1" si="132"/>
        <v>-2.7825463569458968</v>
      </c>
      <c r="CJ161" s="1">
        <f t="shared" ca="1" si="133"/>
        <v>-3.0369913412328833</v>
      </c>
      <c r="CK161" s="38"/>
    </row>
    <row r="162" spans="1:89" x14ac:dyDescent="0.25">
      <c r="A162" s="1" t="s">
        <v>48</v>
      </c>
      <c r="B162" s="1">
        <f t="shared" ref="B162:E162" si="190">B54</f>
        <v>9.3337414217966543</v>
      </c>
      <c r="C162" s="1">
        <f t="shared" si="190"/>
        <v>9.6374929868216945</v>
      </c>
      <c r="D162" s="1">
        <f t="shared" si="190"/>
        <v>1.7857478670193201</v>
      </c>
      <c r="E162" s="1">
        <f t="shared" si="190"/>
        <v>6.9864944396625654</v>
      </c>
      <c r="F162" s="6">
        <f t="shared" si="150"/>
        <v>0.6157194017274813</v>
      </c>
      <c r="G162" s="6">
        <f t="shared" si="151"/>
        <v>1</v>
      </c>
      <c r="H162" s="1">
        <f t="shared" si="152"/>
        <v>4.6862953460062693</v>
      </c>
      <c r="I162" s="1">
        <f t="shared" si="153"/>
        <v>8.0052217473844536</v>
      </c>
      <c r="J162">
        <f t="shared" si="154"/>
        <v>1.7857478670193201</v>
      </c>
      <c r="K162">
        <f t="shared" si="155"/>
        <v>6.9864944396625654</v>
      </c>
      <c r="M162" s="9">
        <f t="shared" si="156"/>
        <v>-13739.883660043253</v>
      </c>
      <c r="N162" s="9">
        <f t="shared" si="157"/>
        <v>-104115.34207980378</v>
      </c>
      <c r="O162" s="9">
        <f t="shared" si="158"/>
        <v>-23830.174374315986</v>
      </c>
      <c r="P162">
        <f t="shared" si="140"/>
        <v>-3514.0168338430376</v>
      </c>
      <c r="Q162">
        <f t="shared" si="159"/>
        <v>-2041.237991020959</v>
      </c>
      <c r="R162">
        <f t="shared" si="141"/>
        <v>-886.39652834989192</v>
      </c>
      <c r="S162">
        <f t="shared" si="142"/>
        <v>2213.0673385308451</v>
      </c>
      <c r="T162" s="54">
        <f t="shared" si="160"/>
        <v>-7551.1848847322381</v>
      </c>
      <c r="U162" s="55">
        <f t="shared" si="143"/>
        <v>-16336.36194341878</v>
      </c>
      <c r="V162" s="55">
        <f t="shared" si="144"/>
        <v>2051.1852319142045</v>
      </c>
      <c r="W162" s="55">
        <f t="shared" si="145"/>
        <v>895.07790475440584</v>
      </c>
      <c r="X162" s="55">
        <f t="shared" si="146"/>
        <v>8852.2693541233803</v>
      </c>
      <c r="Y162" s="54">
        <f t="shared" si="147"/>
        <v>-21265.609044815108</v>
      </c>
      <c r="Z162" s="54">
        <f t="shared" si="148"/>
        <v>-28816.793929547348</v>
      </c>
      <c r="AB162">
        <f t="shared" si="161"/>
        <v>-1140.9926962163149</v>
      </c>
      <c r="AC162">
        <f t="shared" si="162"/>
        <v>721.78760488364094</v>
      </c>
      <c r="AD162">
        <f t="shared" si="163"/>
        <v>-402.12026771309502</v>
      </c>
      <c r="AE162">
        <f t="shared" si="164"/>
        <v>552.90594273766885</v>
      </c>
      <c r="AF162">
        <f t="shared" si="165"/>
        <v>70.189461406764394</v>
      </c>
      <c r="AG162">
        <f t="shared" si="166"/>
        <v>-198.22995490133576</v>
      </c>
      <c r="AH162" s="52">
        <f t="shared" si="167"/>
        <v>-4353.4002091679195</v>
      </c>
      <c r="AI162">
        <f t="shared" si="168"/>
        <v>-599.81369039230526</v>
      </c>
      <c r="AJ162">
        <f t="shared" si="169"/>
        <v>721.78760488364094</v>
      </c>
      <c r="AK162">
        <f t="shared" si="170"/>
        <v>-804.24053542619004</v>
      </c>
      <c r="AL162">
        <f t="shared" si="171"/>
        <v>276.45297136883443</v>
      </c>
      <c r="AM162">
        <f t="shared" si="172"/>
        <v>210.56838422029315</v>
      </c>
      <c r="AN162">
        <f t="shared" si="173"/>
        <v>-195.24526534572678</v>
      </c>
      <c r="AO162" s="52">
        <f t="shared" si="174"/>
        <v>-1633.9181874057201</v>
      </c>
      <c r="AP162">
        <f t="shared" si="175"/>
        <v>-219.4827916535337</v>
      </c>
      <c r="AQ162">
        <f t="shared" si="176"/>
        <v>721.78760488364094</v>
      </c>
      <c r="AR162">
        <f t="shared" si="177"/>
        <v>-1206.3608031392851</v>
      </c>
      <c r="AS162">
        <f t="shared" si="178"/>
        <v>92.150990456278137</v>
      </c>
      <c r="AT162">
        <f t="shared" si="179"/>
        <v>421.13676844058631</v>
      </c>
      <c r="AU162">
        <f t="shared" si="180"/>
        <v>-190.76823101231338</v>
      </c>
      <c r="AV162" s="52">
        <f t="shared" si="181"/>
        <v>-608.33994284270875</v>
      </c>
      <c r="AW162" s="52">
        <f t="shared" si="182"/>
        <v>-6595.6583394163481</v>
      </c>
      <c r="BC162">
        <v>2.7925268031909205</v>
      </c>
      <c r="BD162">
        <v>-16.639210963190695</v>
      </c>
      <c r="BE162">
        <v>4.4199289808585176</v>
      </c>
      <c r="BF162" s="6">
        <f t="shared" si="183"/>
        <v>2.8819552452122172</v>
      </c>
      <c r="BG162" s="6">
        <f t="shared" si="184"/>
        <v>8.9428442021296739E-2</v>
      </c>
      <c r="BH162" s="6">
        <f t="shared" si="185"/>
        <v>-2.4183076362114111</v>
      </c>
      <c r="BI162" s="6">
        <f t="shared" si="186"/>
        <v>2.4183076362114111</v>
      </c>
      <c r="BJ162">
        <v>-25.598786097216454</v>
      </c>
      <c r="BK162">
        <v>6.7998907397823345</v>
      </c>
      <c r="BV162" s="38"/>
      <c r="BW162" s="6">
        <f t="shared" si="120"/>
        <v>2.5656340004316602</v>
      </c>
      <c r="BX162" s="9">
        <f t="shared" ca="1" si="121"/>
        <v>14.594921083257955</v>
      </c>
      <c r="BY162" s="9">
        <f t="shared" ca="1" si="122"/>
        <v>-6.9089358812686497</v>
      </c>
      <c r="BZ162">
        <f t="shared" ca="1" si="123"/>
        <v>16.1476040463596</v>
      </c>
      <c r="CA162" s="6">
        <f t="shared" ca="1" si="124"/>
        <v>0.90384437476644153</v>
      </c>
      <c r="CB162" s="6">
        <f t="shared" ca="1" si="125"/>
        <v>-0.42786136329780988</v>
      </c>
      <c r="CC162" s="6">
        <f t="shared" ca="1" si="126"/>
        <v>-0.4421252921802668</v>
      </c>
      <c r="CD162" s="6">
        <f t="shared" ca="1" si="127"/>
        <v>-114.59492108325796</v>
      </c>
      <c r="CE162" s="9">
        <f t="shared" ca="1" si="128"/>
        <v>-43.091064118731353</v>
      </c>
      <c r="CF162">
        <f t="shared" ca="1" si="129"/>
        <v>122.42890077495075</v>
      </c>
      <c r="CG162" s="6">
        <f t="shared" ca="1" si="130"/>
        <v>-0.93601200662502693</v>
      </c>
      <c r="CH162" s="6">
        <f t="shared" ca="1" si="131"/>
        <v>-0.35196807163973076</v>
      </c>
      <c r="CI162" s="6">
        <f t="shared" ca="1" si="132"/>
        <v>-2.7819197652820646</v>
      </c>
      <c r="CJ162" s="1">
        <f t="shared" ca="1" si="133"/>
        <v>-3.0376179328967154</v>
      </c>
      <c r="CK162" s="38"/>
    </row>
    <row r="163" spans="1:89" x14ac:dyDescent="0.25">
      <c r="A163" s="1" t="s">
        <v>93</v>
      </c>
      <c r="B163" s="1">
        <f t="shared" ref="B163:E163" si="191">B55</f>
        <v>1.7857478670193201</v>
      </c>
      <c r="C163" s="1">
        <f t="shared" si="191"/>
        <v>6.9864944396625654</v>
      </c>
      <c r="D163" s="1">
        <f t="shared" si="191"/>
        <v>1.7857478670193201</v>
      </c>
      <c r="E163" s="1">
        <f t="shared" si="191"/>
        <v>6.9864944396625654</v>
      </c>
      <c r="F163" s="6">
        <f t="shared" si="150"/>
        <v>0</v>
      </c>
      <c r="G163" s="6">
        <f t="shared" si="151"/>
        <v>0</v>
      </c>
      <c r="H163" s="1">
        <f t="shared" si="152"/>
        <v>0</v>
      </c>
      <c r="I163" s="1">
        <f t="shared" si="153"/>
        <v>0</v>
      </c>
      <c r="J163">
        <f t="shared" si="154"/>
        <v>0</v>
      </c>
      <c r="K163">
        <f t="shared" si="155"/>
        <v>0</v>
      </c>
      <c r="M163" s="9">
        <f t="shared" si="156"/>
        <v>0</v>
      </c>
      <c r="N163" s="9">
        <f t="shared" si="157"/>
        <v>0</v>
      </c>
      <c r="O163" s="9">
        <f t="shared" si="158"/>
        <v>0</v>
      </c>
      <c r="P163">
        <f t="shared" si="140"/>
        <v>0</v>
      </c>
      <c r="Q163">
        <f t="shared" si="159"/>
        <v>0</v>
      </c>
      <c r="R163">
        <f t="shared" si="141"/>
        <v>0</v>
      </c>
      <c r="S163">
        <f t="shared" si="142"/>
        <v>0</v>
      </c>
      <c r="T163" s="54">
        <f t="shared" si="160"/>
        <v>0</v>
      </c>
      <c r="U163" s="55">
        <f t="shared" si="143"/>
        <v>0</v>
      </c>
      <c r="V163" s="55">
        <f t="shared" si="144"/>
        <v>0</v>
      </c>
      <c r="W163" s="55">
        <f t="shared" si="145"/>
        <v>0</v>
      </c>
      <c r="X163" s="55">
        <f t="shared" si="146"/>
        <v>0</v>
      </c>
      <c r="Y163" s="54">
        <f t="shared" si="147"/>
        <v>0</v>
      </c>
      <c r="Z163" s="54">
        <f t="shared" si="148"/>
        <v>0</v>
      </c>
      <c r="AB163">
        <f t="shared" si="161"/>
        <v>0</v>
      </c>
      <c r="AC163">
        <f t="shared" si="162"/>
        <v>721.78760488364094</v>
      </c>
      <c r="AD163">
        <f t="shared" si="163"/>
        <v>0</v>
      </c>
      <c r="AE163">
        <f t="shared" si="164"/>
        <v>0</v>
      </c>
      <c r="AF163">
        <f t="shared" si="165"/>
        <v>0</v>
      </c>
      <c r="AG163">
        <f t="shared" si="166"/>
        <v>721.78760488364094</v>
      </c>
      <c r="AH163" s="52">
        <f t="shared" si="167"/>
        <v>0</v>
      </c>
      <c r="AI163">
        <f t="shared" si="168"/>
        <v>0</v>
      </c>
      <c r="AJ163">
        <f t="shared" si="169"/>
        <v>721.78760488364094</v>
      </c>
      <c r="AK163">
        <f t="shared" si="170"/>
        <v>0</v>
      </c>
      <c r="AL163">
        <f t="shared" si="171"/>
        <v>0</v>
      </c>
      <c r="AM163">
        <f t="shared" si="172"/>
        <v>0</v>
      </c>
      <c r="AN163">
        <f t="shared" si="173"/>
        <v>721.78760488364094</v>
      </c>
      <c r="AO163" s="52">
        <f t="shared" si="174"/>
        <v>0</v>
      </c>
      <c r="AP163">
        <f t="shared" si="175"/>
        <v>0</v>
      </c>
      <c r="AQ163">
        <f t="shared" si="176"/>
        <v>721.78760488364094</v>
      </c>
      <c r="AR163">
        <f t="shared" si="177"/>
        <v>0</v>
      </c>
      <c r="AS163">
        <f t="shared" si="178"/>
        <v>0</v>
      </c>
      <c r="AT163">
        <f t="shared" si="179"/>
        <v>0</v>
      </c>
      <c r="AU163">
        <f t="shared" si="180"/>
        <v>721.78760488364094</v>
      </c>
      <c r="AV163" s="52">
        <f t="shared" si="181"/>
        <v>0</v>
      </c>
      <c r="AW163" s="52">
        <f t="shared" si="182"/>
        <v>0</v>
      </c>
      <c r="BC163">
        <v>2.8099800957108636</v>
      </c>
      <c r="BD163">
        <v>-16.864387440802325</v>
      </c>
      <c r="BE163">
        <v>4.0880916208553533</v>
      </c>
      <c r="BF163" s="6">
        <f t="shared" si="183"/>
        <v>2.903770432231473</v>
      </c>
      <c r="BG163" s="6">
        <f t="shared" si="184"/>
        <v>9.3790336520609419E-2</v>
      </c>
      <c r="BH163" s="6">
        <f t="shared" si="185"/>
        <v>-2.4401228232306664</v>
      </c>
      <c r="BI163" s="6">
        <f t="shared" si="186"/>
        <v>2.4401228232306664</v>
      </c>
      <c r="BJ163">
        <v>-25.945211447388193</v>
      </c>
      <c r="BK163">
        <v>6.2893717243928506</v>
      </c>
      <c r="BV163" s="38"/>
      <c r="BW163" s="6">
        <f t="shared" si="120"/>
        <v>2.5830872929516033</v>
      </c>
      <c r="BX163" s="9">
        <f t="shared" ca="1" si="121"/>
        <v>14.719326351918408</v>
      </c>
      <c r="BY163" s="9">
        <f t="shared" ca="1" si="122"/>
        <v>-6.776797397166475</v>
      </c>
      <c r="BZ163">
        <f t="shared" ca="1" si="123"/>
        <v>16.204429987399187</v>
      </c>
      <c r="CA163" s="6">
        <f t="shared" ca="1" si="124"/>
        <v>0.90835199777865561</v>
      </c>
      <c r="CB163" s="6">
        <f t="shared" ca="1" si="125"/>
        <v>-0.41820646591310007</v>
      </c>
      <c r="CC163" s="6">
        <f t="shared" ca="1" si="126"/>
        <v>-0.43146992813476326</v>
      </c>
      <c r="CD163" s="6">
        <f t="shared" ca="1" si="127"/>
        <v>-114.71932635191841</v>
      </c>
      <c r="CE163" s="9">
        <f t="shared" ca="1" si="128"/>
        <v>-43.223202602833524</v>
      </c>
      <c r="CF163">
        <f t="shared" ca="1" si="129"/>
        <v>122.59188016293558</v>
      </c>
      <c r="CG163" s="6">
        <f t="shared" ca="1" si="130"/>
        <v>-0.93578242049511073</v>
      </c>
      <c r="CH163" s="6">
        <f t="shared" ca="1" si="131"/>
        <v>-0.35257802185092535</v>
      </c>
      <c r="CI163" s="6">
        <f t="shared" ca="1" si="132"/>
        <v>-2.7812680375273846</v>
      </c>
      <c r="CJ163" s="1">
        <f t="shared" ca="1" si="133"/>
        <v>-3.0382696606513955</v>
      </c>
      <c r="CK163" s="38"/>
    </row>
    <row r="164" spans="1:89" ht="15.75" thickBot="1" x14ac:dyDescent="0.3">
      <c r="A164" s="1" t="s">
        <v>94</v>
      </c>
      <c r="B164" s="1">
        <f t="shared" ref="B164:E164" si="192">B56</f>
        <v>1.7857478670193201</v>
      </c>
      <c r="C164" s="1">
        <f t="shared" si="192"/>
        <v>6.9864944396625654</v>
      </c>
      <c r="D164" s="1">
        <f t="shared" si="192"/>
        <v>-13.310239242535348</v>
      </c>
      <c r="E164" s="1">
        <f t="shared" si="192"/>
        <v>1.6844973453443064</v>
      </c>
      <c r="F164" s="6">
        <f t="shared" si="150"/>
        <v>0</v>
      </c>
      <c r="G164" s="6">
        <f t="shared" si="151"/>
        <v>0.51076554866894719</v>
      </c>
      <c r="H164" s="1">
        <f t="shared" si="152"/>
        <v>1.7857478670193201</v>
      </c>
      <c r="I164" s="1">
        <f t="shared" si="153"/>
        <v>6.9864944396625654</v>
      </c>
      <c r="J164">
        <f t="shared" si="154"/>
        <v>-5.9247622716917236</v>
      </c>
      <c r="K164">
        <f t="shared" si="155"/>
        <v>4.278416984741936</v>
      </c>
      <c r="M164" s="53">
        <f t="shared" si="156"/>
        <v>6272.9020056694635</v>
      </c>
      <c r="N164" s="53">
        <f t="shared" si="157"/>
        <v>29982.753664025207</v>
      </c>
      <c r="O164" s="53">
        <f t="shared" si="158"/>
        <v>-14105.942257444785</v>
      </c>
      <c r="P164">
        <f t="shared" si="140"/>
        <v>-3817.023325910784</v>
      </c>
      <c r="Q164">
        <f t="shared" si="159"/>
        <v>-183.89876450337945</v>
      </c>
      <c r="R164">
        <f t="shared" si="141"/>
        <v>1206.2042247053437</v>
      </c>
      <c r="S164">
        <f t="shared" si="142"/>
        <v>1471.1348455238087</v>
      </c>
      <c r="T164" s="54">
        <f t="shared" si="160"/>
        <v>7841.9147414439385</v>
      </c>
      <c r="U164" s="55">
        <f t="shared" si="143"/>
        <v>-14153.76803222566</v>
      </c>
      <c r="V164" s="55">
        <f t="shared" si="144"/>
        <v>4307.1700301233977</v>
      </c>
      <c r="W164" s="55">
        <f t="shared" si="145"/>
        <v>1318.8208744886235</v>
      </c>
      <c r="X164" s="55">
        <f t="shared" si="146"/>
        <v>5884.5393820952349</v>
      </c>
      <c r="Y164" s="54">
        <f t="shared" si="147"/>
        <v>-4720.1561660844463</v>
      </c>
      <c r="Z164" s="54">
        <f t="shared" si="148"/>
        <v>3121.7585753594922</v>
      </c>
      <c r="AB164">
        <f t="shared" si="161"/>
        <v>-1077.412106582206</v>
      </c>
      <c r="AC164">
        <f t="shared" si="162"/>
        <v>721.78760488364094</v>
      </c>
      <c r="AD164">
        <f t="shared" si="163"/>
        <v>-246.25199349271566</v>
      </c>
      <c r="AE164">
        <f t="shared" si="164"/>
        <v>421.13676844058631</v>
      </c>
      <c r="AF164">
        <f t="shared" si="165"/>
        <v>26.322036908722179</v>
      </c>
      <c r="AG164">
        <f t="shared" si="166"/>
        <v>-154.41768984197222</v>
      </c>
      <c r="AH164" s="52">
        <f t="shared" si="167"/>
        <v>-492.42186769716977</v>
      </c>
      <c r="AI164">
        <f t="shared" si="168"/>
        <v>-632.30894001675131</v>
      </c>
      <c r="AJ164">
        <f t="shared" si="169"/>
        <v>721.78760488364094</v>
      </c>
      <c r="AK164">
        <f t="shared" si="170"/>
        <v>-492.50398698543131</v>
      </c>
      <c r="AL164">
        <f t="shared" si="171"/>
        <v>210.56838422029315</v>
      </c>
      <c r="AM164">
        <f t="shared" si="172"/>
        <v>78.966110726166534</v>
      </c>
      <c r="AN164">
        <f t="shared" si="173"/>
        <v>-113.49082717208199</v>
      </c>
      <c r="AO164" s="52">
        <f t="shared" si="174"/>
        <v>1200.7478856557309</v>
      </c>
      <c r="AP164">
        <f t="shared" si="175"/>
        <v>-273.17157115601589</v>
      </c>
      <c r="AQ164">
        <f t="shared" si="176"/>
        <v>721.78760488364094</v>
      </c>
      <c r="AR164">
        <f t="shared" si="177"/>
        <v>-738.75598047814685</v>
      </c>
      <c r="AS164">
        <f t="shared" si="178"/>
        <v>70.189461406764394</v>
      </c>
      <c r="AT164">
        <f t="shared" si="179"/>
        <v>157.93222145233307</v>
      </c>
      <c r="AU164">
        <f t="shared" si="180"/>
        <v>-62.01826389142434</v>
      </c>
      <c r="AV164" s="52">
        <f t="shared" si="181"/>
        <v>-2177.0152083893881</v>
      </c>
      <c r="AW164" s="52">
        <f t="shared" si="182"/>
        <v>-1468.689190430827</v>
      </c>
      <c r="BC164">
        <v>2.8274333882308067</v>
      </c>
      <c r="BD164">
        <v>-17.106739603084584</v>
      </c>
      <c r="BE164">
        <v>3.7143058450345756</v>
      </c>
      <c r="BF164" s="6">
        <f t="shared" si="183"/>
        <v>2.9277859914716582</v>
      </c>
      <c r="BG164" s="6">
        <f t="shared" si="184"/>
        <v>0.10035260324085149</v>
      </c>
      <c r="BH164" s="6">
        <f t="shared" si="185"/>
        <v>-2.464138382470852</v>
      </c>
      <c r="BI164" s="6">
        <f t="shared" si="186"/>
        <v>2.464138382470852</v>
      </c>
      <c r="BJ164">
        <v>-26.318060927822437</v>
      </c>
      <c r="BK164">
        <v>5.714316684668578</v>
      </c>
      <c r="BV164" s="38"/>
      <c r="BW164" s="6">
        <f t="shared" si="120"/>
        <v>2.6005405854715464</v>
      </c>
      <c r="BX164" s="9">
        <f t="shared" ca="1" si="121"/>
        <v>14.847218255713566</v>
      </c>
      <c r="BY164" s="9">
        <f t="shared" ca="1" si="122"/>
        <v>-6.639366394812698</v>
      </c>
      <c r="BZ164">
        <f t="shared" ca="1" si="123"/>
        <v>16.264103911908652</v>
      </c>
      <c r="CA164" s="6">
        <f t="shared" ca="1" si="124"/>
        <v>0.91288264856955104</v>
      </c>
      <c r="CB164" s="6">
        <f t="shared" ca="1" si="125"/>
        <v>-0.40822208409227656</v>
      </c>
      <c r="CC164" s="6">
        <f t="shared" ca="1" si="126"/>
        <v>-0.42050562782650308</v>
      </c>
      <c r="CD164" s="6">
        <f t="shared" ca="1" si="127"/>
        <v>-114.84721825571357</v>
      </c>
      <c r="CE164" s="9">
        <f t="shared" ca="1" si="128"/>
        <v>-43.360633605187303</v>
      </c>
      <c r="CF164">
        <f t="shared" ca="1" si="129"/>
        <v>122.76004271634483</v>
      </c>
      <c r="CG164" s="6">
        <f t="shared" ca="1" si="130"/>
        <v>-0.93554234516751511</v>
      </c>
      <c r="CH164" s="6">
        <f t="shared" ca="1" si="131"/>
        <v>-0.35321455292564891</v>
      </c>
      <c r="CI164" s="6">
        <f t="shared" ca="1" si="132"/>
        <v>-2.7805877376009858</v>
      </c>
      <c r="CJ164" s="1">
        <f t="shared" ca="1" si="133"/>
        <v>-3.0389499605777943</v>
      </c>
      <c r="CK164" s="38"/>
    </row>
    <row r="165" spans="1:89" ht="15.75" thickTop="1" x14ac:dyDescent="0.25">
      <c r="M165" s="9">
        <f>SUM(M157:M164)</f>
        <v>102327.06983398488</v>
      </c>
      <c r="N165" s="9">
        <f t="shared" ref="N165:O165" si="193">SUM(N157:N164)</f>
        <v>648291.90343647648</v>
      </c>
      <c r="O165" s="9">
        <f t="shared" si="193"/>
        <v>533413.2493921984</v>
      </c>
      <c r="AA165" s="52"/>
      <c r="AC165" s="52"/>
      <c r="BC165">
        <v>2.8448866807507498</v>
      </c>
      <c r="BD165">
        <v>-17.368959001855451</v>
      </c>
      <c r="BE165">
        <v>3.2893515040393022</v>
      </c>
      <c r="BF165" s="6">
        <f t="shared" si="183"/>
        <v>2.9544281697525658</v>
      </c>
      <c r="BG165" s="6">
        <f t="shared" si="184"/>
        <v>0.10954148900181604</v>
      </c>
      <c r="BH165" s="6">
        <f t="shared" si="185"/>
        <v>-2.4907805607517597</v>
      </c>
      <c r="BI165" s="6">
        <f t="shared" si="186"/>
        <v>2.4907805607517597</v>
      </c>
      <c r="BJ165">
        <v>-26.721475387469923</v>
      </c>
      <c r="BK165">
        <v>5.0605407754450802</v>
      </c>
      <c r="BV165" s="38"/>
      <c r="BW165" s="6">
        <f t="shared" si="120"/>
        <v>2.6179938779914895</v>
      </c>
      <c r="BX165" s="9">
        <f t="shared" ca="1" si="121"/>
        <v>14.976587692721521</v>
      </c>
      <c r="BY165" s="9">
        <f t="shared" ca="1" si="122"/>
        <v>-6.4981544506616427</v>
      </c>
      <c r="BZ165">
        <f t="shared" ca="1" si="123"/>
        <v>16.325568602117091</v>
      </c>
      <c r="CA165" s="6">
        <f t="shared" ca="1" si="124"/>
        <v>0.91737005048506337</v>
      </c>
      <c r="CB165" s="6">
        <f t="shared" ca="1" si="125"/>
        <v>-0.39803541359159555</v>
      </c>
      <c r="CC165" s="6">
        <f t="shared" ca="1" si="126"/>
        <v>-0.40937430664555891</v>
      </c>
      <c r="CD165" s="6">
        <f t="shared" ca="1" si="127"/>
        <v>-114.97658769272152</v>
      </c>
      <c r="CE165" s="9">
        <f t="shared" ca="1" si="128"/>
        <v>-43.501845549338356</v>
      </c>
      <c r="CF165">
        <f t="shared" ca="1" si="129"/>
        <v>122.93098178921606</v>
      </c>
      <c r="CG165" s="6">
        <f t="shared" ca="1" si="130"/>
        <v>-0.93529382112856174</v>
      </c>
      <c r="CH165" s="6">
        <f t="shared" ca="1" si="131"/>
        <v>-0.3538721070651572</v>
      </c>
      <c r="CI165" s="6">
        <f t="shared" ca="1" si="132"/>
        <v>-2.7798847854940325</v>
      </c>
      <c r="CJ165" s="1">
        <f t="shared" ca="1" si="133"/>
        <v>-3.0396529126847476</v>
      </c>
      <c r="CK165" s="38"/>
    </row>
    <row r="166" spans="1:89" x14ac:dyDescent="0.25">
      <c r="A166" t="s">
        <v>186</v>
      </c>
      <c r="M166" s="9"/>
      <c r="BC166">
        <v>2.8623399732706929</v>
      </c>
      <c r="BD166">
        <v>-17.654330197125326</v>
      </c>
      <c r="BE166">
        <v>2.8013235812947701</v>
      </c>
      <c r="BF166" s="6">
        <f t="shared" si="183"/>
        <v>2.9842283281846504</v>
      </c>
      <c r="BG166" s="6">
        <f t="shared" si="184"/>
        <v>0.12188835491395755</v>
      </c>
      <c r="BH166" s="6">
        <f t="shared" si="185"/>
        <v>-2.5205807191838439</v>
      </c>
      <c r="BI166" s="6">
        <f t="shared" si="186"/>
        <v>2.5205807191838439</v>
      </c>
      <c r="BJ166">
        <v>-27.160507995577422</v>
      </c>
      <c r="BK166">
        <v>4.3097285866073385</v>
      </c>
      <c r="BV166" s="38"/>
      <c r="BW166" s="6">
        <f t="shared" si="120"/>
        <v>2.6354471705114326</v>
      </c>
      <c r="BX166" s="9">
        <f t="shared" ca="1" si="121"/>
        <v>15.110571550992198</v>
      </c>
      <c r="BY166" s="9">
        <f t="shared" ca="1" si="122"/>
        <v>-6.3496421093757629</v>
      </c>
      <c r="BZ166">
        <f t="shared" ca="1" si="123"/>
        <v>16.390464530171581</v>
      </c>
      <c r="CA166" s="6">
        <f t="shared" ca="1" si="124"/>
        <v>0.92191234258044641</v>
      </c>
      <c r="CB166" s="6">
        <f t="shared" ca="1" si="125"/>
        <v>-0.38739854490928771</v>
      </c>
      <c r="CC166" s="6">
        <f t="shared" ca="1" si="126"/>
        <v>-0.39780811089274754</v>
      </c>
      <c r="CD166" s="6">
        <f t="shared" ca="1" si="127"/>
        <v>-115.1105715509922</v>
      </c>
      <c r="CE166" s="9">
        <f t="shared" ca="1" si="128"/>
        <v>-43.650357890624235</v>
      </c>
      <c r="CF166">
        <f t="shared" ca="1" si="129"/>
        <v>123.10888443477862</v>
      </c>
      <c r="CG166" s="6">
        <f t="shared" ca="1" si="130"/>
        <v>-0.93503057947029156</v>
      </c>
      <c r="CH166" s="6">
        <f t="shared" ca="1" si="131"/>
        <v>-0.35456708174258206</v>
      </c>
      <c r="CI166" s="6">
        <f t="shared" ca="1" si="132"/>
        <v>-2.7791416260237107</v>
      </c>
      <c r="CJ166" s="1">
        <f t="shared" ca="1" si="133"/>
        <v>-3.0403960721550694</v>
      </c>
      <c r="CK166" s="38"/>
    </row>
    <row r="167" spans="1:89" x14ac:dyDescent="0.25">
      <c r="B167" t="str">
        <f t="shared" ref="B167:E167" si="194">B156</f>
        <v>xi (in)</v>
      </c>
      <c r="C167" t="str">
        <f t="shared" si="194"/>
        <v>yi (in)</v>
      </c>
      <c r="D167" t="str">
        <f t="shared" si="194"/>
        <v>xj (in)</v>
      </c>
      <c r="E167" t="str">
        <f t="shared" si="194"/>
        <v>yj (in)</v>
      </c>
      <c r="F167" s="1" t="s">
        <v>187</v>
      </c>
      <c r="G167" s="1" t="s">
        <v>188</v>
      </c>
      <c r="H167" s="1" t="s">
        <v>182</v>
      </c>
      <c r="I167" s="1" t="s">
        <v>183</v>
      </c>
      <c r="J167" s="1" t="s">
        <v>184</v>
      </c>
      <c r="K167" s="1" t="s">
        <v>185</v>
      </c>
      <c r="L167" s="1" t="s">
        <v>38</v>
      </c>
      <c r="M167" s="1" t="s">
        <v>39</v>
      </c>
      <c r="N167" s="1" t="s">
        <v>40</v>
      </c>
      <c r="O167" s="1" t="s">
        <v>41</v>
      </c>
      <c r="P167" s="1" t="s">
        <v>42</v>
      </c>
      <c r="BC167">
        <v>2.879793265790636</v>
      </c>
      <c r="BD167">
        <v>-17.966030427916294</v>
      </c>
      <c r="BE167">
        <v>2.2373236555492122</v>
      </c>
      <c r="BF167" s="6">
        <f t="shared" si="183"/>
        <v>3.0176996938918883</v>
      </c>
      <c r="BG167" s="6">
        <f t="shared" si="184"/>
        <v>0.13790642810125231</v>
      </c>
      <c r="BH167" s="6">
        <f t="shared" si="185"/>
        <v>-2.5540520848910822</v>
      </c>
      <c r="BI167" s="6">
        <f t="shared" si="186"/>
        <v>2.5540520848910822</v>
      </c>
      <c r="BJ167">
        <v>-27.640046812178912</v>
      </c>
      <c r="BK167">
        <v>3.4420363931526339</v>
      </c>
      <c r="BV167" s="38"/>
      <c r="BW167" s="6">
        <f t="shared" si="120"/>
        <v>2.6529004630313757</v>
      </c>
      <c r="BX167" s="9">
        <f t="shared" ca="1" si="121"/>
        <v>15.249699243236364</v>
      </c>
      <c r="BY167" s="9">
        <f t="shared" ca="1" si="122"/>
        <v>-6.1927416078182267</v>
      </c>
      <c r="BZ167">
        <f t="shared" ca="1" si="123"/>
        <v>16.459142615287309</v>
      </c>
      <c r="CA167" s="6">
        <f t="shared" ca="1" si="124"/>
        <v>0.9265184462933318</v>
      </c>
      <c r="CB167" s="6">
        <f t="shared" ca="1" si="125"/>
        <v>-0.37624934375782043</v>
      </c>
      <c r="CC167" s="6">
        <f t="shared" ca="1" si="126"/>
        <v>-0.38574483428737211</v>
      </c>
      <c r="CD167" s="6">
        <f t="shared" ca="1" si="127"/>
        <v>-115.24969924323636</v>
      </c>
      <c r="CE167" s="9">
        <f t="shared" ca="1" si="128"/>
        <v>-43.807258392181772</v>
      </c>
      <c r="CF167">
        <f t="shared" ca="1" si="129"/>
        <v>123.29464328792155</v>
      </c>
      <c r="CG167" s="6">
        <f t="shared" ca="1" si="130"/>
        <v>-0.93475025491660357</v>
      </c>
      <c r="CH167" s="6">
        <f t="shared" ca="1" si="131"/>
        <v>-0.35530544737358688</v>
      </c>
      <c r="CI167" s="6">
        <f t="shared" ca="1" si="132"/>
        <v>-2.7783518376388421</v>
      </c>
      <c r="CJ167" s="1">
        <f t="shared" ca="1" si="133"/>
        <v>-3.041185860539938</v>
      </c>
      <c r="CK167" s="38"/>
    </row>
    <row r="168" spans="1:89" x14ac:dyDescent="0.25">
      <c r="A168" s="1" t="str">
        <f t="shared" ref="A168:E175" si="195">A157</f>
        <v>Segment 1</v>
      </c>
      <c r="B168" s="1">
        <f t="shared" si="195"/>
        <v>-13.310239242535348</v>
      </c>
      <c r="C168" s="1">
        <f t="shared" si="195"/>
        <v>1.6844973453443064</v>
      </c>
      <c r="D168" s="1">
        <f t="shared" si="195"/>
        <v>-9.3337414217966543</v>
      </c>
      <c r="E168" s="1">
        <f t="shared" si="195"/>
        <v>-9.6374929868216945</v>
      </c>
      <c r="F168" s="6">
        <f>IF(E168-C168=0,0,MIN(MAX(($B$148-C168)/(E168-C168),0),1))</f>
        <v>0</v>
      </c>
      <c r="G168" s="6">
        <f>IF(E168-C168=0,0,MIN(MAX(($B$152-C168)/(E168-C168),0),1))</f>
        <v>0</v>
      </c>
      <c r="H168" s="1">
        <f>IF(AND(F168=0,G168=0),0,IF(C168&gt;E168,B168+(F168*(D168-B168)),B168+(G168*(D168-B168))))</f>
        <v>0</v>
      </c>
      <c r="I168" s="1">
        <f>IF(AND(F168=0,G168=0),0,IF(C168&gt;E168,C168+(F168*(E168-C168)),C168+(G168*(E168-C168))))</f>
        <v>0</v>
      </c>
      <c r="J168">
        <f>IF(AND(F168=0,G168=0),0,IF(C168&gt;E168,B168+(G168*(D168-B168)),B168+(F168*(D168-B168))))</f>
        <v>0</v>
      </c>
      <c r="K168">
        <f>IF(AND(F168=0,G168=0),0,IF(C168&gt;E168,C168+(G168*(E168-C168)),C168+(F168*(E168-C168))))</f>
        <v>0</v>
      </c>
      <c r="L168" s="6">
        <f>0.85*$B$143</f>
        <v>4250</v>
      </c>
      <c r="M168" s="6">
        <f>L168</f>
        <v>4250</v>
      </c>
      <c r="N168" s="10">
        <f t="shared" ref="N168" si="196">(1/6)*(K168-I168)*((L168*((2*H168)+J168))+(M168*(H168+(2*J168))))</f>
        <v>0</v>
      </c>
      <c r="O168" s="10">
        <f t="shared" ref="O168" si="197">((1/12)*(K168-I168)*(L168*H168*((3*I168)+K168)+L168*J168*(I168+K168)+M168*H168*(I168+K168)+M168*J168*(I168+(3*K168))))</f>
        <v>0</v>
      </c>
      <c r="P168" s="10">
        <f>((1/24)*(K168-I168)*(H168*H168*((3*L168)+M168)+2*H168*J168*(L168+M168)+J168*J168*(L168+(3*M168))))</f>
        <v>0</v>
      </c>
      <c r="BC168">
        <v>2.8972465583105791</v>
      </c>
      <c r="BD168">
        <v>-18.30277026342905</v>
      </c>
      <c r="BE168">
        <v>1.5969615132286923</v>
      </c>
      <c r="BF168" s="6">
        <f t="shared" si="183"/>
        <v>3.0545606168583195</v>
      </c>
      <c r="BG168" s="6">
        <f t="shared" si="184"/>
        <v>0.15731405854774039</v>
      </c>
      <c r="BH168" s="6">
        <f t="shared" si="185"/>
        <v>-2.5909130078575133</v>
      </c>
      <c r="BI168" s="6">
        <f t="shared" si="186"/>
        <v>2.5909130078575133</v>
      </c>
      <c r="BJ168">
        <v>-28.158108097583153</v>
      </c>
      <c r="BK168">
        <v>2.4568638665056803</v>
      </c>
      <c r="BV168" s="38"/>
      <c r="BW168" s="6">
        <f t="shared" si="120"/>
        <v>2.6703537555513188</v>
      </c>
      <c r="BX168" s="9">
        <f t="shared" ca="1" si="121"/>
        <v>15.394563422546954</v>
      </c>
      <c r="BY168" s="9">
        <f t="shared" ca="1" si="122"/>
        <v>-6.026183344145644</v>
      </c>
      <c r="BZ168">
        <f t="shared" ca="1" si="123"/>
        <v>16.532013448702457</v>
      </c>
      <c r="CA168" s="6">
        <f t="shared" ca="1" si="124"/>
        <v>0.93119712673323651</v>
      </c>
      <c r="CB168" s="6">
        <f t="shared" ca="1" si="125"/>
        <v>-0.36451599575843674</v>
      </c>
      <c r="CC168" s="6">
        <f t="shared" ca="1" si="126"/>
        <v>-0.3731129845560498</v>
      </c>
      <c r="CD168" s="6">
        <f t="shared" ca="1" si="127"/>
        <v>-115.39456342254695</v>
      </c>
      <c r="CE168" s="9">
        <f t="shared" ca="1" si="128"/>
        <v>-43.973816655854357</v>
      </c>
      <c r="CF168">
        <f t="shared" ca="1" si="129"/>
        <v>123.48927815305629</v>
      </c>
      <c r="CG168" s="6">
        <f t="shared" ca="1" si="130"/>
        <v>-0.93445006034874945</v>
      </c>
      <c r="CH168" s="6">
        <f t="shared" ca="1" si="131"/>
        <v>-0.35609420763924055</v>
      </c>
      <c r="CI168" s="6">
        <f t="shared" ca="1" si="132"/>
        <v>-2.7775078829140378</v>
      </c>
      <c r="CJ168" s="1">
        <f t="shared" ca="1" si="133"/>
        <v>-3.0420298152647423</v>
      </c>
      <c r="CK168" s="38"/>
    </row>
    <row r="169" spans="1:89" x14ac:dyDescent="0.25">
      <c r="A169" s="1" t="str">
        <f t="shared" si="195"/>
        <v>Segment 2</v>
      </c>
      <c r="B169" s="1">
        <f t="shared" si="195"/>
        <v>-9.3337414217966543</v>
      </c>
      <c r="C169" s="1">
        <f t="shared" si="195"/>
        <v>-9.6374929868216945</v>
      </c>
      <c r="D169" s="1">
        <f t="shared" si="195"/>
        <v>5.7622456877580142</v>
      </c>
      <c r="E169" s="1">
        <f t="shared" si="195"/>
        <v>-4.3354958925034355</v>
      </c>
      <c r="F169" s="6">
        <f t="shared" ref="F169:F175" si="198">IF(E169-C169=0,0,MIN(MAX(($B$148-C169)/(E169-C169),0),1))</f>
        <v>1</v>
      </c>
      <c r="G169" s="6">
        <f t="shared" ref="G169:G175" si="199">IF(E169-C169=0,0,MIN(MAX(($B$152-C169)/(E169-C169),0),1))</f>
        <v>1</v>
      </c>
      <c r="H169" s="1">
        <f t="shared" ref="H169:H175" si="200">IF(AND(F169=0,G169=0),0,IF(C169&gt;E169,B169+(F169*(D169-B169)),B169+(G169*(D169-B169))))</f>
        <v>5.7622456877580142</v>
      </c>
      <c r="I169" s="1">
        <f t="shared" ref="I169:I175" si="201">IF(AND(F169=0,G169=0),0,IF(C169&gt;E169,C169+(F169*(E169-C169)),C169+(G169*(E169-C169))))</f>
        <v>-4.3354958925034355</v>
      </c>
      <c r="J169">
        <f t="shared" ref="J169:J175" si="202">IF(AND(F169=0,G169=0),0,IF(C169&gt;E169,B169+(G169*(D169-B169)),B169+(F169*(D169-B169))))</f>
        <v>5.7622456877580142</v>
      </c>
      <c r="K169">
        <f t="shared" ref="K169:K175" si="203">IF(AND(F169=0,G169=0),0,IF(C169&gt;E169,C169+(G169*(E169-C169)),C169+(F169*(E169-C169))))</f>
        <v>-4.3354958925034355</v>
      </c>
      <c r="L169" s="6">
        <f t="shared" ref="L169:L175" si="204">0.85*$B$143</f>
        <v>4250</v>
      </c>
      <c r="M169" s="6">
        <f t="shared" ref="M169:M175" si="205">L169</f>
        <v>4250</v>
      </c>
      <c r="N169" s="10">
        <f t="shared" ref="N169:N175" si="206">(1/6)*(K169-I169)*((L169*((2*H169)+J169))+(M169*(H169+(2*J169))))</f>
        <v>0</v>
      </c>
      <c r="O169" s="10">
        <f t="shared" ref="O169:O175" si="207">((1/12)*(K169-I169)*(L169*H169*((3*I169)+K169)+L169*J169*(I169+K169)+M169*H169*(I169+K169)+M169*J169*(I169+(3*K169))))</f>
        <v>0</v>
      </c>
      <c r="P169" s="10">
        <f t="shared" ref="P169:P175" si="208">((1/24)*(K169-I169)*(H169*H169*((3*L169)+M169)+2*H169*J169*(L169+M169)+J169*J169*(L169+(3*M169))))</f>
        <v>0</v>
      </c>
      <c r="BC169">
        <v>2.9146998508305222</v>
      </c>
      <c r="BD169">
        <v>-18.661669943627611</v>
      </c>
      <c r="BE169">
        <v>0.88474368404924952</v>
      </c>
      <c r="BF169" s="6">
        <f t="shared" si="183"/>
        <v>3.0942184525394225</v>
      </c>
      <c r="BG169" s="6">
        <f t="shared" si="184"/>
        <v>0.17951860170890033</v>
      </c>
      <c r="BH169" s="6">
        <f t="shared" si="185"/>
        <v>-2.6305708435386164</v>
      </c>
      <c r="BI169" s="6">
        <f t="shared" si="186"/>
        <v>2.6305708435386164</v>
      </c>
      <c r="BJ169">
        <v>-28.710261451734787</v>
      </c>
      <c r="BK169">
        <v>1.3611441293065376</v>
      </c>
      <c r="BV169" s="38"/>
      <c r="BW169" s="6">
        <f t="shared" si="120"/>
        <v>2.6878070480712619</v>
      </c>
      <c r="BX169" s="9">
        <f t="shared" ca="1" si="121"/>
        <v>15.545831795955085</v>
      </c>
      <c r="BY169" s="9">
        <f t="shared" ca="1" si="122"/>
        <v>-5.8484753460422612</v>
      </c>
      <c r="BZ169">
        <f t="shared" ca="1" si="123"/>
        <v>16.609562008114249</v>
      </c>
      <c r="CA169" s="6">
        <f t="shared" ca="1" si="124"/>
        <v>0.9359567572197568</v>
      </c>
      <c r="CB169" s="6">
        <f t="shared" ca="1" si="125"/>
        <v>-0.35211496505357048</v>
      </c>
      <c r="CC169" s="6">
        <f t="shared" ca="1" si="126"/>
        <v>-0.35982982833405297</v>
      </c>
      <c r="CD169" s="6">
        <f t="shared" ca="1" si="127"/>
        <v>-115.54583179595508</v>
      </c>
      <c r="CE169" s="9">
        <f t="shared" ca="1" si="128"/>
        <v>-44.151524653957736</v>
      </c>
      <c r="CF169">
        <f t="shared" ca="1" si="129"/>
        <v>123.69396256361173</v>
      </c>
      <c r="CG169" s="6">
        <f t="shared" ca="1" si="130"/>
        <v>-0.93412668978515145</v>
      </c>
      <c r="CH169" s="6">
        <f t="shared" ca="1" si="131"/>
        <v>-0.35694163028573089</v>
      </c>
      <c r="CI169" s="6">
        <f t="shared" ca="1" si="132"/>
        <v>-2.7766008582618986</v>
      </c>
      <c r="CJ169" s="1">
        <f t="shared" ca="1" si="133"/>
        <v>-3.0429368399168815</v>
      </c>
      <c r="CK169" s="38"/>
    </row>
    <row r="170" spans="1:89" x14ac:dyDescent="0.25">
      <c r="A170" s="1" t="str">
        <f t="shared" si="195"/>
        <v>Segment 3</v>
      </c>
      <c r="B170" s="1">
        <f t="shared" si="195"/>
        <v>5.7622456877580142</v>
      </c>
      <c r="C170" s="1">
        <f t="shared" si="195"/>
        <v>-4.3354958925034355</v>
      </c>
      <c r="D170" s="1">
        <f t="shared" si="195"/>
        <v>5.7622456877580142</v>
      </c>
      <c r="E170" s="1">
        <f t="shared" si="195"/>
        <v>-4.3354958925034355</v>
      </c>
      <c r="F170" s="6">
        <f t="shared" si="198"/>
        <v>0</v>
      </c>
      <c r="G170" s="6">
        <f t="shared" si="199"/>
        <v>0</v>
      </c>
      <c r="H170" s="1">
        <f t="shared" si="200"/>
        <v>0</v>
      </c>
      <c r="I170" s="1">
        <f t="shared" si="201"/>
        <v>0</v>
      </c>
      <c r="J170">
        <f t="shared" si="202"/>
        <v>0</v>
      </c>
      <c r="K170">
        <f t="shared" si="203"/>
        <v>0</v>
      </c>
      <c r="L170" s="6">
        <f t="shared" si="204"/>
        <v>4250</v>
      </c>
      <c r="M170" s="6">
        <f t="shared" si="205"/>
        <v>4250</v>
      </c>
      <c r="N170" s="10">
        <f t="shared" si="206"/>
        <v>0</v>
      </c>
      <c r="O170" s="10">
        <f t="shared" si="207"/>
        <v>0</v>
      </c>
      <c r="P170" s="10">
        <f t="shared" si="208"/>
        <v>0</v>
      </c>
      <c r="BC170">
        <v>2.9321531433504653</v>
      </c>
      <c r="BD170">
        <v>-19.039985908499176</v>
      </c>
      <c r="BE170">
        <v>0.10492771062100836</v>
      </c>
      <c r="BF170" s="6">
        <f t="shared" si="183"/>
        <v>3.1360817961279936</v>
      </c>
      <c r="BG170" s="6">
        <f t="shared" si="184"/>
        <v>0.20392865277752836</v>
      </c>
      <c r="BH170" s="6">
        <f t="shared" si="185"/>
        <v>-2.6724341871271875</v>
      </c>
      <c r="BI170" s="6">
        <f t="shared" si="186"/>
        <v>2.6724341871271875</v>
      </c>
      <c r="BJ170">
        <v>-29.292286013075653</v>
      </c>
      <c r="BK170">
        <v>0.16142724710924364</v>
      </c>
      <c r="BV170" s="38"/>
      <c r="BW170" s="6">
        <f t="shared" si="120"/>
        <v>2.705260340591205</v>
      </c>
      <c r="BX170" s="9">
        <f t="shared" ca="1" si="121"/>
        <v>15.704261493709097</v>
      </c>
      <c r="BY170" s="9">
        <f t="shared" ca="1" si="122"/>
        <v>-5.6578519473969777</v>
      </c>
      <c r="BZ170">
        <f t="shared" ca="1" si="123"/>
        <v>16.692367049686453</v>
      </c>
      <c r="CA170" s="6">
        <f t="shared" ca="1" si="124"/>
        <v>0.94080494677380599</v>
      </c>
      <c r="CB170" s="6">
        <f t="shared" ca="1" si="125"/>
        <v>-0.33894845054364259</v>
      </c>
      <c r="CC170" s="6">
        <f t="shared" ca="1" si="126"/>
        <v>-0.34579895965344931</v>
      </c>
      <c r="CD170" s="6">
        <f t="shared" ca="1" si="127"/>
        <v>-115.7042614937091</v>
      </c>
      <c r="CE170" s="9">
        <f t="shared" ca="1" si="128"/>
        <v>-44.342148052603022</v>
      </c>
      <c r="CF170">
        <f t="shared" ca="1" si="129"/>
        <v>123.91005698377988</v>
      </c>
      <c r="CG170" s="6">
        <f t="shared" ca="1" si="130"/>
        <v>-0.93377619468656248</v>
      </c>
      <c r="CH170" s="6">
        <f t="shared" ca="1" si="131"/>
        <v>-0.35785753902451611</v>
      </c>
      <c r="CI170" s="6">
        <f t="shared" ca="1" si="132"/>
        <v>-2.7756201770145017</v>
      </c>
      <c r="CJ170" s="1">
        <f t="shared" ca="1" si="133"/>
        <v>-3.0439175211642784</v>
      </c>
      <c r="CK170" s="38"/>
    </row>
    <row r="171" spans="1:89" x14ac:dyDescent="0.25">
      <c r="A171" s="1" t="str">
        <f t="shared" si="195"/>
        <v>Segment 4</v>
      </c>
      <c r="B171" s="1">
        <f t="shared" si="195"/>
        <v>5.7622456877580142</v>
      </c>
      <c r="C171" s="1">
        <f t="shared" si="195"/>
        <v>-4.3354958925034355</v>
      </c>
      <c r="D171" s="1">
        <f t="shared" si="195"/>
        <v>13.310239242535348</v>
      </c>
      <c r="E171" s="1">
        <f t="shared" si="195"/>
        <v>-1.6844973453443064</v>
      </c>
      <c r="F171" s="6">
        <f t="shared" si="198"/>
        <v>1</v>
      </c>
      <c r="G171" s="6">
        <f t="shared" si="199"/>
        <v>1</v>
      </c>
      <c r="H171" s="1">
        <f t="shared" si="200"/>
        <v>13.310239242535348</v>
      </c>
      <c r="I171" s="1">
        <f t="shared" si="201"/>
        <v>-1.6844973453443064</v>
      </c>
      <c r="J171">
        <f t="shared" si="202"/>
        <v>13.310239242535348</v>
      </c>
      <c r="K171">
        <f t="shared" si="203"/>
        <v>-1.6844973453443064</v>
      </c>
      <c r="L171" s="6">
        <f t="shared" si="204"/>
        <v>4250</v>
      </c>
      <c r="M171" s="6">
        <f t="shared" si="205"/>
        <v>4250</v>
      </c>
      <c r="N171" s="10">
        <f t="shared" si="206"/>
        <v>0</v>
      </c>
      <c r="O171" s="10">
        <f t="shared" si="207"/>
        <v>0</v>
      </c>
      <c r="P171" s="10">
        <f t="shared" si="208"/>
        <v>0</v>
      </c>
      <c r="BC171">
        <v>2.9496064358704084</v>
      </c>
      <c r="BD171">
        <v>-19.434999992000535</v>
      </c>
      <c r="BE171">
        <v>-0.73826185976737979</v>
      </c>
      <c r="BF171" s="6">
        <f t="shared" si="183"/>
        <v>3.1795606018856493</v>
      </c>
      <c r="BG171" s="6">
        <f t="shared" si="184"/>
        <v>0.22995416601524088</v>
      </c>
      <c r="BH171" s="6">
        <f t="shared" si="185"/>
        <v>-2.7159129928848431</v>
      </c>
      <c r="BI171" s="6">
        <f t="shared" si="186"/>
        <v>2.7159129928848431</v>
      </c>
      <c r="BJ171">
        <v>-29.899999987693128</v>
      </c>
      <c r="BK171">
        <v>-1.1357874765651996</v>
      </c>
      <c r="BV171" s="38"/>
      <c r="BW171" s="6">
        <f t="shared" si="120"/>
        <v>2.7227136331111481</v>
      </c>
      <c r="BX171" s="9">
        <f t="shared" ca="1" si="121"/>
        <v>15.870716692088523</v>
      </c>
      <c r="BY171" s="9">
        <f t="shared" ca="1" si="122"/>
        <v>-5.4522082244710575</v>
      </c>
      <c r="BZ171">
        <f t="shared" ca="1" si="123"/>
        <v>16.78112698371379</v>
      </c>
      <c r="CA171" s="6">
        <f t="shared" ca="1" si="124"/>
        <v>0.94574796481137247</v>
      </c>
      <c r="CB171" s="6">
        <f t="shared" ca="1" si="125"/>
        <v>-0.32490119583520621</v>
      </c>
      <c r="CC171" s="6">
        <f t="shared" ca="1" si="126"/>
        <v>-0.33090725423181505</v>
      </c>
      <c r="CD171" s="6">
        <f t="shared" ca="1" si="127"/>
        <v>-115.87071669208852</v>
      </c>
      <c r="CE171" s="9">
        <f t="shared" ca="1" si="128"/>
        <v>-44.547791775528943</v>
      </c>
      <c r="CF171">
        <f t="shared" ca="1" si="129"/>
        <v>124.13915070925097</v>
      </c>
      <c r="CG171" s="6">
        <f t="shared" ca="1" si="130"/>
        <v>-0.93339382483348765</v>
      </c>
      <c r="CH171" s="6">
        <f t="shared" ca="1" si="131"/>
        <v>-0.35885368573098508</v>
      </c>
      <c r="CI171" s="6">
        <f t="shared" ca="1" si="132"/>
        <v>-2.7745531647964987</v>
      </c>
      <c r="CJ171" s="1">
        <f t="shared" ca="1" si="133"/>
        <v>-3.0449845333822814</v>
      </c>
      <c r="CK171" s="38"/>
    </row>
    <row r="172" spans="1:89" x14ac:dyDescent="0.25">
      <c r="A172" s="1" t="str">
        <f t="shared" si="195"/>
        <v>Segment 5</v>
      </c>
      <c r="B172" s="1">
        <f t="shared" si="195"/>
        <v>13.310239242535348</v>
      </c>
      <c r="C172" s="1">
        <f t="shared" si="195"/>
        <v>-1.6844973453443064</v>
      </c>
      <c r="D172" s="1">
        <f t="shared" si="195"/>
        <v>9.3337414217966543</v>
      </c>
      <c r="E172" s="1">
        <f t="shared" si="195"/>
        <v>9.6374929868216945</v>
      </c>
      <c r="F172" s="6">
        <f t="shared" si="198"/>
        <v>1</v>
      </c>
      <c r="G172" s="6">
        <f t="shared" si="199"/>
        <v>0.85583177590251724</v>
      </c>
      <c r="H172" s="1">
        <f t="shared" si="200"/>
        <v>9.9070260507400612</v>
      </c>
      <c r="I172" s="1">
        <f t="shared" si="201"/>
        <v>8.0052217473844536</v>
      </c>
      <c r="J172">
        <f t="shared" si="202"/>
        <v>9.3337414217966543</v>
      </c>
      <c r="K172">
        <f t="shared" si="203"/>
        <v>9.6374929868216945</v>
      </c>
      <c r="L172" s="6">
        <f t="shared" si="204"/>
        <v>4250</v>
      </c>
      <c r="M172" s="6">
        <f t="shared" si="205"/>
        <v>4250</v>
      </c>
      <c r="N172" s="10">
        <f t="shared" si="206"/>
        <v>66738.071661507653</v>
      </c>
      <c r="O172" s="10">
        <f t="shared" si="207"/>
        <v>588179.42325021734</v>
      </c>
      <c r="P172" s="10">
        <f t="shared" si="208"/>
        <v>321117.92675891583</v>
      </c>
      <c r="BC172">
        <v>2.9670597283903515</v>
      </c>
      <c r="BD172">
        <v>-19.843910300159155</v>
      </c>
      <c r="BE172">
        <v>-1.6404047886945823</v>
      </c>
      <c r="BF172" s="6">
        <f t="shared" si="183"/>
        <v>3.2240705223187858</v>
      </c>
      <c r="BG172" s="6">
        <f t="shared" si="184"/>
        <v>0.25701079392843429</v>
      </c>
      <c r="BH172" s="6">
        <f t="shared" si="185"/>
        <v>-2.7604229133179796</v>
      </c>
      <c r="BI172" s="6">
        <f t="shared" si="186"/>
        <v>2.7604229133179796</v>
      </c>
      <c r="BJ172">
        <v>-30.529092769475621</v>
      </c>
      <c r="BK172">
        <v>-2.523699674914742</v>
      </c>
      <c r="BV172" s="38"/>
      <c r="BW172" s="6">
        <f t="shared" si="120"/>
        <v>2.7401669256310912</v>
      </c>
      <c r="BX172" s="9">
        <f t="shared" ca="1" si="121"/>
        <v>16.046190437001179</v>
      </c>
      <c r="BY172" s="9">
        <f t="shared" ca="1" si="122"/>
        <v>-5.2290154573367724</v>
      </c>
      <c r="BZ172">
        <f t="shared" ca="1" si="123"/>
        <v>16.876694883583543</v>
      </c>
      <c r="CA172" s="6">
        <f t="shared" ca="1" si="124"/>
        <v>0.95078986422926803</v>
      </c>
      <c r="CB172" s="6">
        <f t="shared" ca="1" si="125"/>
        <v>-0.30983646344304</v>
      </c>
      <c r="CC172" s="6">
        <f t="shared" ca="1" si="126"/>
        <v>-0.31502102688269695</v>
      </c>
      <c r="CD172" s="6">
        <f t="shared" ca="1" si="127"/>
        <v>-116.04619043700117</v>
      </c>
      <c r="CE172" s="9">
        <f t="shared" ca="1" si="128"/>
        <v>-44.770984542663228</v>
      </c>
      <c r="CF172">
        <f t="shared" ca="1" si="129"/>
        <v>124.38311530051067</v>
      </c>
      <c r="CG172" s="6">
        <f t="shared" ca="1" si="130"/>
        <v>-0.93297382170106113</v>
      </c>
      <c r="CH172" s="6">
        <f t="shared" ca="1" si="131"/>
        <v>-0.35994422904182893</v>
      </c>
      <c r="CI172" s="6">
        <f t="shared" ca="1" si="132"/>
        <v>-2.7733845384663574</v>
      </c>
      <c r="CJ172" s="1">
        <f t="shared" ca="1" si="133"/>
        <v>-3.0461531597124227</v>
      </c>
      <c r="CK172" s="38"/>
    </row>
    <row r="173" spans="1:89" x14ac:dyDescent="0.25">
      <c r="A173" s="1" t="str">
        <f t="shared" si="195"/>
        <v>Segment 6</v>
      </c>
      <c r="B173" s="1">
        <f t="shared" si="195"/>
        <v>9.3337414217966543</v>
      </c>
      <c r="C173" s="1">
        <f t="shared" si="195"/>
        <v>9.6374929868216945</v>
      </c>
      <c r="D173" s="1">
        <f t="shared" si="195"/>
        <v>1.7857478670193201</v>
      </c>
      <c r="E173" s="1">
        <f t="shared" si="195"/>
        <v>6.9864944396625654</v>
      </c>
      <c r="F173" s="6">
        <f t="shared" si="198"/>
        <v>0</v>
      </c>
      <c r="G173" s="6">
        <f t="shared" si="199"/>
        <v>0.6157194017274813</v>
      </c>
      <c r="H173" s="1">
        <f t="shared" si="200"/>
        <v>9.3337414217966543</v>
      </c>
      <c r="I173" s="1">
        <f t="shared" si="201"/>
        <v>9.6374929868216945</v>
      </c>
      <c r="J173">
        <f t="shared" si="202"/>
        <v>4.6862953460062693</v>
      </c>
      <c r="K173">
        <f t="shared" si="203"/>
        <v>8.0052217473844536</v>
      </c>
      <c r="L173" s="6">
        <f t="shared" si="204"/>
        <v>4250</v>
      </c>
      <c r="M173" s="6">
        <f t="shared" si="205"/>
        <v>4250</v>
      </c>
      <c r="N173" s="10">
        <f t="shared" si="206"/>
        <v>-48629.568432866894</v>
      </c>
      <c r="O173" s="10">
        <f t="shared" si="207"/>
        <v>-433364.17638859851</v>
      </c>
      <c r="P173" s="10">
        <f t="shared" si="208"/>
        <v>-176690.16199175717</v>
      </c>
      <c r="BC173">
        <v>2.9845130209102946</v>
      </c>
      <c r="BD173">
        <v>-20.263723976336799</v>
      </c>
      <c r="BE173">
        <v>-2.5966430493955825</v>
      </c>
      <c r="BF173" s="6">
        <f t="shared" si="183"/>
        <v>3.2690405375849454</v>
      </c>
      <c r="BG173" s="6">
        <f t="shared" si="184"/>
        <v>0.28452751667465082</v>
      </c>
      <c r="BH173" s="6">
        <f t="shared" si="185"/>
        <v>-2.8053929285841392</v>
      </c>
      <c r="BI173" s="6">
        <f t="shared" si="186"/>
        <v>2.8053929285841392</v>
      </c>
      <c r="BJ173">
        <v>-31.174959963595075</v>
      </c>
      <c r="BK173">
        <v>-3.9948354606085883</v>
      </c>
      <c r="BV173" s="38"/>
      <c r="BW173" s="6">
        <f t="shared" si="120"/>
        <v>2.7576202181510343</v>
      </c>
      <c r="BX173" s="9">
        <f t="shared" ca="1" si="121"/>
        <v>16.231831892320074</v>
      </c>
      <c r="BY173" s="9">
        <f t="shared" ca="1" si="122"/>
        <v>-4.9852110149933084</v>
      </c>
      <c r="BZ173">
        <f t="shared" ca="1" si="123"/>
        <v>16.980126484939671</v>
      </c>
      <c r="CA173" s="6">
        <f t="shared" ca="1" si="124"/>
        <v>0.95593115320529043</v>
      </c>
      <c r="CB173" s="6">
        <f t="shared" ca="1" si="125"/>
        <v>-0.29359092344894394</v>
      </c>
      <c r="CC173" s="6">
        <f t="shared" ca="1" si="126"/>
        <v>-0.2979811487262265</v>
      </c>
      <c r="CD173" s="6">
        <f t="shared" ca="1" si="127"/>
        <v>-116.23183189232007</v>
      </c>
      <c r="CE173" s="9">
        <f t="shared" ca="1" si="128"/>
        <v>-45.014788985006689</v>
      </c>
      <c r="CF173">
        <f t="shared" ca="1" si="129"/>
        <v>124.64417343947223</v>
      </c>
      <c r="CG173" s="6">
        <f t="shared" ca="1" si="130"/>
        <v>-0.93250914731897017</v>
      </c>
      <c r="CH173" s="6">
        <f t="shared" ca="1" si="131"/>
        <v>-0.36114635560454877</v>
      </c>
      <c r="CI173" s="6">
        <f t="shared" ca="1" si="132"/>
        <v>-2.7720957286339591</v>
      </c>
      <c r="CJ173" s="1">
        <f t="shared" ca="1" si="133"/>
        <v>-3.0474419695448209</v>
      </c>
      <c r="CK173" s="38"/>
    </row>
    <row r="174" spans="1:89" x14ac:dyDescent="0.25">
      <c r="A174" s="1" t="str">
        <f t="shared" si="195"/>
        <v>Segment 7</v>
      </c>
      <c r="B174" s="1">
        <f t="shared" si="195"/>
        <v>1.7857478670193201</v>
      </c>
      <c r="C174" s="1">
        <f t="shared" si="195"/>
        <v>6.9864944396625654</v>
      </c>
      <c r="D174" s="1">
        <f t="shared" si="195"/>
        <v>1.7857478670193201</v>
      </c>
      <c r="E174" s="1">
        <f t="shared" si="195"/>
        <v>6.9864944396625654</v>
      </c>
      <c r="F174" s="6">
        <f t="shared" si="198"/>
        <v>0</v>
      </c>
      <c r="G174" s="6">
        <f t="shared" si="199"/>
        <v>0</v>
      </c>
      <c r="H174" s="1">
        <f t="shared" si="200"/>
        <v>0</v>
      </c>
      <c r="I174" s="1">
        <f t="shared" si="201"/>
        <v>0</v>
      </c>
      <c r="J174">
        <f t="shared" si="202"/>
        <v>0</v>
      </c>
      <c r="K174">
        <f t="shared" si="203"/>
        <v>0</v>
      </c>
      <c r="L174" s="6">
        <f t="shared" si="204"/>
        <v>4250</v>
      </c>
      <c r="M174" s="6">
        <f t="shared" si="205"/>
        <v>4250</v>
      </c>
      <c r="N174" s="10">
        <f t="shared" si="206"/>
        <v>0</v>
      </c>
      <c r="O174" s="10">
        <f t="shared" si="207"/>
        <v>0</v>
      </c>
      <c r="P174" s="10">
        <f t="shared" si="208"/>
        <v>0</v>
      </c>
      <c r="BC174">
        <v>3.0019663134302377</v>
      </c>
      <c r="BD174">
        <v>-20.691152857377162</v>
      </c>
      <c r="BE174">
        <v>-3.6014199804588913</v>
      </c>
      <c r="BF174" s="6">
        <f t="shared" si="183"/>
        <v>3.3139222562340453</v>
      </c>
      <c r="BG174" s="6">
        <f t="shared" si="184"/>
        <v>0.31195594280380767</v>
      </c>
      <c r="BH174" s="6">
        <f t="shared" si="185"/>
        <v>-2.8502746472332392</v>
      </c>
      <c r="BI174" s="6">
        <f t="shared" si="186"/>
        <v>2.8502746472332392</v>
      </c>
      <c r="BJ174">
        <v>-31.832542857503324</v>
      </c>
      <c r="BK174">
        <v>-5.5406461237829099</v>
      </c>
      <c r="BV174" s="38"/>
      <c r="BW174" s="6">
        <f t="shared" si="120"/>
        <v>2.7750735106709774</v>
      </c>
      <c r="BX174" s="9">
        <f t="shared" ca="1" si="121"/>
        <v>16.42898073155564</v>
      </c>
      <c r="BY174" s="9">
        <f t="shared" ca="1" si="122"/>
        <v>-4.7170533758760307</v>
      </c>
      <c r="BZ174">
        <f t="shared" ca="1" si="123"/>
        <v>17.092747012364338</v>
      </c>
      <c r="CA174" s="6">
        <f t="shared" ca="1" si="124"/>
        <v>0.96116678727365756</v>
      </c>
      <c r="CB174" s="6">
        <f t="shared" ca="1" si="125"/>
        <v>-0.27596812685894595</v>
      </c>
      <c r="CC174" s="6">
        <f t="shared" ca="1" si="126"/>
        <v>-0.27959679823200467</v>
      </c>
      <c r="CD174" s="6">
        <f t="shared" ca="1" si="127"/>
        <v>-116.42898073155564</v>
      </c>
      <c r="CE174" s="9">
        <f t="shared" ca="1" si="128"/>
        <v>-45.282946624123966</v>
      </c>
      <c r="CF174">
        <f t="shared" ca="1" si="129"/>
        <v>124.92498872984626</v>
      </c>
      <c r="CG174" s="6">
        <f t="shared" ca="1" si="130"/>
        <v>-0.93199112455664512</v>
      </c>
      <c r="CH174" s="6">
        <f t="shared" ca="1" si="131"/>
        <v>-0.3624810943313318</v>
      </c>
      <c r="CI174" s="6">
        <f t="shared" ca="1" si="132"/>
        <v>-2.7706639900400716</v>
      </c>
      <c r="CJ174" s="1">
        <f t="shared" ca="1" si="133"/>
        <v>-3.0488737081387085</v>
      </c>
      <c r="CK174" s="38"/>
    </row>
    <row r="175" spans="1:89" ht="15.75" thickBot="1" x14ac:dyDescent="0.3">
      <c r="A175" s="1" t="str">
        <f t="shared" si="195"/>
        <v>Segment 8</v>
      </c>
      <c r="B175" s="1">
        <f t="shared" si="195"/>
        <v>1.7857478670193201</v>
      </c>
      <c r="C175" s="1">
        <f t="shared" si="195"/>
        <v>6.9864944396625654</v>
      </c>
      <c r="D175" s="1">
        <f t="shared" si="195"/>
        <v>-13.310239242535348</v>
      </c>
      <c r="E175" s="1">
        <f t="shared" si="195"/>
        <v>1.6844973453443064</v>
      </c>
      <c r="F175" s="6">
        <f t="shared" si="198"/>
        <v>0</v>
      </c>
      <c r="G175" s="6">
        <f t="shared" si="199"/>
        <v>0</v>
      </c>
      <c r="H175" s="1">
        <f t="shared" si="200"/>
        <v>0</v>
      </c>
      <c r="I175" s="1">
        <f t="shared" si="201"/>
        <v>0</v>
      </c>
      <c r="J175">
        <f t="shared" si="202"/>
        <v>0</v>
      </c>
      <c r="K175">
        <f t="shared" si="203"/>
        <v>0</v>
      </c>
      <c r="L175" s="6">
        <f t="shared" si="204"/>
        <v>4250</v>
      </c>
      <c r="M175" s="6">
        <f t="shared" si="205"/>
        <v>4250</v>
      </c>
      <c r="N175" s="11">
        <f t="shared" si="206"/>
        <v>0</v>
      </c>
      <c r="O175" s="11">
        <f t="shared" si="207"/>
        <v>0</v>
      </c>
      <c r="P175" s="11">
        <f t="shared" si="208"/>
        <v>0</v>
      </c>
      <c r="BC175">
        <v>3.0194196059501808</v>
      </c>
      <c r="BD175">
        <v>-21.122520611076805</v>
      </c>
      <c r="BE175">
        <v>-4.6482057050077747</v>
      </c>
      <c r="BF175" s="6">
        <f t="shared" si="183"/>
        <v>3.3581994572544476</v>
      </c>
      <c r="BG175" s="6">
        <f t="shared" si="184"/>
        <v>0.3387798513042668</v>
      </c>
      <c r="BH175" s="6">
        <f t="shared" si="185"/>
        <v>-2.8945518482536414</v>
      </c>
      <c r="BI175" s="6">
        <f t="shared" si="186"/>
        <v>2.8945518482536414</v>
      </c>
      <c r="BJ175">
        <v>-32.496185555502777</v>
      </c>
      <c r="BK175">
        <v>-7.1510857000119605</v>
      </c>
      <c r="BV175" s="38"/>
      <c r="BW175" s="6">
        <f t="shared" si="120"/>
        <v>2.7925268031909205</v>
      </c>
      <c r="BX175" s="9">
        <f t="shared" ca="1" si="121"/>
        <v>16.639210963190695</v>
      </c>
      <c r="BY175" s="9">
        <f t="shared" ca="1" si="122"/>
        <v>-4.4199289808585176</v>
      </c>
      <c r="BZ175">
        <f t="shared" ca="1" si="123"/>
        <v>17.216245632349651</v>
      </c>
      <c r="CA175" s="6">
        <f t="shared" ca="1" si="124"/>
        <v>0.96648312985993323</v>
      </c>
      <c r="CB175" s="6">
        <f t="shared" ca="1" si="125"/>
        <v>-0.25673013009023221</v>
      </c>
      <c r="CC175" s="6">
        <f t="shared" ca="1" si="126"/>
        <v>-0.2596374083775761</v>
      </c>
      <c r="CD175" s="6">
        <f t="shared" ca="1" si="127"/>
        <v>-116.63921096319069</v>
      </c>
      <c r="CE175" s="9">
        <f t="shared" ca="1" si="128"/>
        <v>-45.580071019141485</v>
      </c>
      <c r="CF175">
        <f t="shared" ca="1" si="129"/>
        <v>125.22878426394503</v>
      </c>
      <c r="CG175" s="6">
        <f t="shared" ca="1" si="130"/>
        <v>-0.93140895400972612</v>
      </c>
      <c r="CH175" s="6">
        <f t="shared" ca="1" si="131"/>
        <v>-0.36397439524025282</v>
      </c>
      <c r="CI175" s="6">
        <f t="shared" ca="1" si="132"/>
        <v>-2.7690612203435121</v>
      </c>
      <c r="CJ175" s="1">
        <f t="shared" ca="1" si="133"/>
        <v>-3.050476477835268</v>
      </c>
      <c r="CK175" s="38"/>
    </row>
    <row r="176" spans="1:89" ht="15.75" thickTop="1" x14ac:dyDescent="0.25">
      <c r="M176" s="9"/>
      <c r="N176" s="9">
        <f>SUM(N168:N175)</f>
        <v>18108.503228640759</v>
      </c>
      <c r="O176" s="9">
        <f t="shared" ref="O176:P176" si="209">SUM(O168:O175)</f>
        <v>154815.24686161883</v>
      </c>
      <c r="P176" s="9">
        <f t="shared" si="209"/>
        <v>144427.76476715866</v>
      </c>
      <c r="BC176">
        <v>3.0368728984701239</v>
      </c>
      <c r="BD176">
        <v>-21.55370841086204</v>
      </c>
      <c r="BE176">
        <v>-5.7292444182772586</v>
      </c>
      <c r="BF176" s="6">
        <f t="shared" si="183"/>
        <v>3.4013973871032173</v>
      </c>
      <c r="BG176" s="6">
        <f t="shared" si="184"/>
        <v>0.36452448863309339</v>
      </c>
      <c r="BH176" s="6">
        <f t="shared" si="185"/>
        <v>-2.9377497781024111</v>
      </c>
      <c r="BI176" s="6">
        <f t="shared" si="186"/>
        <v>2.9377497781024111</v>
      </c>
      <c r="BJ176">
        <v>-33.159551401326212</v>
      </c>
      <c r="BK176">
        <v>-8.8142221819650128</v>
      </c>
      <c r="BV176" s="38"/>
      <c r="BW176" s="6">
        <f t="shared" si="120"/>
        <v>2.8099800957108636</v>
      </c>
      <c r="BX176" s="9">
        <f t="shared" ca="1" si="121"/>
        <v>16.864387440802325</v>
      </c>
      <c r="BY176" s="9">
        <f t="shared" ca="1" si="122"/>
        <v>-4.0880916208553533</v>
      </c>
      <c r="BZ176">
        <f t="shared" ca="1" si="123"/>
        <v>17.352811208965509</v>
      </c>
      <c r="CA176" s="6">
        <f t="shared" ca="1" si="124"/>
        <v>0.97185333475472635</v>
      </c>
      <c r="CB176" s="6">
        <f t="shared" ca="1" si="125"/>
        <v>-0.23558670532548631</v>
      </c>
      <c r="CC176" s="6">
        <f t="shared" ca="1" si="126"/>
        <v>-0.23782222135832012</v>
      </c>
      <c r="CD176" s="6">
        <f t="shared" ca="1" si="127"/>
        <v>-116.86438744080232</v>
      </c>
      <c r="CE176" s="9">
        <f t="shared" ca="1" si="128"/>
        <v>-45.911908379144649</v>
      </c>
      <c r="CF176">
        <f t="shared" ca="1" si="129"/>
        <v>125.55950136460771</v>
      </c>
      <c r="CG176" s="6">
        <f t="shared" ca="1" si="130"/>
        <v>-0.93074905658827067</v>
      </c>
      <c r="CH176" s="6">
        <f t="shared" ca="1" si="131"/>
        <v>-0.36565857525845624</v>
      </c>
      <c r="CI176" s="6">
        <f t="shared" ca="1" si="132"/>
        <v>-2.7672523732430956</v>
      </c>
      <c r="CJ176" s="1">
        <f t="shared" ca="1" si="133"/>
        <v>-3.0522853249356845</v>
      </c>
      <c r="CK176" s="38"/>
    </row>
    <row r="177" spans="1:89" x14ac:dyDescent="0.25">
      <c r="BC177">
        <v>3.054326190990067</v>
      </c>
      <c r="BD177">
        <v>-21.980216841112441</v>
      </c>
      <c r="BE177">
        <v>-6.8354628071166745</v>
      </c>
      <c r="BF177" s="6">
        <f t="shared" si="183"/>
        <v>3.4430944351774344</v>
      </c>
      <c r="BG177" s="6">
        <f t="shared" si="184"/>
        <v>0.38876824418736744</v>
      </c>
      <c r="BH177" s="6">
        <f t="shared" si="185"/>
        <v>-2.9794468261766283</v>
      </c>
      <c r="BI177" s="6">
        <f t="shared" si="186"/>
        <v>2.9794468261766283</v>
      </c>
      <c r="BJ177">
        <v>-33.815718217096062</v>
      </c>
      <c r="BK177">
        <v>-10.516096626333345</v>
      </c>
      <c r="BV177" s="38"/>
      <c r="BW177" s="6">
        <f t="shared" si="120"/>
        <v>2.8274333882308067</v>
      </c>
      <c r="BX177" s="9">
        <f t="shared" ca="1" si="121"/>
        <v>17.106739603084584</v>
      </c>
      <c r="BY177" s="9">
        <f t="shared" ca="1" si="122"/>
        <v>-3.7143058450345756</v>
      </c>
      <c r="BZ177">
        <f t="shared" ca="1" si="123"/>
        <v>17.505330838296103</v>
      </c>
      <c r="CA177" s="6">
        <f t="shared" ca="1" si="124"/>
        <v>0.9772302940805021</v>
      </c>
      <c r="CB177" s="6">
        <f t="shared" ca="1" si="125"/>
        <v>-0.21218141372734609</v>
      </c>
      <c r="CC177" s="6">
        <f t="shared" ca="1" si="126"/>
        <v>-0.2138066621181349</v>
      </c>
      <c r="CD177" s="6">
        <f t="shared" ca="1" si="127"/>
        <v>-117.10673960308458</v>
      </c>
      <c r="CE177" s="9">
        <f t="shared" ca="1" si="128"/>
        <v>-46.285694154965427</v>
      </c>
      <c r="CF177">
        <f t="shared" ca="1" si="129"/>
        <v>125.92201532643789</v>
      </c>
      <c r="CG177" s="6">
        <f t="shared" ca="1" si="130"/>
        <v>-0.92999416582953542</v>
      </c>
      <c r="CH177" s="6">
        <f t="shared" ca="1" si="131"/>
        <v>-0.36757428027954647</v>
      </c>
      <c r="CI177" s="6">
        <f t="shared" ca="1" si="132"/>
        <v>-2.7651932988676937</v>
      </c>
      <c r="CJ177" s="1">
        <f t="shared" ca="1" si="133"/>
        <v>-3.0543443993110864</v>
      </c>
      <c r="CK177" s="38"/>
    </row>
    <row r="178" spans="1:89" x14ac:dyDescent="0.25">
      <c r="A178" t="s">
        <v>191</v>
      </c>
      <c r="B178">
        <f>(N176+M165)/1000</f>
        <v>120.43557306262562</v>
      </c>
      <c r="C178" t="s">
        <v>68</v>
      </c>
      <c r="BC178">
        <v>3.0717794835100101</v>
      </c>
      <c r="BD178">
        <v>-22.397584858168173</v>
      </c>
      <c r="BE178">
        <v>-7.9570930869242007</v>
      </c>
      <c r="BF178" s="6">
        <f t="shared" si="183"/>
        <v>3.4829507732234983</v>
      </c>
      <c r="BG178" s="6">
        <f t="shared" si="184"/>
        <v>0.41117128971348826</v>
      </c>
      <c r="BH178" s="6">
        <f t="shared" si="185"/>
        <v>-3.0193031642226922</v>
      </c>
      <c r="BI178" s="6">
        <f t="shared" si="186"/>
        <v>3.0193031642226922</v>
      </c>
      <c r="BJ178">
        <v>-34.457822858720263</v>
      </c>
      <c r="BK178">
        <v>-12.241681672191078</v>
      </c>
      <c r="BV178" s="38"/>
      <c r="BW178" s="6">
        <f t="shared" si="120"/>
        <v>2.8448866807507498</v>
      </c>
      <c r="BX178" s="9">
        <f t="shared" ca="1" si="121"/>
        <v>17.368959001855451</v>
      </c>
      <c r="BY178" s="9">
        <f t="shared" ca="1" si="122"/>
        <v>-3.2893515040393022</v>
      </c>
      <c r="BZ178">
        <f t="shared" ca="1" si="123"/>
        <v>17.677685655233866</v>
      </c>
      <c r="CA178" s="6">
        <f t="shared" ca="1" si="124"/>
        <v>0.98253579911989164</v>
      </c>
      <c r="CB178" s="6">
        <f t="shared" ca="1" si="125"/>
        <v>-0.18607365060060438</v>
      </c>
      <c r="CC178" s="6">
        <f t="shared" ca="1" si="126"/>
        <v>-0.18716448383722709</v>
      </c>
      <c r="CD178" s="6">
        <f t="shared" ca="1" si="127"/>
        <v>-117.36895900185544</v>
      </c>
      <c r="CE178" s="9">
        <f t="shared" ca="1" si="128"/>
        <v>-46.710648495960697</v>
      </c>
      <c r="CF178">
        <f t="shared" ca="1" si="129"/>
        <v>126.32243355830516</v>
      </c>
      <c r="CG178" s="6">
        <f t="shared" ca="1" si="130"/>
        <v>-0.92912205453739005</v>
      </c>
      <c r="CH178" s="6">
        <f t="shared" ca="1" si="131"/>
        <v>-0.36977318422543698</v>
      </c>
      <c r="CI178" s="6">
        <f t="shared" ca="1" si="132"/>
        <v>-2.762827763140101</v>
      </c>
      <c r="CJ178" s="1">
        <f t="shared" ca="1" si="133"/>
        <v>-3.056709935038679</v>
      </c>
      <c r="CK178" s="38"/>
    </row>
    <row r="179" spans="1:89" x14ac:dyDescent="0.25">
      <c r="A179" t="s">
        <v>100</v>
      </c>
      <c r="B179">
        <f>(N165+O176)/1000</f>
        <v>803.10715029809535</v>
      </c>
      <c r="C179" t="s">
        <v>69</v>
      </c>
      <c r="BC179">
        <v>3.0892327760299532</v>
      </c>
      <c r="BD179">
        <v>-22.802891698772051</v>
      </c>
      <c r="BE179">
        <v>-9.0871842820177289</v>
      </c>
      <c r="BF179" s="6">
        <f t="shared" si="183"/>
        <v>3.5208140363668319</v>
      </c>
      <c r="BG179" s="6">
        <f t="shared" si="184"/>
        <v>0.43158126033687871</v>
      </c>
      <c r="BH179" s="6">
        <f t="shared" si="185"/>
        <v>-3.0571664273660257</v>
      </c>
      <c r="BI179" s="6">
        <f t="shared" si="186"/>
        <v>3.0571664273660257</v>
      </c>
      <c r="BJ179">
        <v>-35.081371844264694</v>
      </c>
      <c r="BK179">
        <v>-13.980283510796506</v>
      </c>
      <c r="BV179" s="38"/>
      <c r="BW179" s="6">
        <f t="shared" si="120"/>
        <v>2.8623399732706929</v>
      </c>
      <c r="BX179" s="9">
        <f t="shared" ca="1" si="121"/>
        <v>17.654330197125326</v>
      </c>
      <c r="BY179" s="9">
        <f t="shared" ca="1" si="122"/>
        <v>-2.8013235812947701</v>
      </c>
      <c r="BZ179">
        <f t="shared" ca="1" si="123"/>
        <v>17.875200376953799</v>
      </c>
      <c r="CA179" s="6">
        <f t="shared" ca="1" si="124"/>
        <v>0.9876437648154569</v>
      </c>
      <c r="CB179" s="6">
        <f t="shared" ca="1" si="125"/>
        <v>-0.15671564638270966</v>
      </c>
      <c r="CC179" s="6">
        <f t="shared" ca="1" si="126"/>
        <v>-0.1573643254051427</v>
      </c>
      <c r="CD179" s="6">
        <f t="shared" ca="1" si="127"/>
        <v>-117.65433019712532</v>
      </c>
      <c r="CE179" s="9">
        <f t="shared" ca="1" si="128"/>
        <v>-47.198676418705233</v>
      </c>
      <c r="CF179">
        <f t="shared" ca="1" si="129"/>
        <v>126.76851529386876</v>
      </c>
      <c r="CG179" s="6">
        <f t="shared" ca="1" si="130"/>
        <v>-0.92810371663961377</v>
      </c>
      <c r="CH179" s="6">
        <f t="shared" ca="1" si="131"/>
        <v>-0.37232175756962604</v>
      </c>
      <c r="CI179" s="6">
        <f t="shared" ca="1" si="132"/>
        <v>-2.7600832699459672</v>
      </c>
      <c r="CJ179" s="1">
        <f t="shared" ca="1" si="133"/>
        <v>-3.0594544282328129</v>
      </c>
      <c r="CK179" s="38"/>
    </row>
    <row r="180" spans="1:89" x14ac:dyDescent="0.25">
      <c r="A180" t="s">
        <v>101</v>
      </c>
      <c r="B180">
        <f>-1*(O165+P176)/1000</f>
        <v>-677.84101415935709</v>
      </c>
      <c r="C180" t="s">
        <v>69</v>
      </c>
      <c r="BC180">
        <v>3.1066860685498963</v>
      </c>
      <c r="BD180">
        <v>-23.19584960425</v>
      </c>
      <c r="BE180">
        <v>-10.225141572336069</v>
      </c>
      <c r="BF180" s="6">
        <f t="shared" si="183"/>
        <v>3.5567844100608821</v>
      </c>
      <c r="BG180" s="6">
        <f t="shared" si="184"/>
        <v>0.45009834151098582</v>
      </c>
      <c r="BH180" s="6">
        <f t="shared" si="185"/>
        <v>-3.0931368010600759</v>
      </c>
      <c r="BI180" s="6">
        <f t="shared" si="186"/>
        <v>3.0931368010600759</v>
      </c>
      <c r="BJ180">
        <v>-35.685922468076924</v>
      </c>
      <c r="BK180">
        <v>-15.730987034363183</v>
      </c>
      <c r="BV180" s="38"/>
      <c r="BW180" s="6">
        <f t="shared" si="120"/>
        <v>2.879793265790636</v>
      </c>
      <c r="BX180" s="9">
        <f t="shared" ca="1" si="121"/>
        <v>17.966030427916294</v>
      </c>
      <c r="BY180" s="9">
        <f t="shared" ca="1" si="122"/>
        <v>-2.2373236555492122</v>
      </c>
      <c r="BZ180">
        <f t="shared" ca="1" si="123"/>
        <v>18.104802304264311</v>
      </c>
      <c r="CA180" s="6">
        <f t="shared" ca="1" si="124"/>
        <v>0.99233507916762331</v>
      </c>
      <c r="CB180" s="6">
        <f t="shared" ca="1" si="125"/>
        <v>-0.12357625440749744</v>
      </c>
      <c r="CC180" s="6">
        <f t="shared" ca="1" si="126"/>
        <v>-0.12389295969790477</v>
      </c>
      <c r="CD180" s="6">
        <f t="shared" ca="1" si="127"/>
        <v>-117.96603042791629</v>
      </c>
      <c r="CE180" s="9">
        <f t="shared" ca="1" si="128"/>
        <v>-47.762676344450789</v>
      </c>
      <c r="CF180">
        <f t="shared" ca="1" si="129"/>
        <v>127.268446939942</v>
      </c>
      <c r="CG180" s="6">
        <f t="shared" ca="1" si="130"/>
        <v>-0.92690712634832806</v>
      </c>
      <c r="CH180" s="6">
        <f t="shared" ca="1" si="131"/>
        <v>-0.37529079275234656</v>
      </c>
      <c r="CI180" s="6">
        <f t="shared" ca="1" si="132"/>
        <v>-2.7568821752907713</v>
      </c>
      <c r="CJ180" s="1">
        <f t="shared" ca="1" si="133"/>
        <v>-3.0626555228880088</v>
      </c>
      <c r="CK180" s="38"/>
    </row>
    <row r="181" spans="1:89" x14ac:dyDescent="0.25">
      <c r="BC181">
        <v>3.1241393610698394</v>
      </c>
      <c r="BD181">
        <v>-23.663215738924585</v>
      </c>
      <c r="BE181">
        <v>-11.443361720662311</v>
      </c>
      <c r="BF181" s="6">
        <f t="shared" si="183"/>
        <v>3.5920285925069484</v>
      </c>
      <c r="BG181" s="6">
        <f t="shared" si="184"/>
        <v>0.46788923143710903</v>
      </c>
      <c r="BH181" s="6">
        <f t="shared" si="185"/>
        <v>-3.1283809835061422</v>
      </c>
      <c r="BI181" s="6">
        <f t="shared" si="186"/>
        <v>3.1283809835061422</v>
      </c>
      <c r="BJ181">
        <v>-36.210511761085414</v>
      </c>
      <c r="BK181">
        <v>-17.511144247853991</v>
      </c>
      <c r="BV181" s="38"/>
      <c r="BW181" s="6">
        <f t="shared" si="120"/>
        <v>2.8972465583105791</v>
      </c>
      <c r="BX181" s="9">
        <f t="shared" ca="1" si="121"/>
        <v>18.30277026342905</v>
      </c>
      <c r="BY181" s="9">
        <f t="shared" ca="1" si="122"/>
        <v>-1.5969615132286923</v>
      </c>
      <c r="BZ181">
        <f t="shared" ca="1" si="123"/>
        <v>18.372307568473708</v>
      </c>
      <c r="CA181" s="6">
        <f t="shared" ca="1" si="124"/>
        <v>0.99621510227904186</v>
      </c>
      <c r="CB181" s="6">
        <f t="shared" ca="1" si="125"/>
        <v>-8.6922206547914924E-2</v>
      </c>
      <c r="CC181" s="6">
        <f t="shared" ca="1" si="126"/>
        <v>-8.7032036731473625E-2</v>
      </c>
      <c r="CD181" s="6">
        <f t="shared" ca="1" si="127"/>
        <v>-118.30277026342905</v>
      </c>
      <c r="CE181" s="9">
        <f t="shared" ca="1" si="128"/>
        <v>-48.403038486771308</v>
      </c>
      <c r="CF181">
        <f t="shared" ca="1" si="129"/>
        <v>127.82174927121572</v>
      </c>
      <c r="CG181" s="6">
        <f t="shared" ca="1" si="130"/>
        <v>-0.92552926976778394</v>
      </c>
      <c r="CH181" s="6">
        <f t="shared" ca="1" si="131"/>
        <v>-0.37867607635433309</v>
      </c>
      <c r="CI181" s="6">
        <f t="shared" ca="1" si="132"/>
        <v>-2.7532272267694449</v>
      </c>
      <c r="CJ181" s="1">
        <f t="shared" ca="1" si="133"/>
        <v>-3.0663104714093352</v>
      </c>
      <c r="CK181" s="38"/>
    </row>
    <row r="182" spans="1:89" x14ac:dyDescent="0.25">
      <c r="A182" t="s">
        <v>54</v>
      </c>
      <c r="BC182">
        <v>3.1415926535897825</v>
      </c>
      <c r="BD182">
        <v>-24.082659939669306</v>
      </c>
      <c r="BE182">
        <v>-12.665248727883204</v>
      </c>
      <c r="BF182" s="6">
        <f t="shared" si="183"/>
        <v>3.6257507158085298</v>
      </c>
      <c r="BG182" s="6">
        <f t="shared" si="184"/>
        <v>0.48415806221874735</v>
      </c>
      <c r="BH182" s="6">
        <f t="shared" si="185"/>
        <v>3.1210822003718626</v>
      </c>
      <c r="BI182" s="6">
        <f t="shared" si="186"/>
        <v>3.1210822003718626</v>
      </c>
      <c r="BJ182">
        <v>-36.552370448930944</v>
      </c>
      <c r="BK182">
        <v>-19.223161581369538</v>
      </c>
      <c r="BV182" s="38"/>
      <c r="BW182" s="6">
        <f t="shared" si="120"/>
        <v>2.9146998508305222</v>
      </c>
      <c r="BX182" s="9">
        <f t="shared" ca="1" si="121"/>
        <v>18.661669943627611</v>
      </c>
      <c r="BY182" s="9">
        <f t="shared" ca="1" si="122"/>
        <v>-0.88474368404924952</v>
      </c>
      <c r="BZ182">
        <f t="shared" ca="1" si="123"/>
        <v>18.682630876601912</v>
      </c>
      <c r="CA182" s="6">
        <f t="shared" ca="1" si="124"/>
        <v>0.99887805239461469</v>
      </c>
      <c r="CB182" s="6">
        <f t="shared" ca="1" si="125"/>
        <v>-4.7356482601029211E-2</v>
      </c>
      <c r="CC182" s="6">
        <f t="shared" ca="1" si="126"/>
        <v>-4.7374201050370802E-2</v>
      </c>
      <c r="CD182" s="6">
        <f t="shared" ca="1" si="127"/>
        <v>-118.66166994362761</v>
      </c>
      <c r="CE182" s="9">
        <f t="shared" ca="1" si="128"/>
        <v>-49.115256315950752</v>
      </c>
      <c r="CF182">
        <f t="shared" ca="1" si="129"/>
        <v>128.42468733382987</v>
      </c>
      <c r="CG182" s="6">
        <f t="shared" ca="1" si="130"/>
        <v>-0.92397865556157399</v>
      </c>
      <c r="CH182" s="6">
        <f t="shared" ca="1" si="131"/>
        <v>-0.38244404043810915</v>
      </c>
      <c r="CI182" s="6">
        <f t="shared" ca="1" si="132"/>
        <v>-2.7491526739446641</v>
      </c>
      <c r="CJ182" s="1">
        <f t="shared" ca="1" si="133"/>
        <v>-3.070385024234116</v>
      </c>
      <c r="CK182" s="38"/>
    </row>
    <row r="183" spans="1:89" x14ac:dyDescent="0.25">
      <c r="BC183">
        <v>3.1590459461097256</v>
      </c>
      <c r="BD183">
        <v>-23.672862905784825</v>
      </c>
      <c r="BE183">
        <v>-13.20874480826498</v>
      </c>
      <c r="BF183" s="6">
        <f t="shared" si="183"/>
        <v>3.6505341859385307</v>
      </c>
      <c r="BG183" s="6">
        <f t="shared" si="184"/>
        <v>0.49148823982880518</v>
      </c>
      <c r="BH183" s="6">
        <f t="shared" si="185"/>
        <v>3.0962987302418616</v>
      </c>
      <c r="BI183" s="6">
        <f t="shared" si="186"/>
        <v>3.0962987302418616</v>
      </c>
      <c r="BJ183">
        <v>-36.232719596423252</v>
      </c>
      <c r="BK183">
        <v>-20.216766715682112</v>
      </c>
      <c r="BV183" s="38"/>
      <c r="BW183" s="6">
        <f t="shared" si="120"/>
        <v>2.9321531433504653</v>
      </c>
      <c r="BX183" s="9">
        <f t="shared" ca="1" si="121"/>
        <v>19.039985908499176</v>
      </c>
      <c r="BY183" s="9">
        <f t="shared" ca="1" si="122"/>
        <v>-0.10492771062100836</v>
      </c>
      <c r="BZ183">
        <f t="shared" ca="1" si="123"/>
        <v>19.040275030059398</v>
      </c>
      <c r="CA183" s="6">
        <f t="shared" ca="1" si="124"/>
        <v>0.99998481526344729</v>
      </c>
      <c r="CB183" s="6">
        <f t="shared" ca="1" si="125"/>
        <v>-5.5108295681315601E-3</v>
      </c>
      <c r="CC183" s="6">
        <f t="shared" ca="1" si="126"/>
        <v>-5.5108574617993766E-3</v>
      </c>
      <c r="CD183" s="6">
        <f t="shared" ca="1" si="127"/>
        <v>-119.03998590849918</v>
      </c>
      <c r="CE183" s="9">
        <f t="shared" ca="1" si="128"/>
        <v>-49.895072289378994</v>
      </c>
      <c r="CF183">
        <f t="shared" ca="1" si="129"/>
        <v>129.07376373166639</v>
      </c>
      <c r="CG183" s="6">
        <f t="shared" ca="1" si="130"/>
        <v>-0.9222632273741812</v>
      </c>
      <c r="CH183" s="6">
        <f t="shared" ca="1" si="131"/>
        <v>-0.38656246511186187</v>
      </c>
      <c r="CI183" s="6">
        <f t="shared" ca="1" si="132"/>
        <v>-2.7446912673644421</v>
      </c>
      <c r="CJ183" s="1">
        <f t="shared" ca="1" si="133"/>
        <v>-3.0748464308143379</v>
      </c>
      <c r="CK183" s="38"/>
    </row>
    <row r="184" spans="1:89" x14ac:dyDescent="0.25">
      <c r="A184">
        <f>A14</f>
        <v>0</v>
      </c>
      <c r="B184" t="str">
        <f t="shared" ref="B184:E184" si="210">B14</f>
        <v>Bar #</v>
      </c>
      <c r="C184" t="str">
        <f t="shared" si="210"/>
        <v>As (in^2)</v>
      </c>
      <c r="D184" t="str">
        <f t="shared" si="210"/>
        <v>x</v>
      </c>
      <c r="E184" t="str">
        <f t="shared" si="210"/>
        <v>y</v>
      </c>
      <c r="F184" s="1" t="s">
        <v>55</v>
      </c>
      <c r="G184" s="1" t="s">
        <v>56</v>
      </c>
      <c r="H184" s="1" t="s">
        <v>21</v>
      </c>
      <c r="I184" s="1" t="s">
        <v>22</v>
      </c>
      <c r="J184" s="1" t="s">
        <v>57</v>
      </c>
      <c r="K184" s="1" t="s">
        <v>58</v>
      </c>
      <c r="L184" s="1" t="s">
        <v>192</v>
      </c>
      <c r="M184" s="1" t="s">
        <v>59</v>
      </c>
      <c r="N184" s="1" t="s">
        <v>60</v>
      </c>
      <c r="O184" s="1" t="s">
        <v>61</v>
      </c>
      <c r="P184" s="1" t="s">
        <v>62</v>
      </c>
      <c r="BC184">
        <v>3.1764992386296687</v>
      </c>
      <c r="BD184">
        <v>-23.250981603677484</v>
      </c>
      <c r="BE184">
        <v>-13.725344042087464</v>
      </c>
      <c r="BF184" s="6">
        <f t="shared" si="183"/>
        <v>3.6748585067557786</v>
      </c>
      <c r="BG184" s="6">
        <f t="shared" si="184"/>
        <v>0.49835926812610998</v>
      </c>
      <c r="BH184" s="6">
        <f t="shared" si="185"/>
        <v>3.0719744094246138</v>
      </c>
      <c r="BI184" s="6">
        <f t="shared" si="186"/>
        <v>3.0719744094246138</v>
      </c>
      <c r="BJ184">
        <v>-35.77074092873459</v>
      </c>
      <c r="BK184">
        <v>-21.115913910903789</v>
      </c>
      <c r="BV184" s="38"/>
      <c r="BW184" s="6">
        <f t="shared" si="120"/>
        <v>2.9496064358704084</v>
      </c>
      <c r="BX184" s="9">
        <f t="shared" ca="1" si="121"/>
        <v>19.434999992000535</v>
      </c>
      <c r="BY184" s="9">
        <f t="shared" ca="1" si="122"/>
        <v>0.73826185976737979</v>
      </c>
      <c r="BZ184">
        <f t="shared" ca="1" si="123"/>
        <v>19.449016819948714</v>
      </c>
      <c r="CA184" s="6">
        <f t="shared" ca="1" si="124"/>
        <v>0.99927930403485477</v>
      </c>
      <c r="CB184" s="6">
        <f t="shared" ca="1" si="125"/>
        <v>3.7958826741830466E-2</v>
      </c>
      <c r="CC184" s="6">
        <f t="shared" ca="1" si="126"/>
        <v>3.796794829585632E-2</v>
      </c>
      <c r="CD184" s="6">
        <f t="shared" ca="1" si="127"/>
        <v>-119.43499999200054</v>
      </c>
      <c r="CE184" s="9">
        <f t="shared" ca="1" si="128"/>
        <v>-50.738261859767377</v>
      </c>
      <c r="CF184">
        <f t="shared" ca="1" si="129"/>
        <v>129.76552099706413</v>
      </c>
      <c r="CG184" s="6">
        <f t="shared" ca="1" si="130"/>
        <v>-0.92039086403161507</v>
      </c>
      <c r="CH184" s="6">
        <f t="shared" ca="1" si="131"/>
        <v>-0.39099956190146457</v>
      </c>
      <c r="CI184" s="6">
        <f t="shared" ca="1" si="132"/>
        <v>-2.7398752921531782</v>
      </c>
      <c r="CJ184" s="1">
        <f t="shared" ca="1" si="133"/>
        <v>-3.0796624060256019</v>
      </c>
      <c r="CK184" s="38"/>
    </row>
    <row r="185" spans="1:89" x14ac:dyDescent="0.25">
      <c r="A185">
        <f t="shared" ref="A185:E194" si="211">A15</f>
        <v>1</v>
      </c>
      <c r="B185">
        <f t="shared" si="211"/>
        <v>0</v>
      </c>
      <c r="C185">
        <f t="shared" ca="1" si="211"/>
        <v>0</v>
      </c>
      <c r="D185">
        <f t="shared" si="211"/>
        <v>2</v>
      </c>
      <c r="E185">
        <f t="shared" si="211"/>
        <v>2</v>
      </c>
      <c r="F185" s="1">
        <f t="shared" ref="F185:F194" si="212">D185-$I$2</f>
        <v>-4</v>
      </c>
      <c r="G185" s="1">
        <f t="shared" ref="G185:G194" si="213">E185-$I$3</f>
        <v>-10</v>
      </c>
      <c r="H185" s="6">
        <f t="shared" ref="H185:H194" si="214">F185*COS($B$27)+G185*SIN($B$27)</f>
        <v>-10.760491217051232</v>
      </c>
      <c r="I185" s="6">
        <f t="shared" ref="I185:I194" si="215">-1*F185*SIN($B$27)+G185*COS($B$27)</f>
        <v>0.4602485934397551</v>
      </c>
      <c r="J185" s="6">
        <f t="shared" ref="J185:J194" si="216">$G$38-I185</f>
        <v>9.1772443933819403</v>
      </c>
      <c r="K185">
        <f t="shared" ref="K185:K194" ca="1" si="217">IF($B$28=0,-1,IF(C185=0,0,(($B$28-J185)/$B$28)*$B$30)*IF($B$28&lt;0,-1,1))</f>
        <v>0</v>
      </c>
      <c r="L185">
        <f ca="1">IF(K185&lt;0,0,IF(K185&lt;=$B$145,0.85*$B$143*((2*K185/$B$145)-POWER(K185/$B$145,2)),0.85*$B$143))/1000</f>
        <v>0</v>
      </c>
      <c r="M185">
        <f ca="1">IF(K185&gt;0,MIN((K185*B$13),B$12)-L185,MAX(K185*B$13,-1*B$12))</f>
        <v>0</v>
      </c>
      <c r="N185" s="6">
        <f t="shared" ref="N185:N194" ca="1" si="218">M185*C185</f>
        <v>0</v>
      </c>
      <c r="O185" s="6">
        <f t="shared" ref="O185:O194" ca="1" si="219">N185*I185</f>
        <v>0</v>
      </c>
      <c r="P185" s="6">
        <f t="shared" ref="P185:P194" ca="1" si="220">N185*H185*-1</f>
        <v>0</v>
      </c>
      <c r="BC185">
        <v>3.1939525311496118</v>
      </c>
      <c r="BD185">
        <v>-22.925683024830327</v>
      </c>
      <c r="BE185">
        <v>-14.313287377590118</v>
      </c>
      <c r="BF185" s="6">
        <f t="shared" si="183"/>
        <v>3.6997130295146463</v>
      </c>
      <c r="BG185" s="6">
        <f t="shared" si="184"/>
        <v>0.50576049836503456</v>
      </c>
      <c r="BH185" s="6">
        <f t="shared" si="185"/>
        <v>3.0471198866657461</v>
      </c>
      <c r="BI185" s="6">
        <f t="shared" si="186"/>
        <v>3.0471198866657461</v>
      </c>
      <c r="BJ185">
        <v>-35.270281576662043</v>
      </c>
      <c r="BK185">
        <v>-22.020442119369413</v>
      </c>
      <c r="BV185" s="38"/>
      <c r="BW185" s="6">
        <f t="shared" si="120"/>
        <v>2.9670597283903515</v>
      </c>
      <c r="BX185" s="9">
        <f t="shared" ca="1" si="121"/>
        <v>19.843910300159155</v>
      </c>
      <c r="BY185" s="9">
        <f t="shared" ca="1" si="122"/>
        <v>1.6404047886945823</v>
      </c>
      <c r="BZ185">
        <f t="shared" ca="1" si="123"/>
        <v>19.911597220502799</v>
      </c>
      <c r="CA185" s="6">
        <f t="shared" ca="1" si="124"/>
        <v>0.99660062828742102</v>
      </c>
      <c r="CB185" s="6">
        <f t="shared" ca="1" si="125"/>
        <v>8.2384389887390441E-2</v>
      </c>
      <c r="CC185" s="6">
        <f t="shared" ca="1" si="126"/>
        <v>8.2477868728992682E-2</v>
      </c>
      <c r="CD185" s="6">
        <f t="shared" ca="1" si="127"/>
        <v>-119.84391030015915</v>
      </c>
      <c r="CE185" s="9">
        <f t="shared" ca="1" si="128"/>
        <v>-51.640404788694582</v>
      </c>
      <c r="CF185">
        <f t="shared" ca="1" si="129"/>
        <v>130.49633804353601</v>
      </c>
      <c r="CG185" s="6">
        <f t="shared" ca="1" si="130"/>
        <v>-0.91836991058076267</v>
      </c>
      <c r="CH185" s="6">
        <f t="shared" ca="1" si="131"/>
        <v>-0.39572301846099606</v>
      </c>
      <c r="CI185" s="6">
        <f t="shared" ca="1" si="132"/>
        <v>-2.7347376513736181</v>
      </c>
      <c r="CJ185" s="1">
        <f t="shared" ca="1" si="133"/>
        <v>-3.084800046805162</v>
      </c>
      <c r="CK185" s="38"/>
    </row>
    <row r="186" spans="1:89" x14ac:dyDescent="0.25">
      <c r="A186">
        <f t="shared" si="211"/>
        <v>2</v>
      </c>
      <c r="B186">
        <f t="shared" si="211"/>
        <v>0</v>
      </c>
      <c r="C186">
        <f t="shared" ca="1" si="211"/>
        <v>0</v>
      </c>
      <c r="D186">
        <f t="shared" si="211"/>
        <v>2</v>
      </c>
      <c r="E186">
        <f t="shared" si="211"/>
        <v>4</v>
      </c>
      <c r="F186" s="1">
        <f t="shared" si="212"/>
        <v>-4</v>
      </c>
      <c r="G186" s="1">
        <f t="shared" si="213"/>
        <v>-8</v>
      </c>
      <c r="H186" s="6">
        <f t="shared" si="214"/>
        <v>-8.8734928283568983</v>
      </c>
      <c r="I186" s="6">
        <f t="shared" si="215"/>
        <v>1.1229982302295376</v>
      </c>
      <c r="J186" s="6">
        <f t="shared" si="216"/>
        <v>8.5144947565921569</v>
      </c>
      <c r="K186">
        <f t="shared" ca="1" si="217"/>
        <v>0</v>
      </c>
      <c r="L186">
        <f t="shared" ref="L186:L194" ca="1" si="221">IF(K186&lt;0,0,IF(K186&lt;=$B$145,0.85*$B$143*((2*K186/$B$145)-POWER(K186/$B$145,2)),0.85*$B$143))/1000</f>
        <v>0</v>
      </c>
      <c r="M186">
        <f t="shared" ref="M186:M194" ca="1" si="222">IF(K186&gt;0,MIN((K186*B$13),B$12)-L186,MAX(K186*B$13,-1*B$12))</f>
        <v>0</v>
      </c>
      <c r="N186" s="6">
        <f t="shared" ca="1" si="218"/>
        <v>0</v>
      </c>
      <c r="O186" s="6">
        <f t="shared" ca="1" si="219"/>
        <v>0</v>
      </c>
      <c r="P186" s="6">
        <f t="shared" ca="1" si="220"/>
        <v>0</v>
      </c>
      <c r="BC186">
        <v>3.2114058236695548</v>
      </c>
      <c r="BD186">
        <v>-22.610318820419042</v>
      </c>
      <c r="BE186">
        <v>-14.896237285311187</v>
      </c>
      <c r="BF186" s="6">
        <f t="shared" si="183"/>
        <v>3.7241465598801486</v>
      </c>
      <c r="BG186" s="6">
        <f t="shared" si="184"/>
        <v>0.51274073621059379</v>
      </c>
      <c r="BH186" s="6">
        <f t="shared" si="185"/>
        <v>3.0226863563002437</v>
      </c>
      <c r="BI186" s="6">
        <f t="shared" si="186"/>
        <v>3.0226863563002437</v>
      </c>
      <c r="BJ186">
        <v>-34.785105877567759</v>
      </c>
      <c r="BK186">
        <v>-22.917288131247979</v>
      </c>
      <c r="BV186" s="38"/>
      <c r="BW186" s="6">
        <f t="shared" si="120"/>
        <v>2.9845130209102946</v>
      </c>
      <c r="BX186" s="9">
        <f t="shared" ca="1" si="121"/>
        <v>20.263723976336799</v>
      </c>
      <c r="BY186" s="9">
        <f t="shared" ca="1" si="122"/>
        <v>2.5966430493955825</v>
      </c>
      <c r="BZ186">
        <f t="shared" ca="1" si="123"/>
        <v>20.429416646471854</v>
      </c>
      <c r="CA186" s="6">
        <f t="shared" ca="1" si="124"/>
        <v>0.99188950555944189</v>
      </c>
      <c r="CB186" s="6">
        <f t="shared" ca="1" si="125"/>
        <v>0.12710314221546903</v>
      </c>
      <c r="CC186" s="6">
        <f t="shared" ca="1" si="126"/>
        <v>0.12744788399515222</v>
      </c>
      <c r="CD186" s="6">
        <f t="shared" ca="1" si="127"/>
        <v>-120.26372397633679</v>
      </c>
      <c r="CE186" s="9">
        <f t="shared" ca="1" si="128"/>
        <v>-52.596643049395581</v>
      </c>
      <c r="CF186">
        <f t="shared" ca="1" si="129"/>
        <v>131.26221910634476</v>
      </c>
      <c r="CG186" s="6">
        <f t="shared" ca="1" si="130"/>
        <v>-0.91620974256806287</v>
      </c>
      <c r="CH186" s="6">
        <f t="shared" ca="1" si="131"/>
        <v>-0.4006990237364747</v>
      </c>
      <c r="CI186" s="6">
        <f t="shared" ca="1" si="132"/>
        <v>-2.7293129830420884</v>
      </c>
      <c r="CJ186" s="1">
        <f t="shared" ca="1" si="133"/>
        <v>-3.0902247151366917</v>
      </c>
      <c r="CK186" s="38"/>
    </row>
    <row r="187" spans="1:89" x14ac:dyDescent="0.25">
      <c r="A187">
        <f t="shared" si="211"/>
        <v>3</v>
      </c>
      <c r="B187">
        <f t="shared" si="211"/>
        <v>0</v>
      </c>
      <c r="C187">
        <f t="shared" ca="1" si="211"/>
        <v>0</v>
      </c>
      <c r="D187">
        <f t="shared" si="211"/>
        <v>4</v>
      </c>
      <c r="E187">
        <f t="shared" si="211"/>
        <v>2</v>
      </c>
      <c r="F187" s="1">
        <f t="shared" si="212"/>
        <v>-2</v>
      </c>
      <c r="G187" s="1">
        <f t="shared" si="213"/>
        <v>-10</v>
      </c>
      <c r="H187" s="6">
        <f t="shared" si="214"/>
        <v>-10.097741580261449</v>
      </c>
      <c r="I187" s="6">
        <f t="shared" si="215"/>
        <v>-1.4267497952545785</v>
      </c>
      <c r="J187" s="6">
        <f t="shared" si="216"/>
        <v>11.064242782076272</v>
      </c>
      <c r="K187">
        <f t="shared" ca="1" si="217"/>
        <v>0</v>
      </c>
      <c r="L187">
        <f t="shared" ca="1" si="221"/>
        <v>0</v>
      </c>
      <c r="M187">
        <f t="shared" ca="1" si="222"/>
        <v>0</v>
      </c>
      <c r="N187" s="6">
        <f t="shared" ca="1" si="218"/>
        <v>0</v>
      </c>
      <c r="O187" s="6">
        <f t="shared" ca="1" si="219"/>
        <v>0</v>
      </c>
      <c r="P187" s="6">
        <f t="shared" ca="1" si="220"/>
        <v>0</v>
      </c>
      <c r="BC187">
        <v>3.2288591161894979</v>
      </c>
      <c r="BD187">
        <v>-22.302078150797993</v>
      </c>
      <c r="BE187">
        <v>-15.475401039394313</v>
      </c>
      <c r="BF187" s="6">
        <f t="shared" si="183"/>
        <v>3.7482125826383141</v>
      </c>
      <c r="BG187" s="6">
        <f t="shared" si="184"/>
        <v>0.51935346644881619</v>
      </c>
      <c r="BH187" s="6">
        <f t="shared" si="185"/>
        <v>2.9986203335420782</v>
      </c>
      <c r="BI187" s="6">
        <f t="shared" si="186"/>
        <v>2.9986203335420782</v>
      </c>
      <c r="BJ187">
        <v>-34.310889462766141</v>
      </c>
      <c r="BK187">
        <v>-23.808309291375867</v>
      </c>
      <c r="BV187" s="38"/>
      <c r="BW187" s="6">
        <f t="shared" si="120"/>
        <v>3.0019663134302377</v>
      </c>
      <c r="BX187" s="9">
        <f t="shared" ca="1" si="121"/>
        <v>20.691152857377162</v>
      </c>
      <c r="BY187" s="9">
        <f t="shared" ca="1" si="122"/>
        <v>3.6014199804588913</v>
      </c>
      <c r="BZ187">
        <f t="shared" ca="1" si="123"/>
        <v>21.002238748357176</v>
      </c>
      <c r="CA187" s="6">
        <f t="shared" ca="1" si="124"/>
        <v>0.98518796521135887</v>
      </c>
      <c r="CB187" s="6">
        <f t="shared" ca="1" si="125"/>
        <v>0.17147790878915703</v>
      </c>
      <c r="CC187" s="6">
        <f t="shared" ca="1" si="126"/>
        <v>0.17232960264425246</v>
      </c>
      <c r="CD187" s="6">
        <f t="shared" ca="1" si="127"/>
        <v>-120.69115285737716</v>
      </c>
      <c r="CE187" s="9">
        <f t="shared" ca="1" si="128"/>
        <v>-53.601419980458893</v>
      </c>
      <c r="CF187">
        <f t="shared" ca="1" si="129"/>
        <v>132.05857261822996</v>
      </c>
      <c r="CG187" s="6">
        <f t="shared" ca="1" si="130"/>
        <v>-0.91392137946458774</v>
      </c>
      <c r="CH187" s="6">
        <f t="shared" ca="1" si="131"/>
        <v>-0.40589125656700842</v>
      </c>
      <c r="CI187" s="6">
        <f t="shared" ca="1" si="132"/>
        <v>-2.7236388334281414</v>
      </c>
      <c r="CJ187" s="1">
        <f t="shared" ca="1" si="133"/>
        <v>-3.0958988647506387</v>
      </c>
      <c r="CK187" s="38"/>
    </row>
    <row r="188" spans="1:89" x14ac:dyDescent="0.25">
      <c r="A188">
        <f t="shared" si="211"/>
        <v>4</v>
      </c>
      <c r="B188">
        <f t="shared" si="211"/>
        <v>0</v>
      </c>
      <c r="C188">
        <f t="shared" ca="1" si="211"/>
        <v>0</v>
      </c>
      <c r="D188">
        <f t="shared" si="211"/>
        <v>4</v>
      </c>
      <c r="E188">
        <f t="shared" si="211"/>
        <v>4</v>
      </c>
      <c r="F188" s="1">
        <f t="shared" si="212"/>
        <v>-2</v>
      </c>
      <c r="G188" s="1">
        <f t="shared" si="213"/>
        <v>-8</v>
      </c>
      <c r="H188" s="6">
        <f t="shared" si="214"/>
        <v>-8.2107431915671167</v>
      </c>
      <c r="I188" s="6">
        <f t="shared" si="215"/>
        <v>-0.76400015846479596</v>
      </c>
      <c r="J188" s="6">
        <f t="shared" si="216"/>
        <v>10.401493145286491</v>
      </c>
      <c r="K188">
        <f t="shared" ca="1" si="217"/>
        <v>0</v>
      </c>
      <c r="L188">
        <f t="shared" ca="1" si="221"/>
        <v>0</v>
      </c>
      <c r="M188">
        <f t="shared" ca="1" si="222"/>
        <v>0</v>
      </c>
      <c r="N188" s="6">
        <f t="shared" ca="1" si="218"/>
        <v>0</v>
      </c>
      <c r="O188" s="6">
        <f t="shared" ca="1" si="219"/>
        <v>0</v>
      </c>
      <c r="P188" s="6">
        <f t="shared" ca="1" si="220"/>
        <v>0</v>
      </c>
      <c r="BC188">
        <v>3.246312408709441</v>
      </c>
      <c r="BD188">
        <v>-21.999458902238931</v>
      </c>
      <c r="BE188">
        <v>-16.050904424623148</v>
      </c>
      <c r="BF188" s="6">
        <f t="shared" si="183"/>
        <v>3.7719123607972813</v>
      </c>
      <c r="BG188" s="6">
        <f t="shared" si="184"/>
        <v>0.52559995208784027</v>
      </c>
      <c r="BH188" s="6">
        <f t="shared" si="185"/>
        <v>2.9749205553831111</v>
      </c>
      <c r="BI188" s="6">
        <f t="shared" si="186"/>
        <v>2.9749205553831111</v>
      </c>
      <c r="BJ188">
        <v>-33.845321388059894</v>
      </c>
      <c r="BK188">
        <v>-24.693699114804843</v>
      </c>
      <c r="BV188" s="38"/>
      <c r="BW188" s="6">
        <f t="shared" si="120"/>
        <v>3.0194196059501808</v>
      </c>
      <c r="BX188" s="9">
        <f t="shared" ca="1" si="121"/>
        <v>21.122520611076805</v>
      </c>
      <c r="BY188" s="9">
        <f t="shared" ca="1" si="122"/>
        <v>4.6482057050077747</v>
      </c>
      <c r="BZ188">
        <f t="shared" ca="1" si="123"/>
        <v>21.627914676210263</v>
      </c>
      <c r="CA188" s="6">
        <f t="shared" ca="1" si="124"/>
        <v>0.97663232573737824</v>
      </c>
      <c r="CB188" s="6">
        <f t="shared" ca="1" si="125"/>
        <v>0.21491696146372322</v>
      </c>
      <c r="CC188" s="6">
        <f t="shared" ca="1" si="126"/>
        <v>0.21660680366465432</v>
      </c>
      <c r="CD188" s="6">
        <f t="shared" ca="1" si="127"/>
        <v>-121.12252061107681</v>
      </c>
      <c r="CE188" s="9">
        <f t="shared" ca="1" si="128"/>
        <v>-54.648205705007776</v>
      </c>
      <c r="CF188">
        <f t="shared" ca="1" si="129"/>
        <v>132.87998865878026</v>
      </c>
      <c r="CG188" s="6">
        <f t="shared" ca="1" si="130"/>
        <v>-0.91151814380496965</v>
      </c>
      <c r="CH188" s="6">
        <f t="shared" ca="1" si="131"/>
        <v>-0.41125986129738284</v>
      </c>
      <c r="CI188" s="6">
        <f t="shared" ca="1" si="132"/>
        <v>-2.717756864528547</v>
      </c>
      <c r="CJ188" s="1">
        <f t="shared" ca="1" si="133"/>
        <v>-3.101780833650233</v>
      </c>
      <c r="CK188" s="38"/>
    </row>
    <row r="189" spans="1:89" x14ac:dyDescent="0.25">
      <c r="A189">
        <f t="shared" si="211"/>
        <v>5</v>
      </c>
      <c r="B189">
        <f t="shared" si="211"/>
        <v>0</v>
      </c>
      <c r="C189">
        <f t="shared" ca="1" si="211"/>
        <v>0</v>
      </c>
      <c r="D189">
        <f t="shared" si="211"/>
        <v>6</v>
      </c>
      <c r="E189">
        <f t="shared" si="211"/>
        <v>2</v>
      </c>
      <c r="F189" s="1">
        <f t="shared" si="212"/>
        <v>0</v>
      </c>
      <c r="G189" s="1">
        <f t="shared" si="213"/>
        <v>-10</v>
      </c>
      <c r="H189" s="6">
        <f t="shared" si="214"/>
        <v>-9.4349919434716671</v>
      </c>
      <c r="I189" s="6">
        <f t="shared" si="215"/>
        <v>-3.313748183948912</v>
      </c>
      <c r="J189" s="6">
        <f t="shared" si="216"/>
        <v>12.951241170770606</v>
      </c>
      <c r="K189">
        <f t="shared" ca="1" si="217"/>
        <v>0</v>
      </c>
      <c r="L189">
        <f t="shared" ca="1" si="221"/>
        <v>0</v>
      </c>
      <c r="M189">
        <f t="shared" ca="1" si="222"/>
        <v>0</v>
      </c>
      <c r="N189" s="6">
        <f t="shared" ca="1" si="218"/>
        <v>0</v>
      </c>
      <c r="O189" s="6">
        <f t="shared" ca="1" si="219"/>
        <v>0</v>
      </c>
      <c r="P189" s="6">
        <f t="shared" ca="1" si="220"/>
        <v>0</v>
      </c>
      <c r="BC189">
        <v>3.2637657012293841</v>
      </c>
      <c r="BD189">
        <v>-21.702350917592891</v>
      </c>
      <c r="BE189">
        <v>-16.621913620991094</v>
      </c>
      <c r="BF189" s="6">
        <f t="shared" si="183"/>
        <v>3.795194756102755</v>
      </c>
      <c r="BG189" s="6">
        <f t="shared" si="184"/>
        <v>0.53142905487337089</v>
      </c>
      <c r="BH189" s="6">
        <f t="shared" si="185"/>
        <v>2.9516381600776374</v>
      </c>
      <c r="BI189" s="6">
        <f t="shared" si="186"/>
        <v>2.9516381600776374</v>
      </c>
      <c r="BJ189">
        <v>-33.388232180912141</v>
      </c>
      <c r="BK189">
        <v>-25.57217480152476</v>
      </c>
      <c r="BV189" s="38"/>
      <c r="BW189" s="6">
        <f t="shared" si="120"/>
        <v>3.0368728984701239</v>
      </c>
      <c r="BX189" s="9">
        <f t="shared" ca="1" si="121"/>
        <v>21.55370841086204</v>
      </c>
      <c r="BY189" s="9">
        <f t="shared" ca="1" si="122"/>
        <v>5.7292444182772586</v>
      </c>
      <c r="BZ189">
        <f t="shared" ca="1" si="123"/>
        <v>22.302165542046051</v>
      </c>
      <c r="CA189" s="6">
        <f t="shared" ca="1" si="124"/>
        <v>0.96644015892658708</v>
      </c>
      <c r="CB189" s="6">
        <f t="shared" ca="1" si="125"/>
        <v>0.25689184341654941</v>
      </c>
      <c r="CC189" s="6">
        <f t="shared" ca="1" si="126"/>
        <v>0.25980473351342398</v>
      </c>
      <c r="CD189" s="6">
        <f t="shared" ca="1" si="127"/>
        <v>-121.55370841086204</v>
      </c>
      <c r="CE189" s="9">
        <f t="shared" ca="1" si="128"/>
        <v>-55.729244418277261</v>
      </c>
      <c r="CF189">
        <f t="shared" ca="1" si="129"/>
        <v>133.72005351429144</v>
      </c>
      <c r="CG189" s="6">
        <f t="shared" ca="1" si="130"/>
        <v>-0.90901630096843244</v>
      </c>
      <c r="CH189" s="6">
        <f t="shared" ca="1" si="131"/>
        <v>-0.4167605602425305</v>
      </c>
      <c r="CI189" s="6">
        <f t="shared" ca="1" si="132"/>
        <v>-2.7117139333202571</v>
      </c>
      <c r="CJ189" s="1">
        <f t="shared" ca="1" si="133"/>
        <v>-3.107823764858523</v>
      </c>
      <c r="CK189" s="38"/>
    </row>
    <row r="190" spans="1:89" x14ac:dyDescent="0.25">
      <c r="A190">
        <f t="shared" si="211"/>
        <v>6</v>
      </c>
      <c r="B190">
        <f t="shared" si="211"/>
        <v>0</v>
      </c>
      <c r="C190">
        <f t="shared" ca="1" si="211"/>
        <v>0</v>
      </c>
      <c r="D190">
        <f t="shared" si="211"/>
        <v>0</v>
      </c>
      <c r="E190">
        <f t="shared" si="211"/>
        <v>8.66</v>
      </c>
      <c r="F190" s="1">
        <f t="shared" si="212"/>
        <v>-6</v>
      </c>
      <c r="G190" s="1">
        <f t="shared" si="213"/>
        <v>-3.34</v>
      </c>
      <c r="H190" s="6">
        <f t="shared" si="214"/>
        <v>-5.1395362194888836</v>
      </c>
      <c r="I190" s="6">
        <f t="shared" si="215"/>
        <v>4.554203272644064</v>
      </c>
      <c r="J190" s="6">
        <f t="shared" si="216"/>
        <v>5.0832897141776305</v>
      </c>
      <c r="K190">
        <f t="shared" ca="1" si="217"/>
        <v>0</v>
      </c>
      <c r="L190">
        <f t="shared" ca="1" si="221"/>
        <v>0</v>
      </c>
      <c r="M190">
        <f t="shared" ca="1" si="222"/>
        <v>0</v>
      </c>
      <c r="N190" s="6">
        <f t="shared" ca="1" si="218"/>
        <v>0</v>
      </c>
      <c r="O190" s="6">
        <f t="shared" ca="1" si="219"/>
        <v>0</v>
      </c>
      <c r="P190" s="6">
        <f t="shared" ca="1" si="220"/>
        <v>0</v>
      </c>
      <c r="BC190">
        <v>3.2812189937493272</v>
      </c>
      <c r="BD190">
        <v>-21.405974816057224</v>
      </c>
      <c r="BE190">
        <v>-17.198004381830046</v>
      </c>
      <c r="BF190" s="6">
        <f t="shared" si="183"/>
        <v>3.8184159423993362</v>
      </c>
      <c r="BG190" s="6">
        <f t="shared" si="184"/>
        <v>0.537196948650009</v>
      </c>
      <c r="BH190" s="6">
        <f t="shared" si="185"/>
        <v>2.9284169737810561</v>
      </c>
      <c r="BI190" s="6">
        <f t="shared" si="186"/>
        <v>2.9284169737810561</v>
      </c>
      <c r="BJ190">
        <v>-32.932268947780344</v>
      </c>
      <c r="BK190">
        <v>-26.458468279738533</v>
      </c>
      <c r="BV190" s="38"/>
      <c r="BW190" s="6">
        <f t="shared" si="120"/>
        <v>3.054326190990067</v>
      </c>
      <c r="BX190" s="9">
        <f t="shared" ca="1" si="121"/>
        <v>21.980216841112441</v>
      </c>
      <c r="BY190" s="9">
        <f t="shared" ca="1" si="122"/>
        <v>6.8354628071166745</v>
      </c>
      <c r="BZ190">
        <f t="shared" ca="1" si="123"/>
        <v>23.018546526003728</v>
      </c>
      <c r="CA190" s="6">
        <f t="shared" ca="1" si="124"/>
        <v>0.95489160517940175</v>
      </c>
      <c r="CB190" s="6">
        <f t="shared" ca="1" si="125"/>
        <v>0.29695457962103505</v>
      </c>
      <c r="CC190" s="6">
        <f t="shared" ca="1" si="126"/>
        <v>0.30150178158764135</v>
      </c>
      <c r="CD190" s="6">
        <f t="shared" ca="1" si="127"/>
        <v>-121.98021684111244</v>
      </c>
      <c r="CE190" s="9">
        <f t="shared" ca="1" si="128"/>
        <v>-56.835462807116677</v>
      </c>
      <c r="CF190">
        <f t="shared" ca="1" si="129"/>
        <v>134.57133102226473</v>
      </c>
      <c r="CG190" s="6">
        <f t="shared" ca="1" si="130"/>
        <v>-0.90643538942875501</v>
      </c>
      <c r="CH190" s="6">
        <f t="shared" ca="1" si="131"/>
        <v>-0.42234450960222197</v>
      </c>
      <c r="CI190" s="6">
        <f t="shared" ca="1" si="132"/>
        <v>-2.705562371391768</v>
      </c>
      <c r="CJ190" s="1">
        <f t="shared" ca="1" si="133"/>
        <v>-3.1139753267870121</v>
      </c>
      <c r="CK190" s="38"/>
    </row>
    <row r="191" spans="1:89" x14ac:dyDescent="0.25">
      <c r="A191">
        <f t="shared" si="211"/>
        <v>7</v>
      </c>
      <c r="B191">
        <f t="shared" si="211"/>
        <v>8</v>
      </c>
      <c r="C191">
        <f t="shared" ca="1" si="211"/>
        <v>0.79</v>
      </c>
      <c r="D191">
        <f t="shared" si="211"/>
        <v>2</v>
      </c>
      <c r="E191">
        <f t="shared" si="211"/>
        <v>22</v>
      </c>
      <c r="F191" s="1">
        <f t="shared" si="212"/>
        <v>-4</v>
      </c>
      <c r="G191" s="1">
        <f t="shared" si="213"/>
        <v>10</v>
      </c>
      <c r="H191" s="6">
        <f t="shared" si="214"/>
        <v>8.1094926698921022</v>
      </c>
      <c r="I191" s="6">
        <f t="shared" si="215"/>
        <v>7.0877449613375791</v>
      </c>
      <c r="J191" s="6">
        <f t="shared" si="216"/>
        <v>2.5497480254841154</v>
      </c>
      <c r="K191">
        <f t="shared" ca="1" si="217"/>
        <v>1.5726561680625883E-3</v>
      </c>
      <c r="L191">
        <f t="shared" ca="1" si="221"/>
        <v>3.9924237503351123</v>
      </c>
      <c r="M191">
        <f t="shared" ca="1" si="222"/>
        <v>41.614605123479947</v>
      </c>
      <c r="N191" s="6">
        <f t="shared" ca="1" si="218"/>
        <v>32.875538047549156</v>
      </c>
      <c r="O191" s="6">
        <f t="shared" ca="1" si="219"/>
        <v>233.0134291477784</v>
      </c>
      <c r="P191" s="6">
        <f t="shared" ca="1" si="220"/>
        <v>-266.6039348153588</v>
      </c>
      <c r="BC191">
        <v>3.2986722862692703</v>
      </c>
      <c r="BD191">
        <v>-21.114176320318514</v>
      </c>
      <c r="BE191">
        <v>-17.771909080421725</v>
      </c>
      <c r="BF191" s="6">
        <f t="shared" si="183"/>
        <v>3.8412513235502379</v>
      </c>
      <c r="BG191" s="6">
        <f t="shared" si="184"/>
        <v>0.54257903728096757</v>
      </c>
      <c r="BH191" s="6">
        <f t="shared" si="185"/>
        <v>2.9055815926301545</v>
      </c>
      <c r="BI191" s="6">
        <f t="shared" si="186"/>
        <v>2.9055815926301545</v>
      </c>
      <c r="BJ191">
        <v>-32.483348185105406</v>
      </c>
      <c r="BK191">
        <v>-27.341398585264191</v>
      </c>
      <c r="BV191" s="38"/>
      <c r="BW191" s="6">
        <f t="shared" si="120"/>
        <v>3.0717794835100101</v>
      </c>
      <c r="BX191" s="9">
        <f t="shared" ca="1" si="121"/>
        <v>22.397584858168173</v>
      </c>
      <c r="BY191" s="9">
        <f t="shared" ca="1" si="122"/>
        <v>7.9570930869242007</v>
      </c>
      <c r="BZ191">
        <f t="shared" ca="1" si="123"/>
        <v>23.769037377917119</v>
      </c>
      <c r="CA191" s="6">
        <f t="shared" ca="1" si="124"/>
        <v>0.94230088085001251</v>
      </c>
      <c r="CB191" s="6">
        <f t="shared" ca="1" si="125"/>
        <v>0.33476715781165056</v>
      </c>
      <c r="CC191" s="6">
        <f t="shared" ca="1" si="126"/>
        <v>0.3413581196337051</v>
      </c>
      <c r="CD191" s="6">
        <f t="shared" ca="1" si="127"/>
        <v>-122.39758485816817</v>
      </c>
      <c r="CE191" s="9">
        <f t="shared" ca="1" si="128"/>
        <v>-57.957093086924203</v>
      </c>
      <c r="CF191">
        <f t="shared" ca="1" si="129"/>
        <v>135.4259702501661</v>
      </c>
      <c r="CG191" s="6">
        <f t="shared" ca="1" si="130"/>
        <v>-0.90379699426977556</v>
      </c>
      <c r="CH191" s="6">
        <f t="shared" ca="1" si="131"/>
        <v>-0.4279614388574271</v>
      </c>
      <c r="CI191" s="6">
        <f t="shared" ca="1" si="132"/>
        <v>-2.6993566363937913</v>
      </c>
      <c r="CJ191" s="1">
        <f t="shared" ca="1" si="133"/>
        <v>-3.1201810617849888</v>
      </c>
      <c r="CK191" s="38"/>
    </row>
    <row r="192" spans="1:89" x14ac:dyDescent="0.25">
      <c r="A192">
        <f t="shared" si="211"/>
        <v>8</v>
      </c>
      <c r="B192">
        <f t="shared" si="211"/>
        <v>8</v>
      </c>
      <c r="C192">
        <f t="shared" ca="1" si="211"/>
        <v>0.79</v>
      </c>
      <c r="D192">
        <f t="shared" si="211"/>
        <v>10</v>
      </c>
      <c r="E192">
        <f t="shared" si="211"/>
        <v>22</v>
      </c>
      <c r="F192" s="1">
        <f t="shared" si="212"/>
        <v>4</v>
      </c>
      <c r="G192" s="1">
        <f t="shared" si="213"/>
        <v>10</v>
      </c>
      <c r="H192" s="6">
        <f t="shared" si="214"/>
        <v>10.760491217051232</v>
      </c>
      <c r="I192" s="6">
        <f t="shared" si="215"/>
        <v>-0.4602485934397551</v>
      </c>
      <c r="J192" s="6">
        <f t="shared" si="216"/>
        <v>10.097741580261449</v>
      </c>
      <c r="K192">
        <f t="shared" ca="1" si="217"/>
        <v>-2.6526954887424819E-3</v>
      </c>
      <c r="L192">
        <f t="shared" ca="1" si="221"/>
        <v>0</v>
      </c>
      <c r="M192">
        <f t="shared" ca="1" si="222"/>
        <v>-60</v>
      </c>
      <c r="N192" s="6">
        <f t="shared" ca="1" si="218"/>
        <v>-47.400000000000006</v>
      </c>
      <c r="O192" s="6">
        <f t="shared" ca="1" si="219"/>
        <v>21.815783329044393</v>
      </c>
      <c r="P192" s="6">
        <f t="shared" ca="1" si="220"/>
        <v>510.04728368822845</v>
      </c>
      <c r="BC192">
        <v>3.3161255787892134</v>
      </c>
      <c r="BD192">
        <v>-20.828813180663751</v>
      </c>
      <c r="BE192">
        <v>-18.339691768723249</v>
      </c>
      <c r="BF192" s="6">
        <f t="shared" si="183"/>
        <v>3.8635271041522414</v>
      </c>
      <c r="BG192" s="6">
        <f t="shared" si="184"/>
        <v>0.547401525363028</v>
      </c>
      <c r="BH192" s="6">
        <f t="shared" si="185"/>
        <v>2.8833058120281509</v>
      </c>
      <c r="BI192" s="6">
        <f t="shared" si="186"/>
        <v>2.8833058120281509</v>
      </c>
      <c r="BJ192">
        <v>-32.044327970251921</v>
      </c>
      <c r="BK192">
        <v>-28.21491041342038</v>
      </c>
      <c r="BV192" s="38"/>
      <c r="BW192" s="6">
        <f t="shared" si="120"/>
        <v>3.0892327760299532</v>
      </c>
      <c r="BX192" s="9">
        <f t="shared" ca="1" si="121"/>
        <v>22.802891698772051</v>
      </c>
      <c r="BY192" s="9">
        <f t="shared" ca="1" si="122"/>
        <v>9.0871842820177289</v>
      </c>
      <c r="BZ192">
        <f t="shared" ca="1" si="123"/>
        <v>24.546869209764356</v>
      </c>
      <c r="CA192" s="6">
        <f t="shared" ca="1" si="124"/>
        <v>0.92895315911413345</v>
      </c>
      <c r="CB192" s="6">
        <f t="shared" ca="1" si="125"/>
        <v>0.37019728277213415</v>
      </c>
      <c r="CC192" s="6">
        <f t="shared" ca="1" si="126"/>
        <v>0.3792213827770386</v>
      </c>
      <c r="CD192" s="6">
        <f t="shared" ca="1" si="127"/>
        <v>-122.80289169877204</v>
      </c>
      <c r="CE192" s="9">
        <f t="shared" ca="1" si="128"/>
        <v>-59.087184282017731</v>
      </c>
      <c r="CF192">
        <f t="shared" ca="1" si="129"/>
        <v>136.2785586802174</v>
      </c>
      <c r="CG192" s="6">
        <f t="shared" ca="1" si="130"/>
        <v>-0.90111674857769442</v>
      </c>
      <c r="CH192" s="6">
        <f t="shared" ca="1" si="131"/>
        <v>-0.43357652776962485</v>
      </c>
      <c r="CI192" s="6">
        <f t="shared" ca="1" si="132"/>
        <v>-2.6931346539642571</v>
      </c>
      <c r="CJ192" s="1">
        <f t="shared" ca="1" si="133"/>
        <v>-3.126403044214523</v>
      </c>
      <c r="CK192" s="38"/>
    </row>
    <row r="193" spans="1:89" x14ac:dyDescent="0.25">
      <c r="A193">
        <f t="shared" si="211"/>
        <v>9</v>
      </c>
      <c r="B193">
        <f t="shared" si="211"/>
        <v>8</v>
      </c>
      <c r="C193">
        <f t="shared" ca="1" si="211"/>
        <v>0.79</v>
      </c>
      <c r="D193">
        <f t="shared" si="211"/>
        <v>2</v>
      </c>
      <c r="E193">
        <f t="shared" si="211"/>
        <v>2</v>
      </c>
      <c r="F193" s="1">
        <f t="shared" si="212"/>
        <v>-4</v>
      </c>
      <c r="G193" s="1">
        <f t="shared" si="213"/>
        <v>-10</v>
      </c>
      <c r="H193" s="6">
        <f t="shared" si="214"/>
        <v>-10.760491217051232</v>
      </c>
      <c r="I193" s="6">
        <f t="shared" si="215"/>
        <v>0.4602485934397551</v>
      </c>
      <c r="J193" s="6">
        <f t="shared" si="216"/>
        <v>9.1772443933819403</v>
      </c>
      <c r="K193">
        <f t="shared" ca="1" si="217"/>
        <v>-2.1374030092988537E-3</v>
      </c>
      <c r="L193">
        <f t="shared" ca="1" si="221"/>
        <v>0</v>
      </c>
      <c r="M193">
        <f t="shared" ca="1" si="222"/>
        <v>-60</v>
      </c>
      <c r="N193" s="6">
        <f t="shared" ca="1" si="218"/>
        <v>-47.400000000000006</v>
      </c>
      <c r="O193" s="6">
        <f t="shared" ca="1" si="219"/>
        <v>-21.815783329044393</v>
      </c>
      <c r="P193" s="6">
        <f t="shared" ca="1" si="220"/>
        <v>-510.04728368822845</v>
      </c>
      <c r="BC193">
        <v>3.3335788713091565</v>
      </c>
      <c r="BD193">
        <v>-20.549725768343766</v>
      </c>
      <c r="BE193">
        <v>-18.901356935676628</v>
      </c>
      <c r="BF193" s="6">
        <f t="shared" si="183"/>
        <v>3.885232505418851</v>
      </c>
      <c r="BG193" s="6">
        <f t="shared" si="184"/>
        <v>0.55165363410969448</v>
      </c>
      <c r="BH193" s="6">
        <f t="shared" si="185"/>
        <v>2.8616004107615414</v>
      </c>
      <c r="BI193" s="6">
        <f t="shared" si="186"/>
        <v>2.8616004107615414</v>
      </c>
      <c r="BJ193">
        <v>-31.614962720528869</v>
      </c>
      <c r="BK193">
        <v>-29.079010670271735</v>
      </c>
      <c r="BV193" s="38"/>
      <c r="BW193" s="6">
        <f t="shared" si="120"/>
        <v>3.1066860685498963</v>
      </c>
      <c r="BX193" s="9">
        <f t="shared" ca="1" si="121"/>
        <v>23.19584960425</v>
      </c>
      <c r="BY193" s="9">
        <f t="shared" ca="1" si="122"/>
        <v>10.225141572336069</v>
      </c>
      <c r="BZ193">
        <f t="shared" ca="1" si="123"/>
        <v>25.349575125380312</v>
      </c>
      <c r="CA193" s="6">
        <f t="shared" ca="1" si="124"/>
        <v>0.91503898939221373</v>
      </c>
      <c r="CB193" s="6">
        <f t="shared" ca="1" si="125"/>
        <v>0.40336540244804847</v>
      </c>
      <c r="CC193" s="6">
        <f t="shared" ca="1" si="126"/>
        <v>0.4151917564710888</v>
      </c>
      <c r="CD193" s="6">
        <f t="shared" ca="1" si="127"/>
        <v>-123.19584960425</v>
      </c>
      <c r="CE193" s="9">
        <f t="shared" ca="1" si="128"/>
        <v>-60.225141572336071</v>
      </c>
      <c r="CF193">
        <f t="shared" ca="1" si="129"/>
        <v>137.12871704030817</v>
      </c>
      <c r="CG193" s="6">
        <f t="shared" ca="1" si="130"/>
        <v>-0.89839569904265426</v>
      </c>
      <c r="CH193" s="6">
        <f t="shared" ca="1" si="131"/>
        <v>-0.43918693963010857</v>
      </c>
      <c r="CI193" s="6">
        <f t="shared" ca="1" si="132"/>
        <v>-2.6868991942543685</v>
      </c>
      <c r="CJ193" s="1">
        <f t="shared" ca="1" si="133"/>
        <v>-3.1326385039244116</v>
      </c>
      <c r="CK193" s="38"/>
    </row>
    <row r="194" spans="1:89" ht="15.75" thickBot="1" x14ac:dyDescent="0.3">
      <c r="A194">
        <f t="shared" si="211"/>
        <v>10</v>
      </c>
      <c r="B194">
        <f t="shared" si="211"/>
        <v>8</v>
      </c>
      <c r="C194">
        <f t="shared" ca="1" si="211"/>
        <v>0.79</v>
      </c>
      <c r="D194">
        <f t="shared" si="211"/>
        <v>10</v>
      </c>
      <c r="E194">
        <f t="shared" si="211"/>
        <v>2</v>
      </c>
      <c r="F194" s="1">
        <f t="shared" si="212"/>
        <v>4</v>
      </c>
      <c r="G194" s="1">
        <f t="shared" si="213"/>
        <v>-10</v>
      </c>
      <c r="H194" s="6">
        <f t="shared" si="214"/>
        <v>-8.1094926698921022</v>
      </c>
      <c r="I194" s="6">
        <f t="shared" si="215"/>
        <v>-7.0877449613375791</v>
      </c>
      <c r="J194" s="6">
        <f t="shared" si="216"/>
        <v>16.725237948159275</v>
      </c>
      <c r="K194" s="12">
        <f t="shared" ca="1" si="217"/>
        <v>-6.3627546661039246E-3</v>
      </c>
      <c r="L194">
        <f t="shared" ca="1" si="221"/>
        <v>0</v>
      </c>
      <c r="M194">
        <f t="shared" ca="1" si="222"/>
        <v>-60</v>
      </c>
      <c r="N194" s="11">
        <f t="shared" ca="1" si="218"/>
        <v>-47.400000000000006</v>
      </c>
      <c r="O194" s="11">
        <f t="shared" ca="1" si="219"/>
        <v>335.95911116740132</v>
      </c>
      <c r="P194" s="11">
        <f t="shared" ca="1" si="220"/>
        <v>-384.38995255288569</v>
      </c>
      <c r="BC194">
        <v>3.3510321638290996</v>
      </c>
      <c r="BD194">
        <v>-20.276663234004612</v>
      </c>
      <c r="BE194">
        <v>-19.457011988370109</v>
      </c>
      <c r="BF194" s="6">
        <f t="shared" si="183"/>
        <v>3.9063651133281789</v>
      </c>
      <c r="BG194" s="6">
        <f t="shared" si="184"/>
        <v>0.5553329494990793</v>
      </c>
      <c r="BH194" s="6">
        <f t="shared" si="185"/>
        <v>2.8404678028522135</v>
      </c>
      <c r="BI194" s="6">
        <f t="shared" si="186"/>
        <v>2.8404678028522135</v>
      </c>
      <c r="BJ194">
        <v>-31.194866513853249</v>
      </c>
      <c r="BK194">
        <v>-29.933864597492473</v>
      </c>
      <c r="BV194" s="38"/>
      <c r="BW194" s="6">
        <f t="shared" si="120"/>
        <v>3.1241393610698394</v>
      </c>
      <c r="BX194" s="9">
        <f t="shared" ca="1" si="121"/>
        <v>23.663215738924585</v>
      </c>
      <c r="BY194" s="9">
        <f t="shared" ca="1" si="122"/>
        <v>11.443361720662311</v>
      </c>
      <c r="BZ194">
        <f t="shared" ca="1" si="123"/>
        <v>26.284944484948181</v>
      </c>
      <c r="CA194" s="6">
        <f t="shared" ca="1" si="124"/>
        <v>0.90025739839302676</v>
      </c>
      <c r="CB194" s="6">
        <f t="shared" ca="1" si="125"/>
        <v>0.43535803270253215</v>
      </c>
      <c r="CC194" s="6">
        <f t="shared" ca="1" si="126"/>
        <v>0.45043593891715544</v>
      </c>
      <c r="CD194" s="6">
        <f t="shared" ca="1" si="127"/>
        <v>-123.66321573892458</v>
      </c>
      <c r="CE194" s="9">
        <f t="shared" ca="1" si="128"/>
        <v>-61.44336172066231</v>
      </c>
      <c r="CF194">
        <f t="shared" ca="1" si="129"/>
        <v>138.08648603838088</v>
      </c>
      <c r="CG194" s="6">
        <f t="shared" ca="1" si="130"/>
        <v>-0.89554900907937229</v>
      </c>
      <c r="CH194" s="6">
        <f t="shared" ca="1" si="131"/>
        <v>-0.44496288871877182</v>
      </c>
      <c r="CI194" s="6">
        <f t="shared" ca="1" si="132"/>
        <v>-2.6804598328805116</v>
      </c>
      <c r="CJ194" s="1">
        <f t="shared" ca="1" si="133"/>
        <v>-3.1390778652982685</v>
      </c>
      <c r="CK194" s="38"/>
    </row>
    <row r="195" spans="1:89" ht="15.75" thickTop="1" x14ac:dyDescent="0.25">
      <c r="K195" s="13">
        <f ca="1">MIN(K185:K194)</f>
        <v>-6.3627546661039246E-3</v>
      </c>
      <c r="N195" s="9">
        <f ca="1">SUM(N185:N194)</f>
        <v>-109.32446195245086</v>
      </c>
      <c r="O195" s="9">
        <f ca="1">SUM(O185:O194)</f>
        <v>568.97254031517969</v>
      </c>
      <c r="P195" s="9">
        <f ca="1">SUM(P185:P194)</f>
        <v>-650.99388736824449</v>
      </c>
      <c r="BC195">
        <v>3.3684854563490427</v>
      </c>
      <c r="BD195">
        <v>-20.009312746628169</v>
      </c>
      <c r="BE195">
        <v>-20.006828679014937</v>
      </c>
      <c r="BF195" s="6">
        <f t="shared" ref="BF195:BF258" si="223">IF(BC195&lt;&gt;"",IF(AND(BD195=0,BE195=0),0,MOD(ATAN2(BD195,BE195),2*PI())),NA())</f>
        <v>3.9269287403471269</v>
      </c>
      <c r="BG195" s="6">
        <f t="shared" ref="BG195:BG258" si="224">ABS(BC195-BF195)</f>
        <v>0.55844328399808418</v>
      </c>
      <c r="BH195" s="6">
        <f t="shared" ref="BH195:BH258" si="225">ATAN2(COS($U$13-BF195),SIN($U$13-BF195))</f>
        <v>2.8199041758332655</v>
      </c>
      <c r="BI195" s="6">
        <f t="shared" ref="BI195:BI258" si="226">ABS(BH195)</f>
        <v>2.8199041758332655</v>
      </c>
      <c r="BJ195">
        <v>-30.783558071735644</v>
      </c>
      <c r="BK195">
        <v>-30.779736429253749</v>
      </c>
      <c r="BV195" s="38"/>
      <c r="BW195" s="6">
        <f t="shared" si="120"/>
        <v>3.1415926535897825</v>
      </c>
      <c r="BX195" s="9">
        <f t="shared" ca="1" si="121"/>
        <v>24.082659939669306</v>
      </c>
      <c r="BY195" s="9">
        <f t="shared" ca="1" si="122"/>
        <v>12.665248727883204</v>
      </c>
      <c r="BZ195">
        <f t="shared" ca="1" si="123"/>
        <v>27.209980431983038</v>
      </c>
      <c r="CA195" s="6">
        <f t="shared" ca="1" si="124"/>
        <v>0.88506715393893376</v>
      </c>
      <c r="CB195" s="6">
        <f t="shared" ca="1" si="125"/>
        <v>0.46546335303483982</v>
      </c>
      <c r="CC195" s="6">
        <f t="shared" ca="1" si="126"/>
        <v>0.48415806221873647</v>
      </c>
      <c r="CD195" s="6">
        <f t="shared" ca="1" si="127"/>
        <v>-124.0826599396693</v>
      </c>
      <c r="CE195" s="9">
        <f t="shared" ca="1" si="128"/>
        <v>-62.665248727883203</v>
      </c>
      <c r="CF195">
        <f t="shared" ca="1" si="129"/>
        <v>139.00877632664449</v>
      </c>
      <c r="CG195" s="6">
        <f t="shared" ca="1" si="130"/>
        <v>-0.8926246472963576</v>
      </c>
      <c r="CH195" s="6">
        <f t="shared" ca="1" si="131"/>
        <v>-0.4508006644172714</v>
      </c>
      <c r="CI195" s="6">
        <f t="shared" ca="1" si="132"/>
        <v>-2.6739305397795192</v>
      </c>
      <c r="CJ195" s="1">
        <f t="shared" ca="1" si="133"/>
        <v>3.1375781487803254</v>
      </c>
      <c r="CK195" s="38"/>
    </row>
    <row r="196" spans="1:89" x14ac:dyDescent="0.25">
      <c r="A196" t="s">
        <v>193</v>
      </c>
      <c r="B196" s="9">
        <f ca="1">N195</f>
        <v>-109.32446195245086</v>
      </c>
      <c r="C196" t="s">
        <v>68</v>
      </c>
      <c r="BC196">
        <v>3.3859387488689858</v>
      </c>
      <c r="BD196">
        <v>-19.747324505546995</v>
      </c>
      <c r="BE196">
        <v>-20.551016526607572</v>
      </c>
      <c r="BF196" s="6">
        <f t="shared" si="223"/>
        <v>3.9469317245038185</v>
      </c>
      <c r="BG196" s="6">
        <f t="shared" si="224"/>
        <v>0.56099297563483264</v>
      </c>
      <c r="BH196" s="6">
        <f t="shared" si="225"/>
        <v>2.7999011916765739</v>
      </c>
      <c r="BI196" s="6">
        <f t="shared" si="226"/>
        <v>2.7999011916765739</v>
      </c>
      <c r="BJ196">
        <v>-30.38049923930307</v>
      </c>
      <c r="BK196">
        <v>-31.616948502473186</v>
      </c>
      <c r="BV196" s="38"/>
      <c r="BW196" s="6">
        <f t="shared" si="120"/>
        <v>3.1590459461097256</v>
      </c>
      <c r="BX196" s="9">
        <f t="shared" ca="1" si="121"/>
        <v>23.672862905784825</v>
      </c>
      <c r="BY196" s="9">
        <f t="shared" ca="1" si="122"/>
        <v>13.20874480826498</v>
      </c>
      <c r="BZ196">
        <f t="shared" ca="1" si="123"/>
        <v>27.108584942153477</v>
      </c>
      <c r="CA196" s="6">
        <f t="shared" ca="1" si="124"/>
        <v>0.87326073848192087</v>
      </c>
      <c r="CB196" s="6">
        <f t="shared" ca="1" si="125"/>
        <v>0.48725320176065562</v>
      </c>
      <c r="CC196" s="6">
        <f t="shared" ca="1" si="126"/>
        <v>0.5089415323487374</v>
      </c>
      <c r="CD196" s="6">
        <f t="shared" ca="1" si="127"/>
        <v>-123.67286290578483</v>
      </c>
      <c r="CE196" s="9">
        <f t="shared" ca="1" si="128"/>
        <v>-63.208744808264981</v>
      </c>
      <c r="CF196">
        <f t="shared" ca="1" si="129"/>
        <v>138.88960522497504</v>
      </c>
      <c r="CG196" s="6">
        <f t="shared" ca="1" si="130"/>
        <v>-0.89044002037055292</v>
      </c>
      <c r="CH196" s="6">
        <f t="shared" ca="1" si="131"/>
        <v>-0.45510061538355373</v>
      </c>
      <c r="CI196" s="6">
        <f t="shared" ca="1" si="132"/>
        <v>-2.6691074475959113</v>
      </c>
      <c r="CJ196" s="1">
        <f t="shared" ca="1" si="133"/>
        <v>3.1327550565967175</v>
      </c>
      <c r="CK196" s="38"/>
    </row>
    <row r="197" spans="1:89" x14ac:dyDescent="0.25">
      <c r="A197" t="s">
        <v>100</v>
      </c>
      <c r="B197" s="9">
        <f ca="1">O195</f>
        <v>568.97254031517969</v>
      </c>
      <c r="C197" t="s">
        <v>69</v>
      </c>
      <c r="BC197">
        <v>3.4033920413889289</v>
      </c>
      <c r="BD197">
        <v>-19.490331490695777</v>
      </c>
      <c r="BE197">
        <v>-21.089804488093069</v>
      </c>
      <c r="BF197" s="6">
        <f t="shared" si="223"/>
        <v>3.9663855957361891</v>
      </c>
      <c r="BG197" s="6">
        <f t="shared" si="224"/>
        <v>0.56299355434726017</v>
      </c>
      <c r="BH197" s="6">
        <f t="shared" si="225"/>
        <v>2.7804473204442033</v>
      </c>
      <c r="BI197" s="6">
        <f t="shared" si="226"/>
        <v>2.7804473204442033</v>
      </c>
      <c r="BJ197">
        <v>-29.985125370301194</v>
      </c>
      <c r="BK197">
        <v>-32.445853058604719</v>
      </c>
      <c r="BV197" s="38"/>
      <c r="BW197" s="6">
        <f t="shared" si="120"/>
        <v>3.1764992386296687</v>
      </c>
      <c r="BX197" s="9">
        <f t="shared" ca="1" si="121"/>
        <v>23.250981603677484</v>
      </c>
      <c r="BY197" s="9">
        <f t="shared" ca="1" si="122"/>
        <v>13.725344042087464</v>
      </c>
      <c r="BZ197">
        <f t="shared" ca="1" si="123"/>
        <v>26.999874344304171</v>
      </c>
      <c r="CA197" s="6">
        <f t="shared" ca="1" si="124"/>
        <v>0.86115147452834184</v>
      </c>
      <c r="CB197" s="6">
        <f t="shared" ca="1" si="125"/>
        <v>0.50834844144313318</v>
      </c>
      <c r="CC197" s="6">
        <f t="shared" ca="1" si="126"/>
        <v>0.53326585316598563</v>
      </c>
      <c r="CD197" s="6">
        <f t="shared" ca="1" si="127"/>
        <v>-123.25098160367749</v>
      </c>
      <c r="CE197" s="9">
        <f t="shared" ca="1" si="128"/>
        <v>-63.725344042087464</v>
      </c>
      <c r="CF197">
        <f t="shared" ca="1" si="129"/>
        <v>138.75058176293336</v>
      </c>
      <c r="CG197" s="6">
        <f t="shared" ca="1" si="130"/>
        <v>-0.8882916384038072</v>
      </c>
      <c r="CH197" s="6">
        <f t="shared" ca="1" si="131"/>
        <v>-0.45927983315390625</v>
      </c>
      <c r="CI197" s="6">
        <f t="shared" ca="1" si="132"/>
        <v>-2.6644083575904354</v>
      </c>
      <c r="CJ197" s="1">
        <f t="shared" ca="1" si="133"/>
        <v>3.1280559665912415</v>
      </c>
      <c r="CK197" s="38"/>
    </row>
    <row r="198" spans="1:89" x14ac:dyDescent="0.25">
      <c r="A198" t="s">
        <v>101</v>
      </c>
      <c r="B198" s="9">
        <f ca="1">P195</f>
        <v>-650.99388736824449</v>
      </c>
      <c r="C198" t="s">
        <v>69</v>
      </c>
      <c r="BC198">
        <v>3.420845333908872</v>
      </c>
      <c r="BD198">
        <v>-19.237964496015426</v>
      </c>
      <c r="BE198">
        <v>-21.623428185022217</v>
      </c>
      <c r="BF198" s="6">
        <f t="shared" si="223"/>
        <v>3.9853040327438043</v>
      </c>
      <c r="BG198" s="6">
        <f t="shared" si="224"/>
        <v>0.56445869883493227</v>
      </c>
      <c r="BH198" s="6">
        <f t="shared" si="225"/>
        <v>2.7615288834365881</v>
      </c>
      <c r="BI198" s="6">
        <f t="shared" si="226"/>
        <v>2.7615288834365881</v>
      </c>
      <c r="BJ198">
        <v>-29.596868455408348</v>
      </c>
      <c r="BK198">
        <v>-33.266812592341871</v>
      </c>
      <c r="BV198" s="38"/>
      <c r="BW198" s="6">
        <f t="shared" si="120"/>
        <v>3.1939525311496118</v>
      </c>
      <c r="BX198" s="9">
        <f t="shared" ca="1" si="121"/>
        <v>22.925683024830327</v>
      </c>
      <c r="BY198" s="9">
        <f t="shared" ca="1" si="122"/>
        <v>14.313287377590118</v>
      </c>
      <c r="BZ198">
        <f t="shared" ca="1" si="123"/>
        <v>27.026970561061297</v>
      </c>
      <c r="CA198" s="6">
        <f t="shared" ca="1" si="124"/>
        <v>0.84825204412144373</v>
      </c>
      <c r="CB198" s="6">
        <f t="shared" ca="1" si="125"/>
        <v>0.52959273941755691</v>
      </c>
      <c r="CC198" s="6">
        <f t="shared" ca="1" si="126"/>
        <v>0.55812037592485331</v>
      </c>
      <c r="CD198" s="6">
        <f t="shared" ca="1" si="127"/>
        <v>-122.92568302483033</v>
      </c>
      <c r="CE198" s="9">
        <f t="shared" ca="1" si="128"/>
        <v>-64.313287377590115</v>
      </c>
      <c r="CF198">
        <f t="shared" ca="1" si="129"/>
        <v>138.73327820113514</v>
      </c>
      <c r="CG198" s="6">
        <f t="shared" ca="1" si="130"/>
        <v>-0.88605765407354542</v>
      </c>
      <c r="CH198" s="6">
        <f t="shared" ca="1" si="131"/>
        <v>-0.4635750571996784</v>
      </c>
      <c r="CI198" s="6">
        <f t="shared" ca="1" si="132"/>
        <v>-2.6595669031213647</v>
      </c>
      <c r="CJ198" s="1">
        <f t="shared" ca="1" si="133"/>
        <v>3.1232145121221708</v>
      </c>
      <c r="CK198" s="38"/>
    </row>
    <row r="199" spans="1:89" x14ac:dyDescent="0.25">
      <c r="BC199">
        <v>3.4382986264288151</v>
      </c>
      <c r="BD199">
        <v>-18.989863348193722</v>
      </c>
      <c r="BE199">
        <v>-22.152120856716635</v>
      </c>
      <c r="BF199" s="6">
        <f t="shared" si="223"/>
        <v>4.0037020463506767</v>
      </c>
      <c r="BG199" s="6">
        <f t="shared" si="224"/>
        <v>0.56540341992186161</v>
      </c>
      <c r="BH199" s="6">
        <f t="shared" si="225"/>
        <v>2.7431308698297157</v>
      </c>
      <c r="BI199" s="6">
        <f t="shared" si="226"/>
        <v>2.7431308698297157</v>
      </c>
      <c r="BJ199">
        <v>-29.215174381836494</v>
      </c>
      <c r="BK199">
        <v>-34.080185933410206</v>
      </c>
      <c r="BV199" s="38"/>
      <c r="BW199" s="6">
        <f t="shared" si="120"/>
        <v>3.2114058236695548</v>
      </c>
      <c r="BX199" s="9">
        <f t="shared" ca="1" si="121"/>
        <v>22.610318820419042</v>
      </c>
      <c r="BY199" s="9">
        <f t="shared" ca="1" si="122"/>
        <v>14.896237285311187</v>
      </c>
      <c r="BZ199">
        <f t="shared" ca="1" si="123"/>
        <v>27.076270098026626</v>
      </c>
      <c r="CA199" s="6">
        <f t="shared" ca="1" si="124"/>
        <v>0.83506032177108946</v>
      </c>
      <c r="CB199" s="6">
        <f t="shared" ca="1" si="125"/>
        <v>0.55015839446796089</v>
      </c>
      <c r="CC199" s="6">
        <f t="shared" ca="1" si="126"/>
        <v>0.58255390629035553</v>
      </c>
      <c r="CD199" s="6">
        <f t="shared" ca="1" si="127"/>
        <v>-122.61031882041904</v>
      </c>
      <c r="CE199" s="9">
        <f t="shared" ca="1" si="128"/>
        <v>-64.896237285311187</v>
      </c>
      <c r="CF199">
        <f t="shared" ca="1" si="129"/>
        <v>138.72567136271576</v>
      </c>
      <c r="CG199" s="6">
        <f t="shared" ca="1" si="130"/>
        <v>-0.88383294610151064</v>
      </c>
      <c r="CH199" s="6">
        <f t="shared" ca="1" si="131"/>
        <v>-0.46780265431645879</v>
      </c>
      <c r="CI199" s="6">
        <f t="shared" ca="1" si="132"/>
        <v>-2.6547896710413785</v>
      </c>
      <c r="CJ199" s="1">
        <f t="shared" ca="1" si="133"/>
        <v>3.1184372800421847</v>
      </c>
      <c r="CK199" s="38"/>
    </row>
    <row r="200" spans="1:89" x14ac:dyDescent="0.25">
      <c r="A200" t="s">
        <v>99</v>
      </c>
      <c r="B200" s="9">
        <f ca="1">B178+B196</f>
        <v>11.111111110174761</v>
      </c>
      <c r="C200" t="s">
        <v>68</v>
      </c>
      <c r="BC200">
        <v>3.4557519189487582</v>
      </c>
      <c r="BD200">
        <v>-18.745685277674298</v>
      </c>
      <c r="BE200">
        <v>-22.676106789741105</v>
      </c>
      <c r="BF200" s="6">
        <f t="shared" si="223"/>
        <v>4.0215953364160111</v>
      </c>
      <c r="BG200" s="6">
        <f t="shared" si="224"/>
        <v>0.56584341746725286</v>
      </c>
      <c r="BH200" s="6">
        <f t="shared" si="225"/>
        <v>2.7252375797643813</v>
      </c>
      <c r="BI200" s="6">
        <f t="shared" si="226"/>
        <v>2.7252375797643813</v>
      </c>
      <c r="BJ200">
        <v>-28.83951581180661</v>
      </c>
      <c r="BK200">
        <v>-34.886318138063238</v>
      </c>
      <c r="BV200" s="38"/>
      <c r="BW200" s="6">
        <f t="shared" si="120"/>
        <v>3.2288591161894979</v>
      </c>
      <c r="BX200" s="9">
        <f t="shared" ca="1" si="121"/>
        <v>22.302078150797993</v>
      </c>
      <c r="BY200" s="9">
        <f t="shared" ca="1" si="122"/>
        <v>15.475401039394313</v>
      </c>
      <c r="BZ200">
        <f t="shared" ca="1" si="123"/>
        <v>27.145362903715025</v>
      </c>
      <c r="CA200" s="6">
        <f t="shared" ca="1" si="124"/>
        <v>0.82157966463383714</v>
      </c>
      <c r="CB200" s="6">
        <f t="shared" ca="1" si="125"/>
        <v>0.57009372445252526</v>
      </c>
      <c r="CC200" s="6">
        <f t="shared" ca="1" si="126"/>
        <v>0.60661992904852091</v>
      </c>
      <c r="CD200" s="6">
        <f t="shared" ca="1" si="127"/>
        <v>-122.302078150798</v>
      </c>
      <c r="CE200" s="9">
        <f t="shared" ca="1" si="128"/>
        <v>-65.475401039394313</v>
      </c>
      <c r="CF200">
        <f t="shared" ca="1" si="129"/>
        <v>138.72572386285614</v>
      </c>
      <c r="CG200" s="6">
        <f t="shared" ca="1" si="130"/>
        <v>-0.88161066848499914</v>
      </c>
      <c r="CH200" s="6">
        <f t="shared" ca="1" si="131"/>
        <v>-0.47197736091197556</v>
      </c>
      <c r="CI200" s="6">
        <f t="shared" ca="1" si="132"/>
        <v>-2.650060322814328</v>
      </c>
      <c r="CJ200" s="1">
        <f t="shared" ca="1" si="133"/>
        <v>3.1137079318151342</v>
      </c>
      <c r="CK200" s="38"/>
    </row>
    <row r="201" spans="1:89" x14ac:dyDescent="0.25">
      <c r="A201" t="s">
        <v>100</v>
      </c>
      <c r="B201" s="9">
        <f ca="1">B197+B179</f>
        <v>1372.079690613275</v>
      </c>
      <c r="C201" t="s">
        <v>69</v>
      </c>
      <c r="BC201">
        <v>3.4732052114687013</v>
      </c>
      <c r="BD201">
        <v>-18.505111237593077</v>
      </c>
      <c r="BE201">
        <v>-23.195596378325785</v>
      </c>
      <c r="BF201" s="6">
        <f t="shared" si="223"/>
        <v>4.0389997818212269</v>
      </c>
      <c r="BG201" s="6">
        <f t="shared" si="224"/>
        <v>0.56579457035252556</v>
      </c>
      <c r="BH201" s="6">
        <f t="shared" si="225"/>
        <v>2.7078331343591655</v>
      </c>
      <c r="BI201" s="6">
        <f t="shared" si="226"/>
        <v>2.7078331343591655</v>
      </c>
      <c r="BJ201">
        <v>-28.469401903989347</v>
      </c>
      <c r="BK201">
        <v>-35.685532889731974</v>
      </c>
      <c r="BV201" s="38"/>
      <c r="BW201" s="6">
        <f t="shared" si="120"/>
        <v>3.246312408709441</v>
      </c>
      <c r="BX201" s="9">
        <f t="shared" ca="1" si="121"/>
        <v>21.999458902238931</v>
      </c>
      <c r="BY201" s="9">
        <f t="shared" ca="1" si="122"/>
        <v>16.050904424623148</v>
      </c>
      <c r="BZ201">
        <f t="shared" ca="1" si="123"/>
        <v>27.23247555474321</v>
      </c>
      <c r="CA201" s="6">
        <f t="shared" ca="1" si="124"/>
        <v>0.80783911319465707</v>
      </c>
      <c r="CB201" s="6">
        <f t="shared" ca="1" si="125"/>
        <v>0.5894030600470872</v>
      </c>
      <c r="CC201" s="6">
        <f t="shared" ca="1" si="126"/>
        <v>0.63031970720748798</v>
      </c>
      <c r="CD201" s="6">
        <f t="shared" ca="1" si="127"/>
        <v>-121.99945890223893</v>
      </c>
      <c r="CE201" s="9">
        <f t="shared" ca="1" si="128"/>
        <v>-66.050904424623155</v>
      </c>
      <c r="CF201">
        <f t="shared" ca="1" si="129"/>
        <v>138.73207973554562</v>
      </c>
      <c r="CG201" s="6">
        <f t="shared" ca="1" si="130"/>
        <v>-0.87938895700833708</v>
      </c>
      <c r="CH201" s="6">
        <f t="shared" ca="1" si="131"/>
        <v>-0.47610404565786768</v>
      </c>
      <c r="CI201" s="6">
        <f t="shared" ca="1" si="132"/>
        <v>-2.6453735788395982</v>
      </c>
      <c r="CJ201" s="1">
        <f t="shared" ca="1" si="133"/>
        <v>3.1090211878404044</v>
      </c>
      <c r="CK201" s="38"/>
    </row>
    <row r="202" spans="1:89" x14ac:dyDescent="0.25">
      <c r="A202" t="s">
        <v>101</v>
      </c>
      <c r="B202" s="9">
        <f ca="1">B198+B180</f>
        <v>-1328.8349015276017</v>
      </c>
      <c r="C202" t="s">
        <v>69</v>
      </c>
      <c r="BC202">
        <v>3.4906585039886444</v>
      </c>
      <c r="BD202">
        <v>-18.267850798466274</v>
      </c>
      <c r="BE202">
        <v>-23.710782234077708</v>
      </c>
      <c r="BF202" s="6">
        <f t="shared" si="223"/>
        <v>4.0559310324302054</v>
      </c>
      <c r="BG202" s="6">
        <f t="shared" si="224"/>
        <v>0.56527252844156095</v>
      </c>
      <c r="BH202" s="6">
        <f t="shared" si="225"/>
        <v>2.690901883750187</v>
      </c>
      <c r="BI202" s="6">
        <f t="shared" si="226"/>
        <v>2.690901883750187</v>
      </c>
      <c r="BJ202">
        <v>-28.104385843794265</v>
      </c>
      <c r="BK202">
        <v>-36.478126513965705</v>
      </c>
      <c r="BV202" s="38"/>
      <c r="BW202" s="6">
        <f t="shared" si="120"/>
        <v>3.2637657012293841</v>
      </c>
      <c r="BX202" s="9">
        <f t="shared" ca="1" si="121"/>
        <v>21.702350917592891</v>
      </c>
      <c r="BY202" s="9">
        <f t="shared" ca="1" si="122"/>
        <v>16.621913620991094</v>
      </c>
      <c r="BZ202">
        <f t="shared" ca="1" si="123"/>
        <v>27.336423463467828</v>
      </c>
      <c r="CA202" s="6">
        <f t="shared" ca="1" si="124"/>
        <v>0.79389869514553491</v>
      </c>
      <c r="CB202" s="6">
        <f t="shared" ca="1" si="125"/>
        <v>0.60805004880043956</v>
      </c>
      <c r="CC202" s="6">
        <f t="shared" ca="1" si="126"/>
        <v>0.6536021025129618</v>
      </c>
      <c r="CD202" s="6">
        <f t="shared" ca="1" si="127"/>
        <v>-121.7023509175929</v>
      </c>
      <c r="CE202" s="9">
        <f t="shared" ca="1" si="128"/>
        <v>-66.621913620991094</v>
      </c>
      <c r="CF202">
        <f t="shared" ca="1" si="129"/>
        <v>138.74415877215057</v>
      </c>
      <c r="CG202" s="6">
        <f t="shared" ca="1" si="130"/>
        <v>-0.87717098863567877</v>
      </c>
      <c r="CH202" s="6">
        <f t="shared" ca="1" si="131"/>
        <v>-0.48017815099804967</v>
      </c>
      <c r="CI202" s="6">
        <f t="shared" ca="1" si="132"/>
        <v>-2.6407348552425867</v>
      </c>
      <c r="CJ202" s="1">
        <f t="shared" ca="1" si="133"/>
        <v>3.1043824642433928</v>
      </c>
      <c r="CK202" s="38"/>
    </row>
    <row r="203" spans="1:89" x14ac:dyDescent="0.25">
      <c r="BC203">
        <v>3.5081117965085875</v>
      </c>
      <c r="BD203">
        <v>-18.033646173883238</v>
      </c>
      <c r="BE203">
        <v>-24.221835921510579</v>
      </c>
      <c r="BF203" s="6">
        <f t="shared" si="223"/>
        <v>4.0724041767844437</v>
      </c>
      <c r="BG203" s="6">
        <f t="shared" si="224"/>
        <v>0.56429238027585615</v>
      </c>
      <c r="BH203" s="6">
        <f t="shared" si="225"/>
        <v>2.6744287393959487</v>
      </c>
      <c r="BI203" s="6">
        <f t="shared" si="226"/>
        <v>2.6744287393959487</v>
      </c>
      <c r="BJ203">
        <v>-27.744071036743442</v>
      </c>
      <c r="BK203">
        <v>-37.264362956170118</v>
      </c>
      <c r="BV203" s="38"/>
      <c r="BW203" s="6">
        <f t="shared" si="120"/>
        <v>3.2812189937493272</v>
      </c>
      <c r="BX203" s="9">
        <f t="shared" ca="1" si="121"/>
        <v>21.405974816057224</v>
      </c>
      <c r="BY203" s="9">
        <f t="shared" ca="1" si="122"/>
        <v>17.198004381830046</v>
      </c>
      <c r="BZ203">
        <f t="shared" ca="1" si="123"/>
        <v>27.458825767740354</v>
      </c>
      <c r="CA203" s="6">
        <f t="shared" ca="1" si="124"/>
        <v>0.77956628579528542</v>
      </c>
      <c r="CB203" s="6">
        <f t="shared" ca="1" si="125"/>
        <v>0.62631973148811404</v>
      </c>
      <c r="CC203" s="6">
        <f t="shared" ca="1" si="126"/>
        <v>0.67682328880954323</v>
      </c>
      <c r="CD203" s="6">
        <f t="shared" ca="1" si="127"/>
        <v>-121.40597481605722</v>
      </c>
      <c r="CE203" s="9">
        <f t="shared" ca="1" si="128"/>
        <v>-67.198004381830046</v>
      </c>
      <c r="CF203">
        <f t="shared" ca="1" si="129"/>
        <v>138.76232382724632</v>
      </c>
      <c r="CG203" s="6">
        <f t="shared" ca="1" si="130"/>
        <v>-0.87492030594127934</v>
      </c>
      <c r="CH203" s="6">
        <f t="shared" ca="1" si="131"/>
        <v>-0.48426692871970739</v>
      </c>
      <c r="CI203" s="6">
        <f t="shared" ca="1" si="132"/>
        <v>-2.636067552446308</v>
      </c>
      <c r="CJ203" s="1">
        <f t="shared" ca="1" si="133"/>
        <v>3.0997151614471141</v>
      </c>
      <c r="CK203" s="38"/>
    </row>
    <row r="204" spans="1:89" x14ac:dyDescent="0.25">
      <c r="A204" s="8" t="s">
        <v>64</v>
      </c>
      <c r="B204">
        <f ca="1">((B201*COS(-1*B27))+(B202*SIN(-1*B27)))</f>
        <v>1708.4273173119814</v>
      </c>
      <c r="C204" t="s">
        <v>69</v>
      </c>
      <c r="BC204">
        <v>3.5255650890285306</v>
      </c>
      <c r="BD204">
        <v>-17.802275771441138</v>
      </c>
      <c r="BE204">
        <v>-24.728905019663266</v>
      </c>
      <c r="BF204" s="6">
        <f t="shared" si="223"/>
        <v>4.0884334660538668</v>
      </c>
      <c r="BG204" s="6">
        <f t="shared" si="224"/>
        <v>0.56286837702533621</v>
      </c>
      <c r="BH204" s="6">
        <f t="shared" si="225"/>
        <v>2.6583994501265256</v>
      </c>
      <c r="BI204" s="6">
        <f t="shared" si="226"/>
        <v>2.6583994501265256</v>
      </c>
      <c r="BJ204">
        <v>-27.388116571447906</v>
      </c>
      <c r="BK204">
        <v>-38.04446926102041</v>
      </c>
      <c r="BV204" s="38"/>
      <c r="BW204" s="6">
        <f t="shared" si="120"/>
        <v>3.2986722862692703</v>
      </c>
      <c r="BX204" s="9">
        <f t="shared" ca="1" si="121"/>
        <v>21.114176320318514</v>
      </c>
      <c r="BY204" s="9">
        <f t="shared" ca="1" si="122"/>
        <v>17.771909080421725</v>
      </c>
      <c r="BZ204">
        <f t="shared" ca="1" si="123"/>
        <v>27.597992572799114</v>
      </c>
      <c r="CA204" s="6">
        <f t="shared" ca="1" si="124"/>
        <v>0.76506203357445923</v>
      </c>
      <c r="CB204" s="6">
        <f t="shared" ca="1" si="125"/>
        <v>0.64395658610104545</v>
      </c>
      <c r="CC204" s="6">
        <f t="shared" ca="1" si="126"/>
        <v>0.6996586699604449</v>
      </c>
      <c r="CD204" s="6">
        <f t="shared" ca="1" si="127"/>
        <v>-121.11417632031851</v>
      </c>
      <c r="CE204" s="9">
        <f t="shared" ca="1" si="128"/>
        <v>-67.771909080421722</v>
      </c>
      <c r="CF204">
        <f t="shared" ca="1" si="129"/>
        <v>138.78643797631722</v>
      </c>
      <c r="CG204" s="6">
        <f t="shared" ca="1" si="130"/>
        <v>-0.872665788432337</v>
      </c>
      <c r="CH204" s="6">
        <f t="shared" ca="1" si="131"/>
        <v>-0.48831795144123846</v>
      </c>
      <c r="CI204" s="6">
        <f t="shared" ca="1" si="132"/>
        <v>-2.6314314255297293</v>
      </c>
      <c r="CJ204" s="1">
        <f t="shared" ca="1" si="133"/>
        <v>3.0950790345305355</v>
      </c>
      <c r="CK204" s="38"/>
    </row>
    <row r="205" spans="1:89" x14ac:dyDescent="0.25">
      <c r="A205" s="8" t="s">
        <v>65</v>
      </c>
      <c r="B205">
        <f ca="1">(-1*(B201)*SIN(-1*B27))+((B202)*COS(-1*B27))</f>
        <v>854.21365850323275</v>
      </c>
      <c r="C205" t="s">
        <v>69</v>
      </c>
      <c r="BC205">
        <v>3.5430183815484737</v>
      </c>
      <c r="BD205">
        <v>-17.571891949438246</v>
      </c>
      <c r="BE205">
        <v>-25.232571370807989</v>
      </c>
      <c r="BF205" s="6">
        <f t="shared" si="223"/>
        <v>4.1040851001586045</v>
      </c>
      <c r="BG205" s="6">
        <f t="shared" si="224"/>
        <v>0.5610667186101308</v>
      </c>
      <c r="BH205" s="6">
        <f t="shared" si="225"/>
        <v>2.6427478160217879</v>
      </c>
      <c r="BI205" s="6">
        <f t="shared" si="226"/>
        <v>2.6427478160217879</v>
      </c>
      <c r="BJ205">
        <v>-27.033679922212684</v>
      </c>
      <c r="BK205">
        <v>-38.819340570473827</v>
      </c>
      <c r="BV205" s="38"/>
      <c r="BW205" s="6">
        <f t="shared" si="120"/>
        <v>3.3161255787892134</v>
      </c>
      <c r="BX205" s="9">
        <f t="shared" ca="1" si="121"/>
        <v>20.828813180663751</v>
      </c>
      <c r="BY205" s="9">
        <f t="shared" ca="1" si="122"/>
        <v>18.339691768723249</v>
      </c>
      <c r="BZ205">
        <f t="shared" ca="1" si="123"/>
        <v>27.75218464710062</v>
      </c>
      <c r="CA205" s="6">
        <f t="shared" ca="1" si="124"/>
        <v>0.7505287762215801</v>
      </c>
      <c r="CB205" s="6">
        <f t="shared" ca="1" si="125"/>
        <v>0.66083776833905106</v>
      </c>
      <c r="CC205" s="6">
        <f t="shared" ca="1" si="126"/>
        <v>0.72193445056244843</v>
      </c>
      <c r="CD205" s="6">
        <f t="shared" ca="1" si="127"/>
        <v>-120.82881318066376</v>
      </c>
      <c r="CE205" s="9">
        <f t="shared" ca="1" si="128"/>
        <v>-68.339691768723242</v>
      </c>
      <c r="CF205">
        <f t="shared" ca="1" si="129"/>
        <v>138.81612141855803</v>
      </c>
      <c r="CG205" s="6">
        <f t="shared" ca="1" si="130"/>
        <v>-0.87042349221342252</v>
      </c>
      <c r="CH205" s="6">
        <f t="shared" ca="1" si="131"/>
        <v>-0.4923037113439121</v>
      </c>
      <c r="CI205" s="6">
        <f t="shared" ca="1" si="132"/>
        <v>-2.6268582197848009</v>
      </c>
      <c r="CJ205" s="1">
        <f t="shared" ca="1" si="133"/>
        <v>3.0905058287856071</v>
      </c>
      <c r="CK205" s="38"/>
    </row>
    <row r="206" spans="1:89" x14ac:dyDescent="0.25">
      <c r="BC206">
        <v>3.5604716740684168</v>
      </c>
      <c r="BD206">
        <v>-17.343630662310325</v>
      </c>
      <c r="BE206">
        <v>-25.732706278941404</v>
      </c>
      <c r="BF206" s="6">
        <f t="shared" si="223"/>
        <v>4.1193323240783171</v>
      </c>
      <c r="BG206" s="6">
        <f t="shared" si="224"/>
        <v>0.55886065000990026</v>
      </c>
      <c r="BH206" s="6">
        <f t="shared" si="225"/>
        <v>2.6275005921020753</v>
      </c>
      <c r="BI206" s="6">
        <f t="shared" si="226"/>
        <v>2.6275005921020753</v>
      </c>
      <c r="BJ206">
        <v>-26.682508711246651</v>
      </c>
      <c r="BK206">
        <v>-39.58877889067908</v>
      </c>
      <c r="BV206" s="38"/>
      <c r="BW206" s="6">
        <f t="shared" si="120"/>
        <v>3.3335788713091565</v>
      </c>
      <c r="BX206" s="9">
        <f t="shared" ca="1" si="121"/>
        <v>20.549725768343766</v>
      </c>
      <c r="BY206" s="9">
        <f t="shared" ca="1" si="122"/>
        <v>18.901356935676628</v>
      </c>
      <c r="BZ206">
        <f t="shared" ca="1" si="123"/>
        <v>27.920467817785266</v>
      </c>
      <c r="CA206" s="6">
        <f t="shared" ca="1" si="124"/>
        <v>0.73600936425763053</v>
      </c>
      <c r="CB206" s="6">
        <f t="shared" ca="1" si="125"/>
        <v>0.67697135517322926</v>
      </c>
      <c r="CC206" s="6">
        <f t="shared" ca="1" si="126"/>
        <v>0.7436398518290579</v>
      </c>
      <c r="CD206" s="6">
        <f t="shared" ca="1" si="127"/>
        <v>-120.54972576834376</v>
      </c>
      <c r="CE206" s="9">
        <f t="shared" ca="1" si="128"/>
        <v>-68.901356935676631</v>
      </c>
      <c r="CF206">
        <f t="shared" ca="1" si="129"/>
        <v>138.85111944237397</v>
      </c>
      <c r="CG206" s="6">
        <f t="shared" ca="1" si="130"/>
        <v>-0.86819412225462356</v>
      </c>
      <c r="CH206" s="6">
        <f t="shared" ca="1" si="131"/>
        <v>-0.49622471329280199</v>
      </c>
      <c r="CI206" s="6">
        <f t="shared" ca="1" si="132"/>
        <v>-2.6223477451770103</v>
      </c>
      <c r="CJ206" s="1">
        <f t="shared" ca="1" si="133"/>
        <v>3.0859953541778165</v>
      </c>
      <c r="CK206" s="38"/>
    </row>
    <row r="207" spans="1:89" x14ac:dyDescent="0.25">
      <c r="BC207">
        <v>3.5779249665883599</v>
      </c>
      <c r="BD207">
        <v>-17.117695154667583</v>
      </c>
      <c r="BE207">
        <v>-26.229302464963052</v>
      </c>
      <c r="BF207" s="6">
        <f t="shared" si="223"/>
        <v>4.1341760674610422</v>
      </c>
      <c r="BG207" s="6">
        <f t="shared" si="224"/>
        <v>0.55625110087268226</v>
      </c>
      <c r="BH207" s="6">
        <f t="shared" si="225"/>
        <v>2.6126568487193502</v>
      </c>
      <c r="BI207" s="6">
        <f t="shared" si="226"/>
        <v>2.6126568487193502</v>
      </c>
      <c r="BJ207">
        <v>-26.334915622565511</v>
      </c>
      <c r="BK207">
        <v>-40.352773023020077</v>
      </c>
      <c r="BV207" s="38"/>
      <c r="BW207" s="6">
        <f t="shared" ref="BW207:BW270" si="227">BC194</f>
        <v>3.3510321638290996</v>
      </c>
      <c r="BX207" s="9">
        <f t="shared" ca="1" si="121"/>
        <v>20.276663234004612</v>
      </c>
      <c r="BY207" s="9">
        <f t="shared" ca="1" si="122"/>
        <v>19.457011988370109</v>
      </c>
      <c r="BZ207">
        <f t="shared" ca="1" si="123"/>
        <v>28.101928535614999</v>
      </c>
      <c r="CA207" s="6">
        <f t="shared" ca="1" si="124"/>
        <v>0.72153991881044632</v>
      </c>
      <c r="CB207" s="6">
        <f t="shared" ca="1" si="125"/>
        <v>0.69237283710657971</v>
      </c>
      <c r="CC207" s="6">
        <f t="shared" ca="1" si="126"/>
        <v>0.7647724597383857</v>
      </c>
      <c r="CD207" s="6">
        <f t="shared" ca="1" si="127"/>
        <v>-120.27666323400462</v>
      </c>
      <c r="CE207" s="9">
        <f t="shared" ca="1" si="128"/>
        <v>-69.457011988370112</v>
      </c>
      <c r="CF207">
        <f t="shared" ca="1" si="129"/>
        <v>138.89115246501032</v>
      </c>
      <c r="CG207" s="6">
        <f t="shared" ca="1" si="130"/>
        <v>-0.86597786179580372</v>
      </c>
      <c r="CH207" s="6">
        <f t="shared" ca="1" si="131"/>
        <v>-0.50008233610033459</v>
      </c>
      <c r="CI207" s="6">
        <f t="shared" ca="1" si="132"/>
        <v>-2.6178988018424953</v>
      </c>
      <c r="CJ207" s="1">
        <f t="shared" ca="1" si="133"/>
        <v>3.0815464108433015</v>
      </c>
      <c r="CK207" s="38"/>
    </row>
    <row r="208" spans="1:89" x14ac:dyDescent="0.25">
      <c r="BC208">
        <v>3.595378259108303</v>
      </c>
      <c r="BD208">
        <v>-16.894010138701891</v>
      </c>
      <c r="BE208">
        <v>-26.722414016954573</v>
      </c>
      <c r="BF208" s="6">
        <f t="shared" si="223"/>
        <v>4.1486262094548643</v>
      </c>
      <c r="BG208" s="6">
        <f t="shared" si="224"/>
        <v>0.55324795034656127</v>
      </c>
      <c r="BH208" s="6">
        <f t="shared" si="225"/>
        <v>2.5982067067255281</v>
      </c>
      <c r="BI208" s="6">
        <f t="shared" si="226"/>
        <v>2.5982067067255281</v>
      </c>
      <c r="BJ208">
        <v>-25.990784828772139</v>
      </c>
      <c r="BK208">
        <v>-41.111406179930114</v>
      </c>
      <c r="BV208" s="38"/>
      <c r="BW208" s="6">
        <f t="shared" si="227"/>
        <v>3.3684854563490427</v>
      </c>
      <c r="BX208" s="9">
        <f t="shared" ref="BX208:BX271" ca="1" si="228">$BW$5-BD195</f>
        <v>20.009312746628169</v>
      </c>
      <c r="BY208" s="9">
        <f t="shared" ref="BY208:BY271" ca="1" si="229">$BX$5-BE195</f>
        <v>20.006828679014937</v>
      </c>
      <c r="BZ208">
        <f t="shared" ref="BZ208:BZ271" ca="1" si="230">SQRT(POWER(BX208,2)+POWER(BY208,2))</f>
        <v>28.295685013511001</v>
      </c>
      <c r="CA208" s="6">
        <f t="shared" ref="CA208:CA271" ca="1" si="231">BX208/BZ208</f>
        <v>0.7071506746372761</v>
      </c>
      <c r="CB208" s="6">
        <f t="shared" ref="CB208:CB271" ca="1" si="232">BY208/BZ208</f>
        <v>0.70706288501097636</v>
      </c>
      <c r="CC208" s="6">
        <f t="shared" ref="CC208:CC271" ca="1" si="233">ATAN2(CA208,CB208)</f>
        <v>0.78533608675733402</v>
      </c>
      <c r="CD208" s="6">
        <f t="shared" ref="CD208:CD271" ca="1" si="234">$BW$9-BX208</f>
        <v>-120.00931274662817</v>
      </c>
      <c r="CE208" s="9">
        <f t="shared" ref="CE208:CE271" ca="1" si="235">$BX$9-BY208</f>
        <v>-70.006828679014944</v>
      </c>
      <c r="CF208">
        <f t="shared" ref="CF208:CF271" ca="1" si="236">SQRT(POWER(CD208,2)+POWER(CE208,2))</f>
        <v>138.93592482727769</v>
      </c>
      <c r="CG208" s="6">
        <f t="shared" ref="CG208:CG271" ca="1" si="237">CD208/CF208</f>
        <v>-0.86377452696861023</v>
      </c>
      <c r="CH208" s="6">
        <f t="shared" ref="CH208:CH271" ca="1" si="238">CE208/CF208</f>
        <v>-0.50387852361472385</v>
      </c>
      <c r="CI208" s="6">
        <f t="shared" ref="CI208:CI271" ca="1" si="239">ATAN2(CG208,CH208)</f>
        <v>-2.6135095245744377</v>
      </c>
      <c r="CJ208" s="1">
        <f t="shared" ref="CJ208:CJ271" ca="1" si="240">ATAN2(COS($U$13-CI208),SIN($U$13-CI208))</f>
        <v>3.0771571335752439</v>
      </c>
      <c r="CK208" s="38"/>
    </row>
    <row r="209" spans="55:89" x14ac:dyDescent="0.25">
      <c r="BC209">
        <v>3.6128315516282461</v>
      </c>
      <c r="BD209">
        <v>-16.672116537321699</v>
      </c>
      <c r="BE209">
        <v>-27.212694297262164</v>
      </c>
      <c r="BF209" s="6">
        <f t="shared" si="223"/>
        <v>4.1627129654204582</v>
      </c>
      <c r="BG209" s="6">
        <f t="shared" si="224"/>
        <v>0.54988141379221211</v>
      </c>
      <c r="BH209" s="6">
        <f t="shared" si="225"/>
        <v>2.5841199507599342</v>
      </c>
      <c r="BI209" s="6">
        <f t="shared" si="226"/>
        <v>2.5841199507599342</v>
      </c>
      <c r="BJ209">
        <v>-25.649410057417999</v>
      </c>
      <c r="BK209">
        <v>-41.865683534249484</v>
      </c>
      <c r="BV209" s="38"/>
      <c r="BW209" s="6">
        <f t="shared" si="227"/>
        <v>3.3859387488689858</v>
      </c>
      <c r="BX209" s="9">
        <f t="shared" ca="1" si="228"/>
        <v>19.747324505546995</v>
      </c>
      <c r="BY209" s="9">
        <f t="shared" ca="1" si="229"/>
        <v>20.551016526607572</v>
      </c>
      <c r="BZ209">
        <f t="shared" ca="1" si="230"/>
        <v>28.500896571937425</v>
      </c>
      <c r="CA209" s="6">
        <f t="shared" ca="1" si="231"/>
        <v>0.69286678247836675</v>
      </c>
      <c r="CB209" s="6">
        <f t="shared" ca="1" si="232"/>
        <v>0.721065615417956</v>
      </c>
      <c r="CC209" s="6">
        <f t="shared" ca="1" si="233"/>
        <v>0.80533907091402523</v>
      </c>
      <c r="CD209" s="6">
        <f t="shared" ca="1" si="234"/>
        <v>-119.747324505547</v>
      </c>
      <c r="CE209" s="9">
        <f t="shared" ca="1" si="235"/>
        <v>-70.551016526607569</v>
      </c>
      <c r="CF209">
        <f t="shared" ca="1" si="236"/>
        <v>138.98513466977118</v>
      </c>
      <c r="CG209" s="6">
        <f t="shared" ca="1" si="237"/>
        <v>-0.86158368511903638</v>
      </c>
      <c r="CH209" s="6">
        <f t="shared" ca="1" si="238"/>
        <v>-0.50761555683085713</v>
      </c>
      <c r="CI209" s="6">
        <f t="shared" ca="1" si="239"/>
        <v>-2.6091776387711403</v>
      </c>
      <c r="CJ209" s="1">
        <f t="shared" ca="1" si="240"/>
        <v>3.0728252477719464</v>
      </c>
      <c r="CK209" s="38"/>
    </row>
    <row r="210" spans="55:89" x14ac:dyDescent="0.25">
      <c r="BC210">
        <v>3.6302848441481892</v>
      </c>
      <c r="BD210">
        <v>-16.451101716138542</v>
      </c>
      <c r="BE210">
        <v>-27.701435066537567</v>
      </c>
      <c r="BF210" s="6">
        <f t="shared" si="223"/>
        <v>4.1764876780923519</v>
      </c>
      <c r="BG210" s="6">
        <f t="shared" si="224"/>
        <v>0.54620283394416269</v>
      </c>
      <c r="BH210" s="6">
        <f t="shared" si="225"/>
        <v>2.5703452380880405</v>
      </c>
      <c r="BI210" s="6">
        <f t="shared" si="226"/>
        <v>2.5703452380880405</v>
      </c>
      <c r="BJ210">
        <v>-25.309387255597755</v>
      </c>
      <c r="BK210">
        <v>-42.617592410057796</v>
      </c>
      <c r="BV210" s="38"/>
      <c r="BW210" s="6">
        <f t="shared" si="227"/>
        <v>3.4033920413889289</v>
      </c>
      <c r="BX210" s="9">
        <f t="shared" ca="1" si="228"/>
        <v>19.490331490695777</v>
      </c>
      <c r="BY210" s="9">
        <f t="shared" ca="1" si="229"/>
        <v>21.089804488093069</v>
      </c>
      <c r="BZ210">
        <f t="shared" ca="1" si="230"/>
        <v>28.716769925658387</v>
      </c>
      <c r="CA210" s="6">
        <f t="shared" ca="1" si="231"/>
        <v>0.67870904496404372</v>
      </c>
      <c r="CB210" s="6">
        <f t="shared" ca="1" si="232"/>
        <v>0.73440726595261552</v>
      </c>
      <c r="CC210" s="6">
        <f t="shared" ca="1" si="233"/>
        <v>0.82479294214639598</v>
      </c>
      <c r="CD210" s="6">
        <f t="shared" ca="1" si="234"/>
        <v>-119.49033149069578</v>
      </c>
      <c r="CE210" s="9">
        <f t="shared" ca="1" si="235"/>
        <v>-71.089804488093066</v>
      </c>
      <c r="CF210">
        <f t="shared" ca="1" si="236"/>
        <v>139.03848252160861</v>
      </c>
      <c r="CG210" s="6">
        <f t="shared" ca="1" si="237"/>
        <v>-0.85940474409396139</v>
      </c>
      <c r="CH210" s="6">
        <f t="shared" ca="1" si="238"/>
        <v>-0.5112958887266672</v>
      </c>
      <c r="CI210" s="6">
        <f t="shared" ca="1" si="239"/>
        <v>-2.6049006474525664</v>
      </c>
      <c r="CJ210" s="1">
        <f t="shared" ca="1" si="240"/>
        <v>3.0685482564533726</v>
      </c>
      <c r="CK210" s="38"/>
    </row>
    <row r="211" spans="55:89" x14ac:dyDescent="0.25">
      <c r="BC211">
        <v>3.6477381366681323</v>
      </c>
      <c r="BD211">
        <v>-16.230088359216939</v>
      </c>
      <c r="BE211">
        <v>-28.189818840831325</v>
      </c>
      <c r="BF211" s="6">
        <f t="shared" si="223"/>
        <v>4.1899965624970292</v>
      </c>
      <c r="BG211" s="6">
        <f t="shared" si="224"/>
        <v>0.54225842582889694</v>
      </c>
      <c r="BH211" s="6">
        <f t="shared" si="225"/>
        <v>2.5568363536833631</v>
      </c>
      <c r="BI211" s="6">
        <f t="shared" si="226"/>
        <v>2.5568363536833631</v>
      </c>
      <c r="BJ211">
        <v>-24.969366706487598</v>
      </c>
      <c r="BK211">
        <v>-43.368952062817421</v>
      </c>
      <c r="BV211" s="38"/>
      <c r="BW211" s="6">
        <f t="shared" si="227"/>
        <v>3.420845333908872</v>
      </c>
      <c r="BX211" s="9">
        <f t="shared" ca="1" si="228"/>
        <v>19.237964496015426</v>
      </c>
      <c r="BY211" s="9">
        <f t="shared" ca="1" si="229"/>
        <v>21.623428185022217</v>
      </c>
      <c r="BZ211">
        <f t="shared" ca="1" si="230"/>
        <v>28.942562506156278</v>
      </c>
      <c r="CA211" s="6">
        <f t="shared" ca="1" si="231"/>
        <v>0.6646945823101662</v>
      </c>
      <c r="CB211" s="6">
        <f t="shared" ca="1" si="232"/>
        <v>0.74711519342569499</v>
      </c>
      <c r="CC211" s="6">
        <f t="shared" ca="1" si="233"/>
        <v>0.8437113791540114</v>
      </c>
      <c r="CD211" s="6">
        <f t="shared" ca="1" si="234"/>
        <v>-119.23796449601542</v>
      </c>
      <c r="CE211" s="9">
        <f t="shared" ca="1" si="235"/>
        <v>-71.62342818502222</v>
      </c>
      <c r="CF211">
        <f t="shared" ca="1" si="236"/>
        <v>139.09567801383361</v>
      </c>
      <c r="CG211" s="6">
        <f t="shared" ca="1" si="237"/>
        <v>-0.85723701986021983</v>
      </c>
      <c r="CH211" s="6">
        <f t="shared" ca="1" si="238"/>
        <v>-0.51492202495248629</v>
      </c>
      <c r="CI211" s="6">
        <f t="shared" ca="1" si="239"/>
        <v>-2.6006759677218154</v>
      </c>
      <c r="CJ211" s="1">
        <f t="shared" ca="1" si="240"/>
        <v>3.0643235767226216</v>
      </c>
      <c r="CK211" s="38"/>
    </row>
    <row r="212" spans="55:89" x14ac:dyDescent="0.25">
      <c r="BC212">
        <v>3.6651914291880754</v>
      </c>
      <c r="BD212">
        <v>-16.00825023168348</v>
      </c>
      <c r="BE212">
        <v>-28.678906581526888</v>
      </c>
      <c r="BF212" s="6">
        <f t="shared" si="223"/>
        <v>4.2032803756610866</v>
      </c>
      <c r="BG212" s="6">
        <f t="shared" si="224"/>
        <v>0.5380889464730112</v>
      </c>
      <c r="BH212" s="6">
        <f t="shared" si="225"/>
        <v>2.5435525405193058</v>
      </c>
      <c r="BI212" s="6">
        <f t="shared" si="226"/>
        <v>2.5435525405193058</v>
      </c>
      <c r="BJ212">
        <v>-24.628077279513047</v>
      </c>
      <c r="BK212">
        <v>-44.121394740810594</v>
      </c>
      <c r="BV212" s="38"/>
      <c r="BW212" s="6">
        <f t="shared" si="227"/>
        <v>3.4382986264288151</v>
      </c>
      <c r="BX212" s="9">
        <f t="shared" ca="1" si="228"/>
        <v>18.989863348193722</v>
      </c>
      <c r="BY212" s="9">
        <f t="shared" ca="1" si="229"/>
        <v>22.152120856716635</v>
      </c>
      <c r="BZ212">
        <f t="shared" ca="1" si="230"/>
        <v>29.177583320653056</v>
      </c>
      <c r="CA212" s="6">
        <f t="shared" ca="1" si="231"/>
        <v>0.65083743021143015</v>
      </c>
      <c r="CB212" s="6">
        <f t="shared" ca="1" si="232"/>
        <v>0.75921712272299402</v>
      </c>
      <c r="CC212" s="6">
        <f t="shared" ca="1" si="233"/>
        <v>0.86210939276088372</v>
      </c>
      <c r="CD212" s="6">
        <f t="shared" ca="1" si="234"/>
        <v>-118.98986334819372</v>
      </c>
      <c r="CE212" s="9">
        <f t="shared" ca="1" si="235"/>
        <v>-72.152120856716635</v>
      </c>
      <c r="CF212">
        <f t="shared" ca="1" si="236"/>
        <v>139.15644477976599</v>
      </c>
      <c r="CG212" s="6">
        <f t="shared" ca="1" si="237"/>
        <v>-0.85507978833830778</v>
      </c>
      <c r="CH212" s="6">
        <f t="shared" ca="1" si="238"/>
        <v>-0.51849643737957796</v>
      </c>
      <c r="CI212" s="6">
        <f t="shared" ca="1" si="239"/>
        <v>-2.5965010309132612</v>
      </c>
      <c r="CJ212" s="1">
        <f t="shared" ca="1" si="240"/>
        <v>3.0601486399140674</v>
      </c>
      <c r="CK212" s="38"/>
    </row>
    <row r="213" spans="55:89" x14ac:dyDescent="0.25">
      <c r="BC213">
        <v>3.6826447217080185</v>
      </c>
      <c r="BD213">
        <v>-15.784799240937113</v>
      </c>
      <c r="BE213">
        <v>-29.169665136069938</v>
      </c>
      <c r="BF213" s="6">
        <f t="shared" si="223"/>
        <v>4.2163754564739913</v>
      </c>
      <c r="BG213" s="6">
        <f t="shared" si="224"/>
        <v>0.53373073476597277</v>
      </c>
      <c r="BH213" s="6">
        <f t="shared" si="225"/>
        <v>2.5304574597064011</v>
      </c>
      <c r="BI213" s="6">
        <f t="shared" si="226"/>
        <v>2.5304574597064011</v>
      </c>
      <c r="BJ213">
        <v>-24.284306524518634</v>
      </c>
      <c r="BK213">
        <v>-44.876407901646054</v>
      </c>
      <c r="BV213" s="38"/>
      <c r="BW213" s="6">
        <f t="shared" si="227"/>
        <v>3.4557519189487582</v>
      </c>
      <c r="BX213" s="9">
        <f t="shared" ca="1" si="228"/>
        <v>18.745685277674298</v>
      </c>
      <c r="BY213" s="9">
        <f t="shared" ca="1" si="229"/>
        <v>22.676106789741105</v>
      </c>
      <c r="BZ213">
        <f t="shared" ca="1" si="230"/>
        <v>29.421191948480903</v>
      </c>
      <c r="CA213" s="6">
        <f t="shared" ca="1" si="231"/>
        <v>0.63714907643781538</v>
      </c>
      <c r="CB213" s="6">
        <f t="shared" ca="1" si="232"/>
        <v>0.77074058826199032</v>
      </c>
      <c r="CC213" s="6">
        <f t="shared" ca="1" si="233"/>
        <v>0.88000268282621841</v>
      </c>
      <c r="CD213" s="6">
        <f t="shared" ca="1" si="234"/>
        <v>-118.7456852776743</v>
      </c>
      <c r="CE213" s="9">
        <f t="shared" ca="1" si="235"/>
        <v>-72.676106789741112</v>
      </c>
      <c r="CF213">
        <f t="shared" ca="1" si="236"/>
        <v>139.22052388271757</v>
      </c>
      <c r="CG213" s="6">
        <f t="shared" ca="1" si="237"/>
        <v>-0.85293232611097103</v>
      </c>
      <c r="CH213" s="6">
        <f t="shared" ca="1" si="238"/>
        <v>-0.52202150058683205</v>
      </c>
      <c r="CI213" s="6">
        <f t="shared" ca="1" si="239"/>
        <v>-2.5923733573768493</v>
      </c>
      <c r="CJ213" s="1">
        <f t="shared" ca="1" si="240"/>
        <v>3.0560209663776554</v>
      </c>
      <c r="CK213" s="38"/>
    </row>
    <row r="214" spans="55:89" x14ac:dyDescent="0.25">
      <c r="BC214">
        <v>3.7000980142279616</v>
      </c>
      <c r="BD214">
        <v>-15.55897419429688</v>
      </c>
      <c r="BE214">
        <v>-29.662989239837728</v>
      </c>
      <c r="BF214" s="6">
        <f t="shared" si="223"/>
        <v>4.2293145565460195</v>
      </c>
      <c r="BG214" s="6">
        <f t="shared" si="224"/>
        <v>0.52921654231805793</v>
      </c>
      <c r="BH214" s="6">
        <f t="shared" si="225"/>
        <v>2.5175183596343729</v>
      </c>
      <c r="BI214" s="6">
        <f t="shared" si="226"/>
        <v>2.5175183596343729</v>
      </c>
      <c r="BJ214">
        <v>-23.936883375841354</v>
      </c>
      <c r="BK214">
        <v>-45.635368061288808</v>
      </c>
      <c r="BV214" s="38"/>
      <c r="BW214" s="6">
        <f t="shared" si="227"/>
        <v>3.4732052114687013</v>
      </c>
      <c r="BX214" s="9">
        <f t="shared" ca="1" si="228"/>
        <v>18.505111237593077</v>
      </c>
      <c r="BY214" s="9">
        <f t="shared" ca="1" si="229"/>
        <v>23.195596378325785</v>
      </c>
      <c r="BZ214">
        <f t="shared" ca="1" si="230"/>
        <v>29.672796182056953</v>
      </c>
      <c r="CA214" s="6">
        <f t="shared" ca="1" si="231"/>
        <v>0.62363894268862541</v>
      </c>
      <c r="CB214" s="6">
        <f t="shared" ca="1" si="232"/>
        <v>0.78171252334999319</v>
      </c>
      <c r="CC214" s="6">
        <f t="shared" ca="1" si="233"/>
        <v>0.8974071282314332</v>
      </c>
      <c r="CD214" s="6">
        <f t="shared" ca="1" si="234"/>
        <v>-118.50511123759307</v>
      </c>
      <c r="CE214" s="9">
        <f t="shared" ca="1" si="235"/>
        <v>-73.195596378325789</v>
      </c>
      <c r="CF214">
        <f t="shared" ca="1" si="236"/>
        <v>139.28767611893412</v>
      </c>
      <c r="CG214" s="6">
        <f t="shared" ca="1" si="237"/>
        <v>-0.85079394343836023</v>
      </c>
      <c r="CH214" s="6">
        <f t="shared" ca="1" si="238"/>
        <v>-0.52549944415632277</v>
      </c>
      <c r="CI214" s="6">
        <f t="shared" ca="1" si="239"/>
        <v>-2.5882906138040624</v>
      </c>
      <c r="CJ214" s="1">
        <f t="shared" ca="1" si="240"/>
        <v>3.0519382228048686</v>
      </c>
      <c r="CK214" s="38"/>
    </row>
    <row r="215" spans="55:89" x14ac:dyDescent="0.25">
      <c r="BC215">
        <v>3.7175513067479047</v>
      </c>
      <c r="BD215">
        <v>-15.330030850825722</v>
      </c>
      <c r="BE215">
        <v>-30.159719402916735</v>
      </c>
      <c r="BF215" s="6">
        <f t="shared" si="223"/>
        <v>4.2421275113598931</v>
      </c>
      <c r="BG215" s="6">
        <f t="shared" si="224"/>
        <v>0.52457620461198839</v>
      </c>
      <c r="BH215" s="6">
        <f t="shared" si="225"/>
        <v>2.5047054048204993</v>
      </c>
      <c r="BI215" s="6">
        <f t="shared" si="226"/>
        <v>2.5047054048204993</v>
      </c>
      <c r="BJ215">
        <v>-23.584662847424188</v>
      </c>
      <c r="BK215">
        <v>-46.399568312179589</v>
      </c>
      <c r="BV215" s="38"/>
      <c r="BW215" s="6">
        <f t="shared" si="227"/>
        <v>3.4906585039886444</v>
      </c>
      <c r="BX215" s="9">
        <f t="shared" ca="1" si="228"/>
        <v>18.267850798466274</v>
      </c>
      <c r="BY215" s="9">
        <f t="shared" ca="1" si="229"/>
        <v>23.710782234077708</v>
      </c>
      <c r="BZ215">
        <f t="shared" ca="1" si="230"/>
        <v>29.931848705799649</v>
      </c>
      <c r="CA215" s="6">
        <f t="shared" ca="1" si="231"/>
        <v>0.61031481810632904</v>
      </c>
      <c r="CB215" s="6">
        <f t="shared" ca="1" si="232"/>
        <v>0.79215896308748435</v>
      </c>
      <c r="CC215" s="6">
        <f t="shared" ca="1" si="233"/>
        <v>0.91433837884041169</v>
      </c>
      <c r="CD215" s="6">
        <f t="shared" ca="1" si="234"/>
        <v>-118.26785079846627</v>
      </c>
      <c r="CE215" s="9">
        <f t="shared" ca="1" si="235"/>
        <v>-73.710782234077712</v>
      </c>
      <c r="CF215">
        <f t="shared" ca="1" si="236"/>
        <v>139.35768349842755</v>
      </c>
      <c r="CG215" s="6">
        <f t="shared" ca="1" si="237"/>
        <v>-0.84866401212675691</v>
      </c>
      <c r="CH215" s="6">
        <f t="shared" ca="1" si="238"/>
        <v>-0.52893231563302667</v>
      </c>
      <c r="CI215" s="6">
        <f t="shared" ca="1" si="239"/>
        <v>-2.5842506588332408</v>
      </c>
      <c r="CJ215" s="1">
        <f t="shared" ca="1" si="240"/>
        <v>3.0478982678340469</v>
      </c>
      <c r="CK215" s="38"/>
    </row>
    <row r="216" spans="55:89" x14ac:dyDescent="0.25">
      <c r="BC216">
        <v>3.7350045992678478</v>
      </c>
      <c r="BD216">
        <v>-15.097232911484198</v>
      </c>
      <c r="BE216">
        <v>-30.660656676576661</v>
      </c>
      <c r="BF216" s="6">
        <f t="shared" si="223"/>
        <v>4.2548417893225681</v>
      </c>
      <c r="BG216" s="6">
        <f t="shared" si="224"/>
        <v>0.51983719005472029</v>
      </c>
      <c r="BH216" s="6">
        <f t="shared" si="225"/>
        <v>2.4919911268578243</v>
      </c>
      <c r="BI216" s="6">
        <f t="shared" si="226"/>
        <v>2.4919911268578243</v>
      </c>
      <c r="BJ216">
        <v>-23.226512171514152</v>
      </c>
      <c r="BK216">
        <v>-47.17024104088717</v>
      </c>
      <c r="BV216" s="38"/>
      <c r="BW216" s="6">
        <f t="shared" si="227"/>
        <v>3.5081117965085875</v>
      </c>
      <c r="BX216" s="9">
        <f t="shared" ca="1" si="228"/>
        <v>18.033646173883238</v>
      </c>
      <c r="BY216" s="9">
        <f t="shared" ca="1" si="229"/>
        <v>24.221835921510579</v>
      </c>
      <c r="BZ216">
        <f t="shared" ca="1" si="230"/>
        <v>30.197843130485225</v>
      </c>
      <c r="CA216" s="6">
        <f t="shared" ca="1" si="231"/>
        <v>0.59718325232565939</v>
      </c>
      <c r="CB216" s="6">
        <f t="shared" ca="1" si="232"/>
        <v>0.80210483301233626</v>
      </c>
      <c r="CC216" s="6">
        <f t="shared" ca="1" si="233"/>
        <v>0.93081152319465066</v>
      </c>
      <c r="CD216" s="6">
        <f t="shared" ca="1" si="234"/>
        <v>-118.03364617388324</v>
      </c>
      <c r="CE216" s="9">
        <f t="shared" ca="1" si="235"/>
        <v>-74.221835921510575</v>
      </c>
      <c r="CF216">
        <f t="shared" ca="1" si="236"/>
        <v>139.43035019916252</v>
      </c>
      <c r="CG216" s="6">
        <f t="shared" ca="1" si="237"/>
        <v>-0.84654199035779376</v>
      </c>
      <c r="CH216" s="6">
        <f t="shared" ca="1" si="238"/>
        <v>-0.53232195010262828</v>
      </c>
      <c r="CI216" s="6">
        <f t="shared" ca="1" si="239"/>
        <v>-2.5802515814972655</v>
      </c>
      <c r="CJ216" s="1">
        <f t="shared" ca="1" si="240"/>
        <v>3.0438991904980717</v>
      </c>
      <c r="CK216" s="38"/>
    </row>
    <row r="217" spans="55:89" x14ac:dyDescent="0.25">
      <c r="BC217">
        <v>3.7524578917877909</v>
      </c>
      <c r="BD217">
        <v>-14.859843707245561</v>
      </c>
      <c r="BE217">
        <v>-31.166575043725757</v>
      </c>
      <c r="BF217" s="6">
        <f t="shared" si="223"/>
        <v>4.2674829455781298</v>
      </c>
      <c r="BG217" s="6">
        <f t="shared" si="224"/>
        <v>0.51502505379033892</v>
      </c>
      <c r="BH217" s="6">
        <f t="shared" si="225"/>
        <v>2.4793499706022626</v>
      </c>
      <c r="BI217" s="6">
        <f t="shared" si="226"/>
        <v>2.4793499706022626</v>
      </c>
      <c r="BJ217">
        <v>-22.861298011147017</v>
      </c>
      <c r="BK217">
        <v>-47.94857699034732</v>
      </c>
      <c r="BV217" s="38"/>
      <c r="BW217" s="6">
        <f t="shared" si="227"/>
        <v>3.5255650890285306</v>
      </c>
      <c r="BX217" s="9">
        <f t="shared" ca="1" si="228"/>
        <v>17.802275771441138</v>
      </c>
      <c r="BY217" s="9">
        <f t="shared" ca="1" si="229"/>
        <v>24.728905019663266</v>
      </c>
      <c r="BZ217">
        <f t="shared" ca="1" si="230"/>
        <v>30.470309583494014</v>
      </c>
      <c r="CA217" s="6">
        <f t="shared" ca="1" si="231"/>
        <v>0.58424991458192332</v>
      </c>
      <c r="CB217" s="6">
        <f t="shared" ca="1" si="232"/>
        <v>0.81157380275056645</v>
      </c>
      <c r="CC217" s="6">
        <f t="shared" ca="1" si="233"/>
        <v>0.94684081246407359</v>
      </c>
      <c r="CD217" s="6">
        <f t="shared" ca="1" si="234"/>
        <v>-117.80227577144115</v>
      </c>
      <c r="CE217" s="9">
        <f t="shared" ca="1" si="235"/>
        <v>-74.728905019663273</v>
      </c>
      <c r="CF217">
        <f t="shared" ca="1" si="236"/>
        <v>139.50550319743132</v>
      </c>
      <c r="CG217" s="6">
        <f t="shared" ca="1" si="237"/>
        <v>-0.84442744602501252</v>
      </c>
      <c r="CH217" s="6">
        <f t="shared" ca="1" si="238"/>
        <v>-0.53566994352835851</v>
      </c>
      <c r="CI217" s="6">
        <f t="shared" ca="1" si="239"/>
        <v>-2.5762917357675001</v>
      </c>
      <c r="CJ217" s="1">
        <f t="shared" ca="1" si="240"/>
        <v>3.0399393447683063</v>
      </c>
      <c r="CK217" s="38"/>
    </row>
    <row r="218" spans="55:89" x14ac:dyDescent="0.25">
      <c r="BC218">
        <v>3.769911184307734</v>
      </c>
      <c r="BD218">
        <v>-14.617118331914574</v>
      </c>
      <c r="BE218">
        <v>-31.678232011512769</v>
      </c>
      <c r="BF218" s="6">
        <f t="shared" si="223"/>
        <v>4.280075002419327</v>
      </c>
      <c r="BG218" s="6">
        <f t="shared" si="224"/>
        <v>0.51016381811159306</v>
      </c>
      <c r="BH218" s="6">
        <f t="shared" si="225"/>
        <v>2.4667579137610653</v>
      </c>
      <c r="BI218" s="6">
        <f t="shared" si="226"/>
        <v>2.4667579137610653</v>
      </c>
      <c r="BJ218">
        <v>-22.48787435679165</v>
      </c>
      <c r="BK218">
        <v>-48.735741556173487</v>
      </c>
      <c r="BV218" s="38"/>
      <c r="BW218" s="6">
        <f t="shared" si="227"/>
        <v>3.5430183815484737</v>
      </c>
      <c r="BX218" s="9">
        <f t="shared" ca="1" si="228"/>
        <v>17.571891949438246</v>
      </c>
      <c r="BY218" s="9">
        <f t="shared" ca="1" si="229"/>
        <v>25.232571370807989</v>
      </c>
      <c r="BZ218">
        <f t="shared" ca="1" si="230"/>
        <v>30.748236448057497</v>
      </c>
      <c r="CA218" s="6">
        <f t="shared" ca="1" si="231"/>
        <v>0.57147641553759221</v>
      </c>
      <c r="CB218" s="6">
        <f t="shared" ca="1" si="232"/>
        <v>0.82061849021595001</v>
      </c>
      <c r="CC218" s="6">
        <f t="shared" ca="1" si="233"/>
        <v>0.9624924465688115</v>
      </c>
      <c r="CD218" s="6">
        <f t="shared" ca="1" si="234"/>
        <v>-117.57189194943825</v>
      </c>
      <c r="CE218" s="9">
        <f t="shared" ca="1" si="235"/>
        <v>-75.232571370807989</v>
      </c>
      <c r="CF218">
        <f t="shared" ca="1" si="236"/>
        <v>139.58183825854317</v>
      </c>
      <c r="CG218" s="6">
        <f t="shared" ca="1" si="237"/>
        <v>-0.84231511360140876</v>
      </c>
      <c r="CH218" s="6">
        <f t="shared" ca="1" si="238"/>
        <v>-0.53898538885450842</v>
      </c>
      <c r="CI218" s="6">
        <f t="shared" ca="1" si="239"/>
        <v>-2.5723605596227519</v>
      </c>
      <c r="CJ218" s="1">
        <f t="shared" ca="1" si="240"/>
        <v>3.036008168623558</v>
      </c>
      <c r="CK218" s="38"/>
    </row>
    <row r="219" spans="55:89" x14ac:dyDescent="0.25">
      <c r="BC219">
        <v>3.7873644768276771</v>
      </c>
      <c r="BD219">
        <v>-14.368296028316054</v>
      </c>
      <c r="BE219">
        <v>-32.196377850775868</v>
      </c>
      <c r="BF219" s="6">
        <f t="shared" si="223"/>
        <v>4.2926407723610946</v>
      </c>
      <c r="BG219" s="6">
        <f t="shared" si="224"/>
        <v>0.50527629553341757</v>
      </c>
      <c r="BH219" s="6">
        <f t="shared" si="225"/>
        <v>2.4541921438192977</v>
      </c>
      <c r="BI219" s="6">
        <f t="shared" si="226"/>
        <v>2.4541921438192977</v>
      </c>
      <c r="BJ219">
        <v>-22.105070812793929</v>
      </c>
      <c r="BK219">
        <v>-49.532889001193638</v>
      </c>
      <c r="BV219" s="38"/>
      <c r="BW219" s="6">
        <f t="shared" si="227"/>
        <v>3.5604716740684168</v>
      </c>
      <c r="BX219" s="9">
        <f t="shared" ca="1" si="228"/>
        <v>17.343630662310325</v>
      </c>
      <c r="BY219" s="9">
        <f t="shared" ca="1" si="229"/>
        <v>25.732706278941404</v>
      </c>
      <c r="BZ219">
        <f t="shared" ca="1" si="230"/>
        <v>31.031817494128525</v>
      </c>
      <c r="CA219" s="6">
        <f t="shared" ca="1" si="231"/>
        <v>0.55889831994506545</v>
      </c>
      <c r="CB219" s="6">
        <f t="shared" ca="1" si="232"/>
        <v>0.82923619552126593</v>
      </c>
      <c r="CC219" s="6">
        <f t="shared" ca="1" si="233"/>
        <v>0.97773967048852384</v>
      </c>
      <c r="CD219" s="6">
        <f t="shared" ca="1" si="234"/>
        <v>-117.34363066231032</v>
      </c>
      <c r="CE219" s="9">
        <f t="shared" ca="1" si="235"/>
        <v>-75.732706278941407</v>
      </c>
      <c r="CF219">
        <f t="shared" ca="1" si="236"/>
        <v>139.6601963959134</v>
      </c>
      <c r="CG219" s="6">
        <f t="shared" ca="1" si="237"/>
        <v>-0.84020811720513888</v>
      </c>
      <c r="CH219" s="6">
        <f t="shared" ca="1" si="238"/>
        <v>-0.5422640683122899</v>
      </c>
      <c r="CI219" s="6">
        <f t="shared" ca="1" si="239"/>
        <v>-2.5684632282246378</v>
      </c>
      <c r="CJ219" s="1">
        <f t="shared" ca="1" si="240"/>
        <v>3.0321108372254439</v>
      </c>
      <c r="CK219" s="38"/>
    </row>
    <row r="220" spans="55:89" x14ac:dyDescent="0.25">
      <c r="BC220">
        <v>3.8048177693476202</v>
      </c>
      <c r="BD220">
        <v>-14.112592656253334</v>
      </c>
      <c r="BE220">
        <v>-32.721763833150447</v>
      </c>
      <c r="BF220" s="6">
        <f t="shared" si="223"/>
        <v>4.3052021363807995</v>
      </c>
      <c r="BG220" s="6">
        <f t="shared" si="224"/>
        <v>0.50038436703317934</v>
      </c>
      <c r="BH220" s="6">
        <f t="shared" si="225"/>
        <v>2.4416307797995929</v>
      </c>
      <c r="BI220" s="6">
        <f t="shared" si="226"/>
        <v>2.4416307797995929</v>
      </c>
      <c r="BJ220">
        <v>-21.711681009620513</v>
      </c>
      <c r="BK220">
        <v>-50.341175127923762</v>
      </c>
      <c r="BV220" s="38"/>
      <c r="BW220" s="6">
        <f t="shared" si="227"/>
        <v>3.5779249665883599</v>
      </c>
      <c r="BX220" s="9">
        <f t="shared" ca="1" si="228"/>
        <v>17.117695154667583</v>
      </c>
      <c r="BY220" s="9">
        <f t="shared" ca="1" si="229"/>
        <v>26.229302464963052</v>
      </c>
      <c r="BZ220">
        <f t="shared" ca="1" si="230"/>
        <v>31.320788547012139</v>
      </c>
      <c r="CA220" s="6">
        <f t="shared" ca="1" si="231"/>
        <v>0.5465282308896573</v>
      </c>
      <c r="CB220" s="6">
        <f t="shared" ca="1" si="232"/>
        <v>0.8374406801921086</v>
      </c>
      <c r="CC220" s="6">
        <f t="shared" ca="1" si="233"/>
        <v>0.99258341387124904</v>
      </c>
      <c r="CD220" s="6">
        <f t="shared" ca="1" si="234"/>
        <v>-117.11769515466759</v>
      </c>
      <c r="CE220" s="9">
        <f t="shared" ca="1" si="235"/>
        <v>-76.229302464963055</v>
      </c>
      <c r="CF220">
        <f t="shared" ca="1" si="236"/>
        <v>139.74069225761144</v>
      </c>
      <c r="CG220" s="6">
        <f t="shared" ca="1" si="237"/>
        <v>-0.83810730620084206</v>
      </c>
      <c r="CH220" s="6">
        <f t="shared" ca="1" si="238"/>
        <v>-0.54550540170814832</v>
      </c>
      <c r="CI220" s="6">
        <f t="shared" ca="1" si="239"/>
        <v>-2.5646006296681501</v>
      </c>
      <c r="CJ220" s="1">
        <f t="shared" ca="1" si="240"/>
        <v>3.0282482386689562</v>
      </c>
      <c r="CK220" s="38"/>
    </row>
    <row r="221" spans="55:89" x14ac:dyDescent="0.25">
      <c r="BC221">
        <v>3.8222710618675633</v>
      </c>
      <c r="BD221">
        <v>-13.849193081323877</v>
      </c>
      <c r="BE221">
        <v>-33.255149747818677</v>
      </c>
      <c r="BF221" s="6">
        <f t="shared" si="223"/>
        <v>4.3177802872196178</v>
      </c>
      <c r="BG221" s="6">
        <f t="shared" si="224"/>
        <v>0.49550922535205455</v>
      </c>
      <c r="BH221" s="6">
        <f t="shared" si="225"/>
        <v>2.4290526289607746</v>
      </c>
      <c r="BI221" s="6">
        <f t="shared" si="226"/>
        <v>2.4290526289607746</v>
      </c>
      <c r="BJ221">
        <v>-21.306450894344426</v>
      </c>
      <c r="BK221">
        <v>-51.161768842797962</v>
      </c>
      <c r="BV221" s="38"/>
      <c r="BW221" s="6">
        <f t="shared" si="227"/>
        <v>3.595378259108303</v>
      </c>
      <c r="BX221" s="9">
        <f t="shared" ca="1" si="228"/>
        <v>16.894010138701891</v>
      </c>
      <c r="BY221" s="9">
        <f t="shared" ca="1" si="229"/>
        <v>26.722414016954573</v>
      </c>
      <c r="BZ221">
        <f t="shared" ca="1" si="230"/>
        <v>31.614790675569758</v>
      </c>
      <c r="CA221" s="6">
        <f t="shared" ca="1" si="231"/>
        <v>0.53437045691897278</v>
      </c>
      <c r="CB221" s="6">
        <f t="shared" ca="1" si="232"/>
        <v>0.84525038584564294</v>
      </c>
      <c r="CC221" s="6">
        <f t="shared" ca="1" si="233"/>
        <v>1.0070335558650712</v>
      </c>
      <c r="CD221" s="6">
        <f t="shared" ca="1" si="234"/>
        <v>-116.89401013870189</v>
      </c>
      <c r="CE221" s="9">
        <f t="shared" ca="1" si="235"/>
        <v>-76.722414016954573</v>
      </c>
      <c r="CF221">
        <f t="shared" ca="1" si="236"/>
        <v>139.82323990988024</v>
      </c>
      <c r="CG221" s="6">
        <f t="shared" ca="1" si="237"/>
        <v>-0.83601274161608008</v>
      </c>
      <c r="CH221" s="6">
        <f t="shared" ca="1" si="238"/>
        <v>-0.5487100289365644</v>
      </c>
      <c r="CI221" s="6">
        <f t="shared" ca="1" si="239"/>
        <v>-2.5607722025270405</v>
      </c>
      <c r="CJ221" s="1">
        <f t="shared" ca="1" si="240"/>
        <v>3.0244198115278467</v>
      </c>
      <c r="CK221" s="38"/>
    </row>
    <row r="222" spans="55:89" x14ac:dyDescent="0.25">
      <c r="BC222">
        <v>3.8397243543875064</v>
      </c>
      <c r="BD222">
        <v>-13.577243313118389</v>
      </c>
      <c r="BE222">
        <v>-33.797310931560759</v>
      </c>
      <c r="BF222" s="6">
        <f t="shared" si="223"/>
        <v>4.3303959460906416</v>
      </c>
      <c r="BG222" s="6">
        <f t="shared" si="224"/>
        <v>0.49067159170313523</v>
      </c>
      <c r="BH222" s="6">
        <f t="shared" si="225"/>
        <v>2.4164369700897508</v>
      </c>
      <c r="BI222" s="6">
        <f t="shared" si="226"/>
        <v>2.4164369700897508</v>
      </c>
      <c r="BJ222">
        <v>-20.888066635566751</v>
      </c>
      <c r="BK222">
        <v>-51.995862971631936</v>
      </c>
      <c r="BV222" s="38"/>
      <c r="BW222" s="6">
        <f t="shared" si="227"/>
        <v>3.6128315516282461</v>
      </c>
      <c r="BX222" s="9">
        <f t="shared" ca="1" si="228"/>
        <v>16.672116537321699</v>
      </c>
      <c r="BY222" s="9">
        <f t="shared" ca="1" si="229"/>
        <v>27.212694297262164</v>
      </c>
      <c r="BZ222">
        <f t="shared" ca="1" si="230"/>
        <v>31.913793267962998</v>
      </c>
      <c r="CA222" s="6">
        <f t="shared" ca="1" si="231"/>
        <v>0.5224109963154453</v>
      </c>
      <c r="CB222" s="6">
        <f t="shared" ca="1" si="232"/>
        <v>0.85269382015393069</v>
      </c>
      <c r="CC222" s="6">
        <f t="shared" ca="1" si="233"/>
        <v>1.0211203118306651</v>
      </c>
      <c r="CD222" s="6">
        <f t="shared" ca="1" si="234"/>
        <v>-116.6721165373217</v>
      </c>
      <c r="CE222" s="9">
        <f t="shared" ca="1" si="235"/>
        <v>-77.212694297262161</v>
      </c>
      <c r="CF222">
        <f t="shared" ca="1" si="236"/>
        <v>139.90776582427739</v>
      </c>
      <c r="CG222" s="6">
        <f t="shared" ca="1" si="237"/>
        <v>-0.83392166153135905</v>
      </c>
      <c r="CH222" s="6">
        <f t="shared" ca="1" si="238"/>
        <v>-0.55188283396820481</v>
      </c>
      <c r="CI222" s="6">
        <f t="shared" ca="1" si="239"/>
        <v>-2.5569722913354442</v>
      </c>
      <c r="CJ222" s="1">
        <f t="shared" ca="1" si="240"/>
        <v>3.0206199003362504</v>
      </c>
      <c r="CK222" s="38"/>
    </row>
    <row r="223" spans="55:89" x14ac:dyDescent="0.25">
      <c r="BC223">
        <v>3.8571776469074495</v>
      </c>
      <c r="BD223">
        <v>-13.295842250018783</v>
      </c>
      <c r="BE223">
        <v>-34.349045004749712</v>
      </c>
      <c r="BF223" s="6">
        <f t="shared" si="223"/>
        <v>4.3430695588482324</v>
      </c>
      <c r="BG223" s="6">
        <f t="shared" si="224"/>
        <v>0.48589191194078296</v>
      </c>
      <c r="BH223" s="6">
        <f t="shared" si="225"/>
        <v>2.40376335733216</v>
      </c>
      <c r="BI223" s="6">
        <f t="shared" si="226"/>
        <v>2.40376335733216</v>
      </c>
      <c r="BJ223">
        <v>-20.45514192310582</v>
      </c>
      <c r="BK223">
        <v>-52.844684622691865</v>
      </c>
      <c r="BV223" s="38"/>
      <c r="BW223" s="6">
        <f t="shared" si="227"/>
        <v>3.6302848441481892</v>
      </c>
      <c r="BX223" s="9">
        <f t="shared" ca="1" si="228"/>
        <v>16.451101716138542</v>
      </c>
      <c r="BY223" s="9">
        <f t="shared" ca="1" si="229"/>
        <v>27.701435066537567</v>
      </c>
      <c r="BZ223">
        <f t="shared" ca="1" si="230"/>
        <v>32.218135458470179</v>
      </c>
      <c r="CA223" s="6">
        <f t="shared" ca="1" si="231"/>
        <v>0.51061619432770533</v>
      </c>
      <c r="CB223" s="6">
        <f t="shared" ca="1" si="232"/>
        <v>0.85980875902161591</v>
      </c>
      <c r="CC223" s="6">
        <f t="shared" ca="1" si="233"/>
        <v>1.0348950245025588</v>
      </c>
      <c r="CD223" s="6">
        <f t="shared" ca="1" si="234"/>
        <v>-116.45110171613854</v>
      </c>
      <c r="CE223" s="9">
        <f t="shared" ca="1" si="235"/>
        <v>-77.70143506653757</v>
      </c>
      <c r="CF223">
        <f t="shared" ca="1" si="236"/>
        <v>139.99418595892402</v>
      </c>
      <c r="CG223" s="6">
        <f t="shared" ca="1" si="237"/>
        <v>-0.83182812856461552</v>
      </c>
      <c r="CH223" s="6">
        <f t="shared" ca="1" si="238"/>
        <v>-0.555033300378175</v>
      </c>
      <c r="CI223" s="6">
        <f t="shared" ca="1" si="239"/>
        <v>-2.5531896552250193</v>
      </c>
      <c r="CJ223" s="1">
        <f t="shared" ca="1" si="240"/>
        <v>3.0168372642258254</v>
      </c>
      <c r="CK223" s="38"/>
    </row>
    <row r="224" spans="55:89" x14ac:dyDescent="0.25">
      <c r="BC224">
        <v>3.8746309394273926</v>
      </c>
      <c r="BD224">
        <v>-13.004032869669365</v>
      </c>
      <c r="BE224">
        <v>-34.911178481960768</v>
      </c>
      <c r="BF224" s="6">
        <f t="shared" si="223"/>
        <v>4.3558214769090435</v>
      </c>
      <c r="BG224" s="6">
        <f t="shared" si="224"/>
        <v>0.48119053748165097</v>
      </c>
      <c r="BH224" s="6">
        <f t="shared" si="225"/>
        <v>2.3910114392713488</v>
      </c>
      <c r="BI224" s="6">
        <f t="shared" si="226"/>
        <v>2.3910114392713488</v>
      </c>
      <c r="BJ224">
        <v>-20.006204414875945</v>
      </c>
      <c r="BK224">
        <v>-53.709505356862721</v>
      </c>
      <c r="BV224" s="38"/>
      <c r="BW224" s="6">
        <f t="shared" si="227"/>
        <v>3.6477381366681323</v>
      </c>
      <c r="BX224" s="9">
        <f t="shared" ca="1" si="228"/>
        <v>16.230088359216939</v>
      </c>
      <c r="BY224" s="9">
        <f t="shared" ca="1" si="229"/>
        <v>28.189818840831325</v>
      </c>
      <c r="BZ224">
        <f t="shared" ca="1" si="230"/>
        <v>32.528167092950042</v>
      </c>
      <c r="CA224" s="6">
        <f t="shared" ca="1" si="231"/>
        <v>0.49895490000524961</v>
      </c>
      <c r="CB224" s="6">
        <f t="shared" ca="1" si="232"/>
        <v>0.86662795233061307</v>
      </c>
      <c r="CC224" s="6">
        <f t="shared" ca="1" si="233"/>
        <v>1.0484039089072357</v>
      </c>
      <c r="CD224" s="6">
        <f t="shared" ca="1" si="234"/>
        <v>-116.23008835921694</v>
      </c>
      <c r="CE224" s="9">
        <f t="shared" ca="1" si="235"/>
        <v>-78.189818840831322</v>
      </c>
      <c r="CF224">
        <f t="shared" ca="1" si="236"/>
        <v>140.08240863989096</v>
      </c>
      <c r="CG224" s="6">
        <f t="shared" ca="1" si="237"/>
        <v>-0.82972651232753258</v>
      </c>
      <c r="CH224" s="6">
        <f t="shared" ca="1" si="238"/>
        <v>-0.55817014855757829</v>
      </c>
      <c r="CI224" s="6">
        <f t="shared" ca="1" si="239"/>
        <v>-2.5494138607064842</v>
      </c>
      <c r="CJ224" s="1">
        <f t="shared" ca="1" si="240"/>
        <v>3.0130614697072904</v>
      </c>
      <c r="CK224" s="38"/>
    </row>
    <row r="225" spans="55:89" x14ac:dyDescent="0.25">
      <c r="BC225">
        <v>3.8920842319473357</v>
      </c>
      <c r="BD225">
        <v>-12.700792680173871</v>
      </c>
      <c r="BE225">
        <v>-35.484573410140605</v>
      </c>
      <c r="BF225" s="6">
        <f t="shared" si="223"/>
        <v>4.3686721277193286</v>
      </c>
      <c r="BG225" s="6">
        <f t="shared" si="224"/>
        <v>0.4765878957719929</v>
      </c>
      <c r="BH225" s="6">
        <f t="shared" si="225"/>
        <v>2.3781607884610638</v>
      </c>
      <c r="BI225" s="6">
        <f t="shared" si="226"/>
        <v>2.3781607884610638</v>
      </c>
      <c r="BJ225">
        <v>-19.53968104642134</v>
      </c>
      <c r="BK225">
        <v>-54.591651400216314</v>
      </c>
      <c r="BV225" s="38"/>
      <c r="BW225" s="6">
        <f t="shared" si="227"/>
        <v>3.6651914291880754</v>
      </c>
      <c r="BX225" s="9">
        <f t="shared" ca="1" si="228"/>
        <v>16.00825023168348</v>
      </c>
      <c r="BY225" s="9">
        <f t="shared" ca="1" si="229"/>
        <v>28.678906581526888</v>
      </c>
      <c r="BZ225">
        <f t="shared" ca="1" si="230"/>
        <v>32.844234778605212</v>
      </c>
      <c r="CA225" s="6">
        <f t="shared" ca="1" si="231"/>
        <v>0.48739909270503934</v>
      </c>
      <c r="CB225" s="6">
        <f t="shared" ca="1" si="232"/>
        <v>0.8731793197449792</v>
      </c>
      <c r="CC225" s="6">
        <f t="shared" ca="1" si="233"/>
        <v>1.0616877220712935</v>
      </c>
      <c r="CD225" s="6">
        <f t="shared" ca="1" si="234"/>
        <v>-116.00825023168348</v>
      </c>
      <c r="CE225" s="9">
        <f t="shared" ca="1" si="235"/>
        <v>-78.678906581526888</v>
      </c>
      <c r="CF225">
        <f t="shared" ca="1" si="236"/>
        <v>140.17233843623185</v>
      </c>
      <c r="CG225" s="6">
        <f t="shared" ca="1" si="237"/>
        <v>-0.82761157818922115</v>
      </c>
      <c r="CH225" s="6">
        <f t="shared" ca="1" si="238"/>
        <v>-0.56130123431821055</v>
      </c>
      <c r="CI225" s="6">
        <f t="shared" ca="1" si="239"/>
        <v>-2.5456354137457509</v>
      </c>
      <c r="CJ225" s="1">
        <f t="shared" ca="1" si="240"/>
        <v>3.009283022746557</v>
      </c>
      <c r="CK225" s="38"/>
    </row>
    <row r="226" spans="55:89" x14ac:dyDescent="0.25">
      <c r="BC226">
        <v>3.9095375244672788</v>
      </c>
      <c r="BD226">
        <v>-12.385023264239114</v>
      </c>
      <c r="BE226">
        <v>-36.070134171993928</v>
      </c>
      <c r="BF226" s="6">
        <f t="shared" si="223"/>
        <v>4.3816421780399679</v>
      </c>
      <c r="BG226" s="6">
        <f t="shared" si="224"/>
        <v>0.47210465357268916</v>
      </c>
      <c r="BH226" s="6">
        <f t="shared" si="225"/>
        <v>2.3651907381404245</v>
      </c>
      <c r="BI226" s="6">
        <f t="shared" si="226"/>
        <v>2.3651907381404245</v>
      </c>
      <c r="BJ226">
        <v>-19.053881944983253</v>
      </c>
      <c r="BK226">
        <v>-55.492514110759885</v>
      </c>
      <c r="BV226" s="38"/>
      <c r="BW226" s="6">
        <f t="shared" si="227"/>
        <v>3.6826447217080185</v>
      </c>
      <c r="BX226" s="9">
        <f t="shared" ca="1" si="228"/>
        <v>15.784799240937113</v>
      </c>
      <c r="BY226" s="9">
        <f t="shared" ca="1" si="229"/>
        <v>29.169665136069938</v>
      </c>
      <c r="BZ226">
        <f t="shared" ca="1" si="230"/>
        <v>33.166688879463727</v>
      </c>
      <c r="CA226" s="6">
        <f t="shared" ca="1" si="231"/>
        <v>0.47592327646281279</v>
      </c>
      <c r="CB226" s="6">
        <f t="shared" ca="1" si="232"/>
        <v>0.87948680201632423</v>
      </c>
      <c r="CC226" s="6">
        <f t="shared" ca="1" si="233"/>
        <v>1.0747828028841979</v>
      </c>
      <c r="CD226" s="6">
        <f t="shared" ca="1" si="234"/>
        <v>-115.78479924093712</v>
      </c>
      <c r="CE226" s="9">
        <f t="shared" ca="1" si="235"/>
        <v>-79.169665136069938</v>
      </c>
      <c r="CF226">
        <f t="shared" ca="1" si="236"/>
        <v>140.26387850413079</v>
      </c>
      <c r="CG226" s="6">
        <f t="shared" ca="1" si="237"/>
        <v>-0.8254783802910971</v>
      </c>
      <c r="CH226" s="6">
        <f t="shared" ca="1" si="238"/>
        <v>-0.56443373718443401</v>
      </c>
      <c r="CI226" s="6">
        <f t="shared" ca="1" si="239"/>
        <v>-2.5418455424192987</v>
      </c>
      <c r="CJ226" s="1">
        <f t="shared" ca="1" si="240"/>
        <v>3.0054931514201049</v>
      </c>
      <c r="CK226" s="38"/>
    </row>
    <row r="227" spans="55:89" x14ac:dyDescent="0.25">
      <c r="BC227">
        <v>3.9269908169872219</v>
      </c>
      <c r="BD227">
        <v>-12.055538675217308</v>
      </c>
      <c r="BE227">
        <v>-36.668814594461949</v>
      </c>
      <c r="BF227" s="6">
        <f t="shared" si="223"/>
        <v>4.3947526942072406</v>
      </c>
      <c r="BG227" s="6">
        <f t="shared" si="224"/>
        <v>0.46776187722001872</v>
      </c>
      <c r="BH227" s="6">
        <f t="shared" si="225"/>
        <v>2.3520802219731518</v>
      </c>
      <c r="BI227" s="6">
        <f t="shared" si="226"/>
        <v>2.3520802219731518</v>
      </c>
      <c r="BJ227">
        <v>-18.546982577257396</v>
      </c>
      <c r="BK227">
        <v>-56.41356091455684</v>
      </c>
      <c r="BV227" s="38"/>
      <c r="BW227" s="6">
        <f t="shared" si="227"/>
        <v>3.7000980142279616</v>
      </c>
      <c r="BX227" s="9">
        <f t="shared" ca="1" si="228"/>
        <v>15.55897419429688</v>
      </c>
      <c r="BY227" s="9">
        <f t="shared" ca="1" si="229"/>
        <v>29.662989239837728</v>
      </c>
      <c r="BZ227">
        <f t="shared" ca="1" si="230"/>
        <v>33.495889428727295</v>
      </c>
      <c r="CA227" s="6">
        <f t="shared" ca="1" si="231"/>
        <v>0.4645039871953045</v>
      </c>
      <c r="CB227" s="6">
        <f t="shared" ca="1" si="232"/>
        <v>0.88557102813928168</v>
      </c>
      <c r="CC227" s="6">
        <f t="shared" ca="1" si="233"/>
        <v>1.0877219029562266</v>
      </c>
      <c r="CD227" s="6">
        <f t="shared" ca="1" si="234"/>
        <v>-115.55897419429688</v>
      </c>
      <c r="CE227" s="9">
        <f t="shared" ca="1" si="235"/>
        <v>-79.662989239837728</v>
      </c>
      <c r="CF227">
        <f t="shared" ca="1" si="236"/>
        <v>140.35693203922872</v>
      </c>
      <c r="CG227" s="6">
        <f t="shared" ca="1" si="237"/>
        <v>-0.82332217237406558</v>
      </c>
      <c r="CH227" s="6">
        <f t="shared" ca="1" si="238"/>
        <v>-0.56757431273556558</v>
      </c>
      <c r="CI227" s="6">
        <f t="shared" ca="1" si="239"/>
        <v>-2.5380360194931573</v>
      </c>
      <c r="CJ227" s="1">
        <f t="shared" ca="1" si="240"/>
        <v>3.0016836284939634</v>
      </c>
      <c r="CK227" s="38"/>
    </row>
    <row r="228" spans="55:89" x14ac:dyDescent="0.25">
      <c r="BC228">
        <v>3.944444109507165</v>
      </c>
      <c r="BD228">
        <v>-11.711052482009219</v>
      </c>
      <c r="BE228">
        <v>-37.28162549347379</v>
      </c>
      <c r="BF228" s="6">
        <f t="shared" si="223"/>
        <v>4.4080253014273527</v>
      </c>
      <c r="BG228" s="6">
        <f t="shared" si="224"/>
        <v>0.46358119192018776</v>
      </c>
      <c r="BH228" s="6">
        <f t="shared" si="225"/>
        <v>2.3388076147530397</v>
      </c>
      <c r="BI228" s="6">
        <f t="shared" si="226"/>
        <v>2.3388076147530397</v>
      </c>
      <c r="BJ228">
        <v>-18.017003818475722</v>
      </c>
      <c r="BK228">
        <v>-57.356346913036596</v>
      </c>
      <c r="BV228" s="38"/>
      <c r="BW228" s="6">
        <f t="shared" si="227"/>
        <v>3.7175513067479047</v>
      </c>
      <c r="BX228" s="9">
        <f t="shared" ca="1" si="228"/>
        <v>15.330030850825722</v>
      </c>
      <c r="BY228" s="9">
        <f t="shared" ca="1" si="229"/>
        <v>30.159719402916735</v>
      </c>
      <c r="BZ228">
        <f t="shared" ca="1" si="230"/>
        <v>33.832211283774235</v>
      </c>
      <c r="CA228" s="6">
        <f t="shared" ca="1" si="231"/>
        <v>0.45311938738624308</v>
      </c>
      <c r="CB228" s="6">
        <f t="shared" ca="1" si="232"/>
        <v>0.89144984198479482</v>
      </c>
      <c r="CC228" s="6">
        <f t="shared" ca="1" si="233"/>
        <v>1.1005348577700995</v>
      </c>
      <c r="CD228" s="6">
        <f t="shared" ca="1" si="234"/>
        <v>-115.33003085082572</v>
      </c>
      <c r="CE228" s="9">
        <f t="shared" ca="1" si="235"/>
        <v>-80.159719402916735</v>
      </c>
      <c r="CF228">
        <f t="shared" ca="1" si="236"/>
        <v>140.45140309305123</v>
      </c>
      <c r="CG228" s="6">
        <f t="shared" ca="1" si="237"/>
        <v>-0.82113833191411978</v>
      </c>
      <c r="CH228" s="6">
        <f t="shared" ca="1" si="238"/>
        <v>-0.57072921763415696</v>
      </c>
      <c r="CI228" s="6">
        <f t="shared" ca="1" si="239"/>
        <v>-2.5341990151751297</v>
      </c>
      <c r="CJ228" s="1">
        <f t="shared" ca="1" si="240"/>
        <v>2.9978466241759358</v>
      </c>
      <c r="CK228" s="38"/>
    </row>
    <row r="229" spans="55:89" x14ac:dyDescent="0.25">
      <c r="BC229">
        <v>3.9618974020271081</v>
      </c>
      <c r="BD229">
        <v>-11.350163149849198</v>
      </c>
      <c r="BE229">
        <v>-37.909642801226418</v>
      </c>
      <c r="BF229" s="6">
        <f t="shared" si="223"/>
        <v>4.4214823458442396</v>
      </c>
      <c r="BG229" s="6">
        <f t="shared" si="224"/>
        <v>0.45958494381713155</v>
      </c>
      <c r="BH229" s="6">
        <f t="shared" si="225"/>
        <v>2.3253505703361528</v>
      </c>
      <c r="BI229" s="6">
        <f t="shared" si="226"/>
        <v>2.3253505703361528</v>
      </c>
      <c r="BJ229">
        <v>-17.461789461306459</v>
      </c>
      <c r="BK229">
        <v>-58.32252738650218</v>
      </c>
      <c r="BV229" s="38"/>
      <c r="BW229" s="6">
        <f t="shared" si="227"/>
        <v>3.7350045992678478</v>
      </c>
      <c r="BX229" s="9">
        <f t="shared" ca="1" si="228"/>
        <v>15.097232911484198</v>
      </c>
      <c r="BY229" s="9">
        <f t="shared" ca="1" si="229"/>
        <v>30.660656676576661</v>
      </c>
      <c r="BZ229">
        <f t="shared" ca="1" si="230"/>
        <v>34.176048768435862</v>
      </c>
      <c r="CA229" s="6">
        <f t="shared" ca="1" si="231"/>
        <v>0.44174892813904287</v>
      </c>
      <c r="CB229" s="6">
        <f t="shared" ca="1" si="232"/>
        <v>0.89713872087208835</v>
      </c>
      <c r="CC229" s="6">
        <f t="shared" ca="1" si="233"/>
        <v>1.113249135732775</v>
      </c>
      <c r="CD229" s="6">
        <f t="shared" ca="1" si="234"/>
        <v>-115.0972329114842</v>
      </c>
      <c r="CE229" s="9">
        <f t="shared" ca="1" si="235"/>
        <v>-80.660656676576664</v>
      </c>
      <c r="CF229">
        <f t="shared" ca="1" si="236"/>
        <v>140.54719691042229</v>
      </c>
      <c r="CG229" s="6">
        <f t="shared" ca="1" si="237"/>
        <v>-0.81892229401658845</v>
      </c>
      <c r="CH229" s="6">
        <f t="shared" ca="1" si="238"/>
        <v>-0.57390441395985803</v>
      </c>
      <c r="CI229" s="6">
        <f t="shared" ca="1" si="239"/>
        <v>-2.5303269725098403</v>
      </c>
      <c r="CJ229" s="1">
        <f t="shared" ca="1" si="240"/>
        <v>2.9939745815106464</v>
      </c>
      <c r="CK229" s="38"/>
    </row>
    <row r="230" spans="55:89" x14ac:dyDescent="0.25">
      <c r="BC230">
        <v>3.9793506945470511</v>
      </c>
      <c r="BD230">
        <v>-10.971337453867232</v>
      </c>
      <c r="BE230">
        <v>-38.554016424810349</v>
      </c>
      <c r="BF230" s="6">
        <f t="shared" si="223"/>
        <v>4.4351470615000146</v>
      </c>
      <c r="BG230" s="6">
        <f t="shared" si="224"/>
        <v>0.45579636695296344</v>
      </c>
      <c r="BH230" s="6">
        <f t="shared" si="225"/>
        <v>2.3116858546803778</v>
      </c>
      <c r="BI230" s="6">
        <f t="shared" si="226"/>
        <v>2.3116858546803778</v>
      </c>
      <c r="BJ230">
        <v>-16.87898069825728</v>
      </c>
      <c r="BK230">
        <v>-59.313871422785148</v>
      </c>
      <c r="BV230" s="38"/>
      <c r="BW230" s="6">
        <f t="shared" si="227"/>
        <v>3.7524578917877909</v>
      </c>
      <c r="BX230" s="9">
        <f t="shared" ca="1" si="228"/>
        <v>14.859843707245561</v>
      </c>
      <c r="BY230" s="9">
        <f t="shared" ca="1" si="229"/>
        <v>31.166575043725757</v>
      </c>
      <c r="BZ230">
        <f t="shared" ca="1" si="230"/>
        <v>34.527820014590475</v>
      </c>
      <c r="CA230" s="6">
        <f t="shared" ca="1" si="231"/>
        <v>0.43037306441490408</v>
      </c>
      <c r="CB230" s="6">
        <f t="shared" ca="1" si="232"/>
        <v>0.90265110946928151</v>
      </c>
      <c r="CC230" s="6">
        <f t="shared" ca="1" si="233"/>
        <v>1.1258902919883365</v>
      </c>
      <c r="CD230" s="6">
        <f t="shared" ca="1" si="234"/>
        <v>-114.85984370724556</v>
      </c>
      <c r="CE230" s="9">
        <f t="shared" ca="1" si="235"/>
        <v>-81.166575043725757</v>
      </c>
      <c r="CF230">
        <f t="shared" ca="1" si="236"/>
        <v>140.64421993378059</v>
      </c>
      <c r="CG230" s="6">
        <f t="shared" ca="1" si="237"/>
        <v>-0.81666949243506015</v>
      </c>
      <c r="CH230" s="6">
        <f t="shared" ca="1" si="238"/>
        <v>-0.57710565767964983</v>
      </c>
      <c r="CI230" s="6">
        <f t="shared" ca="1" si="239"/>
        <v>-2.5264124998907418</v>
      </c>
      <c r="CJ230" s="1">
        <f t="shared" ca="1" si="240"/>
        <v>2.9900601088915479</v>
      </c>
      <c r="CK230" s="38"/>
    </row>
    <row r="231" spans="55:89" x14ac:dyDescent="0.25">
      <c r="BC231">
        <v>3.9968039870669942</v>
      </c>
      <c r="BD231">
        <v>-10.572891520801402</v>
      </c>
      <c r="BE231">
        <v>-39.215980005817912</v>
      </c>
      <c r="BF231" s="6">
        <f t="shared" si="223"/>
        <v>4.4490437453486233</v>
      </c>
      <c r="BG231" s="6">
        <f t="shared" si="224"/>
        <v>0.4522397582816291</v>
      </c>
      <c r="BH231" s="6">
        <f t="shared" si="225"/>
        <v>2.297789170831769</v>
      </c>
      <c r="BI231" s="6">
        <f t="shared" si="226"/>
        <v>2.297789170831769</v>
      </c>
      <c r="BJ231">
        <v>-16.265986955079079</v>
      </c>
      <c r="BK231">
        <v>-60.332276932027554</v>
      </c>
      <c r="BV231" s="38"/>
      <c r="BW231" s="6">
        <f t="shared" si="227"/>
        <v>3.769911184307734</v>
      </c>
      <c r="BX231" s="9">
        <f t="shared" ca="1" si="228"/>
        <v>14.617118331914574</v>
      </c>
      <c r="BY231" s="9">
        <f t="shared" ca="1" si="229"/>
        <v>31.678232011512769</v>
      </c>
      <c r="BZ231">
        <f t="shared" ca="1" si="230"/>
        <v>34.887971160622477</v>
      </c>
      <c r="CA231" s="6">
        <f t="shared" ca="1" si="231"/>
        <v>0.41897301120257441</v>
      </c>
      <c r="CB231" s="6">
        <f t="shared" ca="1" si="232"/>
        <v>0.90799868715975973</v>
      </c>
      <c r="CC231" s="6">
        <f t="shared" ca="1" si="233"/>
        <v>1.1384823488295339</v>
      </c>
      <c r="CD231" s="6">
        <f t="shared" ca="1" si="234"/>
        <v>-114.61711833191457</v>
      </c>
      <c r="CE231" s="9">
        <f t="shared" ca="1" si="235"/>
        <v>-81.678232011512762</v>
      </c>
      <c r="CF231">
        <f t="shared" ca="1" si="236"/>
        <v>140.74237954233476</v>
      </c>
      <c r="CG231" s="6">
        <f t="shared" ca="1" si="237"/>
        <v>-0.81437530546680992</v>
      </c>
      <c r="CH231" s="6">
        <f t="shared" ca="1" si="238"/>
        <v>-0.58033857518334953</v>
      </c>
      <c r="CI231" s="6">
        <f t="shared" ca="1" si="239"/>
        <v>-2.5224482761317581</v>
      </c>
      <c r="CJ231" s="1">
        <f t="shared" ca="1" si="240"/>
        <v>2.9860958851325643</v>
      </c>
      <c r="CK231" s="38"/>
    </row>
    <row r="232" spans="55:89" x14ac:dyDescent="0.25">
      <c r="BC232">
        <v>4.0142572795869373</v>
      </c>
      <c r="BD232">
        <v>-10.152969053021989</v>
      </c>
      <c r="BE232">
        <v>-39.896861767322264</v>
      </c>
      <c r="BF232" s="6">
        <f t="shared" si="223"/>
        <v>4.4631979426684429</v>
      </c>
      <c r="BG232" s="6">
        <f t="shared" si="224"/>
        <v>0.4489406630815056</v>
      </c>
      <c r="BH232" s="6">
        <f t="shared" si="225"/>
        <v>2.2836349735119494</v>
      </c>
      <c r="BI232" s="6">
        <f t="shared" si="226"/>
        <v>2.2836349735119494</v>
      </c>
      <c r="BJ232">
        <v>-15.619952389264599</v>
      </c>
      <c r="BK232">
        <v>-61.379787334341941</v>
      </c>
      <c r="BV232" s="38"/>
      <c r="BW232" s="6">
        <f t="shared" si="227"/>
        <v>3.7873644768276771</v>
      </c>
      <c r="BX232" s="9">
        <f t="shared" ca="1" si="228"/>
        <v>14.368296028316054</v>
      </c>
      <c r="BY232" s="9">
        <f t="shared" ca="1" si="229"/>
        <v>32.196377850775868</v>
      </c>
      <c r="BZ232">
        <f t="shared" ca="1" si="230"/>
        <v>35.256980549491949</v>
      </c>
      <c r="CA232" s="6">
        <f t="shared" ca="1" si="231"/>
        <v>0.40753053166724174</v>
      </c>
      <c r="CB232" s="6">
        <f t="shared" ca="1" si="232"/>
        <v>0.91319158217704532</v>
      </c>
      <c r="CC232" s="6">
        <f t="shared" ca="1" si="233"/>
        <v>1.1510481187713015</v>
      </c>
      <c r="CD232" s="6">
        <f t="shared" ca="1" si="234"/>
        <v>-114.36829602831605</v>
      </c>
      <c r="CE232" s="9">
        <f t="shared" ca="1" si="235"/>
        <v>-82.19637785077586</v>
      </c>
      <c r="CF232">
        <f t="shared" ca="1" si="236"/>
        <v>140.84158359024528</v>
      </c>
      <c r="CG232" s="6">
        <f t="shared" ca="1" si="237"/>
        <v>-0.81203500495316239</v>
      </c>
      <c r="CH232" s="6">
        <f t="shared" ca="1" si="238"/>
        <v>-0.58360873085545739</v>
      </c>
      <c r="CI232" s="6">
        <f t="shared" ca="1" si="239"/>
        <v>-2.5184269646037101</v>
      </c>
      <c r="CJ232" s="1">
        <f t="shared" ca="1" si="240"/>
        <v>2.9820745736045162</v>
      </c>
      <c r="CK232" s="38"/>
    </row>
    <row r="233" spans="55:89" x14ac:dyDescent="0.25">
      <c r="BC233">
        <v>4.0317105721068804</v>
      </c>
      <c r="BD233">
        <v>-9.7095161608281941</v>
      </c>
      <c r="BE233">
        <v>-40.598096666398284</v>
      </c>
      <c r="BF233" s="6">
        <f t="shared" si="223"/>
        <v>4.47763664619624</v>
      </c>
      <c r="BG233" s="6">
        <f t="shared" si="224"/>
        <v>0.44592607408935958</v>
      </c>
      <c r="BH233" s="6">
        <f t="shared" si="225"/>
        <v>2.2691962699841524</v>
      </c>
      <c r="BI233" s="6">
        <f t="shared" si="226"/>
        <v>2.2691962699841524</v>
      </c>
      <c r="BJ233">
        <v>-14.937717170504914</v>
      </c>
      <c r="BK233">
        <v>-62.458610255997357</v>
      </c>
      <c r="BV233" s="38"/>
      <c r="BW233" s="6">
        <f t="shared" si="227"/>
        <v>3.8048177693476202</v>
      </c>
      <c r="BX233" s="9">
        <f t="shared" ca="1" si="228"/>
        <v>14.112592656253334</v>
      </c>
      <c r="BY233" s="9">
        <f t="shared" ca="1" si="229"/>
        <v>32.721763833150447</v>
      </c>
      <c r="BZ233">
        <f t="shared" ca="1" si="230"/>
        <v>35.635363051803026</v>
      </c>
      <c r="CA233" s="6">
        <f t="shared" ca="1" si="231"/>
        <v>0.39602775018000791</v>
      </c>
      <c r="CB233" s="6">
        <f t="shared" ca="1" si="232"/>
        <v>0.91823854258431192</v>
      </c>
      <c r="CC233" s="6">
        <f t="shared" ca="1" si="233"/>
        <v>1.1636094827910066</v>
      </c>
      <c r="CD233" s="6">
        <f t="shared" ca="1" si="234"/>
        <v>-114.11259265625333</v>
      </c>
      <c r="CE233" s="9">
        <f t="shared" ca="1" si="235"/>
        <v>-82.721763833150447</v>
      </c>
      <c r="CF233">
        <f t="shared" ca="1" si="236"/>
        <v>140.94173978775598</v>
      </c>
      <c r="CG233" s="6">
        <f t="shared" ca="1" si="237"/>
        <v>-0.80964370688268328</v>
      </c>
      <c r="CH233" s="6">
        <f t="shared" ca="1" si="238"/>
        <v>-0.58692168805153866</v>
      </c>
      <c r="CI233" s="6">
        <f t="shared" ca="1" si="239"/>
        <v>-2.5143411335904267</v>
      </c>
      <c r="CJ233" s="1">
        <f t="shared" ca="1" si="240"/>
        <v>2.9779887425912328</v>
      </c>
      <c r="CK233" s="38"/>
    </row>
    <row r="234" spans="55:89" x14ac:dyDescent="0.25">
      <c r="BC234">
        <v>4.0491638646268235</v>
      </c>
      <c r="BD234">
        <v>-9.2402521454148498</v>
      </c>
      <c r="BE234">
        <v>-41.321240101371039</v>
      </c>
      <c r="BF234" s="6">
        <f t="shared" si="223"/>
        <v>4.4923885116438571</v>
      </c>
      <c r="BG234" s="6">
        <f t="shared" si="224"/>
        <v>0.44322464701703357</v>
      </c>
      <c r="BH234" s="6">
        <f t="shared" si="225"/>
        <v>2.2544444045365353</v>
      </c>
      <c r="BI234" s="6">
        <f t="shared" si="226"/>
        <v>2.2544444045365353</v>
      </c>
      <c r="BJ234">
        <v>-14.215772531407461</v>
      </c>
      <c r="BK234">
        <v>-63.571138617493901</v>
      </c>
      <c r="BV234" s="38"/>
      <c r="BW234" s="6">
        <f t="shared" si="227"/>
        <v>3.8222710618675633</v>
      </c>
      <c r="BX234" s="9">
        <f t="shared" ca="1" si="228"/>
        <v>13.849193081323877</v>
      </c>
      <c r="BY234" s="9">
        <f t="shared" ca="1" si="229"/>
        <v>33.255149747818677</v>
      </c>
      <c r="BZ234">
        <f t="shared" ca="1" si="230"/>
        <v>36.023674628688752</v>
      </c>
      <c r="CA234" s="6">
        <f t="shared" ca="1" si="231"/>
        <v>0.38444698449209769</v>
      </c>
      <c r="CB234" s="6">
        <f t="shared" ca="1" si="232"/>
        <v>0.92314707176859578</v>
      </c>
      <c r="CC234" s="6">
        <f t="shared" ca="1" si="233"/>
        <v>1.1761876336298245</v>
      </c>
      <c r="CD234" s="6">
        <f t="shared" ca="1" si="234"/>
        <v>-113.84919308132388</v>
      </c>
      <c r="CE234" s="9">
        <f t="shared" ca="1" si="235"/>
        <v>-83.255149747818677</v>
      </c>
      <c r="CF234">
        <f t="shared" ca="1" si="236"/>
        <v>141.04275495324202</v>
      </c>
      <c r="CG234" s="6">
        <f t="shared" ca="1" si="237"/>
        <v>-0.80719632227168803</v>
      </c>
      <c r="CH234" s="6">
        <f t="shared" ca="1" si="238"/>
        <v>-0.59028306541104592</v>
      </c>
      <c r="CI234" s="6">
        <f t="shared" ca="1" si="239"/>
        <v>-2.5101831804768109</v>
      </c>
      <c r="CJ234" s="1">
        <f t="shared" ca="1" si="240"/>
        <v>2.973830789477617</v>
      </c>
      <c r="CK234" s="38"/>
    </row>
    <row r="235" spans="55:89" x14ac:dyDescent="0.25">
      <c r="BC235">
        <v>4.0666171571467666</v>
      </c>
      <c r="BD235">
        <v>-8.7426353920835105</v>
      </c>
      <c r="BE235">
        <v>-42.067983471543599</v>
      </c>
      <c r="BF235" s="6">
        <f t="shared" si="223"/>
        <v>4.5074840933704232</v>
      </c>
      <c r="BG235" s="6">
        <f t="shared" si="224"/>
        <v>0.44086693622365658</v>
      </c>
      <c r="BH235" s="6">
        <f t="shared" si="225"/>
        <v>2.2393488228099692</v>
      </c>
      <c r="BI235" s="6">
        <f t="shared" si="226"/>
        <v>2.2393488228099692</v>
      </c>
      <c r="BJ235">
        <v>-13.450208295513093</v>
      </c>
      <c r="BK235">
        <v>-64.719974571605533</v>
      </c>
      <c r="BV235" s="38"/>
      <c r="BW235" s="6">
        <f t="shared" si="227"/>
        <v>3.8397243543875064</v>
      </c>
      <c r="BX235" s="9">
        <f t="shared" ca="1" si="228"/>
        <v>13.577243313118389</v>
      </c>
      <c r="BY235" s="9">
        <f t="shared" ca="1" si="229"/>
        <v>33.797310931560759</v>
      </c>
      <c r="BZ235">
        <f t="shared" ca="1" si="230"/>
        <v>36.422517241237109</v>
      </c>
      <c r="CA235" s="6">
        <f t="shared" ca="1" si="231"/>
        <v>0.37277059197178186</v>
      </c>
      <c r="CB235" s="6">
        <f t="shared" ca="1" si="232"/>
        <v>0.92792353443643583</v>
      </c>
      <c r="CC235" s="6">
        <f t="shared" ca="1" si="233"/>
        <v>1.1888032925008485</v>
      </c>
      <c r="CD235" s="6">
        <f t="shared" ca="1" si="234"/>
        <v>-113.57724331311839</v>
      </c>
      <c r="CE235" s="9">
        <f t="shared" ca="1" si="235"/>
        <v>-83.797310931560759</v>
      </c>
      <c r="CF235">
        <f t="shared" ca="1" si="236"/>
        <v>141.14453414131194</v>
      </c>
      <c r="CG235" s="6">
        <f t="shared" ca="1" si="237"/>
        <v>-0.80468750705859027</v>
      </c>
      <c r="CH235" s="6">
        <f t="shared" ca="1" si="238"/>
        <v>-0.59369859018177817</v>
      </c>
      <c r="CI235" s="6">
        <f t="shared" ca="1" si="239"/>
        <v>-2.5059452576232131</v>
      </c>
      <c r="CJ235" s="1">
        <f t="shared" ca="1" si="240"/>
        <v>2.9695928666240192</v>
      </c>
      <c r="CK235" s="38"/>
    </row>
    <row r="236" spans="55:89" x14ac:dyDescent="0.25">
      <c r="BC236">
        <v>4.0840704496667097</v>
      </c>
      <c r="BD236">
        <v>-8.2138233795167892</v>
      </c>
      <c r="BE236">
        <v>-42.840171939069101</v>
      </c>
      <c r="BF236" s="6">
        <f t="shared" si="223"/>
        <v>4.5229561035105723</v>
      </c>
      <c r="BG236" s="6">
        <f t="shared" si="224"/>
        <v>0.43888565384386258</v>
      </c>
      <c r="BH236" s="6">
        <f t="shared" si="225"/>
        <v>2.2238768126698201</v>
      </c>
      <c r="BI236" s="6">
        <f t="shared" si="226"/>
        <v>2.2238768126698201</v>
      </c>
      <c r="BJ236">
        <v>-12.636651353102753</v>
      </c>
      <c r="BK236">
        <v>-65.907956829337081</v>
      </c>
      <c r="BV236" s="38"/>
      <c r="BW236" s="6">
        <f t="shared" si="227"/>
        <v>3.8571776469074495</v>
      </c>
      <c r="BX236" s="9">
        <f t="shared" ca="1" si="228"/>
        <v>13.295842250018783</v>
      </c>
      <c r="BY236" s="9">
        <f t="shared" ca="1" si="229"/>
        <v>34.349045004749712</v>
      </c>
      <c r="BZ236">
        <f t="shared" ca="1" si="230"/>
        <v>36.832544222137379</v>
      </c>
      <c r="CA236" s="6">
        <f t="shared" ca="1" si="231"/>
        <v>0.36098082635376605</v>
      </c>
      <c r="CB236" s="6">
        <f t="shared" ca="1" si="232"/>
        <v>0.93257323734114961</v>
      </c>
      <c r="CC236" s="6">
        <f t="shared" ca="1" si="233"/>
        <v>1.2014769052584391</v>
      </c>
      <c r="CD236" s="6">
        <f t="shared" ca="1" si="234"/>
        <v>-113.29584225001878</v>
      </c>
      <c r="CE236" s="9">
        <f t="shared" ca="1" si="235"/>
        <v>-84.349045004749712</v>
      </c>
      <c r="CF236">
        <f t="shared" ca="1" si="236"/>
        <v>141.24697966453809</v>
      </c>
      <c r="CG236" s="6">
        <f t="shared" ca="1" si="237"/>
        <v>-0.80211160988430819</v>
      </c>
      <c r="CH236" s="6">
        <f t="shared" ca="1" si="238"/>
        <v>-0.59717414988326756</v>
      </c>
      <c r="CI236" s="6">
        <f t="shared" ca="1" si="239"/>
        <v>-2.5016191981370266</v>
      </c>
      <c r="CJ236" s="1">
        <f t="shared" ca="1" si="240"/>
        <v>2.9652668071378327</v>
      </c>
      <c r="CK236" s="38"/>
    </row>
    <row r="237" spans="55:89" x14ac:dyDescent="0.25">
      <c r="BC237">
        <v>4.1015237421866528</v>
      </c>
      <c r="BD237">
        <v>-7.6506255455647336</v>
      </c>
      <c r="BE237">
        <v>-43.63982481586838</v>
      </c>
      <c r="BF237" s="6">
        <f t="shared" si="223"/>
        <v>4.5388396989514774</v>
      </c>
      <c r="BG237" s="6">
        <f t="shared" si="224"/>
        <v>0.4373159567648246</v>
      </c>
      <c r="BH237" s="6">
        <f t="shared" si="225"/>
        <v>2.207993217228915</v>
      </c>
      <c r="BI237" s="6">
        <f t="shared" si="226"/>
        <v>2.207993217228915</v>
      </c>
      <c r="BJ237">
        <v>-11.770193147022667</v>
      </c>
      <c r="BK237">
        <v>-67.138192024412888</v>
      </c>
      <c r="BV237" s="38"/>
      <c r="BW237" s="6">
        <f t="shared" si="227"/>
        <v>3.8746309394273926</v>
      </c>
      <c r="BX237" s="9">
        <f t="shared" ca="1" si="228"/>
        <v>13.004032869669365</v>
      </c>
      <c r="BY237" s="9">
        <f t="shared" ca="1" si="229"/>
        <v>34.911178481960768</v>
      </c>
      <c r="BZ237">
        <f t="shared" ca="1" si="230"/>
        <v>37.254466227215794</v>
      </c>
      <c r="CA237" s="6">
        <f t="shared" ca="1" si="231"/>
        <v>0.3490597017377054</v>
      </c>
      <c r="CB237" s="6">
        <f t="shared" ca="1" si="232"/>
        <v>0.93710048800690737</v>
      </c>
      <c r="CC237" s="6">
        <f t="shared" ca="1" si="233"/>
        <v>1.2142288233192504</v>
      </c>
      <c r="CD237" s="6">
        <f t="shared" ca="1" si="234"/>
        <v>-113.00403286966936</v>
      </c>
      <c r="CE237" s="9">
        <f t="shared" ca="1" si="235"/>
        <v>-84.911178481960775</v>
      </c>
      <c r="CF237">
        <f t="shared" ca="1" si="236"/>
        <v>141.34999001062829</v>
      </c>
      <c r="CG237" s="6">
        <f t="shared" ca="1" si="237"/>
        <v>-0.79946261659567464</v>
      </c>
      <c r="CH237" s="6">
        <f t="shared" ca="1" si="238"/>
        <v>-0.60071584352836671</v>
      </c>
      <c r="CI237" s="6">
        <f t="shared" ca="1" si="239"/>
        <v>-2.4971964398116917</v>
      </c>
      <c r="CJ237" s="1">
        <f t="shared" ca="1" si="240"/>
        <v>2.9608440488124979</v>
      </c>
      <c r="CK237" s="38"/>
    </row>
    <row r="238" spans="55:89" x14ac:dyDescent="0.25">
      <c r="BC238">
        <v>4.1189770347065959</v>
      </c>
      <c r="BD238">
        <v>-7.0494474628516777</v>
      </c>
      <c r="BE238">
        <v>-44.469159084580468</v>
      </c>
      <c r="BF238" s="6">
        <f t="shared" si="223"/>
        <v>4.5551728006745789</v>
      </c>
      <c r="BG238" s="6">
        <f t="shared" si="224"/>
        <v>0.43619576596798293</v>
      </c>
      <c r="BH238" s="6">
        <f t="shared" si="225"/>
        <v>2.1916601155058135</v>
      </c>
      <c r="BI238" s="6">
        <f t="shared" si="226"/>
        <v>2.1916601155058135</v>
      </c>
      <c r="BJ238">
        <v>-10.84530378900258</v>
      </c>
      <c r="BK238">
        <v>-68.414090899354562</v>
      </c>
      <c r="BV238" s="38"/>
      <c r="BW238" s="6">
        <f t="shared" si="227"/>
        <v>3.8920842319473357</v>
      </c>
      <c r="BX238" s="9">
        <f t="shared" ca="1" si="228"/>
        <v>12.700792680173871</v>
      </c>
      <c r="BY238" s="9">
        <f t="shared" ca="1" si="229"/>
        <v>35.484573410140605</v>
      </c>
      <c r="BZ238">
        <f t="shared" ca="1" si="230"/>
        <v>37.689057892237315</v>
      </c>
      <c r="CA238" s="6">
        <f t="shared" ca="1" si="231"/>
        <v>0.33698886070563755</v>
      </c>
      <c r="CB238" s="6">
        <f t="shared" ca="1" si="232"/>
        <v>0.9415086339276536</v>
      </c>
      <c r="CC238" s="6">
        <f t="shared" ca="1" si="233"/>
        <v>1.227079474129535</v>
      </c>
      <c r="CD238" s="6">
        <f t="shared" ca="1" si="234"/>
        <v>-112.70079268017388</v>
      </c>
      <c r="CE238" s="9">
        <f t="shared" ca="1" si="235"/>
        <v>-85.484573410140598</v>
      </c>
      <c r="CF238">
        <f t="shared" ca="1" si="236"/>
        <v>141.45345864224475</v>
      </c>
      <c r="CG238" s="6">
        <f t="shared" ca="1" si="237"/>
        <v>-0.79673409022263408</v>
      </c>
      <c r="CH238" s="6">
        <f t="shared" ca="1" si="238"/>
        <v>-0.60433003357198101</v>
      </c>
      <c r="CI238" s="6">
        <f t="shared" ca="1" si="239"/>
        <v>-2.4926679454829594</v>
      </c>
      <c r="CJ238" s="1">
        <f t="shared" ca="1" si="240"/>
        <v>2.9563155544837656</v>
      </c>
      <c r="CK238" s="38"/>
    </row>
    <row r="239" spans="55:89" x14ac:dyDescent="0.25">
      <c r="BC239">
        <v>4.136430327226539</v>
      </c>
      <c r="BD239">
        <v>-6.4062243915022368</v>
      </c>
      <c r="BE239">
        <v>-45.330616673081799</v>
      </c>
      <c r="BF239" s="6">
        <f t="shared" si="223"/>
        <v>4.5719964505271324</v>
      </c>
      <c r="BG239" s="6">
        <f t="shared" si="224"/>
        <v>0.43556612330059341</v>
      </c>
      <c r="BH239" s="6">
        <f t="shared" si="225"/>
        <v>2.1748364656532599</v>
      </c>
      <c r="BI239" s="6">
        <f t="shared" si="226"/>
        <v>2.1748364656532599</v>
      </c>
      <c r="BJ239">
        <v>-9.855729833080364</v>
      </c>
      <c r="BK239">
        <v>-69.739410266279691</v>
      </c>
      <c r="BV239" s="38"/>
      <c r="BW239" s="6">
        <f t="shared" si="227"/>
        <v>3.9095375244672788</v>
      </c>
      <c r="BX239" s="9">
        <f t="shared" ca="1" si="228"/>
        <v>12.385023264239114</v>
      </c>
      <c r="BY239" s="9">
        <f t="shared" ca="1" si="229"/>
        <v>36.070134171993928</v>
      </c>
      <c r="BZ239">
        <f t="shared" ca="1" si="230"/>
        <v>38.137165343551537</v>
      </c>
      <c r="CA239" s="6">
        <f t="shared" ca="1" si="231"/>
        <v>0.32474944460792887</v>
      </c>
      <c r="CB239" s="6">
        <f t="shared" ca="1" si="232"/>
        <v>0.94580008364708956</v>
      </c>
      <c r="CC239" s="6">
        <f t="shared" ca="1" si="233"/>
        <v>1.2400495244501752</v>
      </c>
      <c r="CD239" s="6">
        <f t="shared" ca="1" si="234"/>
        <v>-112.38502326423911</v>
      </c>
      <c r="CE239" s="9">
        <f t="shared" ca="1" si="235"/>
        <v>-86.070134171993928</v>
      </c>
      <c r="CF239">
        <f t="shared" ca="1" si="236"/>
        <v>141.55727268667124</v>
      </c>
      <c r="CG239" s="6">
        <f t="shared" ca="1" si="237"/>
        <v>-0.79391910518788245</v>
      </c>
      <c r="CH239" s="6">
        <f t="shared" ca="1" si="238"/>
        <v>-0.60802339956425377</v>
      </c>
      <c r="CI239" s="6">
        <f t="shared" ca="1" si="239"/>
        <v>-2.4880241181979175</v>
      </c>
      <c r="CJ239" s="1">
        <f t="shared" ca="1" si="240"/>
        <v>2.9516717271987236</v>
      </c>
      <c r="CK239" s="38"/>
    </row>
    <row r="240" spans="55:89" x14ac:dyDescent="0.25">
      <c r="BC240">
        <v>4.1538836197464821</v>
      </c>
      <c r="BD240">
        <v>-5.7163417619637906</v>
      </c>
      <c r="BE240">
        <v>-46.226896243508001</v>
      </c>
      <c r="BF240" s="6">
        <f t="shared" si="223"/>
        <v>4.5893552114704512</v>
      </c>
      <c r="BG240" s="6">
        <f t="shared" si="224"/>
        <v>0.4354715917239691</v>
      </c>
      <c r="BH240" s="6">
        <f t="shared" si="225"/>
        <v>2.1574777047099412</v>
      </c>
      <c r="BI240" s="6">
        <f t="shared" si="226"/>
        <v>2.1574777047099412</v>
      </c>
      <c r="BJ240">
        <v>-8.7943719414827548</v>
      </c>
      <c r="BK240">
        <v>-71.118301913089226</v>
      </c>
      <c r="BV240" s="38"/>
      <c r="BW240" s="6">
        <f t="shared" si="227"/>
        <v>3.9269908169872219</v>
      </c>
      <c r="BX240" s="9">
        <f t="shared" ca="1" si="228"/>
        <v>12.055538675217308</v>
      </c>
      <c r="BY240" s="9">
        <f t="shared" ca="1" si="229"/>
        <v>36.668814594461949</v>
      </c>
      <c r="BZ240">
        <f t="shared" ca="1" si="230"/>
        <v>38.599714720612717</v>
      </c>
      <c r="CA240" s="6">
        <f t="shared" ca="1" si="231"/>
        <v>0.31232196306309756</v>
      </c>
      <c r="CB240" s="6">
        <f t="shared" ca="1" si="232"/>
        <v>0.94997631096170654</v>
      </c>
      <c r="CC240" s="6">
        <f t="shared" ca="1" si="233"/>
        <v>1.2531600406174475</v>
      </c>
      <c r="CD240" s="6">
        <f t="shared" ca="1" si="234"/>
        <v>-112.05553867521731</v>
      </c>
      <c r="CE240" s="9">
        <f t="shared" ca="1" si="235"/>
        <v>-86.668814594461949</v>
      </c>
      <c r="CF240">
        <f t="shared" ca="1" si="236"/>
        <v>141.66131148271339</v>
      </c>
      <c r="CG240" s="6">
        <f t="shared" ca="1" si="237"/>
        <v>-0.79101017421324094</v>
      </c>
      <c r="CH240" s="6">
        <f t="shared" ca="1" si="238"/>
        <v>-0.61180299467323473</v>
      </c>
      <c r="CI240" s="6">
        <f t="shared" ca="1" si="239"/>
        <v>-2.4832547092489117</v>
      </c>
      <c r="CJ240" s="1">
        <f t="shared" ca="1" si="240"/>
        <v>2.9469023182497178</v>
      </c>
      <c r="CK240" s="38"/>
    </row>
    <row r="241" spans="55:89" x14ac:dyDescent="0.25">
      <c r="BC241">
        <v>4.1713369122664252</v>
      </c>
      <c r="BD241">
        <v>-4.9745395041808314</v>
      </c>
      <c r="BE241">
        <v>-47.160990433218295</v>
      </c>
      <c r="BF241" s="6">
        <f t="shared" si="223"/>
        <v>4.6072976177950018</v>
      </c>
      <c r="BG241" s="6">
        <f t="shared" si="224"/>
        <v>0.43596070552857658</v>
      </c>
      <c r="BH241" s="6">
        <f t="shared" si="225"/>
        <v>2.1395352983853906</v>
      </c>
      <c r="BI241" s="6">
        <f t="shared" si="226"/>
        <v>2.1395352983853906</v>
      </c>
      <c r="BJ241">
        <v>-7.6531376987397399</v>
      </c>
      <c r="BK241">
        <v>-72.555369897258913</v>
      </c>
      <c r="BV241" s="38"/>
      <c r="BW241" s="6">
        <f t="shared" si="227"/>
        <v>3.944444109507165</v>
      </c>
      <c r="BX241" s="9">
        <f t="shared" ca="1" si="228"/>
        <v>11.711052482009219</v>
      </c>
      <c r="BY241" s="9">
        <f t="shared" ca="1" si="229"/>
        <v>37.28162549347379</v>
      </c>
      <c r="BZ241">
        <f t="shared" ca="1" si="230"/>
        <v>39.077721909957972</v>
      </c>
      <c r="CA241" s="6">
        <f t="shared" ca="1" si="231"/>
        <v>0.29968616156779987</v>
      </c>
      <c r="CB241" s="6">
        <f t="shared" ca="1" si="232"/>
        <v>0.95403784231274513</v>
      </c>
      <c r="CC241" s="6">
        <f t="shared" ca="1" si="233"/>
        <v>1.2664326478375598</v>
      </c>
      <c r="CD241" s="6">
        <f t="shared" ca="1" si="234"/>
        <v>-111.71105248200922</v>
      </c>
      <c r="CE241" s="9">
        <f t="shared" ca="1" si="235"/>
        <v>-87.281625493473797</v>
      </c>
      <c r="CF241">
        <f t="shared" ca="1" si="236"/>
        <v>141.76544499778933</v>
      </c>
      <c r="CG241" s="6">
        <f t="shared" ca="1" si="237"/>
        <v>-0.78799916639595236</v>
      </c>
      <c r="CH241" s="6">
        <f t="shared" ca="1" si="238"/>
        <v>-0.61567630599145551</v>
      </c>
      <c r="CI241" s="6">
        <f t="shared" ca="1" si="239"/>
        <v>-2.4783487173085383</v>
      </c>
      <c r="CJ241" s="1">
        <f t="shared" ca="1" si="240"/>
        <v>2.9419963263093445</v>
      </c>
      <c r="CK241" s="38"/>
    </row>
    <row r="242" spans="55:89" x14ac:dyDescent="0.25">
      <c r="BC242">
        <v>4.1887902047863683</v>
      </c>
      <c r="BD242">
        <v>-4.1747962789148465</v>
      </c>
      <c r="BE242">
        <v>-48.136229713724155</v>
      </c>
      <c r="BF242" s="6">
        <f t="shared" si="223"/>
        <v>4.6258766828372089</v>
      </c>
      <c r="BG242" s="6">
        <f t="shared" si="224"/>
        <v>0.43708647805084055</v>
      </c>
      <c r="BH242" s="6">
        <f t="shared" si="225"/>
        <v>2.1209562333431835</v>
      </c>
      <c r="BI242" s="6">
        <f t="shared" si="226"/>
        <v>2.1209562333431835</v>
      </c>
      <c r="BJ242">
        <v>-6.4227635060228403</v>
      </c>
      <c r="BK242">
        <v>-74.055738021114081</v>
      </c>
      <c r="BV242" s="38"/>
      <c r="BW242" s="6">
        <f t="shared" si="227"/>
        <v>3.9618974020271081</v>
      </c>
      <c r="BX242" s="9">
        <f t="shared" ca="1" si="228"/>
        <v>11.350163149849198</v>
      </c>
      <c r="BY242" s="9">
        <f t="shared" ca="1" si="229"/>
        <v>37.909642801226418</v>
      </c>
      <c r="BZ242">
        <f t="shared" ca="1" si="230"/>
        <v>39.572303709093973</v>
      </c>
      <c r="CA242" s="6">
        <f t="shared" ca="1" si="231"/>
        <v>0.28682088445714765</v>
      </c>
      <c r="CB242" s="6">
        <f t="shared" ca="1" si="232"/>
        <v>0.95798422755242663</v>
      </c>
      <c r="CC242" s="6">
        <f t="shared" ca="1" si="233"/>
        <v>1.2798896922544465</v>
      </c>
      <c r="CD242" s="6">
        <f t="shared" ca="1" si="234"/>
        <v>-111.35016314984919</v>
      </c>
      <c r="CE242" s="9">
        <f t="shared" ca="1" si="235"/>
        <v>-87.909642801226425</v>
      </c>
      <c r="CF242">
        <f t="shared" ca="1" si="236"/>
        <v>141.86953207414641</v>
      </c>
      <c r="CG242" s="6">
        <f t="shared" ca="1" si="237"/>
        <v>-0.78487721445118586</v>
      </c>
      <c r="CH242" s="6">
        <f t="shared" ca="1" si="238"/>
        <v>-0.61965131988510058</v>
      </c>
      <c r="CI242" s="6">
        <f t="shared" ca="1" si="239"/>
        <v>-2.473294276311842</v>
      </c>
      <c r="CJ242" s="1">
        <f t="shared" ca="1" si="240"/>
        <v>2.9369418853126481</v>
      </c>
      <c r="CK242" s="38"/>
    </row>
    <row r="243" spans="55:89" x14ac:dyDescent="0.25">
      <c r="BC243">
        <v>4.2062434973063114</v>
      </c>
      <c r="BD243">
        <v>-3.3101885527441652</v>
      </c>
      <c r="BE243">
        <v>-49.156334325957154</v>
      </c>
      <c r="BF243" s="6">
        <f t="shared" si="223"/>
        <v>4.6451504724480071</v>
      </c>
      <c r="BG243" s="6">
        <f t="shared" si="224"/>
        <v>0.43890697514169563</v>
      </c>
      <c r="BH243" s="6">
        <f t="shared" si="225"/>
        <v>2.1016824437323853</v>
      </c>
      <c r="BI243" s="6">
        <f t="shared" si="226"/>
        <v>2.1016824437323853</v>
      </c>
      <c r="BJ243">
        <v>-5.092597773452562</v>
      </c>
      <c r="BK243">
        <v>-75.625129732241774</v>
      </c>
      <c r="BV243" s="38"/>
      <c r="BW243" s="6">
        <f t="shared" si="227"/>
        <v>3.9793506945470511</v>
      </c>
      <c r="BX243" s="9">
        <f t="shared" ca="1" si="228"/>
        <v>10.971337453867232</v>
      </c>
      <c r="BY243" s="9">
        <f t="shared" ca="1" si="229"/>
        <v>38.554016424810349</v>
      </c>
      <c r="BZ243">
        <f t="shared" ca="1" si="230"/>
        <v>40.084690693719672</v>
      </c>
      <c r="CA243" s="6">
        <f t="shared" ca="1" si="231"/>
        <v>0.27370393194991477</v>
      </c>
      <c r="CB243" s="6">
        <f t="shared" ca="1" si="232"/>
        <v>0.961813993262292</v>
      </c>
      <c r="CC243" s="6">
        <f t="shared" ca="1" si="233"/>
        <v>1.2935544079102217</v>
      </c>
      <c r="CD243" s="6">
        <f t="shared" ca="1" si="234"/>
        <v>-110.97133745386724</v>
      </c>
      <c r="CE243" s="9">
        <f t="shared" ca="1" si="235"/>
        <v>-88.554016424810357</v>
      </c>
      <c r="CF243">
        <f t="shared" ca="1" si="236"/>
        <v>141.97341850242833</v>
      </c>
      <c r="CG243" s="6">
        <f t="shared" ca="1" si="237"/>
        <v>-0.78163460896005099</v>
      </c>
      <c r="CH243" s="6">
        <f t="shared" ca="1" si="238"/>
        <v>-0.62373659350391508</v>
      </c>
      <c r="CI243" s="6">
        <f t="shared" ca="1" si="239"/>
        <v>-2.4680785297130137</v>
      </c>
      <c r="CJ243" s="1">
        <f t="shared" ca="1" si="240"/>
        <v>2.9317261387138198</v>
      </c>
      <c r="CK243" s="38"/>
    </row>
    <row r="244" spans="55:89" x14ac:dyDescent="0.25">
      <c r="BC244">
        <v>4.2236967898262545</v>
      </c>
      <c r="BD244">
        <v>-2.3727179374895897</v>
      </c>
      <c r="BE244">
        <v>-50.225476133038661</v>
      </c>
      <c r="BF244" s="6">
        <f t="shared" si="223"/>
        <v>4.6651827539581818</v>
      </c>
      <c r="BG244" s="6">
        <f t="shared" si="224"/>
        <v>0.44148596413192731</v>
      </c>
      <c r="BH244" s="6">
        <f t="shared" si="225"/>
        <v>2.0816501622222106</v>
      </c>
      <c r="BI244" s="6">
        <f t="shared" si="226"/>
        <v>2.0816501622222106</v>
      </c>
      <c r="BJ244">
        <v>-3.6503352884455227</v>
      </c>
      <c r="BK244">
        <v>-77.269963281597938</v>
      </c>
      <c r="BV244" s="38"/>
      <c r="BW244" s="6">
        <f t="shared" si="227"/>
        <v>3.9968039870669942</v>
      </c>
      <c r="BX244" s="9">
        <f t="shared" ca="1" si="228"/>
        <v>10.572891520801402</v>
      </c>
      <c r="BY244" s="9">
        <f t="shared" ca="1" si="229"/>
        <v>39.215980005817912</v>
      </c>
      <c r="BZ244">
        <f t="shared" ca="1" si="230"/>
        <v>40.616242107405064</v>
      </c>
      <c r="CA244" s="6">
        <f t="shared" ca="1" si="231"/>
        <v>0.26031190903487783</v>
      </c>
      <c r="CB244" s="6">
        <f t="shared" ca="1" si="232"/>
        <v>0.9655245776336393</v>
      </c>
      <c r="CC244" s="6">
        <f t="shared" ca="1" si="233"/>
        <v>1.3074510917588307</v>
      </c>
      <c r="CD244" s="6">
        <f t="shared" ca="1" si="234"/>
        <v>-110.57289152080141</v>
      </c>
      <c r="CE244" s="9">
        <f t="shared" ca="1" si="235"/>
        <v>-89.215980005817912</v>
      </c>
      <c r="CF244">
        <f t="shared" ca="1" si="236"/>
        <v>142.07693488976111</v>
      </c>
      <c r="CG244" s="6">
        <f t="shared" ca="1" si="237"/>
        <v>-0.77826067691139311</v>
      </c>
      <c r="CH244" s="6">
        <f t="shared" ca="1" si="238"/>
        <v>-0.62794133386282203</v>
      </c>
      <c r="CI244" s="6">
        <f t="shared" ca="1" si="239"/>
        <v>-2.4626874881304923</v>
      </c>
      <c r="CJ244" s="1">
        <f t="shared" ca="1" si="240"/>
        <v>2.9263350971312985</v>
      </c>
      <c r="CK244" s="38"/>
    </row>
    <row r="245" spans="55:89" x14ac:dyDescent="0.25">
      <c r="BC245">
        <v>4.2411500823461976</v>
      </c>
      <c r="BD245">
        <v>-1.353098240342679</v>
      </c>
      <c r="BE245">
        <v>-51.348352726386153</v>
      </c>
      <c r="BF245" s="6">
        <f t="shared" si="223"/>
        <v>4.6860437306396552</v>
      </c>
      <c r="BG245" s="6">
        <f t="shared" si="224"/>
        <v>0.44489364829345757</v>
      </c>
      <c r="BH245" s="6">
        <f t="shared" si="225"/>
        <v>2.0607891855407372</v>
      </c>
      <c r="BI245" s="6">
        <f t="shared" si="226"/>
        <v>2.0607891855407372</v>
      </c>
      <c r="BJ245">
        <v>-2.0816896005271985</v>
      </c>
      <c r="BK245">
        <v>-78.997465732901773</v>
      </c>
      <c r="BV245" s="38"/>
      <c r="BW245" s="6">
        <f t="shared" si="227"/>
        <v>4.0142572795869373</v>
      </c>
      <c r="BX245" s="9">
        <f t="shared" ca="1" si="228"/>
        <v>10.152969053021989</v>
      </c>
      <c r="BY245" s="9">
        <f t="shared" ca="1" si="229"/>
        <v>39.896861767322264</v>
      </c>
      <c r="BZ245">
        <f t="shared" ca="1" si="230"/>
        <v>41.16846316626895</v>
      </c>
      <c r="CA245" s="6">
        <f t="shared" ca="1" si="231"/>
        <v>0.24662006478154722</v>
      </c>
      <c r="CB245" s="6">
        <f t="shared" ca="1" si="232"/>
        <v>0.96911224512289873</v>
      </c>
      <c r="CC245" s="6">
        <f t="shared" ca="1" si="233"/>
        <v>1.32160528907865</v>
      </c>
      <c r="CD245" s="6">
        <f t="shared" ca="1" si="234"/>
        <v>-110.15296905302199</v>
      </c>
      <c r="CE245" s="9">
        <f t="shared" ca="1" si="235"/>
        <v>-89.896861767322264</v>
      </c>
      <c r="CF245">
        <f t="shared" ca="1" si="236"/>
        <v>142.17989431283547</v>
      </c>
      <c r="CG245" s="6">
        <f t="shared" ca="1" si="237"/>
        <v>-0.77474364139457508</v>
      </c>
      <c r="CH245" s="6">
        <f t="shared" ca="1" si="238"/>
        <v>-0.6322754859384272</v>
      </c>
      <c r="CI245" s="6">
        <f t="shared" ca="1" si="239"/>
        <v>-2.45710586704657</v>
      </c>
      <c r="CJ245" s="1">
        <f t="shared" ca="1" si="240"/>
        <v>2.9207534760473761</v>
      </c>
      <c r="CK245" s="38"/>
    </row>
    <row r="246" spans="55:89" x14ac:dyDescent="0.25">
      <c r="BC246">
        <v>4.2586033748661407</v>
      </c>
      <c r="BD246">
        <v>-0.24049091424224162</v>
      </c>
      <c r="BE246">
        <v>-52.530276780905936</v>
      </c>
      <c r="BF246" s="6">
        <f t="shared" si="223"/>
        <v>4.7078108732658555</v>
      </c>
      <c r="BG246" s="6">
        <f t="shared" si="224"/>
        <v>0.44920749839971474</v>
      </c>
      <c r="BH246" s="6">
        <f t="shared" si="225"/>
        <v>2.0390220429145369</v>
      </c>
      <c r="BI246" s="6">
        <f t="shared" si="226"/>
        <v>2.0390220429145369</v>
      </c>
      <c r="BJ246">
        <v>-0.36998602191114094</v>
      </c>
      <c r="BK246">
        <v>-80.815810432162976</v>
      </c>
      <c r="BV246" s="38"/>
      <c r="BW246" s="6">
        <f t="shared" si="227"/>
        <v>4.0317105721068804</v>
      </c>
      <c r="BX246" s="9">
        <f t="shared" ca="1" si="228"/>
        <v>9.7095161608281941</v>
      </c>
      <c r="BY246" s="9">
        <f t="shared" ca="1" si="229"/>
        <v>40.598096666398284</v>
      </c>
      <c r="BZ246">
        <f t="shared" ca="1" si="230"/>
        <v>41.743025249873817</v>
      </c>
      <c r="CA246" s="6">
        <f t="shared" ca="1" si="231"/>
        <v>0.23260211982018589</v>
      </c>
      <c r="CB246" s="6">
        <f t="shared" ca="1" si="232"/>
        <v>0.97257197875280987</v>
      </c>
      <c r="CC246" s="6">
        <f t="shared" ca="1" si="233"/>
        <v>1.3360439926064469</v>
      </c>
      <c r="CD246" s="6">
        <f t="shared" ca="1" si="234"/>
        <v>-109.7095161608282</v>
      </c>
      <c r="CE246" s="9">
        <f t="shared" ca="1" si="235"/>
        <v>-90.598096666398277</v>
      </c>
      <c r="CF246">
        <f t="shared" ca="1" si="236"/>
        <v>142.28208972255459</v>
      </c>
      <c r="CG246" s="6">
        <f t="shared" ca="1" si="237"/>
        <v>-0.7710704585148993</v>
      </c>
      <c r="CH246" s="6">
        <f t="shared" ca="1" si="238"/>
        <v>-0.63674983157094189</v>
      </c>
      <c r="CI246" s="6">
        <f t="shared" ca="1" si="239"/>
        <v>-2.4513169003948057</v>
      </c>
      <c r="CJ246" s="1">
        <f t="shared" ca="1" si="240"/>
        <v>2.9149645093956118</v>
      </c>
      <c r="CK246" s="38"/>
    </row>
    <row r="247" spans="55:89" x14ac:dyDescent="0.25">
      <c r="BC247">
        <v>4.2760566673860838</v>
      </c>
      <c r="BD247">
        <v>0.98101596519020295</v>
      </c>
      <c r="BE247">
        <v>-53.800976947208028</v>
      </c>
      <c r="BF247" s="6">
        <f t="shared" si="223"/>
        <v>4.7306211263089235</v>
      </c>
      <c r="BG247" s="6">
        <f t="shared" si="224"/>
        <v>0.4545644589228397</v>
      </c>
      <c r="BH247" s="6">
        <f t="shared" si="225"/>
        <v>2.0162117898714689</v>
      </c>
      <c r="BI247" s="6">
        <f t="shared" si="226"/>
        <v>2.0162117898714689</v>
      </c>
      <c r="BJ247">
        <v>1.5085963168749381</v>
      </c>
      <c r="BK247">
        <v>-82.734592042133698</v>
      </c>
      <c r="BV247" s="38"/>
      <c r="BW247" s="6">
        <f t="shared" si="227"/>
        <v>4.0491638646268235</v>
      </c>
      <c r="BX247" s="9">
        <f t="shared" ca="1" si="228"/>
        <v>9.2402521454148498</v>
      </c>
      <c r="BY247" s="9">
        <f t="shared" ca="1" si="229"/>
        <v>41.321240101371039</v>
      </c>
      <c r="BZ247">
        <f t="shared" ca="1" si="230"/>
        <v>42.341789560976252</v>
      </c>
      <c r="CA247" s="6">
        <f t="shared" ca="1" si="231"/>
        <v>0.21823008052382853</v>
      </c>
      <c r="CB247" s="6">
        <f t="shared" ca="1" si="232"/>
        <v>0.97589734703736308</v>
      </c>
      <c r="CC247" s="6">
        <f t="shared" ca="1" si="233"/>
        <v>1.3507958580540638</v>
      </c>
      <c r="CD247" s="6">
        <f t="shared" ca="1" si="234"/>
        <v>-109.24025214541484</v>
      </c>
      <c r="CE247" s="9">
        <f t="shared" ca="1" si="235"/>
        <v>-91.321240101371046</v>
      </c>
      <c r="CF247">
        <f t="shared" ca="1" si="236"/>
        <v>142.38329109290203</v>
      </c>
      <c r="CG247" s="6">
        <f t="shared" ca="1" si="237"/>
        <v>-0.76722662685285126</v>
      </c>
      <c r="CH247" s="6">
        <f t="shared" ca="1" si="238"/>
        <v>-0.64137610108889742</v>
      </c>
      <c r="CI247" s="6">
        <f t="shared" ca="1" si="239"/>
        <v>-2.4453021252064424</v>
      </c>
      <c r="CJ247" s="1">
        <f t="shared" ca="1" si="240"/>
        <v>2.9089497342072486</v>
      </c>
      <c r="CK247" s="38"/>
    </row>
    <row r="248" spans="55:89" x14ac:dyDescent="0.25">
      <c r="BC248">
        <v>4.2935099599060269</v>
      </c>
      <c r="BD248">
        <v>2.3544434478068745</v>
      </c>
      <c r="BE248">
        <v>-55.339968884749283</v>
      </c>
      <c r="BF248" s="6">
        <f t="shared" si="223"/>
        <v>4.7549084189748516</v>
      </c>
      <c r="BG248" s="6">
        <f t="shared" si="224"/>
        <v>0.46139845906882471</v>
      </c>
      <c r="BH248" s="6">
        <f t="shared" si="225"/>
        <v>1.9919244972055408</v>
      </c>
      <c r="BI248" s="6">
        <f t="shared" si="226"/>
        <v>1.9919244972055408</v>
      </c>
      <c r="BJ248">
        <v>3.6063924358921704</v>
      </c>
      <c r="BK248">
        <v>-84.766378812101507</v>
      </c>
      <c r="BV248" s="38"/>
      <c r="BW248" s="6">
        <f t="shared" si="227"/>
        <v>4.0666171571467666</v>
      </c>
      <c r="BX248" s="9">
        <f t="shared" ca="1" si="228"/>
        <v>8.7426353920835105</v>
      </c>
      <c r="BY248" s="9">
        <f t="shared" ca="1" si="229"/>
        <v>42.067983471543599</v>
      </c>
      <c r="BZ248">
        <f t="shared" ca="1" si="230"/>
        <v>42.966834965598487</v>
      </c>
      <c r="CA248" s="6">
        <f t="shared" ca="1" si="231"/>
        <v>0.20347403757068272</v>
      </c>
      <c r="CB248" s="6">
        <f t="shared" ca="1" si="232"/>
        <v>0.97908034197132376</v>
      </c>
      <c r="CC248" s="6">
        <f t="shared" ca="1" si="233"/>
        <v>1.3658914397806299</v>
      </c>
      <c r="CD248" s="6">
        <f t="shared" ca="1" si="234"/>
        <v>-108.74263539208351</v>
      </c>
      <c r="CE248" s="9">
        <f t="shared" ca="1" si="235"/>
        <v>-92.067983471543599</v>
      </c>
      <c r="CF248">
        <f t="shared" ca="1" si="236"/>
        <v>142.48324228670555</v>
      </c>
      <c r="CG248" s="6">
        <f t="shared" ca="1" si="237"/>
        <v>-0.76319596358757047</v>
      </c>
      <c r="CH248" s="6">
        <f t="shared" ca="1" si="238"/>
        <v>-0.64616710003190347</v>
      </c>
      <c r="CI248" s="6">
        <f t="shared" ca="1" si="239"/>
        <v>-2.4390411312531288</v>
      </c>
      <c r="CJ248" s="1">
        <f t="shared" ca="1" si="240"/>
        <v>2.902688740253935</v>
      </c>
      <c r="CK248" s="38"/>
    </row>
    <row r="249" spans="55:89" x14ac:dyDescent="0.25">
      <c r="BC249">
        <v>4.31096325242597</v>
      </c>
      <c r="BD249">
        <v>3.8802849403348083</v>
      </c>
      <c r="BE249">
        <v>-56.985626881561508</v>
      </c>
      <c r="BF249" s="6">
        <f t="shared" si="223"/>
        <v>4.7803763784926669</v>
      </c>
      <c r="BG249" s="6">
        <f t="shared" si="224"/>
        <v>0.46941312606669694</v>
      </c>
      <c r="BH249" s="6">
        <f t="shared" si="225"/>
        <v>1.9664565376877257</v>
      </c>
      <c r="BI249" s="6">
        <f t="shared" si="226"/>
        <v>1.9664565376877257</v>
      </c>
      <c r="BJ249">
        <v>5.9186450247227684</v>
      </c>
      <c r="BK249">
        <v>-86.920858186811472</v>
      </c>
      <c r="BV249" s="38"/>
      <c r="BW249" s="6">
        <f t="shared" si="227"/>
        <v>4.0840704496667097</v>
      </c>
      <c r="BX249" s="9">
        <f t="shared" ca="1" si="228"/>
        <v>8.2138233795167892</v>
      </c>
      <c r="BY249" s="9">
        <f t="shared" ca="1" si="229"/>
        <v>42.840171939069101</v>
      </c>
      <c r="BZ249">
        <f t="shared" ca="1" si="230"/>
        <v>43.620490899104979</v>
      </c>
      <c r="CA249" s="6">
        <f t="shared" ca="1" si="231"/>
        <v>0.18830194732369057</v>
      </c>
      <c r="CB249" s="6">
        <f t="shared" ca="1" si="232"/>
        <v>0.9821111834380597</v>
      </c>
      <c r="CC249" s="6">
        <f t="shared" ca="1" si="233"/>
        <v>1.381363449920779</v>
      </c>
      <c r="CD249" s="6">
        <f t="shared" ca="1" si="234"/>
        <v>-108.21382337951678</v>
      </c>
      <c r="CE249" s="9">
        <f t="shared" ca="1" si="235"/>
        <v>-92.840171939069108</v>
      </c>
      <c r="CF249">
        <f t="shared" ca="1" si="236"/>
        <v>142.58165764252135</v>
      </c>
      <c r="CG249" s="6">
        <f t="shared" ca="1" si="237"/>
        <v>-0.75896034012193136</v>
      </c>
      <c r="CH249" s="6">
        <f t="shared" ca="1" si="238"/>
        <v>-0.65113685360452622</v>
      </c>
      <c r="CI249" s="6">
        <f t="shared" ca="1" si="239"/>
        <v>-2.4325112684503702</v>
      </c>
      <c r="CJ249" s="1">
        <f t="shared" ca="1" si="240"/>
        <v>2.8961588774511764</v>
      </c>
      <c r="CK249" s="38"/>
    </row>
    <row r="250" spans="55:89" x14ac:dyDescent="0.25">
      <c r="BC250">
        <v>4.3284165449459131</v>
      </c>
      <c r="BD250">
        <v>5.556377919681962</v>
      </c>
      <c r="BE250">
        <v>-58.620568842183388</v>
      </c>
      <c r="BF250" s="6">
        <f t="shared" si="223"/>
        <v>4.8068921066763561</v>
      </c>
      <c r="BG250" s="6">
        <f t="shared" si="224"/>
        <v>0.47847556173044303</v>
      </c>
      <c r="BH250" s="6">
        <f t="shared" si="225"/>
        <v>1.9399408095040365</v>
      </c>
      <c r="BI250" s="6">
        <f t="shared" si="226"/>
        <v>1.9399408095040365</v>
      </c>
      <c r="BJ250">
        <v>8.4300467362900839</v>
      </c>
      <c r="BK250">
        <v>-88.938179186307394</v>
      </c>
      <c r="BV250" s="38"/>
      <c r="BW250" s="6">
        <f t="shared" si="227"/>
        <v>4.1015237421866528</v>
      </c>
      <c r="BX250" s="9">
        <f t="shared" ca="1" si="228"/>
        <v>7.6506255455647336</v>
      </c>
      <c r="BY250" s="9">
        <f t="shared" ca="1" si="229"/>
        <v>43.63982481586838</v>
      </c>
      <c r="BZ250">
        <f t="shared" ca="1" si="230"/>
        <v>44.30537643670494</v>
      </c>
      <c r="CA250" s="6">
        <f t="shared" ca="1" si="231"/>
        <v>0.17267939380888653</v>
      </c>
      <c r="CB250" s="6">
        <f t="shared" ca="1" si="232"/>
        <v>0.98497808450431801</v>
      </c>
      <c r="CC250" s="6">
        <f t="shared" ca="1" si="233"/>
        <v>1.3972470453616841</v>
      </c>
      <c r="CD250" s="6">
        <f t="shared" ca="1" si="234"/>
        <v>-107.65062554556474</v>
      </c>
      <c r="CE250" s="9">
        <f t="shared" ca="1" si="235"/>
        <v>-93.63982481586838</v>
      </c>
      <c r="CF250">
        <f t="shared" ca="1" si="236"/>
        <v>142.67821828120057</v>
      </c>
      <c r="CG250" s="6">
        <f t="shared" ca="1" si="237"/>
        <v>-0.75449936817544971</v>
      </c>
      <c r="CH250" s="6">
        <f t="shared" ca="1" si="238"/>
        <v>-0.65630077207241422</v>
      </c>
      <c r="CI250" s="6">
        <f t="shared" ca="1" si="239"/>
        <v>-2.4256873029351222</v>
      </c>
      <c r="CJ250" s="1">
        <f t="shared" ca="1" si="240"/>
        <v>2.8893349119359284</v>
      </c>
      <c r="CK250" s="38"/>
    </row>
    <row r="251" spans="55:89" x14ac:dyDescent="0.25">
      <c r="BC251">
        <v>4.3458698374658562</v>
      </c>
      <c r="BD251">
        <v>7.4259141264589994</v>
      </c>
      <c r="BE251">
        <v>-60.370117498344413</v>
      </c>
      <c r="BF251" s="6">
        <f t="shared" si="223"/>
        <v>4.8347806204053878</v>
      </c>
      <c r="BG251" s="6">
        <f t="shared" si="224"/>
        <v>0.48891078293953161</v>
      </c>
      <c r="BH251" s="6">
        <f t="shared" si="225"/>
        <v>1.9120522957750046</v>
      </c>
      <c r="BI251" s="6">
        <f t="shared" si="226"/>
        <v>1.9120522957750046</v>
      </c>
      <c r="BJ251">
        <v>11.201870073235114</v>
      </c>
      <c r="BK251">
        <v>-91.067335415695311</v>
      </c>
      <c r="BV251" s="38"/>
      <c r="BW251" s="6">
        <f t="shared" si="227"/>
        <v>4.1189770347065959</v>
      </c>
      <c r="BX251" s="9">
        <f t="shared" ca="1" si="228"/>
        <v>7.0494474628516777</v>
      </c>
      <c r="BY251" s="9">
        <f t="shared" ca="1" si="229"/>
        <v>44.469159084580468</v>
      </c>
      <c r="BZ251">
        <f t="shared" ca="1" si="230"/>
        <v>45.02444690633336</v>
      </c>
      <c r="CA251" s="6">
        <f t="shared" ca="1" si="231"/>
        <v>0.15656932949153157</v>
      </c>
      <c r="CB251" s="6">
        <f t="shared" ca="1" si="232"/>
        <v>0.98766697072574627</v>
      </c>
      <c r="CC251" s="6">
        <f t="shared" ca="1" si="233"/>
        <v>1.413580147084786</v>
      </c>
      <c r="CD251" s="6">
        <f t="shared" ca="1" si="234"/>
        <v>-107.04944746285167</v>
      </c>
      <c r="CE251" s="9">
        <f t="shared" ca="1" si="235"/>
        <v>-94.469159084580468</v>
      </c>
      <c r="CF251">
        <f t="shared" ca="1" si="236"/>
        <v>142.77256816436977</v>
      </c>
      <c r="CG251" s="6">
        <f t="shared" ca="1" si="237"/>
        <v>-0.74979002506706227</v>
      </c>
      <c r="CH251" s="6">
        <f t="shared" ca="1" si="238"/>
        <v>-0.66167584080872566</v>
      </c>
      <c r="CI251" s="6">
        <f t="shared" ca="1" si="239"/>
        <v>-2.4185410106255874</v>
      </c>
      <c r="CJ251" s="1">
        <f t="shared" ca="1" si="240"/>
        <v>2.8821886196263935</v>
      </c>
      <c r="CK251" s="38"/>
    </row>
    <row r="252" spans="55:89" x14ac:dyDescent="0.25">
      <c r="BC252">
        <v>4.3633231299857993</v>
      </c>
      <c r="BD252">
        <v>9.5239308506818219</v>
      </c>
      <c r="BE252">
        <v>-62.257167295912808</v>
      </c>
      <c r="BF252" s="6">
        <f t="shared" si="223"/>
        <v>4.8641893940367886</v>
      </c>
      <c r="BG252" s="6">
        <f t="shared" si="224"/>
        <v>0.50086626405098933</v>
      </c>
      <c r="BH252" s="6">
        <f t="shared" si="225"/>
        <v>1.882643522143604</v>
      </c>
      <c r="BI252" s="6">
        <f t="shared" si="226"/>
        <v>1.882643522143604</v>
      </c>
      <c r="BJ252">
        <v>14.278544687741629</v>
      </c>
      <c r="BK252">
        <v>-93.337694204621201</v>
      </c>
      <c r="BV252" s="38"/>
      <c r="BW252" s="6">
        <f t="shared" si="227"/>
        <v>4.136430327226539</v>
      </c>
      <c r="BX252" s="9">
        <f t="shared" ca="1" si="228"/>
        <v>6.4062243915022368</v>
      </c>
      <c r="BY252" s="9">
        <f t="shared" ca="1" si="229"/>
        <v>45.330616673081799</v>
      </c>
      <c r="BZ252">
        <f t="shared" ca="1" si="230"/>
        <v>45.781049779533888</v>
      </c>
      <c r="CA252" s="6">
        <f t="shared" ca="1" si="231"/>
        <v>0.13993179322781926</v>
      </c>
      <c r="CB252" s="6">
        <f t="shared" ca="1" si="232"/>
        <v>0.99016114508904396</v>
      </c>
      <c r="CC252" s="6">
        <f t="shared" ca="1" si="233"/>
        <v>1.4304037969373395</v>
      </c>
      <c r="CD252" s="6">
        <f t="shared" ca="1" si="234"/>
        <v>-106.40622439150223</v>
      </c>
      <c r="CE252" s="9">
        <f t="shared" ca="1" si="235"/>
        <v>-95.330616673081806</v>
      </c>
      <c r="CF252">
        <f t="shared" ca="1" si="236"/>
        <v>142.86430997462168</v>
      </c>
      <c r="CG252" s="6">
        <f t="shared" ca="1" si="237"/>
        <v>-0.74480620394557717</v>
      </c>
      <c r="CH252" s="6">
        <f t="shared" ca="1" si="238"/>
        <v>-0.66728083935040372</v>
      </c>
      <c r="CI252" s="6">
        <f t="shared" ca="1" si="239"/>
        <v>-2.4110406942763225</v>
      </c>
      <c r="CJ252" s="1">
        <f t="shared" ca="1" si="240"/>
        <v>2.8746883032771287</v>
      </c>
      <c r="CK252" s="38"/>
    </row>
    <row r="253" spans="55:89" x14ac:dyDescent="0.25">
      <c r="BC253">
        <v>4.3807764225057424</v>
      </c>
      <c r="BD253">
        <v>11.892276767627306</v>
      </c>
      <c r="BE253">
        <v>-64.301141202000935</v>
      </c>
      <c r="BF253" s="6">
        <f t="shared" si="223"/>
        <v>4.8952691031289115</v>
      </c>
      <c r="BG253" s="6">
        <f t="shared" si="224"/>
        <v>0.51449268062316911</v>
      </c>
      <c r="BH253" s="6">
        <f t="shared" si="225"/>
        <v>1.8515638130514809</v>
      </c>
      <c r="BI253" s="6">
        <f t="shared" si="226"/>
        <v>1.8515638130514809</v>
      </c>
      <c r="BJ253">
        <v>17.71186836611297</v>
      </c>
      <c r="BK253">
        <v>-95.767477583513269</v>
      </c>
      <c r="BV253" s="38"/>
      <c r="BW253" s="6">
        <f t="shared" si="227"/>
        <v>4.1538836197464821</v>
      </c>
      <c r="BX253" s="9">
        <f t="shared" ca="1" si="228"/>
        <v>5.7163417619637906</v>
      </c>
      <c r="BY253" s="9">
        <f t="shared" ca="1" si="229"/>
        <v>46.226896243508001</v>
      </c>
      <c r="BZ253">
        <f t="shared" ca="1" si="230"/>
        <v>46.578992039841587</v>
      </c>
      <c r="CA253" s="6">
        <f t="shared" ca="1" si="231"/>
        <v>0.12272360374553162</v>
      </c>
      <c r="CB253" s="6">
        <f t="shared" ca="1" si="232"/>
        <v>0.99244088845820411</v>
      </c>
      <c r="CC253" s="6">
        <f t="shared" ca="1" si="233"/>
        <v>1.4477625578806579</v>
      </c>
      <c r="CD253" s="6">
        <f t="shared" ca="1" si="234"/>
        <v>-105.71634176196379</v>
      </c>
      <c r="CE253" s="9">
        <f t="shared" ca="1" si="235"/>
        <v>-96.226896243508008</v>
      </c>
      <c r="CF253">
        <f t="shared" ca="1" si="236"/>
        <v>142.95300093454208</v>
      </c>
      <c r="CG253" s="6">
        <f t="shared" ca="1" si="237"/>
        <v>-0.73951817080336157</v>
      </c>
      <c r="CH253" s="6">
        <f t="shared" ca="1" si="238"/>
        <v>-0.67313659464602726</v>
      </c>
      <c r="CI253" s="6">
        <f t="shared" ca="1" si="239"/>
        <v>-2.4031506063457111</v>
      </c>
      <c r="CJ253" s="1">
        <f t="shared" ca="1" si="240"/>
        <v>2.8667982153465172</v>
      </c>
      <c r="CK253" s="38"/>
    </row>
    <row r="254" spans="55:89" x14ac:dyDescent="0.25">
      <c r="BC254">
        <v>4.3982297150256855</v>
      </c>
      <c r="BD254">
        <v>14.583177737440613</v>
      </c>
      <c r="BE254">
        <v>-66.525381141575565</v>
      </c>
      <c r="BF254" s="6">
        <f t="shared" si="223"/>
        <v>4.9281877675338581</v>
      </c>
      <c r="BG254" s="6">
        <f t="shared" si="224"/>
        <v>0.52995805250817263</v>
      </c>
      <c r="BH254" s="6">
        <f t="shared" si="225"/>
        <v>1.8186451486465343</v>
      </c>
      <c r="BI254" s="6">
        <f t="shared" si="226"/>
        <v>1.8186451486465343</v>
      </c>
      <c r="BJ254">
        <v>21.565725124512515</v>
      </c>
      <c r="BK254">
        <v>-98.378289652145142</v>
      </c>
      <c r="BV254" s="38"/>
      <c r="BW254" s="6">
        <f t="shared" si="227"/>
        <v>4.1713369122664252</v>
      </c>
      <c r="BX254" s="9">
        <f t="shared" ca="1" si="228"/>
        <v>4.9745395041808314</v>
      </c>
      <c r="BY254" s="9">
        <f t="shared" ca="1" si="229"/>
        <v>47.160990433218295</v>
      </c>
      <c r="BZ254">
        <f t="shared" ca="1" si="230"/>
        <v>47.422621837270484</v>
      </c>
      <c r="CA254" s="6">
        <f t="shared" ca="1" si="231"/>
        <v>0.10489802780729494</v>
      </c>
      <c r="CB254" s="6">
        <f t="shared" ca="1" si="232"/>
        <v>0.99448298314357286</v>
      </c>
      <c r="CC254" s="6">
        <f t="shared" ca="1" si="233"/>
        <v>1.4657049642052087</v>
      </c>
      <c r="CD254" s="6">
        <f t="shared" ca="1" si="234"/>
        <v>-104.97453950418083</v>
      </c>
      <c r="CE254" s="9">
        <f t="shared" ca="1" si="235"/>
        <v>-97.160990433218302</v>
      </c>
      <c r="CF254">
        <f t="shared" ca="1" si="236"/>
        <v>143.03814877884417</v>
      </c>
      <c r="CG254" s="6">
        <f t="shared" ca="1" si="237"/>
        <v>-0.73389190506432866</v>
      </c>
      <c r="CH254" s="6">
        <f t="shared" ca="1" si="238"/>
        <v>-0.67926627450584531</v>
      </c>
      <c r="CI254" s="6">
        <f t="shared" ca="1" si="239"/>
        <v>-2.3948302553478107</v>
      </c>
      <c r="CJ254" s="1">
        <f t="shared" ca="1" si="240"/>
        <v>2.8584778643486168</v>
      </c>
      <c r="CK254" s="38"/>
    </row>
    <row r="255" spans="55:89" x14ac:dyDescent="0.25">
      <c r="BC255">
        <v>4.4156830075456286</v>
      </c>
      <c r="BD255">
        <v>17.583169910957658</v>
      </c>
      <c r="BE255">
        <v>-68.880608990523612</v>
      </c>
      <c r="BF255" s="6">
        <f t="shared" si="223"/>
        <v>4.9623216899201097</v>
      </c>
      <c r="BG255" s="6">
        <f t="shared" si="224"/>
        <v>0.5466386823744811</v>
      </c>
      <c r="BH255" s="6">
        <f t="shared" si="225"/>
        <v>1.7845112262602829</v>
      </c>
      <c r="BI255" s="6">
        <f t="shared" si="226"/>
        <v>1.7845112262602829</v>
      </c>
      <c r="BJ255">
        <v>25.791894831054059</v>
      </c>
      <c r="BK255">
        <v>-101.03760766569208</v>
      </c>
      <c r="BV255" s="38"/>
      <c r="BW255" s="6">
        <f t="shared" si="227"/>
        <v>4.1887902047863683</v>
      </c>
      <c r="BX255" s="9">
        <f t="shared" ca="1" si="228"/>
        <v>4.1747962789148465</v>
      </c>
      <c r="BY255" s="9">
        <f t="shared" ca="1" si="229"/>
        <v>48.136229713724155</v>
      </c>
      <c r="BZ255">
        <f t="shared" ca="1" si="230"/>
        <v>48.316928037933678</v>
      </c>
      <c r="CA255" s="6">
        <f t="shared" ca="1" si="231"/>
        <v>8.640442280678956E-2</v>
      </c>
      <c r="CB255" s="6">
        <f t="shared" ca="1" si="232"/>
        <v>0.99626014460050816</v>
      </c>
      <c r="CC255" s="6">
        <f t="shared" ca="1" si="233"/>
        <v>1.484284029247416</v>
      </c>
      <c r="CD255" s="6">
        <f t="shared" ca="1" si="234"/>
        <v>-104.17479627891484</v>
      </c>
      <c r="CE255" s="9">
        <f t="shared" ca="1" si="235"/>
        <v>-98.136229713724163</v>
      </c>
      <c r="CF255">
        <f t="shared" ca="1" si="236"/>
        <v>143.11920822230064</v>
      </c>
      <c r="CG255" s="6">
        <f t="shared" ca="1" si="237"/>
        <v>-0.72788829377189401</v>
      </c>
      <c r="CH255" s="6">
        <f t="shared" ca="1" si="238"/>
        <v>-0.68569572828612613</v>
      </c>
      <c r="CI255" s="6">
        <f t="shared" ca="1" si="239"/>
        <v>-2.3860335671382407</v>
      </c>
      <c r="CJ255" s="1">
        <f t="shared" ca="1" si="240"/>
        <v>2.8496811761390468</v>
      </c>
      <c r="CK255" s="38"/>
    </row>
    <row r="256" spans="55:89" x14ac:dyDescent="0.25">
      <c r="BC256">
        <v>4.4331363000655717</v>
      </c>
      <c r="BD256">
        <v>20.684272869101513</v>
      </c>
      <c r="BE256">
        <v>-71.135890193910726</v>
      </c>
      <c r="BF256" s="6">
        <f t="shared" si="223"/>
        <v>4.9953576901169692</v>
      </c>
      <c r="BG256" s="6">
        <f t="shared" si="224"/>
        <v>0.56222139005139748</v>
      </c>
      <c r="BH256" s="6">
        <f t="shared" si="225"/>
        <v>1.7514752260634232</v>
      </c>
      <c r="BI256" s="6">
        <f t="shared" si="226"/>
        <v>1.7514752260634232</v>
      </c>
      <c r="BJ256">
        <v>30.020067990187801</v>
      </c>
      <c r="BK256">
        <v>-103.24289732968003</v>
      </c>
      <c r="BV256" s="38"/>
      <c r="BW256" s="6">
        <f t="shared" si="227"/>
        <v>4.2062434973063114</v>
      </c>
      <c r="BX256" s="9">
        <f t="shared" ca="1" si="228"/>
        <v>3.3101885527441652</v>
      </c>
      <c r="BY256" s="9">
        <f t="shared" ca="1" si="229"/>
        <v>49.156334325957154</v>
      </c>
      <c r="BZ256">
        <f t="shared" ca="1" si="230"/>
        <v>49.267662341742906</v>
      </c>
      <c r="CA256" s="6">
        <f t="shared" ca="1" si="231"/>
        <v>6.7187854982507442E-2</v>
      </c>
      <c r="CB256" s="6">
        <f t="shared" ca="1" si="232"/>
        <v>0.99774034304665138</v>
      </c>
      <c r="CC256" s="6">
        <f t="shared" ca="1" si="233"/>
        <v>1.5035578188582142</v>
      </c>
      <c r="CD256" s="6">
        <f t="shared" ca="1" si="234"/>
        <v>-103.31018855274417</v>
      </c>
      <c r="CE256" s="9">
        <f t="shared" ca="1" si="235"/>
        <v>-99.156334325957147</v>
      </c>
      <c r="CF256">
        <f t="shared" ca="1" si="236"/>
        <v>143.19557847840323</v>
      </c>
      <c r="CG256" s="6">
        <f t="shared" ca="1" si="237"/>
        <v>-0.72146214045516366</v>
      </c>
      <c r="CH256" s="6">
        <f t="shared" ca="1" si="238"/>
        <v>-0.69245388286141751</v>
      </c>
      <c r="CI256" s="6">
        <f t="shared" ca="1" si="239"/>
        <v>-2.3767078644832931</v>
      </c>
      <c r="CJ256" s="1">
        <f t="shared" ca="1" si="240"/>
        <v>2.8403554734840992</v>
      </c>
      <c r="CK256" s="38"/>
    </row>
    <row r="257" spans="55:89" x14ac:dyDescent="0.25">
      <c r="BC257">
        <v>4.4505895925855148</v>
      </c>
      <c r="BD257">
        <v>24.272570328249707</v>
      </c>
      <c r="BE257">
        <v>-73.62686999367493</v>
      </c>
      <c r="BF257" s="6">
        <f t="shared" si="223"/>
        <v>5.0308389205712194</v>
      </c>
      <c r="BG257" s="6">
        <f t="shared" si="224"/>
        <v>0.58024932798570461</v>
      </c>
      <c r="BH257" s="6">
        <f t="shared" si="225"/>
        <v>1.715993995609173</v>
      </c>
      <c r="BI257" s="6">
        <f t="shared" si="226"/>
        <v>1.715993995609173</v>
      </c>
      <c r="BJ257">
        <v>34.825659506550586</v>
      </c>
      <c r="BK257">
        <v>-105.63793905042469</v>
      </c>
      <c r="BV257" s="38"/>
      <c r="BW257" s="6">
        <f t="shared" si="227"/>
        <v>4.2236967898262545</v>
      </c>
      <c r="BX257" s="9">
        <f t="shared" ca="1" si="228"/>
        <v>2.3727179374895897</v>
      </c>
      <c r="BY257" s="9">
        <f t="shared" ca="1" si="229"/>
        <v>50.225476133038661</v>
      </c>
      <c r="BZ257">
        <f t="shared" ca="1" si="230"/>
        <v>50.281490065443769</v>
      </c>
      <c r="CA257" s="6">
        <f t="shared" ca="1" si="231"/>
        <v>4.7188695768589667E-2</v>
      </c>
      <c r="CB257" s="6">
        <f t="shared" ca="1" si="232"/>
        <v>0.99888599299002068</v>
      </c>
      <c r="CC257" s="6">
        <f t="shared" ca="1" si="233"/>
        <v>1.5235901003683885</v>
      </c>
      <c r="CD257" s="6">
        <f t="shared" ca="1" si="234"/>
        <v>-102.3727179374896</v>
      </c>
      <c r="CE257" s="9">
        <f t="shared" ca="1" si="235"/>
        <v>-100.22547613303865</v>
      </c>
      <c r="CF257">
        <f t="shared" ca="1" si="236"/>
        <v>143.2666026818641</v>
      </c>
      <c r="CG257" s="6">
        <f t="shared" ca="1" si="237"/>
        <v>-0.71456093758862338</v>
      </c>
      <c r="CH257" s="6">
        <f t="shared" ca="1" si="238"/>
        <v>-0.69957320308347093</v>
      </c>
      <c r="CI257" s="6">
        <f t="shared" ca="1" si="239"/>
        <v>-2.3667926172919129</v>
      </c>
      <c r="CJ257" s="1">
        <f t="shared" ca="1" si="240"/>
        <v>2.8304402262927191</v>
      </c>
      <c r="CK257" s="38"/>
    </row>
    <row r="258" spans="55:89" x14ac:dyDescent="0.25">
      <c r="BC258">
        <v>4.4680428851054579</v>
      </c>
      <c r="BD258">
        <v>28.466312175738999</v>
      </c>
      <c r="BE258">
        <v>-76.397920994258797</v>
      </c>
      <c r="BF258" s="6">
        <f t="shared" si="223"/>
        <v>5.069059018159785</v>
      </c>
      <c r="BG258" s="6">
        <f t="shared" si="224"/>
        <v>0.60101613305432711</v>
      </c>
      <c r="BH258" s="6">
        <f t="shared" si="225"/>
        <v>1.6777738980206076</v>
      </c>
      <c r="BI258" s="6">
        <f t="shared" si="226"/>
        <v>1.6777738980206076</v>
      </c>
      <c r="BJ258">
        <v>40.336441603655537</v>
      </c>
      <c r="BK258">
        <v>-108.25498785374748</v>
      </c>
      <c r="BV258" s="38"/>
      <c r="BW258" s="6">
        <f t="shared" si="227"/>
        <v>4.2411500823461976</v>
      </c>
      <c r="BX258" s="9">
        <f t="shared" ca="1" si="228"/>
        <v>1.353098240342679</v>
      </c>
      <c r="BY258" s="9">
        <f t="shared" ca="1" si="229"/>
        <v>51.348352726386153</v>
      </c>
      <c r="BZ258">
        <f t="shared" ca="1" si="230"/>
        <v>51.366177612913603</v>
      </c>
      <c r="CA258" s="6">
        <f t="shared" ca="1" si="231"/>
        <v>2.634220226662352E-2</v>
      </c>
      <c r="CB258" s="6">
        <f t="shared" ca="1" si="232"/>
        <v>0.99965298397981306</v>
      </c>
      <c r="CC258" s="6">
        <f t="shared" ca="1" si="233"/>
        <v>1.5444510770498616</v>
      </c>
      <c r="CD258" s="6">
        <f t="shared" ca="1" si="234"/>
        <v>-101.35309824034267</v>
      </c>
      <c r="CE258" s="9">
        <f t="shared" ca="1" si="235"/>
        <v>-101.34835272638615</v>
      </c>
      <c r="CF258">
        <f t="shared" ca="1" si="236"/>
        <v>143.33157057420578</v>
      </c>
      <c r="CG258" s="6">
        <f t="shared" ca="1" si="237"/>
        <v>-0.70712333531481142</v>
      </c>
      <c r="CH258" s="6">
        <f t="shared" ca="1" si="238"/>
        <v>-0.70709022667072474</v>
      </c>
      <c r="CI258" s="6">
        <f t="shared" ca="1" si="239"/>
        <v>-2.3562179015390967</v>
      </c>
      <c r="CJ258" s="1">
        <f t="shared" ca="1" si="240"/>
        <v>2.8198655105399029</v>
      </c>
      <c r="CK258" s="38"/>
    </row>
    <row r="259" spans="55:89" x14ac:dyDescent="0.25">
      <c r="BC259">
        <v>4.485496177625401</v>
      </c>
      <c r="BD259">
        <v>33.420731208760436</v>
      </c>
      <c r="BE259">
        <v>-79.504641375696409</v>
      </c>
      <c r="BF259" s="6">
        <f t="shared" ref="BF259:BF322" si="241">IF(BC259&lt;&gt;"",IF(AND(BD259=0,BE259=0),0,MOD(ATAN2(BD259,BE259),2*PI())),NA())</f>
        <v>5.1103246628961649</v>
      </c>
      <c r="BG259" s="6">
        <f t="shared" ref="BG259:BG322" si="242">ABS(BC259-BF259)</f>
        <v>0.62482848527076396</v>
      </c>
      <c r="BH259" s="6">
        <f t="shared" ref="BH259:BH322" si="243">ATAN2(COS($U$13-BF259),SIN($U$13-BF259))</f>
        <v>1.6365082532842277</v>
      </c>
      <c r="BI259" s="6">
        <f t="shared" ref="BI259:BI322" si="244">ABS(BH259)</f>
        <v>1.6365082532842277</v>
      </c>
      <c r="BJ259">
        <v>46.716251186142536</v>
      </c>
      <c r="BK259">
        <v>-111.13337927201417</v>
      </c>
      <c r="BV259" s="38"/>
      <c r="BW259" s="6">
        <f t="shared" si="227"/>
        <v>4.2586033748661407</v>
      </c>
      <c r="BX259" s="9">
        <f t="shared" ca="1" si="228"/>
        <v>0.24049091424224162</v>
      </c>
      <c r="BY259" s="9">
        <f t="shared" ca="1" si="229"/>
        <v>52.530276780905936</v>
      </c>
      <c r="BZ259">
        <f t="shared" ca="1" si="230"/>
        <v>52.530827278450687</v>
      </c>
      <c r="CA259" s="6">
        <f t="shared" ca="1" si="231"/>
        <v>4.5780911267105885E-3</v>
      </c>
      <c r="CB259" s="6">
        <f t="shared" ca="1" si="232"/>
        <v>0.99998952048590761</v>
      </c>
      <c r="CC259" s="6">
        <f t="shared" ca="1" si="233"/>
        <v>1.5662182196760621</v>
      </c>
      <c r="CD259" s="6">
        <f t="shared" ca="1" si="234"/>
        <v>-100.24049091424224</v>
      </c>
      <c r="CE259" s="9">
        <f t="shared" ca="1" si="235"/>
        <v>-102.53027678090594</v>
      </c>
      <c r="CF259">
        <f t="shared" ca="1" si="236"/>
        <v>143.38972653400751</v>
      </c>
      <c r="CG259" s="6">
        <f t="shared" ca="1" si="237"/>
        <v>-0.69907721659869659</v>
      </c>
      <c r="CH259" s="6">
        <f t="shared" ca="1" si="238"/>
        <v>-0.71504618398577524</v>
      </c>
      <c r="CI259" s="6">
        <f t="shared" ca="1" si="239"/>
        <v>-2.3449024850931646</v>
      </c>
      <c r="CJ259" s="1">
        <f t="shared" ca="1" si="240"/>
        <v>2.8085500940939707</v>
      </c>
      <c r="CK259" s="38"/>
    </row>
    <row r="260" spans="55:89" x14ac:dyDescent="0.25">
      <c r="BC260">
        <v>4.5029494701453441</v>
      </c>
      <c r="BD260">
        <v>39.244314324976045</v>
      </c>
      <c r="BE260">
        <v>-82.984344875217261</v>
      </c>
      <c r="BF260" s="6">
        <f t="shared" si="241"/>
        <v>5.1541325330315022</v>
      </c>
      <c r="BG260" s="6">
        <f t="shared" si="242"/>
        <v>0.65118306288615813</v>
      </c>
      <c r="BH260" s="6">
        <f t="shared" si="243"/>
        <v>1.5927003831488904</v>
      </c>
      <c r="BI260" s="6">
        <f t="shared" si="244"/>
        <v>1.5927003831488904</v>
      </c>
      <c r="BJ260">
        <v>54.048371879925476</v>
      </c>
      <c r="BK260">
        <v>-114.28837040919475</v>
      </c>
      <c r="BV260" s="38"/>
      <c r="BW260" s="6">
        <f t="shared" si="227"/>
        <v>4.2760566673860838</v>
      </c>
      <c r="BX260" s="9">
        <f t="shared" ca="1" si="228"/>
        <v>-0.98101596519020295</v>
      </c>
      <c r="BY260" s="9">
        <f t="shared" ca="1" si="229"/>
        <v>53.800976947208028</v>
      </c>
      <c r="BZ260">
        <f t="shared" ca="1" si="230"/>
        <v>53.809920208061712</v>
      </c>
      <c r="CA260" s="6">
        <f t="shared" ca="1" si="231"/>
        <v>-1.82311358462715E-2</v>
      </c>
      <c r="CB260" s="6">
        <f t="shared" ca="1" si="232"/>
        <v>0.99983379903149638</v>
      </c>
      <c r="CC260" s="6">
        <f t="shared" ca="1" si="233"/>
        <v>1.5890284727191302</v>
      </c>
      <c r="CD260" s="6">
        <f t="shared" ca="1" si="234"/>
        <v>-99.01898403480979</v>
      </c>
      <c r="CE260" s="9">
        <f t="shared" ca="1" si="235"/>
        <v>-103.80097694720803</v>
      </c>
      <c r="CF260">
        <f t="shared" ca="1" si="236"/>
        <v>143.45522651503754</v>
      </c>
      <c r="CG260" s="6">
        <f t="shared" ca="1" si="237"/>
        <v>-0.69024312630694029</v>
      </c>
      <c r="CH260" s="6">
        <f t="shared" ca="1" si="238"/>
        <v>-0.72357751940343007</v>
      </c>
      <c r="CI260" s="6">
        <f t="shared" ca="1" si="239"/>
        <v>-2.3326213316047038</v>
      </c>
      <c r="CJ260" s="1">
        <f t="shared" ca="1" si="240"/>
        <v>2.7962689406055099</v>
      </c>
      <c r="CK260" s="38"/>
    </row>
    <row r="261" spans="55:89" x14ac:dyDescent="0.25">
      <c r="BC261">
        <v>4.5204027626652872</v>
      </c>
      <c r="BD261">
        <v>45.962290217712109</v>
      </c>
      <c r="BE261">
        <v>-86.845438563664473</v>
      </c>
      <c r="BF261" s="6">
        <f t="shared" si="241"/>
        <v>5.199155932303765</v>
      </c>
      <c r="BG261" s="6">
        <f t="shared" si="242"/>
        <v>0.67875316963847787</v>
      </c>
      <c r="BH261" s="6">
        <f t="shared" si="243"/>
        <v>1.5476769838766276</v>
      </c>
      <c r="BI261" s="6">
        <f t="shared" si="244"/>
        <v>1.5476769838766276</v>
      </c>
      <c r="BJ261">
        <v>62.293375752433896</v>
      </c>
      <c r="BK261">
        <v>-117.70291495932675</v>
      </c>
      <c r="BV261" s="38"/>
      <c r="BW261" s="6">
        <f t="shared" si="227"/>
        <v>4.2935099599060269</v>
      </c>
      <c r="BX261" s="9">
        <f t="shared" ca="1" si="228"/>
        <v>-2.3544434478068745</v>
      </c>
      <c r="BY261" s="9">
        <f t="shared" ca="1" si="229"/>
        <v>55.339968884749283</v>
      </c>
      <c r="BZ261">
        <f t="shared" ca="1" si="230"/>
        <v>55.390031234094273</v>
      </c>
      <c r="CA261" s="6">
        <f t="shared" ca="1" si="231"/>
        <v>-4.250662791389874E-2</v>
      </c>
      <c r="CB261" s="6">
        <f t="shared" ca="1" si="232"/>
        <v>0.99909618485078278</v>
      </c>
      <c r="CC261" s="6">
        <f t="shared" ca="1" si="233"/>
        <v>1.6133157653850585</v>
      </c>
      <c r="CD261" s="6">
        <f t="shared" ca="1" si="234"/>
        <v>-97.645556552193128</v>
      </c>
      <c r="CE261" s="9">
        <f t="shared" ca="1" si="235"/>
        <v>-105.33996888474928</v>
      </c>
      <c r="CF261">
        <f t="shared" ca="1" si="236"/>
        <v>143.63552401487416</v>
      </c>
      <c r="CG261" s="6">
        <f t="shared" ca="1" si="237"/>
        <v>-0.67981481059018134</v>
      </c>
      <c r="CH261" s="6">
        <f t="shared" ca="1" si="238"/>
        <v>-0.7333838171804965</v>
      </c>
      <c r="CI261" s="6">
        <f t="shared" ca="1" si="239"/>
        <v>-2.3183064182624467</v>
      </c>
      <c r="CJ261" s="1">
        <f t="shared" ca="1" si="240"/>
        <v>2.7819540272632528</v>
      </c>
      <c r="CK261" s="38"/>
    </row>
    <row r="262" spans="55:89" x14ac:dyDescent="0.25">
      <c r="BC262">
        <v>4.5378560551852303</v>
      </c>
      <c r="BD262">
        <v>53.609047983305743</v>
      </c>
      <c r="BE262">
        <v>-91.09990079543168</v>
      </c>
      <c r="BF262" s="6">
        <f t="shared" si="241"/>
        <v>5.244283236470098</v>
      </c>
      <c r="BG262" s="6">
        <f t="shared" si="242"/>
        <v>0.7064271812848677</v>
      </c>
      <c r="BH262" s="6">
        <f t="shared" si="243"/>
        <v>1.5025496797102946</v>
      </c>
      <c r="BI262" s="6">
        <f t="shared" si="244"/>
        <v>1.5025496797102946</v>
      </c>
      <c r="BJ262">
        <v>71.417409504700231</v>
      </c>
      <c r="BK262">
        <v>-121.36232904137684</v>
      </c>
      <c r="BV262" s="38"/>
      <c r="BW262" s="6">
        <f t="shared" si="227"/>
        <v>4.31096325242597</v>
      </c>
      <c r="BX262" s="9">
        <f t="shared" ca="1" si="228"/>
        <v>-3.8802849403348083</v>
      </c>
      <c r="BY262" s="9">
        <f t="shared" ca="1" si="229"/>
        <v>56.985626881561508</v>
      </c>
      <c r="BZ262">
        <f t="shared" ca="1" si="230"/>
        <v>57.117582952211258</v>
      </c>
      <c r="CA262" s="6">
        <f t="shared" ca="1" si="231"/>
        <v>-6.7935034008377734E-2</v>
      </c>
      <c r="CB262" s="6">
        <f t="shared" ca="1" si="232"/>
        <v>0.99768974694254564</v>
      </c>
      <c r="CC262" s="6">
        <f t="shared" ca="1" si="233"/>
        <v>1.6387837249028741</v>
      </c>
      <c r="CD262" s="6">
        <f t="shared" ca="1" si="234"/>
        <v>-96.119715059665197</v>
      </c>
      <c r="CE262" s="9">
        <f t="shared" ca="1" si="235"/>
        <v>-106.9856268815615</v>
      </c>
      <c r="CF262">
        <f t="shared" ca="1" si="236"/>
        <v>143.82254337339444</v>
      </c>
      <c r="CG262" s="6">
        <f t="shared" ca="1" si="237"/>
        <v>-0.66832161916451183</v>
      </c>
      <c r="CH262" s="6">
        <f t="shared" ca="1" si="238"/>
        <v>-0.74387244427880594</v>
      </c>
      <c r="CI262" s="6">
        <f t="shared" ca="1" si="239"/>
        <v>-2.3027465457606802</v>
      </c>
      <c r="CJ262" s="1">
        <f t="shared" ca="1" si="240"/>
        <v>2.7663941547614863</v>
      </c>
      <c r="CK262" s="38"/>
    </row>
    <row r="263" spans="55:89" x14ac:dyDescent="0.25">
      <c r="BC263">
        <v>4.5553093477051734</v>
      </c>
      <c r="BD263">
        <v>61.649443182588378</v>
      </c>
      <c r="BE263">
        <v>-95.418525378345564</v>
      </c>
      <c r="BF263" s="6">
        <f t="shared" si="241"/>
        <v>5.2860142153709022</v>
      </c>
      <c r="BG263" s="6">
        <f t="shared" si="242"/>
        <v>0.73070486766572884</v>
      </c>
      <c r="BH263" s="6">
        <f t="shared" si="243"/>
        <v>1.4608187008094904</v>
      </c>
      <c r="BI263" s="6">
        <f t="shared" si="244"/>
        <v>1.4608187008094904</v>
      </c>
      <c r="BJ263">
        <v>80.345587180195082</v>
      </c>
      <c r="BK263">
        <v>-124.35566411663478</v>
      </c>
      <c r="BV263" s="38"/>
      <c r="BW263" s="6">
        <f t="shared" si="227"/>
        <v>4.3284165449459131</v>
      </c>
      <c r="BX263" s="9">
        <f t="shared" ca="1" si="228"/>
        <v>-5.556377919681962</v>
      </c>
      <c r="BY263" s="9">
        <f t="shared" ca="1" si="229"/>
        <v>58.620568842183388</v>
      </c>
      <c r="BZ263">
        <f t="shared" ca="1" si="230"/>
        <v>58.88331195650845</v>
      </c>
      <c r="CA263" s="6">
        <f t="shared" ca="1" si="231"/>
        <v>-9.4362523694080491E-2</v>
      </c>
      <c r="CB263" s="6">
        <f t="shared" ca="1" si="232"/>
        <v>0.99553790190132097</v>
      </c>
      <c r="CC263" s="6">
        <f t="shared" ca="1" si="233"/>
        <v>1.6652994530865628</v>
      </c>
      <c r="CD263" s="6">
        <f t="shared" ca="1" si="234"/>
        <v>-94.443622080318036</v>
      </c>
      <c r="CE263" s="9">
        <f t="shared" ca="1" si="235"/>
        <v>-108.62056884218339</v>
      </c>
      <c r="CF263">
        <f t="shared" ca="1" si="236"/>
        <v>143.93757580023862</v>
      </c>
      <c r="CG263" s="6">
        <f t="shared" ca="1" si="237"/>
        <v>-0.65614292553731801</v>
      </c>
      <c r="CH263" s="6">
        <f t="shared" ca="1" si="238"/>
        <v>-0.75463664187960655</v>
      </c>
      <c r="CI263" s="6">
        <f t="shared" ca="1" si="239"/>
        <v>-2.2864924894990195</v>
      </c>
      <c r="CJ263" s="1">
        <f t="shared" ca="1" si="240"/>
        <v>2.7501400984998257</v>
      </c>
      <c r="CK263" s="38"/>
    </row>
    <row r="264" spans="55:89" x14ac:dyDescent="0.25">
      <c r="BC264">
        <v>4.5727626402251165</v>
      </c>
      <c r="BD264">
        <v>69.09019409402508</v>
      </c>
      <c r="BE264">
        <v>-99.548202529233848</v>
      </c>
      <c r="BF264" s="6">
        <f t="shared" si="241"/>
        <v>5.3191021050759222</v>
      </c>
      <c r="BG264" s="6">
        <f t="shared" si="242"/>
        <v>0.74633946485080571</v>
      </c>
      <c r="BH264" s="6">
        <f t="shared" si="243"/>
        <v>1.4277308111044704</v>
      </c>
      <c r="BI264" s="6">
        <f t="shared" si="244"/>
        <v>1.4277308111044704</v>
      </c>
      <c r="BJ264">
        <v>87.349140609199566</v>
      </c>
      <c r="BK264">
        <v>-125.85649894521147</v>
      </c>
      <c r="BV264" s="38"/>
      <c r="BW264" s="6">
        <f t="shared" si="227"/>
        <v>4.3458698374658562</v>
      </c>
      <c r="BX264" s="9">
        <f t="shared" ca="1" si="228"/>
        <v>-7.4259141264589994</v>
      </c>
      <c r="BY264" s="9">
        <f t="shared" ca="1" si="229"/>
        <v>60.370117498344413</v>
      </c>
      <c r="BZ264">
        <f t="shared" ca="1" si="230"/>
        <v>60.825120529082831</v>
      </c>
      <c r="CA264" s="6">
        <f t="shared" ca="1" si="231"/>
        <v>-0.12208630351843502</v>
      </c>
      <c r="CB264" s="6">
        <f t="shared" ca="1" si="232"/>
        <v>0.99251948821834457</v>
      </c>
      <c r="CC264" s="6">
        <f t="shared" ca="1" si="233"/>
        <v>1.6931879668155947</v>
      </c>
      <c r="CD264" s="6">
        <f t="shared" ca="1" si="234"/>
        <v>-92.574085873540994</v>
      </c>
      <c r="CE264" s="9">
        <f t="shared" ca="1" si="235"/>
        <v>-110.37011749834441</v>
      </c>
      <c r="CF264">
        <f t="shared" ca="1" si="236"/>
        <v>144.0538934285363</v>
      </c>
      <c r="CG264" s="6">
        <f t="shared" ca="1" si="237"/>
        <v>-0.64263508378873546</v>
      </c>
      <c r="CH264" s="6">
        <f t="shared" ca="1" si="238"/>
        <v>-0.76617240167200296</v>
      </c>
      <c r="CI264" s="6">
        <f t="shared" ca="1" si="239"/>
        <v>-2.268728935802431</v>
      </c>
      <c r="CJ264" s="1">
        <f t="shared" ca="1" si="240"/>
        <v>2.7323765448032371</v>
      </c>
      <c r="CK264" s="38"/>
    </row>
    <row r="265" spans="55:89" x14ac:dyDescent="0.25">
      <c r="BC265">
        <v>4.5902159327450596</v>
      </c>
      <c r="BD265">
        <v>76.75665974707951</v>
      </c>
      <c r="BE265">
        <v>-103.88858712798874</v>
      </c>
      <c r="BF265" s="6">
        <f t="shared" si="241"/>
        <v>5.3487069553022195</v>
      </c>
      <c r="BG265" s="6">
        <f t="shared" si="242"/>
        <v>0.75849102255715994</v>
      </c>
      <c r="BH265" s="6">
        <f t="shared" si="243"/>
        <v>1.3981259608781731</v>
      </c>
      <c r="BI265" s="6">
        <f t="shared" si="244"/>
        <v>1.3981259608781731</v>
      </c>
      <c r="BJ265">
        <v>93.585011432936398</v>
      </c>
      <c r="BK265">
        <v>-126.66542090498356</v>
      </c>
      <c r="BV265" s="38"/>
      <c r="BW265" s="6">
        <f t="shared" si="227"/>
        <v>4.3633231299857993</v>
      </c>
      <c r="BX265" s="9">
        <f t="shared" ca="1" si="228"/>
        <v>-9.5239308506818219</v>
      </c>
      <c r="BY265" s="9">
        <f t="shared" ca="1" si="229"/>
        <v>62.257167295912808</v>
      </c>
      <c r="BZ265">
        <f t="shared" ca="1" si="230"/>
        <v>62.981426933341581</v>
      </c>
      <c r="CA265" s="6">
        <f t="shared" ca="1" si="231"/>
        <v>-0.15121808625837868</v>
      </c>
      <c r="CB265" s="6">
        <f t="shared" ca="1" si="232"/>
        <v>0.98850042508253555</v>
      </c>
      <c r="CC265" s="6">
        <f t="shared" ca="1" si="233"/>
        <v>1.722596740446996</v>
      </c>
      <c r="CD265" s="6">
        <f t="shared" ca="1" si="234"/>
        <v>-90.476069149318178</v>
      </c>
      <c r="CE265" s="9">
        <f t="shared" ca="1" si="235"/>
        <v>-112.25716729591281</v>
      </c>
      <c r="CF265">
        <f t="shared" ca="1" si="236"/>
        <v>144.17902308593563</v>
      </c>
      <c r="CG265" s="6">
        <f t="shared" ca="1" si="237"/>
        <v>-0.62752588561646272</v>
      </c>
      <c r="CH265" s="6">
        <f t="shared" ca="1" si="238"/>
        <v>-0.77859569924401351</v>
      </c>
      <c r="CI265" s="6">
        <f t="shared" ca="1" si="239"/>
        <v>-2.2491677908250081</v>
      </c>
      <c r="CJ265" s="1">
        <f t="shared" ca="1" si="240"/>
        <v>2.7128153998258142</v>
      </c>
      <c r="CK265" s="38"/>
    </row>
    <row r="266" spans="55:89" x14ac:dyDescent="0.25">
      <c r="BC266">
        <v>4.6076692252650027</v>
      </c>
      <c r="BD266">
        <v>85.439492878937216</v>
      </c>
      <c r="BE266">
        <v>-108.77492560193946</v>
      </c>
      <c r="BF266" s="6">
        <f t="shared" si="241"/>
        <v>5.3782074548535528</v>
      </c>
      <c r="BG266" s="6">
        <f t="shared" si="242"/>
        <v>0.77053822958855012</v>
      </c>
      <c r="BH266" s="6">
        <f t="shared" si="243"/>
        <v>1.3686254613268398</v>
      </c>
      <c r="BI266" s="6">
        <f t="shared" si="244"/>
        <v>1.3686254613268398</v>
      </c>
      <c r="BJ266">
        <v>100.07620738155984</v>
      </c>
      <c r="BK266">
        <v>-127.40925356237723</v>
      </c>
      <c r="BV266" s="38"/>
      <c r="BW266" s="6">
        <f t="shared" si="227"/>
        <v>4.3807764225057424</v>
      </c>
      <c r="BX266" s="9">
        <f t="shared" ca="1" si="228"/>
        <v>-11.892276767627306</v>
      </c>
      <c r="BY266" s="9">
        <f t="shared" ca="1" si="229"/>
        <v>64.301141202000935</v>
      </c>
      <c r="BZ266">
        <f t="shared" ca="1" si="230"/>
        <v>65.391612662462379</v>
      </c>
      <c r="CA266" s="6">
        <f t="shared" ca="1" si="231"/>
        <v>-0.18186241757047214</v>
      </c>
      <c r="CB266" s="6">
        <f t="shared" ca="1" si="232"/>
        <v>0.9833239858131313</v>
      </c>
      <c r="CC266" s="6">
        <f t="shared" ca="1" si="233"/>
        <v>1.7536764495391184</v>
      </c>
      <c r="CD266" s="6">
        <f t="shared" ca="1" si="234"/>
        <v>-88.107723232372692</v>
      </c>
      <c r="CE266" s="9">
        <f t="shared" ca="1" si="235"/>
        <v>-114.30114120200093</v>
      </c>
      <c r="CF266">
        <f t="shared" ca="1" si="236"/>
        <v>144.31812697396035</v>
      </c>
      <c r="CG266" s="6">
        <f t="shared" ca="1" si="237"/>
        <v>-0.61051044023229439</v>
      </c>
      <c r="CH266" s="6">
        <f t="shared" ca="1" si="238"/>
        <v>-0.79200820852272114</v>
      </c>
      <c r="CI266" s="6">
        <f t="shared" ca="1" si="239"/>
        <v>-2.227501246317126</v>
      </c>
      <c r="CJ266" s="1">
        <f t="shared" ca="1" si="240"/>
        <v>2.6911488553179321</v>
      </c>
      <c r="CK266" s="38"/>
    </row>
    <row r="267" spans="55:89" x14ac:dyDescent="0.25">
      <c r="BC267">
        <v>4.6251225177849458</v>
      </c>
      <c r="BD267">
        <v>95.335635823243678</v>
      </c>
      <c r="BE267">
        <v>-114.32096092898935</v>
      </c>
      <c r="BF267" s="6">
        <f t="shared" si="241"/>
        <v>5.4074790619227642</v>
      </c>
      <c r="BG267" s="6">
        <f t="shared" si="242"/>
        <v>0.78235654413781841</v>
      </c>
      <c r="BH267" s="6">
        <f t="shared" si="243"/>
        <v>1.3393538542576284</v>
      </c>
      <c r="BI267" s="6">
        <f t="shared" si="244"/>
        <v>1.3393538542576284</v>
      </c>
      <c r="BJ267">
        <v>106.80546253406204</v>
      </c>
      <c r="BK267">
        <v>-128.07491137938382</v>
      </c>
      <c r="BV267" s="38"/>
      <c r="BW267" s="6">
        <f t="shared" si="227"/>
        <v>4.3982297150256855</v>
      </c>
      <c r="BX267" s="9">
        <f t="shared" ca="1" si="228"/>
        <v>-14.583177737440613</v>
      </c>
      <c r="BY267" s="9">
        <f t="shared" ca="1" si="229"/>
        <v>66.525381141575565</v>
      </c>
      <c r="BZ267">
        <f t="shared" ca="1" si="230"/>
        <v>68.10503218524812</v>
      </c>
      <c r="CA267" s="6">
        <f t="shared" ca="1" si="231"/>
        <v>-0.21412775634220169</v>
      </c>
      <c r="CB267" s="6">
        <f t="shared" ca="1" si="232"/>
        <v>0.9768056633557437</v>
      </c>
      <c r="CC267" s="6">
        <f t="shared" ca="1" si="233"/>
        <v>1.7865951139440646</v>
      </c>
      <c r="CD267" s="6">
        <f t="shared" ca="1" si="234"/>
        <v>-85.416822262559393</v>
      </c>
      <c r="CE267" s="9">
        <f t="shared" ca="1" si="235"/>
        <v>-116.52538114157556</v>
      </c>
      <c r="CF267">
        <f t="shared" ca="1" si="236"/>
        <v>144.47905722153337</v>
      </c>
      <c r="CG267" s="6">
        <f t="shared" ca="1" si="237"/>
        <v>-0.59120556228151211</v>
      </c>
      <c r="CH267" s="6">
        <f t="shared" ca="1" si="238"/>
        <v>-0.80652091301304851</v>
      </c>
      <c r="CI267" s="6">
        <f t="shared" ca="1" si="239"/>
        <v>-2.2033491188857099</v>
      </c>
      <c r="CJ267" s="1">
        <f t="shared" ca="1" si="240"/>
        <v>2.6669967278865161</v>
      </c>
      <c r="CK267" s="38"/>
    </row>
    <row r="268" spans="55:89" x14ac:dyDescent="0.25">
      <c r="BC268">
        <v>4.6425758103048889</v>
      </c>
      <c r="BD268">
        <v>102.36544566355445</v>
      </c>
      <c r="BE268">
        <v>-115.91289318314683</v>
      </c>
      <c r="BF268" s="6">
        <f t="shared" si="241"/>
        <v>5.4358016418470969</v>
      </c>
      <c r="BG268" s="6">
        <f t="shared" si="242"/>
        <v>0.79322583154220805</v>
      </c>
      <c r="BH268" s="6">
        <f t="shared" si="243"/>
        <v>1.3110312743332957</v>
      </c>
      <c r="BI268" s="6">
        <f t="shared" si="244"/>
        <v>1.3110312743332957</v>
      </c>
      <c r="BJ268">
        <v>113.73938407061605</v>
      </c>
      <c r="BK268">
        <v>-128.79210353682981</v>
      </c>
      <c r="BV268" s="38"/>
      <c r="BW268" s="6">
        <f t="shared" si="227"/>
        <v>4.4156830075456286</v>
      </c>
      <c r="BX268" s="9">
        <f t="shared" ca="1" si="228"/>
        <v>-17.583169910957658</v>
      </c>
      <c r="BY268" s="9">
        <f t="shared" ca="1" si="229"/>
        <v>68.880608990523612</v>
      </c>
      <c r="BZ268">
        <f t="shared" ca="1" si="230"/>
        <v>71.089423679074855</v>
      </c>
      <c r="CA268" s="6">
        <f t="shared" ca="1" si="231"/>
        <v>-0.2473387601274542</v>
      </c>
      <c r="CB268" s="6">
        <f t="shared" ca="1" si="232"/>
        <v>0.96892906744436857</v>
      </c>
      <c r="CC268" s="6">
        <f t="shared" ca="1" si="233"/>
        <v>1.8207290363303161</v>
      </c>
      <c r="CD268" s="6">
        <f t="shared" ca="1" si="234"/>
        <v>-82.41683008904235</v>
      </c>
      <c r="CE268" s="9">
        <f t="shared" ca="1" si="235"/>
        <v>-118.88060899052361</v>
      </c>
      <c r="CF268">
        <f t="shared" ca="1" si="236"/>
        <v>144.65522139170724</v>
      </c>
      <c r="CG268" s="6">
        <f t="shared" ca="1" si="237"/>
        <v>-0.56974666587297562</v>
      </c>
      <c r="CH268" s="6">
        <f t="shared" ca="1" si="238"/>
        <v>-0.82182037984381229</v>
      </c>
      <c r="CI268" s="6">
        <f t="shared" ca="1" si="239"/>
        <v>-2.1769938893288776</v>
      </c>
      <c r="CJ268" s="1">
        <f t="shared" ca="1" si="240"/>
        <v>2.6406414983296838</v>
      </c>
      <c r="CK268" s="38"/>
    </row>
    <row r="269" spans="55:89" x14ac:dyDescent="0.25">
      <c r="BC269">
        <v>4.660029102824832</v>
      </c>
      <c r="BD269">
        <v>108.73863448207527</v>
      </c>
      <c r="BE269">
        <v>-116.49142804843667</v>
      </c>
      <c r="BF269" s="6">
        <f t="shared" si="241"/>
        <v>5.4633790648341893</v>
      </c>
      <c r="BG269" s="6">
        <f t="shared" si="242"/>
        <v>0.80334996200935738</v>
      </c>
      <c r="BH269" s="6">
        <f t="shared" si="243"/>
        <v>1.2834538513462033</v>
      </c>
      <c r="BI269" s="6">
        <f t="shared" si="244"/>
        <v>1.2834538513462033</v>
      </c>
      <c r="BJ269">
        <v>120.82070498008363</v>
      </c>
      <c r="BK269">
        <v>-129.43492005381853</v>
      </c>
      <c r="BV269" s="38"/>
      <c r="BW269" s="6">
        <f t="shared" si="227"/>
        <v>4.4331363000655717</v>
      </c>
      <c r="BX269" s="9">
        <f t="shared" ca="1" si="228"/>
        <v>-20.684272869101513</v>
      </c>
      <c r="BY269" s="9">
        <f t="shared" ca="1" si="229"/>
        <v>71.135890193910726</v>
      </c>
      <c r="BZ269">
        <f t="shared" ca="1" si="230"/>
        <v>74.08207622497882</v>
      </c>
      <c r="CA269" s="6">
        <f t="shared" ca="1" si="231"/>
        <v>-0.27920752121317083</v>
      </c>
      <c r="CB269" s="6">
        <f t="shared" ca="1" si="232"/>
        <v>0.96023078481060842</v>
      </c>
      <c r="CC269" s="6">
        <f t="shared" ca="1" si="233"/>
        <v>1.8537650365271761</v>
      </c>
      <c r="CD269" s="6">
        <f t="shared" ca="1" si="234"/>
        <v>-79.315727130898495</v>
      </c>
      <c r="CE269" s="9">
        <f t="shared" ca="1" si="235"/>
        <v>-121.13589019391073</v>
      </c>
      <c r="CF269">
        <f t="shared" ca="1" si="236"/>
        <v>144.79257047022247</v>
      </c>
      <c r="CG269" s="6">
        <f t="shared" ca="1" si="237"/>
        <v>-0.54778865292132017</v>
      </c>
      <c r="CH269" s="6">
        <f t="shared" ca="1" si="238"/>
        <v>-0.83661675319745155</v>
      </c>
      <c r="CI269" s="6">
        <f t="shared" ca="1" si="239"/>
        <v>-2.1505150683339238</v>
      </c>
      <c r="CJ269" s="1">
        <f t="shared" ca="1" si="240"/>
        <v>2.61416267733473</v>
      </c>
      <c r="CK269" s="38"/>
    </row>
    <row r="270" spans="55:89" x14ac:dyDescent="0.25">
      <c r="BC270">
        <v>4.6774823953447751</v>
      </c>
      <c r="BD270">
        <v>115.15709344261987</v>
      </c>
      <c r="BE270">
        <v>-116.95338754824375</v>
      </c>
      <c r="BF270" s="6">
        <f t="shared" si="241"/>
        <v>5.4900483366489485</v>
      </c>
      <c r="BG270" s="6">
        <f t="shared" si="242"/>
        <v>0.81256594130417348</v>
      </c>
      <c r="BH270" s="6">
        <f t="shared" si="243"/>
        <v>1.2567845795314441</v>
      </c>
      <c r="BI270" s="6">
        <f t="shared" si="244"/>
        <v>1.2567845795314441</v>
      </c>
      <c r="BJ270">
        <v>127.9523260473554</v>
      </c>
      <c r="BK270">
        <v>-129.94820838693749</v>
      </c>
      <c r="BV270" s="38"/>
      <c r="BW270" s="6">
        <f t="shared" si="227"/>
        <v>4.4505895925855148</v>
      </c>
      <c r="BX270" s="9">
        <f t="shared" ca="1" si="228"/>
        <v>-24.272570328249707</v>
      </c>
      <c r="BY270" s="9">
        <f t="shared" ca="1" si="229"/>
        <v>73.62686999367493</v>
      </c>
      <c r="BZ270">
        <f t="shared" ca="1" si="230"/>
        <v>77.524664819690372</v>
      </c>
      <c r="CA270" s="6">
        <f t="shared" ca="1" si="231"/>
        <v>-0.31309481162806335</v>
      </c>
      <c r="CB270" s="6">
        <f t="shared" ca="1" si="232"/>
        <v>0.94972187451463252</v>
      </c>
      <c r="CC270" s="6">
        <f t="shared" ca="1" si="233"/>
        <v>1.8892462669814265</v>
      </c>
      <c r="CD270" s="6">
        <f t="shared" ca="1" si="234"/>
        <v>-75.727429671750286</v>
      </c>
      <c r="CE270" s="9">
        <f t="shared" ca="1" si="235"/>
        <v>-123.62686999367493</v>
      </c>
      <c r="CF270">
        <f t="shared" ca="1" si="236"/>
        <v>144.97671050593914</v>
      </c>
      <c r="CG270" s="6">
        <f t="shared" ca="1" si="237"/>
        <v>-0.52234203278221036</v>
      </c>
      <c r="CH270" s="6">
        <f t="shared" ca="1" si="238"/>
        <v>-0.85273606748451103</v>
      </c>
      <c r="CI270" s="6">
        <f t="shared" ca="1" si="239"/>
        <v>-2.120391466510374</v>
      </c>
      <c r="CJ270" s="1">
        <f t="shared" ca="1" si="240"/>
        <v>2.5840390755111802</v>
      </c>
      <c r="CK270" s="38"/>
    </row>
    <row r="271" spans="55:89" x14ac:dyDescent="0.25">
      <c r="BC271">
        <v>4.6949356878647182</v>
      </c>
      <c r="BD271">
        <v>121.5705001583481</v>
      </c>
      <c r="BE271">
        <v>-117.28792256750572</v>
      </c>
      <c r="BF271" s="6">
        <f t="shared" si="241"/>
        <v>5.5157145785170911</v>
      </c>
      <c r="BG271" s="6">
        <f t="shared" si="242"/>
        <v>0.82077889065237297</v>
      </c>
      <c r="BH271" s="6">
        <f t="shared" si="243"/>
        <v>1.2311183376633015</v>
      </c>
      <c r="BI271" s="6">
        <f t="shared" si="244"/>
        <v>1.2311183376633015</v>
      </c>
      <c r="BJ271">
        <v>135.07833350927567</v>
      </c>
      <c r="BK271">
        <v>-130.31991396389523</v>
      </c>
      <c r="BV271" s="38"/>
      <c r="BW271" s="6">
        <f t="shared" ref="BW271:BW334" si="245">BC258</f>
        <v>4.4680428851054579</v>
      </c>
      <c r="BX271" s="9">
        <f t="shared" ca="1" si="228"/>
        <v>-28.466312175738999</v>
      </c>
      <c r="BY271" s="9">
        <f t="shared" ca="1" si="229"/>
        <v>76.397920994258797</v>
      </c>
      <c r="BZ271">
        <f t="shared" ca="1" si="230"/>
        <v>81.528971912637502</v>
      </c>
      <c r="CA271" s="6">
        <f t="shared" ca="1" si="231"/>
        <v>-0.34915578484470672</v>
      </c>
      <c r="CB271" s="6">
        <f t="shared" ca="1" si="232"/>
        <v>0.9370646924889855</v>
      </c>
      <c r="CC271" s="6">
        <f t="shared" ca="1" si="233"/>
        <v>1.9274663645699919</v>
      </c>
      <c r="CD271" s="6">
        <f t="shared" ca="1" si="234"/>
        <v>-71.533687824260994</v>
      </c>
      <c r="CE271" s="9">
        <f t="shared" ca="1" si="235"/>
        <v>-126.3979209942588</v>
      </c>
      <c r="CF271">
        <f t="shared" ca="1" si="236"/>
        <v>145.23602488848871</v>
      </c>
      <c r="CG271" s="6">
        <f t="shared" ca="1" si="237"/>
        <v>-0.4925340519281225</v>
      </c>
      <c r="CH271" s="6">
        <f t="shared" ca="1" si="238"/>
        <v>-0.87029317341414647</v>
      </c>
      <c r="CI271" s="6">
        <f t="shared" ca="1" si="239"/>
        <v>-2.0857954108872265</v>
      </c>
      <c r="CJ271" s="1">
        <f t="shared" ca="1" si="240"/>
        <v>2.5494430198880327</v>
      </c>
      <c r="CK271" s="38"/>
    </row>
    <row r="272" spans="55:89" x14ac:dyDescent="0.25">
      <c r="BC272">
        <v>4.7123889803846613</v>
      </c>
      <c r="BD272">
        <v>127.97999999998947</v>
      </c>
      <c r="BE272">
        <v>-117.49505599355251</v>
      </c>
      <c r="BF272" s="6">
        <f t="shared" si="241"/>
        <v>5.5404740666073833</v>
      </c>
      <c r="BG272" s="6">
        <f t="shared" si="242"/>
        <v>0.82808508622272203</v>
      </c>
      <c r="BH272" s="6">
        <f t="shared" si="243"/>
        <v>1.2063588495730093</v>
      </c>
      <c r="BI272" s="6">
        <f t="shared" si="244"/>
        <v>1.2063588495730093</v>
      </c>
      <c r="BJ272">
        <v>142.19999999998831</v>
      </c>
      <c r="BK272">
        <v>-130.55006221505835</v>
      </c>
      <c r="BV272" s="38"/>
      <c r="BW272" s="6">
        <f t="shared" si="245"/>
        <v>4.485496177625401</v>
      </c>
      <c r="BX272" s="9">
        <f t="shared" ref="BX272:BX335" ca="1" si="246">$BW$5-BD259</f>
        <v>-33.420731208760436</v>
      </c>
      <c r="BY272" s="9">
        <f t="shared" ref="BY272:BY335" ca="1" si="247">$BX$5-BE259</f>
        <v>79.504641375696409</v>
      </c>
      <c r="BZ272">
        <f t="shared" ref="BZ272:BZ335" ca="1" si="248">SQRT(POWER(BX272,2)+POWER(BY272,2))</f>
        <v>86.243453518550098</v>
      </c>
      <c r="CA272" s="6">
        <f t="shared" ref="CA272:CA335" ca="1" si="249">BX272/BZ272</f>
        <v>-0.38751615160647496</v>
      </c>
      <c r="CB272" s="6">
        <f t="shared" ref="CB272:CB335" ca="1" si="250">BY272/BZ272</f>
        <v>0.92186291401927412</v>
      </c>
      <c r="CC272" s="6">
        <f t="shared" ref="CC272:CC335" ca="1" si="251">ATAN2(CA272,CB272)</f>
        <v>1.9687320093063723</v>
      </c>
      <c r="CD272" s="6">
        <f t="shared" ref="CD272:CD335" ca="1" si="252">$BW$9-BX272</f>
        <v>-66.579268791239571</v>
      </c>
      <c r="CE272" s="9">
        <f t="shared" ref="CE272:CE335" ca="1" si="253">$BX$9-BY272</f>
        <v>-129.50464137569639</v>
      </c>
      <c r="CF272">
        <f t="shared" ref="CF272:CF335" ca="1" si="254">SQRT(POWER(CD272,2)+POWER(CE272,2))</f>
        <v>145.61679563369006</v>
      </c>
      <c r="CG272" s="6">
        <f t="shared" ref="CG272:CG335" ca="1" si="255">CD272/CF272</f>
        <v>-0.45722245501627917</v>
      </c>
      <c r="CH272" s="6">
        <f t="shared" ref="CH272:CH335" ca="1" si="256">CE272/CF272</f>
        <v>-0.88935236359324243</v>
      </c>
      <c r="CI272" s="6">
        <f t="shared" ref="CI272:CI335" ca="1" si="257">ATAN2(CG272,CH272)</f>
        <v>-2.045665899242513</v>
      </c>
      <c r="CJ272" s="1">
        <f t="shared" ref="CJ272:CJ335" ca="1" si="258">ATAN2(COS($U$13-CI272),SIN($U$13-CI272))</f>
        <v>2.5093135082433191</v>
      </c>
      <c r="CK272" s="38"/>
    </row>
    <row r="273" spans="55:89" x14ac:dyDescent="0.25">
      <c r="BC273">
        <v>4.7298422729046044</v>
      </c>
      <c r="BD273">
        <v>134.38949984163094</v>
      </c>
      <c r="BE273">
        <v>-117.28792256801674</v>
      </c>
      <c r="BF273" s="6">
        <f t="shared" si="241"/>
        <v>5.5656332342648085</v>
      </c>
      <c r="BG273" s="6">
        <f t="shared" si="242"/>
        <v>0.83579096136020414</v>
      </c>
      <c r="BH273" s="6">
        <f t="shared" si="243"/>
        <v>1.1811996819155841</v>
      </c>
      <c r="BI273" s="6">
        <f t="shared" si="244"/>
        <v>1.1811996819155841</v>
      </c>
      <c r="BJ273">
        <v>149.32166649070103</v>
      </c>
      <c r="BK273">
        <v>-130.31991396446304</v>
      </c>
      <c r="BV273" s="38"/>
      <c r="BW273" s="6">
        <f t="shared" si="245"/>
        <v>4.5029494701453441</v>
      </c>
      <c r="BX273" s="9">
        <f t="shared" ca="1" si="246"/>
        <v>-39.244314324976045</v>
      </c>
      <c r="BY273" s="9">
        <f t="shared" ca="1" si="247"/>
        <v>82.984344875217261</v>
      </c>
      <c r="BZ273">
        <f t="shared" ca="1" si="248"/>
        <v>91.79606582640956</v>
      </c>
      <c r="CA273" s="6">
        <f t="shared" ca="1" si="249"/>
        <v>-0.42751629900118798</v>
      </c>
      <c r="CB273" s="6">
        <f t="shared" ca="1" si="250"/>
        <v>0.90400764050329063</v>
      </c>
      <c r="CC273" s="6">
        <f t="shared" ca="1" si="251"/>
        <v>2.0125398794417091</v>
      </c>
      <c r="CD273" s="6">
        <f t="shared" ca="1" si="252"/>
        <v>-60.755685675023955</v>
      </c>
      <c r="CE273" s="9">
        <f t="shared" ca="1" si="253"/>
        <v>-132.98434487521726</v>
      </c>
      <c r="CF273">
        <f t="shared" ca="1" si="254"/>
        <v>146.20564053323332</v>
      </c>
      <c r="CG273" s="6">
        <f t="shared" ca="1" si="255"/>
        <v>-0.41554953320158577</v>
      </c>
      <c r="CH273" s="6">
        <f t="shared" ca="1" si="256"/>
        <v>-0.90957055001574449</v>
      </c>
      <c r="CI273" s="6">
        <f t="shared" ca="1" si="257"/>
        <v>-1.9993432142060992</v>
      </c>
      <c r="CJ273" s="1">
        <f t="shared" ca="1" si="258"/>
        <v>2.4629908232069053</v>
      </c>
      <c r="CK273" s="38"/>
    </row>
    <row r="274" spans="55:89" x14ac:dyDescent="0.25">
      <c r="BC274">
        <v>4.7472955654245474</v>
      </c>
      <c r="BD274">
        <v>140.80290655735911</v>
      </c>
      <c r="BE274">
        <v>-116.95338754823071</v>
      </c>
      <c r="BF274" s="6">
        <f t="shared" si="241"/>
        <v>5.5900518369423509</v>
      </c>
      <c r="BG274" s="6">
        <f t="shared" si="242"/>
        <v>0.84275627151780341</v>
      </c>
      <c r="BH274" s="6">
        <f t="shared" si="243"/>
        <v>1.1567810792380417</v>
      </c>
      <c r="BI274" s="6">
        <f t="shared" si="244"/>
        <v>1.1567810792380417</v>
      </c>
      <c r="BJ274">
        <v>156.44767395262122</v>
      </c>
      <c r="BK274">
        <v>-129.948208386923</v>
      </c>
      <c r="BV274" s="38"/>
      <c r="BW274" s="6">
        <f t="shared" si="245"/>
        <v>4.5204027626652872</v>
      </c>
      <c r="BX274" s="9">
        <f t="shared" ca="1" si="246"/>
        <v>-45.962290217712109</v>
      </c>
      <c r="BY274" s="9">
        <f t="shared" ca="1" si="247"/>
        <v>86.845438563664473</v>
      </c>
      <c r="BZ274">
        <f t="shared" ca="1" si="248"/>
        <v>98.258141247290112</v>
      </c>
      <c r="CA274" s="6">
        <f t="shared" ca="1" si="249"/>
        <v>-0.46777080895553491</v>
      </c>
      <c r="CB274" s="6">
        <f t="shared" ca="1" si="250"/>
        <v>0.88384980075184971</v>
      </c>
      <c r="CC274" s="6">
        <f t="shared" ca="1" si="251"/>
        <v>2.0575632787139719</v>
      </c>
      <c r="CD274" s="6">
        <f t="shared" ca="1" si="252"/>
        <v>-54.037709782287891</v>
      </c>
      <c r="CE274" s="9">
        <f t="shared" ca="1" si="253"/>
        <v>-136.84543856366446</v>
      </c>
      <c r="CF274">
        <f t="shared" ca="1" si="254"/>
        <v>147.12833899081588</v>
      </c>
      <c r="CG274" s="6">
        <f t="shared" ca="1" si="255"/>
        <v>-0.36728281004831476</v>
      </c>
      <c r="CH274" s="6">
        <f t="shared" ca="1" si="256"/>
        <v>-0.93010931478133996</v>
      </c>
      <c r="CI274" s="6">
        <f t="shared" ca="1" si="257"/>
        <v>-1.9468822901042231</v>
      </c>
      <c r="CJ274" s="1">
        <f t="shared" ca="1" si="258"/>
        <v>2.410529899105029</v>
      </c>
      <c r="CK274" s="38"/>
    </row>
    <row r="275" spans="55:89" x14ac:dyDescent="0.25">
      <c r="BC275">
        <v>4.7647488579444905</v>
      </c>
      <c r="BD275">
        <v>147.22136551790368</v>
      </c>
      <c r="BE275">
        <v>-116.49142804844396</v>
      </c>
      <c r="BF275" s="6">
        <f t="shared" si="241"/>
        <v>5.6137920127384282</v>
      </c>
      <c r="BG275" s="6">
        <f t="shared" si="242"/>
        <v>0.84904315479393766</v>
      </c>
      <c r="BH275" s="6">
        <f t="shared" si="243"/>
        <v>1.1330409034419644</v>
      </c>
      <c r="BI275" s="6">
        <f t="shared" si="244"/>
        <v>1.1330409034419644</v>
      </c>
      <c r="BJ275">
        <v>163.57929501989298</v>
      </c>
      <c r="BK275">
        <v>-129.43492005382663</v>
      </c>
      <c r="BV275" s="38"/>
      <c r="BW275" s="6">
        <f t="shared" si="245"/>
        <v>4.5378560551852303</v>
      </c>
      <c r="BX275" s="9">
        <f t="shared" ca="1" si="246"/>
        <v>-53.609047983305743</v>
      </c>
      <c r="BY275" s="9">
        <f t="shared" ca="1" si="247"/>
        <v>91.09990079543168</v>
      </c>
      <c r="BZ275">
        <f t="shared" ca="1" si="248"/>
        <v>105.70298931730299</v>
      </c>
      <c r="CA275" s="6">
        <f t="shared" ca="1" si="249"/>
        <v>-0.50716681079264647</v>
      </c>
      <c r="CB275" s="6">
        <f t="shared" ca="1" si="250"/>
        <v>0.86184791351514911</v>
      </c>
      <c r="CC275" s="6">
        <f t="shared" ca="1" si="251"/>
        <v>2.1026905828803049</v>
      </c>
      <c r="CD275" s="6">
        <f t="shared" ca="1" si="252"/>
        <v>-46.390952016694257</v>
      </c>
      <c r="CE275" s="9">
        <f t="shared" ca="1" si="253"/>
        <v>-141.09990079543167</v>
      </c>
      <c r="CF275">
        <f t="shared" ca="1" si="254"/>
        <v>148.53047644674103</v>
      </c>
      <c r="CG275" s="6">
        <f t="shared" ca="1" si="255"/>
        <v>-0.31233288363771444</v>
      </c>
      <c r="CH275" s="6">
        <f t="shared" ca="1" si="256"/>
        <v>-0.94997272055493764</v>
      </c>
      <c r="CI275" s="6">
        <f t="shared" ca="1" si="257"/>
        <v>-1.8884441086224244</v>
      </c>
      <c r="CJ275" s="1">
        <f t="shared" ca="1" si="258"/>
        <v>2.3520917176232299</v>
      </c>
      <c r="CK275" s="38"/>
    </row>
    <row r="276" spans="55:89" x14ac:dyDescent="0.25">
      <c r="BC276">
        <v>4.7822021504644336</v>
      </c>
      <c r="BD276">
        <v>153.59455433642432</v>
      </c>
      <c r="BE276">
        <v>-115.91289318306748</v>
      </c>
      <c r="BF276" s="6">
        <f t="shared" si="241"/>
        <v>5.636703374290855</v>
      </c>
      <c r="BG276" s="6">
        <f t="shared" si="242"/>
        <v>0.85450122382642135</v>
      </c>
      <c r="BH276" s="6">
        <f t="shared" si="243"/>
        <v>1.1101295418895376</v>
      </c>
      <c r="BI276" s="6">
        <f t="shared" si="244"/>
        <v>1.1101295418895376</v>
      </c>
      <c r="BJ276">
        <v>170.66061592936035</v>
      </c>
      <c r="BK276">
        <v>-128.79210353674165</v>
      </c>
      <c r="BV276" s="38"/>
      <c r="BW276" s="6">
        <f t="shared" si="245"/>
        <v>4.5553093477051734</v>
      </c>
      <c r="BX276" s="9">
        <f t="shared" ca="1" si="246"/>
        <v>-61.649443182588378</v>
      </c>
      <c r="BY276" s="9">
        <f t="shared" ca="1" si="247"/>
        <v>95.418525378345564</v>
      </c>
      <c r="BZ276">
        <f t="shared" ca="1" si="248"/>
        <v>113.60171138720213</v>
      </c>
      <c r="CA276" s="6">
        <f t="shared" ca="1" si="249"/>
        <v>-0.54268058491180027</v>
      </c>
      <c r="CB276" s="6">
        <f t="shared" ca="1" si="250"/>
        <v>0.83993915420093745</v>
      </c>
      <c r="CC276" s="6">
        <f t="shared" ca="1" si="251"/>
        <v>2.1444215617811087</v>
      </c>
      <c r="CD276" s="6">
        <f t="shared" ca="1" si="252"/>
        <v>-38.350556817411622</v>
      </c>
      <c r="CE276" s="9">
        <f t="shared" ca="1" si="253"/>
        <v>-145.41852537834558</v>
      </c>
      <c r="CF276">
        <f t="shared" ca="1" si="254"/>
        <v>150.39053404858316</v>
      </c>
      <c r="CG276" s="6">
        <f t="shared" ca="1" si="255"/>
        <v>-0.25500645409652312</v>
      </c>
      <c r="CH276" s="6">
        <f t="shared" ca="1" si="256"/>
        <v>-0.96693935092596062</v>
      </c>
      <c r="CI276" s="6">
        <f t="shared" ca="1" si="257"/>
        <v>-1.8286507047648095</v>
      </c>
      <c r="CJ276" s="1">
        <f t="shared" ca="1" si="258"/>
        <v>2.292298313765615</v>
      </c>
      <c r="CK276" s="38"/>
    </row>
    <row r="277" spans="55:89" x14ac:dyDescent="0.25">
      <c r="BC277">
        <v>4.7996554429843767</v>
      </c>
      <c r="BD277">
        <v>159.83451031426344</v>
      </c>
      <c r="BE277">
        <v>-115.24066553201149</v>
      </c>
      <c r="BF277" s="6">
        <f t="shared" si="241"/>
        <v>5.6585040459839213</v>
      </c>
      <c r="BG277" s="6">
        <f t="shared" si="242"/>
        <v>0.85884860299954457</v>
      </c>
      <c r="BH277" s="6">
        <f t="shared" si="243"/>
        <v>1.0883288701964713</v>
      </c>
      <c r="BI277" s="6">
        <f t="shared" si="244"/>
        <v>1.0883288701964713</v>
      </c>
      <c r="BJ277">
        <v>177.59390034918161</v>
      </c>
      <c r="BK277">
        <v>-128.04518392445721</v>
      </c>
      <c r="BV277" s="38"/>
      <c r="BW277" s="6">
        <f t="shared" si="245"/>
        <v>4.5727626402251165</v>
      </c>
      <c r="BX277" s="9">
        <f t="shared" ca="1" si="246"/>
        <v>-69.09019409402508</v>
      </c>
      <c r="BY277" s="9">
        <f t="shared" ca="1" si="247"/>
        <v>99.548202529233848</v>
      </c>
      <c r="BZ277">
        <f t="shared" ca="1" si="248"/>
        <v>121.17466544930676</v>
      </c>
      <c r="CA277" s="6">
        <f t="shared" ca="1" si="249"/>
        <v>-0.57017028962154515</v>
      </c>
      <c r="CB277" s="6">
        <f t="shared" ca="1" si="250"/>
        <v>0.82152653081497218</v>
      </c>
      <c r="CC277" s="6">
        <f t="shared" ca="1" si="251"/>
        <v>2.1775094514861295</v>
      </c>
      <c r="CD277" s="6">
        <f t="shared" ca="1" si="252"/>
        <v>-30.90980590597492</v>
      </c>
      <c r="CE277" s="9">
        <f t="shared" ca="1" si="253"/>
        <v>-149.54820252923383</v>
      </c>
      <c r="CF277">
        <f t="shared" ca="1" si="254"/>
        <v>152.70913849822406</v>
      </c>
      <c r="CG277" s="6">
        <f t="shared" ca="1" si="255"/>
        <v>-0.20240966722718029</v>
      </c>
      <c r="CH277" s="6">
        <f t="shared" ca="1" si="256"/>
        <v>-0.97930093771678906</v>
      </c>
      <c r="CI277" s="6">
        <f t="shared" ca="1" si="257"/>
        <v>-1.7746142240082072</v>
      </c>
      <c r="CJ277" s="1">
        <f t="shared" ca="1" si="258"/>
        <v>2.2382618330090134</v>
      </c>
      <c r="CK277" s="38"/>
    </row>
    <row r="278" spans="55:89" x14ac:dyDescent="0.25">
      <c r="BC278">
        <v>4.8171087355043198</v>
      </c>
      <c r="BD278">
        <v>165.88392056654763</v>
      </c>
      <c r="BE278">
        <v>-114.49455673613528</v>
      </c>
      <c r="BF278" s="6">
        <f t="shared" si="241"/>
        <v>5.6790608277252943</v>
      </c>
      <c r="BG278" s="6">
        <f t="shared" si="242"/>
        <v>0.86195209222097446</v>
      </c>
      <c r="BH278" s="6">
        <f t="shared" si="243"/>
        <v>1.0677720884550983</v>
      </c>
      <c r="BI278" s="6">
        <f t="shared" si="244"/>
        <v>1.0677720884550983</v>
      </c>
      <c r="BJ278">
        <v>184.31546729616403</v>
      </c>
      <c r="BK278">
        <v>-127.21617415126141</v>
      </c>
      <c r="BV278" s="38"/>
      <c r="BW278" s="6">
        <f t="shared" si="245"/>
        <v>4.5902159327450596</v>
      </c>
      <c r="BX278" s="9">
        <f t="shared" ca="1" si="246"/>
        <v>-76.75665974707951</v>
      </c>
      <c r="BY278" s="9">
        <f t="shared" ca="1" si="247"/>
        <v>103.88858712798874</v>
      </c>
      <c r="BZ278">
        <f t="shared" ca="1" si="248"/>
        <v>129.16819790869053</v>
      </c>
      <c r="CA278" s="6">
        <f t="shared" ca="1" si="249"/>
        <v>-0.59423806315962602</v>
      </c>
      <c r="CB278" s="6">
        <f t="shared" ca="1" si="250"/>
        <v>0.80428920438626827</v>
      </c>
      <c r="CC278" s="6">
        <f t="shared" ca="1" si="251"/>
        <v>2.2071143017124268</v>
      </c>
      <c r="CD278" s="6">
        <f t="shared" ca="1" si="252"/>
        <v>-23.24334025292049</v>
      </c>
      <c r="CE278" s="9">
        <f t="shared" ca="1" si="253"/>
        <v>-153.88858712798873</v>
      </c>
      <c r="CF278">
        <f t="shared" ca="1" si="254"/>
        <v>155.63402621008561</v>
      </c>
      <c r="CG278" s="6">
        <f t="shared" ca="1" si="255"/>
        <v>-0.14934613476840222</v>
      </c>
      <c r="CH278" s="6">
        <f t="shared" ca="1" si="256"/>
        <v>-0.98878497765173301</v>
      </c>
      <c r="CI278" s="6">
        <f t="shared" ca="1" si="257"/>
        <v>-1.7207032849770723</v>
      </c>
      <c r="CJ278" s="1">
        <f t="shared" ca="1" si="258"/>
        <v>2.1843508939778782</v>
      </c>
      <c r="CK278" s="38"/>
    </row>
    <row r="279" spans="55:89" x14ac:dyDescent="0.25">
      <c r="BC279">
        <v>4.8345620280242629</v>
      </c>
      <c r="BD279">
        <v>171.71126434222694</v>
      </c>
      <c r="BE279">
        <v>-113.68955701727464</v>
      </c>
      <c r="BF279" s="6">
        <f t="shared" si="241"/>
        <v>5.6983528165352668</v>
      </c>
      <c r="BG279" s="6">
        <f t="shared" si="242"/>
        <v>0.86379078851100388</v>
      </c>
      <c r="BH279" s="6">
        <f t="shared" si="243"/>
        <v>1.0484800996451258</v>
      </c>
      <c r="BI279" s="6">
        <f t="shared" si="244"/>
        <v>1.0484800996451258</v>
      </c>
      <c r="BJ279">
        <v>190.7902937135855</v>
      </c>
      <c r="BK279">
        <v>-126.32173001919404</v>
      </c>
      <c r="BV279" s="38"/>
      <c r="BW279" s="6">
        <f t="shared" si="245"/>
        <v>4.6076692252650027</v>
      </c>
      <c r="BX279" s="9">
        <f t="shared" ca="1" si="246"/>
        <v>-85.439492878937216</v>
      </c>
      <c r="BY279" s="9">
        <f t="shared" ca="1" si="247"/>
        <v>108.77492560193946</v>
      </c>
      <c r="BZ279">
        <f t="shared" ca="1" si="248"/>
        <v>138.31808046353675</v>
      </c>
      <c r="CA279" s="6">
        <f t="shared" ca="1" si="249"/>
        <v>-0.61770299726983757</v>
      </c>
      <c r="CB279" s="6">
        <f t="shared" ca="1" si="250"/>
        <v>0.78641147446095871</v>
      </c>
      <c r="CC279" s="6">
        <f t="shared" ca="1" si="251"/>
        <v>2.2366148012637592</v>
      </c>
      <c r="CD279" s="6">
        <f t="shared" ca="1" si="252"/>
        <v>-14.560507121062784</v>
      </c>
      <c r="CE279" s="9">
        <f t="shared" ca="1" si="253"/>
        <v>-158.77492560193946</v>
      </c>
      <c r="CF279">
        <f t="shared" ca="1" si="254"/>
        <v>159.44116584973884</v>
      </c>
      <c r="CG279" s="6">
        <f t="shared" ca="1" si="255"/>
        <v>-9.132213154277205E-2</v>
      </c>
      <c r="CH279" s="6">
        <f t="shared" ca="1" si="256"/>
        <v>-0.99582140381219197</v>
      </c>
      <c r="CI279" s="6">
        <f t="shared" ca="1" si="257"/>
        <v>-1.6622458707620595</v>
      </c>
      <c r="CJ279" s="1">
        <f t="shared" ca="1" si="258"/>
        <v>2.1258934797628655</v>
      </c>
      <c r="CK279" s="38"/>
    </row>
    <row r="280" spans="55:89" x14ac:dyDescent="0.25">
      <c r="BC280">
        <v>4.852015320544206</v>
      </c>
      <c r="BD280">
        <v>177.29918926273749</v>
      </c>
      <c r="BE280">
        <v>-112.83727682061216</v>
      </c>
      <c r="BF280" s="6">
        <f t="shared" si="241"/>
        <v>5.7164138583540671</v>
      </c>
      <c r="BG280" s="6">
        <f t="shared" si="242"/>
        <v>0.86439853780986109</v>
      </c>
      <c r="BH280" s="6">
        <f t="shared" si="243"/>
        <v>1.0304190578263255</v>
      </c>
      <c r="BI280" s="6">
        <f t="shared" si="244"/>
        <v>1.0304190578263255</v>
      </c>
      <c r="BJ280">
        <v>196.99909918081943</v>
      </c>
      <c r="BK280">
        <v>-125.3747520229024</v>
      </c>
      <c r="BV280" s="38"/>
      <c r="BW280" s="6">
        <f t="shared" si="245"/>
        <v>4.6251225177849458</v>
      </c>
      <c r="BX280" s="9">
        <f t="shared" ca="1" si="246"/>
        <v>-95.335635823243678</v>
      </c>
      <c r="BY280" s="9">
        <f t="shared" ca="1" si="247"/>
        <v>114.32096092898935</v>
      </c>
      <c r="BZ280">
        <f t="shared" ca="1" si="248"/>
        <v>148.8561908875464</v>
      </c>
      <c r="CA280" s="6">
        <f t="shared" ca="1" si="249"/>
        <v>-0.64045462439157197</v>
      </c>
      <c r="CB280" s="6">
        <f t="shared" ca="1" si="250"/>
        <v>0.76799601177053678</v>
      </c>
      <c r="CC280" s="6">
        <f t="shared" ca="1" si="251"/>
        <v>2.2658864083329711</v>
      </c>
      <c r="CD280" s="6">
        <f t="shared" ca="1" si="252"/>
        <v>-4.6643641767563224</v>
      </c>
      <c r="CE280" s="9">
        <f t="shared" ca="1" si="253"/>
        <v>-164.32096092898934</v>
      </c>
      <c r="CF280">
        <f t="shared" ca="1" si="254"/>
        <v>164.38714820143284</v>
      </c>
      <c r="CG280" s="6">
        <f t="shared" ca="1" si="255"/>
        <v>-2.8374262999202433E-2</v>
      </c>
      <c r="CH280" s="6">
        <f t="shared" ca="1" si="256"/>
        <v>-0.99959736954398404</v>
      </c>
      <c r="CI280" s="6">
        <f t="shared" ca="1" si="257"/>
        <v>-1.59917439852166</v>
      </c>
      <c r="CJ280" s="1">
        <f t="shared" ca="1" si="258"/>
        <v>2.0628220075224659</v>
      </c>
      <c r="CK280" s="38"/>
    </row>
    <row r="281" spans="55:89" x14ac:dyDescent="0.25">
      <c r="BC281">
        <v>4.8694686130641491</v>
      </c>
      <c r="BD281">
        <v>182.63732604555312</v>
      </c>
      <c r="BE281">
        <v>-111.94724373622516</v>
      </c>
      <c r="BF281" s="6">
        <f t="shared" si="241"/>
        <v>5.7332993386513529</v>
      </c>
      <c r="BG281" s="6">
        <f t="shared" si="242"/>
        <v>0.86383072558720375</v>
      </c>
      <c r="BH281" s="6">
        <f t="shared" si="243"/>
        <v>1.0135335775290397</v>
      </c>
      <c r="BI281" s="6">
        <f t="shared" si="244"/>
        <v>1.0135335775290397</v>
      </c>
      <c r="BJ281">
        <v>202.93036227283679</v>
      </c>
      <c r="BK281">
        <v>-124.38582637358351</v>
      </c>
      <c r="BV281" s="38"/>
      <c r="BW281" s="6">
        <f t="shared" si="245"/>
        <v>4.6425758103048889</v>
      </c>
      <c r="BX281" s="9">
        <f t="shared" ca="1" si="246"/>
        <v>-102.36544566355445</v>
      </c>
      <c r="BY281" s="9">
        <f t="shared" ca="1" si="247"/>
        <v>115.91289318314683</v>
      </c>
      <c r="BZ281">
        <f t="shared" ca="1" si="248"/>
        <v>154.64308349223293</v>
      </c>
      <c r="CA281" s="6">
        <f t="shared" ca="1" si="249"/>
        <v>-0.66194648575211468</v>
      </c>
      <c r="CB281" s="6">
        <f t="shared" ca="1" si="250"/>
        <v>0.74955109899220707</v>
      </c>
      <c r="CC281" s="6">
        <f t="shared" ca="1" si="251"/>
        <v>2.2942089882573033</v>
      </c>
      <c r="CD281" s="6">
        <f t="shared" ca="1" si="252"/>
        <v>2.3654456635544534</v>
      </c>
      <c r="CE281" s="9">
        <f t="shared" ca="1" si="253"/>
        <v>-165.91289318314682</v>
      </c>
      <c r="CF281">
        <f t="shared" ca="1" si="254"/>
        <v>165.92975458786623</v>
      </c>
      <c r="CG281" s="6">
        <f t="shared" ca="1" si="255"/>
        <v>1.4255705189402052E-2</v>
      </c>
      <c r="CH281" s="6">
        <f t="shared" ca="1" si="256"/>
        <v>-0.99989838227169514</v>
      </c>
      <c r="CI281" s="6">
        <f t="shared" ca="1" si="257"/>
        <v>-1.5565401387084072</v>
      </c>
      <c r="CJ281" s="1">
        <f t="shared" ca="1" si="258"/>
        <v>2.0201877477092127</v>
      </c>
      <c r="CK281" s="38"/>
    </row>
    <row r="282" spans="55:89" x14ac:dyDescent="0.25">
      <c r="BC282">
        <v>4.8869219055840922</v>
      </c>
      <c r="BD282">
        <v>187.2680750961901</v>
      </c>
      <c r="BE282">
        <v>-110.76812502075376</v>
      </c>
      <c r="BF282" s="6">
        <f t="shared" si="241"/>
        <v>5.7490429744020961</v>
      </c>
      <c r="BG282" s="6">
        <f t="shared" si="242"/>
        <v>0.86212106881800388</v>
      </c>
      <c r="BH282" s="6">
        <f t="shared" si="243"/>
        <v>0.9977899417782965</v>
      </c>
      <c r="BI282" s="6">
        <f t="shared" si="244"/>
        <v>0.9977899417782965</v>
      </c>
      <c r="BJ282">
        <v>208.57739579973901</v>
      </c>
      <c r="BK282">
        <v>-123.37248109471685</v>
      </c>
      <c r="BV282" s="38"/>
      <c r="BW282" s="6">
        <f t="shared" si="245"/>
        <v>4.660029102824832</v>
      </c>
      <c r="BX282" s="9">
        <f t="shared" ca="1" si="246"/>
        <v>-108.73863448207527</v>
      </c>
      <c r="BY282" s="9">
        <f t="shared" ca="1" si="247"/>
        <v>116.49142804843667</v>
      </c>
      <c r="BZ282">
        <f t="shared" ca="1" si="248"/>
        <v>159.3560273029874</v>
      </c>
      <c r="CA282" s="6">
        <f t="shared" ca="1" si="249"/>
        <v>-0.68236285958188403</v>
      </c>
      <c r="CB282" s="6">
        <f t="shared" ca="1" si="250"/>
        <v>0.73101363042232947</v>
      </c>
      <c r="CC282" s="6">
        <f t="shared" ca="1" si="251"/>
        <v>2.3217864112443962</v>
      </c>
      <c r="CD282" s="6">
        <f t="shared" ca="1" si="252"/>
        <v>8.7386344820752697</v>
      </c>
      <c r="CE282" s="9">
        <f t="shared" ca="1" si="253"/>
        <v>-166.49142804843666</v>
      </c>
      <c r="CF282">
        <f t="shared" ca="1" si="254"/>
        <v>166.72060264472137</v>
      </c>
      <c r="CG282" s="6">
        <f t="shared" ca="1" si="255"/>
        <v>5.2414844616997601E-2</v>
      </c>
      <c r="CH282" s="6">
        <f t="shared" ca="1" si="256"/>
        <v>-0.99862539726554922</v>
      </c>
      <c r="CI282" s="6">
        <f t="shared" ca="1" si="257"/>
        <v>-1.5183574524352612</v>
      </c>
      <c r="CJ282" s="1">
        <f t="shared" ca="1" si="258"/>
        <v>1.9820050614360674</v>
      </c>
      <c r="CK282" s="38"/>
    </row>
    <row r="283" spans="55:89" x14ac:dyDescent="0.25">
      <c r="BC283">
        <v>4.9043751981040353</v>
      </c>
      <c r="BD283">
        <v>189.50654674857259</v>
      </c>
      <c r="BE283">
        <v>-108.39618225693877</v>
      </c>
      <c r="BF283" s="6">
        <f t="shared" si="241"/>
        <v>5.7636147421690245</v>
      </c>
      <c r="BG283" s="6">
        <f t="shared" si="242"/>
        <v>0.85923954406498915</v>
      </c>
      <c r="BH283" s="6">
        <f t="shared" si="243"/>
        <v>0.98321817401136813</v>
      </c>
      <c r="BI283" s="6">
        <f t="shared" si="244"/>
        <v>0.98321817401136813</v>
      </c>
      <c r="BJ283">
        <v>213.94138693539429</v>
      </c>
      <c r="BK283">
        <v>-122.37270937831563</v>
      </c>
      <c r="BV283" s="38"/>
      <c r="BW283" s="6">
        <f t="shared" si="245"/>
        <v>4.6774823953447751</v>
      </c>
      <c r="BX283" s="9">
        <f t="shared" ca="1" si="246"/>
        <v>-115.15709344261987</v>
      </c>
      <c r="BY283" s="9">
        <f t="shared" ca="1" si="247"/>
        <v>116.95338754824375</v>
      </c>
      <c r="BZ283">
        <f t="shared" ca="1" si="248"/>
        <v>164.1318099247126</v>
      </c>
      <c r="CA283" s="6">
        <f t="shared" ca="1" si="249"/>
        <v>-0.70161349890336633</v>
      </c>
      <c r="CB283" s="6">
        <f t="shared" ca="1" si="250"/>
        <v>0.71255771566700188</v>
      </c>
      <c r="CC283" s="6">
        <f t="shared" ca="1" si="251"/>
        <v>2.3484556830591554</v>
      </c>
      <c r="CD283" s="6">
        <f t="shared" ca="1" si="252"/>
        <v>15.157093442619868</v>
      </c>
      <c r="CE283" s="9">
        <f t="shared" ca="1" si="253"/>
        <v>-166.95338754824377</v>
      </c>
      <c r="CF283">
        <f t="shared" ca="1" si="254"/>
        <v>167.64000446033873</v>
      </c>
      <c r="CG283" s="6">
        <f t="shared" ca="1" si="255"/>
        <v>9.0414537337988571E-2</v>
      </c>
      <c r="CH283" s="6">
        <f t="shared" ca="1" si="256"/>
        <v>-0.99590421800389894</v>
      </c>
      <c r="CI283" s="6">
        <f t="shared" ca="1" si="257"/>
        <v>-1.4802581474575025</v>
      </c>
      <c r="CJ283" s="1">
        <f t="shared" ca="1" si="258"/>
        <v>1.9439057564583084</v>
      </c>
      <c r="CK283" s="38"/>
    </row>
    <row r="284" spans="55:89" x14ac:dyDescent="0.25">
      <c r="BC284">
        <v>4.9218284906239784</v>
      </c>
      <c r="BD284">
        <v>191.72875431063156</v>
      </c>
      <c r="BE284">
        <v>-106.23627573064887</v>
      </c>
      <c r="BF284" s="6">
        <f t="shared" si="241"/>
        <v>5.7772022563824805</v>
      </c>
      <c r="BG284" s="6">
        <f t="shared" si="242"/>
        <v>0.8553737657585021</v>
      </c>
      <c r="BH284" s="6">
        <f t="shared" si="243"/>
        <v>0.96963065979791208</v>
      </c>
      <c r="BI284" s="6">
        <f t="shared" si="244"/>
        <v>0.96963065979791208</v>
      </c>
      <c r="BJ284">
        <v>219.00633999088336</v>
      </c>
      <c r="BK284">
        <v>-121.35069674701145</v>
      </c>
      <c r="BV284" s="38"/>
      <c r="BW284" s="6">
        <f t="shared" si="245"/>
        <v>4.6949356878647182</v>
      </c>
      <c r="BX284" s="9">
        <f t="shared" ca="1" si="246"/>
        <v>-121.5705001583481</v>
      </c>
      <c r="BY284" s="9">
        <f t="shared" ca="1" si="247"/>
        <v>117.28792256750572</v>
      </c>
      <c r="BZ284">
        <f t="shared" ca="1" si="248"/>
        <v>168.92555546438831</v>
      </c>
      <c r="CA284" s="6">
        <f t="shared" ca="1" si="249"/>
        <v>-0.71966908632706394</v>
      </c>
      <c r="CB284" s="6">
        <f t="shared" ca="1" si="250"/>
        <v>0.69431722302213494</v>
      </c>
      <c r="CC284" s="6">
        <f t="shared" ca="1" si="251"/>
        <v>2.374121924927298</v>
      </c>
      <c r="CD284" s="6">
        <f t="shared" ca="1" si="252"/>
        <v>21.570500158348096</v>
      </c>
      <c r="CE284" s="9">
        <f t="shared" ca="1" si="253"/>
        <v>-167.28792256750572</v>
      </c>
      <c r="CF284">
        <f t="shared" ca="1" si="254"/>
        <v>168.67286537565278</v>
      </c>
      <c r="CG284" s="6">
        <f t="shared" ca="1" si="255"/>
        <v>0.12788364097751143</v>
      </c>
      <c r="CH284" s="6">
        <f t="shared" ca="1" si="256"/>
        <v>-0.99178917838940694</v>
      </c>
      <c r="CI284" s="6">
        <f t="shared" ca="1" si="257"/>
        <v>-1.4425615222887955</v>
      </c>
      <c r="CJ284" s="1">
        <f t="shared" ca="1" si="258"/>
        <v>1.9062091312896015</v>
      </c>
      <c r="CK284" s="38"/>
    </row>
    <row r="285" spans="55:89" x14ac:dyDescent="0.25">
      <c r="BC285">
        <v>4.9392817831439215</v>
      </c>
      <c r="BD285">
        <v>193.91311057361992</v>
      </c>
      <c r="BE285">
        <v>-104.26711730592994</v>
      </c>
      <c r="BF285" s="6">
        <f t="shared" si="241"/>
        <v>5.7898343418796641</v>
      </c>
      <c r="BG285" s="6">
        <f t="shared" si="242"/>
        <v>0.85055255873574254</v>
      </c>
      <c r="BH285" s="6">
        <f t="shared" si="243"/>
        <v>0.95699857430072854</v>
      </c>
      <c r="BI285" s="6">
        <f t="shared" si="244"/>
        <v>0.95699857430072854</v>
      </c>
      <c r="BJ285">
        <v>223.76035776710148</v>
      </c>
      <c r="BK285">
        <v>-120.31598793244859</v>
      </c>
      <c r="BV285" s="38"/>
      <c r="BW285" s="6">
        <f t="shared" si="245"/>
        <v>4.7123889803846613</v>
      </c>
      <c r="BX285" s="9">
        <f t="shared" ca="1" si="246"/>
        <v>-127.97999999998947</v>
      </c>
      <c r="BY285" s="9">
        <f t="shared" ca="1" si="247"/>
        <v>117.49505599355251</v>
      </c>
      <c r="BZ285">
        <f t="shared" ca="1" si="248"/>
        <v>173.73534062741911</v>
      </c>
      <c r="CA285" s="6">
        <f t="shared" ca="1" si="249"/>
        <v>-0.73663769005090685</v>
      </c>
      <c r="CB285" s="6">
        <f t="shared" ca="1" si="250"/>
        <v>0.67628759680809181</v>
      </c>
      <c r="CC285" s="6">
        <f t="shared" ca="1" si="251"/>
        <v>2.3988814130175902</v>
      </c>
      <c r="CD285" s="6">
        <f t="shared" ca="1" si="252"/>
        <v>27.979999999989474</v>
      </c>
      <c r="CE285" s="9">
        <f t="shared" ca="1" si="253"/>
        <v>-167.49505599355251</v>
      </c>
      <c r="CF285">
        <f t="shared" ca="1" si="254"/>
        <v>169.81600096069482</v>
      </c>
      <c r="CG285" s="6">
        <f t="shared" ca="1" si="255"/>
        <v>0.16476656994452279</v>
      </c>
      <c r="CH285" s="6">
        <f t="shared" ca="1" si="256"/>
        <v>-0.98633258966168025</v>
      </c>
      <c r="CI285" s="6">
        <f t="shared" ca="1" si="257"/>
        <v>-1.4052749848143535</v>
      </c>
      <c r="CJ285" s="1">
        <f t="shared" ca="1" si="258"/>
        <v>1.8689225938151597</v>
      </c>
      <c r="CK285" s="38"/>
    </row>
    <row r="286" spans="55:89" x14ac:dyDescent="0.25">
      <c r="BC286">
        <v>4.9567350756638646</v>
      </c>
      <c r="BD286">
        <v>196.03879053083628</v>
      </c>
      <c r="BE286">
        <v>-102.47399711329867</v>
      </c>
      <c r="BF286" s="6">
        <f t="shared" si="241"/>
        <v>5.801524935690253</v>
      </c>
      <c r="BG286" s="6">
        <f t="shared" si="242"/>
        <v>0.84478986002638834</v>
      </c>
      <c r="BH286" s="6">
        <f t="shared" si="243"/>
        <v>0.94530798049013975</v>
      </c>
      <c r="BI286" s="6">
        <f t="shared" si="244"/>
        <v>0.94530798049013975</v>
      </c>
      <c r="BJ286">
        <v>228.18761319950875</v>
      </c>
      <c r="BK286">
        <v>-119.27892818038404</v>
      </c>
      <c r="BV286" s="38"/>
      <c r="BW286" s="6">
        <f t="shared" si="245"/>
        <v>4.7298422729046044</v>
      </c>
      <c r="BX286" s="9">
        <f t="shared" ca="1" si="246"/>
        <v>-134.38949984163094</v>
      </c>
      <c r="BY286" s="9">
        <f t="shared" ca="1" si="247"/>
        <v>117.28792256801674</v>
      </c>
      <c r="BZ286">
        <f t="shared" ca="1" si="248"/>
        <v>178.37318870280032</v>
      </c>
      <c r="CA286" s="6">
        <f t="shared" ca="1" si="249"/>
        <v>-0.7534176005876444</v>
      </c>
      <c r="CB286" s="6">
        <f t="shared" ca="1" si="250"/>
        <v>0.65754233257240313</v>
      </c>
      <c r="CC286" s="6">
        <f t="shared" ca="1" si="251"/>
        <v>2.4240405806750149</v>
      </c>
      <c r="CD286" s="6">
        <f t="shared" ca="1" si="252"/>
        <v>34.389499841630936</v>
      </c>
      <c r="CE286" s="9">
        <f t="shared" ca="1" si="253"/>
        <v>-167.28792256801674</v>
      </c>
      <c r="CF286">
        <f t="shared" ca="1" si="254"/>
        <v>170.78608472729942</v>
      </c>
      <c r="CG286" s="6">
        <f t="shared" ca="1" si="255"/>
        <v>0.20136008092545682</v>
      </c>
      <c r="CH286" s="6">
        <f t="shared" ca="1" si="256"/>
        <v>-0.97951728816274264</v>
      </c>
      <c r="CI286" s="6">
        <f t="shared" ca="1" si="257"/>
        <v>-1.3680500820579695</v>
      </c>
      <c r="CJ286" s="1">
        <f t="shared" ca="1" si="258"/>
        <v>1.8316976910587754</v>
      </c>
      <c r="CK286" s="38"/>
    </row>
    <row r="287" spans="55:89" x14ac:dyDescent="0.25">
      <c r="BC287">
        <v>4.9741883681838077</v>
      </c>
      <c r="BD287">
        <v>198.08447483180194</v>
      </c>
      <c r="BE287">
        <v>-100.84823798082901</v>
      </c>
      <c r="BF287" s="6">
        <f t="shared" si="241"/>
        <v>5.8122704695335381</v>
      </c>
      <c r="BG287" s="6">
        <f t="shared" si="242"/>
        <v>0.83808210134973038</v>
      </c>
      <c r="BH287" s="6">
        <f t="shared" si="243"/>
        <v>0.93456244664685451</v>
      </c>
      <c r="BI287" s="6">
        <f t="shared" si="244"/>
        <v>0.93456244664685451</v>
      </c>
      <c r="BJ287">
        <v>232.26702933568589</v>
      </c>
      <c r="BK287">
        <v>-118.25116869676465</v>
      </c>
      <c r="BV287" s="38"/>
      <c r="BW287" s="6">
        <f t="shared" si="245"/>
        <v>4.7472955654245474</v>
      </c>
      <c r="BX287" s="9">
        <f t="shared" ca="1" si="246"/>
        <v>-140.80290655735911</v>
      </c>
      <c r="BY287" s="9">
        <f t="shared" ca="1" si="247"/>
        <v>116.95338754823071</v>
      </c>
      <c r="BZ287">
        <f t="shared" ca="1" si="248"/>
        <v>183.03975894326086</v>
      </c>
      <c r="CA287" s="6">
        <f t="shared" ca="1" si="249"/>
        <v>-0.76924766165697123</v>
      </c>
      <c r="CB287" s="6">
        <f t="shared" ca="1" si="250"/>
        <v>0.63895072974000267</v>
      </c>
      <c r="CC287" s="6">
        <f t="shared" ca="1" si="251"/>
        <v>2.4484591833525577</v>
      </c>
      <c r="CD287" s="6">
        <f t="shared" ca="1" si="252"/>
        <v>40.802906557359108</v>
      </c>
      <c r="CE287" s="9">
        <f t="shared" ca="1" si="253"/>
        <v>-166.95338754823069</v>
      </c>
      <c r="CF287">
        <f t="shared" ca="1" si="254"/>
        <v>171.8671312303731</v>
      </c>
      <c r="CG287" s="6">
        <f t="shared" ca="1" si="255"/>
        <v>0.23740959813116519</v>
      </c>
      <c r="CH287" s="6">
        <f t="shared" ca="1" si="256"/>
        <v>-0.97140963692728444</v>
      </c>
      <c r="CI287" s="6">
        <f t="shared" ca="1" si="257"/>
        <v>-1.3310979905745564</v>
      </c>
      <c r="CJ287" s="1">
        <f t="shared" ca="1" si="258"/>
        <v>1.7947455995753623</v>
      </c>
      <c r="CK287" s="38"/>
    </row>
    <row r="288" spans="55:89" x14ac:dyDescent="0.25">
      <c r="BC288">
        <v>4.9916416607037508</v>
      </c>
      <c r="BD288">
        <v>200.03721979204522</v>
      </c>
      <c r="BE288">
        <v>-99.381041633985447</v>
      </c>
      <c r="BF288" s="6">
        <f t="shared" si="241"/>
        <v>5.8220907460510229</v>
      </c>
      <c r="BG288" s="6">
        <f t="shared" si="242"/>
        <v>0.83044908534727213</v>
      </c>
      <c r="BH288" s="6">
        <f t="shared" si="243"/>
        <v>0.92474217012936977</v>
      </c>
      <c r="BI288" s="6">
        <f t="shared" si="244"/>
        <v>0.92474217012936977</v>
      </c>
      <c r="BJ288">
        <v>235.98956326712607</v>
      </c>
      <c r="BK288">
        <v>-117.24262433069937</v>
      </c>
      <c r="BV288" s="38"/>
      <c r="BW288" s="6">
        <f t="shared" si="245"/>
        <v>4.7647488579444905</v>
      </c>
      <c r="BX288" s="9">
        <f t="shared" ca="1" si="246"/>
        <v>-147.22136551790368</v>
      </c>
      <c r="BY288" s="9">
        <f t="shared" ca="1" si="247"/>
        <v>116.49142804844396</v>
      </c>
      <c r="BZ288">
        <f t="shared" ca="1" si="248"/>
        <v>187.73487495327552</v>
      </c>
      <c r="CA288" s="6">
        <f t="shared" ca="1" si="249"/>
        <v>-0.78419827724893909</v>
      </c>
      <c r="CB288" s="6">
        <f t="shared" ca="1" si="250"/>
        <v>0.62051032381403293</v>
      </c>
      <c r="CC288" s="6">
        <f t="shared" ca="1" si="251"/>
        <v>2.4721993591486351</v>
      </c>
      <c r="CD288" s="6">
        <f t="shared" ca="1" si="252"/>
        <v>47.221365517903678</v>
      </c>
      <c r="CE288" s="9">
        <f t="shared" ca="1" si="253"/>
        <v>-166.49142804844396</v>
      </c>
      <c r="CF288">
        <f t="shared" ca="1" si="254"/>
        <v>173.05852471053154</v>
      </c>
      <c r="CG288" s="6">
        <f t="shared" ca="1" si="255"/>
        <v>0.27286356217868535</v>
      </c>
      <c r="CH288" s="6">
        <f t="shared" ca="1" si="256"/>
        <v>-0.96205274098417215</v>
      </c>
      <c r="CI288" s="6">
        <f t="shared" ca="1" si="257"/>
        <v>-1.2944280336170559</v>
      </c>
      <c r="CJ288" s="1">
        <f t="shared" ca="1" si="258"/>
        <v>1.7580756426178619</v>
      </c>
      <c r="CK288" s="38"/>
    </row>
    <row r="289" spans="55:89" x14ac:dyDescent="0.25">
      <c r="BC289">
        <v>5.0090949532236939</v>
      </c>
      <c r="BD289">
        <v>201.91274225156107</v>
      </c>
      <c r="BE289">
        <v>-98.050219448990248</v>
      </c>
      <c r="BF289" s="6">
        <f t="shared" si="241"/>
        <v>5.8311183415006962</v>
      </c>
      <c r="BG289" s="6">
        <f t="shared" si="242"/>
        <v>0.82202338827700228</v>
      </c>
      <c r="BH289" s="6">
        <f t="shared" si="243"/>
        <v>0.91571457467969641</v>
      </c>
      <c r="BI289" s="6">
        <f t="shared" si="244"/>
        <v>0.91571457467969641</v>
      </c>
      <c r="BJ289">
        <v>239.39747288711854</v>
      </c>
      <c r="BK289">
        <v>-116.25306303289626</v>
      </c>
      <c r="BV289" s="38"/>
      <c r="BW289" s="6">
        <f t="shared" si="245"/>
        <v>4.7822021504644336</v>
      </c>
      <c r="BX289" s="9">
        <f t="shared" ca="1" si="246"/>
        <v>-153.59455433642432</v>
      </c>
      <c r="BY289" s="9">
        <f t="shared" ca="1" si="247"/>
        <v>115.91289318306748</v>
      </c>
      <c r="BZ289">
        <f t="shared" ca="1" si="248"/>
        <v>192.4242342530535</v>
      </c>
      <c r="CA289" s="6">
        <f t="shared" ca="1" si="249"/>
        <v>-0.79820795406900258</v>
      </c>
      <c r="CB289" s="6">
        <f t="shared" ca="1" si="250"/>
        <v>0.60238199015323923</v>
      </c>
      <c r="CC289" s="6">
        <f t="shared" ca="1" si="251"/>
        <v>2.4951107207010619</v>
      </c>
      <c r="CD289" s="6">
        <f t="shared" ca="1" si="252"/>
        <v>53.594554336424324</v>
      </c>
      <c r="CE289" s="9">
        <f t="shared" ca="1" si="253"/>
        <v>-165.91289318306747</v>
      </c>
      <c r="CF289">
        <f t="shared" ca="1" si="254"/>
        <v>174.35442173600271</v>
      </c>
      <c r="CG289" s="6">
        <f t="shared" ca="1" si="255"/>
        <v>0.30738855833306061</v>
      </c>
      <c r="CH289" s="6">
        <f t="shared" ca="1" si="256"/>
        <v>-0.95158408677631989</v>
      </c>
      <c r="CI289" s="6">
        <f t="shared" ca="1" si="257"/>
        <v>-1.2583488252252844</v>
      </c>
      <c r="CJ289" s="1">
        <f t="shared" ca="1" si="258"/>
        <v>1.7219964342260903</v>
      </c>
      <c r="CK289" s="38"/>
    </row>
    <row r="290" spans="55:89" x14ac:dyDescent="0.25">
      <c r="BC290">
        <v>5.026548245743637</v>
      </c>
      <c r="BD290">
        <v>203.72813934620407</v>
      </c>
      <c r="BE290">
        <v>-96.834901771763811</v>
      </c>
      <c r="BF290" s="6">
        <f t="shared" si="241"/>
        <v>5.8394805460794785</v>
      </c>
      <c r="BG290" s="6">
        <f t="shared" si="242"/>
        <v>0.81293230033584152</v>
      </c>
      <c r="BH290" s="6">
        <f t="shared" si="243"/>
        <v>0.90735237010091407</v>
      </c>
      <c r="BI290" s="6">
        <f t="shared" si="244"/>
        <v>0.90735237010091407</v>
      </c>
      <c r="BJ290">
        <v>242.53490998649244</v>
      </c>
      <c r="BK290">
        <v>-115.28031552310532</v>
      </c>
      <c r="BV290" s="38"/>
      <c r="BW290" s="6">
        <f t="shared" si="245"/>
        <v>4.7996554429843767</v>
      </c>
      <c r="BX290" s="9">
        <f t="shared" ca="1" si="246"/>
        <v>-159.83451031426344</v>
      </c>
      <c r="BY290" s="9">
        <f t="shared" ca="1" si="247"/>
        <v>115.24066553201149</v>
      </c>
      <c r="BZ290">
        <f t="shared" ca="1" si="248"/>
        <v>197.04690223310115</v>
      </c>
      <c r="CA290" s="6">
        <f t="shared" ca="1" si="249"/>
        <v>-0.81114957151259115</v>
      </c>
      <c r="CB290" s="6">
        <f t="shared" ca="1" si="250"/>
        <v>0.58483875780845773</v>
      </c>
      <c r="CC290" s="6">
        <f t="shared" ca="1" si="251"/>
        <v>2.5169113923941282</v>
      </c>
      <c r="CD290" s="6">
        <f t="shared" ca="1" si="252"/>
        <v>59.83451031426344</v>
      </c>
      <c r="CE290" s="9">
        <f t="shared" ca="1" si="253"/>
        <v>-165.24066553201149</v>
      </c>
      <c r="CF290">
        <f t="shared" ca="1" si="254"/>
        <v>175.74028044250355</v>
      </c>
      <c r="CG290" s="6">
        <f t="shared" ca="1" si="255"/>
        <v>0.34047123495879095</v>
      </c>
      <c r="CH290" s="6">
        <f t="shared" ca="1" si="256"/>
        <v>-0.94025493253991255</v>
      </c>
      <c r="CI290" s="6">
        <f t="shared" ca="1" si="257"/>
        <v>-1.223378296851082</v>
      </c>
      <c r="CJ290" s="1">
        <f t="shared" ca="1" si="258"/>
        <v>1.6870259058518879</v>
      </c>
      <c r="CK290" s="38"/>
    </row>
    <row r="291" spans="55:89" x14ac:dyDescent="0.25">
      <c r="BC291">
        <v>5.0440015382635801</v>
      </c>
      <c r="BD291">
        <v>205.49661074564418</v>
      </c>
      <c r="BE291">
        <v>-95.718201614527246</v>
      </c>
      <c r="BF291" s="6">
        <f t="shared" si="241"/>
        <v>5.8472785384149306</v>
      </c>
      <c r="BG291" s="6">
        <f t="shared" si="242"/>
        <v>0.80327700015135051</v>
      </c>
      <c r="BH291" s="6">
        <f t="shared" si="243"/>
        <v>0.89955437776546199</v>
      </c>
      <c r="BI291" s="6">
        <f t="shared" si="244"/>
        <v>0.89955437776546199</v>
      </c>
      <c r="BJ291">
        <v>245.43788348574054</v>
      </c>
      <c r="BK291">
        <v>-114.3224344678343</v>
      </c>
      <c r="BV291" s="38"/>
      <c r="BW291" s="6">
        <f t="shared" si="245"/>
        <v>4.8171087355043198</v>
      </c>
      <c r="BX291" s="9">
        <f t="shared" ca="1" si="246"/>
        <v>-165.88392056654763</v>
      </c>
      <c r="BY291" s="9">
        <f t="shared" ca="1" si="247"/>
        <v>114.49455673613528</v>
      </c>
      <c r="BZ291">
        <f t="shared" ca="1" si="248"/>
        <v>201.56011169061398</v>
      </c>
      <c r="CA291" s="6">
        <f t="shared" ca="1" si="249"/>
        <v>-0.82299974521333985</v>
      </c>
      <c r="CB291" s="6">
        <f t="shared" ca="1" si="250"/>
        <v>0.5680417408771804</v>
      </c>
      <c r="CC291" s="6">
        <f t="shared" ca="1" si="251"/>
        <v>2.5374681741355012</v>
      </c>
      <c r="CD291" s="6">
        <f t="shared" ca="1" si="252"/>
        <v>65.88392056654763</v>
      </c>
      <c r="CE291" s="9">
        <f t="shared" ca="1" si="253"/>
        <v>-164.49455673613528</v>
      </c>
      <c r="CF291">
        <f t="shared" ca="1" si="254"/>
        <v>177.19805355882662</v>
      </c>
      <c r="CG291" s="6">
        <f t="shared" ca="1" si="255"/>
        <v>0.37180950492029718</v>
      </c>
      <c r="CH291" s="6">
        <f t="shared" ca="1" si="256"/>
        <v>-0.92830904985943319</v>
      </c>
      <c r="CI291" s="6">
        <f t="shared" ca="1" si="257"/>
        <v>-1.1898388167920755</v>
      </c>
      <c r="CJ291" s="1">
        <f t="shared" ca="1" si="258"/>
        <v>1.6534864257928814</v>
      </c>
      <c r="CK291" s="38"/>
    </row>
    <row r="292" spans="55:89" x14ac:dyDescent="0.25">
      <c r="BC292">
        <v>5.0614548307835232</v>
      </c>
      <c r="BD292">
        <v>207.22854476850438</v>
      </c>
      <c r="BE292">
        <v>-94.686289218756443</v>
      </c>
      <c r="BF292" s="6">
        <f t="shared" si="241"/>
        <v>5.8545939354601604</v>
      </c>
      <c r="BG292" s="6">
        <f t="shared" si="242"/>
        <v>0.79313910467663717</v>
      </c>
      <c r="BH292" s="6">
        <f t="shared" si="243"/>
        <v>0.89223898072023222</v>
      </c>
      <c r="BI292" s="6">
        <f t="shared" si="244"/>
        <v>0.89223898072023222</v>
      </c>
      <c r="BJ292">
        <v>248.13609969206817</v>
      </c>
      <c r="BK292">
        <v>-113.37765522266143</v>
      </c>
      <c r="BV292" s="38"/>
      <c r="BW292" s="6">
        <f t="shared" si="245"/>
        <v>4.8345620280242629</v>
      </c>
      <c r="BX292" s="9">
        <f t="shared" ca="1" si="246"/>
        <v>-171.71126434222694</v>
      </c>
      <c r="BY292" s="9">
        <f t="shared" ca="1" si="247"/>
        <v>113.68955701727464</v>
      </c>
      <c r="BZ292">
        <f t="shared" ca="1" si="248"/>
        <v>205.93706241662835</v>
      </c>
      <c r="CA292" s="6">
        <f t="shared" ca="1" si="249"/>
        <v>-0.83380457275262243</v>
      </c>
      <c r="CB292" s="6">
        <f t="shared" ca="1" si="250"/>
        <v>0.55205972000936343</v>
      </c>
      <c r="CC292" s="6">
        <f t="shared" ca="1" si="251"/>
        <v>2.5567601629454737</v>
      </c>
      <c r="CD292" s="6">
        <f t="shared" ca="1" si="252"/>
        <v>71.71126434222694</v>
      </c>
      <c r="CE292" s="9">
        <f t="shared" ca="1" si="253"/>
        <v>-163.68955701727464</v>
      </c>
      <c r="CF292">
        <f t="shared" ca="1" si="254"/>
        <v>178.70863580160963</v>
      </c>
      <c r="CG292" s="6">
        <f t="shared" ca="1" si="255"/>
        <v>0.40127475664822371</v>
      </c>
      <c r="CH292" s="6">
        <f t="shared" ca="1" si="256"/>
        <v>-0.91595773356466015</v>
      </c>
      <c r="CI292" s="6">
        <f t="shared" ca="1" si="257"/>
        <v>-1.157888184341322</v>
      </c>
      <c r="CJ292" s="1">
        <f t="shared" ca="1" si="258"/>
        <v>1.6215357933421279</v>
      </c>
      <c r="CK292" s="38"/>
    </row>
    <row r="293" spans="55:89" x14ac:dyDescent="0.25">
      <c r="BC293">
        <v>5.0789081233034663</v>
      </c>
      <c r="BD293">
        <v>208.93226995673237</v>
      </c>
      <c r="BE293">
        <v>-93.727714495523969</v>
      </c>
      <c r="BF293" s="6">
        <f t="shared" si="241"/>
        <v>5.8614934500764395</v>
      </c>
      <c r="BG293" s="6">
        <f t="shared" si="242"/>
        <v>0.78258532677297321</v>
      </c>
      <c r="BH293" s="6">
        <f t="shared" si="243"/>
        <v>0.88533946610395309</v>
      </c>
      <c r="BI293" s="6">
        <f t="shared" si="244"/>
        <v>0.88533946610395309</v>
      </c>
      <c r="BJ293">
        <v>250.65431777910854</v>
      </c>
      <c r="BK293">
        <v>-112.44436457200136</v>
      </c>
      <c r="BV293" s="38"/>
      <c r="BW293" s="6">
        <f t="shared" si="245"/>
        <v>4.852015320544206</v>
      </c>
      <c r="BX293" s="9">
        <f t="shared" ca="1" si="246"/>
        <v>-177.29918926273749</v>
      </c>
      <c r="BY293" s="9">
        <f t="shared" ca="1" si="247"/>
        <v>112.83727682061216</v>
      </c>
      <c r="BZ293">
        <f t="shared" ca="1" si="248"/>
        <v>210.16006650530798</v>
      </c>
      <c r="CA293" s="6">
        <f t="shared" ca="1" si="249"/>
        <v>-0.84363881402873209</v>
      </c>
      <c r="CB293" s="6">
        <f t="shared" ca="1" si="250"/>
        <v>0.5369111206374797</v>
      </c>
      <c r="CC293" s="6">
        <f t="shared" ca="1" si="251"/>
        <v>2.574821204764274</v>
      </c>
      <c r="CD293" s="6">
        <f t="shared" ca="1" si="252"/>
        <v>77.299189262737485</v>
      </c>
      <c r="CE293" s="9">
        <f t="shared" ca="1" si="253"/>
        <v>-162.83727682061215</v>
      </c>
      <c r="CF293">
        <f t="shared" ca="1" si="254"/>
        <v>180.25299826363272</v>
      </c>
      <c r="CG293" s="6">
        <f t="shared" ca="1" si="255"/>
        <v>0.42883718999049308</v>
      </c>
      <c r="CH293" s="6">
        <f t="shared" ca="1" si="256"/>
        <v>-0.9033817933083762</v>
      </c>
      <c r="CI293" s="6">
        <f t="shared" ca="1" si="257"/>
        <v>-1.1275911182045137</v>
      </c>
      <c r="CJ293" s="1">
        <f t="shared" ca="1" si="258"/>
        <v>1.5912387272053197</v>
      </c>
      <c r="CK293" s="38"/>
    </row>
    <row r="294" spans="55:89" x14ac:dyDescent="0.25">
      <c r="BC294">
        <v>5.0963614158234094</v>
      </c>
      <c r="BD294">
        <v>210.61458526345666</v>
      </c>
      <c r="BE294">
        <v>-92.832902643874064</v>
      </c>
      <c r="BF294" s="6">
        <f t="shared" si="241"/>
        <v>5.8680322685176627</v>
      </c>
      <c r="BG294" s="6">
        <f t="shared" si="242"/>
        <v>0.77167085269425328</v>
      </c>
      <c r="BH294" s="6">
        <f t="shared" si="243"/>
        <v>0.87880064766272992</v>
      </c>
      <c r="BI294" s="6">
        <f t="shared" si="244"/>
        <v>0.87880064766272992</v>
      </c>
      <c r="BJ294">
        <v>253.01336473292693</v>
      </c>
      <c r="BK294">
        <v>-111.52107545861477</v>
      </c>
      <c r="BV294" s="38"/>
      <c r="BW294" s="6">
        <f t="shared" si="245"/>
        <v>4.8694686130641491</v>
      </c>
      <c r="BX294" s="9">
        <f t="shared" ca="1" si="246"/>
        <v>-182.63732604555312</v>
      </c>
      <c r="BY294" s="9">
        <f t="shared" ca="1" si="247"/>
        <v>111.94724373622516</v>
      </c>
      <c r="BZ294">
        <f t="shared" ca="1" si="248"/>
        <v>214.2161951048694</v>
      </c>
      <c r="CA294" s="6">
        <f t="shared" ca="1" si="249"/>
        <v>-0.85258411931060174</v>
      </c>
      <c r="CB294" s="6">
        <f t="shared" ca="1" si="250"/>
        <v>0.52259001090660517</v>
      </c>
      <c r="CC294" s="6">
        <f t="shared" ca="1" si="251"/>
        <v>2.5917066850615598</v>
      </c>
      <c r="CD294" s="6">
        <f t="shared" ca="1" si="252"/>
        <v>82.637326045553124</v>
      </c>
      <c r="CE294" s="9">
        <f t="shared" ca="1" si="253"/>
        <v>-161.94724373622518</v>
      </c>
      <c r="CF294">
        <f t="shared" ca="1" si="254"/>
        <v>181.81264370147466</v>
      </c>
      <c r="CG294" s="6">
        <f t="shared" ca="1" si="255"/>
        <v>0.45451913774070962</v>
      </c>
      <c r="CH294" s="6">
        <f t="shared" ca="1" si="256"/>
        <v>-0.89073697207842562</v>
      </c>
      <c r="CI294" s="6">
        <f t="shared" ca="1" si="257"/>
        <v>-1.0989640347165353</v>
      </c>
      <c r="CJ294" s="1">
        <f t="shared" ca="1" si="258"/>
        <v>1.5626116437173414</v>
      </c>
      <c r="CK294" s="38"/>
    </row>
    <row r="295" spans="55:89" x14ac:dyDescent="0.25">
      <c r="BC295">
        <v>5.1138147083433525</v>
      </c>
      <c r="BD295">
        <v>212.2811407039527</v>
      </c>
      <c r="BE295">
        <v>-91.993773023255017</v>
      </c>
      <c r="BF295" s="6">
        <f t="shared" si="241"/>
        <v>5.8742565429893112</v>
      </c>
      <c r="BG295" s="6">
        <f t="shared" si="242"/>
        <v>0.76044183464595871</v>
      </c>
      <c r="BH295" s="6">
        <f t="shared" si="243"/>
        <v>0.87257637319108139</v>
      </c>
      <c r="BI295" s="6">
        <f t="shared" si="244"/>
        <v>0.87257637319108139</v>
      </c>
      <c r="BJ295">
        <v>255.2309066028435</v>
      </c>
      <c r="BK295">
        <v>-110.60640626237407</v>
      </c>
      <c r="BV295" s="38"/>
      <c r="BW295" s="6">
        <f t="shared" si="245"/>
        <v>4.8869219055840922</v>
      </c>
      <c r="BX295" s="9">
        <f t="shared" ca="1" si="246"/>
        <v>-187.2680750961901</v>
      </c>
      <c r="BY295" s="9">
        <f t="shared" ca="1" si="247"/>
        <v>110.76812502075376</v>
      </c>
      <c r="BZ295">
        <f t="shared" ca="1" si="248"/>
        <v>217.57506628942028</v>
      </c>
      <c r="CA295" s="6">
        <f t="shared" ca="1" si="249"/>
        <v>-0.86070558676555542</v>
      </c>
      <c r="CB295" s="6">
        <f t="shared" ca="1" si="250"/>
        <v>0.50910302779551508</v>
      </c>
      <c r="CC295" s="6">
        <f t="shared" ca="1" si="251"/>
        <v>2.607450320812303</v>
      </c>
      <c r="CD295" s="6">
        <f t="shared" ca="1" si="252"/>
        <v>87.268075096190103</v>
      </c>
      <c r="CE295" s="9">
        <f t="shared" ca="1" si="253"/>
        <v>-160.76812502075376</v>
      </c>
      <c r="CF295">
        <f t="shared" ca="1" si="254"/>
        <v>182.92650697392924</v>
      </c>
      <c r="CG295" s="6">
        <f t="shared" ca="1" si="255"/>
        <v>0.47706631772413161</v>
      </c>
      <c r="CH295" s="6">
        <f t="shared" ca="1" si="256"/>
        <v>-0.87886729856852563</v>
      </c>
      <c r="CI295" s="6">
        <f t="shared" ca="1" si="257"/>
        <v>-1.0734826767037784</v>
      </c>
      <c r="CJ295" s="1">
        <f t="shared" ca="1" si="258"/>
        <v>1.5371302857045845</v>
      </c>
      <c r="CK295" s="38"/>
    </row>
    <row r="296" spans="55:89" x14ac:dyDescent="0.25">
      <c r="BC296">
        <v>5.1312680008632956</v>
      </c>
      <c r="BD296">
        <v>213.93671513128436</v>
      </c>
      <c r="BE296">
        <v>-91.203447220385925</v>
      </c>
      <c r="BF296" s="6">
        <f t="shared" si="241"/>
        <v>5.8802052604773074</v>
      </c>
      <c r="BG296" s="6">
        <f t="shared" si="242"/>
        <v>0.74893725961401181</v>
      </c>
      <c r="BH296" s="6">
        <f t="shared" si="243"/>
        <v>0.86662765570308531</v>
      </c>
      <c r="BI296" s="6">
        <f t="shared" si="244"/>
        <v>0.86662765570308531</v>
      </c>
      <c r="BJ296">
        <v>257.32204241368561</v>
      </c>
      <c r="BK296">
        <v>-109.69906357362134</v>
      </c>
      <c r="BV296" s="38"/>
      <c r="BW296" s="6">
        <f t="shared" si="245"/>
        <v>4.9043751981040353</v>
      </c>
      <c r="BX296" s="9">
        <f t="shared" ca="1" si="246"/>
        <v>-189.50654674857259</v>
      </c>
      <c r="BY296" s="9">
        <f t="shared" ca="1" si="247"/>
        <v>108.39618225693877</v>
      </c>
      <c r="BZ296">
        <f t="shared" ca="1" si="248"/>
        <v>218.31734605488501</v>
      </c>
      <c r="CA296" s="6">
        <f t="shared" ca="1" si="249"/>
        <v>-0.86803247736865863</v>
      </c>
      <c r="CB296" s="6">
        <f t="shared" ca="1" si="250"/>
        <v>0.49650742011900401</v>
      </c>
      <c r="CC296" s="6">
        <f t="shared" ca="1" si="251"/>
        <v>2.6220220885792314</v>
      </c>
      <c r="CD296" s="6">
        <f t="shared" ca="1" si="252"/>
        <v>89.506546748572589</v>
      </c>
      <c r="CE296" s="9">
        <f t="shared" ca="1" si="253"/>
        <v>-158.39618225693877</v>
      </c>
      <c r="CF296">
        <f t="shared" ca="1" si="254"/>
        <v>181.93617689846013</v>
      </c>
      <c r="CG296" s="6">
        <f t="shared" ca="1" si="255"/>
        <v>0.49196673401863789</v>
      </c>
      <c r="CH296" s="6">
        <f t="shared" ca="1" si="256"/>
        <v>-0.87061399748627677</v>
      </c>
      <c r="CI296" s="6">
        <f t="shared" ca="1" si="257"/>
        <v>-1.0564489924326907</v>
      </c>
      <c r="CJ296" s="1">
        <f t="shared" ca="1" si="258"/>
        <v>1.5200966014334969</v>
      </c>
      <c r="CK296" s="38"/>
    </row>
    <row r="297" spans="55:89" x14ac:dyDescent="0.25">
      <c r="BC297">
        <v>5.1487212933832387</v>
      </c>
      <c r="BD297">
        <v>215.58542205661408</v>
      </c>
      <c r="BE297">
        <v>-90.456022639916768</v>
      </c>
      <c r="BF297" s="6">
        <f t="shared" si="241"/>
        <v>5.8859116641877378</v>
      </c>
      <c r="BG297" s="6">
        <f t="shared" si="242"/>
        <v>0.73719037080449912</v>
      </c>
      <c r="BH297" s="6">
        <f t="shared" si="243"/>
        <v>0.86092125199265479</v>
      </c>
      <c r="BI297" s="6">
        <f t="shared" si="244"/>
        <v>0.86092125199265479</v>
      </c>
      <c r="BJ297">
        <v>259.29976708178106</v>
      </c>
      <c r="BK297">
        <v>-108.79782769131414</v>
      </c>
      <c r="BV297" s="38"/>
      <c r="BW297" s="6">
        <f t="shared" si="245"/>
        <v>4.9218284906239784</v>
      </c>
      <c r="BX297" s="9">
        <f t="shared" ca="1" si="246"/>
        <v>-191.72875431063156</v>
      </c>
      <c r="BY297" s="9">
        <f t="shared" ca="1" si="247"/>
        <v>106.23627573064887</v>
      </c>
      <c r="BZ297">
        <f t="shared" ca="1" si="248"/>
        <v>219.19411833036253</v>
      </c>
      <c r="CA297" s="6">
        <f t="shared" ca="1" si="249"/>
        <v>-0.87469844433354715</v>
      </c>
      <c r="CB297" s="6">
        <f t="shared" ca="1" si="250"/>
        <v>0.48466754737703716</v>
      </c>
      <c r="CC297" s="6">
        <f t="shared" ca="1" si="251"/>
        <v>2.635609602792687</v>
      </c>
      <c r="CD297" s="6">
        <f t="shared" ca="1" si="252"/>
        <v>91.728754310631558</v>
      </c>
      <c r="CE297" s="9">
        <f t="shared" ca="1" si="253"/>
        <v>-156.23627573064886</v>
      </c>
      <c r="CF297">
        <f t="shared" ca="1" si="254"/>
        <v>181.17377906740131</v>
      </c>
      <c r="CG297" s="6">
        <f t="shared" ca="1" si="255"/>
        <v>0.50630259402220723</v>
      </c>
      <c r="CH297" s="6">
        <f t="shared" ca="1" si="256"/>
        <v>-0.86235589131540358</v>
      </c>
      <c r="CI297" s="6">
        <f t="shared" ca="1" si="257"/>
        <v>-1.039904523778721</v>
      </c>
      <c r="CJ297" s="1">
        <f t="shared" ca="1" si="258"/>
        <v>1.5035521327795272</v>
      </c>
      <c r="CK297" s="38"/>
    </row>
    <row r="298" spans="55:89" x14ac:dyDescent="0.25">
      <c r="BC298">
        <v>5.1661745859031818</v>
      </c>
      <c r="BD298">
        <v>217.23086439798305</v>
      </c>
      <c r="BE298">
        <v>-89.746394886112682</v>
      </c>
      <c r="BF298" s="6">
        <f t="shared" si="241"/>
        <v>5.891404348995481</v>
      </c>
      <c r="BG298" s="6">
        <f t="shared" si="242"/>
        <v>0.72522976309229925</v>
      </c>
      <c r="BH298" s="6">
        <f t="shared" si="243"/>
        <v>0.85542856718491156</v>
      </c>
      <c r="BI298" s="6">
        <f t="shared" si="244"/>
        <v>0.85542856718491156</v>
      </c>
      <c r="BJ298">
        <v>261.17533620688596</v>
      </c>
      <c r="BK298">
        <v>-107.90154024703159</v>
      </c>
      <c r="BV298" s="38"/>
      <c r="BW298" s="6">
        <f t="shared" si="245"/>
        <v>4.9392817831439215</v>
      </c>
      <c r="BX298" s="9">
        <f t="shared" ca="1" si="246"/>
        <v>-193.91311057361992</v>
      </c>
      <c r="BY298" s="9">
        <f t="shared" ca="1" si="247"/>
        <v>104.26711730592994</v>
      </c>
      <c r="BZ298">
        <f t="shared" ca="1" si="248"/>
        <v>220.16794999187667</v>
      </c>
      <c r="CA298" s="6">
        <f t="shared" ca="1" si="249"/>
        <v>-0.88075085670177944</v>
      </c>
      <c r="CB298" s="6">
        <f t="shared" ca="1" si="250"/>
        <v>0.47357990711080789</v>
      </c>
      <c r="CC298" s="6">
        <f t="shared" ca="1" si="251"/>
        <v>2.6482416882898709</v>
      </c>
      <c r="CD298" s="6">
        <f t="shared" ca="1" si="252"/>
        <v>93.913110573619917</v>
      </c>
      <c r="CE298" s="9">
        <f t="shared" ca="1" si="253"/>
        <v>-154.26711730592996</v>
      </c>
      <c r="CF298">
        <f t="shared" ca="1" si="254"/>
        <v>180.60458415968992</v>
      </c>
      <c r="CG298" s="6">
        <f t="shared" ca="1" si="255"/>
        <v>0.51999295040364135</v>
      </c>
      <c r="CH298" s="6">
        <f t="shared" ca="1" si="256"/>
        <v>-0.85417055178138523</v>
      </c>
      <c r="CI298" s="6">
        <f t="shared" ca="1" si="257"/>
        <v>-1.0239536292681277</v>
      </c>
      <c r="CJ298" s="1">
        <f t="shared" ca="1" si="258"/>
        <v>1.4876012382689339</v>
      </c>
      <c r="CK298" s="38"/>
    </row>
    <row r="299" spans="55:89" x14ac:dyDescent="0.25">
      <c r="BC299">
        <v>5.1836278784231249</v>
      </c>
      <c r="BD299">
        <v>218.87625249158654</v>
      </c>
      <c r="BE299">
        <v>-89.070116926569881</v>
      </c>
      <c r="BF299" s="6">
        <f t="shared" si="241"/>
        <v>5.896708115916419</v>
      </c>
      <c r="BG299" s="6">
        <f t="shared" si="242"/>
        <v>0.71308023749329408</v>
      </c>
      <c r="BH299" s="6">
        <f t="shared" si="243"/>
        <v>0.85012480026397363</v>
      </c>
      <c r="BI299" s="6">
        <f t="shared" si="244"/>
        <v>0.85012480026397363</v>
      </c>
      <c r="BJ299">
        <v>262.95855645923223</v>
      </c>
      <c r="BK299">
        <v>-107.00909351308525</v>
      </c>
      <c r="BV299" s="38"/>
      <c r="BW299" s="6">
        <f t="shared" si="245"/>
        <v>4.9567350756638646</v>
      </c>
      <c r="BX299" s="9">
        <f t="shared" ca="1" si="246"/>
        <v>-196.03879053083628</v>
      </c>
      <c r="BY299" s="9">
        <f t="shared" ca="1" si="247"/>
        <v>102.47399711329867</v>
      </c>
      <c r="BZ299">
        <f t="shared" ca="1" si="248"/>
        <v>221.20607468414931</v>
      </c>
      <c r="CA299" s="6">
        <f t="shared" ca="1" si="249"/>
        <v>-0.88622697550576623</v>
      </c>
      <c r="CB299" s="6">
        <f t="shared" ca="1" si="250"/>
        <v>0.46325127942176497</v>
      </c>
      <c r="CC299" s="6">
        <f t="shared" ca="1" si="251"/>
        <v>2.6599322821004603</v>
      </c>
      <c r="CD299" s="6">
        <f t="shared" ca="1" si="252"/>
        <v>96.03879053083628</v>
      </c>
      <c r="CE299" s="9">
        <f t="shared" ca="1" si="253"/>
        <v>-152.47399711329865</v>
      </c>
      <c r="CF299">
        <f t="shared" ca="1" si="254"/>
        <v>180.19924828459204</v>
      </c>
      <c r="CG299" s="6">
        <f t="shared" ca="1" si="255"/>
        <v>0.5329588854841415</v>
      </c>
      <c r="CH299" s="6">
        <f t="shared" ca="1" si="256"/>
        <v>-0.84614113857175266</v>
      </c>
      <c r="CI299" s="6">
        <f t="shared" ca="1" si="257"/>
        <v>-1.008702679881287</v>
      </c>
      <c r="CJ299" s="1">
        <f t="shared" ca="1" si="258"/>
        <v>1.4723502888820932</v>
      </c>
      <c r="CK299" s="38"/>
    </row>
    <row r="300" spans="55:89" x14ac:dyDescent="0.25">
      <c r="BC300">
        <v>5.201081170943068</v>
      </c>
      <c r="BD300">
        <v>220.52449536914565</v>
      </c>
      <c r="BE300">
        <v>-88.423286294451387</v>
      </c>
      <c r="BF300" s="6">
        <f t="shared" si="241"/>
        <v>5.9018446461220329</v>
      </c>
      <c r="BG300" s="6">
        <f t="shared" si="242"/>
        <v>0.70076347517896487</v>
      </c>
      <c r="BH300" s="6">
        <f t="shared" si="243"/>
        <v>0.84498827005835975</v>
      </c>
      <c r="BI300" s="6">
        <f t="shared" si="244"/>
        <v>0.84498827005835975</v>
      </c>
      <c r="BJ300">
        <v>264.65801888365286</v>
      </c>
      <c r="BK300">
        <v>-106.11942104072401</v>
      </c>
      <c r="BV300" s="38"/>
      <c r="BW300" s="6">
        <f t="shared" si="245"/>
        <v>4.9741883681838077</v>
      </c>
      <c r="BX300" s="9">
        <f t="shared" ca="1" si="246"/>
        <v>-198.08447483180194</v>
      </c>
      <c r="BY300" s="9">
        <f t="shared" ca="1" si="247"/>
        <v>100.84823798082901</v>
      </c>
      <c r="BZ300">
        <f t="shared" ca="1" si="248"/>
        <v>222.27871304564616</v>
      </c>
      <c r="CA300" s="6">
        <f t="shared" ca="1" si="249"/>
        <v>-0.89115359774070768</v>
      </c>
      <c r="CB300" s="6">
        <f t="shared" ca="1" si="250"/>
        <v>0.45370173598278513</v>
      </c>
      <c r="CC300" s="6">
        <f t="shared" ca="1" si="251"/>
        <v>2.670677815943745</v>
      </c>
      <c r="CD300" s="6">
        <f t="shared" ca="1" si="252"/>
        <v>98.084474831801941</v>
      </c>
      <c r="CE300" s="9">
        <f t="shared" ca="1" si="253"/>
        <v>-150.84823798082903</v>
      </c>
      <c r="CF300">
        <f t="shared" ca="1" si="254"/>
        <v>179.93264046567876</v>
      </c>
      <c r="CG300" s="6">
        <f t="shared" ca="1" si="255"/>
        <v>0.54511774282838388</v>
      </c>
      <c r="CH300" s="6">
        <f t="shared" ca="1" si="256"/>
        <v>-0.83835949714528069</v>
      </c>
      <c r="CI300" s="6">
        <f t="shared" ca="1" si="257"/>
        <v>-0.99426677415163667</v>
      </c>
      <c r="CJ300" s="1">
        <f t="shared" ca="1" si="258"/>
        <v>1.4579143831524428</v>
      </c>
      <c r="CK300" s="38"/>
    </row>
    <row r="301" spans="55:89" x14ac:dyDescent="0.25">
      <c r="BC301">
        <v>5.2185344634630111</v>
      </c>
      <c r="BD301">
        <v>222.17827238147433</v>
      </c>
      <c r="BE301">
        <v>-87.802453880672999</v>
      </c>
      <c r="BF301" s="6">
        <f t="shared" si="241"/>
        <v>5.9068330382012135</v>
      </c>
      <c r="BG301" s="6">
        <f t="shared" si="242"/>
        <v>0.68829857473820244</v>
      </c>
      <c r="BH301" s="6">
        <f t="shared" si="243"/>
        <v>0.83999987797917908</v>
      </c>
      <c r="BI301" s="6">
        <f t="shared" si="244"/>
        <v>0.83999987797917908</v>
      </c>
      <c r="BJ301">
        <v>266.28128794686938</v>
      </c>
      <c r="BK301">
        <v>-105.23148935147941</v>
      </c>
      <c r="BV301" s="38"/>
      <c r="BW301" s="6">
        <f t="shared" si="245"/>
        <v>4.9916416607037508</v>
      </c>
      <c r="BX301" s="9">
        <f t="shared" ca="1" si="246"/>
        <v>-200.03721979204522</v>
      </c>
      <c r="BY301" s="9">
        <f t="shared" ca="1" si="247"/>
        <v>99.381041633985447</v>
      </c>
      <c r="BZ301">
        <f t="shared" ca="1" si="248"/>
        <v>223.36400949657704</v>
      </c>
      <c r="CA301" s="6">
        <f t="shared" ca="1" si="249"/>
        <v>-0.89556603251747546</v>
      </c>
      <c r="CB301" s="6">
        <f t="shared" ca="1" si="250"/>
        <v>0.44492862506351283</v>
      </c>
      <c r="CC301" s="6">
        <f t="shared" ca="1" si="251"/>
        <v>2.6804980924612298</v>
      </c>
      <c r="CD301" s="6">
        <f t="shared" ca="1" si="252"/>
        <v>100.03721979204522</v>
      </c>
      <c r="CE301" s="9">
        <f t="shared" ca="1" si="253"/>
        <v>-149.38104163398543</v>
      </c>
      <c r="CF301">
        <f t="shared" ca="1" si="254"/>
        <v>179.78359475596335</v>
      </c>
      <c r="CG301" s="6">
        <f t="shared" ca="1" si="255"/>
        <v>0.55643130246580541</v>
      </c>
      <c r="CH301" s="6">
        <f t="shared" ca="1" si="256"/>
        <v>-0.83089361872396605</v>
      </c>
      <c r="CI301" s="6">
        <f t="shared" ca="1" si="257"/>
        <v>-0.98071174609624123</v>
      </c>
      <c r="CJ301" s="1">
        <f t="shared" ca="1" si="258"/>
        <v>1.4443593550970473</v>
      </c>
      <c r="CK301" s="38"/>
    </row>
    <row r="302" spans="55:89" x14ac:dyDescent="0.25">
      <c r="BC302">
        <v>5.2359877559829542</v>
      </c>
      <c r="BD302">
        <v>223.84009024894803</v>
      </c>
      <c r="BE302">
        <v>-87.20454950146663</v>
      </c>
      <c r="BF302" s="6">
        <f t="shared" si="241"/>
        <v>5.9116902406626943</v>
      </c>
      <c r="BG302" s="6">
        <f t="shared" si="242"/>
        <v>0.67570248467974015</v>
      </c>
      <c r="BH302" s="6">
        <f t="shared" si="243"/>
        <v>0.83514267551769827</v>
      </c>
      <c r="BI302" s="6">
        <f t="shared" si="244"/>
        <v>0.83514267551769827</v>
      </c>
      <c r="BJ302">
        <v>267.83505594607072</v>
      </c>
      <c r="BK302">
        <v>-104.34429046423679</v>
      </c>
      <c r="BV302" s="38"/>
      <c r="BW302" s="6">
        <f t="shared" si="245"/>
        <v>5.0090949532236939</v>
      </c>
      <c r="BX302" s="9">
        <f t="shared" ca="1" si="246"/>
        <v>-201.91274225156107</v>
      </c>
      <c r="BY302" s="9">
        <f t="shared" ca="1" si="247"/>
        <v>98.050219448990248</v>
      </c>
      <c r="BZ302">
        <f t="shared" ca="1" si="248"/>
        <v>224.46068924767312</v>
      </c>
      <c r="CA302" s="6">
        <f t="shared" ca="1" si="249"/>
        <v>-0.89954612065174444</v>
      </c>
      <c r="CB302" s="6">
        <f t="shared" ca="1" si="250"/>
        <v>0.43682579688062989</v>
      </c>
      <c r="CC302" s="6">
        <f t="shared" ca="1" si="251"/>
        <v>2.6895256879109031</v>
      </c>
      <c r="CD302" s="6">
        <f t="shared" ca="1" si="252"/>
        <v>101.91274225156107</v>
      </c>
      <c r="CE302" s="9">
        <f t="shared" ca="1" si="253"/>
        <v>-148.05021944899025</v>
      </c>
      <c r="CF302">
        <f t="shared" ca="1" si="254"/>
        <v>179.73612467205166</v>
      </c>
      <c r="CG302" s="6">
        <f t="shared" ca="1" si="255"/>
        <v>0.56701312792579728</v>
      </c>
      <c r="CH302" s="6">
        <f t="shared" ca="1" si="256"/>
        <v>-0.82370875481556183</v>
      </c>
      <c r="CI302" s="6">
        <f t="shared" ca="1" si="257"/>
        <v>-0.96792114291123188</v>
      </c>
      <c r="CJ302" s="1">
        <f t="shared" ca="1" si="258"/>
        <v>1.4315687519120379</v>
      </c>
      <c r="CK302" s="38"/>
    </row>
    <row r="303" spans="55:89" x14ac:dyDescent="0.25">
      <c r="BC303">
        <v>5.2534410485028973</v>
      </c>
      <c r="BD303">
        <v>225.51232923641751</v>
      </c>
      <c r="BE303">
        <v>-86.626820605227906</v>
      </c>
      <c r="BF303" s="6">
        <f t="shared" si="241"/>
        <v>5.9164314033987466</v>
      </c>
      <c r="BG303" s="6">
        <f t="shared" si="242"/>
        <v>0.66299035489584934</v>
      </c>
      <c r="BH303" s="6">
        <f t="shared" si="243"/>
        <v>0.83040151278164598</v>
      </c>
      <c r="BI303" s="6">
        <f t="shared" si="244"/>
        <v>0.83040151278164598</v>
      </c>
      <c r="BJ303">
        <v>269.32527005188035</v>
      </c>
      <c r="BK303">
        <v>-103.4568350752113</v>
      </c>
      <c r="BV303" s="38"/>
      <c r="BW303" s="6">
        <f t="shared" si="245"/>
        <v>5.026548245743637</v>
      </c>
      <c r="BX303" s="9">
        <f t="shared" ca="1" si="246"/>
        <v>-203.72813934620407</v>
      </c>
      <c r="BY303" s="9">
        <f t="shared" ca="1" si="247"/>
        <v>96.834901771763811</v>
      </c>
      <c r="BZ303">
        <f t="shared" ca="1" si="248"/>
        <v>225.57072718465375</v>
      </c>
      <c r="CA303" s="6">
        <f t="shared" ca="1" si="249"/>
        <v>-0.90316745390207842</v>
      </c>
      <c r="CB303" s="6">
        <f t="shared" ca="1" si="250"/>
        <v>0.42928842310506937</v>
      </c>
      <c r="CC303" s="6">
        <f t="shared" ca="1" si="251"/>
        <v>2.6978878924896859</v>
      </c>
      <c r="CD303" s="6">
        <f t="shared" ca="1" si="252"/>
        <v>103.72813934620407</v>
      </c>
      <c r="CE303" s="9">
        <f t="shared" ca="1" si="253"/>
        <v>-146.83490177176381</v>
      </c>
      <c r="CF303">
        <f t="shared" ca="1" si="254"/>
        <v>179.77768290460597</v>
      </c>
      <c r="CG303" s="6">
        <f t="shared" ca="1" si="255"/>
        <v>0.57698006599208718</v>
      </c>
      <c r="CH303" s="6">
        <f t="shared" ca="1" si="256"/>
        <v>-0.81675822827062283</v>
      </c>
      <c r="CI303" s="6">
        <f t="shared" ca="1" si="257"/>
        <v>-0.95576994994892961</v>
      </c>
      <c r="CJ303" s="1">
        <f t="shared" ca="1" si="258"/>
        <v>1.4194175589497358</v>
      </c>
      <c r="CK303" s="38"/>
    </row>
    <row r="304" spans="55:89" x14ac:dyDescent="0.25">
      <c r="BC304">
        <v>5.2708943410228404</v>
      </c>
      <c r="BD304">
        <v>227.19728117693026</v>
      </c>
      <c r="BE304">
        <v>-86.066781342910559</v>
      </c>
      <c r="BF304" s="6">
        <f t="shared" si="241"/>
        <v>5.9210701658995974</v>
      </c>
      <c r="BG304" s="6">
        <f t="shared" si="242"/>
        <v>0.65017582487675707</v>
      </c>
      <c r="BH304" s="6">
        <f t="shared" si="243"/>
        <v>0.82576275028079515</v>
      </c>
      <c r="BI304" s="6">
        <f t="shared" si="244"/>
        <v>0.82576275028079515</v>
      </c>
      <c r="BJ304">
        <v>270.75723755148749</v>
      </c>
      <c r="BK304">
        <v>-102.56814624118216</v>
      </c>
      <c r="BV304" s="38"/>
      <c r="BW304" s="6">
        <f t="shared" si="245"/>
        <v>5.0440015382635801</v>
      </c>
      <c r="BX304" s="9">
        <f t="shared" ca="1" si="246"/>
        <v>-205.49661074564418</v>
      </c>
      <c r="BY304" s="9">
        <f t="shared" ca="1" si="247"/>
        <v>95.718201614527246</v>
      </c>
      <c r="BZ304">
        <f t="shared" ca="1" si="248"/>
        <v>226.69545903759541</v>
      </c>
      <c r="CA304" s="6">
        <f t="shared" ca="1" si="249"/>
        <v>-0.90648754773497431</v>
      </c>
      <c r="CB304" s="6">
        <f t="shared" ca="1" si="250"/>
        <v>0.42223254943387833</v>
      </c>
      <c r="CC304" s="6">
        <f t="shared" ca="1" si="251"/>
        <v>2.7056858848251371</v>
      </c>
      <c r="CD304" s="6">
        <f t="shared" ca="1" si="252"/>
        <v>105.49661074564418</v>
      </c>
      <c r="CE304" s="9">
        <f t="shared" ca="1" si="253"/>
        <v>-145.71820161452723</v>
      </c>
      <c r="CF304">
        <f t="shared" ca="1" si="254"/>
        <v>179.89810771820245</v>
      </c>
      <c r="CG304" s="6">
        <f t="shared" ca="1" si="255"/>
        <v>0.58642423805200383</v>
      </c>
      <c r="CH304" s="6">
        <f t="shared" ca="1" si="256"/>
        <v>-0.81000408210398966</v>
      </c>
      <c r="CI304" s="6">
        <f t="shared" ca="1" si="257"/>
        <v>-0.94415907612899352</v>
      </c>
      <c r="CJ304" s="1">
        <f t="shared" ca="1" si="258"/>
        <v>1.4078066851297997</v>
      </c>
      <c r="CK304" s="38"/>
    </row>
    <row r="305" spans="55:89" x14ac:dyDescent="0.25">
      <c r="BC305">
        <v>5.2883476335427835</v>
      </c>
      <c r="BD305">
        <v>228.89718137821333</v>
      </c>
      <c r="BE305">
        <v>-85.522169859897133</v>
      </c>
      <c r="BF305" s="6">
        <f t="shared" si="241"/>
        <v>5.9256188957106266</v>
      </c>
      <c r="BG305" s="6">
        <f t="shared" si="242"/>
        <v>0.63727126216784313</v>
      </c>
      <c r="BH305" s="6">
        <f t="shared" si="243"/>
        <v>0.82121402046976599</v>
      </c>
      <c r="BI305" s="6">
        <f t="shared" si="244"/>
        <v>0.82121402046976599</v>
      </c>
      <c r="BJ305">
        <v>272.13571360373078</v>
      </c>
      <c r="BK305">
        <v>-101.67725344466731</v>
      </c>
      <c r="BV305" s="38"/>
      <c r="BW305" s="6">
        <f t="shared" si="245"/>
        <v>5.0614548307835232</v>
      </c>
      <c r="BX305" s="9">
        <f t="shared" ca="1" si="246"/>
        <v>-207.22854476850438</v>
      </c>
      <c r="BY305" s="9">
        <f t="shared" ca="1" si="247"/>
        <v>94.686289218756443</v>
      </c>
      <c r="BZ305">
        <f t="shared" ca="1" si="248"/>
        <v>227.83582495492234</v>
      </c>
      <c r="CA305" s="6">
        <f t="shared" ca="1" si="249"/>
        <v>-0.90955206368228025</v>
      </c>
      <c r="CB305" s="6">
        <f t="shared" ca="1" si="250"/>
        <v>0.41558999440711425</v>
      </c>
      <c r="CC305" s="6">
        <f t="shared" ca="1" si="251"/>
        <v>2.7130012818703673</v>
      </c>
      <c r="CD305" s="6">
        <f t="shared" ca="1" si="252"/>
        <v>107.22854476850438</v>
      </c>
      <c r="CE305" s="9">
        <f t="shared" ca="1" si="253"/>
        <v>-144.68628921875643</v>
      </c>
      <c r="CF305">
        <f t="shared" ca="1" si="254"/>
        <v>180.08909767408127</v>
      </c>
      <c r="CG305" s="6">
        <f t="shared" ca="1" si="255"/>
        <v>0.59541941268739496</v>
      </c>
      <c r="CH305" s="6">
        <f t="shared" ca="1" si="256"/>
        <v>-0.80341503781980428</v>
      </c>
      <c r="CI305" s="6">
        <f t="shared" ca="1" si="257"/>
        <v>-0.93300874162924108</v>
      </c>
      <c r="CJ305" s="1">
        <f t="shared" ca="1" si="258"/>
        <v>1.3966563506300471</v>
      </c>
      <c r="CK305" s="38"/>
    </row>
    <row r="306" spans="55:89" x14ac:dyDescent="0.25">
      <c r="BC306">
        <v>5.3058009260627266</v>
      </c>
      <c r="BD306">
        <v>230.61423595409082</v>
      </c>
      <c r="BE306">
        <v>-84.990912140402386</v>
      </c>
      <c r="BF306" s="6">
        <f t="shared" si="241"/>
        <v>5.9300888874717144</v>
      </c>
      <c r="BG306" s="6">
        <f t="shared" si="242"/>
        <v>0.62428796140898779</v>
      </c>
      <c r="BH306" s="6">
        <f t="shared" si="243"/>
        <v>0.81674402870867813</v>
      </c>
      <c r="BI306" s="6">
        <f t="shared" si="244"/>
        <v>0.81674402870867813</v>
      </c>
      <c r="BJ306">
        <v>273.46497483756008</v>
      </c>
      <c r="BK306">
        <v>-100.78318692573382</v>
      </c>
      <c r="BV306" s="38"/>
      <c r="BW306" s="6">
        <f t="shared" si="245"/>
        <v>5.0789081233034663</v>
      </c>
      <c r="BX306" s="9">
        <f t="shared" ca="1" si="246"/>
        <v>-208.93226995673237</v>
      </c>
      <c r="BY306" s="9">
        <f t="shared" ca="1" si="247"/>
        <v>93.727714495523969</v>
      </c>
      <c r="BZ306">
        <f t="shared" ca="1" si="248"/>
        <v>228.99252803056118</v>
      </c>
      <c r="CA306" s="6">
        <f t="shared" ca="1" si="249"/>
        <v>-0.91239776141887219</v>
      </c>
      <c r="CB306" s="6">
        <f t="shared" ca="1" si="250"/>
        <v>0.40930468474943049</v>
      </c>
      <c r="CC306" s="6">
        <f t="shared" ca="1" si="251"/>
        <v>2.7199007964866464</v>
      </c>
      <c r="CD306" s="6">
        <f t="shared" ca="1" si="252"/>
        <v>108.93226995673237</v>
      </c>
      <c r="CE306" s="9">
        <f t="shared" ca="1" si="253"/>
        <v>-143.72771449552397</v>
      </c>
      <c r="CF306">
        <f t="shared" ca="1" si="254"/>
        <v>180.34382537817385</v>
      </c>
      <c r="CG306" s="6">
        <f t="shared" ca="1" si="255"/>
        <v>0.60402550366393593</v>
      </c>
      <c r="CH306" s="6">
        <f t="shared" ca="1" si="256"/>
        <v>-0.79696498726326037</v>
      </c>
      <c r="CI306" s="6">
        <f t="shared" ca="1" si="257"/>
        <v>-0.92225378607291097</v>
      </c>
      <c r="CJ306" s="1">
        <f t="shared" ca="1" si="258"/>
        <v>1.3859013950737171</v>
      </c>
      <c r="CK306" s="38"/>
    </row>
    <row r="307" spans="55:89" x14ac:dyDescent="0.25">
      <c r="BC307">
        <v>5.3232542185826697</v>
      </c>
      <c r="BD307">
        <v>232.35064576417733</v>
      </c>
      <c r="BE307">
        <v>-84.471091088558623</v>
      </c>
      <c r="BF307" s="6">
        <f t="shared" si="241"/>
        <v>5.9344905305442834</v>
      </c>
      <c r="BG307" s="6">
        <f t="shared" si="242"/>
        <v>0.61123631196161377</v>
      </c>
      <c r="BH307" s="6">
        <f t="shared" si="243"/>
        <v>0.81234238563610928</v>
      </c>
      <c r="BI307" s="6">
        <f t="shared" si="244"/>
        <v>0.81234238563610928</v>
      </c>
      <c r="BJ307">
        <v>274.74888144456406</v>
      </c>
      <c r="BK307">
        <v>-99.884972192151793</v>
      </c>
      <c r="BV307" s="38"/>
      <c r="BW307" s="6">
        <f t="shared" si="245"/>
        <v>5.0963614158234094</v>
      </c>
      <c r="BX307" s="9">
        <f t="shared" ca="1" si="246"/>
        <v>-210.61458526345666</v>
      </c>
      <c r="BY307" s="9">
        <f t="shared" ca="1" si="247"/>
        <v>92.832902643874064</v>
      </c>
      <c r="BZ307">
        <f t="shared" ca="1" si="248"/>
        <v>230.16613855861783</v>
      </c>
      <c r="CA307" s="6">
        <f t="shared" ca="1" si="249"/>
        <v>-0.9150546061310324</v>
      </c>
      <c r="CB307" s="6">
        <f t="shared" ca="1" si="250"/>
        <v>0.40332997384075125</v>
      </c>
      <c r="CC307" s="6">
        <f t="shared" ca="1" si="251"/>
        <v>2.7264396149278691</v>
      </c>
      <c r="CD307" s="6">
        <f t="shared" ca="1" si="252"/>
        <v>110.61458526345666</v>
      </c>
      <c r="CE307" s="9">
        <f t="shared" ca="1" si="253"/>
        <v>-142.83290264387406</v>
      </c>
      <c r="CF307">
        <f t="shared" ca="1" si="254"/>
        <v>180.65664823272056</v>
      </c>
      <c r="CG307" s="6">
        <f t="shared" ca="1" si="255"/>
        <v>0.61229180517599202</v>
      </c>
      <c r="CH307" s="6">
        <f t="shared" ca="1" si="256"/>
        <v>-0.7906318645958591</v>
      </c>
      <c r="CI307" s="6">
        <f t="shared" ca="1" si="257"/>
        <v>-0.911840277376886</v>
      </c>
      <c r="CJ307" s="1">
        <f t="shared" ca="1" si="258"/>
        <v>1.375487886377692</v>
      </c>
      <c r="CK307" s="38"/>
    </row>
    <row r="308" spans="55:89" x14ac:dyDescent="0.25">
      <c r="BC308">
        <v>5.3407075111026128</v>
      </c>
      <c r="BD308">
        <v>234.10862788885092</v>
      </c>
      <c r="BE308">
        <v>-83.960919799337219</v>
      </c>
      <c r="BF308" s="6">
        <f t="shared" si="241"/>
        <v>5.9388334514840704</v>
      </c>
      <c r="BG308" s="6">
        <f t="shared" si="242"/>
        <v>0.59812594038145761</v>
      </c>
      <c r="BH308" s="6">
        <f t="shared" si="243"/>
        <v>0.80799946469632222</v>
      </c>
      <c r="BI308" s="6">
        <f t="shared" si="244"/>
        <v>0.80799946469632222</v>
      </c>
      <c r="BJ308">
        <v>275.99092983542437</v>
      </c>
      <c r="BK308">
        <v>-98.981624616835092</v>
      </c>
      <c r="BV308" s="38"/>
      <c r="BW308" s="6">
        <f t="shared" si="245"/>
        <v>5.1138147083433525</v>
      </c>
      <c r="BX308" s="9">
        <f t="shared" ca="1" si="246"/>
        <v>-212.2811407039527</v>
      </c>
      <c r="BY308" s="9">
        <f t="shared" ca="1" si="247"/>
        <v>91.993773023255017</v>
      </c>
      <c r="BZ308">
        <f t="shared" ca="1" si="248"/>
        <v>231.35716322090727</v>
      </c>
      <c r="CA308" s="6">
        <f t="shared" ca="1" si="249"/>
        <v>-0.91754730110197558</v>
      </c>
      <c r="CB308" s="6">
        <f t="shared" ca="1" si="250"/>
        <v>0.39762664679379905</v>
      </c>
      <c r="CC308" s="6">
        <f t="shared" ca="1" si="251"/>
        <v>2.7326638893995181</v>
      </c>
      <c r="CD308" s="6">
        <f t="shared" ca="1" si="252"/>
        <v>112.2811407039527</v>
      </c>
      <c r="CE308" s="9">
        <f t="shared" ca="1" si="253"/>
        <v>-141.99377302325502</v>
      </c>
      <c r="CF308">
        <f t="shared" ca="1" si="254"/>
        <v>181.02288842895112</v>
      </c>
      <c r="CG308" s="6">
        <f t="shared" ca="1" si="255"/>
        <v>0.62025935879385463</v>
      </c>
      <c r="CH308" s="6">
        <f t="shared" ca="1" si="256"/>
        <v>-0.78439679233703941</v>
      </c>
      <c r="CI308" s="6">
        <f t="shared" ca="1" si="257"/>
        <v>-0.90172301935727217</v>
      </c>
      <c r="CJ308" s="1">
        <f t="shared" ca="1" si="258"/>
        <v>1.3653706283580782</v>
      </c>
      <c r="CK308" s="38"/>
    </row>
    <row r="309" spans="55:89" x14ac:dyDescent="0.25">
      <c r="BC309">
        <v>5.3581608036225559</v>
      </c>
      <c r="BD309">
        <v>235.89043537761569</v>
      </c>
      <c r="BE309">
        <v>-83.458718175331526</v>
      </c>
      <c r="BF309" s="6">
        <f t="shared" si="241"/>
        <v>5.9431266363019146</v>
      </c>
      <c r="BG309" s="6">
        <f t="shared" si="242"/>
        <v>0.58496583267935875</v>
      </c>
      <c r="BH309" s="6">
        <f t="shared" si="243"/>
        <v>0.80370627987847809</v>
      </c>
      <c r="BI309" s="6">
        <f t="shared" si="244"/>
        <v>0.80370627987847809</v>
      </c>
      <c r="BJ309">
        <v>277.1942975261212</v>
      </c>
      <c r="BK309">
        <v>-98.072144044365203</v>
      </c>
      <c r="BV309" s="38"/>
      <c r="BW309" s="6">
        <f t="shared" si="245"/>
        <v>5.1312680008632956</v>
      </c>
      <c r="BX309" s="9">
        <f t="shared" ca="1" si="246"/>
        <v>-213.93671513128436</v>
      </c>
      <c r="BY309" s="9">
        <f t="shared" ca="1" si="247"/>
        <v>91.203447220385925</v>
      </c>
      <c r="BZ309">
        <f t="shared" ca="1" si="248"/>
        <v>232.56609139349192</v>
      </c>
      <c r="CA309" s="6">
        <f t="shared" ca="1" si="249"/>
        <v>-0.91989642105354286</v>
      </c>
      <c r="CB309" s="6">
        <f t="shared" ca="1" si="250"/>
        <v>0.39216141387556613</v>
      </c>
      <c r="CC309" s="6">
        <f t="shared" ca="1" si="251"/>
        <v>2.7386126068875143</v>
      </c>
      <c r="CD309" s="6">
        <f t="shared" ca="1" si="252"/>
        <v>113.93671513128436</v>
      </c>
      <c r="CE309" s="9">
        <f t="shared" ca="1" si="253"/>
        <v>-141.20344722038593</v>
      </c>
      <c r="CF309">
        <f t="shared" ca="1" si="254"/>
        <v>181.43866335990177</v>
      </c>
      <c r="CG309" s="6">
        <f t="shared" ca="1" si="255"/>
        <v>0.6279627121441006</v>
      </c>
      <c r="CH309" s="6">
        <f t="shared" ca="1" si="256"/>
        <v>-0.77824342731347584</v>
      </c>
      <c r="CI309" s="6">
        <f t="shared" ca="1" si="257"/>
        <v>-0.89186369172440871</v>
      </c>
      <c r="CJ309" s="1">
        <f t="shared" ca="1" si="258"/>
        <v>1.3555113007252149</v>
      </c>
      <c r="CK309" s="38"/>
    </row>
    <row r="310" spans="55:89" x14ac:dyDescent="0.25">
      <c r="BC310">
        <v>5.375614096142499</v>
      </c>
      <c r="BD310">
        <v>237.69837587338438</v>
      </c>
      <c r="BE310">
        <v>-82.962892200579475</v>
      </c>
      <c r="BF310" s="6">
        <f t="shared" si="241"/>
        <v>5.9473785364554717</v>
      </c>
      <c r="BG310" s="6">
        <f t="shared" si="242"/>
        <v>0.57176444031297269</v>
      </c>
      <c r="BH310" s="6">
        <f t="shared" si="243"/>
        <v>0.79945437972492106</v>
      </c>
      <c r="BI310" s="6">
        <f t="shared" si="244"/>
        <v>0.79945437972492106</v>
      </c>
      <c r="BJ310">
        <v>278.36188158815759</v>
      </c>
      <c r="BK310">
        <v>-97.155509330237038</v>
      </c>
      <c r="BV310" s="38"/>
      <c r="BW310" s="6">
        <f t="shared" si="245"/>
        <v>5.1487212933832387</v>
      </c>
      <c r="BX310" s="9">
        <f t="shared" ca="1" si="246"/>
        <v>-215.58542205661408</v>
      </c>
      <c r="BY310" s="9">
        <f t="shared" ca="1" si="247"/>
        <v>90.456022639916768</v>
      </c>
      <c r="BZ310">
        <f t="shared" ca="1" si="248"/>
        <v>233.79342641563207</v>
      </c>
      <c r="CA310" s="6">
        <f t="shared" ca="1" si="249"/>
        <v>-0.92211926298283398</v>
      </c>
      <c r="CB310" s="6">
        <f t="shared" ca="1" si="250"/>
        <v>0.38690575704684838</v>
      </c>
      <c r="CC310" s="6">
        <f t="shared" ca="1" si="251"/>
        <v>2.7443190105979447</v>
      </c>
      <c r="CD310" s="6">
        <f t="shared" ca="1" si="252"/>
        <v>115.58542205661408</v>
      </c>
      <c r="CE310" s="9">
        <f t="shared" ca="1" si="253"/>
        <v>-140.45602263991677</v>
      </c>
      <c r="CF310">
        <f t="shared" ca="1" si="254"/>
        <v>181.90075340094228</v>
      </c>
      <c r="CG310" s="6">
        <f t="shared" ca="1" si="255"/>
        <v>0.63543124421174235</v>
      </c>
      <c r="CH310" s="6">
        <f t="shared" ca="1" si="256"/>
        <v>-0.77215745407236547</v>
      </c>
      <c r="CI310" s="6">
        <f t="shared" ca="1" si="257"/>
        <v>-0.88222944242940959</v>
      </c>
      <c r="CJ310" s="1">
        <f t="shared" ca="1" si="258"/>
        <v>1.3458770514302156</v>
      </c>
      <c r="CK310" s="38"/>
    </row>
    <row r="311" spans="55:89" x14ac:dyDescent="0.25">
      <c r="BC311">
        <v>5.3930673886624421</v>
      </c>
      <c r="BD311">
        <v>239.53482961764107</v>
      </c>
      <c r="BE311">
        <v>-82.47191530132524</v>
      </c>
      <c r="BF311" s="6">
        <f t="shared" si="241"/>
        <v>5.9515971617489267</v>
      </c>
      <c r="BG311" s="6">
        <f t="shared" si="242"/>
        <v>0.55852977308648466</v>
      </c>
      <c r="BH311" s="6">
        <f t="shared" si="243"/>
        <v>0.79523575443146599</v>
      </c>
      <c r="BI311" s="6">
        <f t="shared" si="244"/>
        <v>0.79523575443146599</v>
      </c>
      <c r="BJ311">
        <v>279.49633173541258</v>
      </c>
      <c r="BK311">
        <v>-96.230672736439658</v>
      </c>
      <c r="BV311" s="38"/>
      <c r="BW311" s="6">
        <f t="shared" si="245"/>
        <v>5.1661745859031818</v>
      </c>
      <c r="BX311" s="9">
        <f t="shared" ca="1" si="246"/>
        <v>-217.23086439798305</v>
      </c>
      <c r="BY311" s="9">
        <f t="shared" ca="1" si="247"/>
        <v>89.746394886112682</v>
      </c>
      <c r="BZ311">
        <f t="shared" ca="1" si="248"/>
        <v>235.03970694788779</v>
      </c>
      <c r="CA311" s="6">
        <f t="shared" ca="1" si="249"/>
        <v>-0.92423049372737154</v>
      </c>
      <c r="CB311" s="6">
        <f t="shared" ca="1" si="250"/>
        <v>0.38183503566914739</v>
      </c>
      <c r="CC311" s="6">
        <f t="shared" ca="1" si="251"/>
        <v>2.7498116954056875</v>
      </c>
      <c r="CD311" s="6">
        <f t="shared" ca="1" si="252"/>
        <v>117.23086439798305</v>
      </c>
      <c r="CE311" s="9">
        <f t="shared" ca="1" si="253"/>
        <v>-139.74639488611268</v>
      </c>
      <c r="CF311">
        <f t="shared" ca="1" si="254"/>
        <v>182.40649783152909</v>
      </c>
      <c r="CG311" s="6">
        <f t="shared" ca="1" si="255"/>
        <v>0.64269017711341425</v>
      </c>
      <c r="CH311" s="6">
        <f t="shared" ca="1" si="256"/>
        <v>-0.76612618819743283</v>
      </c>
      <c r="CI311" s="6">
        <f t="shared" ca="1" si="257"/>
        <v>-0.87279180840231252</v>
      </c>
      <c r="CJ311" s="1">
        <f t="shared" ca="1" si="258"/>
        <v>1.3364394174031187</v>
      </c>
      <c r="CK311" s="38"/>
    </row>
    <row r="312" spans="55:89" x14ac:dyDescent="0.25">
      <c r="BC312">
        <v>5.4105206811823852</v>
      </c>
      <c r="BD312">
        <v>241.40226727324136</v>
      </c>
      <c r="BE312">
        <v>-81.984311312741198</v>
      </c>
      <c r="BF312" s="6">
        <f t="shared" si="241"/>
        <v>5.9557901627340666</v>
      </c>
      <c r="BG312" s="6">
        <f t="shared" si="242"/>
        <v>0.54526948155168142</v>
      </c>
      <c r="BH312" s="6">
        <f t="shared" si="243"/>
        <v>0.79104275344632602</v>
      </c>
      <c r="BI312" s="6">
        <f t="shared" si="244"/>
        <v>0.79104275344632602</v>
      </c>
      <c r="BJ312">
        <v>280.60007892685599</v>
      </c>
      <c r="BK312">
        <v>-95.296554108500359</v>
      </c>
      <c r="BV312" s="38"/>
      <c r="BW312" s="6">
        <f t="shared" si="245"/>
        <v>5.1836278784231249</v>
      </c>
      <c r="BX312" s="9">
        <f t="shared" ca="1" si="246"/>
        <v>-218.87625249158654</v>
      </c>
      <c r="BY312" s="9">
        <f t="shared" ca="1" si="247"/>
        <v>89.070116926569881</v>
      </c>
      <c r="BZ312">
        <f t="shared" ca="1" si="248"/>
        <v>236.30552180191128</v>
      </c>
      <c r="CA312" s="6">
        <f t="shared" ca="1" si="249"/>
        <v>-0.92624264901886111</v>
      </c>
      <c r="CB312" s="6">
        <f t="shared" ca="1" si="250"/>
        <v>0.37692778504446045</v>
      </c>
      <c r="CC312" s="6">
        <f t="shared" ca="1" si="251"/>
        <v>2.7551154623266259</v>
      </c>
      <c r="CD312" s="6">
        <f t="shared" ca="1" si="252"/>
        <v>118.87625249158654</v>
      </c>
      <c r="CE312" s="9">
        <f t="shared" ca="1" si="253"/>
        <v>-139.07011692656988</v>
      </c>
      <c r="CF312">
        <f t="shared" ca="1" si="254"/>
        <v>182.95371225644277</v>
      </c>
      <c r="CG312" s="6">
        <f t="shared" ca="1" si="255"/>
        <v>0.6497613578070498</v>
      </c>
      <c r="CH312" s="6">
        <f t="shared" ca="1" si="256"/>
        <v>-0.76013826235806525</v>
      </c>
      <c r="CI312" s="6">
        <f t="shared" ca="1" si="257"/>
        <v>-0.86352587798221447</v>
      </c>
      <c r="CJ312" s="1">
        <f t="shared" ca="1" si="258"/>
        <v>1.3271734869830205</v>
      </c>
      <c r="CK312" s="38"/>
    </row>
    <row r="313" spans="55:89" x14ac:dyDescent="0.25">
      <c r="BC313">
        <v>5.4279739737023283</v>
      </c>
      <c r="BD313">
        <v>243.30326795644683</v>
      </c>
      <c r="BE313">
        <v>-81.498638637918745</v>
      </c>
      <c r="BF313" s="6">
        <f t="shared" si="241"/>
        <v>5.9599649047558056</v>
      </c>
      <c r="BG313" s="6">
        <f t="shared" si="242"/>
        <v>0.53199093105347739</v>
      </c>
      <c r="BH313" s="6">
        <f t="shared" si="243"/>
        <v>0.78686801142458707</v>
      </c>
      <c r="BI313" s="6">
        <f t="shared" si="244"/>
        <v>0.78686801142458707</v>
      </c>
      <c r="BJ313">
        <v>281.67536020240863</v>
      </c>
      <c r="BK313">
        <v>-94.352034755451911</v>
      </c>
      <c r="BV313" s="38"/>
      <c r="BW313" s="6">
        <f t="shared" si="245"/>
        <v>5.201081170943068</v>
      </c>
      <c r="BX313" s="9">
        <f t="shared" ca="1" si="246"/>
        <v>-220.52449536914565</v>
      </c>
      <c r="BY313" s="9">
        <f t="shared" ca="1" si="247"/>
        <v>88.423286294451387</v>
      </c>
      <c r="BZ313">
        <f t="shared" ca="1" si="248"/>
        <v>237.5915205072076</v>
      </c>
      <c r="CA313" s="6">
        <f t="shared" ca="1" si="249"/>
        <v>-0.92816652251886989</v>
      </c>
      <c r="CB313" s="6">
        <f t="shared" ca="1" si="250"/>
        <v>0.37216516021146878</v>
      </c>
      <c r="CC313" s="6">
        <f t="shared" ca="1" si="251"/>
        <v>2.7602519925322397</v>
      </c>
      <c r="CD313" s="6">
        <f t="shared" ca="1" si="252"/>
        <v>120.52449536914565</v>
      </c>
      <c r="CE313" s="9">
        <f t="shared" ca="1" si="253"/>
        <v>-138.42328629445137</v>
      </c>
      <c r="CF313">
        <f t="shared" ca="1" si="254"/>
        <v>183.54062267667848</v>
      </c>
      <c r="CG313" s="6">
        <f t="shared" ca="1" si="255"/>
        <v>0.65666386880172689</v>
      </c>
      <c r="CH313" s="6">
        <f t="shared" ca="1" si="256"/>
        <v>-0.75418337518825507</v>
      </c>
      <c r="CI313" s="6">
        <f t="shared" ca="1" si="257"/>
        <v>-0.85440963342732035</v>
      </c>
      <c r="CJ313" s="1">
        <f t="shared" ca="1" si="258"/>
        <v>1.3180572424281265</v>
      </c>
      <c r="CK313" s="38"/>
    </row>
    <row r="314" spans="55:89" x14ac:dyDescent="0.25">
      <c r="BC314">
        <v>5.4454272662222714</v>
      </c>
      <c r="BD314">
        <v>245.24053784282304</v>
      </c>
      <c r="BE314">
        <v>-81.013475234800097</v>
      </c>
      <c r="BF314" s="6">
        <f t="shared" si="241"/>
        <v>5.9641285354390474</v>
      </c>
      <c r="BG314" s="6">
        <f t="shared" si="242"/>
        <v>0.51870126921677606</v>
      </c>
      <c r="BH314" s="6">
        <f t="shared" si="243"/>
        <v>0.78270438074134518</v>
      </c>
      <c r="BI314" s="6">
        <f t="shared" si="244"/>
        <v>0.78270438074134518</v>
      </c>
      <c r="BJ314">
        <v>282.72424033993684</v>
      </c>
      <c r="BK314">
        <v>-93.395950948928487</v>
      </c>
      <c r="BV314" s="38"/>
      <c r="BW314" s="6">
        <f t="shared" si="245"/>
        <v>5.2185344634630111</v>
      </c>
      <c r="BX314" s="9">
        <f t="shared" ca="1" si="246"/>
        <v>-222.17827238147433</v>
      </c>
      <c r="BY314" s="9">
        <f t="shared" ca="1" si="247"/>
        <v>87.802453880672999</v>
      </c>
      <c r="BZ314">
        <f t="shared" ca="1" si="248"/>
        <v>238.89842114564991</v>
      </c>
      <c r="CA314" s="6">
        <f t="shared" ca="1" si="249"/>
        <v>-0.93001147230696113</v>
      </c>
      <c r="CB314" s="6">
        <f t="shared" ca="1" si="250"/>
        <v>0.36753049040513425</v>
      </c>
      <c r="CC314" s="6">
        <f t="shared" ca="1" si="251"/>
        <v>2.7652403846114209</v>
      </c>
      <c r="CD314" s="6">
        <f t="shared" ca="1" si="252"/>
        <v>122.17827238147433</v>
      </c>
      <c r="CE314" s="9">
        <f t="shared" ca="1" si="253"/>
        <v>-137.802453880673</v>
      </c>
      <c r="CF314">
        <f t="shared" ca="1" si="254"/>
        <v>184.16581261910895</v>
      </c>
      <c r="CG314" s="6">
        <f t="shared" ca="1" si="255"/>
        <v>0.66341451023900389</v>
      </c>
      <c r="CH314" s="6">
        <f t="shared" ca="1" si="256"/>
        <v>-0.74825208827262379</v>
      </c>
      <c r="CI314" s="6">
        <f t="shared" ca="1" si="257"/>
        <v>-0.84542342912883572</v>
      </c>
      <c r="CJ314" s="1">
        <f t="shared" ca="1" si="258"/>
        <v>1.3090710381296418</v>
      </c>
      <c r="CK314" s="38"/>
    </row>
    <row r="315" spans="55:89" x14ac:dyDescent="0.25">
      <c r="BC315">
        <v>5.4628805587422145</v>
      </c>
      <c r="BD315">
        <v>247.21692969950286</v>
      </c>
      <c r="BE315">
        <v>-80.527404102165235</v>
      </c>
      <c r="BF315" s="6">
        <f t="shared" si="241"/>
        <v>5.96828804714524</v>
      </c>
      <c r="BG315" s="6">
        <f t="shared" si="242"/>
        <v>0.50540748840302552</v>
      </c>
      <c r="BH315" s="6">
        <f t="shared" si="243"/>
        <v>0.77854486903515263</v>
      </c>
      <c r="BI315" s="6">
        <f t="shared" si="244"/>
        <v>0.77854486903515263</v>
      </c>
      <c r="BJ315">
        <v>283.74863081059755</v>
      </c>
      <c r="BK315">
        <v>-92.427086949486664</v>
      </c>
      <c r="BV315" s="38"/>
      <c r="BW315" s="6">
        <f t="shared" si="245"/>
        <v>5.2359877559829542</v>
      </c>
      <c r="BX315" s="9">
        <f t="shared" ca="1" si="246"/>
        <v>-223.84009024894803</v>
      </c>
      <c r="BY315" s="9">
        <f t="shared" ca="1" si="247"/>
        <v>87.20454950146663</v>
      </c>
      <c r="BZ315">
        <f t="shared" ca="1" si="248"/>
        <v>240.22701649983281</v>
      </c>
      <c r="CA315" s="6">
        <f t="shared" ca="1" si="249"/>
        <v>-0.9317856647031364</v>
      </c>
      <c r="CB315" s="6">
        <f t="shared" ca="1" si="250"/>
        <v>0.3630089186972329</v>
      </c>
      <c r="CC315" s="6">
        <f t="shared" ca="1" si="251"/>
        <v>2.7700975870729012</v>
      </c>
      <c r="CD315" s="6">
        <f t="shared" ca="1" si="252"/>
        <v>123.84009024894803</v>
      </c>
      <c r="CE315" s="9">
        <f t="shared" ca="1" si="253"/>
        <v>-137.20454950146663</v>
      </c>
      <c r="CF315">
        <f t="shared" ca="1" si="254"/>
        <v>184.82818063479391</v>
      </c>
      <c r="CG315" s="6">
        <f t="shared" ca="1" si="255"/>
        <v>0.67002818414171594</v>
      </c>
      <c r="CH315" s="6">
        <f t="shared" ca="1" si="256"/>
        <v>-0.7423356602344755</v>
      </c>
      <c r="CI315" s="6">
        <f t="shared" ca="1" si="257"/>
        <v>-0.83654957314870537</v>
      </c>
      <c r="CJ315" s="1">
        <f t="shared" ca="1" si="258"/>
        <v>1.3001971821495115</v>
      </c>
      <c r="CK315" s="38"/>
    </row>
    <row r="316" spans="55:89" x14ac:dyDescent="0.25">
      <c r="BC316">
        <v>5.4803338512621576</v>
      </c>
      <c r="BD316">
        <v>249.23478023608837</v>
      </c>
      <c r="BE316">
        <v>-80.039296043165848</v>
      </c>
      <c r="BF316" s="6">
        <f t="shared" si="241"/>
        <v>5.9724484568664362</v>
      </c>
      <c r="BG316" s="6">
        <f t="shared" si="242"/>
        <v>0.49211460560427867</v>
      </c>
      <c r="BH316" s="6">
        <f t="shared" si="243"/>
        <v>0.77438445931395639</v>
      </c>
      <c r="BI316" s="6">
        <f t="shared" si="244"/>
        <v>0.77438445931395639</v>
      </c>
      <c r="BJ316">
        <v>284.74996110510665</v>
      </c>
      <c r="BK316">
        <v>-91.444646744658087</v>
      </c>
      <c r="BV316" s="38"/>
      <c r="BW316" s="6">
        <f t="shared" si="245"/>
        <v>5.2534410485028973</v>
      </c>
      <c r="BX316" s="9">
        <f t="shared" ca="1" si="246"/>
        <v>-225.51232923641751</v>
      </c>
      <c r="BY316" s="9">
        <f t="shared" ca="1" si="247"/>
        <v>86.626820605227906</v>
      </c>
      <c r="BZ316">
        <f t="shared" ca="1" si="248"/>
        <v>241.57817924184442</v>
      </c>
      <c r="CA316" s="6">
        <f t="shared" ca="1" si="249"/>
        <v>-0.93349627000316382</v>
      </c>
      <c r="CB316" s="6">
        <f t="shared" ca="1" si="250"/>
        <v>0.35858710781368053</v>
      </c>
      <c r="CC316" s="6">
        <f t="shared" ca="1" si="251"/>
        <v>2.7748387498089535</v>
      </c>
      <c r="CD316" s="6">
        <f t="shared" ca="1" si="252"/>
        <v>125.51232923641751</v>
      </c>
      <c r="CE316" s="9">
        <f t="shared" ca="1" si="253"/>
        <v>-136.62682060522792</v>
      </c>
      <c r="CF316">
        <f t="shared" ca="1" si="254"/>
        <v>185.52690613235592</v>
      </c>
      <c r="CG316" s="6">
        <f t="shared" ca="1" si="255"/>
        <v>0.67651820349376346</v>
      </c>
      <c r="CH316" s="6">
        <f t="shared" ca="1" si="256"/>
        <v>-0.7364259096077288</v>
      </c>
      <c r="CI316" s="6">
        <f t="shared" ca="1" si="257"/>
        <v>-0.82777198815436692</v>
      </c>
      <c r="CJ316" s="1">
        <f t="shared" ca="1" si="258"/>
        <v>1.291419597155173</v>
      </c>
      <c r="CK316" s="38"/>
    </row>
    <row r="317" spans="55:89" x14ac:dyDescent="0.25">
      <c r="BC317">
        <v>5.4977871437821006</v>
      </c>
      <c r="BD317">
        <v>251.29189099032908</v>
      </c>
      <c r="BE317">
        <v>-79.550071448145957</v>
      </c>
      <c r="BF317" s="6">
        <f t="shared" si="241"/>
        <v>5.9766019195515296</v>
      </c>
      <c r="BG317" s="6">
        <f t="shared" si="242"/>
        <v>0.47881477576942899</v>
      </c>
      <c r="BH317" s="6">
        <f t="shared" si="243"/>
        <v>0.77023099662886296</v>
      </c>
      <c r="BI317" s="6">
        <f t="shared" si="244"/>
        <v>0.77023099662886296</v>
      </c>
      <c r="BJ317">
        <v>285.72724116924206</v>
      </c>
      <c r="BK317">
        <v>-90.451078067495544</v>
      </c>
      <c r="BV317" s="38"/>
      <c r="BW317" s="6">
        <f t="shared" si="245"/>
        <v>5.2708943410228404</v>
      </c>
      <c r="BX317" s="9">
        <f t="shared" ca="1" si="246"/>
        <v>-227.19728117693026</v>
      </c>
      <c r="BY317" s="9">
        <f t="shared" ca="1" si="247"/>
        <v>86.066781342910559</v>
      </c>
      <c r="BZ317">
        <f t="shared" ca="1" si="248"/>
        <v>242.95286667359471</v>
      </c>
      <c r="CA317" s="6">
        <f t="shared" ca="1" si="249"/>
        <v>-0.93514962094342369</v>
      </c>
      <c r="CB317" s="6">
        <f t="shared" ca="1" si="250"/>
        <v>0.35425299779870723</v>
      </c>
      <c r="CC317" s="6">
        <f t="shared" ca="1" si="251"/>
        <v>2.7794775123098048</v>
      </c>
      <c r="CD317" s="6">
        <f t="shared" ca="1" si="252"/>
        <v>127.19728117693026</v>
      </c>
      <c r="CE317" s="9">
        <f t="shared" ca="1" si="253"/>
        <v>-136.06678134291056</v>
      </c>
      <c r="CF317">
        <f t="shared" ca="1" si="254"/>
        <v>186.26142199559868</v>
      </c>
      <c r="CG317" s="6">
        <f t="shared" ca="1" si="255"/>
        <v>0.6828965430100491</v>
      </c>
      <c r="CH317" s="6">
        <f t="shared" ca="1" si="256"/>
        <v>-0.73051510014846655</v>
      </c>
      <c r="CI317" s="6">
        <f t="shared" ca="1" si="257"/>
        <v>-0.81907593387689792</v>
      </c>
      <c r="CJ317" s="1">
        <f t="shared" ca="1" si="258"/>
        <v>1.282723542877704</v>
      </c>
      <c r="CK317" s="38"/>
    </row>
    <row r="318" spans="55:89" x14ac:dyDescent="0.25">
      <c r="BC318">
        <v>5.5152404363020437</v>
      </c>
      <c r="BD318">
        <v>253.3849317229247</v>
      </c>
      <c r="BE318">
        <v>-79.061257367658627</v>
      </c>
      <c r="BF318" s="6">
        <f t="shared" si="241"/>
        <v>5.9807374667446762</v>
      </c>
      <c r="BG318" s="6">
        <f t="shared" si="242"/>
        <v>0.46549703044263246</v>
      </c>
      <c r="BH318" s="6">
        <f t="shared" si="243"/>
        <v>0.76609544943571628</v>
      </c>
      <c r="BI318" s="6">
        <f t="shared" si="244"/>
        <v>0.76609544943571628</v>
      </c>
      <c r="BJ318">
        <v>286.67898312910097</v>
      </c>
      <c r="BK318">
        <v>-89.449679240803533</v>
      </c>
      <c r="BV318" s="38"/>
      <c r="BW318" s="6">
        <f t="shared" si="245"/>
        <v>5.2883476335427835</v>
      </c>
      <c r="BX318" s="9">
        <f t="shared" ca="1" si="246"/>
        <v>-228.89718137821333</v>
      </c>
      <c r="BY318" s="9">
        <f t="shared" ca="1" si="247"/>
        <v>85.522169859897133</v>
      </c>
      <c r="BZ318">
        <f t="shared" ca="1" si="248"/>
        <v>244.35212538555049</v>
      </c>
      <c r="CA318" s="6">
        <f t="shared" ca="1" si="249"/>
        <v>-0.93675134201124055</v>
      </c>
      <c r="CB318" s="6">
        <f t="shared" ca="1" si="250"/>
        <v>0.34999560460117202</v>
      </c>
      <c r="CC318" s="6">
        <f t="shared" ca="1" si="251"/>
        <v>2.7840262421208335</v>
      </c>
      <c r="CD318" s="6">
        <f t="shared" ca="1" si="252"/>
        <v>128.89718137821333</v>
      </c>
      <c r="CE318" s="9">
        <f t="shared" ca="1" si="253"/>
        <v>-135.52216985989713</v>
      </c>
      <c r="CF318">
        <f t="shared" ca="1" si="254"/>
        <v>187.03139279485367</v>
      </c>
      <c r="CG318" s="6">
        <f t="shared" ca="1" si="255"/>
        <v>0.68917404427178097</v>
      </c>
      <c r="CH318" s="6">
        <f t="shared" ca="1" si="256"/>
        <v>-0.72459584369638586</v>
      </c>
      <c r="CI318" s="6">
        <f t="shared" ca="1" si="257"/>
        <v>-0.81044777759211883</v>
      </c>
      <c r="CJ318" s="1">
        <f t="shared" ca="1" si="258"/>
        <v>1.274095386592925</v>
      </c>
      <c r="CK318" s="38"/>
    </row>
    <row r="319" spans="55:89" x14ac:dyDescent="0.25">
      <c r="BC319">
        <v>5.5326937288219868</v>
      </c>
      <c r="BD319">
        <v>255.51158521478769</v>
      </c>
      <c r="BE319">
        <v>-78.574045706442803</v>
      </c>
      <c r="BF319" s="6">
        <f t="shared" si="241"/>
        <v>5.9848469243318769</v>
      </c>
      <c r="BG319" s="6">
        <f t="shared" si="242"/>
        <v>0.45215319550989008</v>
      </c>
      <c r="BH319" s="6">
        <f t="shared" si="243"/>
        <v>0.76198599184851568</v>
      </c>
      <c r="BI319" s="6">
        <f t="shared" si="244"/>
        <v>0.76198599184851568</v>
      </c>
      <c r="BJ319">
        <v>287.60428242281125</v>
      </c>
      <c r="BK319">
        <v>-88.443081801798428</v>
      </c>
      <c r="BV319" s="38"/>
      <c r="BW319" s="6">
        <f t="shared" si="245"/>
        <v>5.3058009260627266</v>
      </c>
      <c r="BX319" s="9">
        <f t="shared" ca="1" si="246"/>
        <v>-230.61423595409082</v>
      </c>
      <c r="BY319" s="9">
        <f t="shared" ca="1" si="247"/>
        <v>84.990912140402386</v>
      </c>
      <c r="BZ319">
        <f t="shared" ca="1" si="248"/>
        <v>245.77709610772661</v>
      </c>
      <c r="CA319" s="6">
        <f t="shared" ca="1" si="249"/>
        <v>-0.93830645575294069</v>
      </c>
      <c r="CB319" s="6">
        <f t="shared" ca="1" si="250"/>
        <v>0.34580485116949222</v>
      </c>
      <c r="CC319" s="6">
        <f t="shared" ca="1" si="251"/>
        <v>2.7884962338819212</v>
      </c>
      <c r="CD319" s="6">
        <f t="shared" ca="1" si="252"/>
        <v>130.61423595409082</v>
      </c>
      <c r="CE319" s="9">
        <f t="shared" ca="1" si="253"/>
        <v>-134.99091214040237</v>
      </c>
      <c r="CF319">
        <f t="shared" ca="1" si="254"/>
        <v>187.83669767744732</v>
      </c>
      <c r="CG319" s="6">
        <f t="shared" ca="1" si="255"/>
        <v>0.69536058485430385</v>
      </c>
      <c r="CH319" s="6">
        <f t="shared" ca="1" si="256"/>
        <v>-0.71866101677430683</v>
      </c>
      <c r="CI319" s="6">
        <f t="shared" ca="1" si="257"/>
        <v>-0.80187480231451125</v>
      </c>
      <c r="CJ319" s="1">
        <f t="shared" ca="1" si="258"/>
        <v>1.2655224113153174</v>
      </c>
      <c r="CK319" s="38"/>
    </row>
    <row r="320" spans="55:89" x14ac:dyDescent="0.25">
      <c r="BC320">
        <v>5.5501470213419299</v>
      </c>
      <c r="BD320">
        <v>257.67035179971572</v>
      </c>
      <c r="BE320">
        <v>-78.089361846795939</v>
      </c>
      <c r="BF320" s="6">
        <f t="shared" si="241"/>
        <v>5.9889243070679132</v>
      </c>
      <c r="BG320" s="6">
        <f t="shared" si="242"/>
        <v>0.43877728572598329</v>
      </c>
      <c r="BH320" s="6">
        <f t="shared" si="243"/>
        <v>0.75790860911247937</v>
      </c>
      <c r="BI320" s="6">
        <f t="shared" si="244"/>
        <v>0.75790860911247937</v>
      </c>
      <c r="BJ320">
        <v>288.50267323677292</v>
      </c>
      <c r="BK320">
        <v>-87.433379458672931</v>
      </c>
      <c r="BV320" s="38"/>
      <c r="BW320" s="6">
        <f t="shared" si="245"/>
        <v>5.3232542185826697</v>
      </c>
      <c r="BX320" s="9">
        <f t="shared" ca="1" si="246"/>
        <v>-232.35064576417733</v>
      </c>
      <c r="BY320" s="9">
        <f t="shared" ca="1" si="247"/>
        <v>84.471091088558623</v>
      </c>
      <c r="BZ320">
        <f t="shared" ca="1" si="248"/>
        <v>247.22901896161338</v>
      </c>
      <c r="CA320" s="6">
        <f t="shared" ca="1" si="249"/>
        <v>-0.93981947078896033</v>
      </c>
      <c r="CB320" s="6">
        <f t="shared" ca="1" si="250"/>
        <v>0.34167142450892563</v>
      </c>
      <c r="CC320" s="6">
        <f t="shared" ca="1" si="251"/>
        <v>2.7928978769544903</v>
      </c>
      <c r="CD320" s="6">
        <f t="shared" ca="1" si="252"/>
        <v>132.35064576417733</v>
      </c>
      <c r="CE320" s="9">
        <f t="shared" ca="1" si="253"/>
        <v>-134.47109108855864</v>
      </c>
      <c r="CF320">
        <f t="shared" ca="1" si="254"/>
        <v>188.6774172304205</v>
      </c>
      <c r="CG320" s="6">
        <f t="shared" ca="1" si="255"/>
        <v>0.7014652188213143</v>
      </c>
      <c r="CH320" s="6">
        <f t="shared" ca="1" si="256"/>
        <v>-0.71270368792645222</v>
      </c>
      <c r="CI320" s="6">
        <f t="shared" ca="1" si="257"/>
        <v>-0.7933450447563809</v>
      </c>
      <c r="CJ320" s="1">
        <f t="shared" ca="1" si="258"/>
        <v>1.2569926537571869</v>
      </c>
      <c r="CK320" s="38"/>
    </row>
    <row r="321" spans="55:89" x14ac:dyDescent="0.25">
      <c r="BC321">
        <v>5.567600313861873</v>
      </c>
      <c r="BD321">
        <v>259.86039351614482</v>
      </c>
      <c r="BE321">
        <v>-77.607920914939868</v>
      </c>
      <c r="BF321" s="6">
        <f t="shared" si="241"/>
        <v>5.9929653338347251</v>
      </c>
      <c r="BG321" s="6">
        <f t="shared" si="242"/>
        <v>0.42536501997285203</v>
      </c>
      <c r="BH321" s="6">
        <f t="shared" si="243"/>
        <v>0.75386758234566764</v>
      </c>
      <c r="BI321" s="6">
        <f t="shared" si="244"/>
        <v>0.75386758234566764</v>
      </c>
      <c r="BJ321">
        <v>289.3740155983582</v>
      </c>
      <c r="BK321">
        <v>-86.422233929237422</v>
      </c>
      <c r="BV321" s="38"/>
      <c r="BW321" s="6">
        <f t="shared" si="245"/>
        <v>5.3407075111026128</v>
      </c>
      <c r="BX321" s="9">
        <f t="shared" ca="1" si="246"/>
        <v>-234.10862788885092</v>
      </c>
      <c r="BY321" s="9">
        <f t="shared" ca="1" si="247"/>
        <v>83.960919799337219</v>
      </c>
      <c r="BZ321">
        <f t="shared" ca="1" si="248"/>
        <v>248.70923928465385</v>
      </c>
      <c r="CA321" s="6">
        <f t="shared" ca="1" si="249"/>
        <v>-0.94129445517264376</v>
      </c>
      <c r="CB321" s="6">
        <f t="shared" ca="1" si="250"/>
        <v>0.33758665355910594</v>
      </c>
      <c r="CC321" s="6">
        <f t="shared" ca="1" si="251"/>
        <v>2.7972407978942773</v>
      </c>
      <c r="CD321" s="6">
        <f t="shared" ca="1" si="252"/>
        <v>134.10862788885092</v>
      </c>
      <c r="CE321" s="9">
        <f t="shared" ca="1" si="253"/>
        <v>-133.9609197993372</v>
      </c>
      <c r="CF321">
        <f t="shared" ca="1" si="254"/>
        <v>189.55382377497619</v>
      </c>
      <c r="CG321" s="6">
        <f t="shared" ca="1" si="255"/>
        <v>0.70749629428765537</v>
      </c>
      <c r="CH321" s="6">
        <f t="shared" ca="1" si="256"/>
        <v>-0.7067170534020214</v>
      </c>
      <c r="CI321" s="6">
        <f t="shared" ca="1" si="257"/>
        <v>-0.78484715685515705</v>
      </c>
      <c r="CJ321" s="1">
        <f t="shared" ca="1" si="258"/>
        <v>1.2484947658559631</v>
      </c>
      <c r="CK321" s="38"/>
    </row>
    <row r="322" spans="55:89" x14ac:dyDescent="0.25">
      <c r="BC322">
        <v>5.5850536063818161</v>
      </c>
      <c r="BD322">
        <v>261.21673478557994</v>
      </c>
      <c r="BE322">
        <v>-76.871472380042135</v>
      </c>
      <c r="BF322" s="6">
        <f t="shared" si="241"/>
        <v>5.9969822902947447</v>
      </c>
      <c r="BG322" s="6">
        <f t="shared" si="242"/>
        <v>0.41192868391292858</v>
      </c>
      <c r="BH322" s="6">
        <f t="shared" si="243"/>
        <v>0.74985062588564799</v>
      </c>
      <c r="BI322" s="6">
        <f t="shared" si="244"/>
        <v>0.74985062588564799</v>
      </c>
      <c r="BJ322">
        <v>290.24081642842214</v>
      </c>
      <c r="BK322">
        <v>-85.412747088935703</v>
      </c>
      <c r="BV322" s="38"/>
      <c r="BW322" s="6">
        <f t="shared" si="245"/>
        <v>5.3581608036225559</v>
      </c>
      <c r="BX322" s="9">
        <f t="shared" ca="1" si="246"/>
        <v>-235.89043537761569</v>
      </c>
      <c r="BY322" s="9">
        <f t="shared" ca="1" si="247"/>
        <v>83.458718175331526</v>
      </c>
      <c r="BZ322">
        <f t="shared" ca="1" si="248"/>
        <v>250.21921417451239</v>
      </c>
      <c r="CA322" s="6">
        <f t="shared" ca="1" si="249"/>
        <v>-0.94273509792536048</v>
      </c>
      <c r="CB322" s="6">
        <f t="shared" ca="1" si="250"/>
        <v>0.33354240381046135</v>
      </c>
      <c r="CC322" s="6">
        <f t="shared" ca="1" si="251"/>
        <v>2.8015339827121215</v>
      </c>
      <c r="CD322" s="6">
        <f t="shared" ca="1" si="252"/>
        <v>135.89043537761569</v>
      </c>
      <c r="CE322" s="9">
        <f t="shared" ca="1" si="253"/>
        <v>-133.45871817533151</v>
      </c>
      <c r="CF322">
        <f t="shared" ca="1" si="254"/>
        <v>190.46637468099325</v>
      </c>
      <c r="CG322" s="6">
        <f t="shared" ca="1" si="255"/>
        <v>0.71346155249300425</v>
      </c>
      <c r="CH322" s="6">
        <f t="shared" ca="1" si="256"/>
        <v>-0.7006943792512339</v>
      </c>
      <c r="CI322" s="6">
        <f t="shared" ca="1" si="257"/>
        <v>-0.77637028598957303</v>
      </c>
      <c r="CJ322" s="1">
        <f t="shared" ca="1" si="258"/>
        <v>1.2400178949903791</v>
      </c>
      <c r="CK322" s="38"/>
    </row>
    <row r="323" spans="55:89" x14ac:dyDescent="0.25">
      <c r="BC323">
        <v>5.6025068989017592</v>
      </c>
      <c r="BD323">
        <v>261.98715668829237</v>
      </c>
      <c r="BE323">
        <v>-75.964498906760085</v>
      </c>
      <c r="BF323" s="6">
        <f t="shared" ref="BF323:BF362" si="259">IF(BC323&lt;&gt;"",IF(AND(BD323=0,BE323=0),0,MOD(ATAN2(BD323,BE323),2*PI())),NA())</f>
        <v>6.0009693494012453</v>
      </c>
      <c r="BG323" s="6">
        <f t="shared" ref="BG323:BG362" si="260">ABS(BC323-BF323)</f>
        <v>0.39846245049948603</v>
      </c>
      <c r="BH323" s="6">
        <f t="shared" ref="BH323:BH362" si="261">ATAN2(COS($U$13-BF323),SIN($U$13-BF323))</f>
        <v>0.74586356677914734</v>
      </c>
      <c r="BI323" s="6">
        <f t="shared" ref="BI323:BI362" si="262">ABS(BH323)</f>
        <v>0.74586356677914734</v>
      </c>
      <c r="BJ323">
        <v>291.0968407647693</v>
      </c>
      <c r="BK323">
        <v>-84.404998785288981</v>
      </c>
      <c r="BV323" s="38"/>
      <c r="BW323" s="6">
        <f t="shared" si="245"/>
        <v>5.375614096142499</v>
      </c>
      <c r="BX323" s="9">
        <f t="shared" ca="1" si="246"/>
        <v>-237.69837587338438</v>
      </c>
      <c r="BY323" s="9">
        <f t="shared" ca="1" si="247"/>
        <v>82.962892200579475</v>
      </c>
      <c r="BZ323">
        <f t="shared" ca="1" si="248"/>
        <v>251.76051988969536</v>
      </c>
      <c r="CA323" s="6">
        <f t="shared" ca="1" si="249"/>
        <v>-0.94414476097176769</v>
      </c>
      <c r="CB323" s="6">
        <f t="shared" ca="1" si="250"/>
        <v>0.329530985386145</v>
      </c>
      <c r="CC323" s="6">
        <f t="shared" ca="1" si="251"/>
        <v>2.8057858828656785</v>
      </c>
      <c r="CD323" s="6">
        <f t="shared" ca="1" si="252"/>
        <v>137.69837587338438</v>
      </c>
      <c r="CE323" s="9">
        <f t="shared" ca="1" si="253"/>
        <v>-132.96289220057946</v>
      </c>
      <c r="CF323">
        <f t="shared" ca="1" si="254"/>
        <v>191.41570839539466</v>
      </c>
      <c r="CG323" s="6">
        <f t="shared" ca="1" si="255"/>
        <v>0.71936821187605993</v>
      </c>
      <c r="CH323" s="6">
        <f t="shared" ca="1" si="256"/>
        <v>-0.6946289482466449</v>
      </c>
      <c r="CI323" s="6">
        <f t="shared" ca="1" si="257"/>
        <v>-0.76790396999685595</v>
      </c>
      <c r="CJ323" s="1">
        <f t="shared" ca="1" si="258"/>
        <v>1.2315515789976621</v>
      </c>
      <c r="CK323" s="38"/>
    </row>
    <row r="324" spans="55:89" x14ac:dyDescent="0.25">
      <c r="BC324">
        <v>5.6199601914217023</v>
      </c>
      <c r="BD324">
        <v>262.7350355576437</v>
      </c>
      <c r="BE324">
        <v>-75.058690058743281</v>
      </c>
      <c r="BF324" s="6">
        <f t="shared" si="259"/>
        <v>6.0049154284072115</v>
      </c>
      <c r="BG324" s="6">
        <f t="shared" si="260"/>
        <v>0.38495523698550915</v>
      </c>
      <c r="BH324" s="6">
        <f t="shared" si="261"/>
        <v>0.74191748777318112</v>
      </c>
      <c r="BI324" s="6">
        <f t="shared" si="262"/>
        <v>0.74191748777318112</v>
      </c>
      <c r="BJ324">
        <v>291.92781728627079</v>
      </c>
      <c r="BK324">
        <v>-83.398544509714753</v>
      </c>
      <c r="BV324" s="38"/>
      <c r="BW324" s="6">
        <f t="shared" si="245"/>
        <v>5.3930673886624421</v>
      </c>
      <c r="BX324" s="9">
        <f t="shared" ca="1" si="246"/>
        <v>-239.53482961764107</v>
      </c>
      <c r="BY324" s="9">
        <f t="shared" ca="1" si="247"/>
        <v>82.47191530132524</v>
      </c>
      <c r="BZ324">
        <f t="shared" ca="1" si="248"/>
        <v>253.33486024118611</v>
      </c>
      <c r="CA324" s="6">
        <f t="shared" ca="1" si="249"/>
        <v>-0.94552652323329367</v>
      </c>
      <c r="CB324" s="6">
        <f t="shared" ca="1" si="250"/>
        <v>0.32554507193683607</v>
      </c>
      <c r="CC324" s="6">
        <f t="shared" ca="1" si="251"/>
        <v>2.8100045081591336</v>
      </c>
      <c r="CD324" s="6">
        <f t="shared" ca="1" si="252"/>
        <v>139.53482961764107</v>
      </c>
      <c r="CE324" s="9">
        <f t="shared" ca="1" si="253"/>
        <v>-132.47191530132523</v>
      </c>
      <c r="CF324">
        <f t="shared" ca="1" si="254"/>
        <v>192.40264296528156</v>
      </c>
      <c r="CG324" s="6">
        <f t="shared" ca="1" si="255"/>
        <v>0.72522303990813519</v>
      </c>
      <c r="CH324" s="6">
        <f t="shared" ca="1" si="256"/>
        <v>-0.68851401030509418</v>
      </c>
      <c r="CI324" s="6">
        <f t="shared" ca="1" si="257"/>
        <v>-0.75943804385821023</v>
      </c>
      <c r="CJ324" s="1">
        <f t="shared" ca="1" si="258"/>
        <v>1.2230856528590164</v>
      </c>
      <c r="CK324" s="38"/>
    </row>
    <row r="325" spans="55:89" x14ac:dyDescent="0.25">
      <c r="BC325">
        <v>5.6374134839416454</v>
      </c>
      <c r="BD325">
        <v>263.46075833407406</v>
      </c>
      <c r="BE325">
        <v>-74.154623924618946</v>
      </c>
      <c r="BF325" s="6">
        <f t="shared" si="259"/>
        <v>6.0088198879727317</v>
      </c>
      <c r="BG325" s="6">
        <f t="shared" si="260"/>
        <v>0.37140640403108627</v>
      </c>
      <c r="BH325" s="6">
        <f t="shared" si="261"/>
        <v>0.7380130282076609</v>
      </c>
      <c r="BI325" s="6">
        <f t="shared" si="262"/>
        <v>0.7380130282076609</v>
      </c>
      <c r="BJ325">
        <v>292.73417592674895</v>
      </c>
      <c r="BK325">
        <v>-82.394026582909945</v>
      </c>
      <c r="BV325" s="38"/>
      <c r="BW325" s="6">
        <f t="shared" si="245"/>
        <v>5.4105206811823852</v>
      </c>
      <c r="BX325" s="9">
        <f t="shared" ca="1" si="246"/>
        <v>-241.40226727324136</v>
      </c>
      <c r="BY325" s="9">
        <f t="shared" ca="1" si="247"/>
        <v>81.984311312741198</v>
      </c>
      <c r="BZ325">
        <f t="shared" ca="1" si="248"/>
        <v>254.94407611491178</v>
      </c>
      <c r="CA325" s="6">
        <f t="shared" ca="1" si="249"/>
        <v>-0.94688321828051936</v>
      </c>
      <c r="CB325" s="6">
        <f t="shared" ca="1" si="250"/>
        <v>0.32157762816888569</v>
      </c>
      <c r="CC325" s="6">
        <f t="shared" ca="1" si="251"/>
        <v>2.8141975091442735</v>
      </c>
      <c r="CD325" s="6">
        <f t="shared" ca="1" si="252"/>
        <v>141.40226727324136</v>
      </c>
      <c r="CE325" s="9">
        <f t="shared" ca="1" si="253"/>
        <v>-131.9843113127412</v>
      </c>
      <c r="CF325">
        <f t="shared" ca="1" si="254"/>
        <v>193.42817690996256</v>
      </c>
      <c r="CG325" s="6">
        <f t="shared" ca="1" si="255"/>
        <v>0.73103241488473347</v>
      </c>
      <c r="CH325" s="6">
        <f t="shared" ca="1" si="256"/>
        <v>-0.6823427352788296</v>
      </c>
      <c r="CI325" s="6">
        <f t="shared" ca="1" si="257"/>
        <v>-0.75096255549017921</v>
      </c>
      <c r="CJ325" s="1">
        <f t="shared" ca="1" si="258"/>
        <v>1.2146101644909852</v>
      </c>
      <c r="CK325" s="38"/>
    </row>
    <row r="326" spans="55:89" x14ac:dyDescent="0.25">
      <c r="BC326">
        <v>5.6548667764615885</v>
      </c>
      <c r="BD326">
        <v>264.16477122430388</v>
      </c>
      <c r="BE326">
        <v>-73.252736674048961</v>
      </c>
      <c r="BF326" s="6">
        <f t="shared" si="259"/>
        <v>6.0126826071785056</v>
      </c>
      <c r="BG326" s="6">
        <f t="shared" si="260"/>
        <v>0.35781583071691703</v>
      </c>
      <c r="BH326" s="6">
        <f t="shared" si="261"/>
        <v>0.73415030900188716</v>
      </c>
      <c r="BI326" s="6">
        <f t="shared" si="262"/>
        <v>0.73415030900188716</v>
      </c>
      <c r="BJ326">
        <v>293.51641247144875</v>
      </c>
      <c r="BK326">
        <v>-81.391929637832177</v>
      </c>
      <c r="BV326" s="38"/>
      <c r="BW326" s="6">
        <f t="shared" si="245"/>
        <v>5.4279739737023283</v>
      </c>
      <c r="BX326" s="9">
        <f t="shared" ca="1" si="246"/>
        <v>-243.30326795644683</v>
      </c>
      <c r="BY326" s="9">
        <f t="shared" ca="1" si="247"/>
        <v>81.498638637918745</v>
      </c>
      <c r="BZ326">
        <f t="shared" ca="1" si="248"/>
        <v>256.59015627673762</v>
      </c>
      <c r="CA326" s="6">
        <f t="shared" ca="1" si="249"/>
        <v>-0.94821746666711326</v>
      </c>
      <c r="CB326" s="6">
        <f t="shared" ca="1" si="250"/>
        <v>0.31762184419117323</v>
      </c>
      <c r="CC326" s="6">
        <f t="shared" ca="1" si="251"/>
        <v>2.8183722511660125</v>
      </c>
      <c r="CD326" s="6">
        <f t="shared" ca="1" si="252"/>
        <v>143.30326795644683</v>
      </c>
      <c r="CE326" s="9">
        <f t="shared" ca="1" si="253"/>
        <v>-131.49863863791876</v>
      </c>
      <c r="CF326">
        <f t="shared" ca="1" si="254"/>
        <v>194.49349236060095</v>
      </c>
      <c r="CG326" s="6">
        <f t="shared" ca="1" si="255"/>
        <v>0.73680237943774074</v>
      </c>
      <c r="CH326" s="6">
        <f t="shared" ca="1" si="256"/>
        <v>-0.67610816712629906</v>
      </c>
      <c r="CI326" s="6">
        <f t="shared" ca="1" si="257"/>
        <v>-0.74246768851383105</v>
      </c>
      <c r="CJ326" s="1">
        <f t="shared" ca="1" si="258"/>
        <v>1.2061152975146372</v>
      </c>
      <c r="CK326" s="38"/>
    </row>
    <row r="327" spans="55:89" x14ac:dyDescent="0.25">
      <c r="BC327">
        <v>5.6723200689815316</v>
      </c>
      <c r="BD327">
        <v>264.84755781862839</v>
      </c>
      <c r="BE327">
        <v>-72.353348010668867</v>
      </c>
      <c r="BF327" s="6">
        <f t="shared" si="259"/>
        <v>6.0165038682378409</v>
      </c>
      <c r="BG327" s="6">
        <f t="shared" si="260"/>
        <v>0.34418379925630926</v>
      </c>
      <c r="BH327" s="6">
        <f t="shared" si="261"/>
        <v>0.73032904794255171</v>
      </c>
      <c r="BI327" s="6">
        <f t="shared" si="262"/>
        <v>0.73032904794255171</v>
      </c>
      <c r="BJ327">
        <v>294.27506424292045</v>
      </c>
      <c r="BK327">
        <v>-80.392608900743184</v>
      </c>
      <c r="BV327" s="38"/>
      <c r="BW327" s="6">
        <f t="shared" si="245"/>
        <v>5.4454272662222714</v>
      </c>
      <c r="BX327" s="9">
        <f t="shared" ca="1" si="246"/>
        <v>-245.24053784282304</v>
      </c>
      <c r="BY327" s="9">
        <f t="shared" ca="1" si="247"/>
        <v>81.013475234800097</v>
      </c>
      <c r="BZ327">
        <f t="shared" ca="1" si="248"/>
        <v>258.27524962926026</v>
      </c>
      <c r="CA327" s="6">
        <f t="shared" ca="1" si="249"/>
        <v>-0.9495317038502612</v>
      </c>
      <c r="CB327" s="6">
        <f t="shared" ca="1" si="250"/>
        <v>0.31367107514595544</v>
      </c>
      <c r="CC327" s="6">
        <f t="shared" ca="1" si="251"/>
        <v>2.8225358818492539</v>
      </c>
      <c r="CD327" s="6">
        <f t="shared" ca="1" si="252"/>
        <v>145.24053784282304</v>
      </c>
      <c r="CE327" s="9">
        <f t="shared" ca="1" si="253"/>
        <v>-131.0134752348001</v>
      </c>
      <c r="CF327">
        <f t="shared" ca="1" si="254"/>
        <v>195.59996044470992</v>
      </c>
      <c r="CG327" s="6">
        <f t="shared" ca="1" si="255"/>
        <v>0.74253868718893767</v>
      </c>
      <c r="CH327" s="6">
        <f t="shared" ca="1" si="256"/>
        <v>-0.66980317857392191</v>
      </c>
      <c r="CI327" s="6">
        <f t="shared" ca="1" si="257"/>
        <v>-0.73394369020319705</v>
      </c>
      <c r="CJ327" s="1">
        <f t="shared" ca="1" si="258"/>
        <v>1.1975912992040032</v>
      </c>
      <c r="CK327" s="38"/>
    </row>
    <row r="328" spans="55:89" x14ac:dyDescent="0.25">
      <c r="BC328">
        <v>5.6897733615014747</v>
      </c>
      <c r="BD328">
        <v>265.50962200021161</v>
      </c>
      <c r="BE328">
        <v>-71.456682111265081</v>
      </c>
      <c r="BF328" s="6">
        <f t="shared" si="259"/>
        <v>6.0202842641698417</v>
      </c>
      <c r="BG328" s="6">
        <f t="shared" si="260"/>
        <v>0.33051090266836702</v>
      </c>
      <c r="BH328" s="6">
        <f t="shared" si="261"/>
        <v>0.72654865201055085</v>
      </c>
      <c r="BI328" s="6">
        <f t="shared" si="262"/>
        <v>0.72654865201055085</v>
      </c>
      <c r="BJ328">
        <v>295.0106911113462</v>
      </c>
      <c r="BK328">
        <v>-79.396313456961195</v>
      </c>
      <c r="BV328" s="38"/>
      <c r="BW328" s="6">
        <f t="shared" si="245"/>
        <v>5.4628805587422145</v>
      </c>
      <c r="BX328" s="9">
        <f t="shared" ca="1" si="246"/>
        <v>-247.21692969950286</v>
      </c>
      <c r="BY328" s="9">
        <f t="shared" ca="1" si="247"/>
        <v>80.527404102165235</v>
      </c>
      <c r="BZ328">
        <f t="shared" ca="1" si="248"/>
        <v>260.00167911281335</v>
      </c>
      <c r="CA328" s="6">
        <f t="shared" ca="1" si="249"/>
        <v>-0.9508282044295443</v>
      </c>
      <c r="CB328" s="6">
        <f t="shared" ca="1" si="250"/>
        <v>0.30971878480532744</v>
      </c>
      <c r="CC328" s="6">
        <f t="shared" ca="1" si="251"/>
        <v>2.8266953935554469</v>
      </c>
      <c r="CD328" s="6">
        <f t="shared" ca="1" si="252"/>
        <v>147.21692969950286</v>
      </c>
      <c r="CE328" s="9">
        <f t="shared" ca="1" si="253"/>
        <v>-130.52740410216524</v>
      </c>
      <c r="CF328">
        <f t="shared" ca="1" si="254"/>
        <v>196.74914894809154</v>
      </c>
      <c r="CG328" s="6">
        <f t="shared" ca="1" si="255"/>
        <v>0.74824684369203143</v>
      </c>
      <c r="CH328" s="6">
        <f t="shared" ca="1" si="256"/>
        <v>-0.66342042545049262</v>
      </c>
      <c r="CI328" s="6">
        <f t="shared" ca="1" si="257"/>
        <v>-0.72538080306627506</v>
      </c>
      <c r="CJ328" s="1">
        <f t="shared" ca="1" si="258"/>
        <v>1.1890284120670811</v>
      </c>
      <c r="CK328" s="38"/>
    </row>
    <row r="329" spans="55:89" x14ac:dyDescent="0.25">
      <c r="BC329">
        <v>5.7072266540214178</v>
      </c>
      <c r="BD329">
        <v>266.15147451659806</v>
      </c>
      <c r="BE329">
        <v>-70.562884984044047</v>
      </c>
      <c r="BF329" s="6">
        <f t="shared" si="259"/>
        <v>6.024024624387331</v>
      </c>
      <c r="BG329" s="6">
        <f t="shared" si="260"/>
        <v>0.31679797036591317</v>
      </c>
      <c r="BH329" s="6">
        <f t="shared" si="261"/>
        <v>0.72280829179306161</v>
      </c>
      <c r="BI329" s="6">
        <f t="shared" si="262"/>
        <v>0.72280829179306161</v>
      </c>
      <c r="BJ329">
        <v>295.72386057399785</v>
      </c>
      <c r="BK329">
        <v>-78.403205537826722</v>
      </c>
      <c r="BV329" s="38"/>
      <c r="BW329" s="6">
        <f t="shared" si="245"/>
        <v>5.4803338512621576</v>
      </c>
      <c r="BX329" s="9">
        <f t="shared" ca="1" si="246"/>
        <v>-249.23478023608837</v>
      </c>
      <c r="BY329" s="9">
        <f t="shared" ca="1" si="247"/>
        <v>80.039296043165848</v>
      </c>
      <c r="BZ329">
        <f t="shared" ca="1" si="248"/>
        <v>261.771397578912</v>
      </c>
      <c r="CA329" s="6">
        <f t="shared" ca="1" si="249"/>
        <v>-0.95210852882028707</v>
      </c>
      <c r="CB329" s="6">
        <f t="shared" ca="1" si="250"/>
        <v>0.30576028085359364</v>
      </c>
      <c r="CC329" s="6">
        <f t="shared" ca="1" si="251"/>
        <v>2.8308558032766431</v>
      </c>
      <c r="CD329" s="6">
        <f t="shared" ca="1" si="252"/>
        <v>149.23478023608837</v>
      </c>
      <c r="CE329" s="9">
        <f t="shared" ca="1" si="253"/>
        <v>-130.03929604316585</v>
      </c>
      <c r="CF329">
        <f t="shared" ca="1" si="254"/>
        <v>197.94251222896943</v>
      </c>
      <c r="CG329" s="6">
        <f t="shared" ca="1" si="255"/>
        <v>0.75392990902056178</v>
      </c>
      <c r="CH329" s="6">
        <f t="shared" ca="1" si="256"/>
        <v>-0.65695486320161112</v>
      </c>
      <c r="CI329" s="6">
        <f t="shared" ca="1" si="257"/>
        <v>-0.716772598590108</v>
      </c>
      <c r="CJ329" s="1">
        <f t="shared" ca="1" si="258"/>
        <v>1.180420207590914</v>
      </c>
      <c r="CK329" s="38"/>
    </row>
    <row r="330" spans="55:89" x14ac:dyDescent="0.25">
      <c r="BC330">
        <v>5.7246799465413609</v>
      </c>
      <c r="BD330">
        <v>266.77362240067208</v>
      </c>
      <c r="BE330">
        <v>-69.672038981394621</v>
      </c>
      <c r="BF330" s="6">
        <f t="shared" si="259"/>
        <v>6.0277259543314345</v>
      </c>
      <c r="BG330" s="6">
        <f t="shared" si="260"/>
        <v>0.30304600779007362</v>
      </c>
      <c r="BH330" s="6">
        <f t="shared" si="261"/>
        <v>0.71910696184895806</v>
      </c>
      <c r="BI330" s="6">
        <f t="shared" si="262"/>
        <v>0.71910696184895806</v>
      </c>
      <c r="BJ330">
        <v>296.41513600074677</v>
      </c>
      <c r="BK330">
        <v>-77.41337664599402</v>
      </c>
      <c r="BV330" s="38"/>
      <c r="BW330" s="6">
        <f t="shared" si="245"/>
        <v>5.4977871437821006</v>
      </c>
      <c r="BX330" s="9">
        <f t="shared" ca="1" si="246"/>
        <v>-251.29189099032908</v>
      </c>
      <c r="BY330" s="9">
        <f t="shared" ca="1" si="247"/>
        <v>79.550071448145957</v>
      </c>
      <c r="BZ330">
        <f t="shared" ca="1" si="248"/>
        <v>263.58267838555048</v>
      </c>
      <c r="CA330" s="6">
        <f t="shared" ca="1" si="249"/>
        <v>-0.95337027656558182</v>
      </c>
      <c r="CB330" s="6">
        <f t="shared" ca="1" si="250"/>
        <v>0.30180310760703943</v>
      </c>
      <c r="CC330" s="6">
        <f t="shared" ca="1" si="251"/>
        <v>2.8350092659617365</v>
      </c>
      <c r="CD330" s="6">
        <f t="shared" ca="1" si="252"/>
        <v>151.29189099032908</v>
      </c>
      <c r="CE330" s="9">
        <f t="shared" ca="1" si="253"/>
        <v>-129.55007144814596</v>
      </c>
      <c r="CF330">
        <f t="shared" ca="1" si="254"/>
        <v>199.17946001445364</v>
      </c>
      <c r="CG330" s="6">
        <f t="shared" ca="1" si="255"/>
        <v>0.75957576639353497</v>
      </c>
      <c r="CH330" s="6">
        <f t="shared" ca="1" si="256"/>
        <v>-0.65041883052973959</v>
      </c>
      <c r="CI330" s="6">
        <f t="shared" ca="1" si="257"/>
        <v>-0.7081357072352954</v>
      </c>
      <c r="CJ330" s="1">
        <f t="shared" ca="1" si="258"/>
        <v>1.1717833162361015</v>
      </c>
      <c r="CK330" s="38"/>
    </row>
    <row r="331" spans="55:89" x14ac:dyDescent="0.25">
      <c r="BC331">
        <v>5.742133239061304</v>
      </c>
      <c r="BD331">
        <v>267.37656056218748</v>
      </c>
      <c r="BE331">
        <v>-68.784175048253857</v>
      </c>
      <c r="BF331" s="6">
        <f t="shared" si="259"/>
        <v>6.0313893860884757</v>
      </c>
      <c r="BG331" s="6">
        <f t="shared" si="260"/>
        <v>0.28925614702717173</v>
      </c>
      <c r="BH331" s="6">
        <f t="shared" si="261"/>
        <v>0.71544353009191686</v>
      </c>
      <c r="BI331" s="6">
        <f t="shared" si="262"/>
        <v>0.71544353009191686</v>
      </c>
      <c r="BJ331">
        <v>297.08506729131943</v>
      </c>
      <c r="BK331">
        <v>-76.426861164726503</v>
      </c>
      <c r="BV331" s="38"/>
      <c r="BW331" s="6">
        <f t="shared" si="245"/>
        <v>5.5152404363020437</v>
      </c>
      <c r="BX331" s="9">
        <f t="shared" ca="1" si="246"/>
        <v>-253.3849317229247</v>
      </c>
      <c r="BY331" s="9">
        <f t="shared" ca="1" si="247"/>
        <v>79.061257367658627</v>
      </c>
      <c r="BZ331">
        <f t="shared" ca="1" si="248"/>
        <v>265.43286541192742</v>
      </c>
      <c r="CA331" s="6">
        <f t="shared" ca="1" si="249"/>
        <v>-0.95461024138700601</v>
      </c>
      <c r="CB331" s="6">
        <f t="shared" ca="1" si="250"/>
        <v>0.29785783024631413</v>
      </c>
      <c r="CC331" s="6">
        <f t="shared" ca="1" si="251"/>
        <v>2.8391448131548835</v>
      </c>
      <c r="CD331" s="6">
        <f t="shared" ca="1" si="252"/>
        <v>153.3849317229247</v>
      </c>
      <c r="CE331" s="9">
        <f t="shared" ca="1" si="253"/>
        <v>-129.06125736765864</v>
      </c>
      <c r="CF331">
        <f t="shared" ca="1" si="254"/>
        <v>200.45883725335557</v>
      </c>
      <c r="CG331" s="6">
        <f t="shared" ca="1" si="255"/>
        <v>0.76516921790314896</v>
      </c>
      <c r="CH331" s="6">
        <f t="shared" ca="1" si="256"/>
        <v>-0.64382922267747633</v>
      </c>
      <c r="CI331" s="6">
        <f t="shared" ca="1" si="257"/>
        <v>-0.69949220698545078</v>
      </c>
      <c r="CJ331" s="1">
        <f t="shared" ca="1" si="258"/>
        <v>1.1631398159862569</v>
      </c>
      <c r="CK331" s="38"/>
    </row>
    <row r="332" spans="55:89" x14ac:dyDescent="0.25">
      <c r="BC332">
        <v>5.7595865315812471</v>
      </c>
      <c r="BD332">
        <v>267.96076503839123</v>
      </c>
      <c r="BE332">
        <v>-67.899283174032448</v>
      </c>
      <c r="BF332" s="6">
        <f t="shared" si="259"/>
        <v>6.0350161375839386</v>
      </c>
      <c r="BG332" s="6">
        <f t="shared" si="260"/>
        <v>0.27542960600269151</v>
      </c>
      <c r="BH332" s="6">
        <f t="shared" si="261"/>
        <v>0.71181677859645398</v>
      </c>
      <c r="BI332" s="6">
        <f t="shared" si="262"/>
        <v>0.71181677859645398</v>
      </c>
      <c r="BJ332">
        <v>297.73418337599026</v>
      </c>
      <c r="BK332">
        <v>-75.443647971147158</v>
      </c>
      <c r="BV332" s="38"/>
      <c r="BW332" s="6">
        <f t="shared" si="245"/>
        <v>5.5326937288219868</v>
      </c>
      <c r="BX332" s="9">
        <f t="shared" ca="1" si="246"/>
        <v>-255.51158521478769</v>
      </c>
      <c r="BY332" s="9">
        <f t="shared" ca="1" si="247"/>
        <v>78.574045706442803</v>
      </c>
      <c r="BZ332">
        <f t="shared" ca="1" si="248"/>
        <v>267.32012800694952</v>
      </c>
      <c r="CA332" s="6">
        <f t="shared" ca="1" si="249"/>
        <v>-0.9558262115157492</v>
      </c>
      <c r="CB332" s="6">
        <f t="shared" ca="1" si="250"/>
        <v>0.29393239593391229</v>
      </c>
      <c r="CC332" s="6">
        <f t="shared" ca="1" si="251"/>
        <v>2.8432542707420843</v>
      </c>
      <c r="CD332" s="6">
        <f t="shared" ca="1" si="252"/>
        <v>155.51158521478769</v>
      </c>
      <c r="CE332" s="9">
        <f t="shared" ca="1" si="253"/>
        <v>-128.5740457064428</v>
      </c>
      <c r="CF332">
        <f t="shared" ca="1" si="254"/>
        <v>201.77992557570889</v>
      </c>
      <c r="CG332" s="6">
        <f t="shared" ca="1" si="255"/>
        <v>0.77069899184019142</v>
      </c>
      <c r="CH332" s="6">
        <f t="shared" ca="1" si="256"/>
        <v>-0.63719939106728007</v>
      </c>
      <c r="CI332" s="6">
        <f t="shared" ca="1" si="257"/>
        <v>-0.69085892661756865</v>
      </c>
      <c r="CJ332" s="1">
        <f t="shared" ca="1" si="258"/>
        <v>1.1545065356183748</v>
      </c>
      <c r="CK332" s="38"/>
    </row>
    <row r="333" spans="55:89" x14ac:dyDescent="0.25">
      <c r="BC333">
        <v>5.7770398241011902</v>
      </c>
      <c r="BD333">
        <v>268.5266875246071</v>
      </c>
      <c r="BE333">
        <v>-67.017321429419468</v>
      </c>
      <c r="BF333" s="6">
        <f t="shared" si="259"/>
        <v>6.0386074784526311</v>
      </c>
      <c r="BG333" s="6">
        <f t="shared" si="260"/>
        <v>0.26156765435144091</v>
      </c>
      <c r="BH333" s="6">
        <f t="shared" si="261"/>
        <v>0.70822543772776148</v>
      </c>
      <c r="BI333" s="6">
        <f t="shared" si="262"/>
        <v>0.70822543772776148</v>
      </c>
      <c r="BJ333">
        <v>298.3629861384523</v>
      </c>
      <c r="BK333">
        <v>-74.463690477132744</v>
      </c>
      <c r="BV333" s="38"/>
      <c r="BW333" s="6">
        <f t="shared" si="245"/>
        <v>5.5501470213419299</v>
      </c>
      <c r="BX333" s="9">
        <f t="shared" ca="1" si="246"/>
        <v>-257.67035179971572</v>
      </c>
      <c r="BY333" s="9">
        <f t="shared" ca="1" si="247"/>
        <v>78.089361846795939</v>
      </c>
      <c r="BZ333">
        <f t="shared" ca="1" si="248"/>
        <v>269.24330749385229</v>
      </c>
      <c r="CA333" s="6">
        <f t="shared" ca="1" si="249"/>
        <v>-0.95701673775345064</v>
      </c>
      <c r="CB333" s="6">
        <f t="shared" ca="1" si="250"/>
        <v>0.29003269412213328</v>
      </c>
      <c r="CC333" s="6">
        <f t="shared" ca="1" si="251"/>
        <v>2.8473316534781201</v>
      </c>
      <c r="CD333" s="6">
        <f t="shared" ca="1" si="252"/>
        <v>157.67035179971572</v>
      </c>
      <c r="CE333" s="9">
        <f t="shared" ca="1" si="253"/>
        <v>-128.08936184679595</v>
      </c>
      <c r="CF333">
        <f t="shared" ca="1" si="254"/>
        <v>203.14237483835208</v>
      </c>
      <c r="CG333" s="6">
        <f t="shared" ca="1" si="255"/>
        <v>0.77615687975086367</v>
      </c>
      <c r="CH333" s="6">
        <f t="shared" ca="1" si="256"/>
        <v>-0.63053984649299</v>
      </c>
      <c r="CI333" s="6">
        <f t="shared" ca="1" si="257"/>
        <v>-0.68224855308183951</v>
      </c>
      <c r="CJ333" s="1">
        <f t="shared" ca="1" si="258"/>
        <v>1.1458961620826456</v>
      </c>
      <c r="CK333" s="38"/>
    </row>
    <row r="334" spans="55:89" x14ac:dyDescent="0.25">
      <c r="BC334">
        <v>5.7944931166211333</v>
      </c>
      <c r="BD334">
        <v>269.07475083352557</v>
      </c>
      <c r="BE334">
        <v>-66.138223901150695</v>
      </c>
      <c r="BF334" s="6">
        <f t="shared" si="259"/>
        <v>6.0421647010099422</v>
      </c>
      <c r="BG334" s="6">
        <f t="shared" si="260"/>
        <v>0.24767158438880887</v>
      </c>
      <c r="BH334" s="6">
        <f t="shared" si="261"/>
        <v>0.70466821517045053</v>
      </c>
      <c r="BI334" s="6">
        <f t="shared" si="262"/>
        <v>0.70466821517045053</v>
      </c>
      <c r="BJ334">
        <v>298.97194537058397</v>
      </c>
      <c r="BK334">
        <v>-73.486915445723</v>
      </c>
      <c r="BV334" s="38"/>
      <c r="BW334" s="6">
        <f t="shared" si="245"/>
        <v>5.567600313861873</v>
      </c>
      <c r="BX334" s="9">
        <f t="shared" ca="1" si="246"/>
        <v>-259.86039351614482</v>
      </c>
      <c r="BY334" s="9">
        <f t="shared" ca="1" si="247"/>
        <v>77.607920914939868</v>
      </c>
      <c r="BZ334">
        <f t="shared" ca="1" si="248"/>
        <v>271.20179480804546</v>
      </c>
      <c r="CA334" s="6">
        <f t="shared" ca="1" si="249"/>
        <v>-0.958180950461895</v>
      </c>
      <c r="CB334" s="6">
        <f t="shared" ca="1" si="250"/>
        <v>0.28616300629525759</v>
      </c>
      <c r="CC334" s="6">
        <f t="shared" ca="1" si="251"/>
        <v>2.851372680244932</v>
      </c>
      <c r="CD334" s="6">
        <f t="shared" ca="1" si="252"/>
        <v>159.86039351614482</v>
      </c>
      <c r="CE334" s="9">
        <f t="shared" ca="1" si="253"/>
        <v>-127.60792091493987</v>
      </c>
      <c r="CF334">
        <f t="shared" ca="1" si="254"/>
        <v>204.54614857134374</v>
      </c>
      <c r="CG334" s="6">
        <f t="shared" ca="1" si="255"/>
        <v>0.78153704986719441</v>
      </c>
      <c r="CH334" s="6">
        <f t="shared" ca="1" si="256"/>
        <v>-0.62385882993260788</v>
      </c>
      <c r="CI334" s="6">
        <f t="shared" ca="1" si="257"/>
        <v>-0.67367051927680266</v>
      </c>
      <c r="CJ334" s="1">
        <f t="shared" ca="1" si="258"/>
        <v>1.1373181282776088</v>
      </c>
      <c r="CK334" s="38"/>
    </row>
    <row r="335" spans="55:89" x14ac:dyDescent="0.25">
      <c r="BC335">
        <v>5.8119464091410764</v>
      </c>
      <c r="BD335">
        <v>269.60534505902314</v>
      </c>
      <c r="BE335">
        <v>-65.261907789538398</v>
      </c>
      <c r="BF335" s="6">
        <f t="shared" si="259"/>
        <v>6.0456890950798137</v>
      </c>
      <c r="BG335" s="6">
        <f t="shared" si="260"/>
        <v>0.23374268593873726</v>
      </c>
      <c r="BH335" s="6">
        <f t="shared" si="261"/>
        <v>0.70114382110057893</v>
      </c>
      <c r="BI335" s="6">
        <f t="shared" si="262"/>
        <v>0.70114382110057893</v>
      </c>
      <c r="BJ335">
        <v>299.56149451002568</v>
      </c>
      <c r="BK335">
        <v>-72.513230877264888</v>
      </c>
      <c r="BV335" s="38"/>
      <c r="BW335" s="6">
        <f t="shared" ref="BW335:BW375" si="263">BC322</f>
        <v>5.5850536063818161</v>
      </c>
      <c r="BX335" s="9">
        <f t="shared" ca="1" si="246"/>
        <v>-261.21673478557994</v>
      </c>
      <c r="BY335" s="9">
        <f t="shared" ca="1" si="247"/>
        <v>76.871472380042135</v>
      </c>
      <c r="BZ335">
        <f t="shared" ca="1" si="248"/>
        <v>272.2928676956405</v>
      </c>
      <c r="CA335" s="6">
        <f t="shared" ca="1" si="249"/>
        <v>-0.95932272114287964</v>
      </c>
      <c r="CB335" s="6">
        <f t="shared" ca="1" si="250"/>
        <v>0.28231173673622034</v>
      </c>
      <c r="CC335" s="6">
        <f t="shared" ca="1" si="251"/>
        <v>2.8553896367049512</v>
      </c>
      <c r="CD335" s="6">
        <f t="shared" ca="1" si="252"/>
        <v>161.21673478557994</v>
      </c>
      <c r="CE335" s="9">
        <f t="shared" ca="1" si="253"/>
        <v>-126.87147238004214</v>
      </c>
      <c r="CF335">
        <f t="shared" ca="1" si="254"/>
        <v>205.15166603955186</v>
      </c>
      <c r="CG335" s="6">
        <f t="shared" ca="1" si="255"/>
        <v>0.78584170383728913</v>
      </c>
      <c r="CH335" s="6">
        <f t="shared" ca="1" si="256"/>
        <v>-0.61842769707550005</v>
      </c>
      <c r="CI335" s="6">
        <f t="shared" ca="1" si="257"/>
        <v>-0.66674033586414316</v>
      </c>
      <c r="CJ335" s="1">
        <f t="shared" ca="1" si="258"/>
        <v>1.1303879448649492</v>
      </c>
      <c r="CK335" s="38"/>
    </row>
    <row r="336" spans="55:89" x14ac:dyDescent="0.25">
      <c r="BC336">
        <v>5.8293997016610195</v>
      </c>
      <c r="BD336">
        <v>270.11882422498502</v>
      </c>
      <c r="BE336">
        <v>-64.388279894008349</v>
      </c>
      <c r="BF336" s="6">
        <f t="shared" si="259"/>
        <v>6.0491819256129418</v>
      </c>
      <c r="BG336" s="6">
        <f t="shared" si="260"/>
        <v>0.21978222395192226</v>
      </c>
      <c r="BH336" s="6">
        <f t="shared" si="261"/>
        <v>0.69765099056745083</v>
      </c>
      <c r="BI336" s="6">
        <f t="shared" si="262"/>
        <v>0.69765099056745083</v>
      </c>
      <c r="BJ336">
        <v>300.13202691665003</v>
      </c>
      <c r="BK336">
        <v>-71.542533215564831</v>
      </c>
      <c r="BV336" s="38"/>
      <c r="BW336" s="6">
        <f t="shared" si="263"/>
        <v>5.6025068989017592</v>
      </c>
      <c r="BX336" s="9">
        <f t="shared" ref="BX336:BX375" ca="1" si="264">$BW$5-BD323</f>
        <v>-261.98715668829237</v>
      </c>
      <c r="BY336" s="9">
        <f t="shared" ref="BY336:BY375" ca="1" si="265">$BX$5-BE323</f>
        <v>75.964498906760085</v>
      </c>
      <c r="BZ336">
        <f t="shared" ref="BZ336:BZ375" ca="1" si="266">SQRT(POWER(BX336,2)+POWER(BY336,2))</f>
        <v>272.77806979992181</v>
      </c>
      <c r="CA336" s="6">
        <f t="shared" ref="CA336:CA375" ca="1" si="267">BX336/BZ336</f>
        <v>-0.96044068674749261</v>
      </c>
      <c r="CB336" s="6">
        <f t="shared" ref="CB336:CB375" ca="1" si="268">BY336/BZ336</f>
        <v>0.27848462657749129</v>
      </c>
      <c r="CC336" s="6">
        <f t="shared" ref="CC336:CC375" ca="1" si="269">ATAN2(CA336,CB336)</f>
        <v>2.8593766958114522</v>
      </c>
      <c r="CD336" s="6">
        <f t="shared" ref="CD336:CD375" ca="1" si="270">$BW$9-BX336</f>
        <v>161.98715668829237</v>
      </c>
      <c r="CE336" s="9">
        <f t="shared" ref="CE336:CE375" ca="1" si="271">$BX$9-BY336</f>
        <v>-125.96449890676008</v>
      </c>
      <c r="CF336">
        <f t="shared" ref="CF336:CF375" ca="1" si="272">SQRT(POWER(CD336,2)+POWER(CE336,2))</f>
        <v>205.19964404644699</v>
      </c>
      <c r="CG336" s="6">
        <f t="shared" ref="CG336:CG375" ca="1" si="273">CD336/CF336</f>
        <v>0.78941246433949241</v>
      </c>
      <c r="CH336" s="6">
        <f t="shared" ref="CH336:CH375" ca="1" si="274">CE336/CF336</f>
        <v>-0.61386314529009611</v>
      </c>
      <c r="CI336" s="6">
        <f t="shared" ref="CI336:CI375" ca="1" si="275">ATAN2(CG336,CH336)</f>
        <v>-0.66094503107795943</v>
      </c>
      <c r="CJ336" s="1">
        <f t="shared" ref="CJ336:CJ375" ca="1" si="276">ATAN2(COS($U$13-CI336),SIN($U$13-CI336))</f>
        <v>1.1245926400787656</v>
      </c>
      <c r="CK336" s="38"/>
    </row>
    <row r="337" spans="55:89" x14ac:dyDescent="0.25">
      <c r="BC337">
        <v>5.8468529941809626</v>
      </c>
      <c r="BD337">
        <v>270.61550325679065</v>
      </c>
      <c r="BE337">
        <v>-63.51724268409248</v>
      </c>
      <c r="BF337" s="6">
        <f t="shared" si="259"/>
        <v>6.0526444122046703</v>
      </c>
      <c r="BG337" s="6">
        <f t="shared" si="260"/>
        <v>0.20579141802370771</v>
      </c>
      <c r="BH337" s="6">
        <f t="shared" si="261"/>
        <v>0.6941885039757224</v>
      </c>
      <c r="BI337" s="6">
        <f t="shared" si="262"/>
        <v>0.6941885039757224</v>
      </c>
      <c r="BJ337">
        <v>300.68389250754518</v>
      </c>
      <c r="BK337">
        <v>-70.574714093436086</v>
      </c>
      <c r="BV337" s="38"/>
      <c r="BW337" s="6">
        <f t="shared" si="263"/>
        <v>5.6199601914217023</v>
      </c>
      <c r="BX337" s="9">
        <f t="shared" ca="1" si="264"/>
        <v>-262.7350355576437</v>
      </c>
      <c r="BY337" s="9">
        <f t="shared" ca="1" si="265"/>
        <v>75.058690058743281</v>
      </c>
      <c r="BZ337">
        <f t="shared" ca="1" si="266"/>
        <v>273.24623668554113</v>
      </c>
      <c r="CA337" s="6">
        <f t="shared" ca="1" si="267"/>
        <v>-0.96153212847357894</v>
      </c>
      <c r="CB337" s="6">
        <f t="shared" ca="1" si="268"/>
        <v>0.27469249336861962</v>
      </c>
      <c r="CC337" s="6">
        <f t="shared" ca="1" si="269"/>
        <v>2.8633227748174184</v>
      </c>
      <c r="CD337" s="6">
        <f t="shared" ca="1" si="270"/>
        <v>162.7350355576437</v>
      </c>
      <c r="CE337" s="9">
        <f t="shared" ca="1" si="271"/>
        <v>-125.05869005874328</v>
      </c>
      <c r="CF337">
        <f t="shared" ca="1" si="272"/>
        <v>205.2373449378947</v>
      </c>
      <c r="CG337" s="6">
        <f t="shared" ca="1" si="273"/>
        <v>0.79291142460884834</v>
      </c>
      <c r="CH337" s="6">
        <f t="shared" ca="1" si="274"/>
        <v>-0.60933691232746323</v>
      </c>
      <c r="CI337" s="6">
        <f t="shared" ca="1" si="275"/>
        <v>-0.65522405239705739</v>
      </c>
      <c r="CJ337" s="1">
        <f t="shared" ca="1" si="276"/>
        <v>1.1188716613978635</v>
      </c>
      <c r="CK337" s="38"/>
    </row>
    <row r="338" spans="55:89" x14ac:dyDescent="0.25">
      <c r="BC338">
        <v>5.8643062867009057</v>
      </c>
      <c r="BD338">
        <v>271.09565514270332</v>
      </c>
      <c r="BE338">
        <v>-62.648700132145514</v>
      </c>
      <c r="BF338" s="6">
        <f t="shared" si="259"/>
        <v>6.0560777097428469</v>
      </c>
      <c r="BG338" s="6">
        <f t="shared" si="260"/>
        <v>0.19177142304194117</v>
      </c>
      <c r="BH338" s="6">
        <f t="shared" si="261"/>
        <v>0.69075520643754573</v>
      </c>
      <c r="BI338" s="6">
        <f t="shared" si="262"/>
        <v>0.69075520643754573</v>
      </c>
      <c r="BJ338">
        <v>301.2173946030037</v>
      </c>
      <c r="BK338">
        <v>-69.609666813495011</v>
      </c>
      <c r="BV338" s="38"/>
      <c r="BW338" s="6">
        <f t="shared" si="263"/>
        <v>5.6374134839416454</v>
      </c>
      <c r="BX338" s="9">
        <f t="shared" ca="1" si="264"/>
        <v>-263.46075833407406</v>
      </c>
      <c r="BY338" s="9">
        <f t="shared" ca="1" si="265"/>
        <v>74.154623924618946</v>
      </c>
      <c r="BZ338">
        <f t="shared" ca="1" si="266"/>
        <v>273.69778850287963</v>
      </c>
      <c r="CA338" s="6">
        <f t="shared" ca="1" si="267"/>
        <v>-0.96259732230646844</v>
      </c>
      <c r="CB338" s="6">
        <f t="shared" ca="1" si="268"/>
        <v>0.27093614577685471</v>
      </c>
      <c r="CC338" s="6">
        <f t="shared" ca="1" si="269"/>
        <v>2.8672272343829386</v>
      </c>
      <c r="CD338" s="6">
        <f t="shared" ca="1" si="270"/>
        <v>163.46075833407406</v>
      </c>
      <c r="CE338" s="9">
        <f t="shared" ca="1" si="271"/>
        <v>-124.15462392461895</v>
      </c>
      <c r="CF338">
        <f t="shared" ca="1" si="272"/>
        <v>205.26517034561448</v>
      </c>
      <c r="CG338" s="6">
        <f t="shared" ca="1" si="273"/>
        <v>0.79633947668202842</v>
      </c>
      <c r="CH338" s="6">
        <f t="shared" ca="1" si="274"/>
        <v>-0.60484993004694387</v>
      </c>
      <c r="CI338" s="6">
        <f t="shared" ca="1" si="275"/>
        <v>-0.64957740421240795</v>
      </c>
      <c r="CJ338" s="1">
        <f t="shared" ca="1" si="276"/>
        <v>1.113225013213214</v>
      </c>
      <c r="CK338" s="38"/>
    </row>
    <row r="339" spans="55:89" x14ac:dyDescent="0.25">
      <c r="BC339">
        <v>5.8817595792208488</v>
      </c>
      <c r="BD339">
        <v>271.55950819618897</v>
      </c>
      <c r="BE339">
        <v>-61.782563468469064</v>
      </c>
      <c r="BF339" s="6">
        <f t="shared" si="259"/>
        <v>6.0594828895228749</v>
      </c>
      <c r="BG339" s="6">
        <f t="shared" si="260"/>
        <v>0.17772331030202615</v>
      </c>
      <c r="BH339" s="6">
        <f t="shared" si="261"/>
        <v>0.68735002665751765</v>
      </c>
      <c r="BI339" s="6">
        <f t="shared" si="262"/>
        <v>0.68735002665751765</v>
      </c>
      <c r="BJ339">
        <v>301.73278688465439</v>
      </c>
      <c r="BK339">
        <v>-68.647292742743403</v>
      </c>
      <c r="BV339" s="38"/>
      <c r="BW339" s="6">
        <f t="shared" si="263"/>
        <v>5.6548667764615885</v>
      </c>
      <c r="BX339" s="9">
        <f t="shared" ca="1" si="264"/>
        <v>-264.16477122430388</v>
      </c>
      <c r="BY339" s="9">
        <f t="shared" ca="1" si="265"/>
        <v>73.252736674048961</v>
      </c>
      <c r="BZ339">
        <f t="shared" ca="1" si="266"/>
        <v>274.13316068331898</v>
      </c>
      <c r="CA339" s="6">
        <f t="shared" ca="1" si="267"/>
        <v>-0.96363668870206232</v>
      </c>
      <c r="CB339" s="6">
        <f t="shared" ca="1" si="268"/>
        <v>0.26721589059658185</v>
      </c>
      <c r="CC339" s="6">
        <f t="shared" ca="1" si="269"/>
        <v>2.871089953588712</v>
      </c>
      <c r="CD339" s="6">
        <f t="shared" ca="1" si="270"/>
        <v>164.16477122430388</v>
      </c>
      <c r="CE339" s="9">
        <f t="shared" ca="1" si="271"/>
        <v>-123.25273667404896</v>
      </c>
      <c r="CF339">
        <f t="shared" ca="1" si="272"/>
        <v>205.28348498788324</v>
      </c>
      <c r="CG339" s="6">
        <f t="shared" ca="1" si="273"/>
        <v>0.79969789695451454</v>
      </c>
      <c r="CH339" s="6">
        <f t="shared" ca="1" si="274"/>
        <v>-0.60040259293787757</v>
      </c>
      <c r="CI339" s="6">
        <f t="shared" ca="1" si="275"/>
        <v>-0.64400444499213083</v>
      </c>
      <c r="CJ339" s="1">
        <f t="shared" ca="1" si="276"/>
        <v>1.1076520539929369</v>
      </c>
      <c r="CK339" s="38"/>
    </row>
    <row r="340" spans="55:89" x14ac:dyDescent="0.25">
      <c r="BC340">
        <v>5.8992128717407919</v>
      </c>
      <c r="BD340">
        <v>272.00724331350904</v>
      </c>
      <c r="BE340">
        <v>-60.918757006293937</v>
      </c>
      <c r="BF340" s="6">
        <f t="shared" si="259"/>
        <v>6.0628609202117172</v>
      </c>
      <c r="BG340" s="6">
        <f t="shared" si="260"/>
        <v>0.16364804847092529</v>
      </c>
      <c r="BH340" s="6">
        <f t="shared" si="261"/>
        <v>0.68397199596867542</v>
      </c>
      <c r="BI340" s="6">
        <f t="shared" si="262"/>
        <v>0.68397199596867542</v>
      </c>
      <c r="BJ340">
        <v>302.23027034834337</v>
      </c>
      <c r="BK340">
        <v>-67.687507784771043</v>
      </c>
      <c r="BV340" s="38"/>
      <c r="BW340" s="6">
        <f t="shared" si="263"/>
        <v>5.6723200689815316</v>
      </c>
      <c r="BX340" s="9">
        <f t="shared" ca="1" si="264"/>
        <v>-264.84755781862839</v>
      </c>
      <c r="BY340" s="9">
        <f t="shared" ca="1" si="265"/>
        <v>72.353348010668867</v>
      </c>
      <c r="BZ340">
        <f t="shared" ca="1" si="266"/>
        <v>274.55279246593847</v>
      </c>
      <c r="CA340" s="6">
        <f t="shared" ca="1" si="267"/>
        <v>-0.96465075237392051</v>
      </c>
      <c r="CB340" s="6">
        <f t="shared" ca="1" si="268"/>
        <v>0.26353164125855744</v>
      </c>
      <c r="CC340" s="6">
        <f t="shared" ca="1" si="269"/>
        <v>2.8749112146480478</v>
      </c>
      <c r="CD340" s="6">
        <f t="shared" ca="1" si="270"/>
        <v>164.84755781862839</v>
      </c>
      <c r="CE340" s="9">
        <f t="shared" ca="1" si="271"/>
        <v>-122.35334801066887</v>
      </c>
      <c r="CF340">
        <f t="shared" ca="1" si="272"/>
        <v>205.29261820188734</v>
      </c>
      <c r="CG340" s="6">
        <f t="shared" ca="1" si="273"/>
        <v>0.80298823826444277</v>
      </c>
      <c r="CH340" s="6">
        <f t="shared" ca="1" si="274"/>
        <v>-0.59599487347540692</v>
      </c>
      <c r="CI340" s="6">
        <f t="shared" ca="1" si="275"/>
        <v>-0.63850404381830317</v>
      </c>
      <c r="CJ340" s="1">
        <f t="shared" ca="1" si="276"/>
        <v>1.1021516528191093</v>
      </c>
      <c r="CK340" s="38"/>
    </row>
    <row r="341" spans="55:89" x14ac:dyDescent="0.25">
      <c r="BC341">
        <v>5.916666164260735</v>
      </c>
      <c r="BD341">
        <v>272.43899121758039</v>
      </c>
      <c r="BE341">
        <v>-60.057224172826253</v>
      </c>
      <c r="BF341" s="6">
        <f t="shared" si="259"/>
        <v>6.0662126481680012</v>
      </c>
      <c r="BG341" s="6">
        <f t="shared" si="260"/>
        <v>0.14954648390726621</v>
      </c>
      <c r="BH341" s="6">
        <f t="shared" si="261"/>
        <v>0.68062026801239139</v>
      </c>
      <c r="BI341" s="6">
        <f t="shared" si="262"/>
        <v>0.68062026801239139</v>
      </c>
      <c r="BJ341">
        <v>302.70999024175597</v>
      </c>
      <c r="BK341">
        <v>-66.730249080918057</v>
      </c>
      <c r="BV341" s="38"/>
      <c r="BW341" s="6">
        <f t="shared" si="263"/>
        <v>5.6897733615014747</v>
      </c>
      <c r="BX341" s="9">
        <f t="shared" ca="1" si="264"/>
        <v>-265.50962200021161</v>
      </c>
      <c r="BY341" s="9">
        <f t="shared" ca="1" si="265"/>
        <v>71.456682111265081</v>
      </c>
      <c r="BZ341">
        <f t="shared" ca="1" si="266"/>
        <v>274.95711809852395</v>
      </c>
      <c r="CA341" s="6">
        <f t="shared" ca="1" si="267"/>
        <v>-0.96564011085202361</v>
      </c>
      <c r="CB341" s="6">
        <f t="shared" ca="1" si="268"/>
        <v>0.25988300504975609</v>
      </c>
      <c r="CC341" s="6">
        <f t="shared" ca="1" si="269"/>
        <v>2.8786916105800486</v>
      </c>
      <c r="CD341" s="6">
        <f t="shared" ca="1" si="270"/>
        <v>165.50962200021161</v>
      </c>
      <c r="CE341" s="9">
        <f t="shared" ca="1" si="271"/>
        <v>-121.45668211126508</v>
      </c>
      <c r="CF341">
        <f t="shared" ca="1" si="272"/>
        <v>205.29286544868</v>
      </c>
      <c r="CG341" s="6">
        <f t="shared" ca="1" si="273"/>
        <v>0.80621224531344671</v>
      </c>
      <c r="CH341" s="6">
        <f t="shared" ca="1" si="274"/>
        <v>-0.59162641549093364</v>
      </c>
      <c r="CI341" s="6">
        <f t="shared" ca="1" si="275"/>
        <v>-0.63307470509011621</v>
      </c>
      <c r="CJ341" s="1">
        <f t="shared" ca="1" si="276"/>
        <v>1.0967223140909224</v>
      </c>
      <c r="CK341" s="38"/>
    </row>
    <row r="342" spans="55:89" x14ac:dyDescent="0.25">
      <c r="BC342">
        <v>5.9341194567806781</v>
      </c>
      <c r="BD342">
        <v>272.85482964845369</v>
      </c>
      <c r="BE342">
        <v>-59.197933865641637</v>
      </c>
      <c r="BF342" s="6">
        <f t="shared" si="259"/>
        <v>6.0695387766619211</v>
      </c>
      <c r="BG342" s="6">
        <f t="shared" si="260"/>
        <v>0.13541931988124301</v>
      </c>
      <c r="BH342" s="6">
        <f t="shared" si="261"/>
        <v>0.67729413951847151</v>
      </c>
      <c r="BI342" s="6">
        <f t="shared" si="262"/>
        <v>0.67729413951847151</v>
      </c>
      <c r="BJ342">
        <v>303.17203294272633</v>
      </c>
      <c r="BK342">
        <v>-65.775482072935148</v>
      </c>
      <c r="BV342" s="38"/>
      <c r="BW342" s="6">
        <f t="shared" si="263"/>
        <v>5.7072266540214178</v>
      </c>
      <c r="BX342" s="9">
        <f t="shared" ca="1" si="264"/>
        <v>-266.15147451659806</v>
      </c>
      <c r="BY342" s="9">
        <f t="shared" ca="1" si="265"/>
        <v>70.562884984044047</v>
      </c>
      <c r="BZ342">
        <f t="shared" ca="1" si="266"/>
        <v>275.34656003776541</v>
      </c>
      <c r="CA342" s="6">
        <f t="shared" ca="1" si="267"/>
        <v>-0.9666054098518384</v>
      </c>
      <c r="CB342" s="6">
        <f t="shared" ca="1" si="268"/>
        <v>0.25626935369872034</v>
      </c>
      <c r="CC342" s="6">
        <f t="shared" ca="1" si="269"/>
        <v>2.8824319707975374</v>
      </c>
      <c r="CD342" s="6">
        <f t="shared" ca="1" si="270"/>
        <v>166.15147451659806</v>
      </c>
      <c r="CE342" s="9">
        <f t="shared" ca="1" si="271"/>
        <v>-120.56288498404405</v>
      </c>
      <c r="CF342">
        <f t="shared" ca="1" si="272"/>
        <v>205.28448972027957</v>
      </c>
      <c r="CG342" s="6">
        <f t="shared" ca="1" si="273"/>
        <v>0.80937178811217492</v>
      </c>
      <c r="CH342" s="6">
        <f t="shared" ca="1" si="274"/>
        <v>-0.58729661041768377</v>
      </c>
      <c r="CI342" s="6">
        <f t="shared" ca="1" si="275"/>
        <v>-0.62771466857404312</v>
      </c>
      <c r="CJ342" s="1">
        <f t="shared" ca="1" si="276"/>
        <v>1.0913622775748493</v>
      </c>
      <c r="CK342" s="38"/>
    </row>
    <row r="343" spans="55:89" x14ac:dyDescent="0.25">
      <c r="BC343">
        <v>5.9515727493006212</v>
      </c>
      <c r="BD343">
        <v>273.25478055786994</v>
      </c>
      <c r="BE343">
        <v>-58.340887227671878</v>
      </c>
      <c r="BF343" s="6">
        <f t="shared" si="259"/>
        <v>6.0728398437049034</v>
      </c>
      <c r="BG343" s="6">
        <f t="shared" si="260"/>
        <v>0.12126709440428218</v>
      </c>
      <c r="BH343" s="6">
        <f t="shared" si="261"/>
        <v>0.67399307247548923</v>
      </c>
      <c r="BI343" s="6">
        <f t="shared" si="262"/>
        <v>0.67399307247548923</v>
      </c>
      <c r="BJ343">
        <v>303.61642284207772</v>
      </c>
      <c r="BK343">
        <v>-64.823208030746528</v>
      </c>
      <c r="BV343" s="38"/>
      <c r="BW343" s="6">
        <f t="shared" si="263"/>
        <v>5.7246799465413609</v>
      </c>
      <c r="BX343" s="9">
        <f t="shared" ca="1" si="264"/>
        <v>-266.77362240067208</v>
      </c>
      <c r="BY343" s="9">
        <f t="shared" ca="1" si="265"/>
        <v>69.672038981394621</v>
      </c>
      <c r="BZ343">
        <f t="shared" ca="1" si="266"/>
        <v>275.72152368758111</v>
      </c>
      <c r="CA343" s="6">
        <f t="shared" ca="1" si="267"/>
        <v>-0.9675473239548471</v>
      </c>
      <c r="CB343" s="6">
        <f t="shared" ca="1" si="268"/>
        <v>0.25268988089714645</v>
      </c>
      <c r="CC343" s="6">
        <f t="shared" ca="1" si="269"/>
        <v>2.8861333007416419</v>
      </c>
      <c r="CD343" s="6">
        <f t="shared" ca="1" si="270"/>
        <v>166.77362240067208</v>
      </c>
      <c r="CE343" s="9">
        <f t="shared" ca="1" si="271"/>
        <v>-119.67203898139462</v>
      </c>
      <c r="CF343">
        <f t="shared" ca="1" si="272"/>
        <v>205.26772284654592</v>
      </c>
      <c r="CG343" s="6">
        <f t="shared" ca="1" si="273"/>
        <v>0.81246880945500011</v>
      </c>
      <c r="CH343" s="6">
        <f t="shared" ca="1" si="274"/>
        <v>-0.58300466006951845</v>
      </c>
      <c r="CI343" s="6">
        <f t="shared" ca="1" si="275"/>
        <v>-0.62242199019911892</v>
      </c>
      <c r="CJ343" s="1">
        <f t="shared" ca="1" si="276"/>
        <v>1.086069599199925</v>
      </c>
      <c r="CK343" s="38"/>
    </row>
    <row r="344" spans="55:89" x14ac:dyDescent="0.25">
      <c r="BC344">
        <v>5.9690260418205643</v>
      </c>
      <c r="BD344">
        <v>273.63880743943923</v>
      </c>
      <c r="BE344">
        <v>-57.486124884261223</v>
      </c>
      <c r="BF344" s="6">
        <f t="shared" si="259"/>
        <v>6.0761161984198475</v>
      </c>
      <c r="BG344" s="6">
        <f t="shared" si="260"/>
        <v>0.10709015659928323</v>
      </c>
      <c r="BH344" s="6">
        <f t="shared" si="261"/>
        <v>0.67071671776054509</v>
      </c>
      <c r="BI344" s="6">
        <f t="shared" si="262"/>
        <v>0.67071671776054509</v>
      </c>
      <c r="BJ344">
        <v>304.04311937715471</v>
      </c>
      <c r="BK344">
        <v>-63.873472093623576</v>
      </c>
      <c r="BV344" s="38"/>
      <c r="BW344" s="6">
        <f t="shared" si="263"/>
        <v>5.742133239061304</v>
      </c>
      <c r="BX344" s="9">
        <f t="shared" ca="1" si="264"/>
        <v>-267.37656056218748</v>
      </c>
      <c r="BY344" s="9">
        <f t="shared" ca="1" si="265"/>
        <v>68.784175048253857</v>
      </c>
      <c r="BZ344">
        <f t="shared" ca="1" si="266"/>
        <v>276.08239327261333</v>
      </c>
      <c r="CA344" s="6">
        <f t="shared" ca="1" si="267"/>
        <v>-0.96846654142906752</v>
      </c>
      <c r="CB344" s="6">
        <f t="shared" ca="1" si="268"/>
        <v>0.249143649592801</v>
      </c>
      <c r="CC344" s="6">
        <f t="shared" ca="1" si="269"/>
        <v>2.8897967324986826</v>
      </c>
      <c r="CD344" s="6">
        <f t="shared" ca="1" si="270"/>
        <v>167.37656056218748</v>
      </c>
      <c r="CE344" s="9">
        <f t="shared" ca="1" si="271"/>
        <v>-118.78417504825386</v>
      </c>
      <c r="CF344">
        <f t="shared" ca="1" si="272"/>
        <v>205.24276666309538</v>
      </c>
      <c r="CG344" s="6">
        <f t="shared" ca="1" si="273"/>
        <v>0.81550528324798399</v>
      </c>
      <c r="CH344" s="6">
        <f t="shared" ca="1" si="274"/>
        <v>-0.57874962893692272</v>
      </c>
      <c r="CI344" s="6">
        <f t="shared" ca="1" si="275"/>
        <v>-0.61719460794234116</v>
      </c>
      <c r="CJ344" s="1">
        <f t="shared" ca="1" si="276"/>
        <v>1.0808422169431473</v>
      </c>
      <c r="CK344" s="38"/>
    </row>
    <row r="345" spans="55:89" x14ac:dyDescent="0.25">
      <c r="BC345">
        <v>5.9864793343405074</v>
      </c>
      <c r="BD345">
        <v>274.00681302344333</v>
      </c>
      <c r="BE345">
        <v>-56.633734590915019</v>
      </c>
      <c r="BF345" s="6">
        <f t="shared" si="259"/>
        <v>6.0793679762697286</v>
      </c>
      <c r="BG345" s="6">
        <f t="shared" si="260"/>
        <v>9.2888641929221194E-2</v>
      </c>
      <c r="BH345" s="6">
        <f t="shared" si="261"/>
        <v>0.66746493991066402</v>
      </c>
      <c r="BI345" s="6">
        <f t="shared" si="262"/>
        <v>0.66746493991066402</v>
      </c>
      <c r="BJ345">
        <v>304.4520144704926</v>
      </c>
      <c r="BK345">
        <v>-62.926371767683349</v>
      </c>
      <c r="BV345" s="38"/>
      <c r="BW345" s="6">
        <f t="shared" si="263"/>
        <v>5.7595865315812471</v>
      </c>
      <c r="BX345" s="9">
        <f t="shared" ca="1" si="264"/>
        <v>-267.96076503839123</v>
      </c>
      <c r="BY345" s="9">
        <f t="shared" ca="1" si="265"/>
        <v>67.899283174032448</v>
      </c>
      <c r="BZ345">
        <f t="shared" ca="1" si="266"/>
        <v>276.42952855204771</v>
      </c>
      <c r="CA345" s="6">
        <f t="shared" ca="1" si="267"/>
        <v>-0.96936375228067595</v>
      </c>
      <c r="CB345" s="6">
        <f t="shared" ca="1" si="268"/>
        <v>0.24562963128321505</v>
      </c>
      <c r="CC345" s="6">
        <f t="shared" ca="1" si="269"/>
        <v>2.8934234839941455</v>
      </c>
      <c r="CD345" s="6">
        <f t="shared" ca="1" si="270"/>
        <v>167.96076503839123</v>
      </c>
      <c r="CE345" s="9">
        <f t="shared" ca="1" si="271"/>
        <v>-117.89928317403245</v>
      </c>
      <c r="CF345">
        <f t="shared" ca="1" si="272"/>
        <v>205.20979402853158</v>
      </c>
      <c r="CG345" s="6">
        <f t="shared" ca="1" si="273"/>
        <v>0.81848318124152797</v>
      </c>
      <c r="CH345" s="6">
        <f t="shared" ca="1" si="274"/>
        <v>-0.57453048833351583</v>
      </c>
      <c r="CI345" s="6">
        <f t="shared" ca="1" si="275"/>
        <v>-0.6120303961766197</v>
      </c>
      <c r="CJ345" s="1">
        <f t="shared" ca="1" si="276"/>
        <v>1.0756780051774257</v>
      </c>
      <c r="CK345" s="38"/>
    </row>
    <row r="346" spans="55:89" x14ac:dyDescent="0.25">
      <c r="BC346">
        <v>6.0039326268604505</v>
      </c>
      <c r="BD346">
        <v>274.35863779840855</v>
      </c>
      <c r="BE346">
        <v>-55.783859059067453</v>
      </c>
      <c r="BF346" s="6">
        <f t="shared" si="259"/>
        <v>6.0825950742380606</v>
      </c>
      <c r="BG346" s="6">
        <f t="shared" si="260"/>
        <v>7.8662447377610079E-2</v>
      </c>
      <c r="BH346" s="6">
        <f t="shared" si="261"/>
        <v>0.66423784194233204</v>
      </c>
      <c r="BI346" s="6">
        <f t="shared" si="262"/>
        <v>0.66423784194233204</v>
      </c>
      <c r="BJ346">
        <v>304.84293088712059</v>
      </c>
      <c r="BK346">
        <v>-61.982065621186059</v>
      </c>
      <c r="BV346" s="38"/>
      <c r="BW346" s="6">
        <f t="shared" si="263"/>
        <v>5.7770398241011902</v>
      </c>
      <c r="BX346" s="9">
        <f t="shared" ca="1" si="264"/>
        <v>-268.5266875246071</v>
      </c>
      <c r="BY346" s="9">
        <f t="shared" ca="1" si="265"/>
        <v>67.017321429419468</v>
      </c>
      <c r="BZ346">
        <f t="shared" ca="1" si="266"/>
        <v>276.76326216554122</v>
      </c>
      <c r="CA346" s="6">
        <f t="shared" ca="1" si="267"/>
        <v>-0.97023963882891529</v>
      </c>
      <c r="CB346" s="6">
        <f t="shared" ca="1" si="268"/>
        <v>0.24214673907599124</v>
      </c>
      <c r="CC346" s="6">
        <f t="shared" ca="1" si="269"/>
        <v>2.897014824862838</v>
      </c>
      <c r="CD346" s="6">
        <f t="shared" ca="1" si="270"/>
        <v>168.5266875246071</v>
      </c>
      <c r="CE346" s="9">
        <f t="shared" ca="1" si="271"/>
        <v>-117.01732142941947</v>
      </c>
      <c r="CF346">
        <f t="shared" ca="1" si="272"/>
        <v>205.1689497037323</v>
      </c>
      <c r="CG346" s="6">
        <f t="shared" ca="1" si="273"/>
        <v>0.82140444627689868</v>
      </c>
      <c r="CH346" s="6">
        <f t="shared" ca="1" si="274"/>
        <v>-0.5703461542226278</v>
      </c>
      <c r="CI346" s="6">
        <f t="shared" ca="1" si="275"/>
        <v>-0.60692721110492054</v>
      </c>
      <c r="CJ346" s="1">
        <f t="shared" ca="1" si="276"/>
        <v>1.0705748201057266</v>
      </c>
      <c r="CK346" s="38"/>
    </row>
    <row r="347" spans="55:89" x14ac:dyDescent="0.25">
      <c r="BC347">
        <v>6.0213859193803936</v>
      </c>
      <c r="BD347">
        <v>274.69406015287007</v>
      </c>
      <c r="BE347">
        <v>-54.936703378667218</v>
      </c>
      <c r="BF347" s="6">
        <f t="shared" si="259"/>
        <v>6.0857971284609258</v>
      </c>
      <c r="BG347" s="6">
        <f t="shared" si="260"/>
        <v>6.4411209080532217E-2</v>
      </c>
      <c r="BH347" s="6">
        <f t="shared" si="261"/>
        <v>0.66103578771946681</v>
      </c>
      <c r="BI347" s="6">
        <f t="shared" si="262"/>
        <v>0.66103578771946681</v>
      </c>
      <c r="BJ347">
        <v>305.21562239207782</v>
      </c>
      <c r="BK347">
        <v>-61.04078153185246</v>
      </c>
      <c r="BV347" s="38"/>
      <c r="BW347" s="6">
        <f t="shared" si="263"/>
        <v>5.7944931166211333</v>
      </c>
      <c r="BX347" s="9">
        <f t="shared" ca="1" si="264"/>
        <v>-269.07475083352557</v>
      </c>
      <c r="BY347" s="9">
        <f t="shared" ca="1" si="265"/>
        <v>66.138223901150695</v>
      </c>
      <c r="BZ347">
        <f t="shared" ca="1" si="266"/>
        <v>277.08389739738146</v>
      </c>
      <c r="CA347" s="6">
        <f t="shared" ca="1" si="267"/>
        <v>-0.97109486823635394</v>
      </c>
      <c r="CB347" s="6">
        <f t="shared" ca="1" si="268"/>
        <v>0.23869385598506354</v>
      </c>
      <c r="CC347" s="6">
        <f t="shared" ca="1" si="269"/>
        <v>2.9005720474201495</v>
      </c>
      <c r="CD347" s="6">
        <f t="shared" ca="1" si="270"/>
        <v>169.07475083352557</v>
      </c>
      <c r="CE347" s="9">
        <f t="shared" ca="1" si="271"/>
        <v>-116.1382239011507</v>
      </c>
      <c r="CF347">
        <f t="shared" ca="1" si="272"/>
        <v>205.12035106330276</v>
      </c>
      <c r="CG347" s="6">
        <f t="shared" ca="1" si="273"/>
        <v>0.82427097046722064</v>
      </c>
      <c r="CH347" s="6">
        <f t="shared" ca="1" si="274"/>
        <v>-0.56619552033288478</v>
      </c>
      <c r="CI347" s="6">
        <f t="shared" ca="1" si="275"/>
        <v>-0.60188292953333944</v>
      </c>
      <c r="CJ347" s="1">
        <f t="shared" ca="1" si="276"/>
        <v>1.0655305385341456</v>
      </c>
      <c r="CK347" s="38"/>
    </row>
    <row r="348" spans="55:89" x14ac:dyDescent="0.25">
      <c r="BC348">
        <v>6.0388392119003367</v>
      </c>
      <c r="BD348">
        <v>275.01279946025653</v>
      </c>
      <c r="BE348">
        <v>-54.092540782709676</v>
      </c>
      <c r="BF348" s="6">
        <f t="shared" si="259"/>
        <v>6.08897349946026</v>
      </c>
      <c r="BG348" s="6">
        <f t="shared" si="260"/>
        <v>5.013428755992333E-2</v>
      </c>
      <c r="BH348" s="6">
        <f t="shared" si="261"/>
        <v>0.65785941672013259</v>
      </c>
      <c r="BI348" s="6">
        <f t="shared" si="262"/>
        <v>0.65785941672013259</v>
      </c>
      <c r="BJ348">
        <v>305.56977717806279</v>
      </c>
      <c r="BK348">
        <v>-60.102823091899637</v>
      </c>
      <c r="BV348" s="38"/>
      <c r="BW348" s="6">
        <f t="shared" si="263"/>
        <v>5.8119464091410764</v>
      </c>
      <c r="BX348" s="9">
        <f t="shared" ca="1" si="264"/>
        <v>-269.60534505902314</v>
      </c>
      <c r="BY348" s="9">
        <f t="shared" ca="1" si="265"/>
        <v>65.261907789538398</v>
      </c>
      <c r="BZ348">
        <f t="shared" ca="1" si="266"/>
        <v>277.39170624358098</v>
      </c>
      <c r="CA348" s="6">
        <f t="shared" ca="1" si="267"/>
        <v>-0.97193008655521751</v>
      </c>
      <c r="CB348" s="6">
        <f t="shared" ca="1" si="268"/>
        <v>0.23526985962670108</v>
      </c>
      <c r="CC348" s="6">
        <f t="shared" ca="1" si="269"/>
        <v>2.9040964414900206</v>
      </c>
      <c r="CD348" s="6">
        <f t="shared" ca="1" si="270"/>
        <v>169.60534505902314</v>
      </c>
      <c r="CE348" s="9">
        <f t="shared" ca="1" si="271"/>
        <v>-115.2619077895384</v>
      </c>
      <c r="CF348">
        <f t="shared" ca="1" si="272"/>
        <v>205.0640886646766</v>
      </c>
      <c r="CG348" s="6">
        <f t="shared" ca="1" si="273"/>
        <v>0.82708457713609695</v>
      </c>
      <c r="CH348" s="6">
        <f t="shared" ca="1" si="274"/>
        <v>-0.56207748777513222</v>
      </c>
      <c r="CI348" s="6">
        <f t="shared" ca="1" si="275"/>
        <v>-0.59689548267186154</v>
      </c>
      <c r="CJ348" s="1">
        <f t="shared" ca="1" si="276"/>
        <v>1.0605430916726677</v>
      </c>
      <c r="CK348" s="38"/>
    </row>
    <row r="349" spans="55:89" x14ac:dyDescent="0.25">
      <c r="BC349">
        <v>6.0562925044202798</v>
      </c>
      <c r="BD349">
        <v>275.31452449045133</v>
      </c>
      <c r="BE349">
        <v>-53.251714176937028</v>
      </c>
      <c r="BF349" s="6">
        <f t="shared" si="259"/>
        <v>6.0921232753614731</v>
      </c>
      <c r="BG349" s="6">
        <f t="shared" si="260"/>
        <v>3.5830770941193357E-2</v>
      </c>
      <c r="BH349" s="6">
        <f t="shared" si="261"/>
        <v>0.65470964081891947</v>
      </c>
      <c r="BI349" s="6">
        <f t="shared" si="262"/>
        <v>0.65470964081891947</v>
      </c>
      <c r="BJ349">
        <v>305.90502721161261</v>
      </c>
      <c r="BK349">
        <v>-59.168571307707808</v>
      </c>
      <c r="BV349" s="38"/>
      <c r="BW349" s="6">
        <f t="shared" si="263"/>
        <v>5.8293997016610195</v>
      </c>
      <c r="BX349" s="9">
        <f t="shared" ca="1" si="264"/>
        <v>-270.11882422498502</v>
      </c>
      <c r="BY349" s="9">
        <f t="shared" ca="1" si="265"/>
        <v>64.388279894008349</v>
      </c>
      <c r="BZ349">
        <f t="shared" ca="1" si="266"/>
        <v>277.68692765126252</v>
      </c>
      <c r="CA349" s="6">
        <f t="shared" ca="1" si="267"/>
        <v>-0.97274591393159848</v>
      </c>
      <c r="CB349" s="6">
        <f t="shared" ca="1" si="268"/>
        <v>0.23187364431814875</v>
      </c>
      <c r="CC349" s="6">
        <f t="shared" ca="1" si="269"/>
        <v>2.9075892720231487</v>
      </c>
      <c r="CD349" s="6">
        <f t="shared" ca="1" si="270"/>
        <v>170.11882422498502</v>
      </c>
      <c r="CE349" s="9">
        <f t="shared" ca="1" si="271"/>
        <v>-114.38827989400835</v>
      </c>
      <c r="CF349">
        <f t="shared" ca="1" si="272"/>
        <v>205.00022666524382</v>
      </c>
      <c r="CG349" s="6">
        <f t="shared" ca="1" si="273"/>
        <v>0.82984700550005452</v>
      </c>
      <c r="CH349" s="6">
        <f t="shared" ca="1" si="274"/>
        <v>-0.55799099227728799</v>
      </c>
      <c r="CI349" s="6">
        <f t="shared" ca="1" si="275"/>
        <v>-0.59196288647401785</v>
      </c>
      <c r="CJ349" s="1">
        <f t="shared" ca="1" si="276"/>
        <v>1.055610495474824</v>
      </c>
      <c r="CK349" s="38"/>
    </row>
    <row r="350" spans="55:89" x14ac:dyDescent="0.25">
      <c r="BC350">
        <v>6.0737457969402229</v>
      </c>
      <c r="BD350">
        <v>275.59887119879022</v>
      </c>
      <c r="BE350">
        <v>-52.414628201772537</v>
      </c>
      <c r="BF350" s="6">
        <f t="shared" si="259"/>
        <v>6.0952453136994134</v>
      </c>
      <c r="BG350" s="6">
        <f t="shared" si="260"/>
        <v>2.1499516759190485E-2</v>
      </c>
      <c r="BH350" s="6">
        <f t="shared" si="261"/>
        <v>0.65158760248097924</v>
      </c>
      <c r="BI350" s="6">
        <f t="shared" si="262"/>
        <v>0.65158760248097924</v>
      </c>
      <c r="BJ350">
        <v>306.22096799865579</v>
      </c>
      <c r="BK350">
        <v>-58.238475779747262</v>
      </c>
      <c r="BV350" s="38"/>
      <c r="BW350" s="6">
        <f t="shared" si="263"/>
        <v>5.8468529941809626</v>
      </c>
      <c r="BX350" s="9">
        <f t="shared" ca="1" si="264"/>
        <v>-270.61550325679065</v>
      </c>
      <c r="BY350" s="9">
        <f t="shared" ca="1" si="265"/>
        <v>63.51724268409248</v>
      </c>
      <c r="BZ350">
        <f t="shared" ca="1" si="266"/>
        <v>277.96976583994882</v>
      </c>
      <c r="CA350" s="6">
        <f t="shared" ca="1" si="267"/>
        <v>-0.97354294068300706</v>
      </c>
      <c r="CB350" s="6">
        <f t="shared" ca="1" si="268"/>
        <v>0.22850414142041922</v>
      </c>
      <c r="CC350" s="6">
        <f t="shared" ca="1" si="269"/>
        <v>2.9110517586148772</v>
      </c>
      <c r="CD350" s="6">
        <f t="shared" ca="1" si="270"/>
        <v>170.61550325679065</v>
      </c>
      <c r="CE350" s="9">
        <f t="shared" ca="1" si="271"/>
        <v>-113.51724268409248</v>
      </c>
      <c r="CF350">
        <f t="shared" ca="1" si="272"/>
        <v>204.92880309553144</v>
      </c>
      <c r="CG350" s="6">
        <f t="shared" ca="1" si="273"/>
        <v>0.83255989728908442</v>
      </c>
      <c r="CH350" s="6">
        <f t="shared" ca="1" si="274"/>
        <v>-0.5539350299683069</v>
      </c>
      <c r="CI350" s="6">
        <f t="shared" ca="1" si="275"/>
        <v>-0.5870832697517282</v>
      </c>
      <c r="CJ350" s="1">
        <f t="shared" ca="1" si="276"/>
        <v>1.0507308787525342</v>
      </c>
      <c r="CK350" s="38"/>
    </row>
    <row r="351" spans="55:89" x14ac:dyDescent="0.25">
      <c r="BC351">
        <v>6.091199089460166</v>
      </c>
      <c r="BD351">
        <v>275.86547723921336</v>
      </c>
      <c r="BE351">
        <v>-51.581721085314186</v>
      </c>
      <c r="BF351" s="6">
        <f t="shared" si="259"/>
        <v>6.0983383635685184</v>
      </c>
      <c r="BG351" s="6">
        <f t="shared" si="260"/>
        <v>7.1392741083524669E-3</v>
      </c>
      <c r="BH351" s="6">
        <f t="shared" si="261"/>
        <v>0.64849455261187416</v>
      </c>
      <c r="BI351" s="6">
        <f t="shared" si="262"/>
        <v>0.64849455261187416</v>
      </c>
      <c r="BJ351">
        <v>306.51719693245929</v>
      </c>
      <c r="BK351">
        <v>-57.313023428126868</v>
      </c>
      <c r="BV351" s="38"/>
      <c r="BW351" s="6">
        <f t="shared" si="263"/>
        <v>5.8643062867009057</v>
      </c>
      <c r="BX351" s="9">
        <f t="shared" ca="1" si="264"/>
        <v>-271.09565514270332</v>
      </c>
      <c r="BY351" s="9">
        <f t="shared" ca="1" si="265"/>
        <v>62.648700132145514</v>
      </c>
      <c r="BZ351">
        <f t="shared" ca="1" si="266"/>
        <v>278.24038863094449</v>
      </c>
      <c r="CA351" s="6">
        <f t="shared" ca="1" si="267"/>
        <v>-0.97432172401930517</v>
      </c>
      <c r="CB351" s="6">
        <f t="shared" ca="1" si="268"/>
        <v>0.22516033865680865</v>
      </c>
      <c r="CC351" s="6">
        <f t="shared" ca="1" si="269"/>
        <v>2.9144850561530533</v>
      </c>
      <c r="CD351" s="6">
        <f t="shared" ca="1" si="270"/>
        <v>171.09565514270332</v>
      </c>
      <c r="CE351" s="9">
        <f t="shared" ca="1" si="271"/>
        <v>-112.64870013214551</v>
      </c>
      <c r="CF351">
        <f t="shared" ca="1" si="272"/>
        <v>204.84982999791066</v>
      </c>
      <c r="CG351" s="6">
        <f t="shared" ca="1" si="273"/>
        <v>0.83522478463588856</v>
      </c>
      <c r="CH351" s="6">
        <f t="shared" ca="1" si="274"/>
        <v>-0.54990868253732239</v>
      </c>
      <c r="CI351" s="6">
        <f t="shared" ca="1" si="275"/>
        <v>-0.58225490113510359</v>
      </c>
      <c r="CJ351" s="1">
        <f t="shared" ca="1" si="276"/>
        <v>1.0459025101359096</v>
      </c>
      <c r="CK351" s="38"/>
    </row>
    <row r="352" spans="55:89" x14ac:dyDescent="0.25">
      <c r="BC352">
        <v>6.1086523819801091</v>
      </c>
      <c r="BD352">
        <v>276.11404667603404</v>
      </c>
      <c r="BE352">
        <v>-50.753393643935745</v>
      </c>
      <c r="BF352" s="6">
        <f t="shared" si="259"/>
        <v>6.1014013550131256</v>
      </c>
      <c r="BG352" s="6">
        <f t="shared" si="260"/>
        <v>7.2510269669834315E-3</v>
      </c>
      <c r="BH352" s="6">
        <f t="shared" si="261"/>
        <v>0.64543156116726697</v>
      </c>
      <c r="BI352" s="6">
        <f t="shared" si="262"/>
        <v>0.64543156116726697</v>
      </c>
      <c r="BJ352">
        <v>306.79338519559337</v>
      </c>
      <c r="BK352">
        <v>-56.392659604373051</v>
      </c>
      <c r="BV352" s="38"/>
      <c r="BW352" s="6">
        <f t="shared" si="263"/>
        <v>5.8817595792208488</v>
      </c>
      <c r="BX352" s="9">
        <f t="shared" ca="1" si="264"/>
        <v>-271.55950819618897</v>
      </c>
      <c r="BY352" s="9">
        <f t="shared" ca="1" si="265"/>
        <v>61.782563468469064</v>
      </c>
      <c r="BZ352">
        <f t="shared" ca="1" si="266"/>
        <v>278.49892574387326</v>
      </c>
      <c r="CA352" s="6">
        <f t="shared" ca="1" si="267"/>
        <v>-0.97508278522386027</v>
      </c>
      <c r="CB352" s="6">
        <f t="shared" ca="1" si="268"/>
        <v>0.22184129904073149</v>
      </c>
      <c r="CC352" s="6">
        <f t="shared" ca="1" si="269"/>
        <v>2.9178902359330818</v>
      </c>
      <c r="CD352" s="6">
        <f t="shared" ca="1" si="270"/>
        <v>171.55950819618897</v>
      </c>
      <c r="CE352" s="9">
        <f t="shared" ca="1" si="271"/>
        <v>-111.78256346846906</v>
      </c>
      <c r="CF352">
        <f t="shared" ca="1" si="272"/>
        <v>204.76329345881442</v>
      </c>
      <c r="CG352" s="6">
        <f t="shared" ca="1" si="273"/>
        <v>0.83784307869953278</v>
      </c>
      <c r="CH352" s="6">
        <f t="shared" ca="1" si="274"/>
        <v>-0.54591114247218697</v>
      </c>
      <c r="CI352" s="6">
        <f t="shared" ca="1" si="275"/>
        <v>-0.57747621576857022</v>
      </c>
      <c r="CJ352" s="1">
        <f t="shared" ca="1" si="276"/>
        <v>1.0411238247693764</v>
      </c>
      <c r="CK352" s="38"/>
    </row>
    <row r="353" spans="55:89" x14ac:dyDescent="0.25">
      <c r="BC353">
        <v>6.1261056745000522</v>
      </c>
      <c r="BD353">
        <v>276.34447062260585</v>
      </c>
      <c r="BE353">
        <v>-49.929845810898293</v>
      </c>
      <c r="BF353" s="6">
        <f t="shared" si="259"/>
        <v>6.1044340439966254</v>
      </c>
      <c r="BG353" s="6">
        <f t="shared" si="260"/>
        <v>2.1671630503426798E-2</v>
      </c>
      <c r="BH353" s="6">
        <f t="shared" si="261"/>
        <v>0.64239887218376723</v>
      </c>
      <c r="BI353" s="6">
        <f t="shared" si="262"/>
        <v>0.64239887218376723</v>
      </c>
      <c r="BJ353">
        <v>307.04941180289541</v>
      </c>
      <c r="BK353">
        <v>-55.477606456553659</v>
      </c>
      <c r="BV353" s="38"/>
      <c r="BW353" s="6">
        <f t="shared" si="263"/>
        <v>5.8992128717407919</v>
      </c>
      <c r="BX353" s="9">
        <f t="shared" ca="1" si="264"/>
        <v>-272.00724331350904</v>
      </c>
      <c r="BY353" s="9">
        <f t="shared" ca="1" si="265"/>
        <v>60.918757006293937</v>
      </c>
      <c r="BZ353">
        <f t="shared" ca="1" si="266"/>
        <v>278.7454669949027</v>
      </c>
      <c r="CA353" s="6">
        <f t="shared" ca="1" si="267"/>
        <v>-0.97582660714078306</v>
      </c>
      <c r="CB353" s="6">
        <f t="shared" ca="1" si="268"/>
        <v>0.21854618000804271</v>
      </c>
      <c r="CC353" s="6">
        <f t="shared" ca="1" si="269"/>
        <v>2.9212682666219245</v>
      </c>
      <c r="CD353" s="6">
        <f t="shared" ca="1" si="270"/>
        <v>172.00724331350904</v>
      </c>
      <c r="CE353" s="9">
        <f t="shared" ca="1" si="271"/>
        <v>-110.91875700629393</v>
      </c>
      <c r="CF353">
        <f t="shared" ca="1" si="272"/>
        <v>204.66915353353562</v>
      </c>
      <c r="CG353" s="6">
        <f t="shared" ca="1" si="273"/>
        <v>0.84041605852112522</v>
      </c>
      <c r="CH353" s="6">
        <f t="shared" ca="1" si="274"/>
        <v>-0.5419417391010003</v>
      </c>
      <c r="CI353" s="6">
        <f t="shared" ca="1" si="275"/>
        <v>-0.5727458426320341</v>
      </c>
      <c r="CJ353" s="1">
        <f t="shared" ca="1" si="276"/>
        <v>1.0363934516328401</v>
      </c>
      <c r="CK353" s="38"/>
    </row>
    <row r="354" spans="55:89" x14ac:dyDescent="0.25">
      <c r="BC354">
        <v>6.1435589670199953</v>
      </c>
      <c r="BD354">
        <v>276.5569781161779</v>
      </c>
      <c r="BE354">
        <v>-49.110824312841871</v>
      </c>
      <c r="BF354" s="6">
        <f t="shared" si="259"/>
        <v>6.1074379811754795</v>
      </c>
      <c r="BG354" s="6">
        <f t="shared" si="260"/>
        <v>3.6120985844515729E-2</v>
      </c>
      <c r="BH354" s="6">
        <f t="shared" si="261"/>
        <v>0.63939493500491318</v>
      </c>
      <c r="BI354" s="6">
        <f t="shared" si="262"/>
        <v>0.63939493500491318</v>
      </c>
      <c r="BJ354">
        <v>307.28553124019766</v>
      </c>
      <c r="BK354">
        <v>-54.567582569824296</v>
      </c>
      <c r="BV354" s="38"/>
      <c r="BW354" s="6">
        <f t="shared" si="263"/>
        <v>5.916666164260735</v>
      </c>
      <c r="BX354" s="9">
        <f t="shared" ca="1" si="264"/>
        <v>-272.43899121758039</v>
      </c>
      <c r="BY354" s="9">
        <f t="shared" ca="1" si="265"/>
        <v>60.057224172826253</v>
      </c>
      <c r="BZ354">
        <f t="shared" ca="1" si="266"/>
        <v>278.98006041829933</v>
      </c>
      <c r="CA354" s="6">
        <f t="shared" ca="1" si="267"/>
        <v>-0.97655363185845134</v>
      </c>
      <c r="CB354" s="6">
        <f t="shared" ca="1" si="268"/>
        <v>0.21527425323077634</v>
      </c>
      <c r="CC354" s="6">
        <f t="shared" ca="1" si="269"/>
        <v>2.9246199945782085</v>
      </c>
      <c r="CD354" s="6">
        <f t="shared" ca="1" si="270"/>
        <v>172.43899121758039</v>
      </c>
      <c r="CE354" s="9">
        <f t="shared" ca="1" si="271"/>
        <v>-110.05722417282625</v>
      </c>
      <c r="CF354">
        <f t="shared" ca="1" si="272"/>
        <v>204.5673441308864</v>
      </c>
      <c r="CG354" s="6">
        <f t="shared" ca="1" si="273"/>
        <v>0.84294485979761447</v>
      </c>
      <c r="CH354" s="6">
        <f t="shared" ca="1" si="274"/>
        <v>-0.53799996593009181</v>
      </c>
      <c r="CI354" s="6">
        <f t="shared" ca="1" si="275"/>
        <v>-0.56806263307950755</v>
      </c>
      <c r="CJ354" s="1">
        <f t="shared" ca="1" si="276"/>
        <v>1.0317102420803137</v>
      </c>
      <c r="CK354" s="38"/>
    </row>
    <row r="355" spans="55:89" x14ac:dyDescent="0.25">
      <c r="BC355">
        <v>6.1610122595399384</v>
      </c>
      <c r="BD355">
        <v>276.75195690141186</v>
      </c>
      <c r="BE355">
        <v>-48.295811345445429</v>
      </c>
      <c r="BF355" s="6">
        <f t="shared" si="259"/>
        <v>6.1104157253315616</v>
      </c>
      <c r="BG355" s="6">
        <f t="shared" si="260"/>
        <v>5.0596534208376731E-2</v>
      </c>
      <c r="BH355" s="6">
        <f t="shared" si="261"/>
        <v>0.63641719084883097</v>
      </c>
      <c r="BI355" s="6">
        <f t="shared" si="262"/>
        <v>0.63641719084883097</v>
      </c>
      <c r="BJ355">
        <v>307.50217433490207</v>
      </c>
      <c r="BK355">
        <v>-53.662012606050475</v>
      </c>
      <c r="BV355" s="38"/>
      <c r="BW355" s="6">
        <f t="shared" si="263"/>
        <v>5.9341194567806781</v>
      </c>
      <c r="BX355" s="9">
        <f t="shared" ca="1" si="264"/>
        <v>-272.85482964845369</v>
      </c>
      <c r="BY355" s="9">
        <f t="shared" ca="1" si="265"/>
        <v>59.197933865641637</v>
      </c>
      <c r="BZ355">
        <f t="shared" ca="1" si="266"/>
        <v>279.20271029566953</v>
      </c>
      <c r="CA355" s="6">
        <f t="shared" ca="1" si="267"/>
        <v>-0.97726425850059417</v>
      </c>
      <c r="CB355" s="6">
        <f t="shared" ca="1" si="268"/>
        <v>0.21202492555660482</v>
      </c>
      <c r="CC355" s="6">
        <f t="shared" ca="1" si="269"/>
        <v>2.9279461230721275</v>
      </c>
      <c r="CD355" s="6">
        <f t="shared" ca="1" si="270"/>
        <v>172.85482964845369</v>
      </c>
      <c r="CE355" s="9">
        <f t="shared" ca="1" si="271"/>
        <v>-109.19793386564163</v>
      </c>
      <c r="CF355">
        <f t="shared" ca="1" si="272"/>
        <v>204.4577728855545</v>
      </c>
      <c r="CG355" s="6">
        <f t="shared" ca="1" si="273"/>
        <v>0.84543046326347981</v>
      </c>
      <c r="CH355" s="6">
        <f t="shared" ca="1" si="274"/>
        <v>-0.53408550980727598</v>
      </c>
      <c r="CI355" s="6">
        <f t="shared" ca="1" si="275"/>
        <v>-0.56342569121528441</v>
      </c>
      <c r="CJ355" s="1">
        <f t="shared" ca="1" si="276"/>
        <v>1.0270733002160906</v>
      </c>
      <c r="CK355" s="38"/>
    </row>
    <row r="356" spans="55:89" x14ac:dyDescent="0.25">
      <c r="BC356">
        <v>6.1784655520598815</v>
      </c>
      <c r="BD356">
        <v>276.92975890512457</v>
      </c>
      <c r="BE356">
        <v>-47.484284398696637</v>
      </c>
      <c r="BF356" s="6">
        <f t="shared" si="259"/>
        <v>6.1133698092086064</v>
      </c>
      <c r="BG356" s="6">
        <f t="shared" si="260"/>
        <v>6.5095742851275062E-2</v>
      </c>
      <c r="BH356" s="6">
        <f t="shared" si="261"/>
        <v>0.63346310697178621</v>
      </c>
      <c r="BI356" s="6">
        <f t="shared" si="262"/>
        <v>0.63346310697178621</v>
      </c>
      <c r="BJ356">
        <v>307.69973211680508</v>
      </c>
      <c r="BK356">
        <v>-52.760315998551818</v>
      </c>
      <c r="BV356" s="38"/>
      <c r="BW356" s="6">
        <f t="shared" si="263"/>
        <v>5.9515727493006212</v>
      </c>
      <c r="BX356" s="9">
        <f t="shared" ca="1" si="264"/>
        <v>-273.25478055786994</v>
      </c>
      <c r="BY356" s="9">
        <f t="shared" ca="1" si="265"/>
        <v>58.340887227671878</v>
      </c>
      <c r="BZ356">
        <f t="shared" ca="1" si="266"/>
        <v>279.4133751634692</v>
      </c>
      <c r="CA356" s="6">
        <f t="shared" ca="1" si="267"/>
        <v>-0.9779588410826926</v>
      </c>
      <c r="CB356" s="6">
        <f t="shared" ca="1" si="268"/>
        <v>0.20879776135820224</v>
      </c>
      <c r="CC356" s="6">
        <f t="shared" ca="1" si="269"/>
        <v>2.9312471901151103</v>
      </c>
      <c r="CD356" s="6">
        <f t="shared" ca="1" si="270"/>
        <v>173.25478055786994</v>
      </c>
      <c r="CE356" s="9">
        <f t="shared" ca="1" si="271"/>
        <v>-108.34088722767189</v>
      </c>
      <c r="CF356">
        <f t="shared" ca="1" si="272"/>
        <v>204.34032111023703</v>
      </c>
      <c r="CG356" s="6">
        <f t="shared" ca="1" si="273"/>
        <v>0.84787368257292139</v>
      </c>
      <c r="CH356" s="6">
        <f t="shared" ca="1" si="274"/>
        <v>-0.53019828215511322</v>
      </c>
      <c r="CI356" s="6">
        <f t="shared" ca="1" si="275"/>
        <v>-0.55883440637943405</v>
      </c>
      <c r="CJ356" s="1">
        <f t="shared" ca="1" si="276"/>
        <v>1.0224820153802401</v>
      </c>
      <c r="CK356" s="38"/>
    </row>
    <row r="357" spans="55:89" x14ac:dyDescent="0.25">
      <c r="BC357">
        <v>6.1959188445798246</v>
      </c>
      <c r="BD357">
        <v>277.0906914115746</v>
      </c>
      <c r="BE357">
        <v>-46.675729655842005</v>
      </c>
      <c r="BF357" s="6">
        <f t="shared" si="259"/>
        <v>6.1163026904448907</v>
      </c>
      <c r="BG357" s="6">
        <f t="shared" si="260"/>
        <v>7.9616154134933836E-2</v>
      </c>
      <c r="BH357" s="6">
        <f t="shared" si="261"/>
        <v>0.63053022573550188</v>
      </c>
      <c r="BI357" s="6">
        <f t="shared" si="262"/>
        <v>0.63053022573550188</v>
      </c>
      <c r="BJ357">
        <v>307.87854601286068</v>
      </c>
      <c r="BK357">
        <v>-51.861921839824447</v>
      </c>
      <c r="BV357" s="38"/>
      <c r="BW357" s="6">
        <f t="shared" si="263"/>
        <v>5.9690260418205643</v>
      </c>
      <c r="BX357" s="9">
        <f t="shared" ca="1" si="264"/>
        <v>-273.63880743943923</v>
      </c>
      <c r="BY357" s="9">
        <f t="shared" ca="1" si="265"/>
        <v>57.486124884261223</v>
      </c>
      <c r="BZ357">
        <f t="shared" ca="1" si="266"/>
        <v>279.611965929728</v>
      </c>
      <c r="CA357" s="6">
        <f t="shared" ca="1" si="267"/>
        <v>-0.9786376864436841</v>
      </c>
      <c r="CB357" s="6">
        <f t="shared" ca="1" si="268"/>
        <v>0.20559250636186513</v>
      </c>
      <c r="CC357" s="6">
        <f t="shared" ca="1" si="269"/>
        <v>2.9345235448300548</v>
      </c>
      <c r="CD357" s="6">
        <f t="shared" ca="1" si="270"/>
        <v>173.63880743943923</v>
      </c>
      <c r="CE357" s="9">
        <f t="shared" ca="1" si="271"/>
        <v>-107.48612488426122</v>
      </c>
      <c r="CF357">
        <f t="shared" ca="1" si="272"/>
        <v>204.21484395514852</v>
      </c>
      <c r="CG357" s="6">
        <f t="shared" ca="1" si="273"/>
        <v>0.85027515177875768</v>
      </c>
      <c r="CH357" s="6">
        <f t="shared" ca="1" si="274"/>
        <v>-0.52633845220315267</v>
      </c>
      <c r="CI357" s="6">
        <f t="shared" ca="1" si="275"/>
        <v>-0.5542884876392058</v>
      </c>
      <c r="CJ357" s="1">
        <f t="shared" ca="1" si="276"/>
        <v>1.0179360966400119</v>
      </c>
      <c r="CK357" s="38"/>
    </row>
    <row r="358" spans="55:89" x14ac:dyDescent="0.25">
      <c r="BC358">
        <v>6.2133721370997677</v>
      </c>
      <c r="BD358">
        <v>277.23501857245776</v>
      </c>
      <c r="BE358">
        <v>-45.869640668209264</v>
      </c>
      <c r="BF358" s="6">
        <f t="shared" si="259"/>
        <v>6.1192167605330647</v>
      </c>
      <c r="BG358" s="6">
        <f t="shared" si="260"/>
        <v>9.415537656670292E-2</v>
      </c>
      <c r="BH358" s="6">
        <f t="shared" si="261"/>
        <v>0.62761615564732787</v>
      </c>
      <c r="BI358" s="6">
        <f t="shared" si="262"/>
        <v>0.62761615564732787</v>
      </c>
      <c r="BJ358">
        <v>308.03890952495306</v>
      </c>
      <c r="BK358">
        <v>-50.9662674091214</v>
      </c>
      <c r="BV358" s="38"/>
      <c r="BW358" s="6">
        <f t="shared" si="263"/>
        <v>5.9864793343405074</v>
      </c>
      <c r="BX358" s="9">
        <f t="shared" ca="1" si="264"/>
        <v>-274.00681302344333</v>
      </c>
      <c r="BY358" s="9">
        <f t="shared" ca="1" si="265"/>
        <v>56.633734590915019</v>
      </c>
      <c r="BZ358">
        <f t="shared" ca="1" si="266"/>
        <v>279.79834430707132</v>
      </c>
      <c r="CA358" s="6">
        <f t="shared" ca="1" si="267"/>
        <v>-0.97930105234192544</v>
      </c>
      <c r="CB358" s="6">
        <f t="shared" ca="1" si="268"/>
        <v>0.20240911264564521</v>
      </c>
      <c r="CC358" s="6">
        <f t="shared" ca="1" si="269"/>
        <v>2.9377753226799355</v>
      </c>
      <c r="CD358" s="6">
        <f t="shared" ca="1" si="270"/>
        <v>174.00681302344333</v>
      </c>
      <c r="CE358" s="9">
        <f t="shared" ca="1" si="271"/>
        <v>-106.63373459091503</v>
      </c>
      <c r="CF358">
        <f t="shared" ca="1" si="272"/>
        <v>204.08117093789244</v>
      </c>
      <c r="CG358" s="6">
        <f t="shared" ca="1" si="273"/>
        <v>0.85263531282069338</v>
      </c>
      <c r="CH358" s="6">
        <f t="shared" ca="1" si="274"/>
        <v>-0.52250648161640856</v>
      </c>
      <c r="CI358" s="6">
        <f t="shared" ca="1" si="275"/>
        <v>-0.54978799956476065</v>
      </c>
      <c r="CJ358" s="1">
        <f t="shared" ca="1" si="276"/>
        <v>1.0134356085655667</v>
      </c>
      <c r="CK358" s="38"/>
    </row>
    <row r="359" spans="55:89" x14ac:dyDescent="0.25">
      <c r="BC359">
        <v>6.2308254296197108</v>
      </c>
      <c r="BD359">
        <v>277.36296267727693</v>
      </c>
      <c r="BE359">
        <v>-45.065517069093694</v>
      </c>
      <c r="BF359" s="6">
        <f t="shared" si="259"/>
        <v>6.1221143533163458</v>
      </c>
      <c r="BG359" s="6">
        <f t="shared" si="260"/>
        <v>0.10871107630336496</v>
      </c>
      <c r="BH359" s="6">
        <f t="shared" si="261"/>
        <v>0.62471856286404681</v>
      </c>
      <c r="BI359" s="6">
        <f t="shared" si="262"/>
        <v>0.62471856286404681</v>
      </c>
      <c r="BJ359">
        <v>308.18106964141879</v>
      </c>
      <c r="BK359">
        <v>-50.072796743437436</v>
      </c>
      <c r="BV359" s="38"/>
      <c r="BW359" s="6">
        <f t="shared" si="263"/>
        <v>6.0039326268604505</v>
      </c>
      <c r="BX359" s="9">
        <f t="shared" ca="1" si="264"/>
        <v>-274.35863779840855</v>
      </c>
      <c r="BY359" s="9">
        <f t="shared" ca="1" si="265"/>
        <v>55.783859059067453</v>
      </c>
      <c r="BZ359">
        <f t="shared" ca="1" si="266"/>
        <v>279.97232196436886</v>
      </c>
      <c r="CA359" s="6">
        <f t="shared" ca="1" si="267"/>
        <v>-0.97994914594923876</v>
      </c>
      <c r="CB359" s="6">
        <f t="shared" ca="1" si="268"/>
        <v>0.19924776373489833</v>
      </c>
      <c r="CC359" s="6">
        <f t="shared" ca="1" si="269"/>
        <v>2.9410024206482679</v>
      </c>
      <c r="CD359" s="6">
        <f t="shared" ca="1" si="270"/>
        <v>174.35863779840855</v>
      </c>
      <c r="CE359" s="9">
        <f t="shared" ca="1" si="271"/>
        <v>-105.78385905906745</v>
      </c>
      <c r="CF359">
        <f t="shared" ca="1" si="272"/>
        <v>203.93910711863302</v>
      </c>
      <c r="CG359" s="6">
        <f t="shared" ca="1" si="273"/>
        <v>0.85495440409564372</v>
      </c>
      <c r="CH359" s="6">
        <f t="shared" ca="1" si="274"/>
        <v>-0.51870315876950535</v>
      </c>
      <c r="CI359" s="6">
        <f t="shared" ca="1" si="275"/>
        <v>-0.54533339724435614</v>
      </c>
      <c r="CJ359" s="1">
        <f t="shared" ca="1" si="276"/>
        <v>1.0089810062451623</v>
      </c>
      <c r="CK359" s="38"/>
    </row>
    <row r="360" spans="55:89" x14ac:dyDescent="0.25">
      <c r="BC360">
        <v>6.2482787221396539</v>
      </c>
      <c r="BD360">
        <v>277.4747051922634</v>
      </c>
      <c r="BE360">
        <v>-44.262863319673329</v>
      </c>
      <c r="BF360" s="6">
        <f t="shared" si="259"/>
        <v>6.1249977530870989</v>
      </c>
      <c r="BG360" s="6">
        <f t="shared" si="260"/>
        <v>0.12328096905255492</v>
      </c>
      <c r="BH360" s="6">
        <f t="shared" si="261"/>
        <v>0.62183516309329379</v>
      </c>
      <c r="BI360" s="6">
        <f t="shared" si="262"/>
        <v>0.62183516309329379</v>
      </c>
      <c r="BJ360">
        <v>308.3052279914038</v>
      </c>
      <c r="BK360">
        <v>-49.180959244081478</v>
      </c>
      <c r="BV360" s="38"/>
      <c r="BW360" s="6">
        <f t="shared" si="263"/>
        <v>6.0213859193803936</v>
      </c>
      <c r="BX360" s="9">
        <f t="shared" ca="1" si="264"/>
        <v>-274.69406015287007</v>
      </c>
      <c r="BY360" s="9">
        <f t="shared" ca="1" si="265"/>
        <v>54.936703378667218</v>
      </c>
      <c r="BZ360">
        <f t="shared" ca="1" si="266"/>
        <v>280.1336610644716</v>
      </c>
      <c r="CA360" s="6">
        <f t="shared" ca="1" si="267"/>
        <v>-0.98058212322313654</v>
      </c>
      <c r="CB360" s="6">
        <f t="shared" ca="1" si="268"/>
        <v>0.1961088973382023</v>
      </c>
      <c r="CC360" s="6">
        <f t="shared" ca="1" si="269"/>
        <v>2.9442044748711327</v>
      </c>
      <c r="CD360" s="6">
        <f t="shared" ca="1" si="270"/>
        <v>174.69406015287007</v>
      </c>
      <c r="CE360" s="9">
        <f t="shared" ca="1" si="271"/>
        <v>-104.93670337866722</v>
      </c>
      <c r="CF360">
        <f t="shared" ca="1" si="272"/>
        <v>203.78843531632745</v>
      </c>
      <c r="CG360" s="6">
        <f t="shared" ca="1" si="273"/>
        <v>0.85723245228172007</v>
      </c>
      <c r="CH360" s="6">
        <f t="shared" ca="1" si="274"/>
        <v>-0.51492962893493366</v>
      </c>
      <c r="CI360" s="6">
        <f t="shared" ca="1" si="275"/>
        <v>-0.54092555623000005</v>
      </c>
      <c r="CJ360" s="1">
        <f t="shared" ca="1" si="276"/>
        <v>1.0045731652308061</v>
      </c>
      <c r="CK360" s="38"/>
    </row>
    <row r="361" spans="55:89" x14ac:dyDescent="0.25">
      <c r="BC361">
        <v>6.2657320146595969</v>
      </c>
      <c r="BD361">
        <v>277.570387596194</v>
      </c>
      <c r="BE361">
        <v>-43.461187480207343</v>
      </c>
      <c r="BF361" s="6">
        <f t="shared" si="259"/>
        <v>6.1278692023615209</v>
      </c>
      <c r="BG361" s="6">
        <f t="shared" si="260"/>
        <v>0.13786281229807607</v>
      </c>
      <c r="BH361" s="6">
        <f t="shared" si="261"/>
        <v>0.61896371381887183</v>
      </c>
      <c r="BI361" s="6">
        <f t="shared" si="262"/>
        <v>0.61896371381887183</v>
      </c>
      <c r="BJ361">
        <v>308.41154177354889</v>
      </c>
      <c r="BK361">
        <v>-48.290208311341488</v>
      </c>
      <c r="BV361" s="38"/>
      <c r="BW361" s="6">
        <f t="shared" si="263"/>
        <v>6.0388392119003367</v>
      </c>
      <c r="BX361" s="9">
        <f t="shared" ca="1" si="264"/>
        <v>-275.01279946025653</v>
      </c>
      <c r="BY361" s="9">
        <f t="shared" ca="1" si="265"/>
        <v>54.092540782709676</v>
      </c>
      <c r="BZ361">
        <f t="shared" ca="1" si="266"/>
        <v>280.28207726377434</v>
      </c>
      <c r="CA361" s="6">
        <f t="shared" ca="1" si="267"/>
        <v>-0.98120009008439424</v>
      </c>
      <c r="CB361" s="6">
        <f t="shared" ca="1" si="268"/>
        <v>0.19299322065393079</v>
      </c>
      <c r="CC361" s="6">
        <f t="shared" ca="1" si="269"/>
        <v>2.9473808458704664</v>
      </c>
      <c r="CD361" s="6">
        <f t="shared" ca="1" si="270"/>
        <v>175.01279946025653</v>
      </c>
      <c r="CE361" s="9">
        <f t="shared" ca="1" si="271"/>
        <v>-104.09254078270968</v>
      </c>
      <c r="CF361">
        <f t="shared" ca="1" si="272"/>
        <v>203.62891990460503</v>
      </c>
      <c r="CG361" s="6">
        <f t="shared" ca="1" si="273"/>
        <v>0.85946927156636488</v>
      </c>
      <c r="CH361" s="6">
        <f t="shared" ca="1" si="274"/>
        <v>-0.51118741302303417</v>
      </c>
      <c r="CI361" s="6">
        <f t="shared" ca="1" si="275"/>
        <v>-0.53656578897122065</v>
      </c>
      <c r="CJ361" s="1">
        <f t="shared" ca="1" si="276"/>
        <v>1.0002133979720267</v>
      </c>
      <c r="CK361" s="38"/>
    </row>
    <row r="362" spans="55:89" x14ac:dyDescent="0.25">
      <c r="BC362">
        <v>6.28318530717954</v>
      </c>
      <c r="BD362">
        <v>277.65011198788631</v>
      </c>
      <c r="BE362">
        <v>-42.660000000002178</v>
      </c>
      <c r="BF362" s="6">
        <f t="shared" si="259"/>
        <v>6.1307309093707536</v>
      </c>
      <c r="BG362" s="6">
        <f t="shared" si="260"/>
        <v>0.15245439780878645</v>
      </c>
      <c r="BH362" s="6">
        <f t="shared" si="261"/>
        <v>0.616102006809639</v>
      </c>
      <c r="BI362" s="6">
        <f t="shared" si="262"/>
        <v>0.616102006809639</v>
      </c>
      <c r="BJ362">
        <v>308.50012443098478</v>
      </c>
      <c r="BK362">
        <v>-47.400000000002422</v>
      </c>
      <c r="BV362" s="38"/>
      <c r="BW362" s="6">
        <f t="shared" si="263"/>
        <v>6.0562925044202798</v>
      </c>
      <c r="BX362" s="9">
        <f t="shared" ca="1" si="264"/>
        <v>-275.31452449045133</v>
      </c>
      <c r="BY362" s="9">
        <f t="shared" ca="1" si="265"/>
        <v>53.251714176937028</v>
      </c>
      <c r="BZ362">
        <f t="shared" ca="1" si="266"/>
        <v>280.41724707689707</v>
      </c>
      <c r="CA362" s="6">
        <f t="shared" ca="1" si="267"/>
        <v>-0.9818031071924529</v>
      </c>
      <c r="CB362" s="6">
        <f t="shared" ca="1" si="268"/>
        <v>0.18990170801560627</v>
      </c>
      <c r="CC362" s="6">
        <f t="shared" ca="1" si="269"/>
        <v>2.9505306217716796</v>
      </c>
      <c r="CD362" s="6">
        <f t="shared" ca="1" si="270"/>
        <v>175.31452449045133</v>
      </c>
      <c r="CE362" s="9">
        <f t="shared" ca="1" si="271"/>
        <v>-103.25171417693703</v>
      </c>
      <c r="CF362">
        <f t="shared" ca="1" si="272"/>
        <v>203.46031302882869</v>
      </c>
      <c r="CG362" s="6">
        <f t="shared" ca="1" si="273"/>
        <v>0.86166447834772908</v>
      </c>
      <c r="CH362" s="6">
        <f t="shared" ca="1" si="274"/>
        <v>-0.50747840028294411</v>
      </c>
      <c r="CI362" s="6">
        <f t="shared" ca="1" si="275"/>
        <v>-0.53225583107422048</v>
      </c>
      <c r="CJ362" s="1">
        <f t="shared" ca="1" si="276"/>
        <v>0.99590344007502662</v>
      </c>
      <c r="CK362" s="38"/>
    </row>
    <row r="363" spans="55:89" x14ac:dyDescent="0.25">
      <c r="BC363" s="6"/>
      <c r="BD363" s="6"/>
      <c r="BE363" s="6"/>
      <c r="BF363" s="6"/>
      <c r="BG363" s="6"/>
      <c r="BH363" s="6"/>
      <c r="BI363" s="6"/>
      <c r="BW363" s="6">
        <f t="shared" si="263"/>
        <v>6.0737457969402229</v>
      </c>
      <c r="BX363" s="9">
        <f t="shared" ca="1" si="264"/>
        <v>-275.59887119879022</v>
      </c>
      <c r="BY363" s="9">
        <f t="shared" ca="1" si="265"/>
        <v>52.414628201772537</v>
      </c>
      <c r="BZ363">
        <f t="shared" ca="1" si="266"/>
        <v>280.5388227243734</v>
      </c>
      <c r="CA363" s="6">
        <f t="shared" ca="1" si="267"/>
        <v>-0.98239120176804673</v>
      </c>
      <c r="CB363" s="6">
        <f t="shared" ca="1" si="268"/>
        <v>0.18683556055722594</v>
      </c>
      <c r="CC363" s="6">
        <f t="shared" ca="1" si="269"/>
        <v>2.9536526601096207</v>
      </c>
      <c r="CD363" s="6">
        <f t="shared" ca="1" si="270"/>
        <v>175.59887119879022</v>
      </c>
      <c r="CE363" s="9">
        <f t="shared" ca="1" si="271"/>
        <v>-102.41462820177253</v>
      </c>
      <c r="CF363">
        <f t="shared" ca="1" si="272"/>
        <v>203.2823643014726</v>
      </c>
      <c r="CG363" s="6">
        <f t="shared" ca="1" si="273"/>
        <v>0.86381753676562367</v>
      </c>
      <c r="CH363" s="6">
        <f t="shared" ca="1" si="274"/>
        <v>-0.50380478677377638</v>
      </c>
      <c r="CI363" s="6">
        <f t="shared" ca="1" si="275"/>
        <v>-0.5279977652973219</v>
      </c>
      <c r="CJ363" s="1">
        <f t="shared" ca="1" si="276"/>
        <v>0.99164537429812794</v>
      </c>
      <c r="CK363" s="38"/>
    </row>
    <row r="364" spans="55:89" x14ac:dyDescent="0.25">
      <c r="BC364" s="6"/>
      <c r="BD364" s="6"/>
      <c r="BE364" s="6"/>
      <c r="BF364" s="6"/>
      <c r="BG364" s="6"/>
      <c r="BH364" s="6"/>
      <c r="BI364" s="6"/>
      <c r="BW364" s="6">
        <f t="shared" si="263"/>
        <v>6.091199089460166</v>
      </c>
      <c r="BX364" s="9">
        <f t="shared" ca="1" si="264"/>
        <v>-275.86547723921336</v>
      </c>
      <c r="BY364" s="9">
        <f t="shared" ca="1" si="265"/>
        <v>51.581721085314186</v>
      </c>
      <c r="BZ364">
        <f t="shared" ca="1" si="266"/>
        <v>280.64645995013387</v>
      </c>
      <c r="CA364" s="6">
        <f t="shared" ca="1" si="267"/>
        <v>-0.98296439330904084</v>
      </c>
      <c r="CB364" s="6">
        <f t="shared" ca="1" si="268"/>
        <v>0.1837960867009667</v>
      </c>
      <c r="CC364" s="6">
        <f t="shared" ca="1" si="269"/>
        <v>2.9567457099787258</v>
      </c>
      <c r="CD364" s="6">
        <f t="shared" ca="1" si="270"/>
        <v>175.86547723921336</v>
      </c>
      <c r="CE364" s="9">
        <f t="shared" ca="1" si="271"/>
        <v>-101.58172108531419</v>
      </c>
      <c r="CF364">
        <f t="shared" ca="1" si="272"/>
        <v>203.09483534356761</v>
      </c>
      <c r="CG364" s="6">
        <f t="shared" ca="1" si="273"/>
        <v>0.86592786538224176</v>
      </c>
      <c r="CH364" s="6">
        <f t="shared" ca="1" si="274"/>
        <v>-0.50016890342618681</v>
      </c>
      <c r="CI364" s="6">
        <f t="shared" ca="1" si="275"/>
        <v>-0.5237938194584979</v>
      </c>
      <c r="CJ364" s="1">
        <f t="shared" ca="1" si="276"/>
        <v>0.98744142845930416</v>
      </c>
      <c r="CK364" s="38"/>
    </row>
    <row r="365" spans="55:89" x14ac:dyDescent="0.25">
      <c r="BW365" s="6">
        <f t="shared" si="263"/>
        <v>6.1086523819801091</v>
      </c>
      <c r="BX365" s="9">
        <f t="shared" ca="1" si="264"/>
        <v>-276.11404667603404</v>
      </c>
      <c r="BY365" s="9">
        <f t="shared" ca="1" si="265"/>
        <v>50.753393643935745</v>
      </c>
      <c r="BZ365">
        <f t="shared" ca="1" si="266"/>
        <v>280.7398684515461</v>
      </c>
      <c r="CA365" s="6">
        <f t="shared" ca="1" si="267"/>
        <v>-0.98352274722850608</v>
      </c>
      <c r="CB365" s="6">
        <f t="shared" ca="1" si="268"/>
        <v>0.18078441770266576</v>
      </c>
      <c r="CC365" s="6">
        <f t="shared" ca="1" si="269"/>
        <v>2.959808701423333</v>
      </c>
      <c r="CD365" s="6">
        <f t="shared" ca="1" si="270"/>
        <v>176.11404667603404</v>
      </c>
      <c r="CE365" s="9">
        <f t="shared" ca="1" si="271"/>
        <v>-100.75339364393574</v>
      </c>
      <c r="CF365">
        <f t="shared" ca="1" si="272"/>
        <v>202.89752035788453</v>
      </c>
      <c r="CG365" s="6">
        <f t="shared" ca="1" si="273"/>
        <v>0.86799506650151281</v>
      </c>
      <c r="CH365" s="6">
        <f t="shared" ca="1" si="274"/>
        <v>-0.49657281895914751</v>
      </c>
      <c r="CI365" s="6">
        <f t="shared" ca="1" si="275"/>
        <v>-0.51964590810099109</v>
      </c>
      <c r="CJ365" s="1">
        <f t="shared" ca="1" si="276"/>
        <v>0.98329351710179713</v>
      </c>
      <c r="CK365" s="38"/>
    </row>
    <row r="366" spans="55:89" x14ac:dyDescent="0.25">
      <c r="BW366" s="6">
        <f t="shared" si="263"/>
        <v>6.1261056745000522</v>
      </c>
      <c r="BX366" s="9">
        <f t="shared" ca="1" si="264"/>
        <v>-276.34447062260585</v>
      </c>
      <c r="BY366" s="9">
        <f t="shared" ca="1" si="265"/>
        <v>49.929845810898293</v>
      </c>
      <c r="BZ366">
        <f t="shared" ca="1" si="266"/>
        <v>280.8189024022214</v>
      </c>
      <c r="CA366" s="6">
        <f t="shared" ca="1" si="267"/>
        <v>-0.98406648647459372</v>
      </c>
      <c r="CB366" s="6">
        <f t="shared" ca="1" si="268"/>
        <v>0.17780087231942449</v>
      </c>
      <c r="CC366" s="6">
        <f t="shared" ca="1" si="269"/>
        <v>2.9628413904068323</v>
      </c>
      <c r="CD366" s="6">
        <f t="shared" ca="1" si="270"/>
        <v>176.34447062260585</v>
      </c>
      <c r="CE366" s="9">
        <f t="shared" ca="1" si="271"/>
        <v>-99.929845810898286</v>
      </c>
      <c r="CF366">
        <f t="shared" ca="1" si="272"/>
        <v>202.69027209749609</v>
      </c>
      <c r="CG366" s="6">
        <f t="shared" ca="1" si="273"/>
        <v>0.87001940841927705</v>
      </c>
      <c r="CH366" s="6">
        <f t="shared" ca="1" si="274"/>
        <v>-0.49301747329457929</v>
      </c>
      <c r="CI366" s="6">
        <f t="shared" ca="1" si="275"/>
        <v>-0.51555464101821713</v>
      </c>
      <c r="CJ366" s="1">
        <f t="shared" ca="1" si="276"/>
        <v>0.97920225001902317</v>
      </c>
      <c r="CK366" s="38"/>
    </row>
    <row r="367" spans="55:89" x14ac:dyDescent="0.25">
      <c r="BW367" s="6">
        <f t="shared" si="263"/>
        <v>6.1435589670199953</v>
      </c>
      <c r="BX367" s="9">
        <f t="shared" ca="1" si="264"/>
        <v>-276.5569781161779</v>
      </c>
      <c r="BY367" s="9">
        <f t="shared" ca="1" si="265"/>
        <v>49.110824312841871</v>
      </c>
      <c r="BZ367">
        <f t="shared" ca="1" si="266"/>
        <v>280.88366846336748</v>
      </c>
      <c r="CA367" s="6">
        <f t="shared" ca="1" si="267"/>
        <v>-0.98459614839531384</v>
      </c>
      <c r="CB367" s="6">
        <f t="shared" ca="1" si="268"/>
        <v>0.1748440006551924</v>
      </c>
      <c r="CC367" s="6">
        <f t="shared" ca="1" si="269"/>
        <v>2.9658453275856864</v>
      </c>
      <c r="CD367" s="6">
        <f t="shared" ca="1" si="270"/>
        <v>176.5569781161779</v>
      </c>
      <c r="CE367" s="9">
        <f t="shared" ca="1" si="271"/>
        <v>-99.110824312841871</v>
      </c>
      <c r="CF367">
        <f t="shared" ca="1" si="272"/>
        <v>202.47301552919967</v>
      </c>
      <c r="CG367" s="6">
        <f t="shared" ca="1" si="273"/>
        <v>0.87200251181479393</v>
      </c>
      <c r="CH367" s="6">
        <f t="shared" ca="1" si="274"/>
        <v>-0.48950139876070842</v>
      </c>
      <c r="CI367" s="6">
        <f t="shared" ca="1" si="275"/>
        <v>-0.5115178723434417</v>
      </c>
      <c r="CJ367" s="1">
        <f t="shared" ca="1" si="276"/>
        <v>0.97516548134424785</v>
      </c>
      <c r="CK367" s="38"/>
    </row>
    <row r="368" spans="55:89" x14ac:dyDescent="0.25">
      <c r="BW368" s="6">
        <f t="shared" si="263"/>
        <v>6.1610122595399384</v>
      </c>
      <c r="BX368" s="9">
        <f t="shared" ca="1" si="264"/>
        <v>-276.75195690141186</v>
      </c>
      <c r="BY368" s="9">
        <f t="shared" ca="1" si="265"/>
        <v>48.295811345445429</v>
      </c>
      <c r="BZ368">
        <f t="shared" ca="1" si="266"/>
        <v>280.93438921263407</v>
      </c>
      <c r="CA368" s="6">
        <f t="shared" ca="1" si="267"/>
        <v>-0.98511242314284064</v>
      </c>
      <c r="CB368" s="6">
        <f t="shared" ca="1" si="268"/>
        <v>0.17191135439417926</v>
      </c>
      <c r="CC368" s="6">
        <f t="shared" ca="1" si="269"/>
        <v>2.9688230717417685</v>
      </c>
      <c r="CD368" s="6">
        <f t="shared" ca="1" si="270"/>
        <v>176.75195690141186</v>
      </c>
      <c r="CE368" s="9">
        <f t="shared" ca="1" si="271"/>
        <v>-98.295811345445429</v>
      </c>
      <c r="CF368">
        <f t="shared" ca="1" si="272"/>
        <v>202.24569413596413</v>
      </c>
      <c r="CG368" s="6">
        <f t="shared" ca="1" si="273"/>
        <v>0.8739466996147095</v>
      </c>
      <c r="CH368" s="6">
        <f t="shared" ca="1" si="274"/>
        <v>-0.48602177547159003</v>
      </c>
      <c r="CI368" s="6">
        <f t="shared" ca="1" si="275"/>
        <v>-0.50753193889312798</v>
      </c>
      <c r="CJ368" s="1">
        <f t="shared" ca="1" si="276"/>
        <v>0.97117954789393401</v>
      </c>
      <c r="CK368" s="38"/>
    </row>
    <row r="369" spans="75:89" x14ac:dyDescent="0.25">
      <c r="BW369" s="6">
        <f t="shared" si="263"/>
        <v>6.1784655520598815</v>
      </c>
      <c r="BX369" s="9">
        <f t="shared" ca="1" si="264"/>
        <v>-276.92975890512457</v>
      </c>
      <c r="BY369" s="9">
        <f t="shared" ca="1" si="265"/>
        <v>47.484284398696637</v>
      </c>
      <c r="BZ369">
        <f t="shared" ca="1" si="266"/>
        <v>280.97125944143596</v>
      </c>
      <c r="CA369" s="6">
        <f t="shared" ca="1" si="267"/>
        <v>-0.98561596462091605</v>
      </c>
      <c r="CB369" s="6">
        <f t="shared" ca="1" si="268"/>
        <v>0.16900050379919371</v>
      </c>
      <c r="CC369" s="6">
        <f t="shared" ca="1" si="269"/>
        <v>2.9717771556188133</v>
      </c>
      <c r="CD369" s="6">
        <f t="shared" ca="1" si="270"/>
        <v>176.92975890512457</v>
      </c>
      <c r="CE369" s="9">
        <f t="shared" ca="1" si="271"/>
        <v>-97.484284398696644</v>
      </c>
      <c r="CF369">
        <f t="shared" ca="1" si="272"/>
        <v>202.00823075051045</v>
      </c>
      <c r="CG369" s="6">
        <f t="shared" ca="1" si="273"/>
        <v>0.87585420776067802</v>
      </c>
      <c r="CH369" s="6">
        <f t="shared" ca="1" si="274"/>
        <v>-0.4825758041467838</v>
      </c>
      <c r="CI369" s="6">
        <f t="shared" ca="1" si="275"/>
        <v>-0.50359324294731211</v>
      </c>
      <c r="CJ369" s="1">
        <f t="shared" ca="1" si="276"/>
        <v>0.96724085194811815</v>
      </c>
      <c r="CK369" s="38"/>
    </row>
    <row r="370" spans="75:89" x14ac:dyDescent="0.25">
      <c r="BW370" s="6">
        <f t="shared" si="263"/>
        <v>6.1959188445798246</v>
      </c>
      <c r="BX370" s="9">
        <f t="shared" ca="1" si="264"/>
        <v>-277.0906914115746</v>
      </c>
      <c r="BY370" s="9">
        <f t="shared" ca="1" si="265"/>
        <v>46.675729655842005</v>
      </c>
      <c r="BZ370">
        <f t="shared" ca="1" si="266"/>
        <v>280.99443945717093</v>
      </c>
      <c r="CA370" s="6">
        <f t="shared" ca="1" si="267"/>
        <v>-0.98610738328794811</v>
      </c>
      <c r="CB370" s="6">
        <f t="shared" ca="1" si="268"/>
        <v>0.16610908652146586</v>
      </c>
      <c r="CC370" s="6">
        <f t="shared" ca="1" si="269"/>
        <v>2.974710036855098</v>
      </c>
      <c r="CD370" s="6">
        <f t="shared" ca="1" si="270"/>
        <v>177.0906914115746</v>
      </c>
      <c r="CE370" s="9">
        <f t="shared" ca="1" si="271"/>
        <v>-96.675729655842005</v>
      </c>
      <c r="CF370">
        <f t="shared" ca="1" si="272"/>
        <v>201.76052559685454</v>
      </c>
      <c r="CG370" s="6">
        <f t="shared" ca="1" si="273"/>
        <v>0.8777271514717716</v>
      </c>
      <c r="CH370" s="6">
        <f t="shared" ca="1" si="274"/>
        <v>-0.47916077423892867</v>
      </c>
      <c r="CI370" s="6">
        <f t="shared" ca="1" si="275"/>
        <v>-0.49969832746751086</v>
      </c>
      <c r="CJ370" s="1">
        <f t="shared" ca="1" si="276"/>
        <v>0.96334593646831701</v>
      </c>
      <c r="CK370" s="38"/>
    </row>
    <row r="371" spans="75:89" x14ac:dyDescent="0.25">
      <c r="BW371" s="6">
        <f t="shared" si="263"/>
        <v>6.2133721370997677</v>
      </c>
      <c r="BX371" s="9">
        <f t="shared" ca="1" si="264"/>
        <v>-277.23501857245776</v>
      </c>
      <c r="BY371" s="9">
        <f t="shared" ca="1" si="265"/>
        <v>45.869640668209264</v>
      </c>
      <c r="BZ371">
        <f t="shared" ca="1" si="266"/>
        <v>281.00405594564222</v>
      </c>
      <c r="CA371" s="6">
        <f t="shared" ca="1" si="267"/>
        <v>-0.98658724921068919</v>
      </c>
      <c r="CB371" s="6">
        <f t="shared" ca="1" si="268"/>
        <v>0.16323479927664228</v>
      </c>
      <c r="CC371" s="6">
        <f t="shared" ca="1" si="269"/>
        <v>2.9776241069432721</v>
      </c>
      <c r="CD371" s="6">
        <f t="shared" ca="1" si="270"/>
        <v>177.23501857245776</v>
      </c>
      <c r="CE371" s="9">
        <f t="shared" ca="1" si="271"/>
        <v>-95.869640668209257</v>
      </c>
      <c r="CF371">
        <f t="shared" ca="1" si="272"/>
        <v>201.50245608982291</v>
      </c>
      <c r="CG371" s="6">
        <f t="shared" ca="1" si="273"/>
        <v>0.8795675348664358</v>
      </c>
      <c r="CH371" s="6">
        <f t="shared" ca="1" si="274"/>
        <v>-0.47577405520791194</v>
      </c>
      <c r="CI371" s="6">
        <f t="shared" ca="1" si="275"/>
        <v>-0.49584386314307582</v>
      </c>
      <c r="CJ371" s="1">
        <f t="shared" ca="1" si="276"/>
        <v>0.95949147214388186</v>
      </c>
      <c r="CK371" s="38"/>
    </row>
    <row r="372" spans="75:89" x14ac:dyDescent="0.25">
      <c r="BW372" s="6">
        <f t="shared" si="263"/>
        <v>6.2308254296197108</v>
      </c>
      <c r="BX372" s="9">
        <f t="shared" ca="1" si="264"/>
        <v>-277.36296267727693</v>
      </c>
      <c r="BY372" s="9">
        <f t="shared" ca="1" si="265"/>
        <v>45.065517069093694</v>
      </c>
      <c r="BZ372">
        <f t="shared" ca="1" si="266"/>
        <v>281.0002026579719</v>
      </c>
      <c r="CA372" s="6">
        <f t="shared" ca="1" si="267"/>
        <v>-0.98705609481313383</v>
      </c>
      <c r="CB372" s="6">
        <f t="shared" ca="1" si="268"/>
        <v>0.16037538992079156</v>
      </c>
      <c r="CC372" s="6">
        <f t="shared" ca="1" si="269"/>
        <v>2.9805216997265522</v>
      </c>
      <c r="CD372" s="6">
        <f t="shared" ca="1" si="270"/>
        <v>177.36296267727693</v>
      </c>
      <c r="CE372" s="9">
        <f t="shared" ca="1" si="271"/>
        <v>-95.065517069093687</v>
      </c>
      <c r="CF372">
        <f t="shared" ca="1" si="272"/>
        <v>201.23387653492955</v>
      </c>
      <c r="CG372" s="6">
        <f t="shared" ca="1" si="273"/>
        <v>0.88137725979000769</v>
      </c>
      <c r="CH372" s="6">
        <f t="shared" ca="1" si="274"/>
        <v>-0.47241308822370426</v>
      </c>
      <c r="CI372" s="6">
        <f t="shared" ca="1" si="275"/>
        <v>-0.4920266362620408</v>
      </c>
      <c r="CJ372" s="1">
        <f t="shared" ca="1" si="276"/>
        <v>0.95567424526284683</v>
      </c>
      <c r="CK372" s="38"/>
    </row>
    <row r="373" spans="75:89" x14ac:dyDescent="0.25">
      <c r="BW373" s="6">
        <f t="shared" si="263"/>
        <v>6.2482787221396539</v>
      </c>
      <c r="BX373" s="9">
        <f t="shared" ca="1" si="264"/>
        <v>-277.4747051922634</v>
      </c>
      <c r="BY373" s="9">
        <f t="shared" ca="1" si="265"/>
        <v>44.262863319673329</v>
      </c>
      <c r="BZ373">
        <f t="shared" ca="1" si="266"/>
        <v>280.98294092487106</v>
      </c>
      <c r="CA373" s="6">
        <f t="shared" ca="1" si="267"/>
        <v>-0.98751441734839807</v>
      </c>
      <c r="CB373" s="6">
        <f t="shared" ca="1" si="268"/>
        <v>0.15752864986742482</v>
      </c>
      <c r="CC373" s="6">
        <f t="shared" ca="1" si="269"/>
        <v>2.9834050994973058</v>
      </c>
      <c r="CD373" s="6">
        <f t="shared" ca="1" si="270"/>
        <v>177.4747051922634</v>
      </c>
      <c r="CE373" s="9">
        <f t="shared" ca="1" si="271"/>
        <v>-94.262863319673329</v>
      </c>
      <c r="CF373">
        <f t="shared" ca="1" si="272"/>
        <v>200.95461772326661</v>
      </c>
      <c r="CG373" s="6">
        <f t="shared" ca="1" si="273"/>
        <v>0.88315813392585363</v>
      </c>
      <c r="CH373" s="6">
        <f t="shared" ca="1" si="274"/>
        <v>-0.46907537825023832</v>
      </c>
      <c r="CI373" s="6">
        <f t="shared" ca="1" si="275"/>
        <v>-0.48824353731755782</v>
      </c>
      <c r="CJ373" s="1">
        <f t="shared" ca="1" si="276"/>
        <v>0.95189114631836391</v>
      </c>
      <c r="CK373" s="38"/>
    </row>
    <row r="374" spans="75:89" x14ac:dyDescent="0.25">
      <c r="BW374" s="6">
        <f t="shared" si="263"/>
        <v>6.2657320146595969</v>
      </c>
      <c r="BX374" s="9">
        <f t="shared" ca="1" si="264"/>
        <v>-277.570387596194</v>
      </c>
      <c r="BY374" s="9">
        <f t="shared" ca="1" si="265"/>
        <v>43.461187480207343</v>
      </c>
      <c r="BZ374">
        <f t="shared" ca="1" si="266"/>
        <v>280.95230002171382</v>
      </c>
      <c r="CA374" s="6">
        <f t="shared" ca="1" si="267"/>
        <v>-0.98796268111968311</v>
      </c>
      <c r="CB374" s="6">
        <f t="shared" ca="1" si="268"/>
        <v>0.15469240677811991</v>
      </c>
      <c r="CC374" s="6">
        <f t="shared" ca="1" si="269"/>
        <v>2.9862765487717282</v>
      </c>
      <c r="CD374" s="6">
        <f t="shared" ca="1" si="270"/>
        <v>177.570387596194</v>
      </c>
      <c r="CE374" s="9">
        <f t="shared" ca="1" si="271"/>
        <v>-93.461187480207343</v>
      </c>
      <c r="CF374">
        <f t="shared" ca="1" si="272"/>
        <v>200.66448643512641</v>
      </c>
      <c r="CG374" s="6">
        <f t="shared" ca="1" si="273"/>
        <v>0.88491187828396034</v>
      </c>
      <c r="CH374" s="6">
        <f t="shared" ca="1" si="274"/>
        <v>-0.46575848641968232</v>
      </c>
      <c r="CI374" s="6">
        <f t="shared" ca="1" si="275"/>
        <v>-0.48449155021688134</v>
      </c>
      <c r="CJ374" s="1">
        <f t="shared" ca="1" si="276"/>
        <v>0.94813915921768743</v>
      </c>
      <c r="CK374" s="38"/>
    </row>
    <row r="375" spans="75:89" x14ac:dyDescent="0.25">
      <c r="BW375" s="6">
        <f t="shared" si="263"/>
        <v>6.28318530717954</v>
      </c>
      <c r="BX375" s="9">
        <f t="shared" ca="1" si="264"/>
        <v>-277.65011198788631</v>
      </c>
      <c r="BY375" s="9">
        <f t="shared" ca="1" si="265"/>
        <v>42.660000000002178</v>
      </c>
      <c r="BZ375">
        <f t="shared" ca="1" si="266"/>
        <v>280.90827735559162</v>
      </c>
      <c r="CA375" s="6">
        <f t="shared" ca="1" si="267"/>
        <v>-0.98840131946848642</v>
      </c>
      <c r="CB375" s="6">
        <f t="shared" ca="1" si="268"/>
        <v>0.15186451749159541</v>
      </c>
      <c r="CC375" s="6">
        <f t="shared" ca="1" si="269"/>
        <v>2.9891382557809605</v>
      </c>
      <c r="CD375" s="6">
        <f t="shared" ca="1" si="270"/>
        <v>177.65011198788631</v>
      </c>
      <c r="CE375" s="9">
        <f t="shared" ca="1" si="271"/>
        <v>-92.660000000002185</v>
      </c>
      <c r="CF375">
        <f t="shared" ca="1" si="272"/>
        <v>200.36326481994885</v>
      </c>
      <c r="CG375" s="6">
        <f t="shared" ca="1" si="273"/>
        <v>0.88664013409607234</v>
      </c>
      <c r="CH375" s="6">
        <f t="shared" ca="1" si="274"/>
        <v>-0.46246002271558434</v>
      </c>
      <c r="CI375" s="6">
        <f t="shared" ca="1" si="275"/>
        <v>-0.48076774208766304</v>
      </c>
      <c r="CJ375" s="1">
        <f t="shared" ca="1" si="276"/>
        <v>0.94441535108846919</v>
      </c>
      <c r="CK375" s="38"/>
    </row>
    <row r="376" spans="75:89" x14ac:dyDescent="0.25">
      <c r="BW376" s="6"/>
    </row>
    <row r="377" spans="75:89" x14ac:dyDescent="0.25">
      <c r="BW377" s="6"/>
    </row>
    <row r="378" spans="75:89" x14ac:dyDescent="0.25">
      <c r="BW378" s="6"/>
    </row>
  </sheetData>
  <phoneticPr fontId="3" type="noConversion"/>
  <dataValidations disablePrompts="1" count="4">
    <dataValidation type="list" allowBlank="1" showInputMessage="1" showErrorMessage="1" sqref="F26" xr:uid="{4CE73F95-5EFB-4CF7-8296-522B2E0DD06E}">
      <formula1>"gross,web"</formula1>
    </dataValidation>
    <dataValidation type="list" allowBlank="1" showInputMessage="1" showErrorMessage="1" sqref="B15:B24" xr:uid="{BECF4FF3-0F1C-45C0-9B4F-612E97CB0852}">
      <formula1>$G$14:$G$29</formula1>
    </dataValidation>
    <dataValidation type="list" allowBlank="1" showInputMessage="1" showErrorMessage="1" sqref="AE2" xr:uid="{FC993A26-B9CA-4338-9813-199EC9B1DB94}">
      <formula1>"6,8,12,24,36,72,180,360"</formula1>
    </dataValidation>
    <dataValidation type="list" allowBlank="1" showInputMessage="1" showErrorMessage="1" sqref="B1" xr:uid="{9BC63E87-8495-41F0-9100-35456B261A63}">
      <formula1>"PCA_Parabolic,Whitney"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p">
                <anchor moveWithCells="1" sizeWithCells="1">
                  <from>
                    <xdr:col>7</xdr:col>
                    <xdr:colOff>47625</xdr:colOff>
                    <xdr:row>3</xdr:row>
                    <xdr:rowOff>9525</xdr:rowOff>
                  </from>
                  <to>
                    <xdr:col>9</xdr:col>
                    <xdr:colOff>190500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aterfall_solver">
                <anchor moveWithCells="1" sizeWithCells="1">
                  <from>
                    <xdr:col>7</xdr:col>
                    <xdr:colOff>66675</xdr:colOff>
                    <xdr:row>8</xdr:row>
                    <xdr:rowOff>28575</xdr:rowOff>
                  </from>
                  <to>
                    <xdr:col>9</xdr:col>
                    <xdr:colOff>200025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waterfall_solver_vector">
                <anchor moveWithCells="1" sizeWithCells="1">
                  <from>
                    <xdr:col>19</xdr:col>
                    <xdr:colOff>295275</xdr:colOff>
                    <xdr:row>24</xdr:row>
                    <xdr:rowOff>85725</xdr:rowOff>
                  </from>
                  <to>
                    <xdr:col>20</xdr:col>
                    <xdr:colOff>800100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mx_my">
                <anchor moveWithCells="1" sizeWithCells="1">
                  <from>
                    <xdr:col>29</xdr:col>
                    <xdr:colOff>295275</xdr:colOff>
                    <xdr:row>2</xdr:row>
                    <xdr:rowOff>85725</xdr:rowOff>
                  </from>
                  <to>
                    <xdr:col>31</xdr:col>
                    <xdr:colOff>180975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L_Section_Capacity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2020-11-07T15:23:03Z</dcterms:created>
  <dcterms:modified xsi:type="dcterms:W3CDTF">2020-11-13T19:07:46Z</dcterms:modified>
</cp:coreProperties>
</file>