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cuments/"/>
    </mc:Choice>
  </mc:AlternateContent>
  <xr:revisionPtr revIDLastSave="0" documentId="13_ncr:1_{BE498A0C-19DD-9342-BEA0-1EC249857074}" xr6:coauthVersionLast="45" xr6:coauthVersionMax="45" xr10:uidLastSave="{00000000-0000-0000-0000-000000000000}"/>
  <bookViews>
    <workbookView xWindow="0" yWindow="440" windowWidth="25600" windowHeight="14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16" i="1" l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CD8" i="1"/>
  <c r="BX6" i="1"/>
  <c r="BW6" i="1"/>
  <c r="CE15" i="1" l="1"/>
  <c r="CE17" i="1"/>
  <c r="CE19" i="1"/>
  <c r="CE21" i="1"/>
  <c r="CE23" i="1"/>
  <c r="CE25" i="1"/>
  <c r="CE27" i="1"/>
  <c r="CE29" i="1"/>
  <c r="CE31" i="1"/>
  <c r="CE33" i="1"/>
  <c r="CE35" i="1"/>
  <c r="CE37" i="1"/>
  <c r="CE39" i="1"/>
  <c r="CE41" i="1"/>
  <c r="CE43" i="1"/>
  <c r="CE45" i="1"/>
  <c r="CE47" i="1"/>
  <c r="CE49" i="1"/>
  <c r="CE51" i="1"/>
  <c r="CE53" i="1"/>
  <c r="CE55" i="1"/>
  <c r="CE57" i="1"/>
  <c r="CE59" i="1"/>
  <c r="CE61" i="1"/>
  <c r="CE63" i="1"/>
  <c r="CE65" i="1"/>
  <c r="CE67" i="1"/>
  <c r="CE69" i="1"/>
  <c r="CE71" i="1"/>
  <c r="CE73" i="1"/>
  <c r="CE75" i="1"/>
  <c r="CE77" i="1"/>
  <c r="CE79" i="1"/>
  <c r="CE81" i="1"/>
  <c r="CE83" i="1"/>
  <c r="CE85" i="1"/>
  <c r="CE87" i="1"/>
  <c r="CE89" i="1"/>
  <c r="CE91" i="1"/>
  <c r="CE93" i="1"/>
  <c r="CE95" i="1"/>
  <c r="CE97" i="1"/>
  <c r="CE99" i="1"/>
  <c r="CE101" i="1"/>
  <c r="CE103" i="1"/>
  <c r="CE105" i="1"/>
  <c r="CE107" i="1"/>
  <c r="CE109" i="1"/>
  <c r="CE111" i="1"/>
  <c r="CE113" i="1"/>
  <c r="CE115" i="1"/>
  <c r="CE117" i="1"/>
  <c r="CE119" i="1"/>
  <c r="CE121" i="1"/>
  <c r="CE123" i="1"/>
  <c r="CE125" i="1"/>
  <c r="CE127" i="1"/>
  <c r="CE129" i="1"/>
  <c r="CE131" i="1"/>
  <c r="CE133" i="1"/>
  <c r="CE135" i="1"/>
  <c r="CE137" i="1"/>
  <c r="CE139" i="1"/>
  <c r="CE141" i="1"/>
  <c r="CE143" i="1"/>
  <c r="CE145" i="1"/>
  <c r="CE147" i="1"/>
  <c r="CE149" i="1"/>
  <c r="CE151" i="1"/>
  <c r="CE153" i="1"/>
  <c r="CE155" i="1"/>
  <c r="CE157" i="1"/>
  <c r="CE159" i="1"/>
  <c r="CE161" i="1"/>
  <c r="CE163" i="1"/>
  <c r="CE165" i="1"/>
  <c r="CE167" i="1"/>
  <c r="CE169" i="1"/>
  <c r="CE171" i="1"/>
  <c r="CE173" i="1"/>
  <c r="CE175" i="1"/>
  <c r="CE177" i="1"/>
  <c r="CE179" i="1"/>
  <c r="CE181" i="1"/>
  <c r="CE183" i="1"/>
  <c r="CE16" i="1"/>
  <c r="CE18" i="1"/>
  <c r="CE20" i="1"/>
  <c r="CE22" i="1"/>
  <c r="CE24" i="1"/>
  <c r="CE26" i="1"/>
  <c r="CE28" i="1"/>
  <c r="CE30" i="1"/>
  <c r="CE32" i="1"/>
  <c r="CE34" i="1"/>
  <c r="CE36" i="1"/>
  <c r="CE38" i="1"/>
  <c r="CE40" i="1"/>
  <c r="CE42" i="1"/>
  <c r="CE44" i="1"/>
  <c r="CE46" i="1"/>
  <c r="CE48" i="1"/>
  <c r="CE50" i="1"/>
  <c r="CE52" i="1"/>
  <c r="CE54" i="1"/>
  <c r="CE56" i="1"/>
  <c r="CE58" i="1"/>
  <c r="CE60" i="1"/>
  <c r="CE62" i="1"/>
  <c r="CE64" i="1"/>
  <c r="CE66" i="1"/>
  <c r="CE68" i="1"/>
  <c r="CE70" i="1"/>
  <c r="CE72" i="1"/>
  <c r="CE74" i="1"/>
  <c r="CE76" i="1"/>
  <c r="CE78" i="1"/>
  <c r="CE80" i="1"/>
  <c r="CE82" i="1"/>
  <c r="CE84" i="1"/>
  <c r="CE86" i="1"/>
  <c r="CE88" i="1"/>
  <c r="CE90" i="1"/>
  <c r="CE92" i="1"/>
  <c r="CE94" i="1"/>
  <c r="CE96" i="1"/>
  <c r="CE98" i="1"/>
  <c r="CE100" i="1"/>
  <c r="CE102" i="1"/>
  <c r="CE104" i="1"/>
  <c r="CE106" i="1"/>
  <c r="CE108" i="1"/>
  <c r="CE110" i="1"/>
  <c r="CE112" i="1"/>
  <c r="CE114" i="1"/>
  <c r="CE116" i="1"/>
  <c r="CE118" i="1"/>
  <c r="CE120" i="1"/>
  <c r="CE122" i="1"/>
  <c r="CE124" i="1"/>
  <c r="CE126" i="1"/>
  <c r="CE128" i="1"/>
  <c r="CE130" i="1"/>
  <c r="CE132" i="1"/>
  <c r="CE134" i="1"/>
  <c r="CE136" i="1"/>
  <c r="CE138" i="1"/>
  <c r="CE140" i="1"/>
  <c r="CE142" i="1"/>
  <c r="CE144" i="1"/>
  <c r="CE146" i="1"/>
  <c r="CE148" i="1"/>
  <c r="CE150" i="1"/>
  <c r="CE152" i="1"/>
  <c r="CE154" i="1"/>
  <c r="CE156" i="1"/>
  <c r="CE158" i="1"/>
  <c r="CE160" i="1"/>
  <c r="CE162" i="1"/>
  <c r="CE164" i="1"/>
  <c r="CE166" i="1"/>
  <c r="CE168" i="1"/>
  <c r="CE170" i="1"/>
  <c r="CE172" i="1"/>
  <c r="CE174" i="1"/>
  <c r="CE176" i="1"/>
  <c r="CE178" i="1"/>
  <c r="CE180" i="1"/>
  <c r="CE182" i="1"/>
  <c r="CE184" i="1"/>
  <c r="CE185" i="1"/>
  <c r="CE187" i="1"/>
  <c r="CE189" i="1"/>
  <c r="CE191" i="1"/>
  <c r="CE193" i="1"/>
  <c r="CE195" i="1"/>
  <c r="CE197" i="1"/>
  <c r="CE199" i="1"/>
  <c r="CE201" i="1"/>
  <c r="CE203" i="1"/>
  <c r="CE205" i="1"/>
  <c r="CE207" i="1"/>
  <c r="CE209" i="1"/>
  <c r="CE211" i="1"/>
  <c r="CE213" i="1"/>
  <c r="CE215" i="1"/>
  <c r="CE217" i="1"/>
  <c r="CE219" i="1"/>
  <c r="CE221" i="1"/>
  <c r="CE223" i="1"/>
  <c r="CE225" i="1"/>
  <c r="CE227" i="1"/>
  <c r="CE229" i="1"/>
  <c r="CE231" i="1"/>
  <c r="CE233" i="1"/>
  <c r="CE235" i="1"/>
  <c r="CE237" i="1"/>
  <c r="CE239" i="1"/>
  <c r="CE241" i="1"/>
  <c r="CE243" i="1"/>
  <c r="CE245" i="1"/>
  <c r="CE247" i="1"/>
  <c r="CE249" i="1"/>
  <c r="CE251" i="1"/>
  <c r="CE253" i="1"/>
  <c r="CE255" i="1"/>
  <c r="CE257" i="1"/>
  <c r="CE259" i="1"/>
  <c r="CE261" i="1"/>
  <c r="CE263" i="1"/>
  <c r="CE265" i="1"/>
  <c r="CE267" i="1"/>
  <c r="CE269" i="1"/>
  <c r="CE271" i="1"/>
  <c r="CE273" i="1"/>
  <c r="CE275" i="1"/>
  <c r="CE277" i="1"/>
  <c r="CE279" i="1"/>
  <c r="CE281" i="1"/>
  <c r="CE283" i="1"/>
  <c r="CE285" i="1"/>
  <c r="CE287" i="1"/>
  <c r="CE289" i="1"/>
  <c r="CE291" i="1"/>
  <c r="CE293" i="1"/>
  <c r="CE295" i="1"/>
  <c r="CE297" i="1"/>
  <c r="CE299" i="1"/>
  <c r="CE301" i="1"/>
  <c r="CE303" i="1"/>
  <c r="CE305" i="1"/>
  <c r="CE307" i="1"/>
  <c r="CE309" i="1"/>
  <c r="CE311" i="1"/>
  <c r="CE313" i="1"/>
  <c r="CE315" i="1"/>
  <c r="CE317" i="1"/>
  <c r="CE319" i="1"/>
  <c r="CE321" i="1"/>
  <c r="CE323" i="1"/>
  <c r="CE325" i="1"/>
  <c r="CE327" i="1"/>
  <c r="CE329" i="1"/>
  <c r="CE331" i="1"/>
  <c r="CE333" i="1"/>
  <c r="CE335" i="1"/>
  <c r="CE337" i="1"/>
  <c r="CE339" i="1"/>
  <c r="CE341" i="1"/>
  <c r="CE343" i="1"/>
  <c r="CE345" i="1"/>
  <c r="CE347" i="1"/>
  <c r="CE349" i="1"/>
  <c r="CE351" i="1"/>
  <c r="CE353" i="1"/>
  <c r="CE355" i="1"/>
  <c r="CE186" i="1"/>
  <c r="CE188" i="1"/>
  <c r="CE190" i="1"/>
  <c r="CE192" i="1"/>
  <c r="CE194" i="1"/>
  <c r="CE196" i="1"/>
  <c r="CE198" i="1"/>
  <c r="CE200" i="1"/>
  <c r="CE202" i="1"/>
  <c r="CE204" i="1"/>
  <c r="CE206" i="1"/>
  <c r="CE208" i="1"/>
  <c r="CE210" i="1"/>
  <c r="CE212" i="1"/>
  <c r="CE214" i="1"/>
  <c r="CE216" i="1"/>
  <c r="CE218" i="1"/>
  <c r="CE220" i="1"/>
  <c r="CE222" i="1"/>
  <c r="CE224" i="1"/>
  <c r="CE226" i="1"/>
  <c r="CE228" i="1"/>
  <c r="CE230" i="1"/>
  <c r="CE232" i="1"/>
  <c r="CE234" i="1"/>
  <c r="CE236" i="1"/>
  <c r="CE238" i="1"/>
  <c r="CE240" i="1"/>
  <c r="CE242" i="1"/>
  <c r="CE244" i="1"/>
  <c r="CE246" i="1"/>
  <c r="CE248" i="1"/>
  <c r="CE250" i="1"/>
  <c r="CE252" i="1"/>
  <c r="CE254" i="1"/>
  <c r="CE256" i="1"/>
  <c r="CE258" i="1"/>
  <c r="CE260" i="1"/>
  <c r="CE262" i="1"/>
  <c r="CE264" i="1"/>
  <c r="CE266" i="1"/>
  <c r="CE268" i="1"/>
  <c r="CE270" i="1"/>
  <c r="CE272" i="1"/>
  <c r="CE274" i="1"/>
  <c r="CE276" i="1"/>
  <c r="CE278" i="1"/>
  <c r="CE280" i="1"/>
  <c r="CE282" i="1"/>
  <c r="CE284" i="1"/>
  <c r="CE286" i="1"/>
  <c r="CE288" i="1"/>
  <c r="CE290" i="1"/>
  <c r="CE292" i="1"/>
  <c r="CE294" i="1"/>
  <c r="CE296" i="1"/>
  <c r="CE298" i="1"/>
  <c r="CE300" i="1"/>
  <c r="CE302" i="1"/>
  <c r="CE304" i="1"/>
  <c r="CE306" i="1"/>
  <c r="CE308" i="1"/>
  <c r="CE310" i="1"/>
  <c r="CE312" i="1"/>
  <c r="CE314" i="1"/>
  <c r="CE316" i="1"/>
  <c r="CE318" i="1"/>
  <c r="CE320" i="1"/>
  <c r="CE322" i="1"/>
  <c r="CE324" i="1"/>
  <c r="CE326" i="1"/>
  <c r="CE328" i="1"/>
  <c r="CE330" i="1"/>
  <c r="CE332" i="1"/>
  <c r="CE334" i="1"/>
  <c r="CE336" i="1"/>
  <c r="CE338" i="1"/>
  <c r="CE340" i="1"/>
  <c r="CE342" i="1"/>
  <c r="CE344" i="1"/>
  <c r="CE346" i="1"/>
  <c r="CE348" i="1"/>
  <c r="CE350" i="1"/>
  <c r="CE352" i="1"/>
  <c r="CE354" i="1"/>
  <c r="CE356" i="1"/>
  <c r="CE358" i="1"/>
  <c r="CE360" i="1"/>
  <c r="CE362" i="1"/>
  <c r="CE364" i="1"/>
  <c r="CE366" i="1"/>
  <c r="CE368" i="1"/>
  <c r="CE370" i="1"/>
  <c r="CE372" i="1"/>
  <c r="CE374" i="1"/>
  <c r="CE371" i="1"/>
  <c r="CE375" i="1"/>
  <c r="CE357" i="1"/>
  <c r="CE359" i="1"/>
  <c r="CE361" i="1"/>
  <c r="CE363" i="1"/>
  <c r="CE365" i="1"/>
  <c r="CE367" i="1"/>
  <c r="CE369" i="1"/>
  <c r="CE373" i="1"/>
  <c r="CD16" i="1"/>
  <c r="CF16" i="1" s="1"/>
  <c r="CD18" i="1"/>
  <c r="CD20" i="1"/>
  <c r="CF20" i="1" s="1"/>
  <c r="CD22" i="1"/>
  <c r="CD24" i="1"/>
  <c r="CF24" i="1" s="1"/>
  <c r="CD26" i="1"/>
  <c r="CD28" i="1"/>
  <c r="CF28" i="1" s="1"/>
  <c r="CD30" i="1"/>
  <c r="CD32" i="1"/>
  <c r="CF32" i="1" s="1"/>
  <c r="CD34" i="1"/>
  <c r="CD36" i="1"/>
  <c r="CF36" i="1" s="1"/>
  <c r="CD38" i="1"/>
  <c r="CD40" i="1"/>
  <c r="CF40" i="1" s="1"/>
  <c r="CD42" i="1"/>
  <c r="CD44" i="1"/>
  <c r="CF44" i="1" s="1"/>
  <c r="CD46" i="1"/>
  <c r="CD48" i="1"/>
  <c r="CF48" i="1" s="1"/>
  <c r="CD50" i="1"/>
  <c r="CD52" i="1"/>
  <c r="CF52" i="1" s="1"/>
  <c r="CD54" i="1"/>
  <c r="CD56" i="1"/>
  <c r="CF56" i="1" s="1"/>
  <c r="CD58" i="1"/>
  <c r="CD60" i="1"/>
  <c r="CF60" i="1" s="1"/>
  <c r="CD62" i="1"/>
  <c r="CD64" i="1"/>
  <c r="CF64" i="1" s="1"/>
  <c r="CD66" i="1"/>
  <c r="CD68" i="1"/>
  <c r="CF68" i="1" s="1"/>
  <c r="CD70" i="1"/>
  <c r="CD72" i="1"/>
  <c r="CF72" i="1" s="1"/>
  <c r="CD74" i="1"/>
  <c r="CD76" i="1"/>
  <c r="CF76" i="1" s="1"/>
  <c r="CD78" i="1"/>
  <c r="CD80" i="1"/>
  <c r="CF80" i="1" s="1"/>
  <c r="CD82" i="1"/>
  <c r="CD84" i="1"/>
  <c r="CF84" i="1" s="1"/>
  <c r="CD86" i="1"/>
  <c r="CD88" i="1"/>
  <c r="CF88" i="1" s="1"/>
  <c r="CD90" i="1"/>
  <c r="CD92" i="1"/>
  <c r="CF92" i="1" s="1"/>
  <c r="CD94" i="1"/>
  <c r="CD96" i="1"/>
  <c r="CF96" i="1" s="1"/>
  <c r="CD98" i="1"/>
  <c r="CD100" i="1"/>
  <c r="CF100" i="1" s="1"/>
  <c r="CD102" i="1"/>
  <c r="CD104" i="1"/>
  <c r="CF104" i="1" s="1"/>
  <c r="CD106" i="1"/>
  <c r="CD108" i="1"/>
  <c r="CF108" i="1" s="1"/>
  <c r="CD110" i="1"/>
  <c r="CD112" i="1"/>
  <c r="CF112" i="1" s="1"/>
  <c r="CD114" i="1"/>
  <c r="CD116" i="1"/>
  <c r="CF116" i="1" s="1"/>
  <c r="CD118" i="1"/>
  <c r="CD120" i="1"/>
  <c r="CF120" i="1" s="1"/>
  <c r="CD122" i="1"/>
  <c r="CD124" i="1"/>
  <c r="CF124" i="1" s="1"/>
  <c r="CD126" i="1"/>
  <c r="CD128" i="1"/>
  <c r="CF128" i="1" s="1"/>
  <c r="CD130" i="1"/>
  <c r="CD132" i="1"/>
  <c r="CF132" i="1" s="1"/>
  <c r="CD134" i="1"/>
  <c r="CD136" i="1"/>
  <c r="CF136" i="1" s="1"/>
  <c r="CD138" i="1"/>
  <c r="CD140" i="1"/>
  <c r="CF140" i="1" s="1"/>
  <c r="CD142" i="1"/>
  <c r="CD144" i="1"/>
  <c r="CD146" i="1"/>
  <c r="CD148" i="1"/>
  <c r="CD150" i="1"/>
  <c r="CD152" i="1"/>
  <c r="CD154" i="1"/>
  <c r="CD156" i="1"/>
  <c r="CD158" i="1"/>
  <c r="CD160" i="1"/>
  <c r="CD162" i="1"/>
  <c r="CD164" i="1"/>
  <c r="CD166" i="1"/>
  <c r="CD168" i="1"/>
  <c r="CD170" i="1"/>
  <c r="CD172" i="1"/>
  <c r="CD174" i="1"/>
  <c r="CD176" i="1"/>
  <c r="CD178" i="1"/>
  <c r="CD180" i="1"/>
  <c r="CD182" i="1"/>
  <c r="CD184" i="1"/>
  <c r="CD17" i="1"/>
  <c r="CD21" i="1"/>
  <c r="CD25" i="1"/>
  <c r="CD29" i="1"/>
  <c r="CF29" i="1" s="1"/>
  <c r="CD33" i="1"/>
  <c r="CD37" i="1"/>
  <c r="CD41" i="1"/>
  <c r="CD45" i="1"/>
  <c r="CF45" i="1" s="1"/>
  <c r="CD49" i="1"/>
  <c r="CD53" i="1"/>
  <c r="CD57" i="1"/>
  <c r="CD61" i="1"/>
  <c r="CF61" i="1" s="1"/>
  <c r="CD65" i="1"/>
  <c r="CD69" i="1"/>
  <c r="CD73" i="1"/>
  <c r="CD77" i="1"/>
  <c r="CF77" i="1" s="1"/>
  <c r="CD81" i="1"/>
  <c r="CD85" i="1"/>
  <c r="CD89" i="1"/>
  <c r="CD93" i="1"/>
  <c r="CF93" i="1" s="1"/>
  <c r="CD97" i="1"/>
  <c r="CD101" i="1"/>
  <c r="CD105" i="1"/>
  <c r="CD109" i="1"/>
  <c r="CF109" i="1" s="1"/>
  <c r="CD113" i="1"/>
  <c r="CD117" i="1"/>
  <c r="CD121" i="1"/>
  <c r="CD125" i="1"/>
  <c r="CF125" i="1" s="1"/>
  <c r="CD129" i="1"/>
  <c r="CD133" i="1"/>
  <c r="CD137" i="1"/>
  <c r="CD141" i="1"/>
  <c r="CF141" i="1" s="1"/>
  <c r="CD145" i="1"/>
  <c r="CD149" i="1"/>
  <c r="CD153" i="1"/>
  <c r="CD157" i="1"/>
  <c r="CD161" i="1"/>
  <c r="CD165" i="1"/>
  <c r="CD169" i="1"/>
  <c r="CD173" i="1"/>
  <c r="CD177" i="1"/>
  <c r="CD181" i="1"/>
  <c r="CD185" i="1"/>
  <c r="CD187" i="1"/>
  <c r="CD189" i="1"/>
  <c r="CD191" i="1"/>
  <c r="CD193" i="1"/>
  <c r="CD195" i="1"/>
  <c r="CD197" i="1"/>
  <c r="CD199" i="1"/>
  <c r="CD201" i="1"/>
  <c r="CD203" i="1"/>
  <c r="CD205" i="1"/>
  <c r="CD207" i="1"/>
  <c r="CD209" i="1"/>
  <c r="CD211" i="1"/>
  <c r="CD213" i="1"/>
  <c r="CD215" i="1"/>
  <c r="CD217" i="1"/>
  <c r="CD219" i="1"/>
  <c r="CD221" i="1"/>
  <c r="CD223" i="1"/>
  <c r="CD225" i="1"/>
  <c r="CD227" i="1"/>
  <c r="CD229" i="1"/>
  <c r="CD231" i="1"/>
  <c r="CD233" i="1"/>
  <c r="CD235" i="1"/>
  <c r="CD237" i="1"/>
  <c r="CD239" i="1"/>
  <c r="CD241" i="1"/>
  <c r="CD243" i="1"/>
  <c r="CD245" i="1"/>
  <c r="CD247" i="1"/>
  <c r="CD249" i="1"/>
  <c r="CD251" i="1"/>
  <c r="CD253" i="1"/>
  <c r="CD255" i="1"/>
  <c r="CD257" i="1"/>
  <c r="CD259" i="1"/>
  <c r="CD261" i="1"/>
  <c r="CD263" i="1"/>
  <c r="CD265" i="1"/>
  <c r="CD267" i="1"/>
  <c r="CD269" i="1"/>
  <c r="CD271" i="1"/>
  <c r="CF271" i="1" s="1"/>
  <c r="CD273" i="1"/>
  <c r="CD275" i="1"/>
  <c r="CD277" i="1"/>
  <c r="CD279" i="1"/>
  <c r="CD281" i="1"/>
  <c r="CD283" i="1"/>
  <c r="CD285" i="1"/>
  <c r="CD287" i="1"/>
  <c r="CF287" i="1" s="1"/>
  <c r="CD289" i="1"/>
  <c r="CD291" i="1"/>
  <c r="CD293" i="1"/>
  <c r="CD295" i="1"/>
  <c r="CD297" i="1"/>
  <c r="CD299" i="1"/>
  <c r="CD301" i="1"/>
  <c r="CD303" i="1"/>
  <c r="CD305" i="1"/>
  <c r="CD307" i="1"/>
  <c r="CD309" i="1"/>
  <c r="CD311" i="1"/>
  <c r="CD313" i="1"/>
  <c r="CD315" i="1"/>
  <c r="CD317" i="1"/>
  <c r="CD319" i="1"/>
  <c r="CD321" i="1"/>
  <c r="CD323" i="1"/>
  <c r="CD325" i="1"/>
  <c r="CD327" i="1"/>
  <c r="CD329" i="1"/>
  <c r="CD331" i="1"/>
  <c r="CD333" i="1"/>
  <c r="CD335" i="1"/>
  <c r="CD337" i="1"/>
  <c r="CD339" i="1"/>
  <c r="CD341" i="1"/>
  <c r="CD343" i="1"/>
  <c r="CD345" i="1"/>
  <c r="CD347" i="1"/>
  <c r="CD349" i="1"/>
  <c r="CD351" i="1"/>
  <c r="CD353" i="1"/>
  <c r="CD355" i="1"/>
  <c r="CF355" i="1" s="1"/>
  <c r="CD357" i="1"/>
  <c r="CD359" i="1"/>
  <c r="CF359" i="1" s="1"/>
  <c r="CD361" i="1"/>
  <c r="CD363" i="1"/>
  <c r="CF363" i="1" s="1"/>
  <c r="CD365" i="1"/>
  <c r="CD367" i="1"/>
  <c r="CF367" i="1" s="1"/>
  <c r="CD369" i="1"/>
  <c r="CD371" i="1"/>
  <c r="CF371" i="1" s="1"/>
  <c r="CD373" i="1"/>
  <c r="CD375" i="1"/>
  <c r="CF375" i="1" s="1"/>
  <c r="CD19" i="1"/>
  <c r="CD23" i="1"/>
  <c r="CF23" i="1" s="1"/>
  <c r="CD27" i="1"/>
  <c r="CD31" i="1"/>
  <c r="CF31" i="1" s="1"/>
  <c r="CD35" i="1"/>
  <c r="CD39" i="1"/>
  <c r="CF39" i="1" s="1"/>
  <c r="CD43" i="1"/>
  <c r="CD47" i="1"/>
  <c r="CF47" i="1" s="1"/>
  <c r="CD51" i="1"/>
  <c r="CD55" i="1"/>
  <c r="CF55" i="1" s="1"/>
  <c r="CD59" i="1"/>
  <c r="CD63" i="1"/>
  <c r="CF63" i="1" s="1"/>
  <c r="CD67" i="1"/>
  <c r="CD71" i="1"/>
  <c r="CF71" i="1" s="1"/>
  <c r="CD75" i="1"/>
  <c r="CD79" i="1"/>
  <c r="CF79" i="1" s="1"/>
  <c r="CD83" i="1"/>
  <c r="CD87" i="1"/>
  <c r="CF87" i="1" s="1"/>
  <c r="CD91" i="1"/>
  <c r="CD95" i="1"/>
  <c r="CF95" i="1" s="1"/>
  <c r="CD99" i="1"/>
  <c r="CD103" i="1"/>
  <c r="CF103" i="1" s="1"/>
  <c r="CD107" i="1"/>
  <c r="CD111" i="1"/>
  <c r="CF111" i="1" s="1"/>
  <c r="CD115" i="1"/>
  <c r="CD119" i="1"/>
  <c r="CF119" i="1" s="1"/>
  <c r="CD123" i="1"/>
  <c r="CD127" i="1"/>
  <c r="CF127" i="1" s="1"/>
  <c r="CD131" i="1"/>
  <c r="CD135" i="1"/>
  <c r="CF135" i="1" s="1"/>
  <c r="CD139" i="1"/>
  <c r="CD143" i="1"/>
  <c r="CF143" i="1" s="1"/>
  <c r="CD147" i="1"/>
  <c r="CD155" i="1"/>
  <c r="CF155" i="1" s="1"/>
  <c r="CD163" i="1"/>
  <c r="CD171" i="1"/>
  <c r="CF171" i="1" s="1"/>
  <c r="CD179" i="1"/>
  <c r="CD186" i="1"/>
  <c r="CF186" i="1" s="1"/>
  <c r="CD190" i="1"/>
  <c r="CD194" i="1"/>
  <c r="CF194" i="1" s="1"/>
  <c r="CD198" i="1"/>
  <c r="CD202" i="1"/>
  <c r="CF202" i="1" s="1"/>
  <c r="CD206" i="1"/>
  <c r="CD210" i="1"/>
  <c r="CF210" i="1" s="1"/>
  <c r="CD214" i="1"/>
  <c r="CF214" i="1" s="1"/>
  <c r="CD218" i="1"/>
  <c r="CF218" i="1" s="1"/>
  <c r="CD222" i="1"/>
  <c r="CD226" i="1"/>
  <c r="CF226" i="1" s="1"/>
  <c r="CD230" i="1"/>
  <c r="CD234" i="1"/>
  <c r="CF234" i="1" s="1"/>
  <c r="CD238" i="1"/>
  <c r="CD242" i="1"/>
  <c r="CD246" i="1"/>
  <c r="CD250" i="1"/>
  <c r="CF250" i="1" s="1"/>
  <c r="CD254" i="1"/>
  <c r="CD258" i="1"/>
  <c r="CF258" i="1" s="1"/>
  <c r="CD262" i="1"/>
  <c r="CD266" i="1"/>
  <c r="CF266" i="1" s="1"/>
  <c r="CD270" i="1"/>
  <c r="CD274" i="1"/>
  <c r="CF274" i="1" s="1"/>
  <c r="CD278" i="1"/>
  <c r="CD282" i="1"/>
  <c r="CF282" i="1" s="1"/>
  <c r="CD286" i="1"/>
  <c r="CF286" i="1" s="1"/>
  <c r="CD290" i="1"/>
  <c r="CF290" i="1" s="1"/>
  <c r="CD294" i="1"/>
  <c r="CD298" i="1"/>
  <c r="CF298" i="1" s="1"/>
  <c r="CD302" i="1"/>
  <c r="CD306" i="1"/>
  <c r="CF306" i="1" s="1"/>
  <c r="CD310" i="1"/>
  <c r="CD314" i="1"/>
  <c r="CF314" i="1" s="1"/>
  <c r="CD318" i="1"/>
  <c r="CD322" i="1"/>
  <c r="CF322" i="1" s="1"/>
  <c r="CD326" i="1"/>
  <c r="CD330" i="1"/>
  <c r="CF330" i="1" s="1"/>
  <c r="CD334" i="1"/>
  <c r="CD338" i="1"/>
  <c r="CF338" i="1" s="1"/>
  <c r="CD342" i="1"/>
  <c r="CD346" i="1"/>
  <c r="CF346" i="1" s="1"/>
  <c r="CD350" i="1"/>
  <c r="CD354" i="1"/>
  <c r="CF354" i="1" s="1"/>
  <c r="CD358" i="1"/>
  <c r="CD362" i="1"/>
  <c r="CF362" i="1" s="1"/>
  <c r="CD366" i="1"/>
  <c r="CD370" i="1"/>
  <c r="CF370" i="1" s="1"/>
  <c r="CD374" i="1"/>
  <c r="CD151" i="1"/>
  <c r="CF151" i="1" s="1"/>
  <c r="CD159" i="1"/>
  <c r="CD167" i="1"/>
  <c r="CF167" i="1" s="1"/>
  <c r="CD175" i="1"/>
  <c r="CD183" i="1"/>
  <c r="CF183" i="1" s="1"/>
  <c r="CD188" i="1"/>
  <c r="CD192" i="1"/>
  <c r="CF192" i="1" s="1"/>
  <c r="CD196" i="1"/>
  <c r="CD200" i="1"/>
  <c r="CF200" i="1" s="1"/>
  <c r="CD204" i="1"/>
  <c r="CD208" i="1"/>
  <c r="CF208" i="1" s="1"/>
  <c r="CD212" i="1"/>
  <c r="CD216" i="1"/>
  <c r="CF216" i="1" s="1"/>
  <c r="CD220" i="1"/>
  <c r="CD224" i="1"/>
  <c r="CF224" i="1" s="1"/>
  <c r="CD228" i="1"/>
  <c r="CD232" i="1"/>
  <c r="CF232" i="1" s="1"/>
  <c r="CD236" i="1"/>
  <c r="CD240" i="1"/>
  <c r="CF240" i="1" s="1"/>
  <c r="CD244" i="1"/>
  <c r="CD248" i="1"/>
  <c r="CF248" i="1" s="1"/>
  <c r="CD252" i="1"/>
  <c r="CD256" i="1"/>
  <c r="CF256" i="1" s="1"/>
  <c r="CD260" i="1"/>
  <c r="CD264" i="1"/>
  <c r="CF264" i="1" s="1"/>
  <c r="CD268" i="1"/>
  <c r="CD272" i="1"/>
  <c r="CF272" i="1" s="1"/>
  <c r="CD276" i="1"/>
  <c r="CD280" i="1"/>
  <c r="CF280" i="1" s="1"/>
  <c r="CD284" i="1"/>
  <c r="CD288" i="1"/>
  <c r="CF288" i="1" s="1"/>
  <c r="CD292" i="1"/>
  <c r="CD296" i="1"/>
  <c r="CF296" i="1" s="1"/>
  <c r="CD300" i="1"/>
  <c r="CD304" i="1"/>
  <c r="CF304" i="1" s="1"/>
  <c r="CD308" i="1"/>
  <c r="CD312" i="1"/>
  <c r="CF312" i="1" s="1"/>
  <c r="CD316" i="1"/>
  <c r="CD320" i="1"/>
  <c r="CF320" i="1" s="1"/>
  <c r="CD324" i="1"/>
  <c r="CD328" i="1"/>
  <c r="CF328" i="1" s="1"/>
  <c r="CD332" i="1"/>
  <c r="CD336" i="1"/>
  <c r="CD340" i="1"/>
  <c r="CD344" i="1"/>
  <c r="CF344" i="1" s="1"/>
  <c r="CD348" i="1"/>
  <c r="CD352" i="1"/>
  <c r="CF352" i="1" s="1"/>
  <c r="CD356" i="1"/>
  <c r="CD360" i="1"/>
  <c r="CF360" i="1" s="1"/>
  <c r="CD364" i="1"/>
  <c r="CD368" i="1"/>
  <c r="CF368" i="1" s="1"/>
  <c r="CD372" i="1"/>
  <c r="CD15" i="1"/>
  <c r="CF15" i="1" s="1"/>
  <c r="CF6" i="1"/>
  <c r="CE6" i="1"/>
  <c r="CF18" i="1"/>
  <c r="CF22" i="1"/>
  <c r="CF26" i="1"/>
  <c r="CF30" i="1"/>
  <c r="CF34" i="1"/>
  <c r="CF38" i="1"/>
  <c r="CF42" i="1"/>
  <c r="CF46" i="1"/>
  <c r="CF50" i="1"/>
  <c r="CF54" i="1"/>
  <c r="CF58" i="1"/>
  <c r="CF62" i="1"/>
  <c r="CF66" i="1"/>
  <c r="CF70" i="1"/>
  <c r="CF74" i="1"/>
  <c r="CF78" i="1"/>
  <c r="CF82" i="1"/>
  <c r="CF86" i="1"/>
  <c r="CF90" i="1"/>
  <c r="CF94" i="1"/>
  <c r="CF98" i="1"/>
  <c r="CF102" i="1"/>
  <c r="CF106" i="1"/>
  <c r="CF110" i="1"/>
  <c r="CF114" i="1"/>
  <c r="CF118" i="1"/>
  <c r="CF122" i="1"/>
  <c r="CF126" i="1"/>
  <c r="CF130" i="1"/>
  <c r="CF134" i="1"/>
  <c r="CF138" i="1"/>
  <c r="CF144" i="1"/>
  <c r="CF146" i="1"/>
  <c r="CF152" i="1"/>
  <c r="CF154" i="1"/>
  <c r="CF160" i="1"/>
  <c r="CF162" i="1"/>
  <c r="CF168" i="1"/>
  <c r="CF170" i="1"/>
  <c r="CF176" i="1"/>
  <c r="CF178" i="1"/>
  <c r="CF184" i="1"/>
  <c r="CF188" i="1"/>
  <c r="CF190" i="1"/>
  <c r="CF196" i="1"/>
  <c r="CF198" i="1"/>
  <c r="CF204" i="1"/>
  <c r="CF206" i="1"/>
  <c r="CF212" i="1"/>
  <c r="CF220" i="1"/>
  <c r="CF222" i="1"/>
  <c r="CF228" i="1"/>
  <c r="CF230" i="1"/>
  <c r="CF236" i="1"/>
  <c r="CF238" i="1"/>
  <c r="CF242" i="1"/>
  <c r="CF244" i="1"/>
  <c r="CF246" i="1"/>
  <c r="CF252" i="1"/>
  <c r="CF254" i="1"/>
  <c r="CF260" i="1"/>
  <c r="CF262" i="1"/>
  <c r="CF268" i="1"/>
  <c r="CF270" i="1"/>
  <c r="CF276" i="1"/>
  <c r="CF278" i="1"/>
  <c r="CF284" i="1"/>
  <c r="CF17" i="1"/>
  <c r="CF19" i="1"/>
  <c r="CF21" i="1"/>
  <c r="CF25" i="1"/>
  <c r="CF27" i="1"/>
  <c r="CF33" i="1"/>
  <c r="CF35" i="1"/>
  <c r="CF37" i="1"/>
  <c r="CF41" i="1"/>
  <c r="CF43" i="1"/>
  <c r="CF49" i="1"/>
  <c r="CF51" i="1"/>
  <c r="CF53" i="1"/>
  <c r="CF57" i="1"/>
  <c r="CF59" i="1"/>
  <c r="CF65" i="1"/>
  <c r="CF67" i="1"/>
  <c r="CF69" i="1"/>
  <c r="CF73" i="1"/>
  <c r="CF75" i="1"/>
  <c r="CF81" i="1"/>
  <c r="CF83" i="1"/>
  <c r="CF85" i="1"/>
  <c r="CF89" i="1"/>
  <c r="CF91" i="1"/>
  <c r="CF97" i="1"/>
  <c r="CF99" i="1"/>
  <c r="CF101" i="1"/>
  <c r="CF105" i="1"/>
  <c r="CF107" i="1"/>
  <c r="CF113" i="1"/>
  <c r="CF115" i="1"/>
  <c r="CF117" i="1"/>
  <c r="CF121" i="1"/>
  <c r="CF123" i="1"/>
  <c r="CF129" i="1"/>
  <c r="CF131" i="1"/>
  <c r="CF133" i="1"/>
  <c r="CF137" i="1"/>
  <c r="CF139" i="1"/>
  <c r="CF145" i="1"/>
  <c r="CF147" i="1"/>
  <c r="CF149" i="1"/>
  <c r="CF153" i="1"/>
  <c r="CF157" i="1"/>
  <c r="CF159" i="1"/>
  <c r="CF161" i="1"/>
  <c r="CF163" i="1"/>
  <c r="CF165" i="1"/>
  <c r="CF169" i="1"/>
  <c r="CF173" i="1"/>
  <c r="CF175" i="1"/>
  <c r="CF177" i="1"/>
  <c r="CF179" i="1"/>
  <c r="CF181" i="1"/>
  <c r="CF185" i="1"/>
  <c r="CF336" i="1"/>
  <c r="CF279" i="1"/>
  <c r="CF373" i="1"/>
  <c r="CF369" i="1"/>
  <c r="CF365" i="1"/>
  <c r="CF361" i="1"/>
  <c r="CF357" i="1"/>
  <c r="CF353" i="1"/>
  <c r="CF351" i="1"/>
  <c r="CF349" i="1"/>
  <c r="CF347" i="1"/>
  <c r="CF345" i="1"/>
  <c r="CF343" i="1"/>
  <c r="CF341" i="1"/>
  <c r="CF339" i="1"/>
  <c r="CF337" i="1"/>
  <c r="CF335" i="1"/>
  <c r="CF333" i="1"/>
  <c r="CF331" i="1"/>
  <c r="CF329" i="1"/>
  <c r="CF327" i="1"/>
  <c r="CF325" i="1"/>
  <c r="CF323" i="1"/>
  <c r="CF321" i="1"/>
  <c r="CF319" i="1"/>
  <c r="CF317" i="1"/>
  <c r="CF315" i="1"/>
  <c r="CF313" i="1"/>
  <c r="CF311" i="1"/>
  <c r="CF309" i="1"/>
  <c r="CF307" i="1"/>
  <c r="CF305" i="1"/>
  <c r="CF303" i="1"/>
  <c r="CF301" i="1"/>
  <c r="CF299" i="1"/>
  <c r="CF297" i="1"/>
  <c r="CF295" i="1"/>
  <c r="CF293" i="1"/>
  <c r="CF285" i="1"/>
  <c r="CF277" i="1"/>
  <c r="CF269" i="1"/>
  <c r="BY6" i="1"/>
  <c r="CA6" i="1" s="1"/>
  <c r="I2" i="1"/>
  <c r="CF273" i="1" l="1"/>
  <c r="CF281" i="1"/>
  <c r="CF289" i="1"/>
  <c r="CF294" i="1"/>
  <c r="CF302" i="1"/>
  <c r="CF310" i="1"/>
  <c r="CF318" i="1"/>
  <c r="CF326" i="1"/>
  <c r="CF334" i="1"/>
  <c r="CF342" i="1"/>
  <c r="CF350" i="1"/>
  <c r="CF358" i="1"/>
  <c r="CF366" i="1"/>
  <c r="CF374" i="1"/>
  <c r="CF265" i="1"/>
  <c r="CF261" i="1"/>
  <c r="CF257" i="1"/>
  <c r="CF253" i="1"/>
  <c r="CF249" i="1"/>
  <c r="CF245" i="1"/>
  <c r="CF241" i="1"/>
  <c r="CF237" i="1"/>
  <c r="CF233" i="1"/>
  <c r="CF229" i="1"/>
  <c r="CF225" i="1"/>
  <c r="CF221" i="1"/>
  <c r="CF217" i="1"/>
  <c r="CF213" i="1"/>
  <c r="CF209" i="1"/>
  <c r="CF205" i="1"/>
  <c r="CF201" i="1"/>
  <c r="CF197" i="1"/>
  <c r="CF193" i="1"/>
  <c r="CF189" i="1"/>
  <c r="CF182" i="1"/>
  <c r="CF174" i="1"/>
  <c r="CF166" i="1"/>
  <c r="CF158" i="1"/>
  <c r="CF150" i="1"/>
  <c r="CF142" i="1"/>
  <c r="CF275" i="1"/>
  <c r="CF283" i="1"/>
  <c r="CF291" i="1"/>
  <c r="CF300" i="1"/>
  <c r="CF308" i="1"/>
  <c r="CF316" i="1"/>
  <c r="CF324" i="1"/>
  <c r="CF332" i="1"/>
  <c r="CF340" i="1"/>
  <c r="CF348" i="1"/>
  <c r="CF356" i="1"/>
  <c r="CF364" i="1"/>
  <c r="CF372" i="1"/>
  <c r="CF267" i="1"/>
  <c r="CF263" i="1"/>
  <c r="CF259" i="1"/>
  <c r="CF255" i="1"/>
  <c r="CF251" i="1"/>
  <c r="CF247" i="1"/>
  <c r="CF243" i="1"/>
  <c r="CF239" i="1"/>
  <c r="CF235" i="1"/>
  <c r="CF231" i="1"/>
  <c r="CF227" i="1"/>
  <c r="CF223" i="1"/>
  <c r="CF219" i="1"/>
  <c r="CF215" i="1"/>
  <c r="CF211" i="1"/>
  <c r="CF207" i="1"/>
  <c r="CF203" i="1"/>
  <c r="CF199" i="1"/>
  <c r="CF195" i="1"/>
  <c r="CF191" i="1"/>
  <c r="CF187" i="1"/>
  <c r="CF292" i="1"/>
  <c r="CF180" i="1"/>
  <c r="CF172" i="1"/>
  <c r="CF164" i="1"/>
  <c r="CF156" i="1"/>
  <c r="CF148" i="1"/>
  <c r="BZ6" i="1"/>
  <c r="CB6" i="1" s="1"/>
  <c r="CG6" i="1"/>
  <c r="AB17" i="1"/>
  <c r="AA17" i="1"/>
  <c r="Z17" i="1"/>
  <c r="ED4" i="1" l="1"/>
  <c r="ED6" i="1" s="1"/>
  <c r="EC4" i="1"/>
  <c r="EC6" i="1" s="1"/>
  <c r="EB4" i="1"/>
  <c r="DV4" i="1"/>
  <c r="DV5" i="1"/>
  <c r="DW3" i="1"/>
  <c r="DX3" i="1"/>
  <c r="DY3" i="1"/>
  <c r="EG4" i="1" l="1"/>
  <c r="EJ4" i="1" s="1"/>
  <c r="EF6" i="1"/>
  <c r="EF4" i="1"/>
  <c r="AF10" i="1"/>
  <c r="AE10" i="1"/>
  <c r="EH4" i="1" l="1"/>
  <c r="EI4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F189" i="1" l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AD46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AD45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BW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H27" i="1" s="1"/>
  <c r="I27" i="1" s="1"/>
  <c r="C17" i="1"/>
  <c r="C18" i="1"/>
  <c r="C19" i="1"/>
  <c r="C20" i="1"/>
  <c r="C21" i="1"/>
  <c r="C22" i="1"/>
  <c r="C192" i="1" s="1"/>
  <c r="C23" i="1"/>
  <c r="C24" i="1"/>
  <c r="C110" i="1" l="1"/>
  <c r="J110" i="1" s="1"/>
  <c r="L110" i="1" s="1"/>
  <c r="C191" i="1"/>
  <c r="C109" i="1"/>
  <c r="J109" i="1" s="1"/>
  <c r="L109" i="1" s="1"/>
  <c r="C190" i="1"/>
  <c r="C108" i="1"/>
  <c r="J108" i="1" s="1"/>
  <c r="L108" i="1" s="1"/>
  <c r="C189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C112" i="1"/>
  <c r="J112" i="1" s="1"/>
  <c r="L112" i="1" s="1"/>
  <c r="C193" i="1"/>
  <c r="C105" i="1"/>
  <c r="J105" i="1" s="1"/>
  <c r="L105" i="1" s="1"/>
  <c r="C186" i="1"/>
  <c r="C111" i="1"/>
  <c r="J111" i="1" s="1"/>
  <c r="L111" i="1" s="1"/>
  <c r="B82" i="1"/>
  <c r="K110" i="1" l="1"/>
  <c r="K109" i="1"/>
  <c r="K106" i="1"/>
  <c r="K105" i="1"/>
  <c r="K107" i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B144" i="1" s="1"/>
  <c r="B145" i="1" s="1"/>
  <c r="B151" i="1" l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F9" i="1"/>
  <c r="B96" i="1" s="1"/>
  <c r="E93" i="1"/>
  <c r="C94" i="1"/>
  <c r="D92" i="1"/>
  <c r="C92" i="1"/>
  <c r="G7" i="1"/>
  <c r="G6" i="1"/>
  <c r="A95" i="1" l="1"/>
  <c r="E95" i="1" s="1"/>
  <c r="E94" i="1"/>
  <c r="G8" i="1"/>
  <c r="E9" i="1"/>
  <c r="A96" i="1" s="1"/>
  <c r="D93" i="1"/>
  <c r="C93" i="1"/>
  <c r="F10" i="1"/>
  <c r="B97" i="1" s="1"/>
  <c r="D94" i="1"/>
  <c r="C95" i="1"/>
  <c r="D95" i="1"/>
  <c r="X4" i="1" l="1" a="1"/>
  <c r="X4" i="1" s="1"/>
  <c r="G9" i="1"/>
  <c r="E96" i="1"/>
  <c r="D96" i="1"/>
  <c r="D97" i="1"/>
  <c r="G11" i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DY5" i="1" l="1"/>
  <c r="DY8" i="1" s="1"/>
  <c r="AE16" i="1"/>
  <c r="DX5" i="1"/>
  <c r="DX8" i="1" s="1"/>
  <c r="AD16" i="1"/>
  <c r="DW5" i="1"/>
  <c r="DW8" i="1" s="1"/>
  <c r="AC16" i="1"/>
  <c r="B127" i="1"/>
  <c r="Z15" i="1"/>
  <c r="Z13" i="1" s="1"/>
  <c r="F127" i="1"/>
  <c r="F126" i="1"/>
  <c r="C117" i="1"/>
  <c r="AB15" i="1" s="1"/>
  <c r="B125" i="1"/>
  <c r="C116" i="1"/>
  <c r="AA15" i="1" s="1"/>
  <c r="F125" i="1"/>
  <c r="B120" i="1"/>
  <c r="B119" i="1"/>
  <c r="B126" i="1"/>
  <c r="DX4" i="1" l="1"/>
  <c r="DX10" i="1" s="1"/>
  <c r="AD15" i="1"/>
  <c r="DY4" i="1"/>
  <c r="DY10" i="1" s="1"/>
  <c r="AE15" i="1"/>
  <c r="DW4" i="1"/>
  <c r="DW10" i="1" s="1"/>
  <c r="AC15" i="1"/>
  <c r="DW11" i="1"/>
  <c r="EB10" i="1"/>
  <c r="DY11" i="1"/>
  <c r="ED10" i="1"/>
  <c r="DX11" i="1"/>
  <c r="EC10" i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CE5" i="1" l="1"/>
  <c r="CE7" i="1"/>
  <c r="BX17" i="1"/>
  <c r="BX19" i="1"/>
  <c r="BX21" i="1"/>
  <c r="BX23" i="1"/>
  <c r="BX25" i="1"/>
  <c r="BX27" i="1"/>
  <c r="BX29" i="1"/>
  <c r="BX31" i="1"/>
  <c r="BX33" i="1"/>
  <c r="BX35" i="1"/>
  <c r="BX37" i="1"/>
  <c r="BX39" i="1"/>
  <c r="BX41" i="1"/>
  <c r="BX43" i="1"/>
  <c r="BX45" i="1"/>
  <c r="BX47" i="1"/>
  <c r="BX49" i="1"/>
  <c r="BX51" i="1"/>
  <c r="BX53" i="1"/>
  <c r="BX55" i="1"/>
  <c r="BX57" i="1"/>
  <c r="BX59" i="1"/>
  <c r="BX61" i="1"/>
  <c r="BX63" i="1"/>
  <c r="BX65" i="1"/>
  <c r="BX67" i="1"/>
  <c r="BX69" i="1"/>
  <c r="BX71" i="1"/>
  <c r="BX73" i="1"/>
  <c r="BX75" i="1"/>
  <c r="BX77" i="1"/>
  <c r="BX79" i="1"/>
  <c r="BX81" i="1"/>
  <c r="BX83" i="1"/>
  <c r="BX85" i="1"/>
  <c r="BX87" i="1"/>
  <c r="BX89" i="1"/>
  <c r="BX91" i="1"/>
  <c r="BX93" i="1"/>
  <c r="BX95" i="1"/>
  <c r="BX97" i="1"/>
  <c r="BX99" i="1"/>
  <c r="BX102" i="1"/>
  <c r="BX104" i="1"/>
  <c r="BX106" i="1"/>
  <c r="BX108" i="1"/>
  <c r="BX16" i="1"/>
  <c r="BX18" i="1"/>
  <c r="BX20" i="1"/>
  <c r="BX22" i="1"/>
  <c r="BX24" i="1"/>
  <c r="BX26" i="1"/>
  <c r="BX28" i="1"/>
  <c r="BX30" i="1"/>
  <c r="BX32" i="1"/>
  <c r="BX34" i="1"/>
  <c r="BX36" i="1"/>
  <c r="BX38" i="1"/>
  <c r="BX40" i="1"/>
  <c r="BX42" i="1"/>
  <c r="BX44" i="1"/>
  <c r="BX46" i="1"/>
  <c r="BX48" i="1"/>
  <c r="BX50" i="1"/>
  <c r="BX52" i="1"/>
  <c r="BX54" i="1"/>
  <c r="BX56" i="1"/>
  <c r="BX58" i="1"/>
  <c r="BX60" i="1"/>
  <c r="BX62" i="1"/>
  <c r="BX64" i="1"/>
  <c r="BX66" i="1"/>
  <c r="BX68" i="1"/>
  <c r="BX70" i="1"/>
  <c r="BX72" i="1"/>
  <c r="BX74" i="1"/>
  <c r="BX76" i="1"/>
  <c r="BX78" i="1"/>
  <c r="BX80" i="1"/>
  <c r="BX82" i="1"/>
  <c r="BX84" i="1"/>
  <c r="BX86" i="1"/>
  <c r="BX88" i="1"/>
  <c r="BX90" i="1"/>
  <c r="BX92" i="1"/>
  <c r="BX94" i="1"/>
  <c r="BX96" i="1"/>
  <c r="BX98" i="1"/>
  <c r="BX100" i="1"/>
  <c r="BX101" i="1"/>
  <c r="BX103" i="1"/>
  <c r="BX105" i="1"/>
  <c r="BX107" i="1"/>
  <c r="BX109" i="1"/>
  <c r="BX111" i="1"/>
  <c r="BX113" i="1"/>
  <c r="BX115" i="1"/>
  <c r="BX117" i="1"/>
  <c r="BX119" i="1"/>
  <c r="BX121" i="1"/>
  <c r="BX123" i="1"/>
  <c r="BX125" i="1"/>
  <c r="BX127" i="1"/>
  <c r="BX129" i="1"/>
  <c r="BX131" i="1"/>
  <c r="BX133" i="1"/>
  <c r="BX135" i="1"/>
  <c r="BX137" i="1"/>
  <c r="BX139" i="1"/>
  <c r="BX141" i="1"/>
  <c r="BX143" i="1"/>
  <c r="BX145" i="1"/>
  <c r="BX147" i="1"/>
  <c r="BX149" i="1"/>
  <c r="BX151" i="1"/>
  <c r="BX153" i="1"/>
  <c r="BX155" i="1"/>
  <c r="BX157" i="1"/>
  <c r="BX159" i="1"/>
  <c r="BX161" i="1"/>
  <c r="BX163" i="1"/>
  <c r="BX165" i="1"/>
  <c r="BX167" i="1"/>
  <c r="BX169" i="1"/>
  <c r="BX171" i="1"/>
  <c r="BX173" i="1"/>
  <c r="BX175" i="1"/>
  <c r="BX177" i="1"/>
  <c r="BX179" i="1"/>
  <c r="BX181" i="1"/>
  <c r="BX183" i="1"/>
  <c r="BX185" i="1"/>
  <c r="BX187" i="1"/>
  <c r="BX189" i="1"/>
  <c r="BX191" i="1"/>
  <c r="BX193" i="1"/>
  <c r="BX195" i="1"/>
  <c r="BX197" i="1"/>
  <c r="BX199" i="1"/>
  <c r="BX201" i="1"/>
  <c r="BX203" i="1"/>
  <c r="BX205" i="1"/>
  <c r="BX207" i="1"/>
  <c r="BX209" i="1"/>
  <c r="BX211" i="1"/>
  <c r="BX213" i="1"/>
  <c r="BX215" i="1"/>
  <c r="BX217" i="1"/>
  <c r="BX219" i="1"/>
  <c r="BX221" i="1"/>
  <c r="BX223" i="1"/>
  <c r="BX225" i="1"/>
  <c r="BX227" i="1"/>
  <c r="BX229" i="1"/>
  <c r="BX231" i="1"/>
  <c r="BX233" i="1"/>
  <c r="BX235" i="1"/>
  <c r="BX237" i="1"/>
  <c r="BX239" i="1"/>
  <c r="BX241" i="1"/>
  <c r="BX243" i="1"/>
  <c r="BX245" i="1"/>
  <c r="BX247" i="1"/>
  <c r="BX249" i="1"/>
  <c r="BX251" i="1"/>
  <c r="BX253" i="1"/>
  <c r="BX255" i="1"/>
  <c r="BX257" i="1"/>
  <c r="BX259" i="1"/>
  <c r="BX261" i="1"/>
  <c r="BX263" i="1"/>
  <c r="BX265" i="1"/>
  <c r="BX267" i="1"/>
  <c r="BX269" i="1"/>
  <c r="BX110" i="1"/>
  <c r="BX112" i="1"/>
  <c r="BX114" i="1"/>
  <c r="BX116" i="1"/>
  <c r="BX118" i="1"/>
  <c r="BX120" i="1"/>
  <c r="BX122" i="1"/>
  <c r="BX124" i="1"/>
  <c r="BX126" i="1"/>
  <c r="BX128" i="1"/>
  <c r="BX130" i="1"/>
  <c r="BX132" i="1"/>
  <c r="BX134" i="1"/>
  <c r="BX136" i="1"/>
  <c r="BX138" i="1"/>
  <c r="BX140" i="1"/>
  <c r="BX142" i="1"/>
  <c r="BX144" i="1"/>
  <c r="BX146" i="1"/>
  <c r="BX148" i="1"/>
  <c r="BX150" i="1"/>
  <c r="BX152" i="1"/>
  <c r="BX154" i="1"/>
  <c r="BX156" i="1"/>
  <c r="BX158" i="1"/>
  <c r="BX160" i="1"/>
  <c r="BX162" i="1"/>
  <c r="BX164" i="1"/>
  <c r="BX166" i="1"/>
  <c r="BX168" i="1"/>
  <c r="BX170" i="1"/>
  <c r="BX172" i="1"/>
  <c r="BX174" i="1"/>
  <c r="BX176" i="1"/>
  <c r="BX178" i="1"/>
  <c r="BX180" i="1"/>
  <c r="BX182" i="1"/>
  <c r="BX184" i="1"/>
  <c r="BX186" i="1"/>
  <c r="BX188" i="1"/>
  <c r="BX190" i="1"/>
  <c r="BX192" i="1"/>
  <c r="BX194" i="1"/>
  <c r="BX196" i="1"/>
  <c r="BX198" i="1"/>
  <c r="BX200" i="1"/>
  <c r="BX202" i="1"/>
  <c r="BX204" i="1"/>
  <c r="BX206" i="1"/>
  <c r="BX208" i="1"/>
  <c r="BX210" i="1"/>
  <c r="BX212" i="1"/>
  <c r="BX214" i="1"/>
  <c r="BX216" i="1"/>
  <c r="BX218" i="1"/>
  <c r="BX220" i="1"/>
  <c r="BX222" i="1"/>
  <c r="BX224" i="1"/>
  <c r="BX226" i="1"/>
  <c r="BX228" i="1"/>
  <c r="BX230" i="1"/>
  <c r="BX232" i="1"/>
  <c r="BX234" i="1"/>
  <c r="BX236" i="1"/>
  <c r="BX238" i="1"/>
  <c r="BX240" i="1"/>
  <c r="BX242" i="1"/>
  <c r="BX244" i="1"/>
  <c r="BX246" i="1"/>
  <c r="BX248" i="1"/>
  <c r="BX250" i="1"/>
  <c r="BX252" i="1"/>
  <c r="BX254" i="1"/>
  <c r="BX256" i="1"/>
  <c r="BX258" i="1"/>
  <c r="BX260" i="1"/>
  <c r="BX262" i="1"/>
  <c r="BX264" i="1"/>
  <c r="BX266" i="1"/>
  <c r="BX268" i="1"/>
  <c r="BX270" i="1"/>
  <c r="BX271" i="1"/>
  <c r="BX272" i="1"/>
  <c r="BX274" i="1"/>
  <c r="BX276" i="1"/>
  <c r="BX278" i="1"/>
  <c r="BX280" i="1"/>
  <c r="BX282" i="1"/>
  <c r="BX284" i="1"/>
  <c r="BX286" i="1"/>
  <c r="BX288" i="1"/>
  <c r="BX290" i="1"/>
  <c r="BX292" i="1"/>
  <c r="BX294" i="1"/>
  <c r="BX296" i="1"/>
  <c r="BX298" i="1"/>
  <c r="BX300" i="1"/>
  <c r="BX302" i="1"/>
  <c r="BX304" i="1"/>
  <c r="BX306" i="1"/>
  <c r="BX308" i="1"/>
  <c r="BX310" i="1"/>
  <c r="BX312" i="1"/>
  <c r="BX314" i="1"/>
  <c r="BX316" i="1"/>
  <c r="BX318" i="1"/>
  <c r="BX320" i="1"/>
  <c r="BX322" i="1"/>
  <c r="BX324" i="1"/>
  <c r="BX326" i="1"/>
  <c r="BX328" i="1"/>
  <c r="BX330" i="1"/>
  <c r="BX332" i="1"/>
  <c r="BX334" i="1"/>
  <c r="BX336" i="1"/>
  <c r="BX338" i="1"/>
  <c r="BX340" i="1"/>
  <c r="BX342" i="1"/>
  <c r="BX344" i="1"/>
  <c r="BX346" i="1"/>
  <c r="BX348" i="1"/>
  <c r="BX350" i="1"/>
  <c r="BX352" i="1"/>
  <c r="BX354" i="1"/>
  <c r="BX356" i="1"/>
  <c r="BX358" i="1"/>
  <c r="BX360" i="1"/>
  <c r="BX362" i="1"/>
  <c r="BX364" i="1"/>
  <c r="BX366" i="1"/>
  <c r="BX368" i="1"/>
  <c r="BX370" i="1"/>
  <c r="BX372" i="1"/>
  <c r="BX374" i="1"/>
  <c r="BX273" i="1"/>
  <c r="BX275" i="1"/>
  <c r="BX277" i="1"/>
  <c r="BX279" i="1"/>
  <c r="BX281" i="1"/>
  <c r="BX283" i="1"/>
  <c r="BX285" i="1"/>
  <c r="BX287" i="1"/>
  <c r="BX289" i="1"/>
  <c r="BX291" i="1"/>
  <c r="BX293" i="1"/>
  <c r="BX295" i="1"/>
  <c r="BX297" i="1"/>
  <c r="BX299" i="1"/>
  <c r="BX301" i="1"/>
  <c r="BX303" i="1"/>
  <c r="BX305" i="1"/>
  <c r="BX307" i="1"/>
  <c r="BX311" i="1"/>
  <c r="BX313" i="1"/>
  <c r="BX315" i="1"/>
  <c r="BX317" i="1"/>
  <c r="BX319" i="1"/>
  <c r="BX323" i="1"/>
  <c r="BX325" i="1"/>
  <c r="BX327" i="1"/>
  <c r="BX329" i="1"/>
  <c r="BX333" i="1"/>
  <c r="BX337" i="1"/>
  <c r="BX343" i="1"/>
  <c r="BX345" i="1"/>
  <c r="BX347" i="1"/>
  <c r="BX351" i="1"/>
  <c r="BX355" i="1"/>
  <c r="BX359" i="1"/>
  <c r="BX365" i="1"/>
  <c r="BX369" i="1"/>
  <c r="BX371" i="1"/>
  <c r="BX375" i="1"/>
  <c r="BX309" i="1"/>
  <c r="BX321" i="1"/>
  <c r="BX331" i="1"/>
  <c r="BX335" i="1"/>
  <c r="BX339" i="1"/>
  <c r="BX341" i="1"/>
  <c r="BX349" i="1"/>
  <c r="BX353" i="1"/>
  <c r="BX357" i="1"/>
  <c r="BX361" i="1"/>
  <c r="BX363" i="1"/>
  <c r="BX367" i="1"/>
  <c r="BX373" i="1"/>
  <c r="BX15" i="1"/>
  <c r="DW14" i="1"/>
  <c r="DX18" i="1" s="1"/>
  <c r="EG10" i="1"/>
  <c r="EH10" i="1" s="1"/>
  <c r="EC12" i="1"/>
  <c r="EF10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R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R69" i="1" s="1"/>
  <c r="D43" i="1"/>
  <c r="E54" i="1" s="1"/>
  <c r="BZ15" i="1" l="1"/>
  <c r="BZ367" i="1"/>
  <c r="BZ361" i="1"/>
  <c r="BZ353" i="1"/>
  <c r="BZ341" i="1"/>
  <c r="BZ335" i="1"/>
  <c r="BZ321" i="1"/>
  <c r="BZ375" i="1"/>
  <c r="BZ369" i="1"/>
  <c r="BZ359" i="1"/>
  <c r="BZ351" i="1"/>
  <c r="BZ345" i="1"/>
  <c r="BZ337" i="1"/>
  <c r="BZ329" i="1"/>
  <c r="BZ325" i="1"/>
  <c r="BZ319" i="1"/>
  <c r="BZ315" i="1"/>
  <c r="BZ311" i="1"/>
  <c r="BZ305" i="1"/>
  <c r="BZ301" i="1"/>
  <c r="BZ297" i="1"/>
  <c r="BZ293" i="1"/>
  <c r="BZ289" i="1"/>
  <c r="BZ285" i="1"/>
  <c r="BZ281" i="1"/>
  <c r="BZ277" i="1"/>
  <c r="BZ273" i="1"/>
  <c r="BZ372" i="1"/>
  <c r="BZ368" i="1"/>
  <c r="BZ364" i="1"/>
  <c r="BZ360" i="1"/>
  <c r="BZ356" i="1"/>
  <c r="BZ352" i="1"/>
  <c r="BZ348" i="1"/>
  <c r="BZ344" i="1"/>
  <c r="BZ340" i="1"/>
  <c r="BZ336" i="1"/>
  <c r="BZ332" i="1"/>
  <c r="BZ328" i="1"/>
  <c r="BZ324" i="1"/>
  <c r="BZ320" i="1"/>
  <c r="BZ316" i="1"/>
  <c r="BZ312" i="1"/>
  <c r="BZ308" i="1"/>
  <c r="BZ304" i="1"/>
  <c r="BZ300" i="1"/>
  <c r="BZ296" i="1"/>
  <c r="BZ292" i="1"/>
  <c r="BZ288" i="1"/>
  <c r="BZ284" i="1"/>
  <c r="BZ280" i="1"/>
  <c r="BZ276" i="1"/>
  <c r="BZ272" i="1"/>
  <c r="BZ270" i="1"/>
  <c r="BZ266" i="1"/>
  <c r="BZ262" i="1"/>
  <c r="BZ258" i="1"/>
  <c r="BZ254" i="1"/>
  <c r="BZ250" i="1"/>
  <c r="BZ246" i="1"/>
  <c r="BZ242" i="1"/>
  <c r="BZ238" i="1"/>
  <c r="BZ234" i="1"/>
  <c r="BZ230" i="1"/>
  <c r="BZ226" i="1"/>
  <c r="BZ222" i="1"/>
  <c r="BZ218" i="1"/>
  <c r="BZ214" i="1"/>
  <c r="BZ210" i="1"/>
  <c r="BZ206" i="1"/>
  <c r="BZ202" i="1"/>
  <c r="BZ198" i="1"/>
  <c r="BZ194" i="1"/>
  <c r="BZ190" i="1"/>
  <c r="BZ186" i="1"/>
  <c r="BZ182" i="1"/>
  <c r="BZ178" i="1"/>
  <c r="BZ174" i="1"/>
  <c r="BZ170" i="1"/>
  <c r="BZ166" i="1"/>
  <c r="BZ162" i="1"/>
  <c r="BZ158" i="1"/>
  <c r="BZ154" i="1"/>
  <c r="BZ150" i="1"/>
  <c r="BZ146" i="1"/>
  <c r="BZ142" i="1"/>
  <c r="BZ138" i="1"/>
  <c r="BZ134" i="1"/>
  <c r="BZ130" i="1"/>
  <c r="BZ126" i="1"/>
  <c r="BZ122" i="1"/>
  <c r="BZ118" i="1"/>
  <c r="BZ114" i="1"/>
  <c r="BZ110" i="1"/>
  <c r="BZ267" i="1"/>
  <c r="BZ263" i="1"/>
  <c r="BZ259" i="1"/>
  <c r="BZ255" i="1"/>
  <c r="BZ251" i="1"/>
  <c r="BZ247" i="1"/>
  <c r="BZ243" i="1"/>
  <c r="BZ239" i="1"/>
  <c r="BZ235" i="1"/>
  <c r="BZ231" i="1"/>
  <c r="BZ227" i="1"/>
  <c r="BZ223" i="1"/>
  <c r="BZ219" i="1"/>
  <c r="BZ215" i="1"/>
  <c r="BZ211" i="1"/>
  <c r="BZ207" i="1"/>
  <c r="BZ203" i="1"/>
  <c r="BZ199" i="1"/>
  <c r="BZ195" i="1"/>
  <c r="BZ191" i="1"/>
  <c r="BZ187" i="1"/>
  <c r="BZ183" i="1"/>
  <c r="BZ179" i="1"/>
  <c r="BZ175" i="1"/>
  <c r="BZ171" i="1"/>
  <c r="BZ167" i="1"/>
  <c r="BZ163" i="1"/>
  <c r="BZ159" i="1"/>
  <c r="BZ155" i="1"/>
  <c r="BZ151" i="1"/>
  <c r="BZ147" i="1"/>
  <c r="BZ143" i="1"/>
  <c r="BZ139" i="1"/>
  <c r="BZ135" i="1"/>
  <c r="BZ131" i="1"/>
  <c r="BZ127" i="1"/>
  <c r="BZ123" i="1"/>
  <c r="BZ119" i="1"/>
  <c r="BZ115" i="1"/>
  <c r="BZ111" i="1"/>
  <c r="BZ107" i="1"/>
  <c r="BZ103" i="1"/>
  <c r="BZ100" i="1"/>
  <c r="BZ96" i="1"/>
  <c r="BZ92" i="1"/>
  <c r="BZ88" i="1"/>
  <c r="BZ84" i="1"/>
  <c r="BZ80" i="1"/>
  <c r="BZ76" i="1"/>
  <c r="BZ72" i="1"/>
  <c r="BZ68" i="1"/>
  <c r="BZ64" i="1"/>
  <c r="BZ60" i="1"/>
  <c r="BZ56" i="1"/>
  <c r="BZ52" i="1"/>
  <c r="BZ48" i="1"/>
  <c r="BZ44" i="1"/>
  <c r="BZ40" i="1"/>
  <c r="BZ36" i="1"/>
  <c r="BZ32" i="1"/>
  <c r="BZ28" i="1"/>
  <c r="BZ24" i="1"/>
  <c r="BZ20" i="1"/>
  <c r="BZ16" i="1"/>
  <c r="BZ106" i="1"/>
  <c r="BZ102" i="1"/>
  <c r="BZ97" i="1"/>
  <c r="BZ93" i="1"/>
  <c r="BZ89" i="1"/>
  <c r="BZ85" i="1"/>
  <c r="BZ81" i="1"/>
  <c r="BZ77" i="1"/>
  <c r="BZ73" i="1"/>
  <c r="BZ69" i="1"/>
  <c r="BZ65" i="1"/>
  <c r="BZ61" i="1"/>
  <c r="BZ57" i="1"/>
  <c r="BZ53" i="1"/>
  <c r="BZ49" i="1"/>
  <c r="BZ45" i="1"/>
  <c r="BZ41" i="1"/>
  <c r="BZ37" i="1"/>
  <c r="BZ33" i="1"/>
  <c r="BZ29" i="1"/>
  <c r="BZ25" i="1"/>
  <c r="BZ21" i="1"/>
  <c r="BZ17" i="1"/>
  <c r="BZ373" i="1"/>
  <c r="BZ363" i="1"/>
  <c r="BZ357" i="1"/>
  <c r="BZ349" i="1"/>
  <c r="BZ339" i="1"/>
  <c r="BZ331" i="1"/>
  <c r="BZ309" i="1"/>
  <c r="BZ371" i="1"/>
  <c r="BZ365" i="1"/>
  <c r="BZ355" i="1"/>
  <c r="BZ347" i="1"/>
  <c r="BZ343" i="1"/>
  <c r="BZ333" i="1"/>
  <c r="BZ327" i="1"/>
  <c r="BZ323" i="1"/>
  <c r="BZ317" i="1"/>
  <c r="BZ313" i="1"/>
  <c r="BZ307" i="1"/>
  <c r="BZ303" i="1"/>
  <c r="BZ299" i="1"/>
  <c r="BZ295" i="1"/>
  <c r="BZ291" i="1"/>
  <c r="BZ287" i="1"/>
  <c r="BZ283" i="1"/>
  <c r="BZ279" i="1"/>
  <c r="BZ275" i="1"/>
  <c r="BZ374" i="1"/>
  <c r="BZ370" i="1"/>
  <c r="BZ366" i="1"/>
  <c r="BZ362" i="1"/>
  <c r="BZ358" i="1"/>
  <c r="BZ354" i="1"/>
  <c r="BZ350" i="1"/>
  <c r="BZ346" i="1"/>
  <c r="BZ342" i="1"/>
  <c r="BZ338" i="1"/>
  <c r="BZ334" i="1"/>
  <c r="BZ330" i="1"/>
  <c r="BZ326" i="1"/>
  <c r="BZ322" i="1"/>
  <c r="BZ318" i="1"/>
  <c r="BZ314" i="1"/>
  <c r="BZ310" i="1"/>
  <c r="BZ306" i="1"/>
  <c r="BZ302" i="1"/>
  <c r="BZ298" i="1"/>
  <c r="BZ294" i="1"/>
  <c r="BZ290" i="1"/>
  <c r="BZ286" i="1"/>
  <c r="BZ282" i="1"/>
  <c r="BZ278" i="1"/>
  <c r="BZ274" i="1"/>
  <c r="BZ271" i="1"/>
  <c r="BZ268" i="1"/>
  <c r="BZ264" i="1"/>
  <c r="BZ260" i="1"/>
  <c r="BZ256" i="1"/>
  <c r="BZ252" i="1"/>
  <c r="BZ248" i="1"/>
  <c r="BZ244" i="1"/>
  <c r="BZ240" i="1"/>
  <c r="BZ236" i="1"/>
  <c r="BZ232" i="1"/>
  <c r="BZ228" i="1"/>
  <c r="BZ224" i="1"/>
  <c r="BZ220" i="1"/>
  <c r="BZ216" i="1"/>
  <c r="BZ212" i="1"/>
  <c r="BZ208" i="1"/>
  <c r="BZ204" i="1"/>
  <c r="BZ200" i="1"/>
  <c r="BZ196" i="1"/>
  <c r="BZ192" i="1"/>
  <c r="BZ188" i="1"/>
  <c r="BZ184" i="1"/>
  <c r="BZ180" i="1"/>
  <c r="BZ176" i="1"/>
  <c r="BZ172" i="1"/>
  <c r="BZ168" i="1"/>
  <c r="BZ164" i="1"/>
  <c r="BZ160" i="1"/>
  <c r="BZ156" i="1"/>
  <c r="BZ152" i="1"/>
  <c r="BZ148" i="1"/>
  <c r="BZ144" i="1"/>
  <c r="BZ140" i="1"/>
  <c r="BZ136" i="1"/>
  <c r="BZ132" i="1"/>
  <c r="BZ128" i="1"/>
  <c r="BZ124" i="1"/>
  <c r="BZ120" i="1"/>
  <c r="BZ116" i="1"/>
  <c r="BZ112" i="1"/>
  <c r="BZ269" i="1"/>
  <c r="BZ265" i="1"/>
  <c r="BZ261" i="1"/>
  <c r="BZ257" i="1"/>
  <c r="BZ253" i="1"/>
  <c r="BZ249" i="1"/>
  <c r="BZ245" i="1"/>
  <c r="BZ241" i="1"/>
  <c r="BZ237" i="1"/>
  <c r="BZ233" i="1"/>
  <c r="BZ229" i="1"/>
  <c r="BZ225" i="1"/>
  <c r="BZ221" i="1"/>
  <c r="BZ217" i="1"/>
  <c r="BZ213" i="1"/>
  <c r="BZ209" i="1"/>
  <c r="BZ205" i="1"/>
  <c r="BZ201" i="1"/>
  <c r="BZ197" i="1"/>
  <c r="BZ193" i="1"/>
  <c r="BZ189" i="1"/>
  <c r="BZ185" i="1"/>
  <c r="BZ181" i="1"/>
  <c r="BZ177" i="1"/>
  <c r="BZ173" i="1"/>
  <c r="BZ169" i="1"/>
  <c r="BZ165" i="1"/>
  <c r="BZ161" i="1"/>
  <c r="BZ157" i="1"/>
  <c r="BZ153" i="1"/>
  <c r="BZ149" i="1"/>
  <c r="BZ145" i="1"/>
  <c r="BZ141" i="1"/>
  <c r="BZ137" i="1"/>
  <c r="BZ133" i="1"/>
  <c r="BZ129" i="1"/>
  <c r="BZ125" i="1"/>
  <c r="BZ121" i="1"/>
  <c r="BZ117" i="1"/>
  <c r="BZ113" i="1"/>
  <c r="BZ109" i="1"/>
  <c r="BZ105" i="1"/>
  <c r="BZ101" i="1"/>
  <c r="BZ98" i="1"/>
  <c r="BZ94" i="1"/>
  <c r="BZ90" i="1"/>
  <c r="BZ86" i="1"/>
  <c r="BZ82" i="1"/>
  <c r="BZ78" i="1"/>
  <c r="BZ74" i="1"/>
  <c r="BZ70" i="1"/>
  <c r="BZ66" i="1"/>
  <c r="BZ62" i="1"/>
  <c r="BZ58" i="1"/>
  <c r="BZ54" i="1"/>
  <c r="BZ50" i="1"/>
  <c r="BZ46" i="1"/>
  <c r="BZ42" i="1"/>
  <c r="BZ38" i="1"/>
  <c r="BZ34" i="1"/>
  <c r="BZ30" i="1"/>
  <c r="BZ26" i="1"/>
  <c r="BZ22" i="1"/>
  <c r="BZ18" i="1"/>
  <c r="BZ108" i="1"/>
  <c r="BZ104" i="1"/>
  <c r="BZ99" i="1"/>
  <c r="BZ95" i="1"/>
  <c r="BZ91" i="1"/>
  <c r="BZ87" i="1"/>
  <c r="BZ83" i="1"/>
  <c r="BZ79" i="1"/>
  <c r="BZ75" i="1"/>
  <c r="BZ71" i="1"/>
  <c r="BZ67" i="1"/>
  <c r="BZ63" i="1"/>
  <c r="BZ59" i="1"/>
  <c r="BZ55" i="1"/>
  <c r="BZ51" i="1"/>
  <c r="BZ47" i="1"/>
  <c r="BZ43" i="1"/>
  <c r="BZ39" i="1"/>
  <c r="BZ35" i="1"/>
  <c r="BZ31" i="1"/>
  <c r="BZ27" i="1"/>
  <c r="BZ23" i="1"/>
  <c r="BZ19" i="1"/>
  <c r="CF5" i="1"/>
  <c r="CF7" i="1"/>
  <c r="BY16" i="1"/>
  <c r="BY18" i="1"/>
  <c r="BY20" i="1"/>
  <c r="BY22" i="1"/>
  <c r="BY24" i="1"/>
  <c r="BY26" i="1"/>
  <c r="BY28" i="1"/>
  <c r="BY30" i="1"/>
  <c r="BY32" i="1"/>
  <c r="BY34" i="1"/>
  <c r="BY36" i="1"/>
  <c r="BY38" i="1"/>
  <c r="BY40" i="1"/>
  <c r="BY42" i="1"/>
  <c r="BY44" i="1"/>
  <c r="BY46" i="1"/>
  <c r="BY48" i="1"/>
  <c r="BY50" i="1"/>
  <c r="BY52" i="1"/>
  <c r="BY54" i="1"/>
  <c r="BY56" i="1"/>
  <c r="BY58" i="1"/>
  <c r="BY60" i="1"/>
  <c r="BY62" i="1"/>
  <c r="BY64" i="1"/>
  <c r="CA64" i="1" s="1"/>
  <c r="BY66" i="1"/>
  <c r="BY68" i="1"/>
  <c r="CA68" i="1" s="1"/>
  <c r="BY70" i="1"/>
  <c r="BY72" i="1"/>
  <c r="CA72" i="1" s="1"/>
  <c r="BY74" i="1"/>
  <c r="BY76" i="1"/>
  <c r="CA76" i="1" s="1"/>
  <c r="BY78" i="1"/>
  <c r="BY80" i="1"/>
  <c r="CA80" i="1" s="1"/>
  <c r="BY82" i="1"/>
  <c r="BY84" i="1"/>
  <c r="CA84" i="1" s="1"/>
  <c r="BY86" i="1"/>
  <c r="BY88" i="1"/>
  <c r="CA88" i="1" s="1"/>
  <c r="BY90" i="1"/>
  <c r="BY92" i="1"/>
  <c r="CA92" i="1" s="1"/>
  <c r="BY94" i="1"/>
  <c r="BY96" i="1"/>
  <c r="CA96" i="1" s="1"/>
  <c r="BY98" i="1"/>
  <c r="BY100" i="1"/>
  <c r="CA100" i="1" s="1"/>
  <c r="BY101" i="1"/>
  <c r="BY103" i="1"/>
  <c r="CA103" i="1" s="1"/>
  <c r="BY105" i="1"/>
  <c r="BY107" i="1"/>
  <c r="CA107" i="1" s="1"/>
  <c r="BY17" i="1"/>
  <c r="BY19" i="1"/>
  <c r="CA19" i="1" s="1"/>
  <c r="BY21" i="1"/>
  <c r="BY23" i="1"/>
  <c r="CA23" i="1" s="1"/>
  <c r="BY25" i="1"/>
  <c r="BY27" i="1"/>
  <c r="CA27" i="1" s="1"/>
  <c r="BY29" i="1"/>
  <c r="BY31" i="1"/>
  <c r="CA31" i="1" s="1"/>
  <c r="BY33" i="1"/>
  <c r="BY35" i="1"/>
  <c r="CA35" i="1" s="1"/>
  <c r="BY37" i="1"/>
  <c r="BY39" i="1"/>
  <c r="CA39" i="1" s="1"/>
  <c r="BY41" i="1"/>
  <c r="BY43" i="1"/>
  <c r="CA43" i="1" s="1"/>
  <c r="BY45" i="1"/>
  <c r="BY47" i="1"/>
  <c r="CA47" i="1" s="1"/>
  <c r="BY49" i="1"/>
  <c r="BY51" i="1"/>
  <c r="CA51" i="1" s="1"/>
  <c r="BY53" i="1"/>
  <c r="BY55" i="1"/>
  <c r="CA55" i="1" s="1"/>
  <c r="BY57" i="1"/>
  <c r="BY59" i="1"/>
  <c r="CA59" i="1" s="1"/>
  <c r="BY61" i="1"/>
  <c r="BY63" i="1"/>
  <c r="CA63" i="1" s="1"/>
  <c r="BY65" i="1"/>
  <c r="BY67" i="1"/>
  <c r="CA67" i="1" s="1"/>
  <c r="BY69" i="1"/>
  <c r="BY71" i="1"/>
  <c r="CA71" i="1" s="1"/>
  <c r="BY73" i="1"/>
  <c r="BY75" i="1"/>
  <c r="CA75" i="1" s="1"/>
  <c r="BY77" i="1"/>
  <c r="BY79" i="1"/>
  <c r="CA79" i="1" s="1"/>
  <c r="BY81" i="1"/>
  <c r="BY83" i="1"/>
  <c r="CA83" i="1" s="1"/>
  <c r="BY85" i="1"/>
  <c r="BY87" i="1"/>
  <c r="CA87" i="1" s="1"/>
  <c r="BY89" i="1"/>
  <c r="BY91" i="1"/>
  <c r="CA91" i="1" s="1"/>
  <c r="BY93" i="1"/>
  <c r="BY95" i="1"/>
  <c r="CA95" i="1" s="1"/>
  <c r="BY97" i="1"/>
  <c r="BY99" i="1"/>
  <c r="CA99" i="1" s="1"/>
  <c r="BY102" i="1"/>
  <c r="BY104" i="1"/>
  <c r="CA104" i="1" s="1"/>
  <c r="BY106" i="1"/>
  <c r="BY108" i="1"/>
  <c r="CA108" i="1" s="1"/>
  <c r="BY110" i="1"/>
  <c r="BY112" i="1"/>
  <c r="CA112" i="1" s="1"/>
  <c r="BY114" i="1"/>
  <c r="BY116" i="1"/>
  <c r="CA116" i="1" s="1"/>
  <c r="BY118" i="1"/>
  <c r="BY120" i="1"/>
  <c r="CA120" i="1" s="1"/>
  <c r="BY122" i="1"/>
  <c r="BY124" i="1"/>
  <c r="CA124" i="1" s="1"/>
  <c r="BY126" i="1"/>
  <c r="BY128" i="1"/>
  <c r="CA128" i="1" s="1"/>
  <c r="BY130" i="1"/>
  <c r="BY132" i="1"/>
  <c r="CA132" i="1" s="1"/>
  <c r="BY134" i="1"/>
  <c r="BY136" i="1"/>
  <c r="CA136" i="1" s="1"/>
  <c r="BY138" i="1"/>
  <c r="BY140" i="1"/>
  <c r="CA140" i="1" s="1"/>
  <c r="BY142" i="1"/>
  <c r="BY144" i="1"/>
  <c r="CA144" i="1" s="1"/>
  <c r="BY146" i="1"/>
  <c r="BY148" i="1"/>
  <c r="CA148" i="1" s="1"/>
  <c r="BY150" i="1"/>
  <c r="BY152" i="1"/>
  <c r="CA152" i="1" s="1"/>
  <c r="BY154" i="1"/>
  <c r="BY156" i="1"/>
  <c r="CA156" i="1" s="1"/>
  <c r="BY158" i="1"/>
  <c r="BY160" i="1"/>
  <c r="CA160" i="1" s="1"/>
  <c r="BY162" i="1"/>
  <c r="BY164" i="1"/>
  <c r="CA164" i="1" s="1"/>
  <c r="BY166" i="1"/>
  <c r="BY168" i="1"/>
  <c r="CA168" i="1" s="1"/>
  <c r="BY170" i="1"/>
  <c r="BY172" i="1"/>
  <c r="CA172" i="1" s="1"/>
  <c r="BY174" i="1"/>
  <c r="BY176" i="1"/>
  <c r="CA176" i="1" s="1"/>
  <c r="BY178" i="1"/>
  <c r="BY180" i="1"/>
  <c r="CA180" i="1" s="1"/>
  <c r="BY182" i="1"/>
  <c r="BY184" i="1"/>
  <c r="CA184" i="1" s="1"/>
  <c r="BY186" i="1"/>
  <c r="BY188" i="1"/>
  <c r="CA188" i="1" s="1"/>
  <c r="BY190" i="1"/>
  <c r="BY192" i="1"/>
  <c r="CA192" i="1" s="1"/>
  <c r="BY194" i="1"/>
  <c r="BY196" i="1"/>
  <c r="CA196" i="1" s="1"/>
  <c r="BY198" i="1"/>
  <c r="BY200" i="1"/>
  <c r="CA200" i="1" s="1"/>
  <c r="BY202" i="1"/>
  <c r="BY204" i="1"/>
  <c r="CA204" i="1" s="1"/>
  <c r="BY206" i="1"/>
  <c r="BY208" i="1"/>
  <c r="CA208" i="1" s="1"/>
  <c r="BY210" i="1"/>
  <c r="BY212" i="1"/>
  <c r="CA212" i="1" s="1"/>
  <c r="BY214" i="1"/>
  <c r="BY216" i="1"/>
  <c r="CA216" i="1" s="1"/>
  <c r="BY218" i="1"/>
  <c r="BY220" i="1"/>
  <c r="CA220" i="1" s="1"/>
  <c r="BY222" i="1"/>
  <c r="BY224" i="1"/>
  <c r="CA224" i="1" s="1"/>
  <c r="BY226" i="1"/>
  <c r="BY228" i="1"/>
  <c r="CA228" i="1" s="1"/>
  <c r="BY230" i="1"/>
  <c r="BY232" i="1"/>
  <c r="CA232" i="1" s="1"/>
  <c r="BY234" i="1"/>
  <c r="BY236" i="1"/>
  <c r="CA236" i="1" s="1"/>
  <c r="BY238" i="1"/>
  <c r="BY240" i="1"/>
  <c r="CA240" i="1" s="1"/>
  <c r="BY242" i="1"/>
  <c r="BY244" i="1"/>
  <c r="CA244" i="1" s="1"/>
  <c r="BY246" i="1"/>
  <c r="BY248" i="1"/>
  <c r="CA248" i="1" s="1"/>
  <c r="BY250" i="1"/>
  <c r="BY252" i="1"/>
  <c r="CA252" i="1" s="1"/>
  <c r="BY254" i="1"/>
  <c r="BY256" i="1"/>
  <c r="CA256" i="1" s="1"/>
  <c r="BY258" i="1"/>
  <c r="BY260" i="1"/>
  <c r="CA260" i="1" s="1"/>
  <c r="BY262" i="1"/>
  <c r="BY264" i="1"/>
  <c r="CA264" i="1" s="1"/>
  <c r="BY266" i="1"/>
  <c r="BY268" i="1"/>
  <c r="CA268" i="1" s="1"/>
  <c r="BY270" i="1"/>
  <c r="BY109" i="1"/>
  <c r="CA109" i="1" s="1"/>
  <c r="BY111" i="1"/>
  <c r="BY113" i="1"/>
  <c r="CA113" i="1" s="1"/>
  <c r="BY115" i="1"/>
  <c r="BY117" i="1"/>
  <c r="CA117" i="1" s="1"/>
  <c r="BY119" i="1"/>
  <c r="BY121" i="1"/>
  <c r="CA121" i="1" s="1"/>
  <c r="BY123" i="1"/>
  <c r="BY125" i="1"/>
  <c r="CA125" i="1" s="1"/>
  <c r="BY127" i="1"/>
  <c r="BY129" i="1"/>
  <c r="CA129" i="1" s="1"/>
  <c r="BY131" i="1"/>
  <c r="BY133" i="1"/>
  <c r="CA133" i="1" s="1"/>
  <c r="BY135" i="1"/>
  <c r="BY137" i="1"/>
  <c r="CA137" i="1" s="1"/>
  <c r="BY139" i="1"/>
  <c r="BY141" i="1"/>
  <c r="CA141" i="1" s="1"/>
  <c r="BY143" i="1"/>
  <c r="BY145" i="1"/>
  <c r="CA145" i="1" s="1"/>
  <c r="BY147" i="1"/>
  <c r="BY149" i="1"/>
  <c r="CA149" i="1" s="1"/>
  <c r="BY151" i="1"/>
  <c r="BY153" i="1"/>
  <c r="CA153" i="1" s="1"/>
  <c r="BY155" i="1"/>
  <c r="BY157" i="1"/>
  <c r="CA157" i="1" s="1"/>
  <c r="BY159" i="1"/>
  <c r="BY161" i="1"/>
  <c r="CA161" i="1" s="1"/>
  <c r="BY163" i="1"/>
  <c r="BY165" i="1"/>
  <c r="CA165" i="1" s="1"/>
  <c r="BY167" i="1"/>
  <c r="BY169" i="1"/>
  <c r="CA169" i="1" s="1"/>
  <c r="BY171" i="1"/>
  <c r="BY173" i="1"/>
  <c r="CA173" i="1" s="1"/>
  <c r="BY175" i="1"/>
  <c r="BY177" i="1"/>
  <c r="CA177" i="1" s="1"/>
  <c r="BY179" i="1"/>
  <c r="BY181" i="1"/>
  <c r="CA181" i="1" s="1"/>
  <c r="BY183" i="1"/>
  <c r="BY185" i="1"/>
  <c r="CA185" i="1" s="1"/>
  <c r="BY187" i="1"/>
  <c r="BY189" i="1"/>
  <c r="CA189" i="1" s="1"/>
  <c r="BY191" i="1"/>
  <c r="BY193" i="1"/>
  <c r="CA193" i="1" s="1"/>
  <c r="BY195" i="1"/>
  <c r="BY197" i="1"/>
  <c r="CA197" i="1" s="1"/>
  <c r="BY199" i="1"/>
  <c r="BY201" i="1"/>
  <c r="CA201" i="1" s="1"/>
  <c r="BY203" i="1"/>
  <c r="BY205" i="1"/>
  <c r="CA205" i="1" s="1"/>
  <c r="BY207" i="1"/>
  <c r="BY209" i="1"/>
  <c r="CA209" i="1" s="1"/>
  <c r="BY211" i="1"/>
  <c r="BY213" i="1"/>
  <c r="CA213" i="1" s="1"/>
  <c r="BY215" i="1"/>
  <c r="BY217" i="1"/>
  <c r="CA217" i="1" s="1"/>
  <c r="BY219" i="1"/>
  <c r="BY221" i="1"/>
  <c r="CA221" i="1" s="1"/>
  <c r="BY223" i="1"/>
  <c r="BY225" i="1"/>
  <c r="CA225" i="1" s="1"/>
  <c r="BY227" i="1"/>
  <c r="BY229" i="1"/>
  <c r="CA229" i="1" s="1"/>
  <c r="BY231" i="1"/>
  <c r="BY233" i="1"/>
  <c r="CA233" i="1" s="1"/>
  <c r="BY235" i="1"/>
  <c r="BY237" i="1"/>
  <c r="CA237" i="1" s="1"/>
  <c r="BY239" i="1"/>
  <c r="BY241" i="1"/>
  <c r="CA241" i="1" s="1"/>
  <c r="BY243" i="1"/>
  <c r="BY245" i="1"/>
  <c r="CA245" i="1" s="1"/>
  <c r="BY247" i="1"/>
  <c r="BY249" i="1"/>
  <c r="CA249" i="1" s="1"/>
  <c r="BY251" i="1"/>
  <c r="BY253" i="1"/>
  <c r="CA253" i="1" s="1"/>
  <c r="BY255" i="1"/>
  <c r="BY257" i="1"/>
  <c r="CA257" i="1" s="1"/>
  <c r="BY259" i="1"/>
  <c r="BY261" i="1"/>
  <c r="CA261" i="1" s="1"/>
  <c r="BY263" i="1"/>
  <c r="BY265" i="1"/>
  <c r="CA265" i="1" s="1"/>
  <c r="BY267" i="1"/>
  <c r="BY269" i="1"/>
  <c r="CA269" i="1" s="1"/>
  <c r="BY271" i="1"/>
  <c r="BY273" i="1"/>
  <c r="CA273" i="1" s="1"/>
  <c r="BY275" i="1"/>
  <c r="BY277" i="1"/>
  <c r="CA277" i="1" s="1"/>
  <c r="BY279" i="1"/>
  <c r="BY281" i="1"/>
  <c r="CA281" i="1" s="1"/>
  <c r="BY283" i="1"/>
  <c r="BY285" i="1"/>
  <c r="CA285" i="1" s="1"/>
  <c r="BY287" i="1"/>
  <c r="BY289" i="1"/>
  <c r="CA289" i="1" s="1"/>
  <c r="BY291" i="1"/>
  <c r="BY293" i="1"/>
  <c r="CA293" i="1" s="1"/>
  <c r="BY295" i="1"/>
  <c r="BY297" i="1"/>
  <c r="CA297" i="1" s="1"/>
  <c r="BY299" i="1"/>
  <c r="BY301" i="1"/>
  <c r="CA301" i="1" s="1"/>
  <c r="BY303" i="1"/>
  <c r="BY305" i="1"/>
  <c r="CA305" i="1" s="1"/>
  <c r="BY307" i="1"/>
  <c r="BY309" i="1"/>
  <c r="CA309" i="1" s="1"/>
  <c r="BY311" i="1"/>
  <c r="BY313" i="1"/>
  <c r="CA313" i="1" s="1"/>
  <c r="BY315" i="1"/>
  <c r="BY317" i="1"/>
  <c r="CA317" i="1" s="1"/>
  <c r="BY319" i="1"/>
  <c r="BY321" i="1"/>
  <c r="CA321" i="1" s="1"/>
  <c r="BY323" i="1"/>
  <c r="BY325" i="1"/>
  <c r="CA325" i="1" s="1"/>
  <c r="BY327" i="1"/>
  <c r="BY329" i="1"/>
  <c r="CA329" i="1" s="1"/>
  <c r="BY331" i="1"/>
  <c r="BY333" i="1"/>
  <c r="CA333" i="1" s="1"/>
  <c r="BY335" i="1"/>
  <c r="BY337" i="1"/>
  <c r="CA337" i="1" s="1"/>
  <c r="BY339" i="1"/>
  <c r="BY341" i="1"/>
  <c r="CA341" i="1" s="1"/>
  <c r="BY343" i="1"/>
  <c r="BY345" i="1"/>
  <c r="CA345" i="1" s="1"/>
  <c r="BY347" i="1"/>
  <c r="BY349" i="1"/>
  <c r="CA349" i="1" s="1"/>
  <c r="BY351" i="1"/>
  <c r="BY353" i="1"/>
  <c r="CA353" i="1" s="1"/>
  <c r="BY355" i="1"/>
  <c r="BY357" i="1"/>
  <c r="CA357" i="1" s="1"/>
  <c r="BY359" i="1"/>
  <c r="BY361" i="1"/>
  <c r="CA361" i="1" s="1"/>
  <c r="BY363" i="1"/>
  <c r="BY365" i="1"/>
  <c r="CA365" i="1" s="1"/>
  <c r="BY367" i="1"/>
  <c r="BY369" i="1"/>
  <c r="CA369" i="1" s="1"/>
  <c r="BY371" i="1"/>
  <c r="BY373" i="1"/>
  <c r="CA373" i="1" s="1"/>
  <c r="BY375" i="1"/>
  <c r="BY272" i="1"/>
  <c r="CA272" i="1" s="1"/>
  <c r="BY274" i="1"/>
  <c r="BY276" i="1"/>
  <c r="CA276" i="1" s="1"/>
  <c r="BY278" i="1"/>
  <c r="BY280" i="1"/>
  <c r="CA280" i="1" s="1"/>
  <c r="BY282" i="1"/>
  <c r="BY284" i="1"/>
  <c r="CA284" i="1" s="1"/>
  <c r="BY286" i="1"/>
  <c r="BY288" i="1"/>
  <c r="CA288" i="1" s="1"/>
  <c r="BY290" i="1"/>
  <c r="BY292" i="1"/>
  <c r="CA292" i="1" s="1"/>
  <c r="BY294" i="1"/>
  <c r="BY296" i="1"/>
  <c r="CA296" i="1" s="1"/>
  <c r="BY298" i="1"/>
  <c r="BY300" i="1"/>
  <c r="CA300" i="1" s="1"/>
  <c r="BY302" i="1"/>
  <c r="BY304" i="1"/>
  <c r="CA304" i="1" s="1"/>
  <c r="BY306" i="1"/>
  <c r="BY308" i="1"/>
  <c r="CA308" i="1" s="1"/>
  <c r="BY310" i="1"/>
  <c r="BY312" i="1"/>
  <c r="CA312" i="1" s="1"/>
  <c r="BY314" i="1"/>
  <c r="BY316" i="1"/>
  <c r="CA316" i="1" s="1"/>
  <c r="BY318" i="1"/>
  <c r="BY320" i="1"/>
  <c r="CA320" i="1" s="1"/>
  <c r="BY322" i="1"/>
  <c r="BY324" i="1"/>
  <c r="CA324" i="1" s="1"/>
  <c r="BY330" i="1"/>
  <c r="BY334" i="1"/>
  <c r="CA334" i="1" s="1"/>
  <c r="BY338" i="1"/>
  <c r="BY340" i="1"/>
  <c r="CA340" i="1" s="1"/>
  <c r="BY344" i="1"/>
  <c r="BY346" i="1"/>
  <c r="CA346" i="1" s="1"/>
  <c r="BY348" i="1"/>
  <c r="BY352" i="1"/>
  <c r="CA352" i="1" s="1"/>
  <c r="BY356" i="1"/>
  <c r="BY360" i="1"/>
  <c r="CA360" i="1" s="1"/>
  <c r="BY366" i="1"/>
  <c r="BY372" i="1"/>
  <c r="CA372" i="1" s="1"/>
  <c r="BY326" i="1"/>
  <c r="BY328" i="1"/>
  <c r="CA328" i="1" s="1"/>
  <c r="BY332" i="1"/>
  <c r="BY336" i="1"/>
  <c r="CA336" i="1" s="1"/>
  <c r="BY342" i="1"/>
  <c r="BY350" i="1"/>
  <c r="CA350" i="1" s="1"/>
  <c r="BY354" i="1"/>
  <c r="BY358" i="1"/>
  <c r="CA358" i="1" s="1"/>
  <c r="BY362" i="1"/>
  <c r="BY364" i="1"/>
  <c r="CA364" i="1" s="1"/>
  <c r="BY368" i="1"/>
  <c r="BY370" i="1"/>
  <c r="CA370" i="1" s="1"/>
  <c r="BY374" i="1"/>
  <c r="BY15" i="1"/>
  <c r="CA15" i="1" s="1"/>
  <c r="DY17" i="1"/>
  <c r="DW18" i="1"/>
  <c r="DW16" i="1"/>
  <c r="DY18" i="1"/>
  <c r="DX16" i="1"/>
  <c r="DY16" i="1"/>
  <c r="DW17" i="1"/>
  <c r="DX17" i="1"/>
  <c r="EJ10" i="1"/>
  <c r="EI10" i="1"/>
  <c r="ED12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H67" i="1"/>
  <c r="Q67" i="1" s="1"/>
  <c r="CA60" i="1" l="1"/>
  <c r="CB60" i="1" s="1"/>
  <c r="CC60" i="1" s="1"/>
  <c r="CA56" i="1"/>
  <c r="CA52" i="1"/>
  <c r="CA48" i="1"/>
  <c r="CA44" i="1"/>
  <c r="CB44" i="1" s="1"/>
  <c r="CC44" i="1" s="1"/>
  <c r="CA40" i="1"/>
  <c r="CB40" i="1" s="1"/>
  <c r="CC40" i="1" s="1"/>
  <c r="CA36" i="1"/>
  <c r="CA32" i="1"/>
  <c r="CB32" i="1" s="1"/>
  <c r="CC32" i="1" s="1"/>
  <c r="CA28" i="1"/>
  <c r="CB28" i="1" s="1"/>
  <c r="CC28" i="1" s="1"/>
  <c r="CA24" i="1"/>
  <c r="CA20" i="1"/>
  <c r="CA16" i="1"/>
  <c r="CB16" i="1" s="1"/>
  <c r="CC16" i="1" s="1"/>
  <c r="CA374" i="1"/>
  <c r="CB374" i="1" s="1"/>
  <c r="CC374" i="1" s="1"/>
  <c r="CA368" i="1"/>
  <c r="CB368" i="1" s="1"/>
  <c r="CC368" i="1" s="1"/>
  <c r="CA362" i="1"/>
  <c r="CB362" i="1" s="1"/>
  <c r="CC362" i="1" s="1"/>
  <c r="CA354" i="1"/>
  <c r="CB354" i="1" s="1"/>
  <c r="CC354" i="1" s="1"/>
  <c r="CA342" i="1"/>
  <c r="CB342" i="1" s="1"/>
  <c r="CC342" i="1" s="1"/>
  <c r="CA332" i="1"/>
  <c r="CB332" i="1" s="1"/>
  <c r="CC332" i="1" s="1"/>
  <c r="CA326" i="1"/>
  <c r="CB326" i="1" s="1"/>
  <c r="CC326" i="1" s="1"/>
  <c r="CA366" i="1"/>
  <c r="CB366" i="1" s="1"/>
  <c r="CC366" i="1" s="1"/>
  <c r="CA356" i="1"/>
  <c r="CB356" i="1" s="1"/>
  <c r="CC356" i="1" s="1"/>
  <c r="CA348" i="1"/>
  <c r="CB348" i="1" s="1"/>
  <c r="CC348" i="1" s="1"/>
  <c r="CA344" i="1"/>
  <c r="CB344" i="1" s="1"/>
  <c r="CC344" i="1" s="1"/>
  <c r="CA338" i="1"/>
  <c r="CB338" i="1" s="1"/>
  <c r="CC338" i="1" s="1"/>
  <c r="CA330" i="1"/>
  <c r="CB330" i="1" s="1"/>
  <c r="CC330" i="1" s="1"/>
  <c r="CA322" i="1"/>
  <c r="CB322" i="1" s="1"/>
  <c r="CC322" i="1" s="1"/>
  <c r="CA318" i="1"/>
  <c r="CB318" i="1" s="1"/>
  <c r="CC318" i="1" s="1"/>
  <c r="CA314" i="1"/>
  <c r="CB314" i="1" s="1"/>
  <c r="CC314" i="1" s="1"/>
  <c r="CA310" i="1"/>
  <c r="CB310" i="1" s="1"/>
  <c r="CC310" i="1" s="1"/>
  <c r="CA306" i="1"/>
  <c r="CB306" i="1" s="1"/>
  <c r="CC306" i="1" s="1"/>
  <c r="CA302" i="1"/>
  <c r="CB302" i="1" s="1"/>
  <c r="CC302" i="1" s="1"/>
  <c r="CA298" i="1"/>
  <c r="CB298" i="1" s="1"/>
  <c r="CC298" i="1" s="1"/>
  <c r="CA294" i="1"/>
  <c r="CB294" i="1" s="1"/>
  <c r="CC294" i="1" s="1"/>
  <c r="CA290" i="1"/>
  <c r="CB290" i="1" s="1"/>
  <c r="CC290" i="1" s="1"/>
  <c r="CA286" i="1"/>
  <c r="CB286" i="1" s="1"/>
  <c r="CC286" i="1" s="1"/>
  <c r="CA282" i="1"/>
  <c r="CB282" i="1" s="1"/>
  <c r="CC282" i="1" s="1"/>
  <c r="CA278" i="1"/>
  <c r="CB278" i="1" s="1"/>
  <c r="CC278" i="1" s="1"/>
  <c r="CA274" i="1"/>
  <c r="CB274" i="1" s="1"/>
  <c r="CC274" i="1" s="1"/>
  <c r="CA375" i="1"/>
  <c r="CB375" i="1" s="1"/>
  <c r="CC375" i="1" s="1"/>
  <c r="CA371" i="1"/>
  <c r="CB371" i="1" s="1"/>
  <c r="CC371" i="1" s="1"/>
  <c r="CA367" i="1"/>
  <c r="CB367" i="1" s="1"/>
  <c r="CC367" i="1" s="1"/>
  <c r="CA363" i="1"/>
  <c r="CB363" i="1" s="1"/>
  <c r="CC363" i="1" s="1"/>
  <c r="CA359" i="1"/>
  <c r="CB359" i="1" s="1"/>
  <c r="CC359" i="1" s="1"/>
  <c r="CA355" i="1"/>
  <c r="CB355" i="1" s="1"/>
  <c r="CC355" i="1" s="1"/>
  <c r="CA351" i="1"/>
  <c r="CB351" i="1" s="1"/>
  <c r="CC351" i="1" s="1"/>
  <c r="CA347" i="1"/>
  <c r="CB347" i="1" s="1"/>
  <c r="CC347" i="1" s="1"/>
  <c r="CA343" i="1"/>
  <c r="CB343" i="1" s="1"/>
  <c r="CC343" i="1" s="1"/>
  <c r="CA339" i="1"/>
  <c r="CB339" i="1" s="1"/>
  <c r="CC339" i="1" s="1"/>
  <c r="CA335" i="1"/>
  <c r="CB335" i="1" s="1"/>
  <c r="CC335" i="1" s="1"/>
  <c r="CA331" i="1"/>
  <c r="CB331" i="1" s="1"/>
  <c r="CC331" i="1" s="1"/>
  <c r="CA327" i="1"/>
  <c r="CB327" i="1" s="1"/>
  <c r="CC327" i="1" s="1"/>
  <c r="CA323" i="1"/>
  <c r="CB323" i="1" s="1"/>
  <c r="CC323" i="1" s="1"/>
  <c r="CA319" i="1"/>
  <c r="CB319" i="1" s="1"/>
  <c r="CC319" i="1" s="1"/>
  <c r="CA315" i="1"/>
  <c r="CB315" i="1" s="1"/>
  <c r="CC315" i="1" s="1"/>
  <c r="CA311" i="1"/>
  <c r="CB311" i="1" s="1"/>
  <c r="CC311" i="1" s="1"/>
  <c r="CA307" i="1"/>
  <c r="CB307" i="1" s="1"/>
  <c r="CC307" i="1" s="1"/>
  <c r="CA303" i="1"/>
  <c r="CB303" i="1" s="1"/>
  <c r="CC303" i="1" s="1"/>
  <c r="CA299" i="1"/>
  <c r="CB299" i="1" s="1"/>
  <c r="CC299" i="1" s="1"/>
  <c r="CA295" i="1"/>
  <c r="CB295" i="1" s="1"/>
  <c r="CC295" i="1" s="1"/>
  <c r="CA291" i="1"/>
  <c r="CB291" i="1" s="1"/>
  <c r="CC291" i="1" s="1"/>
  <c r="CA287" i="1"/>
  <c r="CB287" i="1" s="1"/>
  <c r="CC287" i="1" s="1"/>
  <c r="CA283" i="1"/>
  <c r="CB283" i="1" s="1"/>
  <c r="CC283" i="1" s="1"/>
  <c r="CA279" i="1"/>
  <c r="CB279" i="1" s="1"/>
  <c r="CC279" i="1" s="1"/>
  <c r="CA275" i="1"/>
  <c r="CB275" i="1" s="1"/>
  <c r="CC275" i="1" s="1"/>
  <c r="CA271" i="1"/>
  <c r="CB271" i="1" s="1"/>
  <c r="CC271" i="1" s="1"/>
  <c r="CA267" i="1"/>
  <c r="CB267" i="1" s="1"/>
  <c r="CC267" i="1" s="1"/>
  <c r="CA263" i="1"/>
  <c r="CB263" i="1" s="1"/>
  <c r="CC263" i="1" s="1"/>
  <c r="CA259" i="1"/>
  <c r="CB259" i="1" s="1"/>
  <c r="CC259" i="1" s="1"/>
  <c r="CA255" i="1"/>
  <c r="CB255" i="1" s="1"/>
  <c r="CC255" i="1" s="1"/>
  <c r="CA251" i="1"/>
  <c r="CB251" i="1" s="1"/>
  <c r="CC251" i="1" s="1"/>
  <c r="CA247" i="1"/>
  <c r="CB247" i="1" s="1"/>
  <c r="CC247" i="1" s="1"/>
  <c r="CA243" i="1"/>
  <c r="CB243" i="1" s="1"/>
  <c r="CC243" i="1" s="1"/>
  <c r="CA239" i="1"/>
  <c r="CB239" i="1" s="1"/>
  <c r="CC239" i="1" s="1"/>
  <c r="CA235" i="1"/>
  <c r="CB235" i="1" s="1"/>
  <c r="CC235" i="1" s="1"/>
  <c r="CA231" i="1"/>
  <c r="CB231" i="1" s="1"/>
  <c r="CC231" i="1" s="1"/>
  <c r="CA227" i="1"/>
  <c r="CB227" i="1" s="1"/>
  <c r="CC227" i="1" s="1"/>
  <c r="CA223" i="1"/>
  <c r="CB223" i="1" s="1"/>
  <c r="CC223" i="1" s="1"/>
  <c r="CA219" i="1"/>
  <c r="CB219" i="1" s="1"/>
  <c r="CC219" i="1" s="1"/>
  <c r="CA215" i="1"/>
  <c r="CB215" i="1" s="1"/>
  <c r="CC215" i="1" s="1"/>
  <c r="CA211" i="1"/>
  <c r="CB211" i="1" s="1"/>
  <c r="CC211" i="1" s="1"/>
  <c r="CA207" i="1"/>
  <c r="CB207" i="1" s="1"/>
  <c r="CC207" i="1" s="1"/>
  <c r="CA203" i="1"/>
  <c r="CB203" i="1" s="1"/>
  <c r="CC203" i="1" s="1"/>
  <c r="CA199" i="1"/>
  <c r="CB199" i="1" s="1"/>
  <c r="CC199" i="1" s="1"/>
  <c r="CA195" i="1"/>
  <c r="CB195" i="1" s="1"/>
  <c r="CC195" i="1" s="1"/>
  <c r="CA191" i="1"/>
  <c r="CB191" i="1" s="1"/>
  <c r="CC191" i="1" s="1"/>
  <c r="CA187" i="1"/>
  <c r="CB187" i="1" s="1"/>
  <c r="CC187" i="1" s="1"/>
  <c r="CA183" i="1"/>
  <c r="CB183" i="1" s="1"/>
  <c r="CC183" i="1" s="1"/>
  <c r="CA179" i="1"/>
  <c r="CB179" i="1" s="1"/>
  <c r="CC179" i="1" s="1"/>
  <c r="CA175" i="1"/>
  <c r="CB175" i="1" s="1"/>
  <c r="CC175" i="1" s="1"/>
  <c r="CA171" i="1"/>
  <c r="CB171" i="1" s="1"/>
  <c r="CC171" i="1" s="1"/>
  <c r="CA167" i="1"/>
  <c r="CB167" i="1" s="1"/>
  <c r="CC167" i="1" s="1"/>
  <c r="CA163" i="1"/>
  <c r="CB163" i="1" s="1"/>
  <c r="CC163" i="1" s="1"/>
  <c r="CA159" i="1"/>
  <c r="CB159" i="1" s="1"/>
  <c r="CC159" i="1" s="1"/>
  <c r="CA155" i="1"/>
  <c r="CB155" i="1" s="1"/>
  <c r="CC155" i="1" s="1"/>
  <c r="CA151" i="1"/>
  <c r="CB151" i="1" s="1"/>
  <c r="CC151" i="1" s="1"/>
  <c r="CA147" i="1"/>
  <c r="CB147" i="1" s="1"/>
  <c r="CC147" i="1" s="1"/>
  <c r="CA143" i="1"/>
  <c r="CB143" i="1" s="1"/>
  <c r="CC143" i="1" s="1"/>
  <c r="CA139" i="1"/>
  <c r="CB139" i="1" s="1"/>
  <c r="CC139" i="1" s="1"/>
  <c r="CA135" i="1"/>
  <c r="CB135" i="1" s="1"/>
  <c r="CC135" i="1" s="1"/>
  <c r="CA131" i="1"/>
  <c r="CB131" i="1" s="1"/>
  <c r="CC131" i="1" s="1"/>
  <c r="CA127" i="1"/>
  <c r="CB127" i="1" s="1"/>
  <c r="CC127" i="1" s="1"/>
  <c r="CA123" i="1"/>
  <c r="CB123" i="1" s="1"/>
  <c r="CC123" i="1" s="1"/>
  <c r="CA119" i="1"/>
  <c r="CB119" i="1" s="1"/>
  <c r="CC119" i="1" s="1"/>
  <c r="CA115" i="1"/>
  <c r="CB115" i="1" s="1"/>
  <c r="CC115" i="1" s="1"/>
  <c r="CA111" i="1"/>
  <c r="CB111" i="1" s="1"/>
  <c r="CC111" i="1" s="1"/>
  <c r="CA270" i="1"/>
  <c r="CB270" i="1" s="1"/>
  <c r="CC270" i="1" s="1"/>
  <c r="CA266" i="1"/>
  <c r="CB266" i="1" s="1"/>
  <c r="CC266" i="1" s="1"/>
  <c r="CA262" i="1"/>
  <c r="CB262" i="1" s="1"/>
  <c r="CC262" i="1" s="1"/>
  <c r="CA258" i="1"/>
  <c r="CB258" i="1" s="1"/>
  <c r="CC258" i="1" s="1"/>
  <c r="CA254" i="1"/>
  <c r="CB254" i="1" s="1"/>
  <c r="CC254" i="1" s="1"/>
  <c r="CA250" i="1"/>
  <c r="CB250" i="1" s="1"/>
  <c r="CC250" i="1" s="1"/>
  <c r="CA246" i="1"/>
  <c r="CB246" i="1" s="1"/>
  <c r="CC246" i="1" s="1"/>
  <c r="CA242" i="1"/>
  <c r="CB242" i="1" s="1"/>
  <c r="CC242" i="1" s="1"/>
  <c r="CA238" i="1"/>
  <c r="CB238" i="1" s="1"/>
  <c r="CC238" i="1" s="1"/>
  <c r="CA234" i="1"/>
  <c r="CB234" i="1" s="1"/>
  <c r="CC234" i="1" s="1"/>
  <c r="CA230" i="1"/>
  <c r="CB230" i="1" s="1"/>
  <c r="CC230" i="1" s="1"/>
  <c r="CA226" i="1"/>
  <c r="CB226" i="1" s="1"/>
  <c r="CC226" i="1" s="1"/>
  <c r="CA222" i="1"/>
  <c r="CB222" i="1" s="1"/>
  <c r="CC222" i="1" s="1"/>
  <c r="CA218" i="1"/>
  <c r="CB218" i="1" s="1"/>
  <c r="CC218" i="1" s="1"/>
  <c r="CA214" i="1"/>
  <c r="CB214" i="1" s="1"/>
  <c r="CC214" i="1" s="1"/>
  <c r="CA210" i="1"/>
  <c r="CB210" i="1" s="1"/>
  <c r="CC210" i="1" s="1"/>
  <c r="CA206" i="1"/>
  <c r="CB206" i="1" s="1"/>
  <c r="CC206" i="1" s="1"/>
  <c r="CA202" i="1"/>
  <c r="CB202" i="1" s="1"/>
  <c r="CC202" i="1" s="1"/>
  <c r="CA198" i="1"/>
  <c r="CB198" i="1" s="1"/>
  <c r="CC198" i="1" s="1"/>
  <c r="CA194" i="1"/>
  <c r="CB194" i="1" s="1"/>
  <c r="CC194" i="1" s="1"/>
  <c r="CA190" i="1"/>
  <c r="CB190" i="1" s="1"/>
  <c r="CC190" i="1" s="1"/>
  <c r="CA186" i="1"/>
  <c r="CB186" i="1" s="1"/>
  <c r="CC186" i="1" s="1"/>
  <c r="CA182" i="1"/>
  <c r="CB182" i="1" s="1"/>
  <c r="CC182" i="1" s="1"/>
  <c r="CA178" i="1"/>
  <c r="CB178" i="1" s="1"/>
  <c r="CC178" i="1" s="1"/>
  <c r="CA174" i="1"/>
  <c r="CB174" i="1" s="1"/>
  <c r="CC174" i="1" s="1"/>
  <c r="CA170" i="1"/>
  <c r="CB170" i="1" s="1"/>
  <c r="CC170" i="1" s="1"/>
  <c r="CA166" i="1"/>
  <c r="CB166" i="1" s="1"/>
  <c r="CC166" i="1" s="1"/>
  <c r="CA162" i="1"/>
  <c r="CB162" i="1" s="1"/>
  <c r="CC162" i="1" s="1"/>
  <c r="CA158" i="1"/>
  <c r="CB158" i="1" s="1"/>
  <c r="CC158" i="1" s="1"/>
  <c r="CA154" i="1"/>
  <c r="CB154" i="1" s="1"/>
  <c r="CC154" i="1" s="1"/>
  <c r="CA150" i="1"/>
  <c r="CB150" i="1" s="1"/>
  <c r="CC150" i="1" s="1"/>
  <c r="CA146" i="1"/>
  <c r="CB146" i="1" s="1"/>
  <c r="CC146" i="1" s="1"/>
  <c r="CA142" i="1"/>
  <c r="CB142" i="1" s="1"/>
  <c r="CC142" i="1" s="1"/>
  <c r="CA138" i="1"/>
  <c r="CB138" i="1" s="1"/>
  <c r="CC138" i="1" s="1"/>
  <c r="CA134" i="1"/>
  <c r="CB134" i="1" s="1"/>
  <c r="CC134" i="1" s="1"/>
  <c r="CA130" i="1"/>
  <c r="CB130" i="1" s="1"/>
  <c r="CC130" i="1" s="1"/>
  <c r="CA126" i="1"/>
  <c r="CB126" i="1" s="1"/>
  <c r="CC126" i="1" s="1"/>
  <c r="CA122" i="1"/>
  <c r="CB122" i="1" s="1"/>
  <c r="CC122" i="1" s="1"/>
  <c r="CA118" i="1"/>
  <c r="CB118" i="1" s="1"/>
  <c r="CC118" i="1" s="1"/>
  <c r="CA114" i="1"/>
  <c r="CB114" i="1" s="1"/>
  <c r="CC114" i="1" s="1"/>
  <c r="CA110" i="1"/>
  <c r="CB110" i="1" s="1"/>
  <c r="CC110" i="1" s="1"/>
  <c r="CA106" i="1"/>
  <c r="CB106" i="1" s="1"/>
  <c r="CC106" i="1" s="1"/>
  <c r="CA102" i="1"/>
  <c r="CB102" i="1" s="1"/>
  <c r="CC102" i="1" s="1"/>
  <c r="CA97" i="1"/>
  <c r="CB97" i="1" s="1"/>
  <c r="CC97" i="1" s="1"/>
  <c r="CA93" i="1"/>
  <c r="CB93" i="1" s="1"/>
  <c r="CC93" i="1" s="1"/>
  <c r="CA89" i="1"/>
  <c r="CB89" i="1" s="1"/>
  <c r="CC89" i="1" s="1"/>
  <c r="CA85" i="1"/>
  <c r="CB85" i="1" s="1"/>
  <c r="CC85" i="1" s="1"/>
  <c r="CA81" i="1"/>
  <c r="CB81" i="1" s="1"/>
  <c r="CC81" i="1" s="1"/>
  <c r="CA77" i="1"/>
  <c r="CB77" i="1" s="1"/>
  <c r="CC77" i="1" s="1"/>
  <c r="CA73" i="1"/>
  <c r="CB73" i="1" s="1"/>
  <c r="CC73" i="1" s="1"/>
  <c r="CA69" i="1"/>
  <c r="CB69" i="1" s="1"/>
  <c r="CC69" i="1" s="1"/>
  <c r="CA65" i="1"/>
  <c r="CB65" i="1" s="1"/>
  <c r="CC65" i="1" s="1"/>
  <c r="CA61" i="1"/>
  <c r="CB61" i="1" s="1"/>
  <c r="CC61" i="1" s="1"/>
  <c r="CA57" i="1"/>
  <c r="CB57" i="1" s="1"/>
  <c r="CC57" i="1" s="1"/>
  <c r="CA53" i="1"/>
  <c r="CB53" i="1" s="1"/>
  <c r="CC53" i="1" s="1"/>
  <c r="CA49" i="1"/>
  <c r="CB49" i="1" s="1"/>
  <c r="CC49" i="1" s="1"/>
  <c r="CA45" i="1"/>
  <c r="CB45" i="1" s="1"/>
  <c r="CC45" i="1" s="1"/>
  <c r="CA41" i="1"/>
  <c r="CB41" i="1" s="1"/>
  <c r="CC41" i="1" s="1"/>
  <c r="CA37" i="1"/>
  <c r="CB37" i="1" s="1"/>
  <c r="CC37" i="1" s="1"/>
  <c r="CA33" i="1"/>
  <c r="CB33" i="1" s="1"/>
  <c r="CC33" i="1" s="1"/>
  <c r="CA29" i="1"/>
  <c r="CB29" i="1" s="1"/>
  <c r="CC29" i="1" s="1"/>
  <c r="CA25" i="1"/>
  <c r="CB25" i="1" s="1"/>
  <c r="CC25" i="1" s="1"/>
  <c r="CA21" i="1"/>
  <c r="CB21" i="1" s="1"/>
  <c r="CC21" i="1" s="1"/>
  <c r="CA17" i="1"/>
  <c r="CB17" i="1" s="1"/>
  <c r="CC17" i="1" s="1"/>
  <c r="CA105" i="1"/>
  <c r="CB105" i="1" s="1"/>
  <c r="CC105" i="1" s="1"/>
  <c r="CA101" i="1"/>
  <c r="CB101" i="1" s="1"/>
  <c r="CC101" i="1" s="1"/>
  <c r="CA98" i="1"/>
  <c r="CB98" i="1" s="1"/>
  <c r="CC98" i="1" s="1"/>
  <c r="CA94" i="1"/>
  <c r="CB94" i="1" s="1"/>
  <c r="CC94" i="1" s="1"/>
  <c r="CA90" i="1"/>
  <c r="CB90" i="1" s="1"/>
  <c r="CC90" i="1" s="1"/>
  <c r="CA86" i="1"/>
  <c r="CB86" i="1" s="1"/>
  <c r="CC86" i="1" s="1"/>
  <c r="CA82" i="1"/>
  <c r="CB82" i="1" s="1"/>
  <c r="CC82" i="1" s="1"/>
  <c r="CA78" i="1"/>
  <c r="CB78" i="1" s="1"/>
  <c r="CC78" i="1" s="1"/>
  <c r="CA74" i="1"/>
  <c r="CB74" i="1" s="1"/>
  <c r="CC74" i="1" s="1"/>
  <c r="CA70" i="1"/>
  <c r="CB70" i="1" s="1"/>
  <c r="CC70" i="1" s="1"/>
  <c r="CA66" i="1"/>
  <c r="CB66" i="1" s="1"/>
  <c r="CC66" i="1" s="1"/>
  <c r="CA62" i="1"/>
  <c r="CB62" i="1" s="1"/>
  <c r="CC62" i="1" s="1"/>
  <c r="CA58" i="1"/>
  <c r="CB58" i="1" s="1"/>
  <c r="CC58" i="1" s="1"/>
  <c r="CA54" i="1"/>
  <c r="CB54" i="1" s="1"/>
  <c r="CC54" i="1" s="1"/>
  <c r="CA50" i="1"/>
  <c r="CB50" i="1" s="1"/>
  <c r="CC50" i="1" s="1"/>
  <c r="CA46" i="1"/>
  <c r="CB46" i="1" s="1"/>
  <c r="CC46" i="1" s="1"/>
  <c r="CA42" i="1"/>
  <c r="CB42" i="1" s="1"/>
  <c r="CC42" i="1" s="1"/>
  <c r="CA38" i="1"/>
  <c r="CB38" i="1" s="1"/>
  <c r="CC38" i="1" s="1"/>
  <c r="CA34" i="1"/>
  <c r="CB34" i="1" s="1"/>
  <c r="CC34" i="1" s="1"/>
  <c r="CA30" i="1"/>
  <c r="CB30" i="1" s="1"/>
  <c r="CC30" i="1" s="1"/>
  <c r="CA26" i="1"/>
  <c r="CB26" i="1" s="1"/>
  <c r="CC26" i="1" s="1"/>
  <c r="CA22" i="1"/>
  <c r="CB22" i="1" s="1"/>
  <c r="CC22" i="1" s="1"/>
  <c r="CA18" i="1"/>
  <c r="CB18" i="1" s="1"/>
  <c r="CC18" i="1" s="1"/>
  <c r="CB20" i="1"/>
  <c r="CC20" i="1" s="1"/>
  <c r="CB24" i="1"/>
  <c r="CC24" i="1" s="1"/>
  <c r="CB36" i="1"/>
  <c r="CC36" i="1" s="1"/>
  <c r="CB48" i="1"/>
  <c r="CC48" i="1" s="1"/>
  <c r="CB52" i="1"/>
  <c r="CC52" i="1" s="1"/>
  <c r="CB56" i="1"/>
  <c r="CC56" i="1" s="1"/>
  <c r="CB64" i="1"/>
  <c r="CC64" i="1" s="1"/>
  <c r="CB68" i="1"/>
  <c r="CC68" i="1" s="1"/>
  <c r="CB72" i="1"/>
  <c r="CC72" i="1" s="1"/>
  <c r="CB80" i="1"/>
  <c r="CC80" i="1" s="1"/>
  <c r="CB84" i="1"/>
  <c r="CC84" i="1" s="1"/>
  <c r="CB88" i="1"/>
  <c r="CC88" i="1" s="1"/>
  <c r="CB96" i="1"/>
  <c r="CC96" i="1" s="1"/>
  <c r="CB100" i="1"/>
  <c r="CC100" i="1" s="1"/>
  <c r="CB104" i="1"/>
  <c r="CC104" i="1" s="1"/>
  <c r="CB112" i="1"/>
  <c r="CC112" i="1" s="1"/>
  <c r="CB116" i="1"/>
  <c r="CC116" i="1" s="1"/>
  <c r="CB120" i="1"/>
  <c r="CC120" i="1" s="1"/>
  <c r="CB128" i="1"/>
  <c r="CC128" i="1" s="1"/>
  <c r="CB132" i="1"/>
  <c r="CC132" i="1" s="1"/>
  <c r="CB136" i="1"/>
  <c r="CC136" i="1" s="1"/>
  <c r="CB144" i="1"/>
  <c r="CC144" i="1" s="1"/>
  <c r="CB148" i="1"/>
  <c r="CC148" i="1" s="1"/>
  <c r="CB152" i="1"/>
  <c r="CC152" i="1" s="1"/>
  <c r="CB160" i="1"/>
  <c r="CC160" i="1" s="1"/>
  <c r="CB164" i="1"/>
  <c r="CC164" i="1" s="1"/>
  <c r="CB168" i="1"/>
  <c r="CC168" i="1" s="1"/>
  <c r="CB176" i="1"/>
  <c r="CC176" i="1" s="1"/>
  <c r="CB180" i="1"/>
  <c r="CC180" i="1" s="1"/>
  <c r="CB184" i="1"/>
  <c r="CC184" i="1" s="1"/>
  <c r="CB23" i="1"/>
  <c r="CC23" i="1" s="1"/>
  <c r="CB27" i="1"/>
  <c r="CC27" i="1" s="1"/>
  <c r="CB31" i="1"/>
  <c r="CC31" i="1" s="1"/>
  <c r="CB39" i="1"/>
  <c r="CC39" i="1" s="1"/>
  <c r="CB43" i="1"/>
  <c r="CC43" i="1" s="1"/>
  <c r="CB47" i="1"/>
  <c r="CC47" i="1" s="1"/>
  <c r="CB55" i="1"/>
  <c r="CC55" i="1" s="1"/>
  <c r="CB59" i="1"/>
  <c r="CC59" i="1" s="1"/>
  <c r="CB63" i="1"/>
  <c r="CC63" i="1" s="1"/>
  <c r="CB71" i="1"/>
  <c r="CC71" i="1" s="1"/>
  <c r="CB75" i="1"/>
  <c r="CC75" i="1" s="1"/>
  <c r="CB79" i="1"/>
  <c r="CC79" i="1" s="1"/>
  <c r="CB87" i="1"/>
  <c r="CC87" i="1" s="1"/>
  <c r="CB91" i="1"/>
  <c r="CC91" i="1" s="1"/>
  <c r="CB95" i="1"/>
  <c r="CC95" i="1" s="1"/>
  <c r="CB103" i="1"/>
  <c r="CC103" i="1" s="1"/>
  <c r="CB107" i="1"/>
  <c r="CC107" i="1" s="1"/>
  <c r="CB109" i="1"/>
  <c r="CC109" i="1" s="1"/>
  <c r="CB113" i="1"/>
  <c r="CC113" i="1" s="1"/>
  <c r="CB117" i="1"/>
  <c r="CC117" i="1" s="1"/>
  <c r="CB121" i="1"/>
  <c r="CC121" i="1" s="1"/>
  <c r="CB125" i="1"/>
  <c r="CC125" i="1" s="1"/>
  <c r="CB129" i="1"/>
  <c r="CC129" i="1" s="1"/>
  <c r="CB133" i="1"/>
  <c r="CC133" i="1" s="1"/>
  <c r="CB137" i="1"/>
  <c r="CC137" i="1" s="1"/>
  <c r="CB141" i="1"/>
  <c r="CC141" i="1" s="1"/>
  <c r="CB145" i="1"/>
  <c r="CC145" i="1" s="1"/>
  <c r="CB149" i="1"/>
  <c r="CC149" i="1" s="1"/>
  <c r="CB153" i="1"/>
  <c r="CC153" i="1" s="1"/>
  <c r="CB157" i="1"/>
  <c r="CC157" i="1" s="1"/>
  <c r="CB161" i="1"/>
  <c r="CC161" i="1" s="1"/>
  <c r="CB165" i="1"/>
  <c r="CC165" i="1" s="1"/>
  <c r="CB169" i="1"/>
  <c r="CC169" i="1" s="1"/>
  <c r="CB173" i="1"/>
  <c r="CC173" i="1" s="1"/>
  <c r="CB177" i="1"/>
  <c r="CC177" i="1" s="1"/>
  <c r="CB181" i="1"/>
  <c r="CC181" i="1" s="1"/>
  <c r="CB185" i="1"/>
  <c r="CC185" i="1" s="1"/>
  <c r="CB188" i="1"/>
  <c r="CC188" i="1" s="1"/>
  <c r="CB192" i="1"/>
  <c r="CC192" i="1" s="1"/>
  <c r="CB196" i="1"/>
  <c r="CC196" i="1" s="1"/>
  <c r="CB200" i="1"/>
  <c r="CC200" i="1" s="1"/>
  <c r="CB204" i="1"/>
  <c r="CC204" i="1" s="1"/>
  <c r="CB208" i="1"/>
  <c r="CC208" i="1" s="1"/>
  <c r="CB212" i="1"/>
  <c r="CC212" i="1" s="1"/>
  <c r="CB216" i="1"/>
  <c r="CC216" i="1" s="1"/>
  <c r="CB220" i="1"/>
  <c r="CC220" i="1" s="1"/>
  <c r="CB224" i="1"/>
  <c r="CC224" i="1" s="1"/>
  <c r="CB228" i="1"/>
  <c r="CC228" i="1" s="1"/>
  <c r="CB232" i="1"/>
  <c r="CC232" i="1" s="1"/>
  <c r="CB236" i="1"/>
  <c r="CC236" i="1" s="1"/>
  <c r="CB240" i="1"/>
  <c r="CC240" i="1" s="1"/>
  <c r="CB244" i="1"/>
  <c r="CC244" i="1" s="1"/>
  <c r="CB248" i="1"/>
  <c r="CC248" i="1" s="1"/>
  <c r="CB252" i="1"/>
  <c r="CC252" i="1" s="1"/>
  <c r="CB256" i="1"/>
  <c r="CC256" i="1" s="1"/>
  <c r="CB260" i="1"/>
  <c r="CC260" i="1" s="1"/>
  <c r="CB264" i="1"/>
  <c r="CC264" i="1" s="1"/>
  <c r="CB268" i="1"/>
  <c r="CC268" i="1" s="1"/>
  <c r="CB272" i="1"/>
  <c r="CC272" i="1" s="1"/>
  <c r="CB276" i="1"/>
  <c r="CC276" i="1" s="1"/>
  <c r="CB280" i="1"/>
  <c r="CC280" i="1" s="1"/>
  <c r="CB284" i="1"/>
  <c r="CC284" i="1" s="1"/>
  <c r="CB288" i="1"/>
  <c r="CC288" i="1" s="1"/>
  <c r="CB292" i="1"/>
  <c r="CC292" i="1" s="1"/>
  <c r="CB296" i="1"/>
  <c r="CC296" i="1" s="1"/>
  <c r="CB300" i="1"/>
  <c r="CC300" i="1" s="1"/>
  <c r="CB304" i="1"/>
  <c r="CC304" i="1" s="1"/>
  <c r="CB308" i="1"/>
  <c r="CC308" i="1" s="1"/>
  <c r="CB312" i="1"/>
  <c r="CC312" i="1" s="1"/>
  <c r="CB316" i="1"/>
  <c r="CC316" i="1" s="1"/>
  <c r="CB320" i="1"/>
  <c r="CC320" i="1" s="1"/>
  <c r="CB324" i="1"/>
  <c r="CC324" i="1" s="1"/>
  <c r="CB328" i="1"/>
  <c r="CC328" i="1" s="1"/>
  <c r="CB336" i="1"/>
  <c r="CC336" i="1" s="1"/>
  <c r="CB340" i="1"/>
  <c r="CC340" i="1" s="1"/>
  <c r="CB346" i="1"/>
  <c r="CC346" i="1" s="1"/>
  <c r="CB352" i="1"/>
  <c r="CC352" i="1" s="1"/>
  <c r="CB360" i="1"/>
  <c r="CC360" i="1" s="1"/>
  <c r="CB364" i="1"/>
  <c r="CC364" i="1" s="1"/>
  <c r="CB370" i="1"/>
  <c r="CC370" i="1" s="1"/>
  <c r="CB372" i="1"/>
  <c r="CC372" i="1" s="1"/>
  <c r="CB189" i="1"/>
  <c r="CC189" i="1" s="1"/>
  <c r="CB193" i="1"/>
  <c r="CC193" i="1" s="1"/>
  <c r="CB201" i="1"/>
  <c r="CC201" i="1" s="1"/>
  <c r="CB205" i="1"/>
  <c r="CC205" i="1" s="1"/>
  <c r="CB209" i="1"/>
  <c r="CC209" i="1" s="1"/>
  <c r="CB213" i="1"/>
  <c r="CC213" i="1" s="1"/>
  <c r="CB217" i="1"/>
  <c r="CC217" i="1" s="1"/>
  <c r="CB221" i="1"/>
  <c r="CC221" i="1" s="1"/>
  <c r="CB225" i="1"/>
  <c r="CC225" i="1" s="1"/>
  <c r="CB233" i="1"/>
  <c r="CC233" i="1" s="1"/>
  <c r="CB237" i="1"/>
  <c r="CC237" i="1" s="1"/>
  <c r="CB241" i="1"/>
  <c r="CC241" i="1" s="1"/>
  <c r="CB245" i="1"/>
  <c r="CC245" i="1" s="1"/>
  <c r="CB249" i="1"/>
  <c r="CC249" i="1" s="1"/>
  <c r="CB253" i="1"/>
  <c r="CC253" i="1" s="1"/>
  <c r="CB257" i="1"/>
  <c r="CC257" i="1" s="1"/>
  <c r="CB265" i="1"/>
  <c r="CC265" i="1" s="1"/>
  <c r="CB269" i="1"/>
  <c r="CC269" i="1" s="1"/>
  <c r="CB273" i="1"/>
  <c r="CC273" i="1" s="1"/>
  <c r="CB277" i="1"/>
  <c r="CC277" i="1" s="1"/>
  <c r="CB281" i="1"/>
  <c r="CC281" i="1" s="1"/>
  <c r="CB285" i="1"/>
  <c r="CC285" i="1" s="1"/>
  <c r="CB289" i="1"/>
  <c r="CC289" i="1" s="1"/>
  <c r="CB293" i="1"/>
  <c r="CC293" i="1" s="1"/>
  <c r="CB297" i="1"/>
  <c r="CC297" i="1" s="1"/>
  <c r="CB301" i="1"/>
  <c r="CC301" i="1" s="1"/>
  <c r="CB305" i="1"/>
  <c r="CC305" i="1" s="1"/>
  <c r="CB309" i="1"/>
  <c r="CC309" i="1" s="1"/>
  <c r="CB313" i="1"/>
  <c r="CC313" i="1" s="1"/>
  <c r="CB317" i="1"/>
  <c r="CC317" i="1" s="1"/>
  <c r="CB321" i="1"/>
  <c r="CC321" i="1" s="1"/>
  <c r="CB329" i="1"/>
  <c r="CC329" i="1" s="1"/>
  <c r="CB333" i="1"/>
  <c r="CC333" i="1" s="1"/>
  <c r="CB337" i="1"/>
  <c r="CC337" i="1" s="1"/>
  <c r="CB341" i="1"/>
  <c r="CC341" i="1" s="1"/>
  <c r="CB345" i="1"/>
  <c r="CC345" i="1" s="1"/>
  <c r="CB349" i="1"/>
  <c r="CC349" i="1" s="1"/>
  <c r="CB353" i="1"/>
  <c r="CC353" i="1" s="1"/>
  <c r="CB357" i="1"/>
  <c r="CC357" i="1" s="1"/>
  <c r="CB361" i="1"/>
  <c r="CC361" i="1" s="1"/>
  <c r="CB365" i="1"/>
  <c r="CC365" i="1" s="1"/>
  <c r="CB369" i="1"/>
  <c r="CC369" i="1" s="1"/>
  <c r="CB373" i="1"/>
  <c r="CC373" i="1" s="1"/>
  <c r="CB15" i="1"/>
  <c r="CC15" i="1" s="1"/>
  <c r="CB76" i="1"/>
  <c r="CC76" i="1" s="1"/>
  <c r="CB92" i="1"/>
  <c r="CC92" i="1" s="1"/>
  <c r="CB108" i="1"/>
  <c r="CC108" i="1" s="1"/>
  <c r="CB124" i="1"/>
  <c r="CC124" i="1" s="1"/>
  <c r="CB140" i="1"/>
  <c r="CC140" i="1" s="1"/>
  <c r="CB156" i="1"/>
  <c r="CC156" i="1" s="1"/>
  <c r="CB172" i="1"/>
  <c r="CC172" i="1" s="1"/>
  <c r="CB19" i="1"/>
  <c r="CC19" i="1" s="1"/>
  <c r="CB35" i="1"/>
  <c r="CC35" i="1" s="1"/>
  <c r="CB51" i="1"/>
  <c r="CC51" i="1" s="1"/>
  <c r="CB67" i="1"/>
  <c r="CC67" i="1" s="1"/>
  <c r="CB83" i="1"/>
  <c r="CC83" i="1" s="1"/>
  <c r="CB99" i="1"/>
  <c r="CC99" i="1" s="1"/>
  <c r="CB334" i="1"/>
  <c r="CC334" i="1" s="1"/>
  <c r="CB350" i="1"/>
  <c r="CC350" i="1" s="1"/>
  <c r="CB358" i="1"/>
  <c r="CC358" i="1" s="1"/>
  <c r="CB197" i="1"/>
  <c r="CC197" i="1" s="1"/>
  <c r="CB229" i="1"/>
  <c r="CC229" i="1" s="1"/>
  <c r="CB261" i="1"/>
  <c r="CC261" i="1" s="1"/>
  <c r="CB325" i="1"/>
  <c r="CC325" i="1" s="1"/>
  <c r="BY5" i="1"/>
  <c r="BZ5" i="1" s="1"/>
  <c r="DW20" i="1" a="1"/>
  <c r="DW20" i="1" s="1"/>
  <c r="DW21" i="1" a="1"/>
  <c r="DW21" i="1" s="1"/>
  <c r="EB20" i="1" a="1"/>
  <c r="EB20" i="1" s="1"/>
  <c r="EF12" i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F55" i="1"/>
  <c r="G55" i="1" s="1"/>
  <c r="J38" i="1"/>
  <c r="N38" i="1" s="1"/>
  <c r="F49" i="1"/>
  <c r="G49" i="1" s="1"/>
  <c r="J39" i="1"/>
  <c r="N39" i="1" s="1"/>
  <c r="F52" i="1"/>
  <c r="G52" i="1" s="1"/>
  <c r="G38" i="1"/>
  <c r="G37" i="1"/>
  <c r="CA5" i="1" l="1"/>
  <c r="DZ21" i="1"/>
  <c r="DX21" i="1"/>
  <c r="DY20" i="1"/>
  <c r="DZ20" i="1"/>
  <c r="DX20" i="1"/>
  <c r="DW24" i="1" s="1"/>
  <c r="DY21" i="1"/>
  <c r="ED20" i="1"/>
  <c r="EE20" i="1"/>
  <c r="EC20" i="1"/>
  <c r="J188" i="1"/>
  <c r="K188" i="1" s="1"/>
  <c r="L188" i="1" s="1"/>
  <c r="M188" i="1" s="1"/>
  <c r="N188" i="1" s="1"/>
  <c r="J190" i="1"/>
  <c r="K190" i="1" s="1"/>
  <c r="L190" i="1" s="1"/>
  <c r="M190" i="1" s="1"/>
  <c r="N190" i="1" s="1"/>
  <c r="J189" i="1"/>
  <c r="K189" i="1" s="1"/>
  <c r="L189" i="1" s="1"/>
  <c r="M189" i="1" s="1"/>
  <c r="N189" i="1" s="1"/>
  <c r="J191" i="1"/>
  <c r="K191" i="1" s="1"/>
  <c r="J185" i="1"/>
  <c r="K185" i="1" s="1"/>
  <c r="J192" i="1"/>
  <c r="K192" i="1" s="1"/>
  <c r="J193" i="1"/>
  <c r="K193" i="1" s="1"/>
  <c r="J186" i="1"/>
  <c r="K186" i="1" s="1"/>
  <c r="J194" i="1"/>
  <c r="K194" i="1" s="1"/>
  <c r="J187" i="1"/>
  <c r="K187" i="1" s="1"/>
  <c r="F56" i="1"/>
  <c r="G56" i="1" s="1"/>
  <c r="E171" i="1"/>
  <c r="F53" i="1"/>
  <c r="G53" i="1" s="1"/>
  <c r="C161" i="1"/>
  <c r="J64" i="1"/>
  <c r="K64" i="1" s="1"/>
  <c r="L64" i="1" s="1"/>
  <c r="M64" i="1" s="1"/>
  <c r="O64" i="1" s="1"/>
  <c r="B148" i="1"/>
  <c r="F170" i="1" s="1"/>
  <c r="F50" i="1"/>
  <c r="G50" i="1" s="1"/>
  <c r="B158" i="1"/>
  <c r="B169" i="1" s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J69" i="1"/>
  <c r="J62" i="1"/>
  <c r="K62" i="1" s="1"/>
  <c r="L62" i="1" s="1"/>
  <c r="M62" i="1" s="1"/>
  <c r="N62" i="1" s="1"/>
  <c r="CE8" i="1" l="1"/>
  <c r="CG7" i="1"/>
  <c r="CB5" i="1"/>
  <c r="L194" i="1"/>
  <c r="M194" i="1" s="1"/>
  <c r="N194" i="1" s="1"/>
  <c r="L193" i="1"/>
  <c r="M193" i="1" s="1"/>
  <c r="N193" i="1" s="1"/>
  <c r="DY28" i="1"/>
  <c r="DW26" i="1"/>
  <c r="DX28" i="1"/>
  <c r="DX26" i="1"/>
  <c r="DW28" i="1"/>
  <c r="DW27" i="1"/>
  <c r="DY27" i="1"/>
  <c r="DY26" i="1"/>
  <c r="DX27" i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CG5" i="1" l="1"/>
  <c r="CF8" i="1"/>
  <c r="CG8" i="1" s="1"/>
  <c r="O193" i="1"/>
  <c r="P193" i="1"/>
  <c r="P194" i="1"/>
  <c r="O194" i="1"/>
  <c r="DW40" i="1" a="1"/>
  <c r="DW31" i="1" a="1"/>
  <c r="DX31" i="1" s="1"/>
  <c r="EB30" i="1" a="1"/>
  <c r="EB30" i="1" s="1"/>
  <c r="DW30" i="1" a="1"/>
  <c r="DW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B196" i="1" s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AC17" i="1" l="1"/>
  <c r="AD17" i="1"/>
  <c r="AE17" i="1"/>
  <c r="DX41" i="1"/>
  <c r="DY41" i="1"/>
  <c r="DY43" i="1"/>
  <c r="DZ41" i="1"/>
  <c r="DZ43" i="1"/>
  <c r="DW40" i="1"/>
  <c r="DW42" i="1"/>
  <c r="DX40" i="1"/>
  <c r="DX42" i="1"/>
  <c r="DY40" i="1"/>
  <c r="DY42" i="1"/>
  <c r="DZ40" i="1"/>
  <c r="DZ42" i="1"/>
  <c r="DW41" i="1"/>
  <c r="DW43" i="1"/>
  <c r="DX43" i="1"/>
  <c r="DW31" i="1"/>
  <c r="DY31" i="1"/>
  <c r="EE30" i="1"/>
  <c r="ED30" i="1"/>
  <c r="EC30" i="1"/>
  <c r="DX30" i="1"/>
  <c r="DZ30" i="1"/>
  <c r="DY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B197" i="1" s="1"/>
  <c r="P195" i="1"/>
  <c r="B198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DW44" i="1" l="1" a="1"/>
  <c r="EF30" i="1"/>
  <c r="DZ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F76" i="1"/>
  <c r="E76" i="1"/>
  <c r="P57" i="1"/>
  <c r="N57" i="1"/>
  <c r="B75" i="1" s="1"/>
  <c r="O57" i="1"/>
  <c r="DW44" i="1" l="1"/>
  <c r="DZ44" i="1"/>
  <c r="DX44" i="1"/>
  <c r="DY44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Z159" i="1" l="1"/>
  <c r="N159" i="1" s="1"/>
  <c r="AW159" i="1"/>
  <c r="O159" i="1" s="1"/>
  <c r="AW163" i="1"/>
  <c r="O163" i="1" s="1"/>
  <c r="B178" i="1"/>
  <c r="B200" i="1" s="1"/>
  <c r="U4" i="1" s="1"/>
  <c r="Z18" i="1" s="1"/>
  <c r="AC18" i="1" s="1"/>
  <c r="AW158" i="1"/>
  <c r="O158" i="1" s="1"/>
  <c r="AW164" i="1"/>
  <c r="O164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S58" i="1"/>
  <c r="T58" i="1"/>
  <c r="W4" i="1" l="1"/>
  <c r="EB5" i="1"/>
  <c r="AB7" i="1"/>
  <c r="O165" i="1"/>
  <c r="B180" i="1" s="1"/>
  <c r="B202" i="1" s="1"/>
  <c r="N165" i="1"/>
  <c r="B179" i="1" s="1"/>
  <c r="B201" i="1" s="1"/>
  <c r="B83" i="1"/>
  <c r="EB11" i="1" l="1"/>
  <c r="EB6" i="1"/>
  <c r="B205" i="1"/>
  <c r="U6" i="1" s="1"/>
  <c r="BX7" i="1" s="1"/>
  <c r="CJ9" i="1" s="1"/>
  <c r="B204" i="1"/>
  <c r="U5" i="1" s="1"/>
  <c r="BW7" i="1" s="1"/>
  <c r="CI9" i="1" s="1"/>
  <c r="CK9" i="1" l="1"/>
  <c r="CJ6" i="1"/>
  <c r="CJ7" i="1"/>
  <c r="CJ10" i="1" s="1"/>
  <c r="CI6" i="1"/>
  <c r="CI7" i="1"/>
  <c r="CI10" i="1" s="1"/>
  <c r="BY7" i="1"/>
  <c r="CA7" i="1" s="1"/>
  <c r="AB18" i="1"/>
  <c r="AE18" i="1" s="1"/>
  <c r="AA18" i="1"/>
  <c r="AD18" i="1" s="1"/>
  <c r="EB12" i="1"/>
  <c r="EB22" i="1" s="1" a="1"/>
  <c r="EB22" i="1" s="1"/>
  <c r="EG6" i="1"/>
  <c r="ED5" i="1"/>
  <c r="EC5" i="1"/>
  <c r="U8" i="1"/>
  <c r="AA7" i="1" s="1"/>
  <c r="U7" i="1"/>
  <c r="W7" i="1" s="1"/>
  <c r="AA9" i="1"/>
  <c r="AB9" i="1"/>
  <c r="W6" i="1"/>
  <c r="U18" i="1"/>
  <c r="U19" i="1" s="1"/>
  <c r="U21" i="1" s="1"/>
  <c r="CK10" i="1" l="1"/>
  <c r="CK11" i="1" s="1"/>
  <c r="CJ8" i="1"/>
  <c r="BZ7" i="1"/>
  <c r="CI8" i="1" s="1"/>
  <c r="EG12" i="1"/>
  <c r="EI12" i="1" s="1"/>
  <c r="ED11" i="1"/>
  <c r="EJ6" i="1"/>
  <c r="EI6" i="1"/>
  <c r="EH6" i="1"/>
  <c r="EG5" i="1"/>
  <c r="EH5" i="1" s="1"/>
  <c r="ED22" i="1"/>
  <c r="EC22" i="1"/>
  <c r="EE22" i="1"/>
  <c r="EC11" i="1"/>
  <c r="EF5" i="1"/>
  <c r="X8" i="1"/>
  <c r="X7" i="1"/>
  <c r="V19" i="1"/>
  <c r="V21" i="1" s="1"/>
  <c r="W19" i="1"/>
  <c r="W21" i="1" s="1"/>
  <c r="AC9" i="1"/>
  <c r="CK8" i="1" l="1"/>
  <c r="CL8" i="1" s="1"/>
  <c r="CK7" i="1"/>
  <c r="CB7" i="1"/>
  <c r="CK6" i="1"/>
  <c r="EH12" i="1"/>
  <c r="EJ12" i="1"/>
  <c r="EJ5" i="1"/>
  <c r="EI5" i="1"/>
  <c r="EG11" i="1"/>
  <c r="EF11" i="1"/>
  <c r="EB21" i="1" a="1"/>
  <c r="EB32" i="1" a="1"/>
  <c r="U23" i="1"/>
  <c r="V23" i="1" s="1"/>
  <c r="EH11" i="1" l="1"/>
  <c r="EJ11" i="1"/>
  <c r="EI11" i="1"/>
  <c r="EB21" i="1"/>
  <c r="EE21" i="1"/>
  <c r="EC21" i="1"/>
  <c r="ED21" i="1"/>
  <c r="EB32" i="1"/>
  <c r="EB36" i="1" s="1"/>
  <c r="ED32" i="1"/>
  <c r="ED36" i="1" s="1"/>
  <c r="EC32" i="1"/>
  <c r="EC36" i="1" s="1"/>
  <c r="EE32" i="1"/>
  <c r="EE36" i="1" l="1"/>
  <c r="EF36" i="1" s="1"/>
  <c r="EB31" i="1" a="1"/>
  <c r="EB31" i="1" s="1"/>
  <c r="EB37" i="1" s="1"/>
  <c r="EH36" i="1" l="1"/>
  <c r="EG36" i="1"/>
  <c r="ED31" i="1"/>
  <c r="ED37" i="1" s="1"/>
  <c r="EE31" i="1"/>
  <c r="EC31" i="1"/>
  <c r="EC37" i="1" s="1"/>
  <c r="EF31" i="1" l="1"/>
  <c r="EF32" i="1" s="1"/>
  <c r="EE37" i="1"/>
  <c r="EF37" i="1" s="1"/>
  <c r="EF38" i="1" s="1"/>
  <c r="EG37" i="1" l="1"/>
  <c r="EG38" i="1" s="1"/>
  <c r="EH37" i="1"/>
  <c r="EH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<sst xmlns="http://schemas.openxmlformats.org/spreadsheetml/2006/main" count="403" uniqueCount="243">
  <si>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</si>
  <si>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</si>
  <si>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</si>
  <si>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</si>
  <si>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</si>
  <si>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</si>
  <si>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</si>
  <si>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</si>
  <si>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</si>
  <si>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</si>
  <si>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</si>
  <si>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</si>
  <si>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</si>
  <si>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</si>
  <si>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</si>
  <si>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</si>
  <si>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</si>
  <si>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</si>
  <si>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</si>
  <si>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</si>
  <si>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</si>
  <si>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</si>
  <si>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</si>
  <si>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</si>
  <si>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</si>
  <si>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</si>
  <si>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</si>
  <si>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</si>
  <si>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</si>
  <si>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</si>
  <si>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</si>
  <si>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</si>
  <si>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</si>
  <si>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</si>
  <si>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</si>
  <si>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</si>
  <si>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</si>
  <si>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</si>
  <si>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</si>
  <si>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</si>
  <si>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</si>
  <si>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</si>
  <si>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</si>
  <si>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</si>
  <si>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</si>
  <si>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</si>
  <si>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</si>
  <si>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</si>
  <si>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</si>
  <si>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</si>
  <si>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</si>
  <si>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</si>
  <si>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</si>
  <si>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</si>
  <si>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</si>
  <si>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</si>
  <si>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</si>
  <si>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</si>
  <si>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</si>
  <si>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</si>
  <si>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</si>
  <si>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</si>
  <si>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</si>
  <si>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</si>
  <si>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</si>
  <si>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</si>
  <si>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</si>
  <si>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</si>
  <si>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</si>
  <si>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</si>
  <si>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</si>
  <si>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</si>
  <si>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</si>
  <si>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</si>
  <si>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</si>
  <si>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</si>
  <si>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</si>
  <si>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</si>
  <si>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</si>
  <si>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</si>
  <si>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</si>
  <si>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</si>
  <si>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</si>
  <si>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</si>
  <si>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</si>
  <si>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</si>
  <si>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</si>
  <si>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</si>
  <si>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</si>
  <si>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</si>
  <si>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</si>
  <si>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</si>
  <si>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</si>
  <si>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</si>
  <si>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</si>
  <si>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</si>
  <si>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</si>
  <si>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</si>
  <si>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</si>
  <si>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</si>
  <si>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</si>
  <si>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</si>
  <si>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</si>
  <si>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</si>
  <si>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</si>
  <si>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</si>
  <si>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</si>
  <si>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</si>
  <si>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</si>
  <si>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</si>
  <si>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</si>
  <si>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</si>
  <si>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</si>
  <si>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</si>
  <si>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</si>
  <si>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</si>
  <si>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</si>
  <si>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</si>
  <si>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</si>
  <si>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</si>
  <si>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</si>
  <si>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</si>
  <si>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</si>
  <si>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</si>
  <si>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</si>
  <si>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</si>
  <si>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</si>
  <si>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</si>
  <si>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</si>
  <si>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</si>
  <si>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</si>
  <si>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</si>
  <si>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</si>
  <si>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</si>
  <si>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</si>
  <si>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</si>
  <si>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</si>
  <si>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</si>
  <si>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</si>
  <si>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adelt</t>
  </si>
  <si>
    <t>amk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</si>
  <si>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</si>
  <si>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</si>
  <si>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</si>
  <si>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</si>
  <si>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</si>
  <si>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</si>
  <si>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2D Vectors from Guess to Mx v My Plot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</si>
  <si>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</si>
  <si>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</si>
  <si>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</si>
  <si>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</si>
  <si>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</si>
  <si>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</si>
  <si>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</si>
  <si>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</si>
  <si>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</si>
  <si>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</si>
  <si>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</si>
  <si>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</si>
  <si>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</si>
  <si>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</si>
  <si>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</si>
  <si>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</si>
  <si>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</si>
  <si>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</si>
  <si>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</si>
  <si>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</si>
  <si>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</si>
  <si>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</si>
  <si>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</si>
  <si>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</si>
  <si>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</si>
  <si>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</si>
  <si>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</si>
  <si>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</si>
  <si>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</si>
  <si>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</si>
  <si>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</si>
  <si>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</si>
  <si>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</si>
  <si>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</si>
  <si>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</si>
  <si>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</si>
  <si>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</si>
  <si>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</si>
  <si>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</si>
  <si>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</si>
  <si>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</si>
  <si>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</si>
  <si>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</si>
  <si>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</si>
  <si>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</si>
  <si>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</si>
  <si>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</si>
  <si>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t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</si>
  <si>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</si>
  <si>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</si>
  <si>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</si>
  <si>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</si>
  <si>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</si>
  <si>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</si>
  <si>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</si>
  <si>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</si>
  <si>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</si>
  <si>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</si>
  <si>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</si>
  <si>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</si>
  <si>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</si>
  <si>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</si>
  <si>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PCA_Parabolic</t>
  </si>
  <si>
    <t>Pn</t>
  </si>
  <si>
    <t>Mxn</t>
  </si>
  <si>
    <t>Myn</t>
  </si>
  <si>
    <t>vector</t>
  </si>
  <si>
    <t>ak-1</t>
  </si>
  <si>
    <t>amk-1</t>
  </si>
  <si>
    <t>amo-amk</t>
  </si>
  <si>
    <t>f_x</t>
  </si>
  <si>
    <t>alpha+h</t>
  </si>
  <si>
    <t xml:space="preserve">h = </t>
  </si>
  <si>
    <t>f_x_p</t>
  </si>
  <si>
    <t>alpha-h</t>
  </si>
  <si>
    <t>f_x_m</t>
  </si>
  <si>
    <t>f_prime_x</t>
  </si>
  <si>
    <t>alpha j</t>
  </si>
  <si>
    <t>alpha i</t>
  </si>
  <si>
    <t>Net Steel Stress</t>
  </si>
  <si>
    <t>Tan -1 Ux/Uy</t>
  </si>
  <si>
    <t>User Point</t>
  </si>
  <si>
    <t>Calc Point</t>
  </si>
  <si>
    <t>Vector</t>
  </si>
  <si>
    <t>G0</t>
  </si>
  <si>
    <t>0U</t>
  </si>
  <si>
    <t>GU</t>
  </si>
  <si>
    <t>dMx</t>
  </si>
  <si>
    <t>dMy</t>
  </si>
  <si>
    <t>GC</t>
  </si>
  <si>
    <t>0C</t>
  </si>
  <si>
    <t xml:space="preserve">Guess - Point inside Mx/My Slice </t>
  </si>
  <si>
    <t>GC-GU</t>
  </si>
  <si>
    <t>CU</t>
  </si>
  <si>
    <t>GC-G0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</si>
</sst>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1.4608635747366163</c:v>
                </c:pt>
                <c:pt idx="1">
                  <c:v>22.438576685756551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27.84821759462212</c:v>
                </c:pt>
                <c:pt idx="1">
                  <c:v>13.242158186441747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28.318294878292132</c:v>
                </c:pt>
                <c:pt idx="1">
                  <c:v>13.712235470111757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10.663414116864384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23.069381266208726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1.932829184100429</c:v>
                </c:pt>
                <c:pt idx="1">
                  <c:v>11.780858918745954</c:v>
                </c:pt>
                <c:pt idx="2">
                  <c:v>2.6384001835150319</c:v>
                </c:pt>
                <c:pt idx="3">
                  <c:v>2.6384001835150319</c:v>
                </c:pt>
                <c:pt idx="4">
                  <c:v>-1.932829184100429</c:v>
                </c:pt>
                <c:pt idx="5">
                  <c:v>-11.780858918745954</c:v>
                </c:pt>
                <c:pt idx="6">
                  <c:v>-7.2096295511304938</c:v>
                </c:pt>
                <c:pt idx="7">
                  <c:v>-7.2096295511304938</c:v>
                </c:pt>
                <c:pt idx="8">
                  <c:v>1.932829184100429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-13.276451760357121</c:v>
                </c:pt>
                <c:pt idx="1">
                  <c:v>-6.4196077089339294</c:v>
                </c:pt>
                <c:pt idx="2">
                  <c:v>6.7110986039267706</c:v>
                </c:pt>
                <c:pt idx="3">
                  <c:v>6.7110986039267706</c:v>
                </c:pt>
                <c:pt idx="4">
                  <c:v>13.276451760357121</c:v>
                </c:pt>
                <c:pt idx="5">
                  <c:v>6.4196077089339294</c:v>
                </c:pt>
                <c:pt idx="6">
                  <c:v>-0.14574544749642104</c:v>
                </c:pt>
                <c:pt idx="7">
                  <c:v>-0.14574544749642104</c:v>
                </c:pt>
                <c:pt idx="8">
                  <c:v>-13.276451760357121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2.4313601313041522</c:v>
                </c:pt>
                <c:pt idx="1">
                  <c:v>1.2885527894002866</c:v>
                </c:pt>
                <c:pt idx="2">
                  <c:v>4.07269842041174</c:v>
                </c:pt>
                <c:pt idx="3">
                  <c:v>2.929891078507874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-10.492306129345668</c:v>
                </c:pt>
                <c:pt idx="1">
                  <c:v>-8.8509678402380807</c:v>
                </c:pt>
                <c:pt idx="2">
                  <c:v>-9.3494987874418012</c:v>
                </c:pt>
                <c:pt idx="3">
                  <c:v>-7.7081604983342151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-12.780858918745954</c:v>
                </c:pt>
                <c:pt idx="1">
                  <c:v>12.780858918745954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10.412463959733788</c:v>
                </c:pt>
                <c:pt idx="1">
                  <c:v>10.412463959733788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-12.780858918745954</c:v>
                </c:pt>
                <c:pt idx="1">
                  <c:v>12.780858918745954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10.985261519858454</c:v>
                </c:pt>
                <c:pt idx="1">
                  <c:v>10.985261519858454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-0.33755230186550311</c:v>
                </c:pt>
                <c:pt idx="4">
                  <c:v>-1.932829184100429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10.985261519858454</c:v>
                </c:pt>
                <c:pt idx="4">
                  <c:v>13.276451760357121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-1.932829184100429</c:v>
                </c:pt>
                <c:pt idx="4">
                  <c:v>-5.2235135641071802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13.276451760357121</c:v>
                </c:pt>
                <c:pt idx="4">
                  <c:v>10.985261519858454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12.902712893031449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-150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155.42184102912984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-149.99999999905813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12.902712893031449</c:v>
                </c:pt>
                <c:pt idx="1">
                  <c:v>155.42184102912984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-150</c:v>
                </c:pt>
                <c:pt idx="1">
                  <c:v>-149.99999999905813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L_Section_Capacity!$BD$2:$BD$362</c:f>
              <c:numCache>
                <c:formatCode>General</c:formatCode>
                <c:ptCount val="361"/>
                <c:pt idx="0">
                  <c:v>148.21567446325005</c:v>
                </c:pt>
                <c:pt idx="1">
                  <c:v>148.19952575853694</c:v>
                </c:pt>
                <c:pt idx="2">
                  <c:v>148.16813575458025</c:v>
                </c:pt>
                <c:pt idx="3">
                  <c:v>148.12611916405837</c:v>
                </c:pt>
                <c:pt idx="4">
                  <c:v>148.07790797419878</c:v>
                </c:pt>
                <c:pt idx="5">
                  <c:v>148.02628211173453</c:v>
                </c:pt>
                <c:pt idx="6">
                  <c:v>147.97346889834745</c:v>
                </c:pt>
                <c:pt idx="7">
                  <c:v>147.92172514815968</c:v>
                </c:pt>
                <c:pt idx="8">
                  <c:v>147.87293948045334</c:v>
                </c:pt>
                <c:pt idx="9">
                  <c:v>147.82693135709405</c:v>
                </c:pt>
                <c:pt idx="10">
                  <c:v>147.78321496064657</c:v>
                </c:pt>
                <c:pt idx="11">
                  <c:v>147.74142132980438</c:v>
                </c:pt>
                <c:pt idx="12">
                  <c:v>147.70126178949906</c:v>
                </c:pt>
                <c:pt idx="13">
                  <c:v>147.66250487475412</c:v>
                </c:pt>
                <c:pt idx="14">
                  <c:v>147.62496112116111</c:v>
                </c:pt>
                <c:pt idx="15">
                  <c:v>147.58847264987051</c:v>
                </c:pt>
                <c:pt idx="16">
                  <c:v>147.55290584671386</c:v>
                </c:pt>
                <c:pt idx="17">
                  <c:v>147.51814604820325</c:v>
                </c:pt>
                <c:pt idx="18">
                  <c:v>147.48409361607679</c:v>
                </c:pt>
                <c:pt idx="19">
                  <c:v>147.45066096575343</c:v>
                </c:pt>
                <c:pt idx="20">
                  <c:v>147.41777029294093</c:v>
                </c:pt>
                <c:pt idx="21">
                  <c:v>147.38535178428367</c:v>
                </c:pt>
                <c:pt idx="22">
                  <c:v>147.35334220656773</c:v>
                </c:pt>
                <c:pt idx="23">
                  <c:v>147.3216837721684</c:v>
                </c:pt>
                <c:pt idx="24">
                  <c:v>147.29032320536498</c:v>
                </c:pt>
                <c:pt idx="25">
                  <c:v>147.2592109833345</c:v>
                </c:pt>
                <c:pt idx="26">
                  <c:v>147.22830070162902</c:v>
                </c:pt>
                <c:pt idx="27">
                  <c:v>147.19754852026256</c:v>
                </c:pt>
                <c:pt idx="28">
                  <c:v>147.16691271347898</c:v>
                </c:pt>
                <c:pt idx="29">
                  <c:v>147.13635326188842</c:v>
                </c:pt>
                <c:pt idx="30">
                  <c:v>147.10583149959817</c:v>
                </c:pt>
                <c:pt idx="31">
                  <c:v>147.07530979837915</c:v>
                </c:pt>
                <c:pt idx="32">
                  <c:v>147.0447512882246</c:v>
                </c:pt>
                <c:pt idx="33">
                  <c:v>147.01411958171315</c:v>
                </c:pt>
                <c:pt idx="34">
                  <c:v>146.98337854655603</c:v>
                </c:pt>
                <c:pt idx="35">
                  <c:v>146.95249205473797</c:v>
                </c:pt>
                <c:pt idx="36">
                  <c:v>146.92142377303125</c:v>
                </c:pt>
                <c:pt idx="37">
                  <c:v>146.89013693763897</c:v>
                </c:pt>
                <c:pt idx="38">
                  <c:v>146.85859413364147</c:v>
                </c:pt>
                <c:pt idx="39">
                  <c:v>146.82675707635499</c:v>
                </c:pt>
                <c:pt idx="40">
                  <c:v>146.79458638188083</c:v>
                </c:pt>
                <c:pt idx="41">
                  <c:v>146.76204133333948</c:v>
                </c:pt>
                <c:pt idx="42">
                  <c:v>146.72907963293554</c:v>
                </c:pt>
                <c:pt idx="43">
                  <c:v>146.69565713369209</c:v>
                </c:pt>
                <c:pt idx="44">
                  <c:v>146.66172755537599</c:v>
                </c:pt>
                <c:pt idx="45">
                  <c:v>146.62724218423637</c:v>
                </c:pt>
                <c:pt idx="46">
                  <c:v>146.59214952165729</c:v>
                </c:pt>
                <c:pt idx="47">
                  <c:v>146.55639492227905</c:v>
                </c:pt>
                <c:pt idx="48">
                  <c:v>146.51992017586088</c:v>
                </c:pt>
                <c:pt idx="49">
                  <c:v>146.48266304847337</c:v>
                </c:pt>
                <c:pt idx="50">
                  <c:v>146.44455676298131</c:v>
                </c:pt>
                <c:pt idx="51">
                  <c:v>146.40552941289354</c:v>
                </c:pt>
                <c:pt idx="52">
                  <c:v>146.36550330086408</c:v>
                </c:pt>
                <c:pt idx="53">
                  <c:v>146.32439418097405</c:v>
                </c:pt>
                <c:pt idx="54">
                  <c:v>146.28211039115143</c:v>
                </c:pt>
                <c:pt idx="55">
                  <c:v>146.23855185106294</c:v>
                </c:pt>
                <c:pt idx="56">
                  <c:v>146.19360891216914</c:v>
                </c:pt>
                <c:pt idx="57">
                  <c:v>146.14716100892011</c:v>
                </c:pt>
                <c:pt idx="58">
                  <c:v>146.09907509379346</c:v>
                </c:pt>
                <c:pt idx="59">
                  <c:v>146.04920379124502</c:v>
                </c:pt>
                <c:pt idx="60">
                  <c:v>145.99738322458194</c:v>
                </c:pt>
                <c:pt idx="61">
                  <c:v>145.94343043172015</c:v>
                </c:pt>
                <c:pt idx="62">
                  <c:v>145.88714028270977</c:v>
                </c:pt>
                <c:pt idx="63">
                  <c:v>145.82828178220711</c:v>
                </c:pt>
                <c:pt idx="64">
                  <c:v>145.76659358166731</c:v>
                </c:pt>
                <c:pt idx="65">
                  <c:v>145.70177853723428</c:v>
                </c:pt>
                <c:pt idx="66">
                  <c:v>145.63349701968158</c:v>
                </c:pt>
                <c:pt idx="67">
                  <c:v>145.56135864178782</c:v>
                </c:pt>
                <c:pt idx="68">
                  <c:v>145.48491194947729</c:v>
                </c:pt>
                <c:pt idx="69">
                  <c:v>145.40363143360273</c:v>
                </c:pt>
                <c:pt idx="70">
                  <c:v>145.31690102603056</c:v>
                </c:pt>
                <c:pt idx="71">
                  <c:v>145.22399285759573</c:v>
                </c:pt>
                <c:pt idx="72">
                  <c:v>145.12403962168923</c:v>
                </c:pt>
                <c:pt idx="73">
                  <c:v>145.01599811957328</c:v>
                </c:pt>
                <c:pt idx="74">
                  <c:v>144.89860043927862</c:v>
                </c:pt>
                <c:pt idx="75">
                  <c:v>144.77028752081529</c:v>
                </c:pt>
                <c:pt idx="76">
                  <c:v>144.62911703575031</c:v>
                </c:pt>
                <c:pt idx="77">
                  <c:v>144.47263296869514</c:v>
                </c:pt>
                <c:pt idx="78">
                  <c:v>144.29767655082941</c:v>
                </c:pt>
                <c:pt idx="79">
                  <c:v>144.10010457445676</c:v>
                </c:pt>
                <c:pt idx="80">
                  <c:v>143.87435622321024</c:v>
                </c:pt>
                <c:pt idx="81">
                  <c:v>143.61276165892693</c:v>
                </c:pt>
                <c:pt idx="82">
                  <c:v>143.30438820072601</c:v>
                </c:pt>
                <c:pt idx="83">
                  <c:v>142.93300769828596</c:v>
                </c:pt>
                <c:pt idx="84">
                  <c:v>142.47326609403359</c:v>
                </c:pt>
                <c:pt idx="85">
                  <c:v>141.88281256597239</c:v>
                </c:pt>
                <c:pt idx="86">
                  <c:v>141.08414285979569</c:v>
                </c:pt>
                <c:pt idx="87">
                  <c:v>139.91524319122874</c:v>
                </c:pt>
                <c:pt idx="88">
                  <c:v>137.95618459569394</c:v>
                </c:pt>
                <c:pt idx="89">
                  <c:v>134.03658046265843</c:v>
                </c:pt>
                <c:pt idx="90">
                  <c:v>127.9799999999989</c:v>
                </c:pt>
                <c:pt idx="91">
                  <c:v>121.92341953734058</c:v>
                </c:pt>
                <c:pt idx="92">
                  <c:v>118.00381540430574</c:v>
                </c:pt>
                <c:pt idx="93">
                  <c:v>116.0447568087715</c:v>
                </c:pt>
                <c:pt idx="94">
                  <c:v>114.87585714020435</c:v>
                </c:pt>
                <c:pt idx="95">
                  <c:v>114.07718743402748</c:v>
                </c:pt>
                <c:pt idx="96">
                  <c:v>113.2010280419091</c:v>
                </c:pt>
                <c:pt idx="97">
                  <c:v>112.38976571970473</c:v>
                </c:pt>
                <c:pt idx="98">
                  <c:v>111.84161899369487</c:v>
                </c:pt>
                <c:pt idx="99">
                  <c:v>111.45448245702369</c:v>
                </c:pt>
                <c:pt idx="100">
                  <c:v>111.17136552261806</c:v>
                </c:pt>
                <c:pt idx="101">
                  <c:v>110.95838216816632</c:v>
                </c:pt>
                <c:pt idx="102">
                  <c:v>110.79434700910228</c:v>
                </c:pt>
                <c:pt idx="103">
                  <c:v>110.66546235573662</c:v>
                </c:pt>
                <c:pt idx="104">
                  <c:v>110.56243133794491</c:v>
                </c:pt>
                <c:pt idx="105">
                  <c:v>110.47880712395622</c:v>
                </c:pt>
                <c:pt idx="106">
                  <c:v>110.41000771492178</c:v>
                </c:pt>
                <c:pt idx="107">
                  <c:v>110.35270613860243</c:v>
                </c:pt>
                <c:pt idx="108">
                  <c:v>110.30444098057141</c:v>
                </c:pt>
                <c:pt idx="109">
                  <c:v>110.26336073173083</c:v>
                </c:pt>
                <c:pt idx="110">
                  <c:v>110.22805186575081</c:v>
                </c:pt>
                <c:pt idx="111">
                  <c:v>110.19742076581285</c:v>
                </c:pt>
                <c:pt idx="112">
                  <c:v>110.17061102162646</c:v>
                </c:pt>
                <c:pt idx="113">
                  <c:v>110.14694454168702</c:v>
                </c:pt>
                <c:pt idx="114">
                  <c:v>110.12587893557465</c:v>
                </c:pt>
                <c:pt idx="115">
                  <c:v>110.10697624548926</c:v>
                </c:pt>
                <c:pt idx="116">
                  <c:v>110.08987970794762</c:v>
                </c:pt>
                <c:pt idx="117">
                  <c:v>110.07429626441888</c:v>
                </c:pt>
                <c:pt idx="118">
                  <c:v>110.0599832616753</c:v>
                </c:pt>
                <c:pt idx="119">
                  <c:v>110.04673824246643</c:v>
                </c:pt>
                <c:pt idx="120">
                  <c:v>110.03439101151912</c:v>
                </c:pt>
                <c:pt idx="121">
                  <c:v>110.022797436868</c:v>
                </c:pt>
                <c:pt idx="122">
                  <c:v>110.01183454618619</c:v>
                </c:pt>
                <c:pt idx="123">
                  <c:v>110.00139663618653</c:v>
                </c:pt>
                <c:pt idx="124">
                  <c:v>109.99139213746911</c:v>
                </c:pt>
                <c:pt idx="125">
                  <c:v>109.98174108811217</c:v>
                </c:pt>
                <c:pt idx="126">
                  <c:v>109.97237307355556</c:v>
                </c:pt>
                <c:pt idx="127">
                  <c:v>109.96322553426229</c:v>
                </c:pt>
                <c:pt idx="128">
                  <c:v>109.95424236188461</c:v>
                </c:pt>
                <c:pt idx="129">
                  <c:v>109.94537272413821</c:v>
                </c:pt>
                <c:pt idx="130">
                  <c:v>109.93657008186445</c:v>
                </c:pt>
                <c:pt idx="131">
                  <c:v>109.92779134090161</c:v>
                </c:pt>
                <c:pt idx="132">
                  <c:v>109.91899612372164</c:v>
                </c:pt>
                <c:pt idx="133">
                  <c:v>109.91014613361206</c:v>
                </c:pt>
                <c:pt idx="134">
                  <c:v>109.90120458407934</c:v>
                </c:pt>
                <c:pt idx="135">
                  <c:v>109.89213569305574</c:v>
                </c:pt>
                <c:pt idx="136">
                  <c:v>109.8829041976645</c:v>
                </c:pt>
                <c:pt idx="137">
                  <c:v>109.87347491725144</c:v>
                </c:pt>
                <c:pt idx="138">
                  <c:v>109.86381232398267</c:v>
                </c:pt>
                <c:pt idx="139">
                  <c:v>109.85388010564851</c:v>
                </c:pt>
                <c:pt idx="140">
                  <c:v>109.84364075048222</c:v>
                </c:pt>
                <c:pt idx="141">
                  <c:v>109.83305509495133</c:v>
                </c:pt>
                <c:pt idx="142">
                  <c:v>109.82208186007131</c:v>
                </c:pt>
                <c:pt idx="143">
                  <c:v>109.81067714035919</c:v>
                </c:pt>
                <c:pt idx="144">
                  <c:v>109.79879385294963</c:v>
                </c:pt>
                <c:pt idx="145">
                  <c:v>109.78638112751368</c:v>
                </c:pt>
                <c:pt idx="146">
                  <c:v>109.77338360385319</c:v>
                </c:pt>
                <c:pt idx="147">
                  <c:v>109.75974063801314</c:v>
                </c:pt>
                <c:pt idx="148">
                  <c:v>109.74538539189319</c:v>
                </c:pt>
                <c:pt idx="149">
                  <c:v>109.73024375837407</c:v>
                </c:pt>
                <c:pt idx="150">
                  <c:v>109.71423311056176</c:v>
                </c:pt>
                <c:pt idx="151">
                  <c:v>109.69726080475321</c:v>
                </c:pt>
                <c:pt idx="152">
                  <c:v>109.67922240951128</c:v>
                </c:pt>
                <c:pt idx="153">
                  <c:v>109.65999955202656</c:v>
                </c:pt>
                <c:pt idx="154">
                  <c:v>109.63945732366687</c:v>
                </c:pt>
                <c:pt idx="155">
                  <c:v>109.61744109322744</c:v>
                </c:pt>
                <c:pt idx="156">
                  <c:v>109.59377258544005</c:v>
                </c:pt>
                <c:pt idx="157">
                  <c:v>109.56824499644529</c:v>
                </c:pt>
                <c:pt idx="158">
                  <c:v>109.54061687012829</c:v>
                </c:pt>
                <c:pt idx="159">
                  <c:v>109.51060434149873</c:v>
                </c:pt>
                <c:pt idx="160">
                  <c:v>109.47787120275075</c:v>
                </c:pt>
                <c:pt idx="161">
                  <c:v>109.44201604613612</c:v>
                </c:pt>
                <c:pt idx="162">
                  <c:v>109.40255541558511</c:v>
                </c:pt>
                <c:pt idx="163">
                  <c:v>109.35890144735211</c:v>
                </c:pt>
                <c:pt idx="164">
                  <c:v>109.31033172215594</c:v>
                </c:pt>
                <c:pt idx="165">
                  <c:v>109.25594797622563</c:v>
                </c:pt>
                <c:pt idx="166">
                  <c:v>109.19461850764128</c:v>
                </c:pt>
                <c:pt idx="167">
                  <c:v>109.1248961484071</c:v>
                </c:pt>
                <c:pt idx="168">
                  <c:v>109.04489868527902</c:v>
                </c:pt>
                <c:pt idx="169">
                  <c:v>108.95212979536159</c:v>
                </c:pt>
                <c:pt idx="170">
                  <c:v>108.84320241945723</c:v>
                </c:pt>
                <c:pt idx="171">
                  <c:v>108.71339551651735</c:v>
                </c:pt>
                <c:pt idx="172">
                  <c:v>108.55591219006642</c:v>
                </c:pt>
                <c:pt idx="173">
                  <c:v>108.36057047076645</c:v>
                </c:pt>
                <c:pt idx="174">
                  <c:v>108.11170680132052</c:v>
                </c:pt>
                <c:pt idx="175">
                  <c:v>107.93371788826779</c:v>
                </c:pt>
                <c:pt idx="176">
                  <c:v>107.88209202580585</c:v>
                </c:pt>
                <c:pt idx="177">
                  <c:v>107.83388083594321</c:v>
                </c:pt>
                <c:pt idx="178">
                  <c:v>107.79186424542024</c:v>
                </c:pt>
                <c:pt idx="179">
                  <c:v>107.76047424146579</c:v>
                </c:pt>
                <c:pt idx="180">
                  <c:v>107.74432553675405</c:v>
                </c:pt>
                <c:pt idx="181">
                  <c:v>107.76047424145933</c:v>
                </c:pt>
                <c:pt idx="182">
                  <c:v>107.79186424541585</c:v>
                </c:pt>
                <c:pt idx="183">
                  <c:v>107.83388083593891</c:v>
                </c:pt>
                <c:pt idx="184">
                  <c:v>107.88209202580114</c:v>
                </c:pt>
                <c:pt idx="185">
                  <c:v>107.93371788826502</c:v>
                </c:pt>
                <c:pt idx="186">
                  <c:v>107.9865311016495</c:v>
                </c:pt>
                <c:pt idx="187">
                  <c:v>108.03827485183839</c:v>
                </c:pt>
                <c:pt idx="188">
                  <c:v>108.08706051954593</c:v>
                </c:pt>
                <c:pt idx="189">
                  <c:v>108.13306864290402</c:v>
                </c:pt>
                <c:pt idx="190">
                  <c:v>108.17678503935271</c:v>
                </c:pt>
                <c:pt idx="191">
                  <c:v>108.21857867019439</c:v>
                </c:pt>
                <c:pt idx="192">
                  <c:v>108.25873821050043</c:v>
                </c:pt>
                <c:pt idx="193">
                  <c:v>108.29749512524485</c:v>
                </c:pt>
                <c:pt idx="194">
                  <c:v>108.33503887883771</c:v>
                </c:pt>
                <c:pt idx="195">
                  <c:v>108.37152735012832</c:v>
                </c:pt>
                <c:pt idx="196">
                  <c:v>108.40709415328529</c:v>
                </c:pt>
                <c:pt idx="197">
                  <c:v>108.44185395179647</c:v>
                </c:pt>
                <c:pt idx="198">
                  <c:v>108.47590638392228</c:v>
                </c:pt>
                <c:pt idx="199">
                  <c:v>108.50933903424519</c:v>
                </c:pt>
                <c:pt idx="200">
                  <c:v>108.54222970705881</c:v>
                </c:pt>
                <c:pt idx="201">
                  <c:v>108.57464821571621</c:v>
                </c:pt>
                <c:pt idx="202">
                  <c:v>108.60665779343157</c:v>
                </c:pt>
                <c:pt idx="203">
                  <c:v>108.63831622783165</c:v>
                </c:pt>
                <c:pt idx="204">
                  <c:v>108.66967679463437</c:v>
                </c:pt>
                <c:pt idx="205">
                  <c:v>108.70078901666479</c:v>
                </c:pt>
                <c:pt idx="206">
                  <c:v>108.73169929837047</c:v>
                </c:pt>
                <c:pt idx="207">
                  <c:v>108.76245147973715</c:v>
                </c:pt>
                <c:pt idx="208">
                  <c:v>108.79308728652045</c:v>
                </c:pt>
                <c:pt idx="209">
                  <c:v>108.82364673811088</c:v>
                </c:pt>
                <c:pt idx="210">
                  <c:v>108.85416850040176</c:v>
                </c:pt>
                <c:pt idx="211">
                  <c:v>108.88469020162033</c:v>
                </c:pt>
                <c:pt idx="212">
                  <c:v>108.91524871177481</c:v>
                </c:pt>
                <c:pt idx="213">
                  <c:v>108.94588041828688</c:v>
                </c:pt>
                <c:pt idx="214">
                  <c:v>108.97662145344323</c:v>
                </c:pt>
                <c:pt idx="215">
                  <c:v>109.00750794526159</c:v>
                </c:pt>
                <c:pt idx="216">
                  <c:v>109.03857622696891</c:v>
                </c:pt>
                <c:pt idx="217">
                  <c:v>109.06986306236062</c:v>
                </c:pt>
                <c:pt idx="218">
                  <c:v>109.10140586635832</c:v>
                </c:pt>
                <c:pt idx="219">
                  <c:v>109.1332429236448</c:v>
                </c:pt>
                <c:pt idx="220">
                  <c:v>109.16541361811906</c:v>
                </c:pt>
                <c:pt idx="221">
                  <c:v>109.19795866666031</c:v>
                </c:pt>
                <c:pt idx="222">
                  <c:v>109.23092036706426</c:v>
                </c:pt>
                <c:pt idx="223">
                  <c:v>109.26434286630742</c:v>
                </c:pt>
                <c:pt idx="224">
                  <c:v>109.29827244462375</c:v>
                </c:pt>
                <c:pt idx="225">
                  <c:v>109.33275781576326</c:v>
                </c:pt>
                <c:pt idx="226">
                  <c:v>109.3678504783426</c:v>
                </c:pt>
                <c:pt idx="227">
                  <c:v>109.403605077721</c:v>
                </c:pt>
                <c:pt idx="228">
                  <c:v>109.44007982413898</c:v>
                </c:pt>
                <c:pt idx="229">
                  <c:v>109.47733695152642</c:v>
                </c:pt>
                <c:pt idx="230">
                  <c:v>109.51544323701879</c:v>
                </c:pt>
                <c:pt idx="231">
                  <c:v>109.55447058710631</c:v>
                </c:pt>
                <c:pt idx="232">
                  <c:v>109.59449669913577</c:v>
                </c:pt>
                <c:pt idx="233">
                  <c:v>109.6356058190258</c:v>
                </c:pt>
                <c:pt idx="234">
                  <c:v>109.67788960884822</c:v>
                </c:pt>
                <c:pt idx="235">
                  <c:v>109.7214481489368</c:v>
                </c:pt>
                <c:pt idx="236">
                  <c:v>109.76639108783053</c:v>
                </c:pt>
                <c:pt idx="237">
                  <c:v>109.81283899107974</c:v>
                </c:pt>
                <c:pt idx="238">
                  <c:v>109.86092490620618</c:v>
                </c:pt>
                <c:pt idx="239">
                  <c:v>109.91079620875469</c:v>
                </c:pt>
                <c:pt idx="240">
                  <c:v>109.96261677541796</c:v>
                </c:pt>
                <c:pt idx="241">
                  <c:v>110.01656956827948</c:v>
                </c:pt>
                <c:pt idx="242">
                  <c:v>110.07285971729002</c:v>
                </c:pt>
                <c:pt idx="243">
                  <c:v>110.13171821779289</c:v>
                </c:pt>
                <c:pt idx="244">
                  <c:v>110.19340641833278</c:v>
                </c:pt>
                <c:pt idx="245">
                  <c:v>110.25822146276579</c:v>
                </c:pt>
                <c:pt idx="246">
                  <c:v>110.32650298031854</c:v>
                </c:pt>
                <c:pt idx="247">
                  <c:v>110.39864135821233</c:v>
                </c:pt>
                <c:pt idx="248">
                  <c:v>110.47508805052306</c:v>
                </c:pt>
                <c:pt idx="249">
                  <c:v>110.55636856639728</c:v>
                </c:pt>
                <c:pt idx="250">
                  <c:v>110.64309897396956</c:v>
                </c:pt>
                <c:pt idx="251">
                  <c:v>110.73600714240416</c:v>
                </c:pt>
                <c:pt idx="252">
                  <c:v>110.8359603783107</c:v>
                </c:pt>
                <c:pt idx="253">
                  <c:v>110.9440018804268</c:v>
                </c:pt>
                <c:pt idx="254">
                  <c:v>111.06139956072165</c:v>
                </c:pt>
                <c:pt idx="255">
                  <c:v>111.18971247918478</c:v>
                </c:pt>
                <c:pt idx="256">
                  <c:v>111.33088296425019</c:v>
                </c:pt>
                <c:pt idx="257">
                  <c:v>111.48736703130508</c:v>
                </c:pt>
                <c:pt idx="258">
                  <c:v>111.66232344917073</c:v>
                </c:pt>
                <c:pt idx="259">
                  <c:v>111.85989542554348</c:v>
                </c:pt>
                <c:pt idx="260">
                  <c:v>112.08564377679016</c:v>
                </c:pt>
                <c:pt idx="261">
                  <c:v>112.34723834107383</c:v>
                </c:pt>
                <c:pt idx="262">
                  <c:v>112.65561179982302</c:v>
                </c:pt>
                <c:pt idx="263">
                  <c:v>113.02699230145662</c:v>
                </c:pt>
                <c:pt idx="264">
                  <c:v>113.48673390560805</c:v>
                </c:pt>
                <c:pt idx="265">
                  <c:v>114.07718743434334</c:v>
                </c:pt>
                <c:pt idx="266">
                  <c:v>114.87585713988472</c:v>
                </c:pt>
                <c:pt idx="267">
                  <c:v>116.04475680869501</c:v>
                </c:pt>
                <c:pt idx="268">
                  <c:v>118.00381540404253</c:v>
                </c:pt>
                <c:pt idx="269">
                  <c:v>121.92341953730903</c:v>
                </c:pt>
                <c:pt idx="270">
                  <c:v>127.97999999998912</c:v>
                </c:pt>
                <c:pt idx="271">
                  <c:v>134.03658046266909</c:v>
                </c:pt>
                <c:pt idx="272">
                  <c:v>137.95618459568311</c:v>
                </c:pt>
                <c:pt idx="273">
                  <c:v>139.91524319109647</c:v>
                </c:pt>
                <c:pt idx="274">
                  <c:v>141.08414285942638</c:v>
                </c:pt>
                <c:pt idx="275">
                  <c:v>141.88281256589545</c:v>
                </c:pt>
                <c:pt idx="276">
                  <c:v>142.47326609358072</c:v>
                </c:pt>
                <c:pt idx="277">
                  <c:v>142.93300769853442</c:v>
                </c:pt>
                <c:pt idx="278">
                  <c:v>143.30438819965349</c:v>
                </c:pt>
                <c:pt idx="279">
                  <c:v>143.61276165972239</c:v>
                </c:pt>
                <c:pt idx="280">
                  <c:v>143.87435622247889</c:v>
                </c:pt>
                <c:pt idx="281">
                  <c:v>144.10010457482636</c:v>
                </c:pt>
                <c:pt idx="282">
                  <c:v>144.29767655128302</c:v>
                </c:pt>
                <c:pt idx="283">
                  <c:v>144.47263296841561</c:v>
                </c:pt>
                <c:pt idx="284">
                  <c:v>144.62911703530378</c:v>
                </c:pt>
                <c:pt idx="285">
                  <c:v>144.77028752119236</c:v>
                </c:pt>
                <c:pt idx="286">
                  <c:v>144.89860043902058</c:v>
                </c:pt>
                <c:pt idx="287">
                  <c:v>145.01599811957325</c:v>
                </c:pt>
                <c:pt idx="288">
                  <c:v>145.12403962168946</c:v>
                </c:pt>
                <c:pt idx="289">
                  <c:v>145.2239928575959</c:v>
                </c:pt>
                <c:pt idx="290">
                  <c:v>145.31690102603068</c:v>
                </c:pt>
                <c:pt idx="291">
                  <c:v>145.40363143360264</c:v>
                </c:pt>
                <c:pt idx="292">
                  <c:v>145.48491194947704</c:v>
                </c:pt>
                <c:pt idx="293">
                  <c:v>145.56135864178765</c:v>
                </c:pt>
                <c:pt idx="294">
                  <c:v>145.63349701968136</c:v>
                </c:pt>
                <c:pt idx="295">
                  <c:v>145.70177853723402</c:v>
                </c:pt>
                <c:pt idx="296">
                  <c:v>145.76659358166702</c:v>
                </c:pt>
                <c:pt idx="297">
                  <c:v>145.82828178220697</c:v>
                </c:pt>
                <c:pt idx="298">
                  <c:v>145.88714028270962</c:v>
                </c:pt>
                <c:pt idx="299">
                  <c:v>145.94343043172009</c:v>
                </c:pt>
                <c:pt idx="300">
                  <c:v>145.9973832245818</c:v>
                </c:pt>
                <c:pt idx="301">
                  <c:v>146.04920379124476</c:v>
                </c:pt>
                <c:pt idx="302">
                  <c:v>146.09907509379326</c:v>
                </c:pt>
                <c:pt idx="303">
                  <c:v>146.14716100891988</c:v>
                </c:pt>
                <c:pt idx="304">
                  <c:v>146.19360891216863</c:v>
                </c:pt>
                <c:pt idx="305">
                  <c:v>146.23855185106262</c:v>
                </c:pt>
                <c:pt idx="306">
                  <c:v>146.28211039115098</c:v>
                </c:pt>
                <c:pt idx="307">
                  <c:v>146.3243941809738</c:v>
                </c:pt>
                <c:pt idx="308">
                  <c:v>146.36550330086371</c:v>
                </c:pt>
                <c:pt idx="309">
                  <c:v>146.40552941289317</c:v>
                </c:pt>
                <c:pt idx="310">
                  <c:v>146.44455676298068</c:v>
                </c:pt>
                <c:pt idx="311">
                  <c:v>146.482663048473</c:v>
                </c:pt>
                <c:pt idx="312">
                  <c:v>146.51992017586051</c:v>
                </c:pt>
                <c:pt idx="313">
                  <c:v>146.55639492227849</c:v>
                </c:pt>
                <c:pt idx="314">
                  <c:v>146.59214952165686</c:v>
                </c:pt>
                <c:pt idx="315">
                  <c:v>146.627242184236</c:v>
                </c:pt>
                <c:pt idx="316">
                  <c:v>146.66172755537531</c:v>
                </c:pt>
                <c:pt idx="317">
                  <c:v>146.69565713369141</c:v>
                </c:pt>
                <c:pt idx="318">
                  <c:v>146.72907963293494</c:v>
                </c:pt>
                <c:pt idx="319">
                  <c:v>146.76204133333894</c:v>
                </c:pt>
                <c:pt idx="320">
                  <c:v>146.79458638188007</c:v>
                </c:pt>
                <c:pt idx="321">
                  <c:v>146.82675707635377</c:v>
                </c:pt>
                <c:pt idx="322">
                  <c:v>146.85859413364079</c:v>
                </c:pt>
                <c:pt idx="323">
                  <c:v>146.89013693763823</c:v>
                </c:pt>
                <c:pt idx="324">
                  <c:v>146.92142377302989</c:v>
                </c:pt>
                <c:pt idx="325">
                  <c:v>146.95249205473715</c:v>
                </c:pt>
                <c:pt idx="326">
                  <c:v>146.9833785465554</c:v>
                </c:pt>
                <c:pt idx="327">
                  <c:v>147.01411958171204</c:v>
                </c:pt>
                <c:pt idx="328">
                  <c:v>147.04475128822369</c:v>
                </c:pt>
                <c:pt idx="329">
                  <c:v>147.07530979837864</c:v>
                </c:pt>
                <c:pt idx="330">
                  <c:v>147.10583149959689</c:v>
                </c:pt>
                <c:pt idx="331">
                  <c:v>147.13635326188739</c:v>
                </c:pt>
                <c:pt idx="332">
                  <c:v>147.16691271347779</c:v>
                </c:pt>
                <c:pt idx="333">
                  <c:v>147.19754852026153</c:v>
                </c:pt>
                <c:pt idx="334">
                  <c:v>147.22830070162806</c:v>
                </c:pt>
                <c:pt idx="335">
                  <c:v>147.25921098333322</c:v>
                </c:pt>
                <c:pt idx="336">
                  <c:v>147.29032320536362</c:v>
                </c:pt>
                <c:pt idx="337">
                  <c:v>147.32168377216615</c:v>
                </c:pt>
                <c:pt idx="338">
                  <c:v>147.35334220656614</c:v>
                </c:pt>
                <c:pt idx="339">
                  <c:v>147.38535178428174</c:v>
                </c:pt>
                <c:pt idx="340">
                  <c:v>147.41777029293874</c:v>
                </c:pt>
                <c:pt idx="341">
                  <c:v>147.45066096575169</c:v>
                </c:pt>
                <c:pt idx="342">
                  <c:v>147.48409361607506</c:v>
                </c:pt>
                <c:pt idx="343">
                  <c:v>147.51814604820112</c:v>
                </c:pt>
                <c:pt idx="344">
                  <c:v>147.55290584671144</c:v>
                </c:pt>
                <c:pt idx="345">
                  <c:v>147.58847264986807</c:v>
                </c:pt>
                <c:pt idx="346">
                  <c:v>147.62496112115841</c:v>
                </c:pt>
                <c:pt idx="347">
                  <c:v>147.66250487475051</c:v>
                </c:pt>
                <c:pt idx="348">
                  <c:v>147.70126178949599</c:v>
                </c:pt>
                <c:pt idx="349">
                  <c:v>147.74142132980069</c:v>
                </c:pt>
                <c:pt idx="350">
                  <c:v>147.78321496064234</c:v>
                </c:pt>
                <c:pt idx="351">
                  <c:v>147.82693135708919</c:v>
                </c:pt>
                <c:pt idx="352">
                  <c:v>147.87293948044785</c:v>
                </c:pt>
                <c:pt idx="353">
                  <c:v>147.92172514815269</c:v>
                </c:pt>
                <c:pt idx="354">
                  <c:v>147.97346889834159</c:v>
                </c:pt>
                <c:pt idx="355">
                  <c:v>148.02628211172461</c:v>
                </c:pt>
                <c:pt idx="356">
                  <c:v>148.07790797418963</c:v>
                </c:pt>
                <c:pt idx="357">
                  <c:v>148.12611916404796</c:v>
                </c:pt>
                <c:pt idx="358">
                  <c:v>148.16813575457175</c:v>
                </c:pt>
                <c:pt idx="359">
                  <c:v>148.19952575852602</c:v>
                </c:pt>
                <c:pt idx="360">
                  <c:v>148.21567446323854</c:v>
                </c:pt>
              </c:numCache>
            </c:numRef>
          </c:xVal>
          <c:yVal>
            <c:numRef>
              <c:f>L_Section_Capacity!$BE$2:$BE$362</c:f>
              <c:numCache>
                <c:formatCode>General</c:formatCode>
                <c:ptCount val="361"/>
                <c:pt idx="0">
                  <c:v>-42.659999999999876</c:v>
                </c:pt>
                <c:pt idx="1">
                  <c:v>-41.858812519794526</c:v>
                </c:pt>
                <c:pt idx="2">
                  <c:v>-41.063896960568862</c:v>
                </c:pt>
                <c:pt idx="3">
                  <c:v>-40.312652641948866</c:v>
                </c:pt>
                <c:pt idx="4">
                  <c:v>-39.62776539997526</c:v>
                </c:pt>
                <c:pt idx="5">
                  <c:v>-39.015873003781238</c:v>
                </c:pt>
                <c:pt idx="6">
                  <c:v>-38.480584089019253</c:v>
                </c:pt>
                <c:pt idx="7">
                  <c:v>-38.026992301817643</c:v>
                </c:pt>
                <c:pt idx="8">
                  <c:v>-37.655611799867721</c:v>
                </c:pt>
                <c:pt idx="9">
                  <c:v>-37.347238340655849</c:v>
                </c:pt>
                <c:pt idx="10">
                  <c:v>-37.085643777064867</c:v>
                </c:pt>
                <c:pt idx="11">
                  <c:v>-36.859895425395266</c:v>
                </c:pt>
                <c:pt idx="12">
                  <c:v>-36.662323448849882</c:v>
                </c:pt>
                <c:pt idx="13">
                  <c:v>-36.48736703138384</c:v>
                </c:pt>
                <c:pt idx="14">
                  <c:v>-36.330882964392643</c:v>
                </c:pt>
                <c:pt idx="15">
                  <c:v>-36.189712479292353</c:v>
                </c:pt>
                <c:pt idx="16">
                  <c:v>-36.061399561266327</c:v>
                </c:pt>
                <c:pt idx="17">
                  <c:v>-35.944001880943738</c:v>
                </c:pt>
                <c:pt idx="18">
                  <c:v>-35.835960377883744</c:v>
                </c:pt>
                <c:pt idx="19">
                  <c:v>-35.736007142473994</c:v>
                </c:pt>
                <c:pt idx="20">
                  <c:v>-35.643098973415725</c:v>
                </c:pt>
                <c:pt idx="21">
                  <c:v>-35.556368565906446</c:v>
                </c:pt>
                <c:pt idx="22">
                  <c:v>-35.475088051280622</c:v>
                </c:pt>
                <c:pt idx="23">
                  <c:v>-35.398641357858828</c:v>
                </c:pt>
                <c:pt idx="24">
                  <c:v>-35.326502979593187</c:v>
                </c:pt>
                <c:pt idx="25">
                  <c:v>-35.258221462262746</c:v>
                </c:pt>
                <c:pt idx="26">
                  <c:v>-35.193406418383539</c:v>
                </c:pt>
                <c:pt idx="27">
                  <c:v>-35.131718218235264</c:v>
                </c:pt>
                <c:pt idx="28">
                  <c:v>-35.072859716816943</c:v>
                </c:pt>
                <c:pt idx="29">
                  <c:v>-35.016569568445917</c:v>
                </c:pt>
                <c:pt idx="30">
                  <c:v>-34.962616774948792</c:v>
                </c:pt>
                <c:pt idx="31">
                  <c:v>-34.910796208372695</c:v>
                </c:pt>
                <c:pt idx="32">
                  <c:v>-34.860924905792736</c:v>
                </c:pt>
                <c:pt idx="33">
                  <c:v>-34.812838991352621</c:v>
                </c:pt>
                <c:pt idx="34">
                  <c:v>-34.766391088025308</c:v>
                </c:pt>
                <c:pt idx="35">
                  <c:v>-34.721448148953471</c:v>
                </c:pt>
                <c:pt idx="36">
                  <c:v>-34.677889609319642</c:v>
                </c:pt>
                <c:pt idx="37">
                  <c:v>-34.635605818923878</c:v>
                </c:pt>
                <c:pt idx="38">
                  <c:v>-34.594496699411103</c:v>
                </c:pt>
                <c:pt idx="39">
                  <c:v>-34.554470587605593</c:v>
                </c:pt>
                <c:pt idx="40">
                  <c:v>-34.515443237487091</c:v>
                </c:pt>
                <c:pt idx="41">
                  <c:v>-34.477336951691441</c:v>
                </c:pt>
                <c:pt idx="42">
                  <c:v>-34.440079824130848</c:v>
                </c:pt>
                <c:pt idx="43">
                  <c:v>-34.403605077580934</c:v>
                </c:pt>
                <c:pt idx="44">
                  <c:v>-34.367850478549016</c:v>
                </c:pt>
                <c:pt idx="45">
                  <c:v>-34.332757815663072</c:v>
                </c:pt>
                <c:pt idx="46">
                  <c:v>-34.298272443848532</c:v>
                </c:pt>
                <c:pt idx="47">
                  <c:v>-34.264342866856133</c:v>
                </c:pt>
                <c:pt idx="48">
                  <c:v>-34.230920366978715</c:v>
                </c:pt>
                <c:pt idx="49">
                  <c:v>-34.19795866619598</c:v>
                </c:pt>
                <c:pt idx="50">
                  <c:v>-34.165413618042699</c:v>
                </c:pt>
                <c:pt idx="51">
                  <c:v>-34.133242923640445</c:v>
                </c:pt>
                <c:pt idx="52">
                  <c:v>-34.101405866115464</c:v>
                </c:pt>
                <c:pt idx="53">
                  <c:v>-34.069863062323861</c:v>
                </c:pt>
                <c:pt idx="54">
                  <c:v>-34.038576226736545</c:v>
                </c:pt>
                <c:pt idx="55">
                  <c:v>-34.007507945804939</c:v>
                </c:pt>
                <c:pt idx="56">
                  <c:v>-33.976621454037762</c:v>
                </c:pt>
                <c:pt idx="57">
                  <c:v>-33.945880417564631</c:v>
                </c:pt>
                <c:pt idx="58">
                  <c:v>-33.915248712312639</c:v>
                </c:pt>
                <c:pt idx="59">
                  <c:v>-33.884690201313106</c:v>
                </c:pt>
                <c:pt idx="60">
                  <c:v>-33.854168501248729</c:v>
                </c:pt>
                <c:pt idx="61">
                  <c:v>-33.823646738566651</c:v>
                </c:pt>
                <c:pt idx="62">
                  <c:v>-33.793087287077398</c:v>
                </c:pt>
                <c:pt idx="63">
                  <c:v>-33.762451479789299</c:v>
                </c:pt>
                <c:pt idx="64">
                  <c:v>-33.731699298641196</c:v>
                </c:pt>
                <c:pt idx="65">
                  <c:v>-33.700789016311319</c:v>
                </c:pt>
                <c:pt idx="66">
                  <c:v>-33.669676795631617</c:v>
                </c:pt>
                <c:pt idx="67">
                  <c:v>-33.638316228398843</c:v>
                </c:pt>
                <c:pt idx="68">
                  <c:v>-33.606657792636845</c:v>
                </c:pt>
                <c:pt idx="69">
                  <c:v>-33.574648216125034</c:v>
                </c:pt>
                <c:pt idx="70">
                  <c:v>-33.542229707453629</c:v>
                </c:pt>
                <c:pt idx="71">
                  <c:v>-33.509339034054783</c:v>
                </c:pt>
                <c:pt idx="72">
                  <c:v>-33.47590638425639</c:v>
                </c:pt>
                <c:pt idx="73">
                  <c:v>-33.441853950801047</c:v>
                </c:pt>
                <c:pt idx="74">
                  <c:v>-33.407094152483687</c:v>
                </c:pt>
                <c:pt idx="75">
                  <c:v>-33.37152734987221</c:v>
                </c:pt>
                <c:pt idx="76">
                  <c:v>-33.335038878985166</c:v>
                </c:pt>
                <c:pt idx="77">
                  <c:v>-33.297495124487924</c:v>
                </c:pt>
                <c:pt idx="78">
                  <c:v>-33.258738210897278</c:v>
                </c:pt>
                <c:pt idx="79">
                  <c:v>-33.218578670166494</c:v>
                </c:pt>
                <c:pt idx="80">
                  <c:v>-33.176785038595874</c:v>
                </c:pt>
                <c:pt idx="81">
                  <c:v>-33.133068642505968</c:v>
                </c:pt>
                <c:pt idx="82">
                  <c:v>-33.087060518893146</c:v>
                </c:pt>
                <c:pt idx="83">
                  <c:v>-33.038274852510305</c:v>
                </c:pt>
                <c:pt idx="84">
                  <c:v>-32.986047766588605</c:v>
                </c:pt>
                <c:pt idx="85">
                  <c:v>-32.929427524465012</c:v>
                </c:pt>
                <c:pt idx="86">
                  <c:v>-32.866958465107231</c:v>
                </c:pt>
                <c:pt idx="87">
                  <c:v>-32.796196973572535</c:v>
                </c:pt>
                <c:pt idx="88">
                  <c:v>-32.71238864002715</c:v>
                </c:pt>
                <c:pt idx="89">
                  <c:v>-32.610893218114846</c:v>
                </c:pt>
                <c:pt idx="90">
                  <c:v>-32.542162768136279</c:v>
                </c:pt>
                <c:pt idx="91">
                  <c:v>-32.61089321811636</c:v>
                </c:pt>
                <c:pt idx="92">
                  <c:v>-32.712388640028095</c:v>
                </c:pt>
                <c:pt idx="93">
                  <c:v>-32.796196973573068</c:v>
                </c:pt>
                <c:pt idx="94">
                  <c:v>-32.866958465107643</c:v>
                </c:pt>
                <c:pt idx="95">
                  <c:v>-32.929427524465119</c:v>
                </c:pt>
                <c:pt idx="96">
                  <c:v>-33.111335578908772</c:v>
                </c:pt>
                <c:pt idx="97">
                  <c:v>-33.360570471203793</c:v>
                </c:pt>
                <c:pt idx="98">
                  <c:v>-33.555912190114384</c:v>
                </c:pt>
                <c:pt idx="99">
                  <c:v>-33.713395516716439</c:v>
                </c:pt>
                <c:pt idx="100">
                  <c:v>-33.8432024197621</c:v>
                </c:pt>
                <c:pt idx="101">
                  <c:v>-33.952129795237759</c:v>
                </c:pt>
                <c:pt idx="102">
                  <c:v>-34.044898684912376</c:v>
                </c:pt>
                <c:pt idx="103">
                  <c:v>-34.124896148033542</c:v>
                </c:pt>
                <c:pt idx="104">
                  <c:v>-34.194618507768929</c:v>
                </c:pt>
                <c:pt idx="105">
                  <c:v>-34.25594797587835</c:v>
                </c:pt>
                <c:pt idx="106">
                  <c:v>-34.310331721920925</c:v>
                </c:pt>
                <c:pt idx="107">
                  <c:v>-34.358901447748089</c:v>
                </c:pt>
                <c:pt idx="108">
                  <c:v>-34.402555415055453</c:v>
                </c:pt>
                <c:pt idx="109">
                  <c:v>-34.442016045636947</c:v>
                </c:pt>
                <c:pt idx="110">
                  <c:v>-34.477871203024975</c:v>
                </c:pt>
                <c:pt idx="111">
                  <c:v>-34.51060434212603</c:v>
                </c:pt>
                <c:pt idx="112">
                  <c:v>-34.540616870023541</c:v>
                </c:pt>
                <c:pt idx="113">
                  <c:v>-34.568244995964349</c:v>
                </c:pt>
                <c:pt idx="114">
                  <c:v>-34.593772585551072</c:v>
                </c:pt>
                <c:pt idx="115">
                  <c:v>-34.61744109303816</c:v>
                </c:pt>
                <c:pt idx="116">
                  <c:v>-34.639457322739226</c:v>
                </c:pt>
                <c:pt idx="117">
                  <c:v>-34.659999551548353</c:v>
                </c:pt>
                <c:pt idx="118">
                  <c:v>-34.679222408969238</c:v>
                </c:pt>
                <c:pt idx="119">
                  <c:v>-34.697260805171055</c:v>
                </c:pt>
                <c:pt idx="120">
                  <c:v>-34.714233110372</c:v>
                </c:pt>
                <c:pt idx="121">
                  <c:v>-34.73024375908691</c:v>
                </c:pt>
                <c:pt idx="122">
                  <c:v>-34.745385391707522</c:v>
                </c:pt>
                <c:pt idx="123">
                  <c:v>-34.759740638021903</c:v>
                </c:pt>
                <c:pt idx="124">
                  <c:v>-34.773383603823518</c:v>
                </c:pt>
                <c:pt idx="125">
                  <c:v>-34.786381128413169</c:v>
                </c:pt>
                <c:pt idx="126">
                  <c:v>-34.798793853396525</c:v>
                </c:pt>
                <c:pt idx="127">
                  <c:v>-34.810677139587852</c:v>
                </c:pt>
                <c:pt idx="128">
                  <c:v>-34.822081860389467</c:v>
                </c:pt>
                <c:pt idx="129">
                  <c:v>-34.833055095652576</c:v>
                </c:pt>
                <c:pt idx="130">
                  <c:v>-34.843640750165399</c:v>
                </c:pt>
                <c:pt idx="131">
                  <c:v>-34.853880105175406</c:v>
                </c:pt>
                <c:pt idx="132">
                  <c:v>-34.863812323323152</c:v>
                </c:pt>
                <c:pt idx="133">
                  <c:v>-34.873474918247126</c:v>
                </c:pt>
                <c:pt idx="134">
                  <c:v>-34.882904197076094</c:v>
                </c:pt>
                <c:pt idx="135">
                  <c:v>-34.892135692888566</c:v>
                </c:pt>
                <c:pt idx="136">
                  <c:v>-34.901204584906651</c:v>
                </c:pt>
                <c:pt idx="137">
                  <c:v>-34.910146132854315</c:v>
                </c:pt>
                <c:pt idx="138">
                  <c:v>-34.918996123821579</c:v>
                </c:pt>
                <c:pt idx="139">
                  <c:v>-34.927791340846632</c:v>
                </c:pt>
                <c:pt idx="140">
                  <c:v>-34.936570081907867</c:v>
                </c:pt>
                <c:pt idx="141">
                  <c:v>-34.945372723656007</c:v>
                </c:pt>
                <c:pt idx="142">
                  <c:v>-34.954242361301148</c:v>
                </c:pt>
                <c:pt idx="143">
                  <c:v>-34.963225534699077</c:v>
                </c:pt>
                <c:pt idx="144">
                  <c:v>-34.972373073172299</c:v>
                </c:pt>
                <c:pt idx="145">
                  <c:v>-34.981741087071036</c:v>
                </c:pt>
                <c:pt idx="146">
                  <c:v>-34.991392136971243</c:v>
                </c:pt>
                <c:pt idx="147">
                  <c:v>-35.001396636194137</c:v>
                </c:pt>
                <c:pt idx="148">
                  <c:v>-35.011834546394354</c:v>
                </c:pt>
                <c:pt idx="149">
                  <c:v>-35.022797435972983</c:v>
                </c:pt>
                <c:pt idx="150">
                  <c:v>-35.034391011377927</c:v>
                </c:pt>
                <c:pt idx="151">
                  <c:v>-35.046738241864084</c:v>
                </c:pt>
                <c:pt idx="152">
                  <c:v>-35.059983261699813</c:v>
                </c:pt>
                <c:pt idx="153">
                  <c:v>-35.074296264202765</c:v>
                </c:pt>
                <c:pt idx="154">
                  <c:v>-35.089879708888155</c:v>
                </c:pt>
                <c:pt idx="155">
                  <c:v>-35.106976245957007</c:v>
                </c:pt>
                <c:pt idx="156">
                  <c:v>-35.125878935065906</c:v>
                </c:pt>
                <c:pt idx="157">
                  <c:v>-35.146944541619831</c:v>
                </c:pt>
                <c:pt idx="158">
                  <c:v>-35.170611021507192</c:v>
                </c:pt>
                <c:pt idx="159">
                  <c:v>-35.197420765316764</c:v>
                </c:pt>
                <c:pt idx="160">
                  <c:v>-35.228051866092997</c:v>
                </c:pt>
                <c:pt idx="161">
                  <c:v>-35.263360731447719</c:v>
                </c:pt>
                <c:pt idx="162">
                  <c:v>-35.30444098145238</c:v>
                </c:pt>
                <c:pt idx="163">
                  <c:v>-35.35270613821352</c:v>
                </c:pt>
                <c:pt idx="164">
                  <c:v>-35.410007715015766</c:v>
                </c:pt>
                <c:pt idx="165">
                  <c:v>-35.478807124488547</c:v>
                </c:pt>
                <c:pt idx="166">
                  <c:v>-35.562431337465185</c:v>
                </c:pt>
                <c:pt idx="167">
                  <c:v>-35.665462355694352</c:v>
                </c:pt>
                <c:pt idx="168">
                  <c:v>-35.79434700900822</c:v>
                </c:pt>
                <c:pt idx="169">
                  <c:v>-35.958382168001449</c:v>
                </c:pt>
                <c:pt idx="170">
                  <c:v>-36.171365522488401</c:v>
                </c:pt>
                <c:pt idx="171">
                  <c:v>-36.454482457062049</c:v>
                </c:pt>
                <c:pt idx="172">
                  <c:v>-36.841618993864877</c:v>
                </c:pt>
                <c:pt idx="173">
                  <c:v>-37.389765720060637</c:v>
                </c:pt>
                <c:pt idx="174">
                  <c:v>-38.198861603803763</c:v>
                </c:pt>
                <c:pt idx="175">
                  <c:v>-39.015873003781032</c:v>
                </c:pt>
                <c:pt idx="176">
                  <c:v>-39.627765399975225</c:v>
                </c:pt>
                <c:pt idx="177">
                  <c:v>-40.312652641948432</c:v>
                </c:pt>
                <c:pt idx="178">
                  <c:v>-41.063896960568357</c:v>
                </c:pt>
                <c:pt idx="179">
                  <c:v>-41.858812519794697</c:v>
                </c:pt>
                <c:pt idx="180">
                  <c:v>-42.659999999999805</c:v>
                </c:pt>
                <c:pt idx="181">
                  <c:v>-43.461187480204615</c:v>
                </c:pt>
                <c:pt idx="182">
                  <c:v>-44.256103039430592</c:v>
                </c:pt>
                <c:pt idx="183">
                  <c:v>-45.007347358050751</c:v>
                </c:pt>
                <c:pt idx="184">
                  <c:v>-45.692234600024086</c:v>
                </c:pt>
                <c:pt idx="185">
                  <c:v>-46.304126996218393</c:v>
                </c:pt>
                <c:pt idx="186">
                  <c:v>-46.839415910980534</c:v>
                </c:pt>
                <c:pt idx="187">
                  <c:v>-47.293007698182386</c:v>
                </c:pt>
                <c:pt idx="188">
                  <c:v>-47.664388200132052</c:v>
                </c:pt>
                <c:pt idx="189">
                  <c:v>-47.972761659344179</c:v>
                </c:pt>
                <c:pt idx="190">
                  <c:v>-48.234356222935055</c:v>
                </c:pt>
                <c:pt idx="191">
                  <c:v>-48.460104574604877</c:v>
                </c:pt>
                <c:pt idx="192">
                  <c:v>-48.657676551150118</c:v>
                </c:pt>
                <c:pt idx="193">
                  <c:v>-48.832632968616224</c:v>
                </c:pt>
                <c:pt idx="194">
                  <c:v>-48.98911703560757</c:v>
                </c:pt>
                <c:pt idx="195">
                  <c:v>-49.130287520707867</c:v>
                </c:pt>
                <c:pt idx="196">
                  <c:v>-49.258600438733758</c:v>
                </c:pt>
                <c:pt idx="197">
                  <c:v>-49.375998119056263</c:v>
                </c:pt>
                <c:pt idx="198">
                  <c:v>-49.484039622116462</c:v>
                </c:pt>
                <c:pt idx="199">
                  <c:v>-49.583992857526333</c:v>
                </c:pt>
                <c:pt idx="200">
                  <c:v>-49.676901026584297</c:v>
                </c:pt>
                <c:pt idx="201">
                  <c:v>-49.763631434093547</c:v>
                </c:pt>
                <c:pt idx="202">
                  <c:v>-49.844911948719535</c:v>
                </c:pt>
                <c:pt idx="203">
                  <c:v>-49.921358642141037</c:v>
                </c:pt>
                <c:pt idx="204">
                  <c:v>-49.993497020406949</c:v>
                </c:pt>
                <c:pt idx="205">
                  <c:v>-50.061778537737403</c:v>
                </c:pt>
                <c:pt idx="206">
                  <c:v>-50.126593581616582</c:v>
                </c:pt>
                <c:pt idx="207">
                  <c:v>-50.188281781764779</c:v>
                </c:pt>
                <c:pt idx="208">
                  <c:v>-50.247140283183306</c:v>
                </c:pt>
                <c:pt idx="209">
                  <c:v>-50.303430431554347</c:v>
                </c:pt>
                <c:pt idx="210">
                  <c:v>-50.357383225051137</c:v>
                </c:pt>
                <c:pt idx="211">
                  <c:v>-50.409203791627483</c:v>
                </c:pt>
                <c:pt idx="212">
                  <c:v>-50.459075094207456</c:v>
                </c:pt>
                <c:pt idx="213">
                  <c:v>-50.507161008647209</c:v>
                </c:pt>
                <c:pt idx="214">
                  <c:v>-50.553608911974969</c:v>
                </c:pt>
                <c:pt idx="215">
                  <c:v>-50.598551851046651</c:v>
                </c:pt>
                <c:pt idx="216">
                  <c:v>-50.642110390680152</c:v>
                </c:pt>
                <c:pt idx="217">
                  <c:v>-50.68439418107625</c:v>
                </c:pt>
                <c:pt idx="218">
                  <c:v>-50.725503300588855</c:v>
                </c:pt>
                <c:pt idx="219">
                  <c:v>-50.765529412394457</c:v>
                </c:pt>
                <c:pt idx="220">
                  <c:v>-50.804556762512782</c:v>
                </c:pt>
                <c:pt idx="221">
                  <c:v>-50.842663048308587</c:v>
                </c:pt>
                <c:pt idx="222">
                  <c:v>-50.879920175869188</c:v>
                </c:pt>
                <c:pt idx="223">
                  <c:v>-50.916394922419272</c:v>
                </c:pt>
                <c:pt idx="224">
                  <c:v>-50.952149521451041</c:v>
                </c:pt>
                <c:pt idx="225">
                  <c:v>-50.987242184337099</c:v>
                </c:pt>
                <c:pt idx="226">
                  <c:v>-51.021727556151554</c:v>
                </c:pt>
                <c:pt idx="227">
                  <c:v>-51.05565713314369</c:v>
                </c:pt>
                <c:pt idx="228">
                  <c:v>-51.08907963302125</c:v>
                </c:pt>
                <c:pt idx="229">
                  <c:v>-51.122041333804113</c:v>
                </c:pt>
                <c:pt idx="230">
                  <c:v>-51.154586381957117</c:v>
                </c:pt>
                <c:pt idx="231">
                  <c:v>-51.186757076359441</c:v>
                </c:pt>
                <c:pt idx="232">
                  <c:v>-51.218594133884586</c:v>
                </c:pt>
                <c:pt idx="233">
                  <c:v>-51.25013693767611</c:v>
                </c:pt>
                <c:pt idx="234">
                  <c:v>-51.281423773263555</c:v>
                </c:pt>
                <c:pt idx="235">
                  <c:v>-51.312492054195069</c:v>
                </c:pt>
                <c:pt idx="236">
                  <c:v>-51.343378545962366</c:v>
                </c:pt>
                <c:pt idx="237">
                  <c:v>-51.374119582435419</c:v>
                </c:pt>
                <c:pt idx="238">
                  <c:v>-51.404751287687517</c:v>
                </c:pt>
                <c:pt idx="239">
                  <c:v>-51.435309798687086</c:v>
                </c:pt>
                <c:pt idx="240">
                  <c:v>-51.465831498751179</c:v>
                </c:pt>
                <c:pt idx="241">
                  <c:v>-51.496353261433597</c:v>
                </c:pt>
                <c:pt idx="242">
                  <c:v>-51.526912712922709</c:v>
                </c:pt>
                <c:pt idx="243">
                  <c:v>-51.557548520210744</c:v>
                </c:pt>
                <c:pt idx="244">
                  <c:v>-51.588300701358605</c:v>
                </c:pt>
                <c:pt idx="245">
                  <c:v>-51.61921098368849</c:v>
                </c:pt>
                <c:pt idx="246">
                  <c:v>-51.650323204368163</c:v>
                </c:pt>
                <c:pt idx="247">
                  <c:v>-51.681683771600994</c:v>
                </c:pt>
                <c:pt idx="248">
                  <c:v>-51.713342207362778</c:v>
                </c:pt>
                <c:pt idx="249">
                  <c:v>-51.745351783874945</c:v>
                </c:pt>
                <c:pt idx="250">
                  <c:v>-51.777770292546272</c:v>
                </c:pt>
                <c:pt idx="251">
                  <c:v>-51.810660965945345</c:v>
                </c:pt>
                <c:pt idx="252">
                  <c:v>-51.844093615743731</c:v>
                </c:pt>
                <c:pt idx="253">
                  <c:v>-51.878146049198754</c:v>
                </c:pt>
                <c:pt idx="254">
                  <c:v>-51.912905847515923</c:v>
                </c:pt>
                <c:pt idx="255">
                  <c:v>-51.948472650127684</c:v>
                </c:pt>
                <c:pt idx="256">
                  <c:v>-51.984961121014344</c:v>
                </c:pt>
                <c:pt idx="257">
                  <c:v>-52.022504875511743</c:v>
                </c:pt>
                <c:pt idx="258">
                  <c:v>-52.06126178910236</c:v>
                </c:pt>
                <c:pt idx="259">
                  <c:v>-52.101421329833094</c:v>
                </c:pt>
                <c:pt idx="260">
                  <c:v>-52.143214961403601</c:v>
                </c:pt>
                <c:pt idx="261">
                  <c:v>-52.186931357493172</c:v>
                </c:pt>
                <c:pt idx="262">
                  <c:v>-52.232939480707479</c:v>
                </c:pt>
                <c:pt idx="263">
                  <c:v>-52.281725147686238</c:v>
                </c:pt>
                <c:pt idx="264">
                  <c:v>-52.333952233703855</c:v>
                </c:pt>
                <c:pt idx="265">
                  <c:v>-52.390572475251027</c:v>
                </c:pt>
                <c:pt idx="266">
                  <c:v>-52.453041535217181</c:v>
                </c:pt>
                <c:pt idx="267">
                  <c:v>-52.523803026521158</c:v>
                </c:pt>
                <c:pt idx="268">
                  <c:v>-52.6076113605167</c:v>
                </c:pt>
                <c:pt idx="269">
                  <c:v>-52.709106782148517</c:v>
                </c:pt>
                <c:pt idx="270">
                  <c:v>-52.777837231704488</c:v>
                </c:pt>
                <c:pt idx="271">
                  <c:v>-52.709106782092384</c:v>
                </c:pt>
                <c:pt idx="272">
                  <c:v>-52.60761135995876</c:v>
                </c:pt>
                <c:pt idx="273">
                  <c:v>-52.523803026262364</c:v>
                </c:pt>
                <c:pt idx="274">
                  <c:v>-52.453041534517247</c:v>
                </c:pt>
                <c:pt idx="275">
                  <c:v>-52.390572475467046</c:v>
                </c:pt>
                <c:pt idx="276">
                  <c:v>-52.333952233041138</c:v>
                </c:pt>
                <c:pt idx="277">
                  <c:v>-52.281725147680532</c:v>
                </c:pt>
                <c:pt idx="278">
                  <c:v>-52.232939480328213</c:v>
                </c:pt>
                <c:pt idx="279">
                  <c:v>-52.186931358047595</c:v>
                </c:pt>
                <c:pt idx="280">
                  <c:v>-52.143214960914044</c:v>
                </c:pt>
                <c:pt idx="281">
                  <c:v>-52.101421330073805</c:v>
                </c:pt>
                <c:pt idx="282">
                  <c:v>-52.061261789389441</c:v>
                </c:pt>
                <c:pt idx="283">
                  <c:v>-52.022504875340161</c:v>
                </c:pt>
                <c:pt idx="284">
                  <c:v>-51.984961120745844</c:v>
                </c:pt>
                <c:pt idx="285">
                  <c:v>-51.948472650350553</c:v>
                </c:pt>
                <c:pt idx="286">
                  <c:v>-51.912905847367</c:v>
                </c:pt>
                <c:pt idx="287">
                  <c:v>-51.87814604919901</c:v>
                </c:pt>
                <c:pt idx="288">
                  <c:v>-51.844093615743937</c:v>
                </c:pt>
                <c:pt idx="289">
                  <c:v>-51.810660965945509</c:v>
                </c:pt>
                <c:pt idx="290">
                  <c:v>-51.777770292546585</c:v>
                </c:pt>
                <c:pt idx="291">
                  <c:v>-51.745351783875002</c:v>
                </c:pt>
                <c:pt idx="292">
                  <c:v>-51.713342207363098</c:v>
                </c:pt>
                <c:pt idx="293">
                  <c:v>-51.68168377160103</c:v>
                </c:pt>
                <c:pt idx="294">
                  <c:v>-51.650323204368334</c:v>
                </c:pt>
                <c:pt idx="295">
                  <c:v>-51.619210983688539</c:v>
                </c:pt>
                <c:pt idx="296">
                  <c:v>-51.58830070135857</c:v>
                </c:pt>
                <c:pt idx="297">
                  <c:v>-51.557548520210872</c:v>
                </c:pt>
                <c:pt idx="298">
                  <c:v>-51.526912712922737</c:v>
                </c:pt>
                <c:pt idx="299">
                  <c:v>-51.496353261433363</c:v>
                </c:pt>
                <c:pt idx="300">
                  <c:v>-51.465831498751307</c:v>
                </c:pt>
                <c:pt idx="301">
                  <c:v>-51.435309798686887</c:v>
                </c:pt>
                <c:pt idx="302">
                  <c:v>-51.40475128768734</c:v>
                </c:pt>
                <c:pt idx="303">
                  <c:v>-51.37411958243549</c:v>
                </c:pt>
                <c:pt idx="304">
                  <c:v>-51.343378545962004</c:v>
                </c:pt>
                <c:pt idx="305">
                  <c:v>-51.31249205419487</c:v>
                </c:pt>
                <c:pt idx="306">
                  <c:v>-51.281423773263221</c:v>
                </c:pt>
                <c:pt idx="307">
                  <c:v>-51.250136937676096</c:v>
                </c:pt>
                <c:pt idx="308">
                  <c:v>-51.218594133884501</c:v>
                </c:pt>
                <c:pt idx="309">
                  <c:v>-51.186757076359406</c:v>
                </c:pt>
                <c:pt idx="310">
                  <c:v>-51.154586381957039</c:v>
                </c:pt>
                <c:pt idx="311">
                  <c:v>-51.122041333803956</c:v>
                </c:pt>
                <c:pt idx="312">
                  <c:v>-51.089079633021228</c:v>
                </c:pt>
                <c:pt idx="313">
                  <c:v>-51.055657133143718</c:v>
                </c:pt>
                <c:pt idx="314">
                  <c:v>-51.02172755615149</c:v>
                </c:pt>
                <c:pt idx="315">
                  <c:v>-50.987242184336928</c:v>
                </c:pt>
                <c:pt idx="316">
                  <c:v>-50.952149521450707</c:v>
                </c:pt>
                <c:pt idx="317">
                  <c:v>-50.91639492241891</c:v>
                </c:pt>
                <c:pt idx="318">
                  <c:v>-50.879920175869032</c:v>
                </c:pt>
                <c:pt idx="319">
                  <c:v>-50.842663048308481</c:v>
                </c:pt>
                <c:pt idx="320">
                  <c:v>-50.804556762512711</c:v>
                </c:pt>
                <c:pt idx="321">
                  <c:v>-50.765529412394081</c:v>
                </c:pt>
                <c:pt idx="322">
                  <c:v>-50.725503300588777</c:v>
                </c:pt>
                <c:pt idx="323">
                  <c:v>-50.684394181075994</c:v>
                </c:pt>
                <c:pt idx="324">
                  <c:v>-50.642110390679903</c:v>
                </c:pt>
                <c:pt idx="325">
                  <c:v>-50.598551851046345</c:v>
                </c:pt>
                <c:pt idx="326">
                  <c:v>-50.553608911974621</c:v>
                </c:pt>
                <c:pt idx="327">
                  <c:v>-50.507161008647053</c:v>
                </c:pt>
                <c:pt idx="328">
                  <c:v>-50.459075094207037</c:v>
                </c:pt>
                <c:pt idx="329">
                  <c:v>-50.409203791627256</c:v>
                </c:pt>
                <c:pt idx="330">
                  <c:v>-50.357383225050896</c:v>
                </c:pt>
                <c:pt idx="331">
                  <c:v>-50.303430431553899</c:v>
                </c:pt>
                <c:pt idx="332">
                  <c:v>-50.247140283182844</c:v>
                </c:pt>
                <c:pt idx="333">
                  <c:v>-50.188281781764559</c:v>
                </c:pt>
                <c:pt idx="334">
                  <c:v>-50.126593581616397</c:v>
                </c:pt>
                <c:pt idx="335">
                  <c:v>-50.061778537737062</c:v>
                </c:pt>
                <c:pt idx="336">
                  <c:v>-49.993497020406586</c:v>
                </c:pt>
                <c:pt idx="337">
                  <c:v>-49.921358642140618</c:v>
                </c:pt>
                <c:pt idx="338">
                  <c:v>-49.844911948719165</c:v>
                </c:pt>
                <c:pt idx="339">
                  <c:v>-49.76363143409327</c:v>
                </c:pt>
                <c:pt idx="340">
                  <c:v>-49.676901026583884</c:v>
                </c:pt>
                <c:pt idx="341">
                  <c:v>-49.5839928575258</c:v>
                </c:pt>
                <c:pt idx="342">
                  <c:v>-49.484039622116093</c:v>
                </c:pt>
                <c:pt idx="343">
                  <c:v>-49.375998119056035</c:v>
                </c:pt>
                <c:pt idx="344">
                  <c:v>-49.258600438733353</c:v>
                </c:pt>
                <c:pt idx="345">
                  <c:v>-49.130287520707469</c:v>
                </c:pt>
                <c:pt idx="346">
                  <c:v>-48.989117035607187</c:v>
                </c:pt>
                <c:pt idx="347">
                  <c:v>-48.832632968615719</c:v>
                </c:pt>
                <c:pt idx="348">
                  <c:v>-48.65767655115004</c:v>
                </c:pt>
                <c:pt idx="349">
                  <c:v>-48.460104574604649</c:v>
                </c:pt>
                <c:pt idx="350">
                  <c:v>-48.23435622293502</c:v>
                </c:pt>
                <c:pt idx="351">
                  <c:v>-47.972761659344059</c:v>
                </c:pt>
                <c:pt idx="352">
                  <c:v>-47.664388200132535</c:v>
                </c:pt>
                <c:pt idx="353">
                  <c:v>-47.293007698182805</c:v>
                </c:pt>
                <c:pt idx="354">
                  <c:v>-46.839415910981778</c:v>
                </c:pt>
                <c:pt idx="355">
                  <c:v>-46.304126996219814</c:v>
                </c:pt>
                <c:pt idx="356">
                  <c:v>-45.692234600026218</c:v>
                </c:pt>
                <c:pt idx="357">
                  <c:v>-45.007347358052918</c:v>
                </c:pt>
                <c:pt idx="358">
                  <c:v>-44.256103039433341</c:v>
                </c:pt>
                <c:pt idx="359">
                  <c:v>-43.461187480207414</c:v>
                </c:pt>
                <c:pt idx="360">
                  <c:v>-42.660000000002043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146.95719247439416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-50.591819980387839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12.2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-4.2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123.89568105682118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-41.298560352273718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L_Section_Capacity!$AE$9:$AE$10</c:f>
              <c:numCache>
                <c:formatCode>0.000</c:formatCode>
                <c:ptCount val="2"/>
                <c:pt idx="0">
                  <c:v>0</c:v>
                </c:pt>
                <c:pt idx="1">
                  <c:v>122</c:v>
                </c:pt>
              </c:numCache>
            </c:numRef>
          </c:xVal>
          <c:yVal>
            <c:numRef>
              <c:f>L_Section_Capacity!$AF$9:$AF$10</c:f>
              <c:numCache>
                <c:formatCode>0.000</c:formatCode>
                <c:ptCount val="2"/>
                <c:pt idx="0">
                  <c:v>0</c:v>
                </c:pt>
                <c:pt idx="1">
                  <c:v>-42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5"/>
          <c:order val="5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L_Section_Capacity!$BJ$2:$BJ$362</c:f>
              <c:numCache>
                <c:formatCode>General</c:formatCode>
                <c:ptCount val="361"/>
                <c:pt idx="0">
                  <c:v>164.6840827369445</c:v>
                </c:pt>
                <c:pt idx="1">
                  <c:v>164.66613973170772</c:v>
                </c:pt>
                <c:pt idx="2">
                  <c:v>164.63126194953361</c:v>
                </c:pt>
                <c:pt idx="3">
                  <c:v>164.58457684895373</c:v>
                </c:pt>
                <c:pt idx="4">
                  <c:v>164.53100886022085</c:v>
                </c:pt>
                <c:pt idx="5">
                  <c:v>164.47364679081613</c:v>
                </c:pt>
                <c:pt idx="6">
                  <c:v>164.41496544260826</c:v>
                </c:pt>
                <c:pt idx="7">
                  <c:v>164.35747238684408</c:v>
                </c:pt>
                <c:pt idx="8">
                  <c:v>164.30326608939259</c:v>
                </c:pt>
                <c:pt idx="9">
                  <c:v>164.25214595232671</c:v>
                </c:pt>
                <c:pt idx="10">
                  <c:v>164.20357217849619</c:v>
                </c:pt>
                <c:pt idx="11">
                  <c:v>164.15713481089375</c:v>
                </c:pt>
                <c:pt idx="12">
                  <c:v>164.11251309944339</c:v>
                </c:pt>
                <c:pt idx="13">
                  <c:v>164.06944986083792</c:v>
                </c:pt>
                <c:pt idx="14">
                  <c:v>164.0277345790679</c:v>
                </c:pt>
                <c:pt idx="15">
                  <c:v>163.98719183318946</c:v>
                </c:pt>
                <c:pt idx="16">
                  <c:v>163.94767316301539</c:v>
                </c:pt>
                <c:pt idx="17">
                  <c:v>163.90905116467027</c:v>
                </c:pt>
                <c:pt idx="18">
                  <c:v>163.8712151289742</c:v>
                </c:pt>
                <c:pt idx="19">
                  <c:v>163.83406773972604</c:v>
                </c:pt>
                <c:pt idx="20">
                  <c:v>163.79752254771213</c:v>
                </c:pt>
                <c:pt idx="21">
                  <c:v>163.7615019825374</c:v>
                </c:pt>
                <c:pt idx="22">
                  <c:v>163.72593578507525</c:v>
                </c:pt>
                <c:pt idx="23">
                  <c:v>163.69075974685379</c:v>
                </c:pt>
                <c:pt idx="24">
                  <c:v>163.65591467262774</c:v>
                </c:pt>
                <c:pt idx="25">
                  <c:v>163.62134553703834</c:v>
                </c:pt>
                <c:pt idx="26">
                  <c:v>163.58700077958781</c:v>
                </c:pt>
                <c:pt idx="27">
                  <c:v>163.55283168918061</c:v>
                </c:pt>
                <c:pt idx="28">
                  <c:v>163.51879190386552</c:v>
                </c:pt>
                <c:pt idx="29">
                  <c:v>163.48483695765378</c:v>
                </c:pt>
                <c:pt idx="30">
                  <c:v>163.45092388844242</c:v>
                </c:pt>
                <c:pt idx="31">
                  <c:v>163.41701088708794</c:v>
                </c:pt>
                <c:pt idx="32">
                  <c:v>163.38305698691622</c:v>
                </c:pt>
                <c:pt idx="33">
                  <c:v>163.34902175745904</c:v>
                </c:pt>
                <c:pt idx="34">
                  <c:v>163.3148650517289</c:v>
                </c:pt>
                <c:pt idx="35">
                  <c:v>163.28054672748664</c:v>
                </c:pt>
                <c:pt idx="36">
                  <c:v>163.24602641447916</c:v>
                </c:pt>
                <c:pt idx="37">
                  <c:v>163.21126326404331</c:v>
                </c:pt>
                <c:pt idx="38">
                  <c:v>163.17621570404609</c:v>
                </c:pt>
                <c:pt idx="39">
                  <c:v>163.14084119595</c:v>
                </c:pt>
                <c:pt idx="40">
                  <c:v>163.1050959798676</c:v>
                </c:pt>
                <c:pt idx="41">
                  <c:v>163.06893481482163</c:v>
                </c:pt>
                <c:pt idx="42">
                  <c:v>163.03231070326171</c:v>
                </c:pt>
                <c:pt idx="43">
                  <c:v>162.99517459299122</c:v>
                </c:pt>
                <c:pt idx="44">
                  <c:v>162.95747506152887</c:v>
                </c:pt>
                <c:pt idx="45">
                  <c:v>162.91915798248485</c:v>
                </c:pt>
                <c:pt idx="46">
                  <c:v>162.88016613517476</c:v>
                </c:pt>
                <c:pt idx="47">
                  <c:v>162.84043880253228</c:v>
                </c:pt>
                <c:pt idx="48">
                  <c:v>162.79991130651209</c:v>
                </c:pt>
                <c:pt idx="49">
                  <c:v>162.75851449830375</c:v>
                </c:pt>
                <c:pt idx="50">
                  <c:v>162.71617418109034</c:v>
                </c:pt>
                <c:pt idx="51">
                  <c:v>162.67281045877061</c:v>
                </c:pt>
                <c:pt idx="52">
                  <c:v>162.62833700096007</c:v>
                </c:pt>
                <c:pt idx="53">
                  <c:v>162.58266020108229</c:v>
                </c:pt>
                <c:pt idx="54">
                  <c:v>162.53567821239048</c:v>
                </c:pt>
                <c:pt idx="55">
                  <c:v>162.48727983451437</c:v>
                </c:pt>
                <c:pt idx="56">
                  <c:v>162.4373432357435</c:v>
                </c:pt>
                <c:pt idx="57">
                  <c:v>162.38573445435568</c:v>
                </c:pt>
                <c:pt idx="58">
                  <c:v>162.3323056597705</c:v>
                </c:pt>
                <c:pt idx="59">
                  <c:v>162.27689310138337</c:v>
                </c:pt>
                <c:pt idx="60">
                  <c:v>162.21931469397992</c:v>
                </c:pt>
                <c:pt idx="61">
                  <c:v>162.15936714635572</c:v>
                </c:pt>
                <c:pt idx="62">
                  <c:v>162.09682253634418</c:v>
                </c:pt>
                <c:pt idx="63">
                  <c:v>162.03142420245234</c:v>
                </c:pt>
                <c:pt idx="64">
                  <c:v>161.96288175740813</c:v>
                </c:pt>
                <c:pt idx="65">
                  <c:v>161.89086504137143</c:v>
                </c:pt>
                <c:pt idx="66">
                  <c:v>161.8149966885351</c:v>
                </c:pt>
                <c:pt idx="67">
                  <c:v>161.73484293531979</c:v>
                </c:pt>
                <c:pt idx="68">
                  <c:v>161.64990216608587</c:v>
                </c:pt>
                <c:pt idx="69">
                  <c:v>161.55959048178082</c:v>
                </c:pt>
                <c:pt idx="70">
                  <c:v>161.46322336225617</c:v>
                </c:pt>
                <c:pt idx="71">
                  <c:v>161.35999206399526</c:v>
                </c:pt>
                <c:pt idx="72">
                  <c:v>161.24893291298804</c:v>
                </c:pt>
                <c:pt idx="73">
                  <c:v>161.12888679952587</c:v>
                </c:pt>
                <c:pt idx="74">
                  <c:v>160.99844493253181</c:v>
                </c:pt>
                <c:pt idx="75">
                  <c:v>160.85587502312811</c:v>
                </c:pt>
                <c:pt idx="76">
                  <c:v>160.69901892861145</c:v>
                </c:pt>
                <c:pt idx="77">
                  <c:v>160.52514774299459</c:v>
                </c:pt>
                <c:pt idx="78">
                  <c:v>160.33075172314378</c:v>
                </c:pt>
                <c:pt idx="79">
                  <c:v>160.11122730495197</c:v>
                </c:pt>
                <c:pt idx="80">
                  <c:v>159.86039580356695</c:v>
                </c:pt>
                <c:pt idx="81">
                  <c:v>159.56973517658548</c:v>
                </c:pt>
                <c:pt idx="82">
                  <c:v>159.22709800080668</c:v>
                </c:pt>
                <c:pt idx="83">
                  <c:v>158.8144529980955</c:v>
                </c:pt>
                <c:pt idx="84">
                  <c:v>158.30362899337067</c:v>
                </c:pt>
                <c:pt idx="85">
                  <c:v>157.64756951774709</c:v>
                </c:pt>
                <c:pt idx="86">
                  <c:v>156.76015873310632</c:v>
                </c:pt>
                <c:pt idx="87">
                  <c:v>155.46138132358749</c:v>
                </c:pt>
                <c:pt idx="88">
                  <c:v>153.28464955077104</c:v>
                </c:pt>
                <c:pt idx="89">
                  <c:v>148.92953384739826</c:v>
                </c:pt>
                <c:pt idx="90">
                  <c:v>142.19999999999877</c:v>
                </c:pt>
                <c:pt idx="91">
                  <c:v>135.47046615260064</c:v>
                </c:pt>
                <c:pt idx="92">
                  <c:v>131.1153504492286</c:v>
                </c:pt>
                <c:pt idx="93">
                  <c:v>128.93861867641277</c:v>
                </c:pt>
                <c:pt idx="94">
                  <c:v>127.63984126689371</c:v>
                </c:pt>
                <c:pt idx="95">
                  <c:v>126.75243048225275</c:v>
                </c:pt>
                <c:pt idx="96">
                  <c:v>125.77892004656566</c:v>
                </c:pt>
                <c:pt idx="97">
                  <c:v>124.87751746633859</c:v>
                </c:pt>
                <c:pt idx="98">
                  <c:v>124.26846554854984</c:v>
                </c:pt>
                <c:pt idx="99">
                  <c:v>123.83831384113742</c:v>
                </c:pt>
                <c:pt idx="100">
                  <c:v>123.52373946957562</c:v>
                </c:pt>
                <c:pt idx="101">
                  <c:v>123.28709129796258</c:v>
                </c:pt>
                <c:pt idx="102">
                  <c:v>123.10483001011364</c:v>
                </c:pt>
                <c:pt idx="103">
                  <c:v>122.96162483970735</c:v>
                </c:pt>
                <c:pt idx="104">
                  <c:v>122.84714593104991</c:v>
                </c:pt>
                <c:pt idx="105">
                  <c:v>122.75423013772912</c:v>
                </c:pt>
                <c:pt idx="106">
                  <c:v>122.67778634991308</c:v>
                </c:pt>
                <c:pt idx="107">
                  <c:v>122.61411793178047</c:v>
                </c:pt>
                <c:pt idx="108">
                  <c:v>122.56048997841268</c:v>
                </c:pt>
                <c:pt idx="109">
                  <c:v>122.5148452574787</c:v>
                </c:pt>
                <c:pt idx="110">
                  <c:v>122.47561318416757</c:v>
                </c:pt>
                <c:pt idx="111">
                  <c:v>122.44157862868094</c:v>
                </c:pt>
                <c:pt idx="112">
                  <c:v>122.41179002402939</c:v>
                </c:pt>
                <c:pt idx="113">
                  <c:v>122.38549393520779</c:v>
                </c:pt>
                <c:pt idx="114">
                  <c:v>122.36208770619405</c:v>
                </c:pt>
                <c:pt idx="115">
                  <c:v>122.34108471721029</c:v>
                </c:pt>
                <c:pt idx="116">
                  <c:v>122.32208856438623</c:v>
                </c:pt>
                <c:pt idx="117">
                  <c:v>122.30477362713208</c:v>
                </c:pt>
                <c:pt idx="118">
                  <c:v>122.28887029075032</c:v>
                </c:pt>
                <c:pt idx="119">
                  <c:v>122.27415360274048</c:v>
                </c:pt>
                <c:pt idx="120">
                  <c:v>122.26043445724346</c:v>
                </c:pt>
                <c:pt idx="121">
                  <c:v>122.24755270763112</c:v>
                </c:pt>
                <c:pt idx="122">
                  <c:v>122.23537171798466</c:v>
                </c:pt>
                <c:pt idx="123">
                  <c:v>122.22377404020725</c:v>
                </c:pt>
                <c:pt idx="124">
                  <c:v>122.21265793052123</c:v>
                </c:pt>
                <c:pt idx="125">
                  <c:v>122.20193454234686</c:v>
                </c:pt>
                <c:pt idx="126">
                  <c:v>122.19152563728395</c:v>
                </c:pt>
                <c:pt idx="127">
                  <c:v>122.18136170473588</c:v>
                </c:pt>
                <c:pt idx="128">
                  <c:v>122.171380402094</c:v>
                </c:pt>
                <c:pt idx="129">
                  <c:v>122.16152524904246</c:v>
                </c:pt>
                <c:pt idx="130">
                  <c:v>122.15174453540493</c:v>
                </c:pt>
                <c:pt idx="131">
                  <c:v>122.14199037877955</c:v>
                </c:pt>
                <c:pt idx="132">
                  <c:v>122.13221791524626</c:v>
                </c:pt>
                <c:pt idx="133">
                  <c:v>122.12238459290228</c:v>
                </c:pt>
                <c:pt idx="134">
                  <c:v>122.11244953786593</c:v>
                </c:pt>
                <c:pt idx="135">
                  <c:v>122.10237299228415</c:v>
                </c:pt>
                <c:pt idx="136">
                  <c:v>122.09211577518278</c:v>
                </c:pt>
                <c:pt idx="137">
                  <c:v>122.08163879694604</c:v>
                </c:pt>
                <c:pt idx="138">
                  <c:v>122.07090258220296</c:v>
                </c:pt>
                <c:pt idx="139">
                  <c:v>122.0598667840539</c:v>
                </c:pt>
                <c:pt idx="140">
                  <c:v>122.04848972275802</c:v>
                </c:pt>
                <c:pt idx="141">
                  <c:v>122.03672788327926</c:v>
                </c:pt>
                <c:pt idx="142">
                  <c:v>122.02453540007923</c:v>
                </c:pt>
                <c:pt idx="143">
                  <c:v>122.01186348928799</c:v>
                </c:pt>
                <c:pt idx="144">
                  <c:v>121.9986598366107</c:v>
                </c:pt>
                <c:pt idx="145">
                  <c:v>121.98486791945965</c:v>
                </c:pt>
                <c:pt idx="146">
                  <c:v>121.97042622650355</c:v>
                </c:pt>
                <c:pt idx="147">
                  <c:v>121.95526737557016</c:v>
                </c:pt>
                <c:pt idx="148">
                  <c:v>121.93931710210354</c:v>
                </c:pt>
                <c:pt idx="149">
                  <c:v>121.92249306486008</c:v>
                </c:pt>
                <c:pt idx="150">
                  <c:v>121.90470345617973</c:v>
                </c:pt>
                <c:pt idx="151">
                  <c:v>121.88584533861467</c:v>
                </c:pt>
                <c:pt idx="152">
                  <c:v>121.86580267723475</c:v>
                </c:pt>
                <c:pt idx="153">
                  <c:v>121.84444394669617</c:v>
                </c:pt>
                <c:pt idx="154">
                  <c:v>121.82161924851874</c:v>
                </c:pt>
                <c:pt idx="155">
                  <c:v>121.79715677025271</c:v>
                </c:pt>
                <c:pt idx="156">
                  <c:v>121.77085842826672</c:v>
                </c:pt>
                <c:pt idx="157">
                  <c:v>121.74249444049477</c:v>
                </c:pt>
                <c:pt idx="158">
                  <c:v>121.71179652236476</c:v>
                </c:pt>
                <c:pt idx="159">
                  <c:v>121.67844926833192</c:v>
                </c:pt>
                <c:pt idx="160">
                  <c:v>121.6420791141675</c:v>
                </c:pt>
                <c:pt idx="161">
                  <c:v>121.60224005126236</c:v>
                </c:pt>
                <c:pt idx="162">
                  <c:v>121.55839490620568</c:v>
                </c:pt>
                <c:pt idx="163">
                  <c:v>121.5098904970579</c:v>
                </c:pt>
                <c:pt idx="164">
                  <c:v>121.45592413572882</c:v>
                </c:pt>
                <c:pt idx="165">
                  <c:v>121.3954977513618</c:v>
                </c:pt>
                <c:pt idx="166">
                  <c:v>121.3273538973792</c:v>
                </c:pt>
                <c:pt idx="167">
                  <c:v>121.24988460934122</c:v>
                </c:pt>
                <c:pt idx="168">
                  <c:v>121.16099853919891</c:v>
                </c:pt>
                <c:pt idx="169">
                  <c:v>121.0579219948462</c:v>
                </c:pt>
                <c:pt idx="170">
                  <c:v>120.93689157717469</c:v>
                </c:pt>
                <c:pt idx="171">
                  <c:v>120.79266168501928</c:v>
                </c:pt>
                <c:pt idx="172">
                  <c:v>120.6176802111849</c:v>
                </c:pt>
                <c:pt idx="173">
                  <c:v>120.40063385640715</c:v>
                </c:pt>
                <c:pt idx="174">
                  <c:v>120.12411866813392</c:v>
                </c:pt>
                <c:pt idx="175">
                  <c:v>119.92635320918643</c:v>
                </c:pt>
                <c:pt idx="176">
                  <c:v>119.86899113978427</c:v>
                </c:pt>
                <c:pt idx="177">
                  <c:v>119.81542315104801</c:v>
                </c:pt>
                <c:pt idx="178">
                  <c:v>119.76873805046694</c:v>
                </c:pt>
                <c:pt idx="179">
                  <c:v>119.73386026829532</c:v>
                </c:pt>
                <c:pt idx="180">
                  <c:v>119.71591726306005</c:v>
                </c:pt>
                <c:pt idx="181">
                  <c:v>119.73386026828814</c:v>
                </c:pt>
                <c:pt idx="182">
                  <c:v>119.76873805046205</c:v>
                </c:pt>
                <c:pt idx="183">
                  <c:v>119.81542315104323</c:v>
                </c:pt>
                <c:pt idx="184">
                  <c:v>119.86899113977904</c:v>
                </c:pt>
                <c:pt idx="185">
                  <c:v>119.92635320918336</c:v>
                </c:pt>
                <c:pt idx="186">
                  <c:v>119.98503455738833</c:v>
                </c:pt>
                <c:pt idx="187">
                  <c:v>120.04252761315377</c:v>
                </c:pt>
                <c:pt idx="188">
                  <c:v>120.09673391060659</c:v>
                </c:pt>
                <c:pt idx="189">
                  <c:v>120.14785404767113</c:v>
                </c:pt>
                <c:pt idx="190">
                  <c:v>120.19642782150301</c:v>
                </c:pt>
                <c:pt idx="191">
                  <c:v>120.24286518910488</c:v>
                </c:pt>
                <c:pt idx="192">
                  <c:v>120.28748690055602</c:v>
                </c:pt>
                <c:pt idx="193">
                  <c:v>120.33055013916095</c:v>
                </c:pt>
                <c:pt idx="194">
                  <c:v>120.37226542093079</c:v>
                </c:pt>
                <c:pt idx="195">
                  <c:v>120.41280816680924</c:v>
                </c:pt>
                <c:pt idx="196">
                  <c:v>120.45232683698364</c:v>
                </c:pt>
                <c:pt idx="197">
                  <c:v>120.49094883532942</c:v>
                </c:pt>
                <c:pt idx="198">
                  <c:v>120.52878487102475</c:v>
                </c:pt>
                <c:pt idx="199">
                  <c:v>120.56593226027243</c:v>
                </c:pt>
                <c:pt idx="200">
                  <c:v>120.60247745228756</c:v>
                </c:pt>
                <c:pt idx="201">
                  <c:v>120.63849801746245</c:v>
                </c:pt>
                <c:pt idx="202">
                  <c:v>120.67406421492396</c:v>
                </c:pt>
                <c:pt idx="203">
                  <c:v>120.70924025314628</c:v>
                </c:pt>
                <c:pt idx="204">
                  <c:v>120.74408532737152</c:v>
                </c:pt>
                <c:pt idx="205">
                  <c:v>120.77865446296087</c:v>
                </c:pt>
                <c:pt idx="206">
                  <c:v>120.81299922041163</c:v>
                </c:pt>
                <c:pt idx="207">
                  <c:v>120.84716831081906</c:v>
                </c:pt>
                <c:pt idx="208">
                  <c:v>120.88120809613383</c:v>
                </c:pt>
                <c:pt idx="209">
                  <c:v>120.91516304234543</c:v>
                </c:pt>
                <c:pt idx="210">
                  <c:v>120.9490761115575</c:v>
                </c:pt>
                <c:pt idx="211">
                  <c:v>120.98298911291147</c:v>
                </c:pt>
                <c:pt idx="212">
                  <c:v>121.01694301308312</c:v>
                </c:pt>
                <c:pt idx="213">
                  <c:v>121.05097824254096</c:v>
                </c:pt>
                <c:pt idx="214">
                  <c:v>121.08513494827025</c:v>
                </c:pt>
                <c:pt idx="215">
                  <c:v>121.11945327251289</c:v>
                </c:pt>
                <c:pt idx="216">
                  <c:v>121.15397358552102</c:v>
                </c:pt>
                <c:pt idx="217">
                  <c:v>121.18873673595624</c:v>
                </c:pt>
                <c:pt idx="218">
                  <c:v>121.22378429595369</c:v>
                </c:pt>
                <c:pt idx="219">
                  <c:v>121.25915880404978</c:v>
                </c:pt>
                <c:pt idx="220">
                  <c:v>121.29490402013229</c:v>
                </c:pt>
                <c:pt idx="221">
                  <c:v>121.33106518517812</c:v>
                </c:pt>
                <c:pt idx="222">
                  <c:v>121.36768929673806</c:v>
                </c:pt>
                <c:pt idx="223">
                  <c:v>121.40482540700823</c:v>
                </c:pt>
                <c:pt idx="224">
                  <c:v>121.44252493847083</c:v>
                </c:pt>
                <c:pt idx="225">
                  <c:v>121.48084201751473</c:v>
                </c:pt>
                <c:pt idx="226">
                  <c:v>121.51983386482512</c:v>
                </c:pt>
                <c:pt idx="227">
                  <c:v>121.55956119746777</c:v>
                </c:pt>
                <c:pt idx="228">
                  <c:v>121.60008869348775</c:v>
                </c:pt>
                <c:pt idx="229">
                  <c:v>121.64148550169602</c:v>
                </c:pt>
                <c:pt idx="230">
                  <c:v>121.68382581890975</c:v>
                </c:pt>
                <c:pt idx="231">
                  <c:v>121.72718954122922</c:v>
                </c:pt>
                <c:pt idx="232">
                  <c:v>121.77166299903975</c:v>
                </c:pt>
                <c:pt idx="233">
                  <c:v>121.81733979891754</c:v>
                </c:pt>
                <c:pt idx="234">
                  <c:v>121.86432178760913</c:v>
                </c:pt>
                <c:pt idx="235">
                  <c:v>121.91272016548533</c:v>
                </c:pt>
                <c:pt idx="236">
                  <c:v>121.96265676425614</c:v>
                </c:pt>
                <c:pt idx="237">
                  <c:v>122.01426554564415</c:v>
                </c:pt>
                <c:pt idx="238">
                  <c:v>122.06769434022908</c:v>
                </c:pt>
                <c:pt idx="239">
                  <c:v>122.12310689861631</c:v>
                </c:pt>
                <c:pt idx="240">
                  <c:v>122.18068530601995</c:v>
                </c:pt>
                <c:pt idx="241">
                  <c:v>122.24063285364386</c:v>
                </c:pt>
                <c:pt idx="242">
                  <c:v>122.30317746365557</c:v>
                </c:pt>
                <c:pt idx="243">
                  <c:v>122.36857579754766</c:v>
                </c:pt>
                <c:pt idx="244">
                  <c:v>122.43711824259198</c:v>
                </c:pt>
                <c:pt idx="245">
                  <c:v>122.50913495862865</c:v>
                </c:pt>
                <c:pt idx="246">
                  <c:v>122.58500331146504</c:v>
                </c:pt>
                <c:pt idx="247">
                  <c:v>122.66515706468036</c:v>
                </c:pt>
                <c:pt idx="248">
                  <c:v>122.75009783391451</c:v>
                </c:pt>
                <c:pt idx="249">
                  <c:v>122.8404095182192</c:v>
                </c:pt>
                <c:pt idx="250">
                  <c:v>122.93677663774395</c:v>
                </c:pt>
                <c:pt idx="251">
                  <c:v>123.04000793600463</c:v>
                </c:pt>
                <c:pt idx="252">
                  <c:v>123.15106708701188</c:v>
                </c:pt>
                <c:pt idx="253">
                  <c:v>123.27111320047422</c:v>
                </c:pt>
                <c:pt idx="254">
                  <c:v>123.40155506746851</c:v>
                </c:pt>
                <c:pt idx="255">
                  <c:v>123.54412497687197</c:v>
                </c:pt>
                <c:pt idx="256">
                  <c:v>123.70098107138909</c:v>
                </c:pt>
                <c:pt idx="257">
                  <c:v>123.87485225700564</c:v>
                </c:pt>
                <c:pt idx="258">
                  <c:v>124.06924827685636</c:v>
                </c:pt>
                <c:pt idx="259">
                  <c:v>124.28877269504831</c:v>
                </c:pt>
                <c:pt idx="260">
                  <c:v>124.53960419643352</c:v>
                </c:pt>
                <c:pt idx="261">
                  <c:v>124.83026482341536</c:v>
                </c:pt>
                <c:pt idx="262">
                  <c:v>125.17290199980336</c:v>
                </c:pt>
                <c:pt idx="263">
                  <c:v>125.58554700161847</c:v>
                </c:pt>
                <c:pt idx="264">
                  <c:v>126.09637100623117</c:v>
                </c:pt>
                <c:pt idx="265">
                  <c:v>126.75243048260371</c:v>
                </c:pt>
                <c:pt idx="266">
                  <c:v>127.63984126653857</c:v>
                </c:pt>
                <c:pt idx="267">
                  <c:v>128.93861867632779</c:v>
                </c:pt>
                <c:pt idx="268">
                  <c:v>131.11535044893614</c:v>
                </c:pt>
                <c:pt idx="269">
                  <c:v>135.47046615256559</c:v>
                </c:pt>
                <c:pt idx="270">
                  <c:v>142.19999999998791</c:v>
                </c:pt>
                <c:pt idx="271">
                  <c:v>148.92953384741011</c:v>
                </c:pt>
                <c:pt idx="272">
                  <c:v>153.28464955075901</c:v>
                </c:pt>
                <c:pt idx="273">
                  <c:v>155.46138132344052</c:v>
                </c:pt>
                <c:pt idx="274">
                  <c:v>156.76015873269597</c:v>
                </c:pt>
                <c:pt idx="275">
                  <c:v>157.64756951766159</c:v>
                </c:pt>
                <c:pt idx="276">
                  <c:v>158.30362899286746</c:v>
                </c:pt>
                <c:pt idx="277">
                  <c:v>158.81445299837159</c:v>
                </c:pt>
                <c:pt idx="278">
                  <c:v>159.22709799961498</c:v>
                </c:pt>
                <c:pt idx="279">
                  <c:v>159.56973517746931</c:v>
                </c:pt>
                <c:pt idx="280">
                  <c:v>159.86039580275431</c:v>
                </c:pt>
                <c:pt idx="281">
                  <c:v>160.11122730536263</c:v>
                </c:pt>
                <c:pt idx="282">
                  <c:v>160.33075172364781</c:v>
                </c:pt>
                <c:pt idx="283">
                  <c:v>160.525147742684</c:v>
                </c:pt>
                <c:pt idx="284">
                  <c:v>160.69901892811529</c:v>
                </c:pt>
                <c:pt idx="285">
                  <c:v>160.85587502354707</c:v>
                </c:pt>
                <c:pt idx="286">
                  <c:v>160.99844493224509</c:v>
                </c:pt>
                <c:pt idx="287">
                  <c:v>161.12888679952584</c:v>
                </c:pt>
                <c:pt idx="288">
                  <c:v>161.24893291298829</c:v>
                </c:pt>
                <c:pt idx="289">
                  <c:v>161.35999206399543</c:v>
                </c:pt>
                <c:pt idx="290">
                  <c:v>161.46322336225631</c:v>
                </c:pt>
                <c:pt idx="291">
                  <c:v>161.5595904817807</c:v>
                </c:pt>
                <c:pt idx="292">
                  <c:v>161.64990216608558</c:v>
                </c:pt>
                <c:pt idx="293">
                  <c:v>161.73484293531962</c:v>
                </c:pt>
                <c:pt idx="294">
                  <c:v>161.81499668853485</c:v>
                </c:pt>
                <c:pt idx="295">
                  <c:v>161.89086504137114</c:v>
                </c:pt>
                <c:pt idx="296">
                  <c:v>161.96288175740781</c:v>
                </c:pt>
                <c:pt idx="297">
                  <c:v>162.0314242024522</c:v>
                </c:pt>
                <c:pt idx="298">
                  <c:v>162.09682253634404</c:v>
                </c:pt>
                <c:pt idx="299">
                  <c:v>162.15936714635566</c:v>
                </c:pt>
                <c:pt idx="300">
                  <c:v>162.21931469397978</c:v>
                </c:pt>
                <c:pt idx="301">
                  <c:v>162.27689310138308</c:v>
                </c:pt>
                <c:pt idx="302">
                  <c:v>162.3323056597703</c:v>
                </c:pt>
                <c:pt idx="303">
                  <c:v>162.38573445435543</c:v>
                </c:pt>
                <c:pt idx="304">
                  <c:v>162.43734323574293</c:v>
                </c:pt>
                <c:pt idx="305">
                  <c:v>162.48727983451403</c:v>
                </c:pt>
                <c:pt idx="306">
                  <c:v>162.53567821238997</c:v>
                </c:pt>
                <c:pt idx="307">
                  <c:v>162.58266020108201</c:v>
                </c:pt>
                <c:pt idx="308">
                  <c:v>162.62833700095968</c:v>
                </c:pt>
                <c:pt idx="309">
                  <c:v>162.67281045877019</c:v>
                </c:pt>
                <c:pt idx="310">
                  <c:v>162.71617418108966</c:v>
                </c:pt>
                <c:pt idx="311">
                  <c:v>162.75851449830333</c:v>
                </c:pt>
                <c:pt idx="312">
                  <c:v>162.79991130651166</c:v>
                </c:pt>
                <c:pt idx="313">
                  <c:v>162.84043880253165</c:v>
                </c:pt>
                <c:pt idx="314">
                  <c:v>162.88016613517428</c:v>
                </c:pt>
                <c:pt idx="315">
                  <c:v>162.91915798248445</c:v>
                </c:pt>
                <c:pt idx="316">
                  <c:v>162.95747506152813</c:v>
                </c:pt>
                <c:pt idx="317">
                  <c:v>162.99517459299045</c:v>
                </c:pt>
                <c:pt idx="318">
                  <c:v>163.03231070326103</c:v>
                </c:pt>
                <c:pt idx="319">
                  <c:v>163.06893481482103</c:v>
                </c:pt>
                <c:pt idx="320">
                  <c:v>163.10509597986675</c:v>
                </c:pt>
                <c:pt idx="321">
                  <c:v>163.14084119594864</c:v>
                </c:pt>
                <c:pt idx="322">
                  <c:v>163.17621570404532</c:v>
                </c:pt>
                <c:pt idx="323">
                  <c:v>163.21126326404249</c:v>
                </c:pt>
                <c:pt idx="324">
                  <c:v>163.24602641447765</c:v>
                </c:pt>
                <c:pt idx="325">
                  <c:v>163.28054672748573</c:v>
                </c:pt>
                <c:pt idx="326">
                  <c:v>163.31486505172822</c:v>
                </c:pt>
                <c:pt idx="327">
                  <c:v>163.34902175745782</c:v>
                </c:pt>
                <c:pt idx="328">
                  <c:v>163.38305698691522</c:v>
                </c:pt>
                <c:pt idx="329">
                  <c:v>163.41701088708737</c:v>
                </c:pt>
                <c:pt idx="330">
                  <c:v>163.450923888441</c:v>
                </c:pt>
                <c:pt idx="331">
                  <c:v>163.48483695765265</c:v>
                </c:pt>
                <c:pt idx="332">
                  <c:v>163.51879190386421</c:v>
                </c:pt>
                <c:pt idx="333">
                  <c:v>163.55283168917947</c:v>
                </c:pt>
                <c:pt idx="334">
                  <c:v>163.58700077958673</c:v>
                </c:pt>
                <c:pt idx="335">
                  <c:v>163.62134553703692</c:v>
                </c:pt>
                <c:pt idx="336">
                  <c:v>163.65591467262624</c:v>
                </c:pt>
                <c:pt idx="337">
                  <c:v>163.69075974685128</c:v>
                </c:pt>
                <c:pt idx="338">
                  <c:v>163.72593578507349</c:v>
                </c:pt>
                <c:pt idx="339">
                  <c:v>163.76150198253526</c:v>
                </c:pt>
                <c:pt idx="340">
                  <c:v>163.79752254770972</c:v>
                </c:pt>
                <c:pt idx="341">
                  <c:v>163.83406773972411</c:v>
                </c:pt>
                <c:pt idx="342">
                  <c:v>163.8712151289723</c:v>
                </c:pt>
                <c:pt idx="343">
                  <c:v>163.90905116466791</c:v>
                </c:pt>
                <c:pt idx="344">
                  <c:v>163.94767316301269</c:v>
                </c:pt>
                <c:pt idx="345">
                  <c:v>163.98719183318673</c:v>
                </c:pt>
                <c:pt idx="346">
                  <c:v>164.02773457906488</c:v>
                </c:pt>
                <c:pt idx="347">
                  <c:v>164.06944986083388</c:v>
                </c:pt>
                <c:pt idx="348">
                  <c:v>164.11251309943998</c:v>
                </c:pt>
                <c:pt idx="349">
                  <c:v>164.15713481088966</c:v>
                </c:pt>
                <c:pt idx="350">
                  <c:v>164.2035721784915</c:v>
                </c:pt>
                <c:pt idx="351">
                  <c:v>164.25214595232131</c:v>
                </c:pt>
                <c:pt idx="352">
                  <c:v>164.30326608938651</c:v>
                </c:pt>
                <c:pt idx="353">
                  <c:v>164.35747238683632</c:v>
                </c:pt>
                <c:pt idx="354">
                  <c:v>164.41496544260175</c:v>
                </c:pt>
                <c:pt idx="355">
                  <c:v>164.47364679080513</c:v>
                </c:pt>
                <c:pt idx="356">
                  <c:v>164.5310088602107</c:v>
                </c:pt>
                <c:pt idx="357">
                  <c:v>164.58457684894219</c:v>
                </c:pt>
                <c:pt idx="358">
                  <c:v>164.63126194952417</c:v>
                </c:pt>
                <c:pt idx="359">
                  <c:v>164.66613973169558</c:v>
                </c:pt>
                <c:pt idx="360">
                  <c:v>164.68408273693171</c:v>
                </c:pt>
              </c:numCache>
            </c:numRef>
          </c:xVal>
          <c:yVal>
            <c:numRef>
              <c:f>L_Section_Capacity!$BK$2:$BK$362</c:f>
              <c:numCache>
                <c:formatCode>General</c:formatCode>
                <c:ptCount val="361"/>
                <c:pt idx="0">
                  <c:v>-47.399999999999864</c:v>
                </c:pt>
                <c:pt idx="1">
                  <c:v>-46.509791688660584</c:v>
                </c:pt>
                <c:pt idx="2">
                  <c:v>-45.626552178409845</c:v>
                </c:pt>
                <c:pt idx="3">
                  <c:v>-44.791836268832071</c:v>
                </c:pt>
                <c:pt idx="4">
                  <c:v>-44.030850444416956</c:v>
                </c:pt>
                <c:pt idx="5">
                  <c:v>-43.350970004201372</c:v>
                </c:pt>
                <c:pt idx="6">
                  <c:v>-42.756204543354727</c:v>
                </c:pt>
                <c:pt idx="7">
                  <c:v>-42.252213668686267</c:v>
                </c:pt>
                <c:pt idx="8">
                  <c:v>-41.839568666519689</c:v>
                </c:pt>
                <c:pt idx="9">
                  <c:v>-41.496931489617609</c:v>
                </c:pt>
                <c:pt idx="10">
                  <c:v>-41.206270863405408</c:v>
                </c:pt>
                <c:pt idx="11">
                  <c:v>-40.955439361550297</c:v>
                </c:pt>
                <c:pt idx="12">
                  <c:v>-40.735914943166534</c:v>
                </c:pt>
                <c:pt idx="13">
                  <c:v>-40.541518923759824</c:v>
                </c:pt>
                <c:pt idx="14">
                  <c:v>-40.367647738214046</c:v>
                </c:pt>
                <c:pt idx="15">
                  <c:v>-40.210791643658169</c:v>
                </c:pt>
                <c:pt idx="16">
                  <c:v>-40.068221734740362</c:v>
                </c:pt>
                <c:pt idx="17">
                  <c:v>-39.937779867715264</c:v>
                </c:pt>
                <c:pt idx="18">
                  <c:v>-39.817733753204159</c:v>
                </c:pt>
                <c:pt idx="19">
                  <c:v>-39.706674602748883</c:v>
                </c:pt>
                <c:pt idx="20">
                  <c:v>-39.603443303795252</c:v>
                </c:pt>
                <c:pt idx="21">
                  <c:v>-39.507076184340498</c:v>
                </c:pt>
                <c:pt idx="22">
                  <c:v>-39.416764501422911</c:v>
                </c:pt>
                <c:pt idx="23">
                  <c:v>-39.331823730954255</c:v>
                </c:pt>
                <c:pt idx="24">
                  <c:v>-39.251669977325761</c:v>
                </c:pt>
                <c:pt idx="25">
                  <c:v>-39.175801624736387</c:v>
                </c:pt>
                <c:pt idx="26">
                  <c:v>-39.103784909315046</c:v>
                </c:pt>
                <c:pt idx="27">
                  <c:v>-39.035242464705846</c:v>
                </c:pt>
                <c:pt idx="28">
                  <c:v>-38.969844129796606</c:v>
                </c:pt>
                <c:pt idx="29">
                  <c:v>-38.907299520495464</c:v>
                </c:pt>
                <c:pt idx="30">
                  <c:v>-38.84735197216532</c:v>
                </c:pt>
                <c:pt idx="31">
                  <c:v>-38.78977356485855</c:v>
                </c:pt>
                <c:pt idx="32">
                  <c:v>-38.734361006436373</c:v>
                </c:pt>
                <c:pt idx="33">
                  <c:v>-38.680932212614024</c:v>
                </c:pt>
                <c:pt idx="34">
                  <c:v>-38.629323431139234</c:v>
                </c:pt>
                <c:pt idx="35">
                  <c:v>-38.57938683217052</c:v>
                </c:pt>
                <c:pt idx="36">
                  <c:v>-38.530988454799605</c:v>
                </c:pt>
                <c:pt idx="37">
                  <c:v>-38.484006465470976</c:v>
                </c:pt>
                <c:pt idx="38">
                  <c:v>-38.438329666012336</c:v>
                </c:pt>
                <c:pt idx="39">
                  <c:v>-38.393856208450657</c:v>
                </c:pt>
                <c:pt idx="40">
                  <c:v>-38.350492486096769</c:v>
                </c:pt>
                <c:pt idx="41">
                  <c:v>-38.308152168546044</c:v>
                </c:pt>
                <c:pt idx="42">
                  <c:v>-38.266755360145389</c:v>
                </c:pt>
                <c:pt idx="43">
                  <c:v>-38.226227863978814</c:v>
                </c:pt>
                <c:pt idx="44">
                  <c:v>-38.18650053172113</c:v>
                </c:pt>
                <c:pt idx="45">
                  <c:v>-38.147508684070083</c:v>
                </c:pt>
                <c:pt idx="46">
                  <c:v>-38.109191604276148</c:v>
                </c:pt>
                <c:pt idx="47">
                  <c:v>-38.071492074284592</c:v>
                </c:pt>
                <c:pt idx="48">
                  <c:v>-38.034355963309686</c:v>
                </c:pt>
                <c:pt idx="49">
                  <c:v>-37.997731851328865</c:v>
                </c:pt>
                <c:pt idx="50">
                  <c:v>-37.961570686714111</c:v>
                </c:pt>
                <c:pt idx="51">
                  <c:v>-37.925825470711608</c:v>
                </c:pt>
                <c:pt idx="52">
                  <c:v>-37.890450962350513</c:v>
                </c:pt>
                <c:pt idx="53">
                  <c:v>-37.85540340258207</c:v>
                </c:pt>
                <c:pt idx="54">
                  <c:v>-37.820640251929497</c:v>
                </c:pt>
                <c:pt idx="55">
                  <c:v>-37.786119939783262</c:v>
                </c:pt>
                <c:pt idx="56">
                  <c:v>-37.751801615597515</c:v>
                </c:pt>
                <c:pt idx="57">
                  <c:v>-37.717644908405141</c:v>
                </c:pt>
                <c:pt idx="58">
                  <c:v>-37.683609680347374</c:v>
                </c:pt>
                <c:pt idx="59">
                  <c:v>-37.649655779236781</c:v>
                </c:pt>
                <c:pt idx="60">
                  <c:v>-37.615742779165252</c:v>
                </c:pt>
                <c:pt idx="61">
                  <c:v>-37.581829709518502</c:v>
                </c:pt>
                <c:pt idx="62">
                  <c:v>-37.54787476341933</c:v>
                </c:pt>
                <c:pt idx="63">
                  <c:v>-37.513834977543667</c:v>
                </c:pt>
                <c:pt idx="64">
                  <c:v>-37.479665887379106</c:v>
                </c:pt>
                <c:pt idx="65">
                  <c:v>-37.445321129234799</c:v>
                </c:pt>
                <c:pt idx="66">
                  <c:v>-37.410751995146242</c:v>
                </c:pt>
                <c:pt idx="67">
                  <c:v>-37.375906920443157</c:v>
                </c:pt>
                <c:pt idx="68">
                  <c:v>-37.340730880707603</c:v>
                </c:pt>
                <c:pt idx="69">
                  <c:v>-37.305164684583367</c:v>
                </c:pt>
                <c:pt idx="70">
                  <c:v>-37.269144119392919</c:v>
                </c:pt>
                <c:pt idx="71">
                  <c:v>-37.232598926727533</c:v>
                </c:pt>
                <c:pt idx="72">
                  <c:v>-37.195451538062656</c:v>
                </c:pt>
                <c:pt idx="73">
                  <c:v>-37.157615500890053</c:v>
                </c:pt>
                <c:pt idx="74">
                  <c:v>-37.11899350275965</c:v>
                </c:pt>
                <c:pt idx="75">
                  <c:v>-37.079474833191341</c:v>
                </c:pt>
                <c:pt idx="76">
                  <c:v>-37.038932087761296</c:v>
                </c:pt>
                <c:pt idx="77">
                  <c:v>-36.997216804986579</c:v>
                </c:pt>
                <c:pt idx="78">
                  <c:v>-36.954153567663639</c:v>
                </c:pt>
                <c:pt idx="79">
                  <c:v>-36.909531855740546</c:v>
                </c:pt>
                <c:pt idx="80">
                  <c:v>-36.863094487328745</c:v>
                </c:pt>
                <c:pt idx="81">
                  <c:v>-36.814520713895519</c:v>
                </c:pt>
                <c:pt idx="82">
                  <c:v>-36.763400576547937</c:v>
                </c:pt>
                <c:pt idx="83">
                  <c:v>-36.709194280567004</c:v>
                </c:pt>
                <c:pt idx="84">
                  <c:v>-36.651164185098452</c:v>
                </c:pt>
                <c:pt idx="85">
                  <c:v>-36.588252804961122</c:v>
                </c:pt>
                <c:pt idx="86">
                  <c:v>-36.518842739008036</c:v>
                </c:pt>
                <c:pt idx="87">
                  <c:v>-36.440218859525039</c:v>
                </c:pt>
                <c:pt idx="88">
                  <c:v>-36.347098488919052</c:v>
                </c:pt>
                <c:pt idx="89">
                  <c:v>-36.234325797905385</c:v>
                </c:pt>
                <c:pt idx="90">
                  <c:v>-36.157958631262531</c:v>
                </c:pt>
                <c:pt idx="91">
                  <c:v>-36.234325797907069</c:v>
                </c:pt>
                <c:pt idx="92">
                  <c:v>-36.347098488920103</c:v>
                </c:pt>
                <c:pt idx="93">
                  <c:v>-36.440218859525629</c:v>
                </c:pt>
                <c:pt idx="94">
                  <c:v>-36.518842739008491</c:v>
                </c:pt>
                <c:pt idx="95">
                  <c:v>-36.588252804961243</c:v>
                </c:pt>
                <c:pt idx="96">
                  <c:v>-36.790372865454188</c:v>
                </c:pt>
                <c:pt idx="97">
                  <c:v>-37.067300523559773</c:v>
                </c:pt>
                <c:pt idx="98">
                  <c:v>-37.284346877904873</c:v>
                </c:pt>
                <c:pt idx="99">
                  <c:v>-37.459328351907153</c:v>
                </c:pt>
                <c:pt idx="100">
                  <c:v>-37.603558244180114</c:v>
                </c:pt>
                <c:pt idx="101">
                  <c:v>-37.724588661375286</c:v>
                </c:pt>
                <c:pt idx="102">
                  <c:v>-37.827665205458196</c:v>
                </c:pt>
                <c:pt idx="103">
                  <c:v>-37.916551275592823</c:v>
                </c:pt>
                <c:pt idx="104">
                  <c:v>-37.9940205641877</c:v>
                </c:pt>
                <c:pt idx="105">
                  <c:v>-38.062164417642613</c:v>
                </c:pt>
                <c:pt idx="106">
                  <c:v>-38.122590802134361</c:v>
                </c:pt>
                <c:pt idx="107">
                  <c:v>-38.176557164164542</c:v>
                </c:pt>
                <c:pt idx="108">
                  <c:v>-38.225061572283835</c:v>
                </c:pt>
                <c:pt idx="109">
                  <c:v>-38.268906717374385</c:v>
                </c:pt>
                <c:pt idx="110">
                  <c:v>-38.30874578113886</c:v>
                </c:pt>
                <c:pt idx="111">
                  <c:v>-38.345115935695588</c:v>
                </c:pt>
                <c:pt idx="112">
                  <c:v>-38.378463188915042</c:v>
                </c:pt>
                <c:pt idx="113">
                  <c:v>-38.409161106627053</c:v>
                </c:pt>
                <c:pt idx="114">
                  <c:v>-38.437525095056749</c:v>
                </c:pt>
                <c:pt idx="115">
                  <c:v>-38.463823436709063</c:v>
                </c:pt>
                <c:pt idx="116">
                  <c:v>-38.488285914154694</c:v>
                </c:pt>
                <c:pt idx="117">
                  <c:v>-38.511110612831501</c:v>
                </c:pt>
                <c:pt idx="118">
                  <c:v>-38.532469343299155</c:v>
                </c:pt>
                <c:pt idx="119">
                  <c:v>-38.552512005745619</c:v>
                </c:pt>
                <c:pt idx="120">
                  <c:v>-38.571370122635557</c:v>
                </c:pt>
                <c:pt idx="121">
                  <c:v>-38.589159732318791</c:v>
                </c:pt>
                <c:pt idx="122">
                  <c:v>-38.60598376856391</c:v>
                </c:pt>
                <c:pt idx="123">
                  <c:v>-38.621934042246558</c:v>
                </c:pt>
                <c:pt idx="124">
                  <c:v>-38.637092893137243</c:v>
                </c:pt>
                <c:pt idx="125">
                  <c:v>-38.651534587125745</c:v>
                </c:pt>
                <c:pt idx="126">
                  <c:v>-38.665326503773919</c:v>
                </c:pt>
                <c:pt idx="127">
                  <c:v>-38.678530155097611</c:v>
                </c:pt>
                <c:pt idx="128">
                  <c:v>-38.691202067099404</c:v>
                </c:pt>
                <c:pt idx="129">
                  <c:v>-38.703394550725086</c:v>
                </c:pt>
                <c:pt idx="130">
                  <c:v>-38.715156389072668</c:v>
                </c:pt>
                <c:pt idx="131">
                  <c:v>-38.726533450194893</c:v>
                </c:pt>
                <c:pt idx="132">
                  <c:v>-38.737569248136836</c:v>
                </c:pt>
                <c:pt idx="133">
                  <c:v>-38.748305464719031</c:v>
                </c:pt>
                <c:pt idx="134">
                  <c:v>-38.758782441195656</c:v>
                </c:pt>
                <c:pt idx="135">
                  <c:v>-38.769039658765074</c:v>
                </c:pt>
                <c:pt idx="136">
                  <c:v>-38.779116205451835</c:v>
                </c:pt>
                <c:pt idx="137">
                  <c:v>-38.789051258727014</c:v>
                </c:pt>
                <c:pt idx="138">
                  <c:v>-38.798884582023973</c:v>
                </c:pt>
                <c:pt idx="139">
                  <c:v>-38.808657045385146</c:v>
                </c:pt>
                <c:pt idx="140">
                  <c:v>-38.818411202119854</c:v>
                </c:pt>
                <c:pt idx="141">
                  <c:v>-38.828191915173342</c:v>
                </c:pt>
                <c:pt idx="142">
                  <c:v>-38.838047068112388</c:v>
                </c:pt>
                <c:pt idx="143">
                  <c:v>-38.848028371887864</c:v>
                </c:pt>
                <c:pt idx="144">
                  <c:v>-38.858192303524774</c:v>
                </c:pt>
                <c:pt idx="145">
                  <c:v>-38.868601207856706</c:v>
                </c:pt>
                <c:pt idx="146">
                  <c:v>-38.87932459663471</c:v>
                </c:pt>
                <c:pt idx="147">
                  <c:v>-38.890440706882373</c:v>
                </c:pt>
                <c:pt idx="148">
                  <c:v>-38.902038384882616</c:v>
                </c:pt>
                <c:pt idx="149">
                  <c:v>-38.914219373303311</c:v>
                </c:pt>
                <c:pt idx="150">
                  <c:v>-38.927101123753253</c:v>
                </c:pt>
                <c:pt idx="151">
                  <c:v>-38.940820268737873</c:v>
                </c:pt>
                <c:pt idx="152">
                  <c:v>-38.955536957444238</c:v>
                </c:pt>
                <c:pt idx="153">
                  <c:v>-38.971440293558629</c:v>
                </c:pt>
                <c:pt idx="154">
                  <c:v>-38.988755232097951</c:v>
                </c:pt>
                <c:pt idx="155">
                  <c:v>-39.007751384396677</c:v>
                </c:pt>
                <c:pt idx="156">
                  <c:v>-39.028754372295452</c:v>
                </c:pt>
                <c:pt idx="157">
                  <c:v>-39.052160601799812</c:v>
                </c:pt>
                <c:pt idx="158">
                  <c:v>-39.078456690563549</c:v>
                </c:pt>
                <c:pt idx="159">
                  <c:v>-39.108245294796404</c:v>
                </c:pt>
                <c:pt idx="160">
                  <c:v>-39.14227985121444</c:v>
                </c:pt>
                <c:pt idx="161">
                  <c:v>-39.181511923830797</c:v>
                </c:pt>
                <c:pt idx="162">
                  <c:v>-39.227156646058198</c:v>
                </c:pt>
                <c:pt idx="163">
                  <c:v>-39.280784598015025</c:v>
                </c:pt>
                <c:pt idx="164">
                  <c:v>-39.344453016684184</c:v>
                </c:pt>
                <c:pt idx="165">
                  <c:v>-39.420896804987272</c:v>
                </c:pt>
                <c:pt idx="166">
                  <c:v>-39.513812597183538</c:v>
                </c:pt>
                <c:pt idx="167">
                  <c:v>-39.628291506327059</c:v>
                </c:pt>
                <c:pt idx="168">
                  <c:v>-39.771496676675802</c:v>
                </c:pt>
                <c:pt idx="169">
                  <c:v>-39.953757964446055</c:v>
                </c:pt>
                <c:pt idx="170">
                  <c:v>-40.190406136098225</c:v>
                </c:pt>
                <c:pt idx="171">
                  <c:v>-40.504980507846717</c:v>
                </c:pt>
                <c:pt idx="172">
                  <c:v>-40.935132215405417</c:v>
                </c:pt>
                <c:pt idx="173">
                  <c:v>-41.544184133400705</c:v>
                </c:pt>
                <c:pt idx="174">
                  <c:v>-42.44317955978196</c:v>
                </c:pt>
                <c:pt idx="175">
                  <c:v>-43.350970004201145</c:v>
                </c:pt>
                <c:pt idx="176">
                  <c:v>-44.030850444416913</c:v>
                </c:pt>
                <c:pt idx="177">
                  <c:v>-44.791836268831588</c:v>
                </c:pt>
                <c:pt idx="178">
                  <c:v>-45.626552178409284</c:v>
                </c:pt>
                <c:pt idx="179">
                  <c:v>-46.509791688660776</c:v>
                </c:pt>
                <c:pt idx="180">
                  <c:v>-47.399999999999785</c:v>
                </c:pt>
                <c:pt idx="181">
                  <c:v>-48.290208311338461</c:v>
                </c:pt>
                <c:pt idx="182">
                  <c:v>-49.173447821589548</c:v>
                </c:pt>
                <c:pt idx="183">
                  <c:v>-50.0081637311675</c:v>
                </c:pt>
                <c:pt idx="184">
                  <c:v>-50.769149555582317</c:v>
                </c:pt>
                <c:pt idx="185">
                  <c:v>-51.449029995798213</c:v>
                </c:pt>
                <c:pt idx="186">
                  <c:v>-52.043795456645036</c:v>
                </c:pt>
                <c:pt idx="187">
                  <c:v>-52.547786331313759</c:v>
                </c:pt>
                <c:pt idx="188">
                  <c:v>-52.960431333480059</c:v>
                </c:pt>
                <c:pt idx="189">
                  <c:v>-53.303068510382417</c:v>
                </c:pt>
                <c:pt idx="190">
                  <c:v>-53.593729136594504</c:v>
                </c:pt>
                <c:pt idx="191">
                  <c:v>-53.844560638449863</c:v>
                </c:pt>
                <c:pt idx="192">
                  <c:v>-54.064085056833463</c:v>
                </c:pt>
                <c:pt idx="193">
                  <c:v>-54.258481076240244</c:v>
                </c:pt>
                <c:pt idx="194">
                  <c:v>-54.432352261786185</c:v>
                </c:pt>
                <c:pt idx="195">
                  <c:v>-54.58920835634207</c:v>
                </c:pt>
                <c:pt idx="196">
                  <c:v>-54.731778265259727</c:v>
                </c:pt>
                <c:pt idx="197">
                  <c:v>-54.862220132284733</c:v>
                </c:pt>
                <c:pt idx="198">
                  <c:v>-54.982266246796065</c:v>
                </c:pt>
                <c:pt idx="199">
                  <c:v>-55.093325397251476</c:v>
                </c:pt>
                <c:pt idx="200">
                  <c:v>-55.196556696204773</c:v>
                </c:pt>
                <c:pt idx="201">
                  <c:v>-55.292923815659492</c:v>
                </c:pt>
                <c:pt idx="202">
                  <c:v>-55.383235498577257</c:v>
                </c:pt>
                <c:pt idx="203">
                  <c:v>-55.468176269045593</c:v>
                </c:pt>
                <c:pt idx="204">
                  <c:v>-55.548330022674385</c:v>
                </c:pt>
                <c:pt idx="205">
                  <c:v>-55.624198375263781</c:v>
                </c:pt>
                <c:pt idx="206">
                  <c:v>-55.696215090685087</c:v>
                </c:pt>
                <c:pt idx="207">
                  <c:v>-55.764757535294194</c:v>
                </c:pt>
                <c:pt idx="208">
                  <c:v>-55.830155870203669</c:v>
                </c:pt>
                <c:pt idx="209">
                  <c:v>-55.892700479504825</c:v>
                </c:pt>
                <c:pt idx="210">
                  <c:v>-55.952648027834599</c:v>
                </c:pt>
                <c:pt idx="211">
                  <c:v>-56.010226435141647</c:v>
                </c:pt>
                <c:pt idx="212">
                  <c:v>-56.065638993563837</c:v>
                </c:pt>
                <c:pt idx="213">
                  <c:v>-56.119067787385788</c:v>
                </c:pt>
                <c:pt idx="214">
                  <c:v>-56.170676568861076</c:v>
                </c:pt>
                <c:pt idx="215">
                  <c:v>-56.220613167829612</c:v>
                </c:pt>
                <c:pt idx="216">
                  <c:v>-56.269011545200165</c:v>
                </c:pt>
                <c:pt idx="217">
                  <c:v>-56.315993534529163</c:v>
                </c:pt>
                <c:pt idx="218">
                  <c:v>-56.361670333987618</c:v>
                </c:pt>
                <c:pt idx="219">
                  <c:v>-56.406143791549397</c:v>
                </c:pt>
                <c:pt idx="220">
                  <c:v>-56.449507513903086</c:v>
                </c:pt>
                <c:pt idx="221">
                  <c:v>-56.491847831453981</c:v>
                </c:pt>
                <c:pt idx="222">
                  <c:v>-56.533244639854651</c:v>
                </c:pt>
                <c:pt idx="223">
                  <c:v>-56.573772136021411</c:v>
                </c:pt>
                <c:pt idx="224">
                  <c:v>-56.613499468278931</c:v>
                </c:pt>
                <c:pt idx="225">
                  <c:v>-56.652491315930106</c:v>
                </c:pt>
                <c:pt idx="226">
                  <c:v>-56.690808395723948</c:v>
                </c:pt>
                <c:pt idx="227">
                  <c:v>-56.728507925715206</c:v>
                </c:pt>
                <c:pt idx="228">
                  <c:v>-56.765644036690276</c:v>
                </c:pt>
                <c:pt idx="229">
                  <c:v>-56.802268148671232</c:v>
                </c:pt>
                <c:pt idx="230">
                  <c:v>-56.838429313285687</c:v>
                </c:pt>
                <c:pt idx="231">
                  <c:v>-56.874174529288268</c:v>
                </c:pt>
                <c:pt idx="232">
                  <c:v>-56.909549037649541</c:v>
                </c:pt>
                <c:pt idx="233">
                  <c:v>-56.944596597417899</c:v>
                </c:pt>
                <c:pt idx="234">
                  <c:v>-56.979359748070614</c:v>
                </c:pt>
                <c:pt idx="235">
                  <c:v>-57.013880060216742</c:v>
                </c:pt>
                <c:pt idx="236">
                  <c:v>-57.048198384402625</c:v>
                </c:pt>
                <c:pt idx="237">
                  <c:v>-57.082355091594906</c:v>
                </c:pt>
                <c:pt idx="238">
                  <c:v>-57.116390319652794</c:v>
                </c:pt>
                <c:pt idx="239">
                  <c:v>-57.150344220763429</c:v>
                </c:pt>
                <c:pt idx="240">
                  <c:v>-57.184257220834638</c:v>
                </c:pt>
                <c:pt idx="241">
                  <c:v>-57.218170290481773</c:v>
                </c:pt>
                <c:pt idx="242">
                  <c:v>-57.252125236580788</c:v>
                </c:pt>
                <c:pt idx="243">
                  <c:v>-57.28616502245638</c:v>
                </c:pt>
                <c:pt idx="244">
                  <c:v>-57.320334112620671</c:v>
                </c:pt>
                <c:pt idx="245">
                  <c:v>-57.354678870764985</c:v>
                </c:pt>
                <c:pt idx="246">
                  <c:v>-57.389248004853513</c:v>
                </c:pt>
                <c:pt idx="247">
                  <c:v>-57.424093079556656</c:v>
                </c:pt>
                <c:pt idx="248">
                  <c:v>-57.459269119291974</c:v>
                </c:pt>
                <c:pt idx="249">
                  <c:v>-57.494835315416601</c:v>
                </c:pt>
                <c:pt idx="250">
                  <c:v>-57.530855880606964</c:v>
                </c:pt>
                <c:pt idx="251">
                  <c:v>-57.567401073272606</c:v>
                </c:pt>
                <c:pt idx="252">
                  <c:v>-57.604548461937476</c:v>
                </c:pt>
                <c:pt idx="253">
                  <c:v>-57.642384499109724</c:v>
                </c:pt>
                <c:pt idx="254">
                  <c:v>-57.681006497239913</c:v>
                </c:pt>
                <c:pt idx="255">
                  <c:v>-57.720525166808535</c:v>
                </c:pt>
                <c:pt idx="256">
                  <c:v>-57.761067912238161</c:v>
                </c:pt>
                <c:pt idx="257">
                  <c:v>-57.802783195013049</c:v>
                </c:pt>
                <c:pt idx="258">
                  <c:v>-57.845846432335954</c:v>
                </c:pt>
                <c:pt idx="259">
                  <c:v>-57.890468144258989</c:v>
                </c:pt>
                <c:pt idx="260">
                  <c:v>-57.936905512670663</c:v>
                </c:pt>
                <c:pt idx="261">
                  <c:v>-57.985479286103526</c:v>
                </c:pt>
                <c:pt idx="262">
                  <c:v>-58.036599423008312</c:v>
                </c:pt>
                <c:pt idx="263">
                  <c:v>-58.090805719651371</c:v>
                </c:pt>
                <c:pt idx="264">
                  <c:v>-58.148835815226505</c:v>
                </c:pt>
                <c:pt idx="265">
                  <c:v>-58.211747194723358</c:v>
                </c:pt>
                <c:pt idx="266">
                  <c:v>-58.281157261352419</c:v>
                </c:pt>
                <c:pt idx="267">
                  <c:v>-58.359781140579059</c:v>
                </c:pt>
                <c:pt idx="268">
                  <c:v>-58.452901511685219</c:v>
                </c:pt>
                <c:pt idx="269">
                  <c:v>-58.565674202387243</c:v>
                </c:pt>
                <c:pt idx="270">
                  <c:v>-58.642041368560541</c:v>
                </c:pt>
                <c:pt idx="271">
                  <c:v>-58.565674202324871</c:v>
                </c:pt>
                <c:pt idx="272">
                  <c:v>-58.452901511065285</c:v>
                </c:pt>
                <c:pt idx="273">
                  <c:v>-58.359781140291517</c:v>
                </c:pt>
                <c:pt idx="274">
                  <c:v>-58.281157260574716</c:v>
                </c:pt>
                <c:pt idx="275">
                  <c:v>-58.21174719496338</c:v>
                </c:pt>
                <c:pt idx="276">
                  <c:v>-58.148835814490155</c:v>
                </c:pt>
                <c:pt idx="277">
                  <c:v>-58.090805719645033</c:v>
                </c:pt>
                <c:pt idx="278">
                  <c:v>-58.036599422586903</c:v>
                </c:pt>
                <c:pt idx="279">
                  <c:v>-57.985479286719546</c:v>
                </c:pt>
                <c:pt idx="280">
                  <c:v>-57.936905512126714</c:v>
                </c:pt>
                <c:pt idx="281">
                  <c:v>-57.890468144526452</c:v>
                </c:pt>
                <c:pt idx="282">
                  <c:v>-57.84584643265493</c:v>
                </c:pt>
                <c:pt idx="283">
                  <c:v>-57.802783194822396</c:v>
                </c:pt>
                <c:pt idx="284">
                  <c:v>-57.761067911939826</c:v>
                </c:pt>
                <c:pt idx="285">
                  <c:v>-57.720525167056167</c:v>
                </c:pt>
                <c:pt idx="286">
                  <c:v>-57.681006497074442</c:v>
                </c:pt>
                <c:pt idx="287">
                  <c:v>-57.642384499110008</c:v>
                </c:pt>
                <c:pt idx="288">
                  <c:v>-57.604548461937704</c:v>
                </c:pt>
                <c:pt idx="289">
                  <c:v>-57.567401073272784</c:v>
                </c:pt>
                <c:pt idx="290">
                  <c:v>-57.530855880607312</c:v>
                </c:pt>
                <c:pt idx="291">
                  <c:v>-57.494835315416665</c:v>
                </c:pt>
                <c:pt idx="292">
                  <c:v>-57.45926911929233</c:v>
                </c:pt>
                <c:pt idx="293">
                  <c:v>-57.424093079556698</c:v>
                </c:pt>
                <c:pt idx="294">
                  <c:v>-57.389248004853705</c:v>
                </c:pt>
                <c:pt idx="295">
                  <c:v>-57.354678870765042</c:v>
                </c:pt>
                <c:pt idx="296">
                  <c:v>-57.320334112620628</c:v>
                </c:pt>
                <c:pt idx="297">
                  <c:v>-57.286165022456522</c:v>
                </c:pt>
                <c:pt idx="298">
                  <c:v>-57.252125236580817</c:v>
                </c:pt>
                <c:pt idx="299">
                  <c:v>-57.21817029048151</c:v>
                </c:pt>
                <c:pt idx="300">
                  <c:v>-57.18425722083478</c:v>
                </c:pt>
                <c:pt idx="301">
                  <c:v>-57.150344220763209</c:v>
                </c:pt>
                <c:pt idx="302">
                  <c:v>-57.116390319652595</c:v>
                </c:pt>
                <c:pt idx="303">
                  <c:v>-57.082355091594991</c:v>
                </c:pt>
                <c:pt idx="304">
                  <c:v>-57.048198384402227</c:v>
                </c:pt>
                <c:pt idx="305">
                  <c:v>-57.013880060216522</c:v>
                </c:pt>
                <c:pt idx="306">
                  <c:v>-56.979359748070245</c:v>
                </c:pt>
                <c:pt idx="307">
                  <c:v>-56.944596597417885</c:v>
                </c:pt>
                <c:pt idx="308">
                  <c:v>-56.909549037649441</c:v>
                </c:pt>
                <c:pt idx="309">
                  <c:v>-56.874174529288226</c:v>
                </c:pt>
                <c:pt idx="310">
                  <c:v>-56.838429313285594</c:v>
                </c:pt>
                <c:pt idx="311">
                  <c:v>-56.802268148671061</c:v>
                </c:pt>
                <c:pt idx="312">
                  <c:v>-56.765644036690254</c:v>
                </c:pt>
                <c:pt idx="313">
                  <c:v>-56.728507925715242</c:v>
                </c:pt>
                <c:pt idx="314">
                  <c:v>-56.690808395723877</c:v>
                </c:pt>
                <c:pt idx="315">
                  <c:v>-56.652491315929922</c:v>
                </c:pt>
                <c:pt idx="316">
                  <c:v>-56.613499468278562</c:v>
                </c:pt>
                <c:pt idx="317">
                  <c:v>-56.573772136021006</c:v>
                </c:pt>
                <c:pt idx="318">
                  <c:v>-56.53324463985448</c:v>
                </c:pt>
                <c:pt idx="319">
                  <c:v>-56.491847831453867</c:v>
                </c:pt>
                <c:pt idx="320">
                  <c:v>-56.449507513903008</c:v>
                </c:pt>
                <c:pt idx="321">
                  <c:v>-56.406143791548978</c:v>
                </c:pt>
                <c:pt idx="322">
                  <c:v>-56.361670333987526</c:v>
                </c:pt>
                <c:pt idx="323">
                  <c:v>-56.315993534528879</c:v>
                </c:pt>
                <c:pt idx="324">
                  <c:v>-56.269011545199888</c:v>
                </c:pt>
                <c:pt idx="325">
                  <c:v>-56.220613167829271</c:v>
                </c:pt>
                <c:pt idx="326">
                  <c:v>-56.170676568860685</c:v>
                </c:pt>
                <c:pt idx="327">
                  <c:v>-56.11906778738561</c:v>
                </c:pt>
                <c:pt idx="328">
                  <c:v>-56.065638993563375</c:v>
                </c:pt>
                <c:pt idx="329">
                  <c:v>-56.010226435141391</c:v>
                </c:pt>
                <c:pt idx="330">
                  <c:v>-55.952648027834329</c:v>
                </c:pt>
                <c:pt idx="331">
                  <c:v>-55.892700479504327</c:v>
                </c:pt>
                <c:pt idx="332">
                  <c:v>-55.830155870203157</c:v>
                </c:pt>
                <c:pt idx="333">
                  <c:v>-55.764757535293953</c:v>
                </c:pt>
                <c:pt idx="334">
                  <c:v>-55.696215090684888</c:v>
                </c:pt>
                <c:pt idx="335">
                  <c:v>-55.624198375263404</c:v>
                </c:pt>
                <c:pt idx="336">
                  <c:v>-55.54833002267398</c:v>
                </c:pt>
                <c:pt idx="337">
                  <c:v>-55.468176269045131</c:v>
                </c:pt>
                <c:pt idx="338">
                  <c:v>-55.383235498576852</c:v>
                </c:pt>
                <c:pt idx="339">
                  <c:v>-55.292923815659186</c:v>
                </c:pt>
                <c:pt idx="340">
                  <c:v>-55.196556696204311</c:v>
                </c:pt>
                <c:pt idx="341">
                  <c:v>-55.093325397250887</c:v>
                </c:pt>
                <c:pt idx="342">
                  <c:v>-54.98226624679566</c:v>
                </c:pt>
                <c:pt idx="343">
                  <c:v>-54.862220132284484</c:v>
                </c:pt>
                <c:pt idx="344">
                  <c:v>-54.73177826525928</c:v>
                </c:pt>
                <c:pt idx="345">
                  <c:v>-54.589208356341629</c:v>
                </c:pt>
                <c:pt idx="346">
                  <c:v>-54.432352261785759</c:v>
                </c:pt>
                <c:pt idx="347">
                  <c:v>-54.25848107623969</c:v>
                </c:pt>
                <c:pt idx="348">
                  <c:v>-54.064085056833378</c:v>
                </c:pt>
                <c:pt idx="349">
                  <c:v>-53.844560638449607</c:v>
                </c:pt>
                <c:pt idx="350">
                  <c:v>-53.593729136594462</c:v>
                </c:pt>
                <c:pt idx="351">
                  <c:v>-53.303068510382289</c:v>
                </c:pt>
                <c:pt idx="352">
                  <c:v>-52.960431333480592</c:v>
                </c:pt>
                <c:pt idx="353">
                  <c:v>-52.547786331314228</c:v>
                </c:pt>
                <c:pt idx="354">
                  <c:v>-52.043795456646421</c:v>
                </c:pt>
                <c:pt idx="355">
                  <c:v>-51.449029995799791</c:v>
                </c:pt>
                <c:pt idx="356">
                  <c:v>-50.769149555584683</c:v>
                </c:pt>
                <c:pt idx="357">
                  <c:v>-50.008163731169908</c:v>
                </c:pt>
                <c:pt idx="358">
                  <c:v>-49.173447821592603</c:v>
                </c:pt>
                <c:pt idx="359">
                  <c:v>-48.290208311341573</c:v>
                </c:pt>
                <c:pt idx="360">
                  <c:v>-47.400000000002272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6.0029364226951527</c:v>
                </c:pt>
                <c:pt idx="1">
                  <c:v>6.007907064951195</c:v>
                </c:pt>
                <c:pt idx="2">
                  <c:v>6.0128270117470208</c:v>
                </c:pt>
                <c:pt idx="3">
                  <c:v>6.0174698316343687</c:v>
                </c:pt>
                <c:pt idx="4">
                  <c:v>6.0216984062394587</c:v>
                </c:pt>
                <c:pt idx="5">
                  <c:v>6.0254725162902707</c:v>
                </c:pt>
                <c:pt idx="6">
                  <c:v>6.0287698866169572</c:v>
                </c:pt>
                <c:pt idx="7">
                  <c:v>6.0315588910983484</c:v>
                </c:pt>
                <c:pt idx="8">
                  <c:v>6.0338364593432576</c:v>
                </c:pt>
                <c:pt idx="9">
                  <c:v>6.0357219443668066</c:v>
                </c:pt>
                <c:pt idx="10">
                  <c:v>6.0373162532148683</c:v>
                </c:pt>
                <c:pt idx="11">
                  <c:v>6.0386874138942597</c:v>
                </c:pt>
                <c:pt idx="12">
                  <c:v>6.0398831726783877</c:v>
                </c:pt>
                <c:pt idx="13">
                  <c:v>6.0409381547640919</c:v>
                </c:pt>
                <c:pt idx="14">
                  <c:v>6.0418781598570552</c:v>
                </c:pt>
                <c:pt idx="15">
                  <c:v>6.042722855663456</c:v>
                </c:pt>
                <c:pt idx="16">
                  <c:v>6.0434875307202516</c:v>
                </c:pt>
                <c:pt idx="17">
                  <c:v>6.0441842715408196</c:v>
                </c:pt>
                <c:pt idx="18">
                  <c:v>6.0448227749731327</c:v>
                </c:pt>
                <c:pt idx="19">
                  <c:v>6.0454109221915147</c:v>
                </c:pt>
                <c:pt idx="20">
                  <c:v>6.045955192831288</c:v>
                </c:pt>
                <c:pt idx="21">
                  <c:v>6.0464609692690008</c:v>
                </c:pt>
                <c:pt idx="22">
                  <c:v>6.0469327639457164</c:v>
                </c:pt>
                <c:pt idx="23">
                  <c:v>6.0473743916991189</c:v>
                </c:pt>
                <c:pt idx="24">
                  <c:v>6.0477891021236392</c:v>
                </c:pt>
                <c:pt idx="25">
                  <c:v>6.0481796825268148</c:v>
                </c:pt>
                <c:pt idx="26">
                  <c:v>6.0485485388693832</c:v>
                </c:pt>
                <c:pt idx="27">
                  <c:v>6.0488977599780309</c:v>
                </c:pt>
                <c:pt idx="28">
                  <c:v>6.0492291690928353</c:v>
                </c:pt>
                <c:pt idx="29">
                  <c:v>6.0495443654728893</c:v>
                </c:pt>
                <c:pt idx="30">
                  <c:v>6.0498447583086472</c:v>
                </c:pt>
                <c:pt idx="31">
                  <c:v>6.0501315945441272</c:v>
                </c:pt>
                <c:pt idx="32">
                  <c:v>6.05040598188332</c:v>
                </c:pt>
                <c:pt idx="33">
                  <c:v>6.0506689078425282</c:v>
                </c:pt>
                <c:pt idx="34">
                  <c:v>6.0509212557856209</c:v>
                </c:pt>
                <c:pt idx="35">
                  <c:v>6.0511638182720437</c:v>
                </c:pt>
                <c:pt idx="36">
                  <c:v>6.0513973084445318</c:v>
                </c:pt>
                <c:pt idx="37">
                  <c:v>6.0516223696179949</c:v>
                </c:pt>
                <c:pt idx="38">
                  <c:v>6.0518395834561325</c:v>
                </c:pt>
                <c:pt idx="39">
                  <c:v>6.0520494769747808</c:v>
                </c:pt>
                <c:pt idx="40">
                  <c:v>6.0522525285257105</c:v>
                </c:pt>
                <c:pt idx="41">
                  <c:v>6.0524491729552361</c:v>
                </c:pt>
                <c:pt idx="42">
                  <c:v>6.0526398060387265</c:v>
                </c:pt>
                <c:pt idx="43">
                  <c:v>6.0528247882836759</c:v>
                </c:pt>
                <c:pt idx="44">
                  <c:v>6.0530044482205598</c:v>
                </c:pt>
                <c:pt idx="45">
                  <c:v>6.053179085268245</c:v>
                </c:pt>
                <c:pt idx="46">
                  <c:v>6.053348972105133</c:v>
                </c:pt>
                <c:pt idx="47">
                  <c:v>6.0535143567837562</c:v>
                </c:pt>
                <c:pt idx="48">
                  <c:v>6.0536754644615431</c:v>
                </c:pt>
                <c:pt idx="49">
                  <c:v>6.0538324988725547</c:v>
                </c:pt>
                <c:pt idx="50">
                  <c:v>6.0539856435137835</c:v>
                </c:pt>
                <c:pt idx="51">
                  <c:v>6.0541350625789878</c:v>
                </c:pt>
                <c:pt idx="52">
                  <c:v>6.0542809016638239</c:v>
                </c:pt>
                <c:pt idx="53">
                  <c:v>6.0544232882173095</c:v>
                </c:pt>
                <c:pt idx="54">
                  <c:v>6.0545623317519865</c:v>
                </c:pt>
                <c:pt idx="55">
                  <c:v>6.0546981237860349</c:v>
                </c:pt>
                <c:pt idx="56">
                  <c:v>6.0548307375537194</c:v>
                </c:pt>
                <c:pt idx="57">
                  <c:v>6.0549602273692846</c:v>
                </c:pt>
                <c:pt idx="58">
                  <c:v>6.0550866277011872</c:v>
                </c:pt>
                <c:pt idx="59">
                  <c:v>6.0552099518287381</c:v>
                </c:pt>
                <c:pt idx="60">
                  <c:v>6.0553301900751215</c:v>
                </c:pt>
                <c:pt idx="61">
                  <c:v>6.0554473074867357</c:v>
                </c:pt>
                <c:pt idx="62">
                  <c:v>6.0555612408783297</c:v>
                </c:pt>
                <c:pt idx="63">
                  <c:v>6.0556718951126021</c:v>
                </c:pt>
                <c:pt idx="64">
                  <c:v>6.0557791383229356</c:v>
                </c:pt>
                <c:pt idx="65">
                  <c:v>6.0558827959951937</c:v>
                </c:pt>
                <c:pt idx="66">
                  <c:v>6.055982643423178</c:v>
                </c:pt>
                <c:pt idx="67">
                  <c:v>6.0560783961418521</c:v>
                </c:pt>
                <c:pt idx="68">
                  <c:v>6.0561696977764017</c:v>
                </c:pt>
                <c:pt idx="69">
                  <c:v>6.0562561043955885</c:v>
                </c:pt>
                <c:pt idx="70">
                  <c:v>6.0563370643291554</c:v>
                </c:pt>
                <c:pt idx="71">
                  <c:v>6.0564118916919281</c:v>
                </c:pt>
                <c:pt idx="72">
                  <c:v>6.056479731454063</c:v>
                </c:pt>
                <c:pt idx="73">
                  <c:v>6.0565395126955384</c:v>
                </c:pt>
                <c:pt idx="74">
                  <c:v>6.0565898850553177</c:v>
                </c:pt>
                <c:pt idx="75">
                  <c:v>6.0566291311060434</c:v>
                </c:pt>
                <c:pt idx="76">
                  <c:v>6.0566550431385267</c:v>
                </c:pt>
                <c:pt idx="77">
                  <c:v>6.0566647463130137</c:v>
                </c:pt>
                <c:pt idx="78">
                  <c:v>6.0566544387614885</c:v>
                </c:pt>
                <c:pt idx="79">
                  <c:v>6.0566189989026613</c:v>
                </c:pt>
                <c:pt idx="80">
                  <c:v>6.0565513729091345</c:v>
                </c:pt>
                <c:pt idx="81">
                  <c:v>6.0564415824716553</c:v>
                </c:pt>
                <c:pt idx="82">
                  <c:v>6.0562750433109915</c:v>
                </c:pt>
                <c:pt idx="83">
                  <c:v>6.0560295542201219</c:v>
                </c:pt>
                <c:pt idx="84">
                  <c:v>6.0556695226065305</c:v>
                </c:pt>
                <c:pt idx="85">
                  <c:v>6.0551338666897339</c:v>
                </c:pt>
                <c:pt idx="86">
                  <c:v>6.0543074832737691</c:v>
                </c:pt>
                <c:pt idx="87">
                  <c:v>6.0529415884261875</c:v>
                </c:pt>
                <c:pt idx="88">
                  <c:v>6.0503637502397218</c:v>
                </c:pt>
                <c:pt idx="89">
                  <c:v>6.0445238558599694</c:v>
                </c:pt>
                <c:pt idx="90">
                  <c:v>6.03418682516826</c:v>
                </c:pt>
                <c:pt idx="91">
                  <c:v>6.0218327885002187</c:v>
                </c:pt>
                <c:pt idx="92">
                  <c:v>6.0127613040968919</c:v>
                </c:pt>
                <c:pt idx="93">
                  <c:v>6.0077517053571121</c:v>
                </c:pt>
                <c:pt idx="94">
                  <c:v>6.0045212295674597</c:v>
                </c:pt>
                <c:pt idx="95">
                  <c:v>6.002165131900127</c:v>
                </c:pt>
                <c:pt idx="96">
                  <c:v>5.9986230863027927</c:v>
                </c:pt>
                <c:pt idx="97">
                  <c:v>5.9946399852880425</c:v>
                </c:pt>
                <c:pt idx="98">
                  <c:v>5.9917004055966174</c:v>
                </c:pt>
                <c:pt idx="99">
                  <c:v>5.9894495481884018</c:v>
                </c:pt>
                <c:pt idx="100">
                  <c:v>5.9876749969342473</c:v>
                </c:pt>
                <c:pt idx="101">
                  <c:v>5.9862424105318235</c:v>
                </c:pt>
                <c:pt idx="102">
                  <c:v>5.9850629710929582</c:v>
                </c:pt>
                <c:pt idx="103">
                  <c:v>5.9840757670681795</c:v>
                </c:pt>
                <c:pt idx="104">
                  <c:v>5.9832377204745111</c:v>
                </c:pt>
                <c:pt idx="105">
                  <c:v>5.9825175571848517</c:v>
                </c:pt>
                <c:pt idx="106">
                  <c:v>5.981892054132306</c:v>
                </c:pt>
                <c:pt idx="107">
                  <c:v>5.981343624185949</c:v>
                </c:pt>
                <c:pt idx="108">
                  <c:v>5.9808587160390774</c:v>
                </c:pt>
                <c:pt idx="109">
                  <c:v>5.9804267267177273</c:v>
                </c:pt>
                <c:pt idx="110">
                  <c:v>5.9800392456567533</c:v>
                </c:pt>
                <c:pt idx="111">
                  <c:v>5.9796895185602086</c:v>
                </c:pt>
                <c:pt idx="112">
                  <c:v>5.979372060283966</c:v>
                </c:pt>
                <c:pt idx="113">
                  <c:v>5.9790823707008123</c:v>
                </c:pt>
                <c:pt idx="114">
                  <c:v>5.978816723085064</c:v>
                </c:pt>
                <c:pt idx="115">
                  <c:v>5.9785720043611743</c:v>
                </c:pt>
                <c:pt idx="116">
                  <c:v>5.9783455930072869</c:v>
                </c:pt>
                <c:pt idx="117">
                  <c:v>5.9781352646812369</c:v>
                </c:pt>
                <c:pt idx="118">
                  <c:v>5.9779391184925954</c:v>
                </c:pt>
                <c:pt idx="119">
                  <c:v>5.9777555188267737</c:v>
                </c:pt>
                <c:pt idx="120">
                  <c:v>5.9775830490313009</c:v>
                </c:pt>
                <c:pt idx="121">
                  <c:v>5.9774204741995121</c:v>
                </c:pt>
                <c:pt idx="122">
                  <c:v>5.9772667110269424</c:v>
                </c:pt>
                <c:pt idx="123">
                  <c:v>5.9771208031772343</c:v>
                </c:pt>
                <c:pt idx="124">
                  <c:v>5.9769819010058187</c:v>
                </c:pt>
                <c:pt idx="125">
                  <c:v>5.9768492447163837</c:v>
                </c:pt>
                <c:pt idx="126">
                  <c:v>5.9767221502574897</c:v>
                </c:pt>
                <c:pt idx="127">
                  <c:v>5.9765999974073019</c:v>
                </c:pt>
                <c:pt idx="128">
                  <c:v>5.9764822196118059</c:v>
                </c:pt>
                <c:pt idx="129">
                  <c:v>5.9763682952269024</c:v>
                </c:pt>
                <c:pt idx="130">
                  <c:v>5.9762577398731667</c:v>
                </c:pt>
                <c:pt idx="131">
                  <c:v>5.9761500996864587</c:v>
                </c:pt>
                <c:pt idx="132">
                  <c:v>5.9760449452586899</c:v>
                </c:pt>
                <c:pt idx="133">
                  <c:v>5.9759418661059618</c:v>
                </c:pt>
                <c:pt idx="134">
                  <c:v>5.9758404655257058</c:v>
                </c:pt>
                <c:pt idx="135">
                  <c:v>5.9757403557013458</c:v>
                </c:pt>
                <c:pt idx="136">
                  <c:v>5.9756411529574329</c:v>
                </c:pt>
                <c:pt idx="137">
                  <c:v>5.9755424730197344</c:v>
                </c:pt>
                <c:pt idx="138">
                  <c:v>5.9754439261872951</c:v>
                </c:pt>
                <c:pt idx="139">
                  <c:v>5.9753451122998031</c:v>
                </c:pt>
                <c:pt idx="140">
                  <c:v>5.9752456153410503</c:v>
                </c:pt>
                <c:pt idx="141">
                  <c:v>5.975144997569708</c:v>
                </c:pt>
                <c:pt idx="142">
                  <c:v>5.9750427929840164</c:v>
                </c:pt>
                <c:pt idx="143">
                  <c:v>5.9749384999419233</c:v>
                </c:pt>
                <c:pt idx="144">
                  <c:v>5.9748315726859991</c:v>
                </c:pt>
                <c:pt idx="145">
                  <c:v>5.9747214114887788</c:v>
                </c:pt>
                <c:pt idx="146">
                  <c:v>5.9746073510733817</c:v>
                </c:pt>
                <c:pt idx="147">
                  <c:v>5.9744886468479832</c:v>
                </c:pt>
                <c:pt idx="148">
                  <c:v>5.9743644583900979</c:v>
                </c:pt>
                <c:pt idx="149">
                  <c:v>5.9742338294719772</c:v>
                </c:pt>
                <c:pt idx="150">
                  <c:v>5.9740956636798757</c:v>
                </c:pt>
                <c:pt idx="151">
                  <c:v>5.9739486944350988</c:v>
                </c:pt>
                <c:pt idx="152">
                  <c:v>5.973791447810159</c:v>
                </c:pt>
                <c:pt idx="153">
                  <c:v>5.9736221960632907</c:v>
                </c:pt>
                <c:pt idx="154">
                  <c:v>5.973438899058678</c:v>
                </c:pt>
                <c:pt idx="155">
                  <c:v>5.9732391297989311</c:v>
                </c:pt>
                <c:pt idx="156">
                  <c:v>5.9730199788805187</c:v>
                </c:pt>
                <c:pt idx="157">
                  <c:v>5.9727779307336339</c:v>
                </c:pt>
                <c:pt idx="158">
                  <c:v>5.972508701648704</c:v>
                </c:pt>
                <c:pt idx="159">
                  <c:v>5.9722070254420689</c:v>
                </c:pt>
                <c:pt idx="160">
                  <c:v>5.9718663664357914</c:v>
                </c:pt>
                <c:pt idx="161">
                  <c:v>5.9714785300839512</c:v>
                </c:pt>
                <c:pt idx="162">
                  <c:v>5.9710331272201822</c:v>
                </c:pt>
                <c:pt idx="163">
                  <c:v>5.9705168253479437</c:v>
                </c:pt>
                <c:pt idx="164">
                  <c:v>5.9699122842476031</c:v>
                </c:pt>
                <c:pt idx="165">
                  <c:v>5.9691966136897667</c:v>
                </c:pt>
                <c:pt idx="166">
                  <c:v>5.9683390906339771</c:v>
                </c:pt>
                <c:pt idx="167">
                  <c:v>5.9672976984874939</c:v>
                </c:pt>
                <c:pt idx="168">
                  <c:v>5.9660137361275449</c:v>
                </c:pt>
                <c:pt idx="169">
                  <c:v>5.9644031548783021</c:v>
                </c:pt>
                <c:pt idx="170">
                  <c:v>5.9623421276905653</c:v>
                </c:pt>
                <c:pt idx="171">
                  <c:v>5.959641976402593</c:v>
                </c:pt>
                <c:pt idx="172">
                  <c:v>5.9560033745300389</c:v>
                </c:pt>
                <c:pt idx="173">
                  <c:v>5.9509274804484322</c:v>
                </c:pt>
                <c:pt idx="174">
                  <c:v>5.9435490184405522</c:v>
                </c:pt>
                <c:pt idx="175">
                  <c:v>5.9363202068710077</c:v>
                </c:pt>
                <c:pt idx="176">
                  <c:v>5.9311605197298274</c:v>
                </c:pt>
                <c:pt idx="177">
                  <c:v>5.9254317290895235</c:v>
                </c:pt>
                <c:pt idx="178">
                  <c:v>5.9192036802093551</c:v>
                </c:pt>
                <c:pt idx="179">
                  <c:v>5.9126813047036357</c:v>
                </c:pt>
                <c:pt idx="180">
                  <c:v>5.9061861353602385</c:v>
                </c:pt>
                <c:pt idx="181">
                  <c:v>5.8998262634799898</c:v>
                </c:pt>
                <c:pt idx="182">
                  <c:v>5.8936002229987894</c:v>
                </c:pt>
                <c:pt idx="183">
                  <c:v>5.8877893567941202</c:v>
                </c:pt>
                <c:pt idx="184">
                  <c:v>5.8825530951720975</c:v>
                </c:pt>
                <c:pt idx="185">
                  <c:v>5.8779271103874322</c:v>
                </c:pt>
                <c:pt idx="186">
                  <c:v>5.8739247252054723</c:v>
                </c:pt>
                <c:pt idx="187">
                  <c:v>5.8705708520566349</c:v>
                </c:pt>
                <c:pt idx="188">
                  <c:v>5.8678564734444398</c:v>
                </c:pt>
                <c:pt idx="189">
                  <c:v>5.8656282397117128</c:v>
                </c:pt>
                <c:pt idx="190">
                  <c:v>5.8637590651005</c:v>
                </c:pt>
                <c:pt idx="191">
                  <c:v>5.8621637549267307</c:v>
                </c:pt>
                <c:pt idx="192">
                  <c:v>5.8607828103296296</c:v>
                </c:pt>
                <c:pt idx="193">
                  <c:v>5.8595732748771967</c:v>
                </c:pt>
                <c:pt idx="194">
                  <c:v>5.8585032707854818</c:v>
                </c:pt>
                <c:pt idx="195">
                  <c:v>5.8575485879770941</c:v>
                </c:pt>
                <c:pt idx="196">
                  <c:v>5.8566904730611347</c:v>
                </c:pt>
                <c:pt idx="197">
                  <c:v>5.8559141497970471</c:v>
                </c:pt>
                <c:pt idx="198">
                  <c:v>5.8552078013745428</c:v>
                </c:pt>
                <c:pt idx="199">
                  <c:v>5.8545618534942063</c:v>
                </c:pt>
                <c:pt idx="200">
                  <c:v>5.8539684585447134</c:v>
                </c:pt>
                <c:pt idx="201">
                  <c:v>5.8534211176231743</c:v>
                </c:pt>
                <c:pt idx="202">
                  <c:v>5.8529143988419019</c:v>
                </c:pt>
                <c:pt idx="203">
                  <c:v>5.852443724283888</c:v>
                </c:pt>
                <c:pt idx="204">
                  <c:v>5.8520052067588075</c:v>
                </c:pt>
                <c:pt idx="205">
                  <c:v>5.8515955230868206</c:v>
                </c:pt>
                <c:pt idx="206">
                  <c:v>5.8512118146944481</c:v>
                </c:pt>
                <c:pt idx="207">
                  <c:v>5.8508516089481732</c:v>
                </c:pt>
                <c:pt idx="208">
                  <c:v>5.8505127561041439</c:v>
                </c:pt>
                <c:pt idx="209">
                  <c:v>5.8501933785551969</c:v>
                </c:pt>
                <c:pt idx="210">
                  <c:v>5.8498918295487341</c:v>
                </c:pt>
                <c:pt idx="211">
                  <c:v>5.8496066594019247</c:v>
                </c:pt>
                <c:pt idx="212">
                  <c:v>5.8493365876281187</c:v>
                </c:pt>
                <c:pt idx="213">
                  <c:v>5.8490804799494924</c:v>
                </c:pt>
                <c:pt idx="214">
                  <c:v>5.8488373289676865</c:v>
                </c:pt>
                <c:pt idx="215">
                  <c:v>5.8486062381873039</c:v>
                </c:pt>
                <c:pt idx="216">
                  <c:v>5.8483864083966512</c:v>
                </c:pt>
                <c:pt idx="217">
                  <c:v>5.8481771262898103</c:v>
                </c:pt>
                <c:pt idx="218">
                  <c:v>5.8479777548216054</c:v>
                </c:pt>
                <c:pt idx="219">
                  <c:v>5.8477877250044887</c:v>
                </c:pt>
                <c:pt idx="220">
                  <c:v>5.8476065289766579</c:v>
                </c:pt>
                <c:pt idx="221">
                  <c:v>5.8474337140922268</c:v>
                </c:pt>
                <c:pt idx="222">
                  <c:v>5.8472688779238231</c:v>
                </c:pt>
                <c:pt idx="223">
                  <c:v>5.8471116640727843</c:v>
                </c:pt>
                <c:pt idx="224">
                  <c:v>5.8469617586341194</c:v>
                </c:pt>
                <c:pt idx="225">
                  <c:v>5.8468188872106559</c:v>
                </c:pt>
                <c:pt idx="226">
                  <c:v>5.8466828126128201</c:v>
                </c:pt>
                <c:pt idx="227">
                  <c:v>5.846553332893051</c:v>
                </c:pt>
                <c:pt idx="228">
                  <c:v>5.8464302799392636</c:v>
                </c:pt>
                <c:pt idx="229">
                  <c:v>5.8463135184521668</c:v>
                </c:pt>
                <c:pt idx="230">
                  <c:v>5.8462029453692628</c:v>
                </c:pt>
                <c:pt idx="231">
                  <c:v>5.8460984897049979</c:v>
                </c:pt>
                <c:pt idx="232">
                  <c:v>5.8460001127922219</c:v>
                </c:pt>
                <c:pt idx="233">
                  <c:v>5.8459078089875947</c:v>
                </c:pt>
                <c:pt idx="234">
                  <c:v>5.8458216068476991</c:v>
                </c:pt>
                <c:pt idx="235">
                  <c:v>5.8457415708467311</c:v>
                </c:pt>
                <c:pt idx="236">
                  <c:v>5.8456678036133596</c:v>
                </c:pt>
                <c:pt idx="237">
                  <c:v>5.8456004489045092</c:v>
                </c:pt>
                <c:pt idx="238">
                  <c:v>5.8455396952753027</c:v>
                </c:pt>
                <c:pt idx="239">
                  <c:v>5.8454857806999376</c:v>
                </c:pt>
                <c:pt idx="240">
                  <c:v>5.8454389982225869</c:v>
                </c:pt>
                <c:pt idx="241">
                  <c:v>5.8453997029246034</c:v>
                </c:pt>
                <c:pt idx="242">
                  <c:v>5.8453683204393352</c:v>
                </c:pt>
                <c:pt idx="243">
                  <c:v>5.84534535735175</c:v>
                </c:pt>
                <c:pt idx="244">
                  <c:v>5.8453314140999222</c:v>
                </c:pt>
                <c:pt idx="245">
                  <c:v>5.8453272007289243</c:v>
                </c:pt>
                <c:pt idx="246">
                  <c:v>5.8453335565231672</c:v>
                </c:pt>
                <c:pt idx="247">
                  <c:v>5.8453514744941382</c:v>
                </c:pt>
                <c:pt idx="248">
                  <c:v>5.8453821320743033</c:v>
                </c:pt>
                <c:pt idx="249">
                  <c:v>5.8454269300624633</c:v>
                </c:pt>
                <c:pt idx="250">
                  <c:v>5.8454875422966683</c:v>
                </c:pt>
                <c:pt idx="251">
                  <c:v>5.8455659799425073</c:v>
                </c:pt>
                <c:pt idx="252">
                  <c:v>5.8456646753776544</c:v>
                </c:pt>
                <c:pt idx="253">
                  <c:v>5.8457865931684774</c:v>
                </c:pt>
                <c:pt idx="254">
                  <c:v>5.8459353791377717</c:v>
                </c:pt>
                <c:pt idx="255">
                  <c:v>5.8461155635710362</c:v>
                </c:pt>
                <c:pt idx="256">
                  <c:v>5.8463328435031654</c:v>
                </c:pt>
                <c:pt idx="257">
                  <c:v>5.8465944828670144</c:v>
                </c:pt>
                <c:pt idx="258">
                  <c:v>5.8469098930029864</c:v>
                </c:pt>
                <c:pt idx="259">
                  <c:v>5.8472914978099837</c:v>
                </c:pt>
                <c:pt idx="260">
                  <c:v>5.8477560637143489</c:v>
                </c:pt>
                <c:pt idx="261">
                  <c:v>5.8483268203768439</c:v>
                </c:pt>
                <c:pt idx="262">
                  <c:v>5.8490369930595616</c:v>
                </c:pt>
                <c:pt idx="263">
                  <c:v>5.8499360071876083</c:v>
                </c:pt>
                <c:pt idx="264">
                  <c:v>5.8511011298102957</c:v>
                </c:pt>
                <c:pt idx="265">
                  <c:v>5.8526612405786107</c:v>
                </c:pt>
                <c:pt idx="266">
                  <c:v>5.8548511692657108</c:v>
                </c:pt>
                <c:pt idx="267">
                  <c:v>5.8581574050555973</c:v>
                </c:pt>
                <c:pt idx="268">
                  <c:v>5.8638189106332907</c:v>
                </c:pt>
                <c:pt idx="269">
                  <c:v>5.8751366349171148</c:v>
                </c:pt>
                <c:pt idx="270">
                  <c:v>5.8920426341529177</c:v>
                </c:pt>
                <c:pt idx="271">
                  <c:v>5.908516435317746</c:v>
                </c:pt>
                <c:pt idx="272">
                  <c:v>5.9188716967897008</c:v>
                </c:pt>
                <c:pt idx="273">
                  <c:v>5.9240663739806916</c:v>
                </c:pt>
                <c:pt idx="274">
                  <c:v>5.9272357843784027</c:v>
                </c:pt>
                <c:pt idx="275">
                  <c:v>5.9294631044225987</c:v>
                </c:pt>
                <c:pt idx="276">
                  <c:v>5.931160572105175</c:v>
                </c:pt>
                <c:pt idx="277">
                  <c:v>5.9325242391803163</c:v>
                </c:pt>
                <c:pt idx="278">
                  <c:v>5.9336610429253795</c:v>
                </c:pt>
                <c:pt idx="279">
                  <c:v>5.9346350496510425</c:v>
                </c:pt>
                <c:pt idx="280">
                  <c:v>5.9354873660552618</c:v>
                </c:pt>
                <c:pt idx="281">
                  <c:v>5.93624578810996</c:v>
                </c:pt>
                <c:pt idx="282">
                  <c:v>5.9369299081441484</c:v>
                </c:pt>
                <c:pt idx="283">
                  <c:v>5.9375540099860107</c:v>
                </c:pt>
                <c:pt idx="284">
                  <c:v>5.9381288031075812</c:v>
                </c:pt>
                <c:pt idx="285">
                  <c:v>5.9386625093874397</c:v>
                </c:pt>
                <c:pt idx="286">
                  <c:v>5.9391615704302456</c:v>
                </c:pt>
                <c:pt idx="287">
                  <c:v>5.9396311229693666</c:v>
                </c:pt>
                <c:pt idx="288">
                  <c:v>5.9400753273834077</c:v>
                </c:pt>
                <c:pt idx="289">
                  <c:v>5.9404976002312653</c:v>
                </c:pt>
                <c:pt idx="290">
                  <c:v>5.9409007824025553</c:v>
                </c:pt>
                <c:pt idx="291">
                  <c:v>5.9412872629946909</c:v>
                </c:pt>
                <c:pt idx="292">
                  <c:v>5.9416590721497524</c:v>
                </c:pt>
                <c:pt idx="293">
                  <c:v>5.9420179516819811</c:v>
                </c:pt>
                <c:pt idx="294">
                  <c:v>5.9423654095486285</c:v>
                </c:pt>
                <c:pt idx="295">
                  <c:v>5.942702762419362</c:v>
                </c:pt>
                <c:pt idx="296">
                  <c:v>5.9430311693121398</c:v>
                </c:pt>
                <c:pt idx="297">
                  <c:v>5.9433516584793065</c:v>
                </c:pt>
                <c:pt idx="298">
                  <c:v>5.943665149107404</c:v>
                </c:pt>
                <c:pt idx="299">
                  <c:v>5.9439724690102027</c:v>
                </c:pt>
                <c:pt idx="300">
                  <c:v>5.9442743692012927</c:v>
                </c:pt>
                <c:pt idx="301">
                  <c:v>5.9445715359851246</c:v>
                </c:pt>
                <c:pt idx="302">
                  <c:v>5.9448646011072022</c:v>
                </c:pt>
                <c:pt idx="303">
                  <c:v>5.9451541503410734</c:v>
                </c:pt>
                <c:pt idx="304">
                  <c:v>5.9454407308250676</c:v>
                </c:pt>
                <c:pt idx="305">
                  <c:v>5.9457248573988482</c:v>
                </c:pt>
                <c:pt idx="306">
                  <c:v>5.9460070181289364</c:v>
                </c:pt>
                <c:pt idx="307">
                  <c:v>5.9462876791905757</c:v>
                </c:pt>
                <c:pt idx="308">
                  <c:v>5.9465672892242667</c:v>
                </c:pt>
                <c:pt idx="309">
                  <c:v>5.946846283287913</c:v>
                </c:pt>
                <c:pt idx="310">
                  <c:v>5.9471250864828695</c:v>
                </c:pt>
                <c:pt idx="311">
                  <c:v>5.9474041173393335</c:v>
                </c:pt>
                <c:pt idx="312">
                  <c:v>5.9476837910268792</c:v>
                </c:pt>
                <c:pt idx="313">
                  <c:v>5.9479645224530486</c:v>
                </c:pt>
                <c:pt idx="314">
                  <c:v>5.9482467293030261</c:v>
                </c:pt>
                <c:pt idx="315">
                  <c:v>5.948530835075811</c:v>
                </c:pt>
                <c:pt idx="316">
                  <c:v>5.9488172721708992</c:v>
                </c:pt>
                <c:pt idx="317">
                  <c:v>5.9491064850735125</c:v>
                </c:pt>
                <c:pt idx="318">
                  <c:v>5.9493989337024731</c:v>
                </c:pt>
                <c:pt idx="319">
                  <c:v>5.9496950969645859</c:v>
                </c:pt>
                <c:pt idx="320">
                  <c:v>5.9499954765977279</c:v>
                </c:pt>
                <c:pt idx="321">
                  <c:v>5.9503006013634563</c:v>
                </c:pt>
                <c:pt idx="322">
                  <c:v>5.9506110316744376</c:v>
                </c:pt>
                <c:pt idx="323">
                  <c:v>5.9509273647556276</c:v>
                </c:pt>
                <c:pt idx="324">
                  <c:v>5.9512502404514009</c:v>
                </c:pt>
                <c:pt idx="325">
                  <c:v>5.9515803478123157</c:v>
                </c:pt>
                <c:pt idx="326">
                  <c:v>5.9519184326261794</c:v>
                </c:pt>
                <c:pt idx="327">
                  <c:v>5.9522653060885808</c:v>
                </c:pt>
                <c:pt idx="328">
                  <c:v>5.9526218548550425</c:v>
                </c:pt>
                <c:pt idx="329">
                  <c:v>5.9529890527748135</c:v>
                </c:pt>
                <c:pt idx="330">
                  <c:v>5.9533679746708374</c:v>
                </c:pt>
                <c:pt idx="331">
                  <c:v>5.9537598126366964</c:v>
                </c:pt>
                <c:pt idx="332">
                  <c:v>5.9541658954312293</c:v>
                </c:pt>
                <c:pt idx="333">
                  <c:v>5.9545877117209294</c:v>
                </c:pt>
                <c:pt idx="334">
                  <c:v>5.9550269381275465</c:v>
                </c:pt>
                <c:pt idx="335">
                  <c:v>5.9554854733248392</c:v>
                </c:pt>
                <c:pt idx="336">
                  <c:v>5.9559654798131305</c:v>
                </c:pt>
                <c:pt idx="337">
                  <c:v>5.956469435520888</c:v>
                </c:pt>
                <c:pt idx="338">
                  <c:v>5.9570001981173908</c:v>
                </c:pt>
                <c:pt idx="339">
                  <c:v>5.9575610859261463</c:v>
                </c:pt>
                <c:pt idx="340">
                  <c:v>5.9581559807784767</c:v>
                </c:pt>
                <c:pt idx="341">
                  <c:v>5.9587894602334961</c:v>
                </c:pt>
                <c:pt idx="342">
                  <c:v>5.9594669696359412</c:v>
                </c:pt>
                <c:pt idx="343">
                  <c:v>5.9601950490533255</c:v>
                </c:pt>
                <c:pt idx="344">
                  <c:v>5.9609816370944175</c:v>
                </c:pt>
                <c:pt idx="345">
                  <c:v>5.9618364844405241</c:v>
                </c:pt>
                <c:pt idx="346">
                  <c:v>5.9627717272758467</c:v>
                </c:pt>
                <c:pt idx="347">
                  <c:v>5.963802699272911</c:v>
                </c:pt>
                <c:pt idx="348">
                  <c:v>5.9649491091424975</c:v>
                </c:pt>
                <c:pt idx="349">
                  <c:v>5.9662367957360463</c:v>
                </c:pt>
                <c:pt idx="350">
                  <c:v>5.9677004285927806</c:v>
                </c:pt>
                <c:pt idx="351">
                  <c:v>5.9693878216419236</c:v>
                </c:pt>
                <c:pt idx="352">
                  <c:v>5.9713671387184686</c:v>
                </c:pt>
                <c:pt idx="353">
                  <c:v>5.9737396023591121</c:v>
                </c:pt>
                <c:pt idx="354">
                  <c:v>5.9766247651189994</c:v>
                </c:pt>
                <c:pt idx="355">
                  <c:v>5.9800178857315611</c:v>
                </c:pt>
                <c:pt idx="356">
                  <c:v>5.9838858099990597</c:v>
                </c:pt>
                <c:pt idx="357">
                  <c:v>5.9882049393575176</c:v>
                </c:pt>
                <c:pt idx="358">
                  <c:v>5.9929322516419079</c:v>
                </c:pt>
                <c:pt idx="359">
                  <c:v>5.9979222028237453</c:v>
                </c:pt>
                <c:pt idx="360">
                  <c:v>6.002936422695119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5.6749700702650951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5.9516311476133161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L_Section_Capacity!$CB$15:$CB$375</c:f>
              <c:numCache>
                <c:formatCode>0.000</c:formatCode>
                <c:ptCount val="361"/>
                <c:pt idx="0">
                  <c:v>-0.2802488844844333</c:v>
                </c:pt>
                <c:pt idx="1">
                  <c:v>-0.27527824222839115</c:v>
                </c:pt>
                <c:pt idx="2">
                  <c:v>-0.27035829543256573</c:v>
                </c:pt>
                <c:pt idx="3">
                  <c:v>-0.26571547554521757</c:v>
                </c:pt>
                <c:pt idx="4">
                  <c:v>-0.26148690094012728</c:v>
                </c:pt>
                <c:pt idx="5">
                  <c:v>-0.25771279088931537</c:v>
                </c:pt>
                <c:pt idx="6">
                  <c:v>-0.25441542056262934</c:v>
                </c:pt>
                <c:pt idx="7">
                  <c:v>-0.25162641608123765</c:v>
                </c:pt>
                <c:pt idx="8">
                  <c:v>-0.24934884783632894</c:v>
                </c:pt>
                <c:pt idx="9">
                  <c:v>-0.24746336281277942</c:v>
                </c:pt>
                <c:pt idx="10">
                  <c:v>-0.24586905396471834</c:v>
                </c:pt>
                <c:pt idx="11">
                  <c:v>-0.24449789328532689</c:v>
                </c:pt>
                <c:pt idx="12">
                  <c:v>-0.24330213450119836</c:v>
                </c:pt>
                <c:pt idx="13">
                  <c:v>-0.24224715241549449</c:v>
                </c:pt>
                <c:pt idx="14">
                  <c:v>-0.24130714732253111</c:v>
                </c:pt>
                <c:pt idx="15">
                  <c:v>-0.2404624515161303</c:v>
                </c:pt>
                <c:pt idx="16">
                  <c:v>-0.23969777645933471</c:v>
                </c:pt>
                <c:pt idx="17">
                  <c:v>-0.23900103563876635</c:v>
                </c:pt>
                <c:pt idx="18">
                  <c:v>-0.23836253220645329</c:v>
                </c:pt>
                <c:pt idx="19">
                  <c:v>-0.23777438498807199</c:v>
                </c:pt>
                <c:pt idx="20">
                  <c:v>-0.23723011434829852</c:v>
                </c:pt>
                <c:pt idx="21">
                  <c:v>-0.23672433791058528</c:v>
                </c:pt>
                <c:pt idx="22">
                  <c:v>-0.23625254323386938</c:v>
                </c:pt>
                <c:pt idx="23">
                  <c:v>-0.23581091548046745</c:v>
                </c:pt>
                <c:pt idx="24">
                  <c:v>-0.23539620505594691</c:v>
                </c:pt>
                <c:pt idx="25">
                  <c:v>-0.23500562465277167</c:v>
                </c:pt>
                <c:pt idx="26">
                  <c:v>-0.23463676831020333</c:v>
                </c:pt>
                <c:pt idx="27">
                  <c:v>-0.23428754720155501</c:v>
                </c:pt>
                <c:pt idx="28">
                  <c:v>-0.23395613808675106</c:v>
                </c:pt>
                <c:pt idx="29">
                  <c:v>-0.23364094170669655</c:v>
                </c:pt>
                <c:pt idx="30">
                  <c:v>-0.23334054887093941</c:v>
                </c:pt>
                <c:pt idx="31">
                  <c:v>-0.23305371263545938</c:v>
                </c:pt>
                <c:pt idx="32">
                  <c:v>-0.23277932529626644</c:v>
                </c:pt>
                <c:pt idx="33">
                  <c:v>-0.23251639933705814</c:v>
                </c:pt>
                <c:pt idx="34">
                  <c:v>-0.23226405139396514</c:v>
                </c:pt>
                <c:pt idx="35">
                  <c:v>-0.23202148890754207</c:v>
                </c:pt>
                <c:pt idx="36">
                  <c:v>-0.23178799873505482</c:v>
                </c:pt>
                <c:pt idx="37">
                  <c:v>-0.23156293756159116</c:v>
                </c:pt>
                <c:pt idx="38">
                  <c:v>-0.23134572372345358</c:v>
                </c:pt>
                <c:pt idx="39">
                  <c:v>-0.23113583020480516</c:v>
                </c:pt>
                <c:pt idx="40">
                  <c:v>-0.23093277865387582</c:v>
                </c:pt>
                <c:pt idx="41">
                  <c:v>-0.2307361342243498</c:v>
                </c:pt>
                <c:pt idx="42">
                  <c:v>-0.23054550114085984</c:v>
                </c:pt>
                <c:pt idx="43">
                  <c:v>-0.23036051889591078</c:v>
                </c:pt>
                <c:pt idx="44">
                  <c:v>-0.23018085895902632</c:v>
                </c:pt>
                <c:pt idx="45">
                  <c:v>-0.23000622191134165</c:v>
                </c:pt>
                <c:pt idx="46">
                  <c:v>-0.22983633507445314</c:v>
                </c:pt>
                <c:pt idx="47">
                  <c:v>-0.2296709503958303</c:v>
                </c:pt>
                <c:pt idx="48">
                  <c:v>-0.22950984271804284</c:v>
                </c:pt>
                <c:pt idx="49">
                  <c:v>-0.22935280830703114</c:v>
                </c:pt>
                <c:pt idx="50">
                  <c:v>-0.22919966366580272</c:v>
                </c:pt>
                <c:pt idx="51">
                  <c:v>-0.22905024460059825</c:v>
                </c:pt>
                <c:pt idx="52">
                  <c:v>-0.22890440551576255</c:v>
                </c:pt>
                <c:pt idx="53">
                  <c:v>-0.22876201896227699</c:v>
                </c:pt>
                <c:pt idx="54">
                  <c:v>-0.22862297542759963</c:v>
                </c:pt>
                <c:pt idx="55">
                  <c:v>-0.22848718339355112</c:v>
                </c:pt>
                <c:pt idx="56">
                  <c:v>-0.22835456962586706</c:v>
                </c:pt>
                <c:pt idx="57">
                  <c:v>-0.22822507981030141</c:v>
                </c:pt>
                <c:pt idx="58">
                  <c:v>-0.22809867947839907</c:v>
                </c:pt>
                <c:pt idx="59">
                  <c:v>-0.22797535535084804</c:v>
                </c:pt>
                <c:pt idx="60">
                  <c:v>-0.22785511710446502</c:v>
                </c:pt>
                <c:pt idx="61">
                  <c:v>-0.22773799969285072</c:v>
                </c:pt>
                <c:pt idx="62">
                  <c:v>-0.22762406630125648</c:v>
                </c:pt>
                <c:pt idx="63">
                  <c:v>-0.22751341206698375</c:v>
                </c:pt>
                <c:pt idx="64">
                  <c:v>-0.22740616885665102</c:v>
                </c:pt>
                <c:pt idx="65">
                  <c:v>-0.22730251118439249</c:v>
                </c:pt>
                <c:pt idx="66">
                  <c:v>-0.2272026637564078</c:v>
                </c:pt>
                <c:pt idx="67">
                  <c:v>-0.22710691103773389</c:v>
                </c:pt>
                <c:pt idx="68">
                  <c:v>-0.22701560940318477</c:v>
                </c:pt>
                <c:pt idx="69">
                  <c:v>-0.22692920278399786</c:v>
                </c:pt>
                <c:pt idx="70">
                  <c:v>-0.22684824285043079</c:v>
                </c:pt>
                <c:pt idx="71">
                  <c:v>-0.22677341548765775</c:v>
                </c:pt>
                <c:pt idx="72">
                  <c:v>-0.2267055757255233</c:v>
                </c:pt>
                <c:pt idx="73">
                  <c:v>-0.22664579448404781</c:v>
                </c:pt>
                <c:pt idx="74">
                  <c:v>-0.2265954221242687</c:v>
                </c:pt>
                <c:pt idx="75">
                  <c:v>-0.22655617607354273</c:v>
                </c:pt>
                <c:pt idx="76">
                  <c:v>-0.22653026404105917</c:v>
                </c:pt>
                <c:pt idx="77">
                  <c:v>-0.22652056086657243</c:v>
                </c:pt>
                <c:pt idx="78">
                  <c:v>-0.226530868418098</c:v>
                </c:pt>
                <c:pt idx="79">
                  <c:v>-0.22656630827692487</c:v>
                </c:pt>
                <c:pt idx="80">
                  <c:v>-0.22663393427045189</c:v>
                </c:pt>
                <c:pt idx="81">
                  <c:v>-0.22674372470793128</c:v>
                </c:pt>
                <c:pt idx="82">
                  <c:v>-0.226910263868595</c:v>
                </c:pt>
                <c:pt idx="83">
                  <c:v>-0.22715575295946402</c:v>
                </c:pt>
                <c:pt idx="84">
                  <c:v>-0.22751578457305544</c:v>
                </c:pt>
                <c:pt idx="85">
                  <c:v>-0.22805144048985243</c:v>
                </c:pt>
                <c:pt idx="86">
                  <c:v>-0.22887782390581696</c:v>
                </c:pt>
                <c:pt idx="87">
                  <c:v>-0.23024371875339905</c:v>
                </c:pt>
                <c:pt idx="88">
                  <c:v>-0.23282155693986417</c:v>
                </c:pt>
                <c:pt idx="89">
                  <c:v>-0.23866145131961644</c:v>
                </c:pt>
                <c:pt idx="90">
                  <c:v>-0.24899848201132596</c:v>
                </c:pt>
                <c:pt idx="91">
                  <c:v>-0.26135251867936743</c:v>
                </c:pt>
                <c:pt idx="92">
                  <c:v>-0.27042400308269421</c:v>
                </c:pt>
                <c:pt idx="93">
                  <c:v>-0.27543360182247428</c:v>
                </c:pt>
                <c:pt idx="94">
                  <c:v>-0.27866407761212658</c:v>
                </c:pt>
                <c:pt idx="95">
                  <c:v>-0.28102017527945916</c:v>
                </c:pt>
                <c:pt idx="96">
                  <c:v>-0.28456222087679367</c:v>
                </c:pt>
                <c:pt idx="97">
                  <c:v>-0.28854532189154397</c:v>
                </c:pt>
                <c:pt idx="98">
                  <c:v>-0.29148490158296886</c:v>
                </c:pt>
                <c:pt idx="99">
                  <c:v>-0.29373575899118459</c:v>
                </c:pt>
                <c:pt idx="100">
                  <c:v>-0.29551031024533908</c:v>
                </c:pt>
                <c:pt idx="101">
                  <c:v>-0.29694289664776291</c:v>
                </c:pt>
                <c:pt idx="102">
                  <c:v>-0.29812233608662814</c:v>
                </c:pt>
                <c:pt idx="103">
                  <c:v>-0.29910954011140656</c:v>
                </c:pt>
                <c:pt idx="104">
                  <c:v>-0.29994758670507504</c:v>
                </c:pt>
                <c:pt idx="105">
                  <c:v>-0.30066774999473495</c:v>
                </c:pt>
                <c:pt idx="106">
                  <c:v>-0.30129325304728061</c:v>
                </c:pt>
                <c:pt idx="107">
                  <c:v>-0.30184168299363762</c:v>
                </c:pt>
                <c:pt idx="108">
                  <c:v>-0.30232659114050914</c:v>
                </c:pt>
                <c:pt idx="109">
                  <c:v>-0.30275858046185855</c:v>
                </c:pt>
                <c:pt idx="110">
                  <c:v>-0.30314606152283258</c:v>
                </c:pt>
                <c:pt idx="111">
                  <c:v>-0.30349578861937782</c:v>
                </c:pt>
                <c:pt idx="112">
                  <c:v>-0.30381324689561984</c:v>
                </c:pt>
                <c:pt idx="113">
                  <c:v>-0.30410293647877418</c:v>
                </c:pt>
                <c:pt idx="114">
                  <c:v>-0.30436858409452261</c:v>
                </c:pt>
                <c:pt idx="115">
                  <c:v>-0.30461330281841187</c:v>
                </c:pt>
                <c:pt idx="116">
                  <c:v>-0.30483971417229955</c:v>
                </c:pt>
                <c:pt idx="117">
                  <c:v>-0.30505004249834966</c:v>
                </c:pt>
                <c:pt idx="118">
                  <c:v>-0.30524618868699055</c:v>
                </c:pt>
                <c:pt idx="119">
                  <c:v>-0.30542978835281265</c:v>
                </c:pt>
                <c:pt idx="120">
                  <c:v>-0.30560225814828551</c:v>
                </c:pt>
                <c:pt idx="121">
                  <c:v>-0.30576483298007429</c:v>
                </c:pt>
                <c:pt idx="122">
                  <c:v>-0.30591859615264405</c:v>
                </c:pt>
                <c:pt idx="123">
                  <c:v>-0.30606450400235197</c:v>
                </c:pt>
                <c:pt idx="124">
                  <c:v>-0.30620340617376768</c:v>
                </c:pt>
                <c:pt idx="125">
                  <c:v>-0.30633606246320222</c:v>
                </c:pt>
                <c:pt idx="126">
                  <c:v>-0.30646315692209619</c:v>
                </c:pt>
                <c:pt idx="127">
                  <c:v>-0.30658530977228393</c:v>
                </c:pt>
                <c:pt idx="128">
                  <c:v>-0.3067030875677807</c:v>
                </c:pt>
                <c:pt idx="129">
                  <c:v>-0.30681701195268385</c:v>
                </c:pt>
                <c:pt idx="130">
                  <c:v>-0.30692756730641962</c:v>
                </c:pt>
                <c:pt idx="131">
                  <c:v>-0.30703520749312746</c:v>
                </c:pt>
                <c:pt idx="132">
                  <c:v>-0.30714036192089661</c:v>
                </c:pt>
                <c:pt idx="133">
                  <c:v>-0.30724344107362417</c:v>
                </c:pt>
                <c:pt idx="134">
                  <c:v>-0.30734484165388043</c:v>
                </c:pt>
                <c:pt idx="135">
                  <c:v>-0.30744495147824025</c:v>
                </c:pt>
                <c:pt idx="136">
                  <c:v>-0.30754415422215287</c:v>
                </c:pt>
                <c:pt idx="137">
                  <c:v>-0.30764283415985177</c:v>
                </c:pt>
                <c:pt idx="138">
                  <c:v>-0.30774138099229137</c:v>
                </c:pt>
                <c:pt idx="139">
                  <c:v>-0.3078401948797832</c:v>
                </c:pt>
                <c:pt idx="140">
                  <c:v>-0.30793969183853559</c:v>
                </c:pt>
                <c:pt idx="141">
                  <c:v>-0.30804030960987799</c:v>
                </c:pt>
                <c:pt idx="142">
                  <c:v>-0.30814251419557004</c:v>
                </c:pt>
                <c:pt idx="143">
                  <c:v>-0.30824680723766301</c:v>
                </c:pt>
                <c:pt idx="144">
                  <c:v>-0.30835373449358705</c:v>
                </c:pt>
                <c:pt idx="145">
                  <c:v>-0.3084638956908074</c:v>
                </c:pt>
                <c:pt idx="146">
                  <c:v>-0.30857795610620459</c:v>
                </c:pt>
                <c:pt idx="147">
                  <c:v>-0.30869666033160309</c:v>
                </c:pt>
                <c:pt idx="148">
                  <c:v>-0.30882084878948868</c:v>
                </c:pt>
                <c:pt idx="149">
                  <c:v>-0.30895147770760872</c:v>
                </c:pt>
                <c:pt idx="150">
                  <c:v>-0.30908964349971096</c:v>
                </c:pt>
                <c:pt idx="151">
                  <c:v>-0.30923661274448733</c:v>
                </c:pt>
                <c:pt idx="152">
                  <c:v>-0.3093938593694272</c:v>
                </c:pt>
                <c:pt idx="153">
                  <c:v>-0.30956311111629514</c:v>
                </c:pt>
                <c:pt idx="154">
                  <c:v>-0.30974640812090781</c:v>
                </c:pt>
                <c:pt idx="155">
                  <c:v>-0.30994617738065511</c:v>
                </c:pt>
                <c:pt idx="156">
                  <c:v>-0.31016532829906795</c:v>
                </c:pt>
                <c:pt idx="157">
                  <c:v>-0.3104073764459519</c:v>
                </c:pt>
                <c:pt idx="158">
                  <c:v>-0.31067660553088233</c:v>
                </c:pt>
                <c:pt idx="159">
                  <c:v>-0.31097828173751713</c:v>
                </c:pt>
                <c:pt idx="160">
                  <c:v>-0.31131894074379474</c:v>
                </c:pt>
                <c:pt idx="161">
                  <c:v>-0.31170677709563482</c:v>
                </c:pt>
                <c:pt idx="162">
                  <c:v>-0.31215217995940397</c:v>
                </c:pt>
                <c:pt idx="163">
                  <c:v>-0.3126684818316422</c:v>
                </c:pt>
                <c:pt idx="164">
                  <c:v>-0.31327302293198295</c:v>
                </c:pt>
                <c:pt idx="165">
                  <c:v>-0.31398869348981973</c:v>
                </c:pt>
                <c:pt idx="166">
                  <c:v>-0.31484621654560935</c:v>
                </c:pt>
                <c:pt idx="167">
                  <c:v>-0.31588760869209276</c:v>
                </c:pt>
                <c:pt idx="168">
                  <c:v>-0.31717157105204108</c:v>
                </c:pt>
                <c:pt idx="169">
                  <c:v>-0.31878215230128437</c:v>
                </c:pt>
                <c:pt idx="170">
                  <c:v>-0.32084317948902091</c:v>
                </c:pt>
                <c:pt idx="171">
                  <c:v>-0.3235433307769931</c:v>
                </c:pt>
                <c:pt idx="172">
                  <c:v>-0.32718193264954698</c:v>
                </c:pt>
                <c:pt idx="173">
                  <c:v>-0.33225782673115406</c:v>
                </c:pt>
                <c:pt idx="174">
                  <c:v>-0.33963628873903423</c:v>
                </c:pt>
                <c:pt idx="175">
                  <c:v>-0.3468651003085787</c:v>
                </c:pt>
                <c:pt idx="176">
                  <c:v>-0.35202478744975857</c:v>
                </c:pt>
                <c:pt idx="177">
                  <c:v>-0.35775357809006242</c:v>
                </c:pt>
                <c:pt idx="178">
                  <c:v>-0.36398162697023112</c:v>
                </c:pt>
                <c:pt idx="179">
                  <c:v>-0.37050400247595006</c:v>
                </c:pt>
                <c:pt idx="180">
                  <c:v>-0.37699917181934767</c:v>
                </c:pt>
                <c:pt idx="181">
                  <c:v>-0.38335904369959611</c:v>
                </c:pt>
                <c:pt idx="182">
                  <c:v>-0.38958508418079707</c:v>
                </c:pt>
                <c:pt idx="183">
                  <c:v>-0.39539595038546643</c:v>
                </c:pt>
                <c:pt idx="184">
                  <c:v>-0.40063221200748894</c:v>
                </c:pt>
                <c:pt idx="185">
                  <c:v>-0.40525819679215425</c:v>
                </c:pt>
                <c:pt idx="186">
                  <c:v>-0.4092605819741138</c:v>
                </c:pt>
                <c:pt idx="187">
                  <c:v>-0.41261445512295147</c:v>
                </c:pt>
                <c:pt idx="188">
                  <c:v>-0.41532883373514645</c:v>
                </c:pt>
                <c:pt idx="189">
                  <c:v>-0.4175570674678738</c:v>
                </c:pt>
                <c:pt idx="190">
                  <c:v>-0.4194262420790863</c:v>
                </c:pt>
                <c:pt idx="191">
                  <c:v>-0.42102155225285576</c:v>
                </c:pt>
                <c:pt idx="192">
                  <c:v>-0.42240249684995673</c:v>
                </c:pt>
                <c:pt idx="193">
                  <c:v>-0.42361203230238942</c:v>
                </c:pt>
                <c:pt idx="194">
                  <c:v>-0.42468203639410473</c:v>
                </c:pt>
                <c:pt idx="195">
                  <c:v>-0.42563671920249174</c:v>
                </c:pt>
                <c:pt idx="196">
                  <c:v>-0.42649483411845129</c:v>
                </c:pt>
                <c:pt idx="197">
                  <c:v>-0.42727115738253879</c:v>
                </c:pt>
                <c:pt idx="198">
                  <c:v>-0.42797750580504368</c:v>
                </c:pt>
                <c:pt idx="199">
                  <c:v>-0.42862345368537974</c:v>
                </c:pt>
                <c:pt idx="200">
                  <c:v>-0.42921684863487264</c:v>
                </c:pt>
                <c:pt idx="201">
                  <c:v>-0.42976418955641199</c:v>
                </c:pt>
                <c:pt idx="202">
                  <c:v>-0.43027090833768428</c:v>
                </c:pt>
                <c:pt idx="203">
                  <c:v>-0.43074158289569842</c:v>
                </c:pt>
                <c:pt idx="204">
                  <c:v>-0.43118010042077887</c:v>
                </c:pt>
                <c:pt idx="205">
                  <c:v>-0.43158978409276583</c:v>
                </c:pt>
                <c:pt idx="206">
                  <c:v>-0.43197349248513811</c:v>
                </c:pt>
                <c:pt idx="207">
                  <c:v>-0.43233369823141271</c:v>
                </c:pt>
                <c:pt idx="208">
                  <c:v>-0.43267255107544211</c:v>
                </c:pt>
                <c:pt idx="209">
                  <c:v>-0.43299192862438901</c:v>
                </c:pt>
                <c:pt idx="210">
                  <c:v>-0.43329347763085202</c:v>
                </c:pt>
                <c:pt idx="211">
                  <c:v>-0.4335786477776612</c:v>
                </c:pt>
                <c:pt idx="212">
                  <c:v>-0.43384871955146781</c:v>
                </c:pt>
                <c:pt idx="213">
                  <c:v>-0.43410482723009414</c:v>
                </c:pt>
                <c:pt idx="214">
                  <c:v>-0.43434797821189974</c:v>
                </c:pt>
                <c:pt idx="215">
                  <c:v>-0.43457906899228221</c:v>
                </c:pt>
                <c:pt idx="216">
                  <c:v>-0.43479889878293482</c:v>
                </c:pt>
                <c:pt idx="217">
                  <c:v>-0.43500818088977572</c:v>
                </c:pt>
                <c:pt idx="218">
                  <c:v>-0.43520755235798059</c:v>
                </c:pt>
                <c:pt idx="219">
                  <c:v>-0.43539758217509744</c:v>
                </c:pt>
                <c:pt idx="220">
                  <c:v>-0.43557877820292806</c:v>
                </c:pt>
                <c:pt idx="221">
                  <c:v>-0.43575159308735917</c:v>
                </c:pt>
                <c:pt idx="222">
                  <c:v>-0.43591642925576313</c:v>
                </c:pt>
                <c:pt idx="223">
                  <c:v>-0.43607364310680213</c:v>
                </c:pt>
                <c:pt idx="224">
                  <c:v>-0.43622354854546669</c:v>
                </c:pt>
                <c:pt idx="225">
                  <c:v>-0.43636641996893011</c:v>
                </c:pt>
                <c:pt idx="226">
                  <c:v>-0.43650249456676582</c:v>
                </c:pt>
                <c:pt idx="227">
                  <c:v>-0.43663197428653516</c:v>
                </c:pt>
                <c:pt idx="228">
                  <c:v>-0.4367550272403225</c:v>
                </c:pt>
                <c:pt idx="229">
                  <c:v>-0.43687178872741905</c:v>
                </c:pt>
                <c:pt idx="230">
                  <c:v>-0.43698236181032352</c:v>
                </c:pt>
                <c:pt idx="231">
                  <c:v>-0.43708681747458794</c:v>
                </c:pt>
                <c:pt idx="232">
                  <c:v>-0.4371851943873642</c:v>
                </c:pt>
                <c:pt idx="233">
                  <c:v>-0.43727749819199124</c:v>
                </c:pt>
                <c:pt idx="234">
                  <c:v>-0.43736370033188737</c:v>
                </c:pt>
                <c:pt idx="235">
                  <c:v>-0.43744373633285499</c:v>
                </c:pt>
                <c:pt idx="236">
                  <c:v>-0.43751750356622693</c:v>
                </c:pt>
                <c:pt idx="237">
                  <c:v>-0.43758485827507665</c:v>
                </c:pt>
                <c:pt idx="238">
                  <c:v>-0.43764561190428358</c:v>
                </c:pt>
                <c:pt idx="239">
                  <c:v>-0.43769952647964849</c:v>
                </c:pt>
                <c:pt idx="240">
                  <c:v>-0.4377463089569994</c:v>
                </c:pt>
                <c:pt idx="241">
                  <c:v>-0.43778560425498264</c:v>
                </c:pt>
                <c:pt idx="242">
                  <c:v>-0.43781698674025094</c:v>
                </c:pt>
                <c:pt idx="243">
                  <c:v>-0.43783994982783625</c:v>
                </c:pt>
                <c:pt idx="244">
                  <c:v>-0.43785389307966371</c:v>
                </c:pt>
                <c:pt idx="245">
                  <c:v>-0.43785810645066237</c:v>
                </c:pt>
                <c:pt idx="246">
                  <c:v>-0.43785175065641857</c:v>
                </c:pt>
                <c:pt idx="247">
                  <c:v>-0.43783383268544823</c:v>
                </c:pt>
                <c:pt idx="248">
                  <c:v>-0.43780317510528255</c:v>
                </c:pt>
                <c:pt idx="249">
                  <c:v>-0.43775837711712318</c:v>
                </c:pt>
                <c:pt idx="250">
                  <c:v>-0.43769776488291773</c:v>
                </c:pt>
                <c:pt idx="251">
                  <c:v>-0.43761932723707891</c:v>
                </c:pt>
                <c:pt idx="252">
                  <c:v>-0.43752063180193168</c:v>
                </c:pt>
                <c:pt idx="253">
                  <c:v>-0.43739871401110897</c:v>
                </c:pt>
                <c:pt idx="254">
                  <c:v>-0.43724992804181473</c:v>
                </c:pt>
                <c:pt idx="255">
                  <c:v>-0.43706974360854955</c:v>
                </c:pt>
                <c:pt idx="256">
                  <c:v>-0.43685246367642094</c:v>
                </c:pt>
                <c:pt idx="257">
                  <c:v>-0.43659082431257196</c:v>
                </c:pt>
                <c:pt idx="258">
                  <c:v>-0.43627541417659998</c:v>
                </c:pt>
                <c:pt idx="259">
                  <c:v>-0.43589380936960215</c:v>
                </c:pt>
                <c:pt idx="260">
                  <c:v>-0.43542924346523709</c:v>
                </c:pt>
                <c:pt idx="261">
                  <c:v>-0.43485848680274203</c:v>
                </c:pt>
                <c:pt idx="262">
                  <c:v>-0.43414831412002503</c:v>
                </c:pt>
                <c:pt idx="263">
                  <c:v>-0.4332492999919782</c:v>
                </c:pt>
                <c:pt idx="264">
                  <c:v>-0.43208417736929028</c:v>
                </c:pt>
                <c:pt idx="265">
                  <c:v>-0.43052406660097509</c:v>
                </c:pt>
                <c:pt idx="266">
                  <c:v>-0.42833413791387548</c:v>
                </c:pt>
                <c:pt idx="267">
                  <c:v>-0.42502790212398861</c:v>
                </c:pt>
                <c:pt idx="268">
                  <c:v>-0.41936639654629554</c:v>
                </c:pt>
                <c:pt idx="269">
                  <c:v>-0.4080486722624711</c:v>
                </c:pt>
                <c:pt idx="270">
                  <c:v>-0.39114267302666833</c:v>
                </c:pt>
                <c:pt idx="271">
                  <c:v>-0.37466887186184034</c:v>
                </c:pt>
                <c:pt idx="272">
                  <c:v>-0.36431361038988558</c:v>
                </c:pt>
                <c:pt idx="273">
                  <c:v>-0.35911893319889454</c:v>
                </c:pt>
                <c:pt idx="274">
                  <c:v>-0.35594952280118386</c:v>
                </c:pt>
                <c:pt idx="275">
                  <c:v>-0.35372220275698757</c:v>
                </c:pt>
                <c:pt idx="276">
                  <c:v>-0.3520247350744114</c:v>
                </c:pt>
                <c:pt idx="277">
                  <c:v>-0.35066106799926994</c:v>
                </c:pt>
                <c:pt idx="278">
                  <c:v>-0.34952426425420674</c:v>
                </c:pt>
                <c:pt idx="279">
                  <c:v>-0.34855025752854385</c:v>
                </c:pt>
                <c:pt idx="280">
                  <c:v>-0.34769794112432473</c:v>
                </c:pt>
                <c:pt idx="281">
                  <c:v>-0.34693951906962639</c:v>
                </c:pt>
                <c:pt idx="282">
                  <c:v>-0.34625539903543812</c:v>
                </c:pt>
                <c:pt idx="283">
                  <c:v>-0.34563129719357583</c:v>
                </c:pt>
                <c:pt idx="284">
                  <c:v>-0.34505650407200533</c:v>
                </c:pt>
                <c:pt idx="285">
                  <c:v>-0.34452279779214667</c:v>
                </c:pt>
                <c:pt idx="286">
                  <c:v>-0.34402373674934056</c:v>
                </c:pt>
                <c:pt idx="287">
                  <c:v>-0.34355418421021994</c:v>
                </c:pt>
                <c:pt idx="288">
                  <c:v>-0.34310997979617885</c:v>
                </c:pt>
                <c:pt idx="289">
                  <c:v>-0.34268770694832135</c:v>
                </c:pt>
                <c:pt idx="290">
                  <c:v>-0.34228452477703131</c:v>
                </c:pt>
                <c:pt idx="291">
                  <c:v>-0.34189804418489533</c:v>
                </c:pt>
                <c:pt idx="292">
                  <c:v>-0.34152623502983337</c:v>
                </c:pt>
                <c:pt idx="293">
                  <c:v>-0.34116735549760524</c:v>
                </c:pt>
                <c:pt idx="294">
                  <c:v>-0.3408198976309576</c:v>
                </c:pt>
                <c:pt idx="295">
                  <c:v>-0.3404825447602246</c:v>
                </c:pt>
                <c:pt idx="296">
                  <c:v>-0.3401541378674463</c:v>
                </c:pt>
                <c:pt idx="297">
                  <c:v>-0.33983364870027932</c:v>
                </c:pt>
                <c:pt idx="298">
                  <c:v>-0.33952015807218217</c:v>
                </c:pt>
                <c:pt idx="299">
                  <c:v>-0.33921283816938314</c:v>
                </c:pt>
                <c:pt idx="300">
                  <c:v>-0.33891093797829347</c:v>
                </c:pt>
                <c:pt idx="301">
                  <c:v>-0.33861377119446151</c:v>
                </c:pt>
                <c:pt idx="302">
                  <c:v>-0.33832070607238429</c:v>
                </c:pt>
                <c:pt idx="303">
                  <c:v>-0.33803115683851265</c:v>
                </c:pt>
                <c:pt idx="304">
                  <c:v>-0.33774457635451882</c:v>
                </c:pt>
                <c:pt idx="305">
                  <c:v>-0.33746044978073814</c:v>
                </c:pt>
                <c:pt idx="306">
                  <c:v>-0.33717828905065012</c:v>
                </c:pt>
                <c:pt idx="307">
                  <c:v>-0.33689762798901018</c:v>
                </c:pt>
                <c:pt idx="308">
                  <c:v>-0.33661801795531926</c:v>
                </c:pt>
                <c:pt idx="309">
                  <c:v>-0.33633902389167325</c:v>
                </c:pt>
                <c:pt idx="310">
                  <c:v>-0.33606022069671643</c:v>
                </c:pt>
                <c:pt idx="311">
                  <c:v>-0.33578118984025274</c:v>
                </c:pt>
                <c:pt idx="312">
                  <c:v>-0.33550151615270746</c:v>
                </c:pt>
                <c:pt idx="313">
                  <c:v>-0.33522078472653799</c:v>
                </c:pt>
                <c:pt idx="314">
                  <c:v>-0.33493857787656056</c:v>
                </c:pt>
                <c:pt idx="315">
                  <c:v>-0.33465447210377558</c:v>
                </c:pt>
                <c:pt idx="316">
                  <c:v>-0.33436803500868728</c:v>
                </c:pt>
                <c:pt idx="317">
                  <c:v>-0.33407882210607381</c:v>
                </c:pt>
                <c:pt idx="318">
                  <c:v>-0.33378637347711354</c:v>
                </c:pt>
                <c:pt idx="319">
                  <c:v>-0.33349021021500069</c:v>
                </c:pt>
                <c:pt idx="320">
                  <c:v>-0.33318983058185864</c:v>
                </c:pt>
                <c:pt idx="321">
                  <c:v>-0.33288470581613022</c:v>
                </c:pt>
                <c:pt idx="322">
                  <c:v>-0.33257427550514845</c:v>
                </c:pt>
                <c:pt idx="323">
                  <c:v>-0.33225794242395851</c:v>
                </c:pt>
                <c:pt idx="324">
                  <c:v>-0.33193506672818507</c:v>
                </c:pt>
                <c:pt idx="325">
                  <c:v>-0.33160495936727069</c:v>
                </c:pt>
                <c:pt idx="326">
                  <c:v>-0.3312668745534067</c:v>
                </c:pt>
                <c:pt idx="327">
                  <c:v>-0.33092000109100567</c:v>
                </c:pt>
                <c:pt idx="328">
                  <c:v>-0.33056345232454404</c:v>
                </c:pt>
                <c:pt idx="329">
                  <c:v>-0.33019625440477268</c:v>
                </c:pt>
                <c:pt idx="330">
                  <c:v>-0.3298173325087484</c:v>
                </c:pt>
                <c:pt idx="331">
                  <c:v>-0.32942549454288994</c:v>
                </c:pt>
                <c:pt idx="332">
                  <c:v>-0.32901941174835664</c:v>
                </c:pt>
                <c:pt idx="333">
                  <c:v>-0.32859759545865663</c:v>
                </c:pt>
                <c:pt idx="334">
                  <c:v>-0.32815836905203999</c:v>
                </c:pt>
                <c:pt idx="335">
                  <c:v>-0.32769983385474677</c:v>
                </c:pt>
                <c:pt idx="336">
                  <c:v>-0.3272198273664555</c:v>
                </c:pt>
                <c:pt idx="337">
                  <c:v>-0.32671587165869792</c:v>
                </c:pt>
                <c:pt idx="338">
                  <c:v>-0.3261851090621955</c:v>
                </c:pt>
                <c:pt idx="339">
                  <c:v>-0.32562422125343959</c:v>
                </c:pt>
                <c:pt idx="340">
                  <c:v>-0.32502932640110932</c:v>
                </c:pt>
                <c:pt idx="341">
                  <c:v>-0.32439584694608997</c:v>
                </c:pt>
                <c:pt idx="342">
                  <c:v>-0.32371833754364471</c:v>
                </c:pt>
                <c:pt idx="343">
                  <c:v>-0.32299025812626031</c:v>
                </c:pt>
                <c:pt idx="344">
                  <c:v>-0.32220367008516876</c:v>
                </c:pt>
                <c:pt idx="345">
                  <c:v>-0.32134882273906235</c:v>
                </c:pt>
                <c:pt idx="346">
                  <c:v>-0.32041357990373953</c:v>
                </c:pt>
                <c:pt idx="347">
                  <c:v>-0.31938260790667483</c:v>
                </c:pt>
                <c:pt idx="348">
                  <c:v>-0.31823619803708836</c:v>
                </c:pt>
                <c:pt idx="349">
                  <c:v>-0.31694851144353953</c:v>
                </c:pt>
                <c:pt idx="350">
                  <c:v>-0.31548487858680535</c:v>
                </c:pt>
                <c:pt idx="351">
                  <c:v>-0.31379748553766301</c:v>
                </c:pt>
                <c:pt idx="352">
                  <c:v>-0.31181816846111721</c:v>
                </c:pt>
                <c:pt idx="353">
                  <c:v>-0.30944570482047401</c:v>
                </c:pt>
                <c:pt idx="354">
                  <c:v>-0.30656054206058653</c:v>
                </c:pt>
                <c:pt idx="355">
                  <c:v>-0.30316742144802539</c:v>
                </c:pt>
                <c:pt idx="356">
                  <c:v>-0.29929949718052673</c:v>
                </c:pt>
                <c:pt idx="357">
                  <c:v>-0.29498036782206855</c:v>
                </c:pt>
                <c:pt idx="358">
                  <c:v>-0.290253055537678</c:v>
                </c:pt>
                <c:pt idx="359">
                  <c:v>-0.2852631043558409</c:v>
                </c:pt>
                <c:pt idx="360">
                  <c:v>-0.2802488844844675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-5.1305277391504589E-2</c:v>
                </c:pt>
                <c:pt idx="1">
                  <c:v>-5.627591964754685E-2</c:v>
                </c:pt>
                <c:pt idx="2">
                  <c:v>-6.1195866443372708E-2</c:v>
                </c:pt>
                <c:pt idx="3">
                  <c:v>-6.5838686330720542E-2</c:v>
                </c:pt>
                <c:pt idx="4">
                  <c:v>-7.0067260935810602E-2</c:v>
                </c:pt>
                <c:pt idx="5">
                  <c:v>-7.3841370986622579E-2</c:v>
                </c:pt>
                <c:pt idx="6">
                  <c:v>-7.7138741313309112E-2</c:v>
                </c:pt>
                <c:pt idx="7">
                  <c:v>-7.99277457947003E-2</c:v>
                </c:pt>
                <c:pt idx="8">
                  <c:v>-8.2205314039609512E-2</c:v>
                </c:pt>
                <c:pt idx="9">
                  <c:v>-8.4090799063158528E-2</c:v>
                </c:pt>
                <c:pt idx="10">
                  <c:v>-8.5685107911220193E-2</c:v>
                </c:pt>
                <c:pt idx="11">
                  <c:v>-8.7056268590611552E-2</c:v>
                </c:pt>
                <c:pt idx="12">
                  <c:v>-8.8252027374739583E-2</c:v>
                </c:pt>
                <c:pt idx="13">
                  <c:v>-8.9307009460443801E-2</c:v>
                </c:pt>
                <c:pt idx="14">
                  <c:v>-9.0247014553407112E-2</c:v>
                </c:pt>
                <c:pt idx="15">
                  <c:v>-9.1091710359807898E-2</c:v>
                </c:pt>
                <c:pt idx="16">
                  <c:v>-9.1856385416603459E-2</c:v>
                </c:pt>
                <c:pt idx="17">
                  <c:v>-9.255312623717149E-2</c:v>
                </c:pt>
                <c:pt idx="18">
                  <c:v>-9.3191629669484591E-2</c:v>
                </c:pt>
                <c:pt idx="19">
                  <c:v>-9.3779776887866539E-2</c:v>
                </c:pt>
                <c:pt idx="20">
                  <c:v>-9.4324047527639898E-2</c:v>
                </c:pt>
                <c:pt idx="21">
                  <c:v>-9.4829823965352666E-2</c:v>
                </c:pt>
                <c:pt idx="22">
                  <c:v>-9.530161864206832E-2</c:v>
                </c:pt>
                <c:pt idx="23">
                  <c:v>-9.5743246395470827E-2</c:v>
                </c:pt>
                <c:pt idx="24">
                  <c:v>-9.615795681999105E-2</c:v>
                </c:pt>
                <c:pt idx="25">
                  <c:v>-9.6548537223166697E-2</c:v>
                </c:pt>
                <c:pt idx="26">
                  <c:v>-9.6917393565735033E-2</c:v>
                </c:pt>
                <c:pt idx="27">
                  <c:v>-9.7266614674382815E-2</c:v>
                </c:pt>
                <c:pt idx="28">
                  <c:v>-9.7598023789187138E-2</c:v>
                </c:pt>
                <c:pt idx="29">
                  <c:v>-9.79132201692412E-2</c:v>
                </c:pt>
                <c:pt idx="30">
                  <c:v>-9.8213613004999076E-2</c:v>
                </c:pt>
                <c:pt idx="31">
                  <c:v>-9.8500449240479071E-2</c:v>
                </c:pt>
                <c:pt idx="32">
                  <c:v>-9.8774836579671899E-2</c:v>
                </c:pt>
                <c:pt idx="33">
                  <c:v>-9.9037762538880081E-2</c:v>
                </c:pt>
                <c:pt idx="34">
                  <c:v>-9.9290110481972782E-2</c:v>
                </c:pt>
                <c:pt idx="35">
                  <c:v>-9.9532672968395616E-2</c:v>
                </c:pt>
                <c:pt idx="36">
                  <c:v>-9.9766163140883699E-2</c:v>
                </c:pt>
                <c:pt idx="37">
                  <c:v>-9.9991224314346816E-2</c:v>
                </c:pt>
                <c:pt idx="38">
                  <c:v>-0.10020843815248437</c:v>
                </c:pt>
                <c:pt idx="39">
                  <c:v>-0.10041833167113268</c:v>
                </c:pt>
                <c:pt idx="40">
                  <c:v>-0.10062138322206239</c:v>
                </c:pt>
                <c:pt idx="41">
                  <c:v>-0.10081802765158798</c:v>
                </c:pt>
                <c:pt idx="42">
                  <c:v>-0.1010086607350784</c:v>
                </c:pt>
                <c:pt idx="43">
                  <c:v>-0.10119364298002775</c:v>
                </c:pt>
                <c:pt idx="44">
                  <c:v>-0.10137330291691171</c:v>
                </c:pt>
                <c:pt idx="45">
                  <c:v>-0.10154793996459688</c:v>
                </c:pt>
                <c:pt idx="46">
                  <c:v>-0.10171782680148488</c:v>
                </c:pt>
                <c:pt idx="47">
                  <c:v>-0.10188321148010804</c:v>
                </c:pt>
                <c:pt idx="48">
                  <c:v>-0.10204431915789502</c:v>
                </c:pt>
                <c:pt idx="49">
                  <c:v>-0.10220135356890658</c:v>
                </c:pt>
                <c:pt idx="50">
                  <c:v>-0.10235449821013543</c:v>
                </c:pt>
                <c:pt idx="51">
                  <c:v>-0.1025039172753397</c:v>
                </c:pt>
                <c:pt idx="52">
                  <c:v>-0.10264975636017581</c:v>
                </c:pt>
                <c:pt idx="53">
                  <c:v>-0.10279214291366133</c:v>
                </c:pt>
                <c:pt idx="54">
                  <c:v>-0.10293118644833843</c:v>
                </c:pt>
                <c:pt idx="55">
                  <c:v>-0.10306697848238676</c:v>
                </c:pt>
                <c:pt idx="56">
                  <c:v>-0.10319959225007126</c:v>
                </c:pt>
                <c:pt idx="57">
                  <c:v>-0.10332908206563651</c:v>
                </c:pt>
                <c:pt idx="58">
                  <c:v>-0.1034554823975391</c:v>
                </c:pt>
                <c:pt idx="59">
                  <c:v>-0.10357880652508999</c:v>
                </c:pt>
                <c:pt idx="60">
                  <c:v>-0.10369904477147342</c:v>
                </c:pt>
                <c:pt idx="61">
                  <c:v>-0.10381616218308753</c:v>
                </c:pt>
                <c:pt idx="62">
                  <c:v>-0.10393009557468157</c:v>
                </c:pt>
                <c:pt idx="63">
                  <c:v>-0.10404074980895395</c:v>
                </c:pt>
                <c:pt idx="64">
                  <c:v>-0.10414799301928745</c:v>
                </c:pt>
                <c:pt idx="65">
                  <c:v>-0.10425165069154563</c:v>
                </c:pt>
                <c:pt idx="66">
                  <c:v>-0.10435149811952993</c:v>
                </c:pt>
                <c:pt idx="67">
                  <c:v>-0.10444725083820394</c:v>
                </c:pt>
                <c:pt idx="68">
                  <c:v>-0.10453855247275355</c:v>
                </c:pt>
                <c:pt idx="69">
                  <c:v>-0.10462495909194036</c:v>
                </c:pt>
                <c:pt idx="70">
                  <c:v>-0.1047059190255073</c:v>
                </c:pt>
                <c:pt idx="71">
                  <c:v>-0.10478074638827993</c:v>
                </c:pt>
                <c:pt idx="72">
                  <c:v>-0.10484858615041492</c:v>
                </c:pt>
                <c:pt idx="73">
                  <c:v>-0.10490836739189024</c:v>
                </c:pt>
                <c:pt idx="74">
                  <c:v>-0.10495873975166958</c:v>
                </c:pt>
                <c:pt idx="75">
                  <c:v>-0.10499798580239529</c:v>
                </c:pt>
                <c:pt idx="76">
                  <c:v>-0.10502389783487853</c:v>
                </c:pt>
                <c:pt idx="77">
                  <c:v>-0.10503360100936553</c:v>
                </c:pt>
                <c:pt idx="78">
                  <c:v>-0.10502329345784034</c:v>
                </c:pt>
                <c:pt idx="79">
                  <c:v>-0.10498785359901321</c:v>
                </c:pt>
                <c:pt idx="80">
                  <c:v>-0.10492022760548637</c:v>
                </c:pt>
                <c:pt idx="81">
                  <c:v>-0.1048104371680072</c:v>
                </c:pt>
                <c:pt idx="82">
                  <c:v>-0.10464389800734342</c:v>
                </c:pt>
                <c:pt idx="83">
                  <c:v>-0.10439840891647378</c:v>
                </c:pt>
                <c:pt idx="84">
                  <c:v>-0.10403837730288235</c:v>
                </c:pt>
                <c:pt idx="85">
                  <c:v>-0.10350272138608574</c:v>
                </c:pt>
                <c:pt idx="86">
                  <c:v>-0.102676337970121</c:v>
                </c:pt>
                <c:pt idx="87">
                  <c:v>-0.10131044312253934</c:v>
                </c:pt>
                <c:pt idx="88">
                  <c:v>-9.8732604936073706E-2</c:v>
                </c:pt>
                <c:pt idx="89">
                  <c:v>-9.2892710556321312E-2</c:v>
                </c:pt>
                <c:pt idx="90">
                  <c:v>-8.2555679864611889E-2</c:v>
                </c:pt>
                <c:pt idx="91">
                  <c:v>-7.0201643196570629E-2</c:v>
                </c:pt>
                <c:pt idx="92">
                  <c:v>-6.1130158793243794E-2</c:v>
                </c:pt>
                <c:pt idx="93">
                  <c:v>-5.6120560053463997E-2</c:v>
                </c:pt>
                <c:pt idx="94">
                  <c:v>-5.2890084263811595E-2</c:v>
                </c:pt>
                <c:pt idx="95">
                  <c:v>-5.0533986596478897E-2</c:v>
                </c:pt>
                <c:pt idx="96">
                  <c:v>-4.699194099914461E-2</c:v>
                </c:pt>
                <c:pt idx="97">
                  <c:v>-4.300883998439442E-2</c:v>
                </c:pt>
                <c:pt idx="98">
                  <c:v>-4.0069260292969311E-2</c:v>
                </c:pt>
                <c:pt idx="99">
                  <c:v>-3.7818402884753688E-2</c:v>
                </c:pt>
                <c:pt idx="100">
                  <c:v>-3.6043851630599193E-2</c:v>
                </c:pt>
                <c:pt idx="101">
                  <c:v>-3.461126522817537E-2</c:v>
                </c:pt>
                <c:pt idx="102">
                  <c:v>-3.3431825789310032E-2</c:v>
                </c:pt>
                <c:pt idx="103">
                  <c:v>-3.2444621764531334E-2</c:v>
                </c:pt>
                <c:pt idx="104">
                  <c:v>-3.1606575170862961E-2</c:v>
                </c:pt>
                <c:pt idx="105">
                  <c:v>-3.0886411881203557E-2</c:v>
                </c:pt>
                <c:pt idx="106">
                  <c:v>-3.026090882865784E-2</c:v>
                </c:pt>
                <c:pt idx="107">
                  <c:v>-2.9712478882300886E-2</c:v>
                </c:pt>
                <c:pt idx="108">
                  <c:v>-2.9227570735429254E-2</c:v>
                </c:pt>
                <c:pt idx="109">
                  <c:v>-2.8795581414079226E-2</c:v>
                </c:pt>
                <c:pt idx="110">
                  <c:v>-2.8408100353105148E-2</c:v>
                </c:pt>
                <c:pt idx="111">
                  <c:v>-2.8058373256560465E-2</c:v>
                </c:pt>
                <c:pt idx="112">
                  <c:v>-2.7740914980317836E-2</c:v>
                </c:pt>
                <c:pt idx="113">
                  <c:v>-2.7451225397164155E-2</c:v>
                </c:pt>
                <c:pt idx="114">
                  <c:v>-2.7185577781415837E-2</c:v>
                </c:pt>
                <c:pt idx="115">
                  <c:v>-2.6940859057526193E-2</c:v>
                </c:pt>
                <c:pt idx="116">
                  <c:v>-2.6714447703638733E-2</c:v>
                </c:pt>
                <c:pt idx="117">
                  <c:v>-2.6504119377588786E-2</c:v>
                </c:pt>
                <c:pt idx="118">
                  <c:v>-2.6307973188947287E-2</c:v>
                </c:pt>
                <c:pt idx="119">
                  <c:v>-2.6124373523125577E-2</c:v>
                </c:pt>
                <c:pt idx="120">
                  <c:v>-2.595190372765277E-2</c:v>
                </c:pt>
                <c:pt idx="121">
                  <c:v>-2.5789328895863942E-2</c:v>
                </c:pt>
                <c:pt idx="122">
                  <c:v>-2.5635565723294285E-2</c:v>
                </c:pt>
                <c:pt idx="123">
                  <c:v>-2.5489657873586147E-2</c:v>
                </c:pt>
                <c:pt idx="124">
                  <c:v>-2.5350755702170602E-2</c:v>
                </c:pt>
                <c:pt idx="125">
                  <c:v>-2.5218099412735562E-2</c:v>
                </c:pt>
                <c:pt idx="126">
                  <c:v>-2.5091004953841534E-2</c:v>
                </c:pt>
                <c:pt idx="127">
                  <c:v>-2.4968852103653738E-2</c:v>
                </c:pt>
                <c:pt idx="128">
                  <c:v>-2.4851074308157806E-2</c:v>
                </c:pt>
                <c:pt idx="129">
                  <c:v>-2.4737149923254268E-2</c:v>
                </c:pt>
                <c:pt idx="130">
                  <c:v>-2.4626594569518545E-2</c:v>
                </c:pt>
                <c:pt idx="131">
                  <c:v>-2.4518954382810598E-2</c:v>
                </c:pt>
                <c:pt idx="132">
                  <c:v>-2.4413799955041782E-2</c:v>
                </c:pt>
                <c:pt idx="133">
                  <c:v>-2.4310720802313668E-2</c:v>
                </c:pt>
                <c:pt idx="134">
                  <c:v>-2.4209320222057684E-2</c:v>
                </c:pt>
                <c:pt idx="135">
                  <c:v>-2.4109210397697645E-2</c:v>
                </c:pt>
                <c:pt idx="136">
                  <c:v>-2.4010007653784804E-2</c:v>
                </c:pt>
                <c:pt idx="137">
                  <c:v>-2.3911327716086284E-2</c:v>
                </c:pt>
                <c:pt idx="138">
                  <c:v>-2.3812780883647022E-2</c:v>
                </c:pt>
                <c:pt idx="139">
                  <c:v>-2.3713966996155023E-2</c:v>
                </c:pt>
                <c:pt idx="140">
                  <c:v>-2.3614470037402135E-2</c:v>
                </c:pt>
                <c:pt idx="141">
                  <c:v>-2.3513852266059843E-2</c:v>
                </c:pt>
                <c:pt idx="142">
                  <c:v>-2.3411647680368297E-2</c:v>
                </c:pt>
                <c:pt idx="143">
                  <c:v>-2.3307354638275161E-2</c:v>
                </c:pt>
                <c:pt idx="144">
                  <c:v>-2.3200427382350952E-2</c:v>
                </c:pt>
                <c:pt idx="145">
                  <c:v>-2.3090266185130662E-2</c:v>
                </c:pt>
                <c:pt idx="146">
                  <c:v>-2.2976205769733579E-2</c:v>
                </c:pt>
                <c:pt idx="147">
                  <c:v>-2.2857501544335083E-2</c:v>
                </c:pt>
                <c:pt idx="148">
                  <c:v>-2.2733313086449772E-2</c:v>
                </c:pt>
                <c:pt idx="149">
                  <c:v>-2.2602684168329112E-2</c:v>
                </c:pt>
                <c:pt idx="150">
                  <c:v>-2.2464518376227538E-2</c:v>
                </c:pt>
                <c:pt idx="151">
                  <c:v>-2.2317549131450676E-2</c:v>
                </c:pt>
                <c:pt idx="152">
                  <c:v>-2.2160302506510909E-2</c:v>
                </c:pt>
                <c:pt idx="153">
                  <c:v>-2.1991050759642587E-2</c:v>
                </c:pt>
                <c:pt idx="154">
                  <c:v>-2.1807753755029857E-2</c:v>
                </c:pt>
                <c:pt idx="155">
                  <c:v>-2.1607984495283006E-2</c:v>
                </c:pt>
                <c:pt idx="156">
                  <c:v>-2.1388833576870603E-2</c:v>
                </c:pt>
                <c:pt idx="157">
                  <c:v>-2.1146785429985826E-2</c:v>
                </c:pt>
                <c:pt idx="158">
                  <c:v>-2.087755634505584E-2</c:v>
                </c:pt>
                <c:pt idx="159">
                  <c:v>-2.0575880138420821E-2</c:v>
                </c:pt>
                <c:pt idx="160">
                  <c:v>-2.0235221132143266E-2</c:v>
                </c:pt>
                <c:pt idx="161">
                  <c:v>-1.9847384780303127E-2</c:v>
                </c:pt>
                <c:pt idx="162">
                  <c:v>-1.9401981916534083E-2</c:v>
                </c:pt>
                <c:pt idx="163">
                  <c:v>-1.8885680044295583E-2</c:v>
                </c:pt>
                <c:pt idx="164">
                  <c:v>-1.8281138943955E-2</c:v>
                </c:pt>
                <c:pt idx="165">
                  <c:v>-1.756546838611861E-2</c:v>
                </c:pt>
                <c:pt idx="166">
                  <c:v>-1.6707945330328929E-2</c:v>
                </c:pt>
                <c:pt idx="167">
                  <c:v>-1.5666553183845803E-2</c:v>
                </c:pt>
                <c:pt idx="168">
                  <c:v>-1.4382590823896813E-2</c:v>
                </c:pt>
                <c:pt idx="169">
                  <c:v>-1.2772009574653964E-2</c:v>
                </c:pt>
                <c:pt idx="170">
                  <c:v>-1.0710982386917147E-2</c:v>
                </c:pt>
                <c:pt idx="171">
                  <c:v>-8.0108310989448483E-3</c:v>
                </c:pt>
                <c:pt idx="172">
                  <c:v>-4.3722292263908002E-3</c:v>
                </c:pt>
                <c:pt idx="173">
                  <c:v>7.0366485521589084E-4</c:v>
                </c:pt>
                <c:pt idx="174">
                  <c:v>8.0821268630959526E-3</c:v>
                </c:pt>
                <c:pt idx="175">
                  <c:v>1.5310938432640418E-2</c:v>
                </c:pt>
                <c:pt idx="176">
                  <c:v>2.0470625573820733E-2</c:v>
                </c:pt>
                <c:pt idx="177">
                  <c:v>2.6199416214124579E-2</c:v>
                </c:pt>
                <c:pt idx="178">
                  <c:v>3.2427465094293069E-2</c:v>
                </c:pt>
                <c:pt idx="179">
                  <c:v>3.8949840600012386E-2</c:v>
                </c:pt>
                <c:pt idx="180">
                  <c:v>4.5445009943409609E-2</c:v>
                </c:pt>
                <c:pt idx="181">
                  <c:v>5.1804881823658278E-2</c:v>
                </c:pt>
                <c:pt idx="182">
                  <c:v>5.8030922304858727E-2</c:v>
                </c:pt>
                <c:pt idx="183">
                  <c:v>6.384178850952793E-2</c:v>
                </c:pt>
                <c:pt idx="184">
                  <c:v>6.9078050131550661E-2</c:v>
                </c:pt>
                <c:pt idx="185">
                  <c:v>7.370403491621591E-2</c:v>
                </c:pt>
                <c:pt idx="186">
                  <c:v>7.7706420098175855E-2</c:v>
                </c:pt>
                <c:pt idx="187">
                  <c:v>8.1060293247013235E-2</c:v>
                </c:pt>
                <c:pt idx="188">
                  <c:v>8.3774671859208283E-2</c:v>
                </c:pt>
                <c:pt idx="189">
                  <c:v>8.6002905591935352E-2</c:v>
                </c:pt>
                <c:pt idx="190">
                  <c:v>8.7872080203148073E-2</c:v>
                </c:pt>
                <c:pt idx="191">
                  <c:v>8.9467390376917422E-2</c:v>
                </c:pt>
                <c:pt idx="192">
                  <c:v>9.0848334974018563E-2</c:v>
                </c:pt>
                <c:pt idx="193">
                  <c:v>9.2057870426451416E-2</c:v>
                </c:pt>
                <c:pt idx="194">
                  <c:v>9.3127874518166273E-2</c:v>
                </c:pt>
                <c:pt idx="195">
                  <c:v>9.4082557326554031E-2</c:v>
                </c:pt>
                <c:pt idx="196">
                  <c:v>9.4940672242513471E-2</c:v>
                </c:pt>
                <c:pt idx="197">
                  <c:v>9.5716995506601066E-2</c:v>
                </c:pt>
                <c:pt idx="198">
                  <c:v>9.6423343929105343E-2</c:v>
                </c:pt>
                <c:pt idx="199">
                  <c:v>9.7069291809441793E-2</c:v>
                </c:pt>
                <c:pt idx="200">
                  <c:v>9.7662686758934747E-2</c:v>
                </c:pt>
                <c:pt idx="201">
                  <c:v>9.8210027680473821E-2</c:v>
                </c:pt>
                <c:pt idx="202">
                  <c:v>9.8716746461746219E-2</c:v>
                </c:pt>
                <c:pt idx="203">
                  <c:v>9.918742101976008E-2</c:v>
                </c:pt>
                <c:pt idx="204">
                  <c:v>9.9625938544840587E-2</c:v>
                </c:pt>
                <c:pt idx="205">
                  <c:v>0.10003562221682749</c:v>
                </c:pt>
                <c:pt idx="206">
                  <c:v>0.10041933060920005</c:v>
                </c:pt>
                <c:pt idx="207">
                  <c:v>0.10077953635547489</c:v>
                </c:pt>
                <c:pt idx="208">
                  <c:v>0.10111838919950422</c:v>
                </c:pt>
                <c:pt idx="209">
                  <c:v>0.10143776674845117</c:v>
                </c:pt>
                <c:pt idx="210">
                  <c:v>0.10173931575491402</c:v>
                </c:pt>
                <c:pt idx="211">
                  <c:v>0.10202448590172342</c:v>
                </c:pt>
                <c:pt idx="212">
                  <c:v>0.10229455767552942</c:v>
                </c:pt>
                <c:pt idx="213">
                  <c:v>0.10255066535415569</c:v>
                </c:pt>
                <c:pt idx="214">
                  <c:v>0.10279381633596163</c:v>
                </c:pt>
                <c:pt idx="215">
                  <c:v>0.10302490711634427</c:v>
                </c:pt>
                <c:pt idx="216">
                  <c:v>0.10324473690699686</c:v>
                </c:pt>
                <c:pt idx="217">
                  <c:v>0.10345401901383777</c:v>
                </c:pt>
                <c:pt idx="218">
                  <c:v>0.10365339048204268</c:v>
                </c:pt>
                <c:pt idx="219">
                  <c:v>0.10384342029915937</c:v>
                </c:pt>
                <c:pt idx="220">
                  <c:v>0.10402461632699023</c:v>
                </c:pt>
                <c:pt idx="221">
                  <c:v>0.10419743121142133</c:v>
                </c:pt>
                <c:pt idx="222">
                  <c:v>0.10436226737982501</c:v>
                </c:pt>
                <c:pt idx="223">
                  <c:v>0.10451948123086385</c:v>
                </c:pt>
                <c:pt idx="224">
                  <c:v>0.10466938666952874</c:v>
                </c:pt>
                <c:pt idx="225">
                  <c:v>0.10481225809299222</c:v>
                </c:pt>
                <c:pt idx="226">
                  <c:v>0.10494833269082805</c:v>
                </c:pt>
                <c:pt idx="227">
                  <c:v>0.1050778124105971</c:v>
                </c:pt>
                <c:pt idx="228">
                  <c:v>0.10520086536438455</c:v>
                </c:pt>
                <c:pt idx="229">
                  <c:v>0.10531762685148129</c:v>
                </c:pt>
                <c:pt idx="230">
                  <c:v>0.10542819993438533</c:v>
                </c:pt>
                <c:pt idx="231">
                  <c:v>0.10553265559865023</c:v>
                </c:pt>
                <c:pt idx="232">
                  <c:v>0.10563103251142626</c:v>
                </c:pt>
                <c:pt idx="233">
                  <c:v>0.10572333631605348</c:v>
                </c:pt>
                <c:pt idx="234">
                  <c:v>0.105809538455949</c:v>
                </c:pt>
                <c:pt idx="235">
                  <c:v>0.10588957445691705</c:v>
                </c:pt>
                <c:pt idx="236">
                  <c:v>0.10596334169028854</c:v>
                </c:pt>
                <c:pt idx="237">
                  <c:v>0.10603069639913885</c:v>
                </c:pt>
                <c:pt idx="238">
                  <c:v>0.10609145002834541</c:v>
                </c:pt>
                <c:pt idx="239">
                  <c:v>0.10614536460371049</c:v>
                </c:pt>
                <c:pt idx="240">
                  <c:v>0.10619214708106117</c:v>
                </c:pt>
                <c:pt idx="241">
                  <c:v>0.10623144237904469</c:v>
                </c:pt>
                <c:pt idx="242">
                  <c:v>0.10626282486431293</c:v>
                </c:pt>
                <c:pt idx="243">
                  <c:v>0.10628578795189814</c:v>
                </c:pt>
                <c:pt idx="244">
                  <c:v>0.10629973120372593</c:v>
                </c:pt>
                <c:pt idx="245">
                  <c:v>0.10630394457472381</c:v>
                </c:pt>
                <c:pt idx="246">
                  <c:v>0.1062975887804809</c:v>
                </c:pt>
                <c:pt idx="247">
                  <c:v>0.10627967080950995</c:v>
                </c:pt>
                <c:pt idx="248">
                  <c:v>0.10624901322934478</c:v>
                </c:pt>
                <c:pt idx="249">
                  <c:v>0.10620421524118485</c:v>
                </c:pt>
                <c:pt idx="250">
                  <c:v>0.10614360300697978</c:v>
                </c:pt>
                <c:pt idx="251">
                  <c:v>0.10606516536114086</c:v>
                </c:pt>
                <c:pt idx="252">
                  <c:v>0.10596646992599368</c:v>
                </c:pt>
                <c:pt idx="253">
                  <c:v>0.10584455213517074</c:v>
                </c:pt>
                <c:pt idx="254">
                  <c:v>0.10569576616587639</c:v>
                </c:pt>
                <c:pt idx="255">
                  <c:v>0.10551558173261189</c:v>
                </c:pt>
                <c:pt idx="256">
                  <c:v>0.10529830180048273</c:v>
                </c:pt>
                <c:pt idx="257">
                  <c:v>0.10503666243663368</c:v>
                </c:pt>
                <c:pt idx="258">
                  <c:v>0.10472125230066177</c:v>
                </c:pt>
                <c:pt idx="259">
                  <c:v>0.10433964749366442</c:v>
                </c:pt>
                <c:pt idx="260">
                  <c:v>0.10387508158929927</c:v>
                </c:pt>
                <c:pt idx="261">
                  <c:v>0.10330432492680419</c:v>
                </c:pt>
                <c:pt idx="262">
                  <c:v>0.10259415224408652</c:v>
                </c:pt>
                <c:pt idx="263">
                  <c:v>0.10169513811603981</c:v>
                </c:pt>
                <c:pt idx="264">
                  <c:v>0.10053001549335239</c:v>
                </c:pt>
                <c:pt idx="265">
                  <c:v>9.8969904725037416E-2</c:v>
                </c:pt>
                <c:pt idx="266">
                  <c:v>9.677997603793731E-2</c:v>
                </c:pt>
                <c:pt idx="267">
                  <c:v>9.3473740248050788E-2</c:v>
                </c:pt>
                <c:pt idx="268">
                  <c:v>8.7812234670357384E-2</c:v>
                </c:pt>
                <c:pt idx="269">
                  <c:v>7.6494510386533321E-2</c:v>
                </c:pt>
                <c:pt idx="270">
                  <c:v>5.9588511150730383E-2</c:v>
                </c:pt>
                <c:pt idx="271">
                  <c:v>4.3114709985902173E-2</c:v>
                </c:pt>
                <c:pt idx="272">
                  <c:v>3.2759448513947305E-2</c:v>
                </c:pt>
                <c:pt idx="273">
                  <c:v>2.7564771322956535E-2</c:v>
                </c:pt>
                <c:pt idx="274">
                  <c:v>2.4395360925245413E-2</c:v>
                </c:pt>
                <c:pt idx="275">
                  <c:v>2.21680408810494E-2</c:v>
                </c:pt>
                <c:pt idx="276">
                  <c:v>2.0470573198473115E-2</c:v>
                </c:pt>
                <c:pt idx="277">
                  <c:v>1.9106906123331765E-2</c:v>
                </c:pt>
                <c:pt idx="278">
                  <c:v>1.7970102378268571E-2</c:v>
                </c:pt>
                <c:pt idx="279">
                  <c:v>1.6996095652605629E-2</c:v>
                </c:pt>
                <c:pt idx="280">
                  <c:v>1.6143779248386281E-2</c:v>
                </c:pt>
                <c:pt idx="281">
                  <c:v>1.5385357193688163E-2</c:v>
                </c:pt>
                <c:pt idx="282">
                  <c:v>1.4701237159499671E-2</c:v>
                </c:pt>
                <c:pt idx="283">
                  <c:v>1.4077135317637435E-2</c:v>
                </c:pt>
                <c:pt idx="284">
                  <c:v>1.3502342196066939E-2</c:v>
                </c:pt>
                <c:pt idx="285">
                  <c:v>1.2968635916208449E-2</c:v>
                </c:pt>
                <c:pt idx="286">
                  <c:v>1.24695748734025E-2</c:v>
                </c:pt>
                <c:pt idx="287">
                  <c:v>1.2000022334281546E-2</c:v>
                </c:pt>
                <c:pt idx="288">
                  <c:v>1.1555817920240408E-2</c:v>
                </c:pt>
                <c:pt idx="289">
                  <c:v>1.1133545072382844E-2</c:v>
                </c:pt>
                <c:pt idx="290">
                  <c:v>1.073036290109286E-2</c:v>
                </c:pt>
                <c:pt idx="291">
                  <c:v>1.0343882308957221E-2</c:v>
                </c:pt>
                <c:pt idx="292">
                  <c:v>9.9720731538956997E-3</c:v>
                </c:pt>
                <c:pt idx="293">
                  <c:v>9.6131936216670155E-3</c:v>
                </c:pt>
                <c:pt idx="294">
                  <c:v>9.2657357550196551E-3</c:v>
                </c:pt>
                <c:pt idx="295">
                  <c:v>8.9283828842861013E-3</c:v>
                </c:pt>
                <c:pt idx="296">
                  <c:v>8.5999759915083036E-3</c:v>
                </c:pt>
                <c:pt idx="297">
                  <c:v>8.2794868243416531E-3</c:v>
                </c:pt>
                <c:pt idx="298">
                  <c:v>7.9659961962441628E-3</c:v>
                </c:pt>
                <c:pt idx="299">
                  <c:v>7.6586762934454091E-3</c:v>
                </c:pt>
                <c:pt idx="300">
                  <c:v>7.3567761023554112E-3</c:v>
                </c:pt>
                <c:pt idx="301">
                  <c:v>7.0596093185235631E-3</c:v>
                </c:pt>
                <c:pt idx="302">
                  <c:v>6.7665441964459561E-3</c:v>
                </c:pt>
                <c:pt idx="303">
                  <c:v>6.4769949625747003E-3</c:v>
                </c:pt>
                <c:pt idx="304">
                  <c:v>6.190414478580486E-3</c:v>
                </c:pt>
                <c:pt idx="305">
                  <c:v>5.9062879047999672E-3</c:v>
                </c:pt>
                <c:pt idx="306">
                  <c:v>5.6241271747117247E-3</c:v>
                </c:pt>
                <c:pt idx="307">
                  <c:v>5.3434661130724592E-3</c:v>
                </c:pt>
                <c:pt idx="308">
                  <c:v>5.0638560793814244E-3</c:v>
                </c:pt>
                <c:pt idx="309">
                  <c:v>4.7848620157351371E-3</c:v>
                </c:pt>
                <c:pt idx="310">
                  <c:v>4.5060588207785903E-3</c:v>
                </c:pt>
                <c:pt idx="311">
                  <c:v>4.2270279643146225E-3</c:v>
                </c:pt>
                <c:pt idx="312">
                  <c:v>3.9473542767689551E-3</c:v>
                </c:pt>
                <c:pt idx="313">
                  <c:v>3.6666228505994884E-3</c:v>
                </c:pt>
                <c:pt idx="314">
                  <c:v>3.3844160006220041E-3</c:v>
                </c:pt>
                <c:pt idx="315">
                  <c:v>3.1003102278370775E-3</c:v>
                </c:pt>
                <c:pt idx="316">
                  <c:v>2.8138731327489452E-3</c:v>
                </c:pt>
                <c:pt idx="317">
                  <c:v>2.5246602301356447E-3</c:v>
                </c:pt>
                <c:pt idx="318">
                  <c:v>2.2322116011750381E-3</c:v>
                </c:pt>
                <c:pt idx="319">
                  <c:v>1.9360483390622463E-3</c:v>
                </c:pt>
                <c:pt idx="320">
                  <c:v>1.6356687059202457E-3</c:v>
                </c:pt>
                <c:pt idx="321">
                  <c:v>1.3305439401918306E-3</c:v>
                </c:pt>
                <c:pt idx="322">
                  <c:v>1.0201136292105062E-3</c:v>
                </c:pt>
                <c:pt idx="323">
                  <c:v>7.0378054802056056E-4</c:v>
                </c:pt>
                <c:pt idx="324">
                  <c:v>3.8090485224717702E-4</c:v>
                </c:pt>
                <c:pt idx="325">
                  <c:v>5.0797491332410516E-5</c:v>
                </c:pt>
                <c:pt idx="326">
                  <c:v>-2.8728732253124894E-4</c:v>
                </c:pt>
                <c:pt idx="327">
                  <c:v>-6.3416078493272465E-4</c:v>
                </c:pt>
                <c:pt idx="328">
                  <c:v>-9.9070955139435313E-4</c:v>
                </c:pt>
                <c:pt idx="329">
                  <c:v>-1.357907471165376E-3</c:v>
                </c:pt>
                <c:pt idx="330">
                  <c:v>-1.73682936718933E-3</c:v>
                </c:pt>
                <c:pt idx="331">
                  <c:v>-2.1286673330482841E-3</c:v>
                </c:pt>
                <c:pt idx="332">
                  <c:v>-2.5347501275811979E-3</c:v>
                </c:pt>
                <c:pt idx="333">
                  <c:v>-2.9565664172812585E-3</c:v>
                </c:pt>
                <c:pt idx="334">
                  <c:v>-3.3957928238983475E-3</c:v>
                </c:pt>
                <c:pt idx="335">
                  <c:v>-3.8543280211911224E-3</c:v>
                </c:pt>
                <c:pt idx="336">
                  <c:v>-4.334334509482396E-3</c:v>
                </c:pt>
                <c:pt idx="337">
                  <c:v>-4.8382902172399156E-3</c:v>
                </c:pt>
                <c:pt idx="338">
                  <c:v>-5.3690528137426696E-3</c:v>
                </c:pt>
                <c:pt idx="339">
                  <c:v>-5.9299406224981865E-3</c:v>
                </c:pt>
                <c:pt idx="340">
                  <c:v>-6.5248354748286275E-3</c:v>
                </c:pt>
                <c:pt idx="341">
                  <c:v>-7.1583149298479753E-3</c:v>
                </c:pt>
                <c:pt idx="342">
                  <c:v>-7.8358243322931287E-3</c:v>
                </c:pt>
                <c:pt idx="343">
                  <c:v>-8.5639037496774133E-3</c:v>
                </c:pt>
                <c:pt idx="344">
                  <c:v>-9.350491790769409E-3</c:v>
                </c:pt>
                <c:pt idx="345">
                  <c:v>-1.0205339136875935E-2</c:v>
                </c:pt>
                <c:pt idx="346">
                  <c:v>-1.1140581972198582E-2</c:v>
                </c:pt>
                <c:pt idx="347">
                  <c:v>-1.2171553969262838E-2</c:v>
                </c:pt>
                <c:pt idx="348">
                  <c:v>-1.3317963838849421E-2</c:v>
                </c:pt>
                <c:pt idx="349">
                  <c:v>-1.4605650432398143E-2</c:v>
                </c:pt>
                <c:pt idx="350">
                  <c:v>-1.6069283289132485E-2</c:v>
                </c:pt>
                <c:pt idx="351">
                  <c:v>-1.775667633827549E-2</c:v>
                </c:pt>
                <c:pt idx="352">
                  <c:v>-1.9735993414820466E-2</c:v>
                </c:pt>
                <c:pt idx="353">
                  <c:v>-2.2108457055463937E-2</c:v>
                </c:pt>
                <c:pt idx="354">
                  <c:v>-2.4993619815351309E-2</c:v>
                </c:pt>
                <c:pt idx="355">
                  <c:v>-2.8386740427913004E-2</c:v>
                </c:pt>
                <c:pt idx="356">
                  <c:v>-3.2254664695411613E-2</c:v>
                </c:pt>
                <c:pt idx="357">
                  <c:v>-3.6573794053869513E-2</c:v>
                </c:pt>
                <c:pt idx="358">
                  <c:v>-4.1301106338259785E-2</c:v>
                </c:pt>
                <c:pt idx="359">
                  <c:v>-4.6291057520097212E-2</c:v>
                </c:pt>
                <c:pt idx="360">
                  <c:v>-5.1305277391470838E-2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5.6749700702650951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-2.3096680124012892E-9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5.9516311453036481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User+/-pi/3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6.9988286965002455</c:v>
                </c:pt>
                <c:pt idx="1">
                  <c:v>4.9044335941070507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4.6812572893150106E-3</c:v>
                </c:pt>
                <c:pt idx="1">
                  <c:v>5.1427618822187937E-3</c:v>
                </c:pt>
                <c:pt idx="2">
                  <c:v>5.6013759867273305E-3</c:v>
                </c:pt>
                <c:pt idx="3">
                  <c:v>6.0358371218636186E-3</c:v>
                </c:pt>
                <c:pt idx="4">
                  <c:v>6.4329928462833466E-3</c:v>
                </c:pt>
                <c:pt idx="5">
                  <c:v>6.7887125375855062E-3</c:v>
                </c:pt>
                <c:pt idx="6">
                  <c:v>7.100552601735699E-3</c:v>
                </c:pt>
                <c:pt idx="7">
                  <c:v>7.3651899278849575E-3</c:v>
                </c:pt>
                <c:pt idx="8">
                  <c:v>7.5820121256820194E-3</c:v>
                </c:pt>
                <c:pt idx="9">
                  <c:v>7.7620793357319195E-3</c:v>
                </c:pt>
                <c:pt idx="10">
                  <c:v>7.9148056792546218E-3</c:v>
                </c:pt>
                <c:pt idx="11">
                  <c:v>8.0465486689088577E-3</c:v>
                </c:pt>
                <c:pt idx="12">
                  <c:v>8.161777127656809E-3</c:v>
                </c:pt>
                <c:pt idx="13">
                  <c:v>8.2637362268243586E-3</c:v>
                </c:pt>
                <c:pt idx="14">
                  <c:v>8.3548470314942502E-3</c:v>
                </c:pt>
                <c:pt idx="15">
                  <c:v>8.4369573598219172E-3</c:v>
                </c:pt>
                <c:pt idx="16">
                  <c:v>8.511505222913579E-3</c:v>
                </c:pt>
                <c:pt idx="17">
                  <c:v>8.5796287024950679E-3</c:v>
                </c:pt>
                <c:pt idx="18">
                  <c:v>8.6422418510194998E-3</c:v>
                </c:pt>
                <c:pt idx="19">
                  <c:v>8.7000883689485053E-3</c:v>
                </c:pt>
                <c:pt idx="20">
                  <c:v>8.7537803644511247E-3</c:v>
                </c:pt>
                <c:pt idx="21">
                  <c:v>8.8038268547572258E-3</c:v>
                </c:pt>
                <c:pt idx="22">
                  <c:v>8.8506550745925949E-3</c:v>
                </c:pt>
                <c:pt idx="23">
                  <c:v>8.8946266416360664E-3</c:v>
                </c:pt>
                <c:pt idx="24">
                  <c:v>8.9360499817984218E-3</c:v>
                </c:pt>
                <c:pt idx="25">
                  <c:v>8.9751900003086638E-3</c:v>
                </c:pt>
                <c:pt idx="26">
                  <c:v>9.0122756900888334E-3</c:v>
                </c:pt>
                <c:pt idx="27">
                  <c:v>9.0475061731820905E-3</c:v>
                </c:pt>
                <c:pt idx="28">
                  <c:v>9.0810555527167398E-3</c:v>
                </c:pt>
                <c:pt idx="29">
                  <c:v>9.1130768332596812E-3</c:v>
                </c:pt>
                <c:pt idx="30">
                  <c:v>9.1437051186803175E-3</c:v>
                </c:pt>
                <c:pt idx="31">
                  <c:v>9.1730602383214843E-3</c:v>
                </c:pt>
                <c:pt idx="32">
                  <c:v>9.2012489205471597E-3</c:v>
                </c:pt>
                <c:pt idx="33">
                  <c:v>9.2283665962020756E-3</c:v>
                </c:pt>
                <c:pt idx="34">
                  <c:v>9.2544989168122371E-3</c:v>
                </c:pt>
                <c:pt idx="35">
                  <c:v>9.2797230228106597E-3</c:v>
                </c:pt>
                <c:pt idx="36">
                  <c:v>9.3041086257497924E-3</c:v>
                </c:pt>
                <c:pt idx="37">
                  <c:v>9.3277189231798785E-3</c:v>
                </c:pt>
                <c:pt idx="38">
                  <c:v>9.3506113810820357E-3</c:v>
                </c:pt>
                <c:pt idx="39">
                  <c:v>9.3728384064206971E-3</c:v>
                </c:pt>
                <c:pt idx="40">
                  <c:v>9.3944479250160084E-3</c:v>
                </c:pt>
                <c:pt idx="41">
                  <c:v>9.4154838825483405E-3</c:v>
                </c:pt>
                <c:pt idx="42">
                  <c:v>9.435986678803715E-3</c:v>
                </c:pt>
                <c:pt idx="43">
                  <c:v>9.4559935442581344E-3</c:v>
                </c:pt>
                <c:pt idx="44">
                  <c:v>9.4755388699145904E-3</c:v>
                </c:pt>
                <c:pt idx="45">
                  <c:v>9.4946544985876607E-3</c:v>
                </c:pt>
                <c:pt idx="46">
                  <c:v>9.5133699734377131E-3</c:v>
                </c:pt>
                <c:pt idx="47">
                  <c:v>9.5317127635202725E-3</c:v>
                </c:pt>
                <c:pt idx="48">
                  <c:v>9.5497084573807067E-3</c:v>
                </c:pt>
                <c:pt idx="49">
                  <c:v>9.5673809354756573E-3</c:v>
                </c:pt>
                <c:pt idx="50">
                  <c:v>9.5847525203061057E-3</c:v>
                </c:pt>
                <c:pt idx="51">
                  <c:v>9.6018441078283834E-3</c:v>
                </c:pt>
                <c:pt idx="52">
                  <c:v>9.6186752830481337E-3</c:v>
                </c:pt>
                <c:pt idx="53">
                  <c:v>9.6352644189244014E-3</c:v>
                </c:pt>
                <c:pt idx="54">
                  <c:v>9.6516287607824602E-3</c:v>
                </c:pt>
                <c:pt idx="55">
                  <c:v>9.6677844955005143E-3</c:v>
                </c:pt>
                <c:pt idx="56">
                  <c:v>9.6837468099819895E-3</c:v>
                </c:pt>
                <c:pt idx="57">
                  <c:v>9.6995299316782191E-3</c:v>
                </c:pt>
                <c:pt idx="58">
                  <c:v>9.7151471579736432E-3</c:v>
                </c:pt>
                <c:pt idx="59">
                  <c:v>9.7306108670104103E-3</c:v>
                </c:pt>
                <c:pt idx="60">
                  <c:v>9.7459325128752567E-3</c:v>
                </c:pt>
                <c:pt idx="61">
                  <c:v>9.7611225989840972E-3</c:v>
                </c:pt>
                <c:pt idx="62">
                  <c:v>9.7761906285218358E-3</c:v>
                </c:pt>
                <c:pt idx="63">
                  <c:v>9.7911450281481793E-3</c:v>
                </c:pt>
                <c:pt idx="64">
                  <c:v>9.8059930301457338E-3</c:v>
                </c:pt>
                <c:pt idx="65">
                  <c:v>9.8207405173685314E-3</c:v>
                </c:pt>
                <c:pt idx="66">
                  <c:v>9.8353918063792678E-3</c:v>
                </c:pt>
                <c:pt idx="67">
                  <c:v>9.8499493558971696E-3</c:v>
                </c:pt>
                <c:pt idx="68">
                  <c:v>9.8644133806089218E-3</c:v>
                </c:pt>
                <c:pt idx="69">
                  <c:v>9.8787813308699735E-3</c:v>
                </c:pt>
                <c:pt idx="70">
                  <c:v>9.8930472008735282E-3</c:v>
                </c:pt>
                <c:pt idx="71">
                  <c:v>9.9072005875004698E-3</c:v>
                </c:pt>
                <c:pt idx="72">
                  <c:v>9.9212254154629198E-3</c:v>
                </c:pt>
                <c:pt idx="73">
                  <c:v>9.9350981854743892E-3</c:v>
                </c:pt>
                <c:pt idx="74">
                  <c:v>9.9487855283523496E-3</c:v>
                </c:pt>
                <c:pt idx="75">
                  <c:v>9.9622407533803414E-3</c:v>
                </c:pt>
                <c:pt idx="76">
                  <c:v>9.9753988771592861E-3</c:v>
                </c:pt>
                <c:pt idx="77">
                  <c:v>9.988169321679367E-3</c:v>
                </c:pt>
                <c:pt idx="78">
                  <c:v>1.0000424936619484E-2</c:v>
                </c:pt>
                <c:pt idx="79">
                  <c:v>1.00119850267405E-2</c:v>
                </c:pt>
                <c:pt idx="80">
                  <c:v>1.0022588256150792E-2</c:v>
                </c:pt>
                <c:pt idx="81">
                  <c:v>1.0031847699958131E-2</c:v>
                </c:pt>
                <c:pt idx="82">
                  <c:v>1.003917277074981E-2</c:v>
                </c:pt>
                <c:pt idx="83">
                  <c:v>1.0043625721205511E-2</c:v>
                </c:pt>
                <c:pt idx="84">
                  <c:v>1.0043638616382328E-2</c:v>
                </c:pt>
                <c:pt idx="85">
                  <c:v>1.0036401664780148E-2</c:v>
                </c:pt>
                <c:pt idx="86">
                  <c:v>1.0016368250349322E-2</c:v>
                </c:pt>
                <c:pt idx="87">
                  <c:v>9.9708964719522619E-3</c:v>
                </c:pt>
                <c:pt idx="88">
                  <c:v>9.8634398489510239E-3</c:v>
                </c:pt>
                <c:pt idx="89">
                  <c:v>9.5668481693030327E-3</c:v>
                </c:pt>
                <c:pt idx="90">
                  <c:v>8.9262588110895214E-3</c:v>
                </c:pt>
                <c:pt idx="91">
                  <c:v>7.9851908110282199E-3</c:v>
                </c:pt>
                <c:pt idx="92">
                  <c:v>7.1935824961722461E-3</c:v>
                </c:pt>
                <c:pt idx="93">
                  <c:v>6.7192636375938419E-3</c:v>
                </c:pt>
                <c:pt idx="94">
                  <c:v>6.3986408525107952E-3</c:v>
                </c:pt>
                <c:pt idx="95">
                  <c:v>6.1572858464992164E-3</c:v>
                </c:pt>
                <c:pt idx="96">
                  <c:v>5.7692587803738196E-3</c:v>
                </c:pt>
                <c:pt idx="97">
                  <c:v>5.3165060473187031E-3</c:v>
                </c:pt>
                <c:pt idx="98">
                  <c:v>4.9757980435794491E-3</c:v>
                </c:pt>
                <c:pt idx="99">
                  <c:v>4.7112311635507664E-3</c:v>
                </c:pt>
                <c:pt idx="100">
                  <c:v>4.5004404875371717E-3</c:v>
                </c:pt>
                <c:pt idx="101">
                  <c:v>4.3288730111054616E-3</c:v>
                </c:pt>
                <c:pt idx="102">
                  <c:v>4.1866996896101627E-3</c:v>
                </c:pt>
                <c:pt idx="103">
                  <c:v>4.0670673026210191E-3</c:v>
                </c:pt>
                <c:pt idx="104">
                  <c:v>3.9650648427295709E-3</c:v>
                </c:pt>
                <c:pt idx="105">
                  <c:v>3.8770885499396219E-3</c:v>
                </c:pt>
                <c:pt idx="106">
                  <c:v>3.8004385152037861E-3</c:v>
                </c:pt>
                <c:pt idx="107">
                  <c:v>3.73305471070845E-3</c:v>
                </c:pt>
                <c:pt idx="108">
                  <c:v>3.6733396739424551E-3</c:v>
                </c:pt>
                <c:pt idx="109">
                  <c:v>3.620036596663434E-3</c:v>
                </c:pt>
                <c:pt idx="110">
                  <c:v>3.5721437473648083E-3</c:v>
                </c:pt>
                <c:pt idx="111">
                  <c:v>3.5288532584950572E-3</c:v>
                </c:pt>
                <c:pt idx="112">
                  <c:v>3.489506603428616E-3</c:v>
                </c:pt>
                <c:pt idx="113">
                  <c:v>3.4535617051776879E-3</c:v>
                </c:pt>
                <c:pt idx="114">
                  <c:v>3.4205683005569809E-3</c:v>
                </c:pt>
                <c:pt idx="115">
                  <c:v>3.3901492474119892E-3</c:v>
                </c:pt>
                <c:pt idx="116">
                  <c:v>3.3619861725180393E-3</c:v>
                </c:pt>
                <c:pt idx="117">
                  <c:v>3.3358083328755002E-3</c:v>
                </c:pt>
                <c:pt idx="118">
                  <c:v>3.3113838811741902E-3</c:v>
                </c:pt>
                <c:pt idx="119">
                  <c:v>3.2885129497784993E-3</c:v>
                </c:pt>
                <c:pt idx="120">
                  <c:v>3.2670221282137812E-3</c:v>
                </c:pt>
                <c:pt idx="121">
                  <c:v>3.2467600120851259E-3</c:v>
                </c:pt>
                <c:pt idx="122">
                  <c:v>3.2275935885603957E-3</c:v>
                </c:pt>
                <c:pt idx="123">
                  <c:v>3.2094052745246797E-3</c:v>
                </c:pt>
                <c:pt idx="124">
                  <c:v>3.1920904733840905E-3</c:v>
                </c:pt>
                <c:pt idx="125">
                  <c:v>3.1755555405243441E-3</c:v>
                </c:pt>
                <c:pt idx="126">
                  <c:v>3.1597160760462595E-3</c:v>
                </c:pt>
                <c:pt idx="127">
                  <c:v>3.1444954792776425E-3</c:v>
                </c:pt>
                <c:pt idx="128">
                  <c:v>3.1298237134541602E-3</c:v>
                </c:pt>
                <c:pt idx="129">
                  <c:v>3.1156362388559122E-3</c:v>
                </c:pt>
                <c:pt idx="130">
                  <c:v>3.1018730791505522E-3</c:v>
                </c:pt>
                <c:pt idx="131">
                  <c:v>3.0884779956635859E-3</c:v>
                </c:pt>
                <c:pt idx="132">
                  <c:v>3.0753977442355418E-3</c:v>
                </c:pt>
                <c:pt idx="133">
                  <c:v>3.0625813950874714E-3</c:v>
                </c:pt>
                <c:pt idx="134">
                  <c:v>3.0499796991481083E-3</c:v>
                </c:pt>
                <c:pt idx="135">
                  <c:v>3.0375444830062492E-3</c:v>
                </c:pt>
                <c:pt idx="136">
                  <c:v>3.0252280616194782E-3</c:v>
                </c:pt>
                <c:pt idx="137">
                  <c:v>3.0129826494715291E-3</c:v>
                </c:pt>
                <c:pt idx="138">
                  <c:v>3.0007597596505287E-3</c:v>
                </c:pt>
                <c:pt idx="139">
                  <c:v>2.9885095764748959E-3</c:v>
                </c:pt>
                <c:pt idx="140">
                  <c:v>2.9761802804739168E-3</c:v>
                </c:pt>
                <c:pt idx="141">
                  <c:v>2.9637173136424222E-3</c:v>
                </c:pt>
                <c:pt idx="142">
                  <c:v>2.9510625594920126E-3</c:v>
                </c:pt>
                <c:pt idx="143">
                  <c:v>2.9381534161562195E-3</c:v>
                </c:pt>
                <c:pt idx="144">
                  <c:v>2.924921730255603E-3</c:v>
                </c:pt>
                <c:pt idx="145">
                  <c:v>2.911292555700828E-3</c:v>
                </c:pt>
                <c:pt idx="146">
                  <c:v>2.8971826942043029E-3</c:v>
                </c:pt>
                <c:pt idx="147">
                  <c:v>2.8824989583589029E-3</c:v>
                </c:pt>
                <c:pt idx="148">
                  <c:v>2.8671360857409622E-3</c:v>
                </c:pt>
                <c:pt idx="149">
                  <c:v>2.8509742145872981E-3</c:v>
                </c:pt>
                <c:pt idx="150">
                  <c:v>2.8338757999346602E-3</c:v>
                </c:pt>
                <c:pt idx="151">
                  <c:v>2.815681819387406E-3</c:v>
                </c:pt>
                <c:pt idx="152">
                  <c:v>2.7962070632461256E-3</c:v>
                </c:pt>
                <c:pt idx="153">
                  <c:v>2.7752342457152408E-3</c:v>
                </c:pt>
                <c:pt idx="154">
                  <c:v>2.7525065754400173E-3</c:v>
                </c:pt>
                <c:pt idx="155">
                  <c:v>2.7277183055039456E-3</c:v>
                </c:pt>
                <c:pt idx="156">
                  <c:v>2.700502601012289E-3</c:v>
                </c:pt>
                <c:pt idx="157">
                  <c:v>2.6704158145783308E-3</c:v>
                </c:pt>
                <c:pt idx="158">
                  <c:v>2.6369168943479737E-3</c:v>
                </c:pt>
                <c:pt idx="159">
                  <c:v>2.5993401198665107E-3</c:v>
                </c:pt>
                <c:pt idx="160">
                  <c:v>2.5568585724838888E-3</c:v>
                </c:pt>
                <c:pt idx="161">
                  <c:v>2.5084345539246873E-3</c:v>
                </c:pt>
                <c:pt idx="162">
                  <c:v>2.4527513340907303E-3</c:v>
                </c:pt>
                <c:pt idx="163">
                  <c:v>2.3881177304597712E-3</c:v>
                </c:pt>
                <c:pt idx="164">
                  <c:v>2.3123324113941135E-3</c:v>
                </c:pt>
                <c:pt idx="165">
                  <c:v>2.2224872315793061E-3</c:v>
                </c:pt>
                <c:pt idx="166">
                  <c:v>2.1146761210031895E-3</c:v>
                </c:pt>
                <c:pt idx="167">
                  <c:v>1.9835538190291495E-3</c:v>
                </c:pt>
                <c:pt idx="168">
                  <c:v>1.8216487802435455E-3</c:v>
                </c:pt>
                <c:pt idx="169">
                  <c:v>1.6182599601890502E-3</c:v>
                </c:pt>
                <c:pt idx="170">
                  <c:v>1.3576216808358075E-3</c:v>
                </c:pt>
                <c:pt idx="171">
                  <c:v>1.0157224747889271E-3</c:v>
                </c:pt>
                <c:pt idx="172">
                  <c:v>5.5451556337154917E-4</c:v>
                </c:pt>
                <c:pt idx="173">
                  <c:v>-8.9250348877634153E-5</c:v>
                </c:pt>
                <c:pt idx="174">
                  <c:v>-1.0247724764068655E-3</c:v>
                </c:pt>
                <c:pt idx="175">
                  <c:v>-1.9392257131268797E-3</c:v>
                </c:pt>
                <c:pt idx="176">
                  <c:v>-2.5885287205019702E-3</c:v>
                </c:pt>
                <c:pt idx="177">
                  <c:v>-3.3064836611586546E-3</c:v>
                </c:pt>
                <c:pt idx="178">
                  <c:v>-4.0831155380121609E-3</c:v>
                </c:pt>
                <c:pt idx="179">
                  <c:v>-4.8916187597379257E-3</c:v>
                </c:pt>
                <c:pt idx="180">
                  <c:v>-5.6912227558454931E-3</c:v>
                </c:pt>
                <c:pt idx="181">
                  <c:v>-6.4671395733531534E-3</c:v>
                </c:pt>
                <c:pt idx="182">
                  <c:v>-7.2202451425575909E-3</c:v>
                </c:pt>
                <c:pt idx="183">
                  <c:v>-7.917007302124246E-3</c:v>
                </c:pt>
                <c:pt idx="184">
                  <c:v>-8.5395108178535368E-3</c:v>
                </c:pt>
                <c:pt idx="185">
                  <c:v>-9.0849376316641806E-3</c:v>
                </c:pt>
                <c:pt idx="186">
                  <c:v>-9.5531309505808015E-3</c:v>
                </c:pt>
                <c:pt idx="187">
                  <c:v>-9.9425349166314403E-3</c:v>
                </c:pt>
                <c:pt idx="188">
                  <c:v>-1.0255460595141597E-2</c:v>
                </c:pt>
                <c:pt idx="189">
                  <c:v>-1.0510653327130526E-2</c:v>
                </c:pt>
                <c:pt idx="190">
                  <c:v>-1.0723405488084481E-2</c:v>
                </c:pt>
                <c:pt idx="191">
                  <c:v>-1.0903919540657113E-2</c:v>
                </c:pt>
                <c:pt idx="192">
                  <c:v>-1.1059290685501655E-2</c:v>
                </c:pt>
                <c:pt idx="193">
                  <c:v>-1.119462208682509E-2</c:v>
                </c:pt>
                <c:pt idx="194">
                  <c:v>-1.1313687773769789E-2</c:v>
                </c:pt>
                <c:pt idx="195">
                  <c:v>-1.141934493074831E-2</c:v>
                </c:pt>
                <c:pt idx="196">
                  <c:v>-1.1513800252298147E-2</c:v>
                </c:pt>
                <c:pt idx="197">
                  <c:v>-1.1598787631325935E-2</c:v>
                </c:pt>
                <c:pt idx="198">
                  <c:v>-1.1675690042120157E-2</c:v>
                </c:pt>
                <c:pt idx="199">
                  <c:v>-1.1745625175876462E-2</c:v>
                </c:pt>
                <c:pt idx="200">
                  <c:v>-1.1809506907743352E-2</c:v>
                </c:pt>
                <c:pt idx="201">
                  <c:v>-1.1868090235085837E-2</c:v>
                </c:pt>
                <c:pt idx="202">
                  <c:v>-1.1922004697689559E-2</c:v>
                </c:pt>
                <c:pt idx="203">
                  <c:v>-1.197177960246393E-2</c:v>
                </c:pt>
                <c:pt idx="204">
                  <c:v>-1.2017863313590782E-2</c:v>
                </c:pt>
                <c:pt idx="205">
                  <c:v>-1.20606381996754E-2</c:v>
                </c:pt>
                <c:pt idx="206">
                  <c:v>-1.2100432338197575E-2</c:v>
                </c:pt>
                <c:pt idx="207">
                  <c:v>-1.2137528760222505E-2</c:v>
                </c:pt>
                <c:pt idx="208">
                  <c:v>-1.2172172849524378E-2</c:v>
                </c:pt>
                <c:pt idx="209">
                  <c:v>-1.2204578286573732E-2</c:v>
                </c:pt>
                <c:pt idx="210">
                  <c:v>-1.223493187540803E-2</c:v>
                </c:pt>
                <c:pt idx="211">
                  <c:v>-1.2263397486609207E-2</c:v>
                </c:pt>
                <c:pt idx="212">
                  <c:v>-1.2290119304870782E-2</c:v>
                </c:pt>
                <c:pt idx="213">
                  <c:v>-1.231522449983896E-2</c:v>
                </c:pt>
                <c:pt idx="214">
                  <c:v>-1.2338825470028736E-2</c:v>
                </c:pt>
                <c:pt idx="215">
                  <c:v>-1.2361021689255791E-2</c:v>
                </c:pt>
                <c:pt idx="216">
                  <c:v>-1.2381901279518437E-2</c:v>
                </c:pt>
                <c:pt idx="217">
                  <c:v>-1.2401542318608294E-2</c:v>
                </c:pt>
                <c:pt idx="218">
                  <c:v>-1.2420013944488051E-2</c:v>
                </c:pt>
                <c:pt idx="219">
                  <c:v>-1.2437377290489273E-2</c:v>
                </c:pt>
                <c:pt idx="220">
                  <c:v>-1.2453686270241959E-2</c:v>
                </c:pt>
                <c:pt idx="221">
                  <c:v>-1.2468988242314573E-2</c:v>
                </c:pt>
                <c:pt idx="222">
                  <c:v>-1.2483324566517793E-2</c:v>
                </c:pt>
                <c:pt idx="223">
                  <c:v>-1.249673106362692E-2</c:v>
                </c:pt>
                <c:pt idx="224">
                  <c:v>-1.2509238396915643E-2</c:v>
                </c:pt>
                <c:pt idx="225">
                  <c:v>-1.2520872387850657E-2</c:v>
                </c:pt>
                <c:pt idx="226">
                  <c:v>-1.2531654246606572E-2</c:v>
                </c:pt>
                <c:pt idx="227">
                  <c:v>-1.2541600762467351E-2</c:v>
                </c:pt>
                <c:pt idx="228">
                  <c:v>-1.2550724423410653E-2</c:v>
                </c:pt>
                <c:pt idx="229">
                  <c:v>-1.2559033486919169E-2</c:v>
                </c:pt>
                <c:pt idx="230">
                  <c:v>-1.256653199275265E-2</c:v>
                </c:pt>
                <c:pt idx="231">
                  <c:v>-1.2573219720708906E-2</c:v>
                </c:pt>
                <c:pt idx="232">
                  <c:v>-1.257909209430391E-2</c:v>
                </c:pt>
                <c:pt idx="233">
                  <c:v>-1.2584140021086265E-2</c:v>
                </c:pt>
                <c:pt idx="234">
                  <c:v>-1.2588349667554899E-2</c:v>
                </c:pt>
                <c:pt idx="235">
                  <c:v>-1.2591702158127049E-2</c:v>
                </c:pt>
                <c:pt idx="236">
                  <c:v>-1.2594173199590164E-2</c:v>
                </c:pt>
                <c:pt idx="237">
                  <c:v>-1.2595732600917675E-2</c:v>
                </c:pt>
                <c:pt idx="238">
                  <c:v>-1.2596343691733958E-2</c:v>
                </c:pt>
                <c:pt idx="239">
                  <c:v>-1.2595962603814013E-2</c:v>
                </c:pt>
                <c:pt idx="240">
                  <c:v>-1.2594537402372706E-2</c:v>
                </c:pt>
                <c:pt idx="241">
                  <c:v>-1.2592007026306307E-2</c:v>
                </c:pt>
                <c:pt idx="242">
                  <c:v>-1.2588300002843611E-2</c:v>
                </c:pt>
                <c:pt idx="243">
                  <c:v>-1.2583332887180942E-2</c:v>
                </c:pt>
                <c:pt idx="244">
                  <c:v>-1.2577008340065754E-2</c:v>
                </c:pt>
                <c:pt idx="245">
                  <c:v>-1.2569212788744566E-2</c:v>
                </c:pt>
                <c:pt idx="246">
                  <c:v>-1.2559813526847929E-2</c:v>
                </c:pt>
                <c:pt idx="247">
                  <c:v>-1.2548655111725149E-2</c:v>
                </c:pt>
                <c:pt idx="248">
                  <c:v>-1.253555486470509E-2</c:v>
                </c:pt>
                <c:pt idx="249">
                  <c:v>-1.2520297183905181E-2</c:v>
                </c:pt>
                <c:pt idx="250">
                  <c:v>-1.2502626314608245E-2</c:v>
                </c:pt>
                <c:pt idx="251">
                  <c:v>-1.248223702822121E-2</c:v>
                </c:pt>
                <c:pt idx="252">
                  <c:v>-1.2458762502059073E-2</c:v>
                </c:pt>
                <c:pt idx="253">
                  <c:v>-1.2431758343122377E-2</c:v>
                </c:pt>
                <c:pt idx="254">
                  <c:v>-1.2400681211212905E-2</c:v>
                </c:pt>
                <c:pt idx="255">
                  <c:v>-1.2364859791336115E-2</c:v>
                </c:pt>
                <c:pt idx="256">
                  <c:v>-1.2323454637899189E-2</c:v>
                </c:pt>
                <c:pt idx="257">
                  <c:v>-1.227540150351869E-2</c:v>
                </c:pt>
                <c:pt idx="258">
                  <c:v>-1.2219329510720189E-2</c:v>
                </c:pt>
                <c:pt idx="259">
                  <c:v>-1.2153439822983227E-2</c:v>
                </c:pt>
                <c:pt idx="260">
                  <c:v>-1.2075320167807768E-2</c:v>
                </c:pt>
                <c:pt idx="261">
                  <c:v>-1.1981650905079301E-2</c:v>
                </c:pt>
                <c:pt idx="262">
                  <c:v>-1.1867718818506456E-2</c:v>
                </c:pt>
                <c:pt idx="263">
                  <c:v>-1.1726569825225019E-2</c:v>
                </c:pt>
                <c:pt idx="264">
                  <c:v>-1.1547433815517373E-2</c:v>
                </c:pt>
                <c:pt idx="265">
                  <c:v>-1.1312543652026441E-2</c:v>
                </c:pt>
                <c:pt idx="266">
                  <c:v>-1.0989963216398502E-2</c:v>
                </c:pt>
                <c:pt idx="267">
                  <c:v>-1.0514701398283088E-2</c:v>
                </c:pt>
                <c:pt idx="268">
                  <c:v>-9.7254896062397567E-3</c:v>
                </c:pt>
                <c:pt idx="269">
                  <c:v>-8.2191428801046684E-3</c:v>
                </c:pt>
                <c:pt idx="270">
                  <c:v>-6.1199066690549855E-3</c:v>
                </c:pt>
                <c:pt idx="271">
                  <c:v>-4.2407560650756793E-3</c:v>
                </c:pt>
                <c:pt idx="272">
                  <c:v>-3.1362282202986864E-3</c:v>
                </c:pt>
                <c:pt idx="273">
                  <c:v>-2.6042563550355831E-3</c:v>
                </c:pt>
                <c:pt idx="274">
                  <c:v>-2.2869758364328363E-3</c:v>
                </c:pt>
                <c:pt idx="275">
                  <c:v>-2.0672953942629801E-3</c:v>
                </c:pt>
                <c:pt idx="276">
                  <c:v>-1.9016796306111639E-3</c:v>
                </c:pt>
                <c:pt idx="277">
                  <c:v>-1.7697465767074758E-3</c:v>
                </c:pt>
                <c:pt idx="278">
                  <c:v>-1.660507934830191E-3</c:v>
                </c:pt>
                <c:pt idx="279">
                  <c:v>-1.5674410093960978E-3</c:v>
                </c:pt>
                <c:pt idx="280">
                  <c:v>-1.4863922078683367E-3</c:v>
                </c:pt>
                <c:pt idx="281">
                  <c:v>-1.4145707980282027E-3</c:v>
                </c:pt>
                <c:pt idx="282">
                  <c:v>-1.3500205183900049E-3</c:v>
                </c:pt>
                <c:pt idx="283">
                  <c:v>-1.2913220468554476E-3</c:v>
                </c:pt>
                <c:pt idx="284">
                  <c:v>-1.2374158169334295E-3</c:v>
                </c:pt>
                <c:pt idx="285">
                  <c:v>-1.1874915443756404E-3</c:v>
                </c:pt>
                <c:pt idx="286">
                  <c:v>-1.1409166509539492E-3</c:v>
                </c:pt>
                <c:pt idx="287">
                  <c:v>-1.0971883523492876E-3</c:v>
                </c:pt>
                <c:pt idx="288">
                  <c:v>-1.0559006718792729E-3</c:v>
                </c:pt>
                <c:pt idx="289">
                  <c:v>-1.0167211702569732E-3</c:v>
                </c:pt>
                <c:pt idx="290">
                  <c:v>-9.7937417095145252E-4</c:v>
                </c:pt>
                <c:pt idx="291">
                  <c:v>-9.4362843760481541E-4</c:v>
                </c:pt>
                <c:pt idx="292">
                  <c:v>-9.0928796418449087E-4</c:v>
                </c:pt>
                <c:pt idx="293">
                  <c:v>-8.76184986079942E-4</c:v>
                </c:pt>
                <c:pt idx="294">
                  <c:v>-8.4417460271818401E-4</c:v>
                </c:pt>
                <c:pt idx="295">
                  <c:v>-8.1313058490839463E-4</c:v>
                </c:pt>
                <c:pt idx="296">
                  <c:v>-7.829420691503608E-4</c:v>
                </c:pt>
                <c:pt idx="297">
                  <c:v>-7.5351092103703721E-4</c:v>
                </c:pt>
                <c:pt idx="298">
                  <c:v>-7.2474961159624263E-4</c:v>
                </c:pt>
                <c:pt idx="299">
                  <c:v>-6.9657948934892522E-4</c:v>
                </c:pt>
                <c:pt idx="300">
                  <c:v>-6.6892936019846694E-4</c:v>
                </c:pt>
                <c:pt idx="301">
                  <c:v>-6.4173431143432769E-4</c:v>
                </c:pt>
                <c:pt idx="302">
                  <c:v>-6.1493472680629324E-4</c:v>
                </c:pt>
                <c:pt idx="303">
                  <c:v>-5.8847545512447097E-4</c:v>
                </c:pt>
                <c:pt idx="304">
                  <c:v>-5.6230510159216429E-4</c:v>
                </c:pt>
                <c:pt idx="305">
                  <c:v>-5.3637541735107597E-4</c:v>
                </c:pt>
                <c:pt idx="306">
                  <c:v>-5.1064076858176044E-4</c:v>
                </c:pt>
                <c:pt idx="307">
                  <c:v>-4.8505766889711538E-4</c:v>
                </c:pt>
                <c:pt idx="308">
                  <c:v>-4.5958436332355079E-4</c:v>
                </c:pt>
                <c:pt idx="309">
                  <c:v>-4.3418045226917284E-4</c:v>
                </c:pt>
                <c:pt idx="310">
                  <c:v>-4.0880654772884606E-4</c:v>
                </c:pt>
                <c:pt idx="311">
                  <c:v>-3.8342395356522063E-4</c:v>
                </c:pt>
                <c:pt idx="312">
                  <c:v>-3.5799436350875125E-4</c:v>
                </c:pt>
                <c:pt idx="313">
                  <c:v>-3.3247957087789715E-4</c:v>
                </c:pt>
                <c:pt idx="314">
                  <c:v>-3.0684118494134221E-4</c:v>
                </c:pt>
                <c:pt idx="315">
                  <c:v>-2.8104034870385375E-4</c:v>
                </c:pt>
                <c:pt idx="316">
                  <c:v>-2.5503745305183173E-4</c:v>
                </c:pt>
                <c:pt idx="317">
                  <c:v>-2.2879184273616462E-4</c:v>
                </c:pt>
                <c:pt idx="318">
                  <c:v>-2.0226150830121581E-4</c:v>
                </c:pt>
                <c:pt idx="319">
                  <c:v>-1.754027598021568E-4</c:v>
                </c:pt>
                <c:pt idx="320">
                  <c:v>-1.4816987485322122E-4</c:v>
                </c:pt>
                <c:pt idx="321">
                  <c:v>-1.2051471534696433E-4</c:v>
                </c:pt>
                <c:pt idx="322">
                  <c:v>-9.2386305049374506E-5</c:v>
                </c:pt>
                <c:pt idx="323">
                  <c:v>-6.3730359035008011E-5</c:v>
                </c:pt>
                <c:pt idx="324">
                  <c:v>-3.4488754706463176E-5</c:v>
                </c:pt>
                <c:pt idx="325">
                  <c:v>-4.5989321962869312E-6</c:v>
                </c:pt>
                <c:pt idx="326">
                  <c:v>2.6006790864341326E-5</c:v>
                </c:pt>
                <c:pt idx="327">
                  <c:v>5.7402008008688998E-5</c:v>
                </c:pt>
                <c:pt idx="328">
                  <c:v>8.9667138104931876E-5</c:v>
                </c:pt>
                <c:pt idx="329">
                  <c:v>1.2289049239988528E-4</c:v>
                </c:pt>
                <c:pt idx="330">
                  <c:v>1.5716952765970629E-4</c:v>
                </c:pt>
                <c:pt idx="331">
                  <c:v>1.9261232838468922E-4</c:v>
                </c:pt>
                <c:pt idx="332">
                  <c:v>2.2933937103702953E-4</c:v>
                </c:pt>
                <c:pt idx="333">
                  <c:v>2.6748563878042919E-4</c:v>
                </c:pt>
                <c:pt idx="334">
                  <c:v>3.0720317412769038E-4</c:v>
                </c:pt>
                <c:pt idx="335">
                  <c:v>3.4866418312273773E-4</c:v>
                </c:pt>
                <c:pt idx="336">
                  <c:v>3.9206483985765317E-4</c:v>
                </c:pt>
                <c:pt idx="337">
                  <c:v>4.3762998788104973E-4</c:v>
                </c:pt>
                <c:pt idx="338">
                  <c:v>4.8561900216720355E-4</c:v>
                </c:pt>
                <c:pt idx="339">
                  <c:v>5.3633316772316864E-4</c:v>
                </c:pt>
                <c:pt idx="340">
                  <c:v>5.9012506371658446E-4</c:v>
                </c:pt>
                <c:pt idx="341">
                  <c:v>6.4741063345852268E-4</c:v>
                </c:pt>
                <c:pt idx="342">
                  <c:v>7.0868490035258535E-4</c:v>
                </c:pt>
                <c:pt idx="343">
                  <c:v>7.7454270973731376E-4</c:v>
                </c:pt>
                <c:pt idx="344">
                  <c:v>8.457065165753952E-4</c:v>
                </c:pt>
                <c:pt idx="345">
                  <c:v>9.230642357969665E-4</c:v>
                </c:pt>
                <c:pt idx="346">
                  <c:v>1.0077217703651775E-3</c:v>
                </c:pt>
                <c:pt idx="347">
                  <c:v>1.1010774572473014E-3</c:v>
                </c:pt>
                <c:pt idx="348">
                  <c:v>1.2049301338094009E-3</c:v>
                </c:pt>
                <c:pt idx="349">
                  <c:v>1.3216403790816122E-3</c:v>
                </c:pt>
                <c:pt idx="350">
                  <c:v>1.4543789059532353E-3</c:v>
                </c:pt>
                <c:pt idx="351">
                  <c:v>1.6075238541840009E-3</c:v>
                </c:pt>
                <c:pt idx="352">
                  <c:v>1.7873254131589025E-3</c:v>
                </c:pt>
                <c:pt idx="353">
                  <c:v>2.0030800641434028E-3</c:v>
                </c:pt>
                <c:pt idx="354">
                  <c:v>2.2658201850023207E-3</c:v>
                </c:pt>
                <c:pt idx="355">
                  <c:v>2.5753225900543848E-3</c:v>
                </c:pt>
                <c:pt idx="356">
                  <c:v>2.9288075445257911E-3</c:v>
                </c:pt>
                <c:pt idx="357">
                  <c:v>3.3243971115441973E-3</c:v>
                </c:pt>
                <c:pt idx="358">
                  <c:v>3.7584655063541139E-3</c:v>
                </c:pt>
                <c:pt idx="359">
                  <c:v>4.217980605233429E-3</c:v>
                </c:pt>
                <c:pt idx="360">
                  <c:v>4.6812572893122914E-3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364330</xdr:colOff>
      <xdr:row>2</xdr:row>
      <xdr:rowOff>61911</xdr:rowOff>
    </xdr:from>
    <xdr:to>
      <xdr:col>18</xdr:col>
      <xdr:colOff>773905</xdr:colOff>
      <xdr:row>30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971550</xdr:colOff>
      <xdr:row>27</xdr:row>
      <xdr:rowOff>154782</xdr:rowOff>
    </xdr:from>
    <xdr:to>
      <xdr:col>22</xdr:col>
      <xdr:colOff>319087</xdr:colOff>
      <xdr:row>47</xdr:row>
      <xdr:rowOff>2382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3</xdr:row>
          <xdr:rowOff>12700</xdr:rowOff>
        </xdr:from>
        <xdr:to>
          <xdr:col>9</xdr:col>
          <xdr:colOff>190500</xdr:colOff>
          <xdr:row>7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8</xdr:row>
          <xdr:rowOff>25400</xdr:rowOff>
        </xdr:from>
        <xdr:to>
          <xdr:col>9</xdr:col>
          <xdr:colOff>203200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24</xdr:row>
          <xdr:rowOff>88900</xdr:rowOff>
        </xdr:from>
        <xdr:to>
          <xdr:col>20</xdr:col>
          <xdr:colOff>800100</xdr:colOff>
          <xdr:row>27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827087</xdr:colOff>
      <xdr:row>29</xdr:row>
      <xdr:rowOff>79375</xdr:rowOff>
    </xdr:from>
    <xdr:to>
      <xdr:col>37</xdr:col>
      <xdr:colOff>527050</xdr:colOff>
      <xdr:row>58</xdr:row>
      <xdr:rowOff>17462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38102</xdr:colOff>
      <xdr:row>0</xdr:row>
      <xdr:rowOff>85722</xdr:rowOff>
    </xdr:from>
    <xdr:to>
      <xdr:col>37</xdr:col>
      <xdr:colOff>571502</xdr:colOff>
      <xdr:row>28</xdr:row>
      <xdr:rowOff>130966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692943</xdr:colOff>
      <xdr:row>0</xdr:row>
      <xdr:rowOff>73816</xdr:rowOff>
    </xdr:from>
    <xdr:to>
      <xdr:col>43</xdr:col>
      <xdr:colOff>380999</xdr:colOff>
      <xdr:row>28</xdr:row>
      <xdr:rowOff>119060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659605</xdr:colOff>
      <xdr:row>29</xdr:row>
      <xdr:rowOff>90489</xdr:rowOff>
    </xdr:from>
    <xdr:to>
      <xdr:col>43</xdr:col>
      <xdr:colOff>347661</xdr:colOff>
      <xdr:row>58</xdr:row>
      <xdr:rowOff>28576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292100</xdr:colOff>
          <xdr:row>2</xdr:row>
          <xdr:rowOff>88900</xdr:rowOff>
        </xdr:from>
        <xdr:to>
          <xdr:col>31</xdr:col>
          <xdr:colOff>177800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K378"/>
  <sheetViews>
    <sheetView tabSelected="1" topLeftCell="X1" zoomScale="80" zoomScaleNormal="80" workbookViewId="0">
      <selection activeCell="AF8" sqref="AF8"/>
    </sheetView>
  </sheetViews>
  <sheetFormatPr baseColWidth="10" defaultColWidth="8.83203125" defaultRowHeight="15" x14ac:dyDescent="0.2"/>
  <cols>
    <col min="1" max="1" width="15.33203125" customWidth="1"/>
    <col min="2" max="2" width="16" customWidth="1"/>
    <col min="3" max="3" width="12.5" customWidth="1"/>
    <col min="4" max="5" width="11.1640625" customWidth="1"/>
    <col min="6" max="7" width="11.5" bestFit="1" customWidth="1"/>
    <col min="8" max="8" width="13.1640625" bestFit="1" customWidth="1"/>
    <col min="9" max="9" width="12.1640625" bestFit="1" customWidth="1"/>
    <col min="10" max="10" width="13.1640625" bestFit="1" customWidth="1"/>
    <col min="11" max="11" width="12.1640625" bestFit="1" customWidth="1"/>
    <col min="12" max="12" width="12.5" customWidth="1"/>
    <col min="13" max="13" width="17.33203125" customWidth="1"/>
    <col min="14" max="15" width="17" bestFit="1" customWidth="1"/>
    <col min="16" max="16" width="15.5" bestFit="1" customWidth="1"/>
    <col min="17" max="18" width="16.5" bestFit="1" customWidth="1"/>
    <col min="19" max="19" width="14.83203125" bestFit="1" customWidth="1"/>
    <col min="20" max="20" width="16.5" customWidth="1"/>
    <col min="21" max="22" width="16.5" bestFit="1" customWidth="1"/>
    <col min="23" max="24" width="15.5" bestFit="1" customWidth="1"/>
    <col min="25" max="26" width="17.6640625" bestFit="1" customWidth="1"/>
    <col min="27" max="27" width="11" bestFit="1" customWidth="1"/>
    <col min="28" max="28" width="14.5" bestFit="1" customWidth="1"/>
    <col min="29" max="29" width="13.5" bestFit="1" customWidth="1"/>
    <col min="30" max="30" width="14.5" bestFit="1" customWidth="1"/>
    <col min="31" max="31" width="13.5" bestFit="1" customWidth="1"/>
    <col min="32" max="32" width="12.5" bestFit="1" customWidth="1"/>
    <col min="33" max="33" width="14.83203125" bestFit="1" customWidth="1"/>
    <col min="34" max="34" width="17" bestFit="1" customWidth="1"/>
    <col min="35" max="35" width="14.5" bestFit="1" customWidth="1"/>
    <col min="36" max="36" width="13.5" bestFit="1" customWidth="1"/>
    <col min="37" max="37" width="14.5" bestFit="1" customWidth="1"/>
    <col min="38" max="39" width="13.5" bestFit="1" customWidth="1"/>
    <col min="40" max="40" width="14.83203125" bestFit="1" customWidth="1"/>
    <col min="41" max="41" width="17" bestFit="1" customWidth="1"/>
    <col min="42" max="42" width="14.5" bestFit="1" customWidth="1"/>
    <col min="43" max="43" width="13.5" bestFit="1" customWidth="1"/>
    <col min="44" max="44" width="14.5" bestFit="1" customWidth="1"/>
    <col min="45" max="46" width="14" style="6" bestFit="1" customWidth="1"/>
    <col min="47" max="47" width="14.83203125" style="6" bestFit="1" customWidth="1"/>
    <col min="48" max="48" width="17" style="6" bestFit="1" customWidth="1"/>
    <col min="49" max="49" width="19.6640625" style="6" bestFit="1" customWidth="1"/>
    <col min="50" max="50" width="19.1640625" style="6" bestFit="1" customWidth="1"/>
    <col min="51" max="51" width="24.33203125" style="6" bestFit="1" customWidth="1"/>
    <col min="52" max="52" width="11" style="49" bestFit="1" customWidth="1"/>
    <col min="53" max="53" width="19.5" style="49" bestFit="1" customWidth="1"/>
    <col min="54" max="54" width="19.1640625" style="49" bestFit="1" customWidth="1"/>
    <col min="55" max="56" width="24.33203125" style="49" bestFit="1" customWidth="1"/>
    <col min="57" max="57" width="10.6640625" bestFit="1" customWidth="1"/>
    <col min="58" max="58" width="14.5" bestFit="1" customWidth="1"/>
    <col min="59" max="59" width="19.5" bestFit="1" customWidth="1"/>
    <col min="60" max="60" width="19.1640625" bestFit="1" customWidth="1"/>
    <col min="61" max="61" width="24.33203125" bestFit="1" customWidth="1"/>
    <col min="65" max="65" width="13.6640625" bestFit="1" customWidth="1"/>
    <col min="70" max="71" width="13.6640625" bestFit="1" customWidth="1"/>
    <col min="72" max="72" width="11" bestFit="1" customWidth="1"/>
    <col min="73" max="73" width="13" bestFit="1" customWidth="1"/>
    <col min="74" max="74" width="9.83203125" bestFit="1" customWidth="1"/>
    <col min="78" max="78" width="13" bestFit="1" customWidth="1"/>
    <col min="79" max="79" width="10.33203125" customWidth="1"/>
    <col min="80" max="80" width="12.83203125" bestFit="1" customWidth="1"/>
    <col min="81" max="81" width="14.5" customWidth="1"/>
    <col min="83" max="83" width="8.83203125" customWidth="1"/>
    <col min="84" max="84" width="9.33203125" bestFit="1" customWidth="1"/>
    <col min="85" max="85" width="13" bestFit="1" customWidth="1"/>
    <col min="86" max="88" width="13.6640625" bestFit="1" customWidth="1"/>
    <col min="89" max="89" width="12.5" bestFit="1" customWidth="1"/>
    <col min="90" max="90" width="13" bestFit="1" customWidth="1"/>
    <col min="91" max="91" width="13.6640625" bestFit="1" customWidth="1"/>
    <col min="92" max="92" width="13" bestFit="1" customWidth="1"/>
    <col min="93" max="93" width="12" bestFit="1" customWidth="1"/>
    <col min="94" max="95" width="13.6640625" bestFit="1" customWidth="1"/>
    <col min="96" max="96" width="10" bestFit="1" customWidth="1"/>
    <col min="106" max="106" width="7" customWidth="1"/>
    <col min="112" max="112" width="10.33203125" bestFit="1" customWidth="1"/>
    <col min="120" max="120" width="9.1640625" bestFit="1" customWidth="1"/>
    <col min="121" max="121" width="13.8320312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6640625" bestFit="1" customWidth="1"/>
    <col min="127" max="127" width="13.1640625" bestFit="1" customWidth="1"/>
    <col min="129" max="129" width="13.6640625" bestFit="1" customWidth="1"/>
  </cols>
  <sheetData>
    <row r="1" spans="1:141" x14ac:dyDescent="0.2">
      <c r="A1" s="8" t="s">
        <v>191</v>
      </c>
      <c r="B1" s="20" t="s">
        <v>210</v>
      </c>
      <c r="K1" s="8" t="s">
        <v>71</v>
      </c>
      <c r="L1" s="53">
        <v>1.0000000000000001E-9</v>
      </c>
      <c r="P1" s="8" t="s">
        <v>142</v>
      </c>
      <c r="Q1" s="4">
        <v>1</v>
      </c>
      <c r="T1" t="s">
        <v>152</v>
      </c>
      <c r="U1" s="4">
        <v>0</v>
      </c>
      <c r="W1" t="s">
        <v>192</v>
      </c>
      <c r="X1" s="4">
        <v>1</v>
      </c>
      <c r="Z1" s="1" t="s">
        <v>214</v>
      </c>
      <c r="AA1" s="4">
        <v>0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143</v>
      </c>
      <c r="BH1" s="6" t="s">
        <v>144</v>
      </c>
      <c r="BI1" s="6" t="s">
        <v>145</v>
      </c>
      <c r="BJ1" s="6" t="s">
        <v>212</v>
      </c>
      <c r="BK1" s="6" t="s">
        <v>213</v>
      </c>
      <c r="BW1" s="45" t="s">
        <v>146</v>
      </c>
      <c r="CU1" t="s">
        <v>113</v>
      </c>
      <c r="DC1" t="s">
        <v>136</v>
      </c>
      <c r="DK1" t="s">
        <v>141</v>
      </c>
      <c r="DN1" s="1" t="s">
        <v>220</v>
      </c>
      <c r="DO1">
        <v>1E-10</v>
      </c>
      <c r="DV1" t="s">
        <v>196</v>
      </c>
    </row>
    <row r="2" spans="1:141" ht="16" thickBot="1" x14ac:dyDescent="0.25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100</v>
      </c>
      <c r="M2">
        <v>929</v>
      </c>
      <c r="N2">
        <v>23</v>
      </c>
      <c r="O2">
        <v>0</v>
      </c>
      <c r="AD2" s="8" t="s">
        <v>153</v>
      </c>
      <c r="AE2" s="20">
        <v>360</v>
      </c>
      <c r="BC2">
        <v>0</v>
      </c>
      <c r="BD2">
        <v>148.21567446325005</v>
      </c>
      <c r="BE2">
        <v>-42.659999999999876</v>
      </c>
      <c r="BF2" s="6">
        <f t="shared" ref="BF2:BF33" si="0">IF(BC2&lt;&gt;"",IF(AND(BD2=0,BE2=0),0,MOD(ATAN2(BD2,BE2),2*PI())),NA())</f>
        <v>6.0029364226951527</v>
      </c>
      <c r="BG2" s="6">
        <f t="shared" ref="BG2:BG33" si="1">ABS(BC2-BF2)</f>
        <v>6.0029364226951527</v>
      </c>
      <c r="BH2" s="6">
        <f>ATAN2(COS($U$13-BF2),SIN($U$13-BF2))</f>
        <v>-5.1305277391504589E-2</v>
      </c>
      <c r="BI2" s="6">
        <f>ABS(BH2)</f>
        <v>5.1305277391504589E-2</v>
      </c>
      <c r="BJ2">
        <v>164.6840827369445</v>
      </c>
      <c r="BK2">
        <v>-47.399999999999864</v>
      </c>
      <c r="BT2">
        <v>0.78539816339744828</v>
      </c>
      <c r="BV2" s="38"/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2.9441970937399122</v>
      </c>
      <c r="DK2" s="1" t="s">
        <v>226</v>
      </c>
      <c r="DL2" s="1" t="s">
        <v>218</v>
      </c>
      <c r="DM2" s="1" t="s">
        <v>219</v>
      </c>
      <c r="DN2" s="1" t="s">
        <v>221</v>
      </c>
      <c r="DO2" s="1" t="s">
        <v>222</v>
      </c>
      <c r="DP2" s="1" t="s">
        <v>223</v>
      </c>
      <c r="DQ2" s="1" t="s">
        <v>224</v>
      </c>
      <c r="DR2" s="1" t="s">
        <v>225</v>
      </c>
    </row>
    <row r="3" spans="1:141" x14ac:dyDescent="0.2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0.9</v>
      </c>
      <c r="V3" s="15"/>
      <c r="W3" s="29" t="s">
        <v>95</v>
      </c>
      <c r="X3" t="s">
        <v>79</v>
      </c>
      <c r="AA3" t="s">
        <v>110</v>
      </c>
      <c r="BC3">
        <v>1.7453292519943295E-2</v>
      </c>
      <c r="BD3">
        <v>148.19952575853694</v>
      </c>
      <c r="BE3">
        <v>-41.858812519794526</v>
      </c>
      <c r="BF3" s="6">
        <f t="shared" si="0"/>
        <v>6.007907064951195</v>
      </c>
      <c r="BG3" s="6">
        <f t="shared" si="1"/>
        <v>5.9904537724312519</v>
      </c>
      <c r="BH3" s="6">
        <f t="shared" ref="BH3:BH66" si="2">ATAN2(COS($U$13-BF3),SIN($U$13-BF3))</f>
        <v>-5.627591964754685E-2</v>
      </c>
      <c r="BI3" s="6">
        <f t="shared" ref="BI3:BI66" si="3">ABS(BH3)</f>
        <v>5.627591964754685E-2</v>
      </c>
      <c r="BJ3">
        <v>164.66613973170772</v>
      </c>
      <c r="BK3">
        <v>-46.509791688660584</v>
      </c>
      <c r="BV3" s="38"/>
      <c r="CU3">
        <v>7.5224274720985447</v>
      </c>
      <c r="CV3">
        <v>4.3808348185087516</v>
      </c>
      <c r="CW3">
        <v>5.9516311453036481</v>
      </c>
      <c r="CX3">
        <v>9.9072477374354817E-3</v>
      </c>
      <c r="CY3">
        <v>-1.2482163854112273E-2</v>
      </c>
      <c r="CZ3">
        <v>6.4760869589519643E-4</v>
      </c>
      <c r="DC3" s="1" t="s">
        <v>215</v>
      </c>
      <c r="DD3" s="1" t="s">
        <v>216</v>
      </c>
      <c r="DE3" s="1" t="s">
        <v>140</v>
      </c>
      <c r="DF3" s="1" t="s">
        <v>139</v>
      </c>
      <c r="DG3" s="1" t="s">
        <v>138</v>
      </c>
      <c r="DH3" s="1" t="s">
        <v>217</v>
      </c>
      <c r="DK3">
        <v>0.78539816339744828</v>
      </c>
      <c r="DL3">
        <v>-0.45921323017653021</v>
      </c>
      <c r="DV3" s="9"/>
      <c r="DW3" s="9" t="str">
        <f t="shared" ref="DW3:DY5" si="4">Z14</f>
        <v>P</v>
      </c>
      <c r="DX3" s="9" t="str">
        <f t="shared" si="4"/>
        <v>Mx</v>
      </c>
      <c r="DY3" s="9" t="str">
        <f t="shared" si="4"/>
        <v>My</v>
      </c>
    </row>
    <row r="4" spans="1:141" x14ac:dyDescent="0.2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-149.99999999905813</v>
      </c>
      <c r="V4" s="16" t="s">
        <v>68</v>
      </c>
      <c r="W4" s="30">
        <f ca="1">U4-U10</f>
        <v>9.418670288141584E-10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BC4">
        <v>3.4906585039886591E-2</v>
      </c>
      <c r="BD4">
        <v>148.16813575458025</v>
      </c>
      <c r="BE4">
        <v>-41.063896960568862</v>
      </c>
      <c r="BF4" s="6">
        <f t="shared" si="0"/>
        <v>6.0128270117470208</v>
      </c>
      <c r="BG4" s="6">
        <f t="shared" si="1"/>
        <v>5.9779204267071346</v>
      </c>
      <c r="BH4" s="6">
        <f t="shared" si="2"/>
        <v>-6.1195866443372708E-2</v>
      </c>
      <c r="BI4" s="6">
        <f t="shared" si="3"/>
        <v>6.1195866443372708E-2</v>
      </c>
      <c r="BJ4">
        <v>164.63126194953361</v>
      </c>
      <c r="BK4">
        <v>-45.626552178409845</v>
      </c>
      <c r="BV4" s="38"/>
      <c r="BW4" s="1" t="s">
        <v>100</v>
      </c>
      <c r="BX4" s="1" t="s">
        <v>101</v>
      </c>
      <c r="BY4" s="1" t="s">
        <v>203</v>
      </c>
      <c r="BZ4" s="1" t="s">
        <v>148</v>
      </c>
      <c r="CA4" s="1" t="s">
        <v>149</v>
      </c>
      <c r="CB4" s="1" t="s">
        <v>228</v>
      </c>
      <c r="CD4" s="1" t="s">
        <v>231</v>
      </c>
      <c r="CE4" s="1" t="s">
        <v>235</v>
      </c>
      <c r="CF4" s="1" t="s">
        <v>236</v>
      </c>
      <c r="CG4" s="1" t="s">
        <v>228</v>
      </c>
      <c r="CH4" s="1"/>
      <c r="CI4" s="1"/>
      <c r="CK4" s="1" t="s">
        <v>228</v>
      </c>
      <c r="CU4">
        <v>5.9516311453036481</v>
      </c>
      <c r="CV4">
        <v>4.3808348185087516</v>
      </c>
      <c r="CW4">
        <v>5.1662329819061998</v>
      </c>
      <c r="CX4">
        <v>6.4760869589519643E-4</v>
      </c>
      <c r="CY4">
        <v>-1.2482163854112273E-2</v>
      </c>
      <c r="CZ4">
        <v>-7.8284238590875521E-4</v>
      </c>
      <c r="DE4">
        <v>2.9324781751503597</v>
      </c>
      <c r="DF4">
        <v>1</v>
      </c>
      <c r="DG4">
        <v>2.9559160123294648</v>
      </c>
      <c r="DH4">
        <v>1.1718918589552541E-2</v>
      </c>
      <c r="DK4">
        <v>0.78539816339744828</v>
      </c>
      <c r="DL4">
        <v>-0.45921323017653021</v>
      </c>
      <c r="DM4">
        <v>0.78539816349744829</v>
      </c>
      <c r="DN4">
        <v>-0.45921323018442317</v>
      </c>
      <c r="DO4">
        <v>0.78539816329744827</v>
      </c>
      <c r="DP4">
        <v>-0.45921323016863064</v>
      </c>
      <c r="DQ4">
        <v>-7.8962669736171165E-2</v>
      </c>
      <c r="DR4">
        <v>1.2530097100792414</v>
      </c>
      <c r="DV4" s="9" t="str">
        <f>Y15</f>
        <v>Max</v>
      </c>
      <c r="DW4" s="9">
        <f t="shared" ca="1" si="4"/>
        <v>910.1105</v>
      </c>
      <c r="DX4" s="9">
        <f t="shared" ca="1" si="4"/>
        <v>-85.882875000000013</v>
      </c>
      <c r="DY4" s="9">
        <f t="shared" ca="1" si="4"/>
        <v>28.627624999999998</v>
      </c>
      <c r="DZ4" s="9"/>
      <c r="EA4" t="s">
        <v>204</v>
      </c>
      <c r="EB4" s="9">
        <f>U10</f>
        <v>-150</v>
      </c>
      <c r="EC4" s="9">
        <f>U11</f>
        <v>12.2</v>
      </c>
      <c r="ED4" s="9">
        <f>U12</f>
        <v>-4.2</v>
      </c>
      <c r="EF4">
        <f>ATAN2(EC4,ED4)</f>
        <v>-0.33155416187593822</v>
      </c>
      <c r="EG4" s="9">
        <f>SQRT(POWER(EB4,2)+POWER(EC4,2)+POWER(ED4,2))</f>
        <v>150.55391061012</v>
      </c>
      <c r="EH4">
        <f>EB4/EG4</f>
        <v>-0.99632084873866589</v>
      </c>
      <c r="EI4">
        <f>EC4/EG4</f>
        <v>8.103409569741149E-2</v>
      </c>
      <c r="EJ4">
        <f>ED4/EG4</f>
        <v>-2.7896983764682647E-2</v>
      </c>
      <c r="EK4">
        <v>0</v>
      </c>
    </row>
    <row r="5" spans="1:141" x14ac:dyDescent="0.2">
      <c r="A5" s="8" t="s">
        <v>5</v>
      </c>
      <c r="B5" s="44">
        <v>12</v>
      </c>
      <c r="C5" t="s">
        <v>4</v>
      </c>
      <c r="E5" s="5">
        <f>E4</f>
        <v>12</v>
      </c>
      <c r="F5">
        <f>(B8-B9)</f>
        <v>16</v>
      </c>
      <c r="G5">
        <f t="shared" ref="G5:G11" si="5">((E4*F5)-(E5*F4))*0.5</f>
        <v>96</v>
      </c>
      <c r="T5" s="26" t="s">
        <v>77</v>
      </c>
      <c r="U5" s="10">
        <f ca="1">U3*IF(B1="PCA_Parabolic",B204*(1/12),B79*(1/12))</f>
        <v>146.95719247439416</v>
      </c>
      <c r="V5" s="16" t="s">
        <v>70</v>
      </c>
      <c r="W5" s="31"/>
      <c r="X5">
        <f>X4</f>
        <v>34</v>
      </c>
      <c r="Y5">
        <f>X5</f>
        <v>34</v>
      </c>
      <c r="AA5">
        <v>0</v>
      </c>
      <c r="AB5">
        <v>0</v>
      </c>
      <c r="BC5">
        <v>5.235987755982989E-2</v>
      </c>
      <c r="BD5">
        <v>148.12611916405837</v>
      </c>
      <c r="BE5">
        <v>-40.312652641948866</v>
      </c>
      <c r="BF5" s="6">
        <f t="shared" si="0"/>
        <v>6.0174698316343687</v>
      </c>
      <c r="BG5" s="6">
        <f t="shared" si="1"/>
        <v>5.9651099540745385</v>
      </c>
      <c r="BH5" s="6">
        <f t="shared" si="2"/>
        <v>-6.5838686330720542E-2</v>
      </c>
      <c r="BI5" s="6">
        <f t="shared" si="3"/>
        <v>6.5838686330720542E-2</v>
      </c>
      <c r="BJ5">
        <v>164.58457684895373</v>
      </c>
      <c r="BK5">
        <v>-44.791836268832071</v>
      </c>
      <c r="BU5" s="6"/>
      <c r="BV5" s="73" t="s">
        <v>239</v>
      </c>
      <c r="BW5">
        <f ca="1">B132</f>
        <v>123.89568105682118</v>
      </c>
      <c r="BX5">
        <f ca="1">B133</f>
        <v>-41.298560352273718</v>
      </c>
      <c r="BY5">
        <f ca="1">SQRT(POWER(BW5,2)+POWER(BX5,2))</f>
        <v>130.59751479911074</v>
      </c>
      <c r="BZ5">
        <f ca="1">BW5/BY5</f>
        <v>0.94868329805051388</v>
      </c>
      <c r="CA5">
        <f ca="1">BX5/BY5</f>
        <v>-0.31622776601683789</v>
      </c>
      <c r="CB5">
        <f ca="1">ATAN2(BZ5,CA5)</f>
        <v>-0.32175055439664213</v>
      </c>
      <c r="CD5" s="1" t="s">
        <v>232</v>
      </c>
      <c r="CE5" s="6">
        <f ca="1">0-BW5</f>
        <v>-123.89568105682118</v>
      </c>
      <c r="CF5" s="6">
        <f ca="1">0-BX5</f>
        <v>41.298560352273718</v>
      </c>
      <c r="CG5">
        <f ca="1">ATAN2(CE5,CF5)</f>
        <v>2.819842099193151</v>
      </c>
      <c r="CH5" s="1"/>
      <c r="CI5" s="6"/>
      <c r="CJ5" s="6"/>
      <c r="CU5">
        <v>5.9516311453036481</v>
      </c>
      <c r="CV5">
        <v>5.1662329819061998</v>
      </c>
      <c r="CW5">
        <v>5.5589320636049244</v>
      </c>
      <c r="CX5">
        <v>6.4760869589519643E-4</v>
      </c>
      <c r="CY5">
        <v>-7.8284238590875521E-4</v>
      </c>
      <c r="CZ5">
        <v>-1.8878613073219919E-4</v>
      </c>
      <c r="DC5">
        <v>2.9441970937399122</v>
      </c>
      <c r="DD5">
        <v>2.9324781751503597</v>
      </c>
      <c r="DE5">
        <v>2.9339783544915101</v>
      </c>
      <c r="DF5">
        <v>7.8116784227715996</v>
      </c>
      <c r="DG5">
        <v>3.0357415172241367</v>
      </c>
      <c r="DH5">
        <v>1.0218739248402109E-2</v>
      </c>
      <c r="DK5">
        <v>1.2530097100792414</v>
      </c>
      <c r="DL5">
        <v>-0.48514544482291888</v>
      </c>
      <c r="DM5">
        <v>1.2530097101792415</v>
      </c>
      <c r="DN5">
        <v>-0.48514544482687461</v>
      </c>
      <c r="DO5">
        <v>1.2530097099792414</v>
      </c>
      <c r="DP5">
        <v>-0.48514544481896293</v>
      </c>
      <c r="DQ5">
        <v>-3.9558356590418953E-2</v>
      </c>
      <c r="DR5">
        <v>1.5553358433686104</v>
      </c>
      <c r="DV5" s="9" t="str">
        <f>Y16</f>
        <v>Min</v>
      </c>
      <c r="DW5" s="9">
        <f t="shared" ca="1" si="4"/>
        <v>-170.64000000000001</v>
      </c>
      <c r="DX5" s="9">
        <f t="shared" ca="1" si="4"/>
        <v>127.98</v>
      </c>
      <c r="DY5" s="9">
        <f t="shared" ca="1" si="4"/>
        <v>-42.660000000000004</v>
      </c>
      <c r="DZ5" s="9"/>
      <c r="EA5" t="s">
        <v>205</v>
      </c>
      <c r="EB5" s="9">
        <f ca="1">U4</f>
        <v>-149.99999999905813</v>
      </c>
      <c r="EC5" s="9">
        <f ca="1">U5</f>
        <v>146.95719247439416</v>
      </c>
      <c r="ED5" s="9">
        <f ca="1">U6</f>
        <v>-50.591819980387839</v>
      </c>
      <c r="EF5">
        <f ca="1">ATAN2(EC5,ED5)</f>
        <v>-0.33155415956627005</v>
      </c>
      <c r="EG5" s="9">
        <f t="shared" ref="EG5:EG6" ca="1" si="6">SQRT(POWER(EB5,2)+POWER(EC5,2)+POWER(ED5,2))</f>
        <v>215.99988117728569</v>
      </c>
      <c r="EH5">
        <f t="shared" ref="EH5:EH6" ca="1" si="7">EB5/EG5</f>
        <v>-0.69444482645776551</v>
      </c>
      <c r="EI5">
        <f t="shared" ref="EI5:EI6" ca="1" si="8">EC5/EG5</f>
        <v>0.6803577468349461</v>
      </c>
      <c r="EJ5">
        <f t="shared" ref="EJ5:EJ6" ca="1" si="9">ED5/EG5</f>
        <v>-0.23422151764455701</v>
      </c>
      <c r="EK5">
        <v>0</v>
      </c>
    </row>
    <row r="6" spans="1:141" x14ac:dyDescent="0.2">
      <c r="A6" s="8" t="s">
        <v>92</v>
      </c>
      <c r="B6" s="44">
        <v>0</v>
      </c>
      <c r="C6" t="s">
        <v>4</v>
      </c>
      <c r="E6" s="5">
        <f>B7+B5</f>
        <v>12</v>
      </c>
      <c r="F6">
        <f>F5</f>
        <v>16</v>
      </c>
      <c r="G6">
        <f t="shared" si="5"/>
        <v>0</v>
      </c>
      <c r="T6" s="26" t="s">
        <v>76</v>
      </c>
      <c r="U6" s="10">
        <f ca="1">U3*IF(B1="PCA_Parabolic",B205*(1/12),B80*(1/12))</f>
        <v>-50.591819980387839</v>
      </c>
      <c r="V6" s="16" t="s">
        <v>70</v>
      </c>
      <c r="W6" s="30">
        <f t="shared" ref="W6" ca="1" si="10">U6</f>
        <v>-50.591819980387839</v>
      </c>
      <c r="X6">
        <f>IF(B6=0,0,-1*X5)</f>
        <v>0</v>
      </c>
      <c r="Y6">
        <f>IF(B6=0,0,Y5)</f>
        <v>0</v>
      </c>
      <c r="AA6">
        <f>U14</f>
        <v>12.902712893031449</v>
      </c>
      <c r="AB6">
        <f>U10</f>
        <v>-150</v>
      </c>
      <c r="BC6">
        <v>6.9813170079773182E-2</v>
      </c>
      <c r="BD6">
        <v>148.07790797419878</v>
      </c>
      <c r="BE6">
        <v>-39.62776539997526</v>
      </c>
      <c r="BF6" s="6">
        <f t="shared" si="0"/>
        <v>6.0216984062394587</v>
      </c>
      <c r="BG6" s="6">
        <f t="shared" si="1"/>
        <v>5.9518852361596855</v>
      </c>
      <c r="BH6" s="6">
        <f t="shared" si="2"/>
        <v>-7.0067260935810602E-2</v>
      </c>
      <c r="BI6" s="6">
        <f t="shared" si="3"/>
        <v>7.0067260935810602E-2</v>
      </c>
      <c r="BJ6">
        <v>164.53100886022085</v>
      </c>
      <c r="BK6">
        <v>-44.030850444416956</v>
      </c>
      <c r="BV6" s="38" t="s">
        <v>229</v>
      </c>
      <c r="BW6" s="9">
        <f>U11</f>
        <v>12.2</v>
      </c>
      <c r="BX6" s="9">
        <f>U12</f>
        <v>-4.2</v>
      </c>
      <c r="BY6">
        <f t="shared" ref="BY6:BY7" si="11">SQRT(POWER(BW6,2)+POWER(BX6,2))</f>
        <v>12.902712893031449</v>
      </c>
      <c r="BZ6">
        <f t="shared" ref="BZ6:BZ7" si="12">BW6/BY6</f>
        <v>0.94553758586607206</v>
      </c>
      <c r="CA6">
        <f t="shared" ref="CA6:CA7" si="13">BX6/BY6</f>
        <v>-0.32551293939651665</v>
      </c>
      <c r="CB6">
        <f t="shared" ref="CB6:CB7" si="14">ATAN2(BZ6,CA6)</f>
        <v>-0.33155416187593822</v>
      </c>
      <c r="CD6" s="1" t="s">
        <v>233</v>
      </c>
      <c r="CE6" s="6">
        <f>BW6-0</f>
        <v>12.2</v>
      </c>
      <c r="CF6" s="6">
        <f>BX6-0</f>
        <v>-4.2</v>
      </c>
      <c r="CG6">
        <f t="shared" ref="CG6:CG8" si="15">ATAN2(CE6,CF6)</f>
        <v>-0.33155416187593822</v>
      </c>
      <c r="CH6" s="1" t="s">
        <v>238</v>
      </c>
      <c r="CI6" s="6">
        <f ca="1">BW7</f>
        <v>146.95719247439416</v>
      </c>
      <c r="CJ6" s="6">
        <f ca="1">BX7</f>
        <v>-50.591819980387839</v>
      </c>
      <c r="CK6">
        <f ca="1">ATAN2(CI6,CJ6)</f>
        <v>-0.33155415956627005</v>
      </c>
      <c r="CU6">
        <v>5.9516311453036481</v>
      </c>
      <c r="CV6">
        <v>5.5589320636049244</v>
      </c>
      <c r="CW6">
        <v>5.7552816044542858</v>
      </c>
      <c r="CX6">
        <v>6.4760869589519643E-4</v>
      </c>
      <c r="CY6">
        <v>-1.8878613073219919E-4</v>
      </c>
      <c r="CZ6">
        <v>1.4861070624122566E-4</v>
      </c>
      <c r="DC6">
        <v>2.9559160123294648</v>
      </c>
      <c r="DD6">
        <v>2.9339783544915101</v>
      </c>
      <c r="DE6">
        <v>2.9441994096023958</v>
      </c>
      <c r="DF6">
        <v>7.8099084711573283</v>
      </c>
      <c r="DG6">
        <v>3.0357234305501084</v>
      </c>
      <c r="DH6">
        <v>-2.3158624835595276E-6</v>
      </c>
      <c r="DK6">
        <v>1.5553358433686104</v>
      </c>
      <c r="DL6">
        <v>-0.49596572653274479</v>
      </c>
      <c r="DM6">
        <v>1.5553358434686104</v>
      </c>
      <c r="DN6">
        <v>-0.49596572653593785</v>
      </c>
      <c r="DO6">
        <v>1.5553358432686104</v>
      </c>
      <c r="DP6">
        <v>-0.49596572652955206</v>
      </c>
      <c r="DQ6">
        <v>-3.1928903965194877E-2</v>
      </c>
      <c r="DR6">
        <v>-1.4117339345070419</v>
      </c>
      <c r="DZ6" s="9"/>
      <c r="EA6" t="s">
        <v>208</v>
      </c>
      <c r="EB6" s="9">
        <f ca="1">EB5</f>
        <v>-149.99999999905813</v>
      </c>
      <c r="EC6" s="9">
        <f>EC4+5</f>
        <v>17.2</v>
      </c>
      <c r="ED6" s="9">
        <f>ED4+5</f>
        <v>0.79999999999999982</v>
      </c>
      <c r="EF6">
        <f>ATAN2(EC6,ED6)</f>
        <v>4.6478131351002927E-2</v>
      </c>
      <c r="EG6" s="9">
        <f t="shared" ca="1" si="6"/>
        <v>150.98503236982611</v>
      </c>
      <c r="EH6">
        <f t="shared" ca="1" si="7"/>
        <v>-0.99347596013123196</v>
      </c>
      <c r="EI6">
        <f t="shared" ca="1" si="8"/>
        <v>0.1139185767624299</v>
      </c>
      <c r="EJ6">
        <f t="shared" ca="1" si="9"/>
        <v>5.298538454066506E-3</v>
      </c>
      <c r="EK6">
        <v>0</v>
      </c>
    </row>
    <row r="7" spans="1:141" ht="16" thickBot="1" x14ac:dyDescent="0.25">
      <c r="A7" s="8" t="s">
        <v>91</v>
      </c>
      <c r="B7" s="44">
        <v>0</v>
      </c>
      <c r="C7" t="s">
        <v>4</v>
      </c>
      <c r="E7" s="5">
        <f>E6</f>
        <v>12</v>
      </c>
      <c r="F7">
        <f>B8</f>
        <v>24</v>
      </c>
      <c r="G7">
        <f t="shared" si="5"/>
        <v>48</v>
      </c>
      <c r="T7" s="27" t="s">
        <v>96</v>
      </c>
      <c r="U7" s="28">
        <f ca="1">IF(AND(U5=0,U6=0),0,MOD(ATAN2(U5,U6),2*PI()))</f>
        <v>5.9516311476133161</v>
      </c>
      <c r="V7" s="17" t="s">
        <v>97</v>
      </c>
      <c r="W7" s="32">
        <f ca="1">IF((U13-U7)=0,0,ATAN2(COS(U13-U7),SIN(U13-U7)))</f>
        <v>-2.3096680124012892E-9</v>
      </c>
      <c r="X7" s="38">
        <f ca="1">U7+2*PI()</f>
        <v>12.234816454792902</v>
      </c>
      <c r="AA7">
        <f ca="1">U8</f>
        <v>155.42184102912984</v>
      </c>
      <c r="AB7" s="9">
        <f ca="1">U4</f>
        <v>-149.99999999905813</v>
      </c>
      <c r="AE7" s="6" t="s">
        <v>195</v>
      </c>
      <c r="AF7" s="7">
        <v>10</v>
      </c>
      <c r="BC7">
        <v>8.7266462599716474E-2</v>
      </c>
      <c r="BD7">
        <v>148.02628211173453</v>
      </c>
      <c r="BE7">
        <v>-39.015873003781238</v>
      </c>
      <c r="BF7" s="6">
        <f t="shared" si="0"/>
        <v>6.0254725162902707</v>
      </c>
      <c r="BG7" s="6">
        <f t="shared" si="1"/>
        <v>5.9382060536905543</v>
      </c>
      <c r="BH7" s="6">
        <f t="shared" si="2"/>
        <v>-7.3841370986622579E-2</v>
      </c>
      <c r="BI7" s="6">
        <f t="shared" si="3"/>
        <v>7.3841370986622579E-2</v>
      </c>
      <c r="BJ7">
        <v>164.47364679081613</v>
      </c>
      <c r="BK7">
        <v>-43.350970004201372</v>
      </c>
      <c r="BV7" s="38" t="s">
        <v>230</v>
      </c>
      <c r="BW7" s="9">
        <f ca="1">U5</f>
        <v>146.95719247439416</v>
      </c>
      <c r="BX7" s="9">
        <f ca="1">U6</f>
        <v>-50.591819980387839</v>
      </c>
      <c r="BY7">
        <f t="shared" ca="1" si="11"/>
        <v>155.42184102912984</v>
      </c>
      <c r="BZ7">
        <f t="shared" ca="1" si="12"/>
        <v>0.94553758661789888</v>
      </c>
      <c r="CA7">
        <f t="shared" ca="1" si="13"/>
        <v>-0.32551293721263863</v>
      </c>
      <c r="CB7">
        <f t="shared" ca="1" si="14"/>
        <v>-0.3315541595662701</v>
      </c>
      <c r="CD7" s="1" t="s">
        <v>234</v>
      </c>
      <c r="CE7" s="6">
        <f ca="1">BW6-BW5</f>
        <v>-111.69568105682117</v>
      </c>
      <c r="CF7" s="6">
        <f ca="1">BX6-BX5</f>
        <v>37.098560352273715</v>
      </c>
      <c r="CG7">
        <f t="shared" ca="1" si="15"/>
        <v>2.8209168313757162</v>
      </c>
      <c r="CH7" s="1" t="s">
        <v>237</v>
      </c>
      <c r="CI7" s="6">
        <f ca="1">BW7-BW5</f>
        <v>23.061511417572987</v>
      </c>
      <c r="CJ7" s="6">
        <f ca="1">BX7-BX5</f>
        <v>-9.2932596281141215</v>
      </c>
      <c r="CK7">
        <f t="shared" ref="CK7:CK10" ca="1" si="16">ATAN2(CI7,CJ7)</f>
        <v>-0.38307015411196388</v>
      </c>
      <c r="CU7">
        <v>5.7552816044542858</v>
      </c>
      <c r="CV7">
        <v>5.5589320636049244</v>
      </c>
      <c r="CW7">
        <v>5.6571068340296051</v>
      </c>
      <c r="CX7">
        <v>1.4861070624122566E-4</v>
      </c>
      <c r="CY7">
        <v>-1.8878613073219919E-4</v>
      </c>
      <c r="CZ7">
        <v>-3.069014975093376E-5</v>
      </c>
      <c r="DC7">
        <v>3.0357415172241367</v>
      </c>
      <c r="DD7">
        <v>2.9441994096023958</v>
      </c>
      <c r="DE7">
        <v>2.944197088328377</v>
      </c>
      <c r="DF7">
        <v>7.7917014027324685</v>
      </c>
      <c r="DG7">
        <v>3.035723472715175</v>
      </c>
      <c r="DH7">
        <v>5.4115352199346489E-9</v>
      </c>
      <c r="DK7">
        <v>-1.4117339345070419</v>
      </c>
      <c r="DL7">
        <v>2.1496482341058316</v>
      </c>
      <c r="DM7">
        <v>-1.4117339344070419</v>
      </c>
      <c r="DN7">
        <v>2.1496482341028464</v>
      </c>
      <c r="DO7">
        <v>-1.4117339346070419</v>
      </c>
      <c r="DP7">
        <v>2.1496482341078691</v>
      </c>
      <c r="DQ7">
        <v>-2.5113244817021041E-2</v>
      </c>
      <c r="DR7">
        <v>2.5050443939679532</v>
      </c>
      <c r="DV7" t="s">
        <v>197</v>
      </c>
    </row>
    <row r="8" spans="1:141" ht="16" thickBot="1" x14ac:dyDescent="0.25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5"/>
        <v>144</v>
      </c>
      <c r="T8" s="36" t="s">
        <v>109</v>
      </c>
      <c r="U8" s="6">
        <f ca="1">SQRT(POWER(U5,2)+POWER(U6,2))</f>
        <v>155.42184102912984</v>
      </c>
      <c r="V8" s="40" t="s">
        <v>70</v>
      </c>
      <c r="X8">
        <f ca="1">DEGREES(U7)</f>
        <v>341.00334597684565</v>
      </c>
      <c r="AE8" s="6" t="s">
        <v>8</v>
      </c>
      <c r="AF8" s="6" t="s">
        <v>9</v>
      </c>
      <c r="BC8">
        <v>0.10471975511965977</v>
      </c>
      <c r="BD8">
        <v>147.97346889834745</v>
      </c>
      <c r="BE8">
        <v>-38.480584089019253</v>
      </c>
      <c r="BF8" s="6">
        <f t="shared" si="0"/>
        <v>6.0287698866169572</v>
      </c>
      <c r="BG8" s="6">
        <f t="shared" si="1"/>
        <v>5.9240501314972978</v>
      </c>
      <c r="BH8" s="6">
        <f t="shared" si="2"/>
        <v>-7.7138741313309112E-2</v>
      </c>
      <c r="BI8" s="6">
        <f t="shared" si="3"/>
        <v>7.7138741313309112E-2</v>
      </c>
      <c r="BJ8">
        <v>164.41496544260826</v>
      </c>
      <c r="BK8">
        <v>-42.756204543354727</v>
      </c>
      <c r="BV8" s="38"/>
      <c r="BW8" s="1"/>
      <c r="BX8" s="1"/>
      <c r="BY8" s="1"/>
      <c r="BZ8" s="1"/>
      <c r="CA8" s="1"/>
      <c r="CB8" s="1"/>
      <c r="CC8" s="1"/>
      <c r="CD8" s="1" t="str">
        <f>"GU-G0"</f>
        <v>GU-G0</v>
      </c>
      <c r="CE8" s="6">
        <f ca="1">CE7-CE5</f>
        <v>12.200000000000003</v>
      </c>
      <c r="CF8" s="6">
        <f ca="1">CF7-CF5</f>
        <v>-4.2000000000000028</v>
      </c>
      <c r="CG8">
        <f t="shared" ca="1" si="15"/>
        <v>-0.33155416187593834</v>
      </c>
      <c r="CH8" s="1" t="s">
        <v>240</v>
      </c>
      <c r="CI8" s="6">
        <f ca="1">CI7-CE7</f>
        <v>134.75719247439417</v>
      </c>
      <c r="CJ8" s="6">
        <f ca="1">CJ7-CF7</f>
        <v>-46.391819980387837</v>
      </c>
      <c r="CK8">
        <f t="shared" ca="1" si="16"/>
        <v>-0.33155415935716837</v>
      </c>
      <c r="CL8" s="6">
        <f ca="1">ATAN2(COS($CG$8-CK8),SIN($CG$8-CK8))</f>
        <v>-2.5187699703721478E-9</v>
      </c>
      <c r="CN8" s="1"/>
      <c r="CO8" s="1"/>
      <c r="CP8" s="1"/>
      <c r="CQ8" s="1"/>
      <c r="CU8">
        <v>5.7552816044542858</v>
      </c>
      <c r="CV8">
        <v>5.6571068340296051</v>
      </c>
      <c r="CW8">
        <v>5.7061942192419455</v>
      </c>
      <c r="CX8">
        <v>1.4861070624122566E-4</v>
      </c>
      <c r="CY8">
        <v>-3.069014975093376E-5</v>
      </c>
      <c r="CZ8">
        <v>5.5521468400987484E-5</v>
      </c>
      <c r="DC8">
        <v>3.0357234305501084</v>
      </c>
      <c r="DD8">
        <v>2.944197088328377</v>
      </c>
      <c r="DE8">
        <v>2.9441970937394544</v>
      </c>
      <c r="DF8">
        <v>7.7923606914692671</v>
      </c>
      <c r="DG8">
        <v>3.0357234727187428</v>
      </c>
      <c r="DH8">
        <v>4.5785597535541456E-13</v>
      </c>
      <c r="DK8">
        <v>2.5050443939679532</v>
      </c>
      <c r="DL8">
        <v>-1.0072968391078543</v>
      </c>
      <c r="DM8">
        <v>2.5050443940679532</v>
      </c>
      <c r="DN8">
        <v>-1.0072968395438266</v>
      </c>
      <c r="DO8">
        <v>2.5050443938679532</v>
      </c>
      <c r="DP8">
        <v>-1.0072968386718821</v>
      </c>
      <c r="DQ8">
        <v>-4.3597225829472563</v>
      </c>
      <c r="DR8">
        <v>2.2739983079055452</v>
      </c>
      <c r="DW8" s="9">
        <f ca="1">DW5</f>
        <v>-170.64000000000001</v>
      </c>
      <c r="DX8" s="9">
        <f ca="1">DX5</f>
        <v>127.98</v>
      </c>
      <c r="DY8" s="9">
        <f ca="1">DY5</f>
        <v>-42.660000000000004</v>
      </c>
    </row>
    <row r="9" spans="1:141" x14ac:dyDescent="0.2">
      <c r="A9" s="8" t="s">
        <v>7</v>
      </c>
      <c r="B9" s="7">
        <v>8</v>
      </c>
      <c r="C9" t="s">
        <v>4</v>
      </c>
      <c r="E9" s="5">
        <f>E8</f>
        <v>0</v>
      </c>
      <c r="F9">
        <f>F6</f>
        <v>16</v>
      </c>
      <c r="G9">
        <f t="shared" si="5"/>
        <v>0</v>
      </c>
      <c r="T9" s="34" t="s">
        <v>98</v>
      </c>
      <c r="U9" s="35"/>
      <c r="V9" s="15"/>
      <c r="AA9" s="9">
        <f ca="1">U5-U11</f>
        <v>134.75719247439417</v>
      </c>
      <c r="AB9" s="9">
        <f ca="1">U6-U12</f>
        <v>-46.391819980387837</v>
      </c>
      <c r="AC9" s="9">
        <f ca="1">AA9+AB9</f>
        <v>88.365372494006337</v>
      </c>
      <c r="AE9" s="6">
        <v>0</v>
      </c>
      <c r="AF9" s="6">
        <v>0</v>
      </c>
      <c r="BC9">
        <v>0.12217304763960306</v>
      </c>
      <c r="BD9">
        <v>147.92172514815968</v>
      </c>
      <c r="BE9">
        <v>-38.026992301817643</v>
      </c>
      <c r="BF9" s="6">
        <f t="shared" si="0"/>
        <v>6.0315588910983484</v>
      </c>
      <c r="BG9" s="6">
        <f t="shared" si="1"/>
        <v>5.909385843458745</v>
      </c>
      <c r="BH9" s="6">
        <f t="shared" si="2"/>
        <v>-7.99277457947003E-2</v>
      </c>
      <c r="BI9" s="6">
        <f t="shared" si="3"/>
        <v>7.99277457947003E-2</v>
      </c>
      <c r="BJ9">
        <v>164.35747238684408</v>
      </c>
      <c r="BK9">
        <v>-42.252213668686267</v>
      </c>
      <c r="BV9" s="38"/>
      <c r="BW9" s="6"/>
      <c r="BX9" s="6"/>
      <c r="BY9" s="1"/>
      <c r="CD9" s="6"/>
      <c r="CF9" s="9"/>
      <c r="CH9" s="1" t="s">
        <v>241</v>
      </c>
      <c r="CI9" s="6">
        <f ca="1">BW7-BW6</f>
        <v>134.75719247439417</v>
      </c>
      <c r="CJ9" s="6">
        <f ca="1">BX7-BX6</f>
        <v>-46.391819980387837</v>
      </c>
      <c r="CK9">
        <f t="shared" ca="1" si="16"/>
        <v>-0.33155415935716837</v>
      </c>
      <c r="CL9" s="1"/>
      <c r="CM9" s="9"/>
      <c r="CR9" s="38"/>
      <c r="CU9">
        <v>5.7061942192419455</v>
      </c>
      <c r="CV9">
        <v>5.6571068340296051</v>
      </c>
      <c r="CW9">
        <v>5.6816505266357753</v>
      </c>
      <c r="CX9">
        <v>5.5521468400987484E-5</v>
      </c>
      <c r="CY9">
        <v>-3.069014975093376E-5</v>
      </c>
      <c r="CZ9">
        <v>1.1669165834782282E-5</v>
      </c>
      <c r="DK9">
        <v>2.2739983079055452</v>
      </c>
      <c r="DL9">
        <v>-0.58692581847228498</v>
      </c>
      <c r="DM9">
        <v>2.2739983080055453</v>
      </c>
      <c r="DN9">
        <v>-0.58692581852533898</v>
      </c>
      <c r="DO9">
        <v>2.2739983078055452</v>
      </c>
      <c r="DP9">
        <v>-0.58692581842034408</v>
      </c>
      <c r="DQ9">
        <v>-0.5249745083091284</v>
      </c>
      <c r="DR9">
        <v>1.1559900823962852</v>
      </c>
      <c r="DW9" s="9" t="s">
        <v>201</v>
      </c>
      <c r="DX9" s="9" t="s">
        <v>8</v>
      </c>
      <c r="DY9" s="9" t="s">
        <v>9</v>
      </c>
      <c r="DZ9" s="9" t="s">
        <v>203</v>
      </c>
    </row>
    <row r="10" spans="1:141" x14ac:dyDescent="0.2">
      <c r="E10">
        <v>0</v>
      </c>
      <c r="F10">
        <f>F9</f>
        <v>16</v>
      </c>
      <c r="G10">
        <f t="shared" si="5"/>
        <v>0</v>
      </c>
      <c r="T10" s="36" t="s">
        <v>99</v>
      </c>
      <c r="U10" s="47">
        <v>-150</v>
      </c>
      <c r="V10" s="16" t="s">
        <v>68</v>
      </c>
      <c r="W10" t="str">
        <f>"+ Compression"</f>
        <v>+ Compression</v>
      </c>
      <c r="AE10" s="6">
        <f>AE9+(AF7*(U11-AE9))</f>
        <v>122</v>
      </c>
      <c r="AF10" s="6">
        <f>AF9+(AF7*(U12-AF9))</f>
        <v>-42</v>
      </c>
      <c r="BC10">
        <v>0.13962634015954636</v>
      </c>
      <c r="BD10">
        <v>147.87293948045334</v>
      </c>
      <c r="BE10">
        <v>-37.655611799867721</v>
      </c>
      <c r="BF10" s="6">
        <f t="shared" si="0"/>
        <v>6.0338364593432576</v>
      </c>
      <c r="BG10" s="6">
        <f t="shared" si="1"/>
        <v>5.8942101191837111</v>
      </c>
      <c r="BH10" s="6">
        <f t="shared" si="2"/>
        <v>-8.2205314039609512E-2</v>
      </c>
      <c r="BI10" s="6">
        <f t="shared" si="3"/>
        <v>8.2205314039609512E-2</v>
      </c>
      <c r="BJ10">
        <v>164.30326608939259</v>
      </c>
      <c r="BK10">
        <v>-41.839568666519689</v>
      </c>
      <c r="BU10" s="9"/>
      <c r="BV10" s="38"/>
      <c r="BW10" s="9"/>
      <c r="BX10" s="6"/>
      <c r="BY10" s="1"/>
      <c r="CD10" s="1"/>
      <c r="CE10" s="1"/>
      <c r="CH10" s="39" t="s">
        <v>242</v>
      </c>
      <c r="CI10" s="6">
        <f ca="1">CI7-CE5</f>
        <v>146.95719247439416</v>
      </c>
      <c r="CJ10" s="6">
        <f ca="1">CJ7-CF5</f>
        <v>-50.591819980387839</v>
      </c>
      <c r="CK10">
        <f t="shared" ca="1" si="16"/>
        <v>-0.33155415956627005</v>
      </c>
      <c r="CL10" s="1"/>
      <c r="CU10">
        <v>5.6816505266357753</v>
      </c>
      <c r="CV10">
        <v>5.6571068340296051</v>
      </c>
      <c r="CW10">
        <v>5.6693786803326898</v>
      </c>
      <c r="CX10">
        <v>1.1669165834782282E-5</v>
      </c>
      <c r="CY10">
        <v>-3.069014975093376E-5</v>
      </c>
      <c r="CZ10">
        <v>-9.684480890059799E-6</v>
      </c>
      <c r="DK10">
        <v>1.1559900823962852</v>
      </c>
      <c r="DL10">
        <v>-0.48103603988662424</v>
      </c>
      <c r="DM10">
        <v>1.1559900824962852</v>
      </c>
      <c r="DN10">
        <v>-0.48103603989104887</v>
      </c>
      <c r="DO10">
        <v>1.1559900822962852</v>
      </c>
      <c r="DP10">
        <v>-0.48103603988219912</v>
      </c>
      <c r="DQ10">
        <v>-4.4248771313704083E-2</v>
      </c>
      <c r="DR10">
        <v>2.8511878798586232</v>
      </c>
      <c r="DV10" t="s">
        <v>193</v>
      </c>
      <c r="DW10" s="9">
        <f ca="1">DW4-$DW$8</f>
        <v>1080.7505000000001</v>
      </c>
      <c r="DX10" s="9">
        <f ca="1">DX4-$DX$8</f>
        <v>-213.86287500000003</v>
      </c>
      <c r="DY10" s="9">
        <f ca="1">DY4-$DY$8</f>
        <v>71.287625000000006</v>
      </c>
      <c r="DZ10" s="9">
        <v>0</v>
      </c>
      <c r="EB10" s="9">
        <f ca="1">EB4-$DW$8</f>
        <v>20.640000000000015</v>
      </c>
      <c r="EC10" s="9">
        <f ca="1">EC4-$DX$8</f>
        <v>-115.78</v>
      </c>
      <c r="ED10" s="9">
        <f ca="1">ED4-$DY$8</f>
        <v>38.46</v>
      </c>
      <c r="EE10" s="9">
        <v>0</v>
      </c>
      <c r="EF10">
        <f ca="1">ATAN2(EC10,ED10)</f>
        <v>2.8208789054572021</v>
      </c>
      <c r="EG10" s="9">
        <f ca="1">SQRT(POWER(EB10,2)+POWER(EC10,2)+POWER(ED10,2))</f>
        <v>123.73435092972365</v>
      </c>
      <c r="EH10">
        <f ca="1">EB10/EG10</f>
        <v>0.16680897297245081</v>
      </c>
      <c r="EI10">
        <f ca="1">EC10/EG10</f>
        <v>-0.93571428734255524</v>
      </c>
      <c r="EJ10">
        <f ca="1">ED10/EG10</f>
        <v>0.31082718510273516</v>
      </c>
      <c r="EK10">
        <v>0</v>
      </c>
    </row>
    <row r="11" spans="1:141" x14ac:dyDescent="0.2">
      <c r="A11" t="s">
        <v>10</v>
      </c>
      <c r="E11">
        <v>0</v>
      </c>
      <c r="F11">
        <v>0</v>
      </c>
      <c r="G11">
        <f t="shared" si="5"/>
        <v>0</v>
      </c>
      <c r="T11" s="36" t="s">
        <v>100</v>
      </c>
      <c r="U11" s="47">
        <v>12.2</v>
      </c>
      <c r="V11" s="16" t="s">
        <v>70</v>
      </c>
      <c r="W11" t="str">
        <f>"+ Puts Top of Section in Compression"</f>
        <v>+ Puts Top of Section in Compression</v>
      </c>
      <c r="BC11">
        <v>0.15707963267948966</v>
      </c>
      <c r="BD11">
        <v>147.82693135709405</v>
      </c>
      <c r="BE11">
        <v>-37.347238340655849</v>
      </c>
      <c r="BF11" s="6">
        <f t="shared" si="0"/>
        <v>6.0357219443668066</v>
      </c>
      <c r="BG11" s="6">
        <f t="shared" si="1"/>
        <v>5.878642311687317</v>
      </c>
      <c r="BH11" s="6">
        <f t="shared" si="2"/>
        <v>-8.4090799063158528E-2</v>
      </c>
      <c r="BI11" s="6">
        <f t="shared" si="3"/>
        <v>8.4090799063158528E-2</v>
      </c>
      <c r="BJ11">
        <v>164.25214595232671</v>
      </c>
      <c r="BK11">
        <v>-41.496931489617609</v>
      </c>
      <c r="BV11" s="38"/>
      <c r="BW11" s="6"/>
      <c r="BX11" s="1"/>
      <c r="BY11" s="1"/>
      <c r="CC11" s="1"/>
      <c r="CD11" s="1"/>
      <c r="CE11" s="1"/>
      <c r="CF11" s="9"/>
      <c r="CH11" s="39"/>
      <c r="CI11" s="1"/>
      <c r="CK11" s="39">
        <f ca="1">ATAN2(COS(CK9-CK10),SIN(CK9-CK10))</f>
        <v>2.0910168041510246E-10</v>
      </c>
      <c r="CL11" s="1"/>
      <c r="CM11" s="38"/>
      <c r="CU11">
        <v>5.6816505266357753</v>
      </c>
      <c r="CV11">
        <v>5.6693786803326898</v>
      </c>
      <c r="CW11">
        <v>5.675514603484233</v>
      </c>
      <c r="CX11">
        <v>1.1669165834782282E-5</v>
      </c>
      <c r="CY11">
        <v>-9.684480890059799E-6</v>
      </c>
      <c r="CZ11">
        <v>9.4732492977867022E-7</v>
      </c>
      <c r="DK11">
        <v>2.8511878798586232</v>
      </c>
      <c r="DL11">
        <v>-2.2102237236341233</v>
      </c>
      <c r="DM11">
        <v>2.8511878799586232</v>
      </c>
      <c r="DN11">
        <v>-2.210223723671545</v>
      </c>
      <c r="DO11">
        <v>2.8511878797586232</v>
      </c>
      <c r="DP11">
        <v>-2.2102237235967008</v>
      </c>
      <c r="DQ11">
        <v>-0.37422065446435226</v>
      </c>
      <c r="DR11">
        <v>-3.0550166475151221</v>
      </c>
      <c r="DV11" t="s">
        <v>194</v>
      </c>
      <c r="DW11" s="9">
        <f ca="1">DW5-$DW$8</f>
        <v>0</v>
      </c>
      <c r="DX11" s="9">
        <f ca="1">DX5-$DX$8</f>
        <v>0</v>
      </c>
      <c r="DY11" s="9">
        <f ca="1">DY5-$DY$8</f>
        <v>0</v>
      </c>
      <c r="DZ11" s="9">
        <v>0</v>
      </c>
      <c r="EB11" s="9">
        <f ca="1">EB5-$DW$8</f>
        <v>20.640000000941882</v>
      </c>
      <c r="EC11" s="9">
        <f ca="1">EC5-$DX$8</f>
        <v>18.977192474394158</v>
      </c>
      <c r="ED11" s="9">
        <f ca="1">ED5-$DY$8</f>
        <v>-7.9318199803878358</v>
      </c>
      <c r="EE11" s="9">
        <v>0</v>
      </c>
      <c r="EF11">
        <f ca="1">ATAN2(EC11,ED11)</f>
        <v>-0.39589767698113121</v>
      </c>
      <c r="EG11" s="9">
        <f t="shared" ref="EG11:EG12" ca="1" si="17">SQRT(POWER(EB11,2)+POWER(EC11,2)+POWER(ED11,2))</f>
        <v>29.13858614364058</v>
      </c>
      <c r="EH11">
        <f t="shared" ref="EH11:EH12" ca="1" si="18">EB11/EG11</f>
        <v>0.7083391040044168</v>
      </c>
      <c r="EI11">
        <f t="shared" ref="EI11:EI12" ca="1" si="19">EC11/EG11</f>
        <v>0.65127361982646781</v>
      </c>
      <c r="EJ11">
        <f t="shared" ref="EJ11:EJ12" ca="1" si="20">ED11/EG11</f>
        <v>-0.27221018690774518</v>
      </c>
      <c r="EK11">
        <v>0</v>
      </c>
    </row>
    <row r="12" spans="1:141" x14ac:dyDescent="0.2">
      <c r="A12" s="8" t="s">
        <v>11</v>
      </c>
      <c r="B12" s="2">
        <v>60</v>
      </c>
      <c r="C12" t="s">
        <v>1</v>
      </c>
      <c r="G12">
        <f>SUM(G4:G11)</f>
        <v>288</v>
      </c>
      <c r="T12" s="36" t="s">
        <v>101</v>
      </c>
      <c r="U12" s="47">
        <v>-4.2</v>
      </c>
      <c r="V12" s="16" t="s">
        <v>70</v>
      </c>
      <c r="W12" t="str">
        <f>"+ Puts Left of Section in Compression"</f>
        <v>+ Puts Left of Section in Compression</v>
      </c>
      <c r="BC12">
        <v>0.17453292519943295</v>
      </c>
      <c r="BD12">
        <v>147.78321496064657</v>
      </c>
      <c r="BE12">
        <v>-37.085643777064867</v>
      </c>
      <c r="BF12" s="6">
        <f t="shared" si="0"/>
        <v>6.0373162532148683</v>
      </c>
      <c r="BG12" s="6">
        <f t="shared" si="1"/>
        <v>5.8627833280154356</v>
      </c>
      <c r="BH12" s="6">
        <f t="shared" si="2"/>
        <v>-8.5685107911220193E-2</v>
      </c>
      <c r="BI12" s="6">
        <f t="shared" si="3"/>
        <v>8.5685107911220193E-2</v>
      </c>
      <c r="BJ12">
        <v>164.20357217849619</v>
      </c>
      <c r="BK12">
        <v>-41.206270863405408</v>
      </c>
      <c r="BV12" s="38"/>
      <c r="CE12" s="9"/>
      <c r="CF12" s="9"/>
      <c r="CG12" s="1"/>
      <c r="CH12" s="38"/>
      <c r="CK12" s="39"/>
      <c r="CN12" s="1"/>
      <c r="CO12" s="1"/>
      <c r="CP12" s="1"/>
      <c r="CQ12" s="1"/>
      <c r="CU12">
        <v>5.675514603484233</v>
      </c>
      <c r="CV12">
        <v>5.6693786803326898</v>
      </c>
      <c r="CW12">
        <v>5.6724466419084614</v>
      </c>
      <c r="CX12">
        <v>9.4732492977867022E-7</v>
      </c>
      <c r="CY12">
        <v>-9.684480890059799E-6</v>
      </c>
      <c r="CZ12">
        <v>-4.3796388262129504E-6</v>
      </c>
      <c r="DK12">
        <v>-3.0550166475151221</v>
      </c>
      <c r="DL12">
        <v>-2.4089291284708096</v>
      </c>
      <c r="DM12">
        <v>-3.0550166474151221</v>
      </c>
      <c r="DN12">
        <v>-2.408929128527288</v>
      </c>
      <c r="DO12">
        <v>-3.0550166476151221</v>
      </c>
      <c r="DP12">
        <v>-2.4089291284143322</v>
      </c>
      <c r="DQ12">
        <v>-0.56477933441101413</v>
      </c>
      <c r="DR12">
        <v>-1.037088550893684</v>
      </c>
      <c r="EB12" s="9">
        <f ca="1">EB6-$DW$8</f>
        <v>20.640000000941882</v>
      </c>
      <c r="EC12" s="9">
        <f ca="1">EC6-$DX$8</f>
        <v>-110.78</v>
      </c>
      <c r="ED12" s="9">
        <f ca="1">ED6-$DY$8</f>
        <v>43.46</v>
      </c>
      <c r="EE12" s="9">
        <v>0</v>
      </c>
      <c r="EF12">
        <f ca="1">ATAN2(EC12,ED12)</f>
        <v>2.767733911146335</v>
      </c>
      <c r="EG12" s="9">
        <f t="shared" ca="1" si="17"/>
        <v>120.77661031855001</v>
      </c>
      <c r="EH12">
        <f t="shared" ca="1" si="18"/>
        <v>0.17089401620482303</v>
      </c>
      <c r="EI12">
        <f t="shared" ca="1" si="19"/>
        <v>-0.91723057724352575</v>
      </c>
      <c r="EJ12">
        <f t="shared" ca="1" si="20"/>
        <v>0.35983788487997498</v>
      </c>
      <c r="EK12">
        <v>0</v>
      </c>
    </row>
    <row r="13" spans="1:141" ht="16" thickBot="1" x14ac:dyDescent="0.25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5.9516311453036481</v>
      </c>
      <c r="V13" s="17" t="s">
        <v>97</v>
      </c>
      <c r="X13" s="38"/>
      <c r="Y13" s="9"/>
      <c r="Z13" s="1">
        <f ca="1">Z15*0.8</f>
        <v>728.08840000000009</v>
      </c>
      <c r="AA13" s="48"/>
      <c r="BC13">
        <v>0.19198621771937624</v>
      </c>
      <c r="BD13">
        <v>147.74142132980438</v>
      </c>
      <c r="BE13">
        <v>-36.859895425395266</v>
      </c>
      <c r="BF13" s="6">
        <f t="shared" si="0"/>
        <v>6.0386874138942597</v>
      </c>
      <c r="BG13" s="6">
        <f t="shared" si="1"/>
        <v>5.8467011961748838</v>
      </c>
      <c r="BH13" s="6">
        <f t="shared" si="2"/>
        <v>-8.7056268590611552E-2</v>
      </c>
      <c r="BI13" s="6">
        <f t="shared" si="3"/>
        <v>8.7056268590611552E-2</v>
      </c>
      <c r="BJ13">
        <v>164.15713481089375</v>
      </c>
      <c r="BK13">
        <v>-40.955439361550297</v>
      </c>
      <c r="BV13" s="38"/>
      <c r="BW13" t="s">
        <v>147</v>
      </c>
      <c r="CF13" s="1"/>
      <c r="CG13" s="39"/>
      <c r="CH13" s="1"/>
      <c r="CI13" s="9"/>
      <c r="CJ13" s="9"/>
      <c r="CU13">
        <v>5.675514603484233</v>
      </c>
      <c r="CV13">
        <v>5.6724466419084614</v>
      </c>
      <c r="CW13">
        <v>5.6739806226963472</v>
      </c>
      <c r="CX13">
        <v>9.4732492977867022E-7</v>
      </c>
      <c r="CY13">
        <v>-4.3796388262129504E-6</v>
      </c>
      <c r="CZ13">
        <v>-1.7189461278821483E-6</v>
      </c>
      <c r="DK13">
        <v>-1.037088550893684</v>
      </c>
      <c r="DL13">
        <v>2.1387868021809089</v>
      </c>
      <c r="DM13">
        <v>-1.037088550793684</v>
      </c>
      <c r="DN13">
        <v>2.1387868021774414</v>
      </c>
      <c r="DO13">
        <v>-1.037088550993684</v>
      </c>
      <c r="DP13">
        <v>2.1387868021843817</v>
      </c>
      <c r="DQ13">
        <v>-3.4701130857683893E-2</v>
      </c>
      <c r="DR13">
        <v>-2.2344429963337995</v>
      </c>
      <c r="DV13" t="s">
        <v>209</v>
      </c>
    </row>
    <row r="14" spans="1:141" ht="16" thickBot="1" x14ac:dyDescent="0.25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1" t="s">
        <v>109</v>
      </c>
      <c r="U14" s="42">
        <f>SQRT(POWER(U11,2)+POWER(U12,2))</f>
        <v>12.902712893031449</v>
      </c>
      <c r="V14" s="43" t="s">
        <v>70</v>
      </c>
      <c r="Y14" s="54"/>
      <c r="Z14" s="55" t="s">
        <v>99</v>
      </c>
      <c r="AA14" s="56" t="s">
        <v>100</v>
      </c>
      <c r="AB14" s="57" t="s">
        <v>101</v>
      </c>
      <c r="AC14" s="60" t="s">
        <v>211</v>
      </c>
      <c r="AD14" s="55" t="s">
        <v>212</v>
      </c>
      <c r="AE14" s="57" t="s">
        <v>213</v>
      </c>
      <c r="BC14">
        <v>0.20943951023931953</v>
      </c>
      <c r="BD14">
        <v>147.70126178949906</v>
      </c>
      <c r="BE14">
        <v>-36.662323448849882</v>
      </c>
      <c r="BF14" s="6">
        <f t="shared" si="0"/>
        <v>6.0398831726783877</v>
      </c>
      <c r="BG14" s="6">
        <f t="shared" si="1"/>
        <v>5.8304436624390679</v>
      </c>
      <c r="BH14" s="6">
        <f t="shared" si="2"/>
        <v>-8.8252027374739583E-2</v>
      </c>
      <c r="BI14" s="6">
        <f t="shared" si="3"/>
        <v>8.8252027374739583E-2</v>
      </c>
      <c r="BJ14">
        <v>164.11251309944339</v>
      </c>
      <c r="BK14">
        <v>-40.735914943166534</v>
      </c>
      <c r="BV14" s="38"/>
      <c r="BW14" t="s">
        <v>111</v>
      </c>
      <c r="BX14" s="1" t="s">
        <v>100</v>
      </c>
      <c r="BY14" s="1" t="s">
        <v>101</v>
      </c>
      <c r="BZ14" s="1"/>
      <c r="CA14" s="1"/>
      <c r="CB14" s="1" t="s">
        <v>150</v>
      </c>
      <c r="CC14" s="1" t="s">
        <v>151</v>
      </c>
      <c r="CE14" s="1"/>
      <c r="CF14" s="1" t="s">
        <v>150</v>
      </c>
      <c r="CG14" s="39"/>
      <c r="CH14" s="1"/>
      <c r="CI14" s="1"/>
      <c r="CJ14" s="1"/>
      <c r="CL14" s="1"/>
      <c r="CM14" s="1"/>
      <c r="CN14" s="1"/>
      <c r="CO14" s="1"/>
      <c r="CP14" s="1"/>
      <c r="CU14">
        <v>5.675514603484233</v>
      </c>
      <c r="CV14">
        <v>5.6739806226963472</v>
      </c>
      <c r="CW14">
        <v>5.6747476130902896</v>
      </c>
      <c r="CX14">
        <v>9.4732492977867022E-7</v>
      </c>
      <c r="CY14">
        <v>-1.7189461278821483E-6</v>
      </c>
      <c r="CZ14">
        <v>-3.8651091432972962E-7</v>
      </c>
      <c r="DK14">
        <v>-2.2344429963337995</v>
      </c>
      <c r="DL14">
        <v>2.1686811572417675</v>
      </c>
      <c r="DM14">
        <v>-2.2344429962337995</v>
      </c>
      <c r="DN14">
        <v>2.1686811572389502</v>
      </c>
      <c r="DO14">
        <v>-2.2344429964337995</v>
      </c>
      <c r="DP14">
        <v>2.168681157244591</v>
      </c>
      <c r="DQ14">
        <v>-2.8204105717577477E-2</v>
      </c>
      <c r="DR14">
        <v>-0.7402745266122851</v>
      </c>
      <c r="DV14" t="s">
        <v>198</v>
      </c>
      <c r="DW14">
        <f ca="1">ATAN2(-1*DX10,-1*DY10)</f>
        <v>-0.32175055439664219</v>
      </c>
      <c r="DX14" t="s">
        <v>97</v>
      </c>
    </row>
    <row r="15" spans="1:141" x14ac:dyDescent="0.2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21">IF($B15=0,NA(),D15)</f>
        <v>2</v>
      </c>
      <c r="L15" s="1">
        <f t="shared" ref="L15:L24" si="22">IF($B15=0,NA(),E15)</f>
        <v>2</v>
      </c>
      <c r="T15" s="37" t="s">
        <v>103</v>
      </c>
      <c r="U15" s="6">
        <f>SQRT(POWER(U12,2)+POWER(U11,2)+POWER(U10,2))</f>
        <v>150.55391061012</v>
      </c>
      <c r="Y15" s="58" t="s">
        <v>193</v>
      </c>
      <c r="Z15" s="62">
        <f ca="1">B115</f>
        <v>910.1105</v>
      </c>
      <c r="AA15" s="62">
        <f ca="1">C116</f>
        <v>-85.882875000000013</v>
      </c>
      <c r="AB15" s="63">
        <f ca="1">C117</f>
        <v>28.627624999999998</v>
      </c>
      <c r="AC15" s="64">
        <f ca="1">Z15/0.65</f>
        <v>1400.1699999999998</v>
      </c>
      <c r="AD15" s="62">
        <f t="shared" ref="AD15:AE15" ca="1" si="23">AA15/0.65</f>
        <v>-132.12750000000003</v>
      </c>
      <c r="AE15" s="63">
        <f t="shared" ca="1" si="23"/>
        <v>44.042499999999997</v>
      </c>
      <c r="BC15">
        <v>0.22689280275926282</v>
      </c>
      <c r="BD15">
        <v>147.66250487475412</v>
      </c>
      <c r="BE15">
        <v>-36.48736703138384</v>
      </c>
      <c r="BF15" s="6">
        <f t="shared" si="0"/>
        <v>6.0409381547640919</v>
      </c>
      <c r="BG15" s="6">
        <f t="shared" si="1"/>
        <v>5.814045352004829</v>
      </c>
      <c r="BH15" s="6">
        <f t="shared" si="2"/>
        <v>-8.9307009460443801E-2</v>
      </c>
      <c r="BI15" s="6">
        <f t="shared" si="3"/>
        <v>8.9307009460443801E-2</v>
      </c>
      <c r="BJ15">
        <v>164.06944986083792</v>
      </c>
      <c r="BK15">
        <v>-40.541518923759824</v>
      </c>
      <c r="BV15" s="38"/>
      <c r="BW15" s="6">
        <f t="shared" ref="BW15" si="24">BC2</f>
        <v>0</v>
      </c>
      <c r="BX15" s="9">
        <f ca="1">BD2-$BW$5</f>
        <v>24.319993406428878</v>
      </c>
      <c r="BY15" s="9">
        <f ca="1">BE2-$BX$5</f>
        <v>-1.3614396477261579</v>
      </c>
      <c r="BZ15" s="9">
        <f ca="1">BX15-$CE$5</f>
        <v>148.21567446325005</v>
      </c>
      <c r="CA15" s="6">
        <f ca="1">BY15-$CF$5</f>
        <v>-42.659999999999876</v>
      </c>
      <c r="CB15" s="6">
        <f ca="1">ATAN2(BZ15,CA15)</f>
        <v>-0.2802488844844333</v>
      </c>
      <c r="CC15" s="6">
        <f ca="1">ATAN2(COS(CF15-CB15),SIN(CF15-CB15))</f>
        <v>4.6812572893150106E-3</v>
      </c>
      <c r="CD15" s="9">
        <f>BD2-$BW$6</f>
        <v>136.01567446325006</v>
      </c>
      <c r="CE15" s="9">
        <f>BE2-$BX$6</f>
        <v>-38.459999999999873</v>
      </c>
      <c r="CF15" s="6">
        <f>ATAN2(CD15,CE15)</f>
        <v>-0.27556762719511829</v>
      </c>
      <c r="CG15" s="6"/>
      <c r="CH15" s="6"/>
      <c r="CI15" s="6"/>
      <c r="CJ15" s="1"/>
      <c r="CK15" s="6"/>
      <c r="CL15" s="9"/>
      <c r="CM15" s="9"/>
      <c r="CN15" s="1"/>
      <c r="CO15" s="1"/>
      <c r="CP15" s="1"/>
      <c r="CQ15" s="1"/>
      <c r="CU15">
        <v>5.675514603484233</v>
      </c>
      <c r="CV15">
        <v>5.6747476130902896</v>
      </c>
      <c r="CW15">
        <v>5.6751311082872613</v>
      </c>
      <c r="CX15">
        <v>9.4732492977867022E-7</v>
      </c>
      <c r="CY15">
        <v>-3.8651091432972962E-7</v>
      </c>
      <c r="CZ15">
        <v>2.8023155940193334E-7</v>
      </c>
      <c r="DK15">
        <v>-0.7402745266122851</v>
      </c>
      <c r="DL15">
        <v>2.1256078685304454</v>
      </c>
      <c r="DM15">
        <v>-0.74027452651228509</v>
      </c>
      <c r="DN15">
        <v>2.1256078685246571</v>
      </c>
      <c r="DO15">
        <v>-0.74027452671228511</v>
      </c>
      <c r="DP15">
        <v>2.1256078685362354</v>
      </c>
      <c r="DQ15">
        <v>-5.7891469396054163E-2</v>
      </c>
      <c r="DR15">
        <v>-1.7222691379871775</v>
      </c>
      <c r="DV15" t="s">
        <v>199</v>
      </c>
      <c r="DW15">
        <v>1</v>
      </c>
      <c r="DX15">
        <v>0</v>
      </c>
      <c r="DY15">
        <v>0</v>
      </c>
    </row>
    <row r="16" spans="1:141" ht="16" thickBot="1" x14ac:dyDescent="0.25">
      <c r="A16">
        <v>2</v>
      </c>
      <c r="B16" s="19">
        <v>8</v>
      </c>
      <c r="C16" s="6">
        <f t="shared" ref="C16:C24" ca="1" si="25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21"/>
        <v>2</v>
      </c>
      <c r="L16" s="1">
        <f t="shared" si="22"/>
        <v>4</v>
      </c>
      <c r="T16" s="37" t="s">
        <v>104</v>
      </c>
      <c r="U16" s="39">
        <f>U10/U15</f>
        <v>-0.99632084873866589</v>
      </c>
      <c r="V16" s="39">
        <f>U11/U15</f>
        <v>8.103409569741149E-2</v>
      </c>
      <c r="W16" s="39">
        <f>U12/U15</f>
        <v>-2.7896983764682647E-2</v>
      </c>
      <c r="X16" s="38"/>
      <c r="Y16" s="59" t="s">
        <v>194</v>
      </c>
      <c r="Z16" s="65">
        <f ca="1">J115</f>
        <v>-170.64000000000001</v>
      </c>
      <c r="AA16" s="65">
        <f ca="1">K116</f>
        <v>127.98</v>
      </c>
      <c r="AB16" s="66">
        <f ca="1">K117</f>
        <v>-42.660000000000004</v>
      </c>
      <c r="AC16" s="67">
        <f ca="1">Z16/0.9</f>
        <v>-189.60000000000002</v>
      </c>
      <c r="AD16" s="65">
        <f t="shared" ref="AD16:AE16" ca="1" si="26">AA16/0.9</f>
        <v>142.19999999999999</v>
      </c>
      <c r="AE16" s="66">
        <f t="shared" ca="1" si="26"/>
        <v>-47.400000000000006</v>
      </c>
      <c r="BC16">
        <v>0.24434609527920612</v>
      </c>
      <c r="BD16">
        <v>147.62496112116111</v>
      </c>
      <c r="BE16">
        <v>-36.330882964392643</v>
      </c>
      <c r="BF16" s="6">
        <f t="shared" si="0"/>
        <v>6.0418781598570552</v>
      </c>
      <c r="BG16" s="6">
        <f t="shared" si="1"/>
        <v>5.7975320645778492</v>
      </c>
      <c r="BH16" s="6">
        <f t="shared" si="2"/>
        <v>-9.0247014553407112E-2</v>
      </c>
      <c r="BI16" s="6">
        <f t="shared" si="3"/>
        <v>9.0247014553407112E-2</v>
      </c>
      <c r="BJ16">
        <v>164.0277345790679</v>
      </c>
      <c r="BK16">
        <v>-40.367647738214046</v>
      </c>
      <c r="BV16" s="38"/>
      <c r="BW16" s="6">
        <f t="shared" ref="BW16:BW79" si="27">BC3</f>
        <v>1.7453292519943295E-2</v>
      </c>
      <c r="BX16" s="9">
        <f t="shared" ref="BX16:BX79" ca="1" si="28">BD3-$BW$5</f>
        <v>24.303844701715761</v>
      </c>
      <c r="BY16" s="9">
        <f t="shared" ref="BY16:BY79" ca="1" si="29">BE3-$BX$5</f>
        <v>-0.56025216752080809</v>
      </c>
      <c r="BZ16" s="9">
        <f t="shared" ref="BZ16:BZ79" ca="1" si="30">BX16-$CE$5</f>
        <v>148.19952575853694</v>
      </c>
      <c r="CA16" s="6">
        <f t="shared" ref="CA16:CA79" ca="1" si="31">BY16-$CF$5</f>
        <v>-41.858812519794526</v>
      </c>
      <c r="CB16" s="6">
        <f t="shared" ref="CB16:CB79" ca="1" si="32">ATAN2(BZ16,CA16)</f>
        <v>-0.27527824222839115</v>
      </c>
      <c r="CC16" s="6">
        <f t="shared" ref="CC16:CC79" ca="1" si="33">ATAN2(COS(CF16-CB16),SIN(CF16-CB16))</f>
        <v>5.1427618822187937E-3</v>
      </c>
      <c r="CD16" s="9">
        <f t="shared" ref="CD16:CD79" si="34">BD3-$BW$6</f>
        <v>135.99952575853695</v>
      </c>
      <c r="CE16" s="9">
        <f t="shared" ref="CE16:CE79" si="35">BE3-$BX$6</f>
        <v>-37.658812519794523</v>
      </c>
      <c r="CF16" s="6">
        <f t="shared" ref="CF16:CF79" si="36">ATAN2(CD16,CE16)</f>
        <v>-0.27013548034617235</v>
      </c>
      <c r="CG16" s="6"/>
      <c r="CH16" s="6"/>
      <c r="CI16" s="6"/>
      <c r="CJ16" s="1"/>
      <c r="CK16" s="6"/>
      <c r="CU16">
        <v>5.6751311082872613</v>
      </c>
      <c r="CV16">
        <v>5.6747476130902896</v>
      </c>
      <c r="CW16">
        <v>5.674939360688775</v>
      </c>
      <c r="CX16">
        <v>2.8023155940193334E-7</v>
      </c>
      <c r="CY16">
        <v>-3.8651091432972962E-7</v>
      </c>
      <c r="CZ16">
        <v>-5.3183485948515852E-8</v>
      </c>
      <c r="DK16">
        <v>-1.7222691379871775</v>
      </c>
      <c r="DL16">
        <v>2.1566417634407493</v>
      </c>
      <c r="DM16">
        <v>-1.7222691378871775</v>
      </c>
      <c r="DN16">
        <v>2.1566417634402884</v>
      </c>
      <c r="DO16">
        <v>-1.7222691380871775</v>
      </c>
      <c r="DP16">
        <v>2.1566417634438917</v>
      </c>
      <c r="DQ16">
        <v>-1.801669924361704E-2</v>
      </c>
      <c r="DR16">
        <v>-1.4004108493881351</v>
      </c>
      <c r="DV16" t="s">
        <v>200</v>
      </c>
      <c r="DW16">
        <f ca="1">(DW15*DW15*(1-COS(DW14)))+COS(DW14)</f>
        <v>1</v>
      </c>
      <c r="DX16">
        <f ca="1">(DX15*DW15*(1-COS(DW14)))-(DY15*SIN(DW14))</f>
        <v>0</v>
      </c>
      <c r="DY16">
        <f ca="1">(DY15*DW15*(1-COS(DW14)))+(DX15*SIN(DW14))</f>
        <v>0</v>
      </c>
      <c r="DZ16">
        <v>0</v>
      </c>
    </row>
    <row r="17" spans="1:136" x14ac:dyDescent="0.2">
      <c r="A17">
        <v>3</v>
      </c>
      <c r="B17" s="19">
        <v>8</v>
      </c>
      <c r="C17" s="6">
        <f t="shared" ca="1" si="25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21"/>
        <v>4</v>
      </c>
      <c r="L17" s="1">
        <f t="shared" si="22"/>
        <v>2</v>
      </c>
      <c r="Y17" s="60" t="s">
        <v>204</v>
      </c>
      <c r="Z17" s="68">
        <f>U10</f>
        <v>-150</v>
      </c>
      <c r="AA17" s="68">
        <f>U11</f>
        <v>12.2</v>
      </c>
      <c r="AB17" s="69">
        <f>U12</f>
        <v>-4.2</v>
      </c>
      <c r="AC17" s="70">
        <f ca="1">Z17/$U$3</f>
        <v>-166.66666666666666</v>
      </c>
      <c r="AD17" s="68">
        <f t="shared" ref="AD17:AE17" ca="1" si="37">AA17/$U$3</f>
        <v>13.555555555555554</v>
      </c>
      <c r="AE17" s="69">
        <f t="shared" ca="1" si="37"/>
        <v>-4.666666666666667</v>
      </c>
      <c r="BC17">
        <v>0.26179938779914941</v>
      </c>
      <c r="BD17">
        <v>147.58847264987051</v>
      </c>
      <c r="BE17">
        <v>-36.189712479292353</v>
      </c>
      <c r="BF17" s="6">
        <f t="shared" si="0"/>
        <v>6.042722855663456</v>
      </c>
      <c r="BG17" s="6">
        <f t="shared" si="1"/>
        <v>5.7809234678643069</v>
      </c>
      <c r="BH17" s="6">
        <f t="shared" si="2"/>
        <v>-9.1091710359807898E-2</v>
      </c>
      <c r="BI17" s="6">
        <f t="shared" si="3"/>
        <v>9.1091710359807898E-2</v>
      </c>
      <c r="BJ17">
        <v>163.98719183318946</v>
      </c>
      <c r="BK17">
        <v>-40.210791643658169</v>
      </c>
      <c r="BV17" s="38"/>
      <c r="BW17" s="6">
        <f t="shared" si="27"/>
        <v>3.4906585039886591E-2</v>
      </c>
      <c r="BX17" s="9">
        <f t="shared" ca="1" si="28"/>
        <v>24.272454697759073</v>
      </c>
      <c r="BY17" s="9">
        <f t="shared" ca="1" si="29"/>
        <v>0.23466339170485639</v>
      </c>
      <c r="BZ17" s="9">
        <f t="shared" ca="1" si="30"/>
        <v>148.16813575458025</v>
      </c>
      <c r="CA17" s="6">
        <f t="shared" ca="1" si="31"/>
        <v>-41.063896960568862</v>
      </c>
      <c r="CB17" s="6">
        <f t="shared" ca="1" si="32"/>
        <v>-0.27035829543256573</v>
      </c>
      <c r="CC17" s="6">
        <f t="shared" ca="1" si="33"/>
        <v>5.6013759867273305E-3</v>
      </c>
      <c r="CD17" s="9">
        <f t="shared" si="34"/>
        <v>135.96813575458026</v>
      </c>
      <c r="CE17" s="9">
        <f t="shared" si="35"/>
        <v>-36.863896960568859</v>
      </c>
      <c r="CF17" s="6">
        <f t="shared" si="36"/>
        <v>-0.2647569194458384</v>
      </c>
      <c r="CG17" s="6"/>
      <c r="CH17" s="6"/>
      <c r="CI17" s="6"/>
      <c r="CJ17" s="1"/>
      <c r="CK17" s="6"/>
      <c r="CU17">
        <v>5.6751311082872613</v>
      </c>
      <c r="CV17">
        <v>5.674939360688775</v>
      </c>
      <c r="CW17">
        <v>5.6750352344880177</v>
      </c>
      <c r="CX17">
        <v>2.8023155940193334E-7</v>
      </c>
      <c r="CY17">
        <v>-5.3183485948515852E-8</v>
      </c>
      <c r="CZ17">
        <v>1.1351308248919167E-7</v>
      </c>
      <c r="DK17">
        <v>-1.4004108493881351</v>
      </c>
      <c r="DL17">
        <v>2.1493679497221168</v>
      </c>
      <c r="DM17">
        <v>-1.4004108492881351</v>
      </c>
      <c r="DN17">
        <v>2.1493679497191236</v>
      </c>
      <c r="DO17">
        <v>-1.4004108494881351</v>
      </c>
      <c r="DP17">
        <v>2.1493679497241791</v>
      </c>
      <c r="DQ17">
        <v>-2.5277557824665564E-2</v>
      </c>
      <c r="DR17">
        <v>1.9488609149249252</v>
      </c>
      <c r="DW17">
        <f ca="1">(DW15*DX15*(1-COS(DW14)))+(DY15*SIN(DW14))</f>
        <v>0</v>
      </c>
      <c r="DX17">
        <f ca="1">(DX15*DX15*(1-COS(DW14)))+COS(DW14)</f>
        <v>0.94868329805051377</v>
      </c>
      <c r="DY17">
        <f ca="1">(DY15*DX15*(1-COS(DW14)))-(DW15*SIN(DW14))</f>
        <v>0.31622776601683794</v>
      </c>
      <c r="DZ17">
        <v>0</v>
      </c>
    </row>
    <row r="18" spans="1:136" ht="16" thickBot="1" x14ac:dyDescent="0.25">
      <c r="A18">
        <v>4</v>
      </c>
      <c r="B18" s="19">
        <v>8</v>
      </c>
      <c r="C18" s="6">
        <f t="shared" ca="1" si="25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21"/>
        <v>4</v>
      </c>
      <c r="L18" s="1">
        <f t="shared" si="22"/>
        <v>4</v>
      </c>
      <c r="T18" s="8" t="s">
        <v>105</v>
      </c>
      <c r="U18" s="6">
        <f ca="1">SQRT(POWER(U6,2)+POWER(U5,2)+POWER(U4,2))</f>
        <v>215.99988117728572</v>
      </c>
      <c r="Y18" s="61" t="s">
        <v>205</v>
      </c>
      <c r="Z18" s="65">
        <f ca="1">U4</f>
        <v>-149.99999999905813</v>
      </c>
      <c r="AA18" s="65">
        <f ca="1">U5</f>
        <v>146.95719247439416</v>
      </c>
      <c r="AB18" s="66">
        <f ca="1">U6</f>
        <v>-50.591819980387839</v>
      </c>
      <c r="AC18" s="67">
        <f ca="1">Z18/$U$3</f>
        <v>-166.66666666562014</v>
      </c>
      <c r="AD18" s="65">
        <f t="shared" ref="AD18" ca="1" si="38">AA18/$U$3</f>
        <v>163.28576941599351</v>
      </c>
      <c r="AE18" s="66">
        <f t="shared" ref="AE18" ca="1" si="39">AB18/$U$3</f>
        <v>-56.213133311542045</v>
      </c>
      <c r="BC18">
        <v>0.27925268031909273</v>
      </c>
      <c r="BD18">
        <v>147.55290584671386</v>
      </c>
      <c r="BE18">
        <v>-36.061399561266327</v>
      </c>
      <c r="BF18" s="6">
        <f t="shared" si="0"/>
        <v>6.0434875307202516</v>
      </c>
      <c r="BG18" s="6">
        <f t="shared" si="1"/>
        <v>5.7642348504011585</v>
      </c>
      <c r="BH18" s="6">
        <f t="shared" si="2"/>
        <v>-9.1856385416603459E-2</v>
      </c>
      <c r="BI18" s="6">
        <f t="shared" si="3"/>
        <v>9.1856385416603459E-2</v>
      </c>
      <c r="BJ18">
        <v>163.94767316301539</v>
      </c>
      <c r="BK18">
        <v>-40.068221734740362</v>
      </c>
      <c r="BV18" s="38"/>
      <c r="BW18" s="6">
        <f t="shared" si="27"/>
        <v>5.235987755982989E-2</v>
      </c>
      <c r="BX18" s="9">
        <f t="shared" ca="1" si="28"/>
        <v>24.230438107237191</v>
      </c>
      <c r="BY18" s="9">
        <f t="shared" ca="1" si="29"/>
        <v>0.98590771032485236</v>
      </c>
      <c r="BZ18" s="9">
        <f t="shared" ca="1" si="30"/>
        <v>148.12611916405837</v>
      </c>
      <c r="CA18" s="6">
        <f t="shared" ca="1" si="31"/>
        <v>-40.312652641948866</v>
      </c>
      <c r="CB18" s="6">
        <f t="shared" ca="1" si="32"/>
        <v>-0.26571547554521757</v>
      </c>
      <c r="CC18" s="6">
        <f t="shared" ca="1" si="33"/>
        <v>6.0358371218636186E-3</v>
      </c>
      <c r="CD18" s="9">
        <f t="shared" si="34"/>
        <v>135.92611916405838</v>
      </c>
      <c r="CE18" s="9">
        <f t="shared" si="35"/>
        <v>-36.112652641948863</v>
      </c>
      <c r="CF18" s="6">
        <f t="shared" si="36"/>
        <v>-0.25967963842335395</v>
      </c>
      <c r="CG18" s="6"/>
      <c r="CH18" s="6"/>
      <c r="CI18" s="6"/>
      <c r="CJ18" s="1"/>
      <c r="CK18" s="6"/>
      <c r="CU18">
        <v>5.6750352344880177</v>
      </c>
      <c r="CV18">
        <v>5.674939360688775</v>
      </c>
      <c r="CW18">
        <v>5.6749872975883964</v>
      </c>
      <c r="CX18">
        <v>1.1351308248919167E-7</v>
      </c>
      <c r="CY18">
        <v>-5.3183485948515852E-8</v>
      </c>
      <c r="CZ18">
        <v>3.0162047248705193E-8</v>
      </c>
      <c r="DK18">
        <v>1.9488609149249252</v>
      </c>
      <c r="DL18">
        <v>-0.50726188544294071</v>
      </c>
      <c r="DM18">
        <v>1.9488609150249252</v>
      </c>
      <c r="DN18">
        <v>-0.50726188544816031</v>
      </c>
      <c r="DO18">
        <v>1.9488609148249252</v>
      </c>
      <c r="DP18">
        <v>-0.50726188544239004</v>
      </c>
      <c r="DQ18">
        <v>-2.8851365740933943E-2</v>
      </c>
      <c r="DR18">
        <v>-3.0666704852622746</v>
      </c>
      <c r="DW18">
        <f ca="1">(DW15*DY15*(1-COS(DW14)))-(DX15*SIN(DW14))</f>
        <v>0</v>
      </c>
      <c r="DX18">
        <f ca="1">(DX15*DY15*(1-COS(DW14)))+(DW15*SIN(DW14))</f>
        <v>-0.31622776601683794</v>
      </c>
      <c r="DY18">
        <f ca="1">(DY15*DY15*(1-COS(DW14)))+COS(DW14)</f>
        <v>0.94868329805051377</v>
      </c>
      <c r="DZ18">
        <v>0</v>
      </c>
    </row>
    <row r="19" spans="1:136" x14ac:dyDescent="0.2">
      <c r="A19">
        <v>5</v>
      </c>
      <c r="B19" s="19">
        <v>0</v>
      </c>
      <c r="C19" s="6">
        <f t="shared" ca="1" si="25"/>
        <v>0</v>
      </c>
      <c r="D19" s="2">
        <v>6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21"/>
        <v>#N/A</v>
      </c>
      <c r="L19" s="1" t="e">
        <f t="shared" si="22"/>
        <v>#N/A</v>
      </c>
      <c r="T19" s="8" t="s">
        <v>106</v>
      </c>
      <c r="U19" s="39">
        <f ca="1">U4/U18</f>
        <v>-0.6944448264577654</v>
      </c>
      <c r="V19" s="39">
        <f ca="1">U5/U18</f>
        <v>0.68035774683494599</v>
      </c>
      <c r="W19" s="39">
        <f ca="1">U6/U18</f>
        <v>-0.23422151764455698</v>
      </c>
      <c r="X19" s="38"/>
      <c r="BC19">
        <v>0.29670597283903605</v>
      </c>
      <c r="BD19">
        <v>147.51814604820325</v>
      </c>
      <c r="BE19">
        <v>-35.944001880943738</v>
      </c>
      <c r="BF19" s="6">
        <f t="shared" si="0"/>
        <v>6.0441842715408196</v>
      </c>
      <c r="BG19" s="6">
        <f t="shared" si="1"/>
        <v>5.7474782987017834</v>
      </c>
      <c r="BH19" s="6">
        <f t="shared" si="2"/>
        <v>-9.255312623717149E-2</v>
      </c>
      <c r="BI19" s="6">
        <f t="shared" si="3"/>
        <v>9.255312623717149E-2</v>
      </c>
      <c r="BJ19">
        <v>163.90905116467027</v>
      </c>
      <c r="BK19">
        <v>-39.937779867715264</v>
      </c>
      <c r="BV19" s="38"/>
      <c r="BW19" s="6">
        <f t="shared" si="27"/>
        <v>6.9813170079773182E-2</v>
      </c>
      <c r="BX19" s="9">
        <f t="shared" ca="1" si="28"/>
        <v>24.182226917377605</v>
      </c>
      <c r="BY19" s="9">
        <f t="shared" ca="1" si="29"/>
        <v>1.6707949522984578</v>
      </c>
      <c r="BZ19" s="9">
        <f t="shared" ca="1" si="30"/>
        <v>148.07790797419878</v>
      </c>
      <c r="CA19" s="6">
        <f t="shared" ca="1" si="31"/>
        <v>-39.62776539997526</v>
      </c>
      <c r="CB19" s="6">
        <f t="shared" ca="1" si="32"/>
        <v>-0.26148690094012728</v>
      </c>
      <c r="CC19" s="6">
        <f t="shared" ca="1" si="33"/>
        <v>6.4329928462833466E-3</v>
      </c>
      <c r="CD19" s="9">
        <f t="shared" si="34"/>
        <v>135.87790797419879</v>
      </c>
      <c r="CE19" s="9">
        <f t="shared" si="35"/>
        <v>-35.427765399975257</v>
      </c>
      <c r="CF19" s="6">
        <f t="shared" si="36"/>
        <v>-0.25505390809384393</v>
      </c>
      <c r="CG19" s="6"/>
      <c r="CH19" s="6"/>
      <c r="CI19" s="6"/>
      <c r="CJ19" s="1"/>
      <c r="CK19" s="6"/>
      <c r="CU19">
        <v>5.6749872975883964</v>
      </c>
      <c r="CV19">
        <v>5.674939360688775</v>
      </c>
      <c r="CW19">
        <v>5.6749633291385857</v>
      </c>
      <c r="CX19">
        <v>3.0162047248705193E-8</v>
      </c>
      <c r="CY19">
        <v>-5.3183485948515852E-8</v>
      </c>
      <c r="CZ19">
        <v>-1.1511403719133284E-8</v>
      </c>
      <c r="DK19">
        <v>-3.0666704852622746</v>
      </c>
      <c r="DL19">
        <v>-2.4025035521684166</v>
      </c>
      <c r="DM19">
        <v>-3.0666704851622746</v>
      </c>
      <c r="DN19">
        <v>-2.4025035522262002</v>
      </c>
      <c r="DO19">
        <v>-3.0666704853622746</v>
      </c>
      <c r="DP19">
        <v>-2.4025035521106335</v>
      </c>
      <c r="DQ19">
        <v>-0.57783333673455672</v>
      </c>
      <c r="DR19">
        <v>-0.9412645920317162</v>
      </c>
      <c r="DW19">
        <v>0</v>
      </c>
      <c r="DX19">
        <v>0</v>
      </c>
      <c r="DY19">
        <v>0</v>
      </c>
      <c r="DZ19">
        <v>1</v>
      </c>
    </row>
    <row r="20" spans="1:136" x14ac:dyDescent="0.2">
      <c r="A20">
        <v>6</v>
      </c>
      <c r="B20" s="19">
        <v>0</v>
      </c>
      <c r="C20" s="6">
        <f t="shared" ca="1" si="25"/>
        <v>0</v>
      </c>
      <c r="D20" s="2">
        <v>0</v>
      </c>
      <c r="E20" s="2">
        <v>8.66</v>
      </c>
      <c r="G20" s="1">
        <v>8</v>
      </c>
      <c r="H20" s="6">
        <v>1</v>
      </c>
      <c r="I20" s="6">
        <v>0.79</v>
      </c>
      <c r="K20" s="1" t="e">
        <f t="shared" si="21"/>
        <v>#N/A</v>
      </c>
      <c r="L20" s="1" t="e">
        <f t="shared" si="22"/>
        <v>#N/A</v>
      </c>
      <c r="Y20" s="38"/>
      <c r="BC20">
        <v>0.31415926535897937</v>
      </c>
      <c r="BD20">
        <v>147.48409361607679</v>
      </c>
      <c r="BE20">
        <v>-35.835960377883744</v>
      </c>
      <c r="BF20" s="6">
        <f t="shared" si="0"/>
        <v>6.0448227749731327</v>
      </c>
      <c r="BG20" s="6">
        <f t="shared" si="1"/>
        <v>5.7306635096141534</v>
      </c>
      <c r="BH20" s="6">
        <f t="shared" si="2"/>
        <v>-9.3191629669484591E-2</v>
      </c>
      <c r="BI20" s="6">
        <f t="shared" si="3"/>
        <v>9.3191629669484591E-2</v>
      </c>
      <c r="BJ20">
        <v>163.8712151289742</v>
      </c>
      <c r="BK20">
        <v>-39.817733753204159</v>
      </c>
      <c r="BV20" s="38"/>
      <c r="BW20" s="6">
        <f t="shared" si="27"/>
        <v>8.7266462599716474E-2</v>
      </c>
      <c r="BX20" s="9">
        <f t="shared" ca="1" si="28"/>
        <v>24.130601054913356</v>
      </c>
      <c r="BY20" s="9">
        <f t="shared" ca="1" si="29"/>
        <v>2.2826873484924803</v>
      </c>
      <c r="BZ20" s="9">
        <f t="shared" ca="1" si="30"/>
        <v>148.02628211173453</v>
      </c>
      <c r="CA20" s="6">
        <f t="shared" ca="1" si="31"/>
        <v>-39.015873003781238</v>
      </c>
      <c r="CB20" s="6">
        <f t="shared" ca="1" si="32"/>
        <v>-0.25771279088931537</v>
      </c>
      <c r="CC20" s="6">
        <f t="shared" ca="1" si="33"/>
        <v>6.7887125375855062E-3</v>
      </c>
      <c r="CD20" s="9">
        <f t="shared" si="34"/>
        <v>135.82628211173454</v>
      </c>
      <c r="CE20" s="9">
        <f t="shared" si="35"/>
        <v>-34.815873003781235</v>
      </c>
      <c r="CF20" s="6">
        <f t="shared" si="36"/>
        <v>-0.25092407835172986</v>
      </c>
      <c r="CG20" s="6"/>
      <c r="CH20" s="6"/>
      <c r="CI20" s="6"/>
      <c r="CJ20" s="1"/>
      <c r="CK20" s="6"/>
      <c r="CU20">
        <v>5.6749872975883964</v>
      </c>
      <c r="CV20">
        <v>5.6749633291385857</v>
      </c>
      <c r="CW20">
        <v>5.6749753133634915</v>
      </c>
      <c r="CX20">
        <v>3.0162047248705193E-8</v>
      </c>
      <c r="CY20">
        <v>-1.1511403719133284E-8</v>
      </c>
      <c r="CZ20">
        <v>9.3251472654820589E-9</v>
      </c>
      <c r="DK20">
        <v>-0.9412645920317162</v>
      </c>
      <c r="DL20">
        <v>2.1351754361646451</v>
      </c>
      <c r="DM20">
        <v>-0.94126459193171619</v>
      </c>
      <c r="DN20">
        <v>2.135175436160603</v>
      </c>
      <c r="DO20">
        <v>-0.9412645921317162</v>
      </c>
      <c r="DP20">
        <v>2.1351754361686641</v>
      </c>
      <c r="DQ20">
        <v>-4.0305536685991683E-2</v>
      </c>
      <c r="DR20">
        <v>1.7679956713432483</v>
      </c>
      <c r="DV20" t="s">
        <v>193</v>
      </c>
      <c r="DW20">
        <f t="array" aca="1" ref="DW20:DZ20" ca="1">MMULT(DW10:DZ10,DW16:DZ19)</f>
        <v>1080.7505000000001</v>
      </c>
      <c r="DX20">
        <f ca="1"/>
        <v>-225.43126398396089</v>
      </c>
      <c r="DY20">
        <f ca="1"/>
        <v>0</v>
      </c>
      <c r="DZ20" s="9">
        <f ca="1"/>
        <v>0</v>
      </c>
      <c r="EB20">
        <f t="array" aca="1" ref="EB20:EE20" ca="1">MMULT(EB10:EE10,DW16:DZ19)</f>
        <v>20.640000000000015</v>
      </c>
      <c r="EC20">
        <f ca="1"/>
        <v>-122.00067212929606</v>
      </c>
      <c r="ED20">
        <f ca="1"/>
        <v>-0.12649110640673911</v>
      </c>
      <c r="EE20" s="9">
        <f ca="1"/>
        <v>0</v>
      </c>
    </row>
    <row r="21" spans="1:136" x14ac:dyDescent="0.2">
      <c r="A21">
        <v>7</v>
      </c>
      <c r="B21" s="19">
        <v>0</v>
      </c>
      <c r="C21" s="6">
        <f t="shared" ca="1" si="25"/>
        <v>0</v>
      </c>
      <c r="D21" s="2">
        <v>2</v>
      </c>
      <c r="E21" s="2">
        <v>22</v>
      </c>
      <c r="G21" s="1">
        <v>9</v>
      </c>
      <c r="H21" s="6">
        <v>1.1279999999999999</v>
      </c>
      <c r="I21" s="6">
        <v>1</v>
      </c>
      <c r="K21" s="1" t="e">
        <f t="shared" si="21"/>
        <v>#N/A</v>
      </c>
      <c r="L21" s="1" t="e">
        <f t="shared" si="22"/>
        <v>#N/A</v>
      </c>
      <c r="T21" s="8" t="s">
        <v>107</v>
      </c>
      <c r="U21" s="39">
        <f ca="1">U16-U19</f>
        <v>-0.30187602228090049</v>
      </c>
      <c r="V21" s="39">
        <f t="shared" ref="V21:W21" ca="1" si="40">V16-V19</f>
        <v>-0.5993236511375345</v>
      </c>
      <c r="W21" s="39">
        <f t="shared" ca="1" si="40"/>
        <v>0.20632453387987434</v>
      </c>
      <c r="BC21">
        <v>0.33161255787892269</v>
      </c>
      <c r="BD21">
        <v>147.45066096575343</v>
      </c>
      <c r="BE21">
        <v>-35.736007142473994</v>
      </c>
      <c r="BF21" s="6">
        <f t="shared" si="0"/>
        <v>6.0454109221915147</v>
      </c>
      <c r="BG21" s="6">
        <f t="shared" si="1"/>
        <v>5.7137983643125922</v>
      </c>
      <c r="BH21" s="6">
        <f t="shared" si="2"/>
        <v>-9.3779776887866539E-2</v>
      </c>
      <c r="BI21" s="6">
        <f t="shared" si="3"/>
        <v>9.3779776887866539E-2</v>
      </c>
      <c r="BJ21">
        <v>163.83406773972604</v>
      </c>
      <c r="BK21">
        <v>-39.706674602748883</v>
      </c>
      <c r="BV21" s="38"/>
      <c r="BW21" s="6">
        <f t="shared" si="27"/>
        <v>0.10471975511965977</v>
      </c>
      <c r="BX21" s="9">
        <f t="shared" ca="1" si="28"/>
        <v>24.077787841526273</v>
      </c>
      <c r="BY21" s="9">
        <f t="shared" ca="1" si="29"/>
        <v>2.8179762632544652</v>
      </c>
      <c r="BZ21" s="9">
        <f t="shared" ca="1" si="30"/>
        <v>147.97346889834745</v>
      </c>
      <c r="CA21" s="6">
        <f t="shared" ca="1" si="31"/>
        <v>-38.480584089019253</v>
      </c>
      <c r="CB21" s="6">
        <f t="shared" ca="1" si="32"/>
        <v>-0.25441542056262934</v>
      </c>
      <c r="CC21" s="6">
        <f t="shared" ca="1" si="33"/>
        <v>7.100552601735699E-3</v>
      </c>
      <c r="CD21" s="9">
        <f t="shared" si="34"/>
        <v>135.77346889834746</v>
      </c>
      <c r="CE21" s="9">
        <f t="shared" si="35"/>
        <v>-34.28058408901925</v>
      </c>
      <c r="CF21" s="6">
        <f t="shared" si="36"/>
        <v>-0.24731486796089364</v>
      </c>
      <c r="CG21" s="6"/>
      <c r="CH21" s="6"/>
      <c r="CI21" s="6"/>
      <c r="CJ21" s="1"/>
      <c r="CK21" s="6"/>
      <c r="CU21">
        <v>5.6749753133634915</v>
      </c>
      <c r="CV21">
        <v>5.6749633291385857</v>
      </c>
      <c r="CW21">
        <v>5.674969321251039</v>
      </c>
      <c r="CX21">
        <v>9.3251472654820589E-9</v>
      </c>
      <c r="CY21">
        <v>-1.1511403719133284E-8</v>
      </c>
      <c r="CZ21">
        <v>-1.0931750504816762E-9</v>
      </c>
      <c r="DK21">
        <v>1.7679956713432483</v>
      </c>
      <c r="DL21">
        <v>-0.50207863697429511</v>
      </c>
      <c r="DM21">
        <v>1.7679956714432483</v>
      </c>
      <c r="DN21">
        <v>-0.50207863697501698</v>
      </c>
      <c r="DO21">
        <v>1.7679956712432483</v>
      </c>
      <c r="DP21">
        <v>-0.50207863696962018</v>
      </c>
      <c r="DQ21">
        <v>-2.698397061351443E-2</v>
      </c>
      <c r="DR21">
        <v>2.0110001640556598</v>
      </c>
      <c r="DV21" t="s">
        <v>194</v>
      </c>
      <c r="DW21">
        <f t="array" aca="1" ref="DW21:DZ21" ca="1">MMULT(DW11:DZ11,DW16:DZ19)</f>
        <v>0</v>
      </c>
      <c r="DX21">
        <f ca="1"/>
        <v>0</v>
      </c>
      <c r="DY21">
        <f ca="1"/>
        <v>0</v>
      </c>
      <c r="DZ21" s="9">
        <f ca="1"/>
        <v>0</v>
      </c>
      <c r="EB21">
        <f t="array" aca="1" ref="EB21:EE21" ca="1">MMULT(EB11:EE11,DW16:DZ19)</f>
        <v>20.640000000941882</v>
      </c>
      <c r="EC21">
        <f ca="1"/>
        <v>20.511607257193404</v>
      </c>
      <c r="ED21">
        <f ca="1"/>
        <v>-1.5236699570880798</v>
      </c>
      <c r="EE21" s="9">
        <f ca="1"/>
        <v>0</v>
      </c>
    </row>
    <row r="22" spans="1:136" x14ac:dyDescent="0.2">
      <c r="A22">
        <v>8</v>
      </c>
      <c r="B22" s="19">
        <v>0</v>
      </c>
      <c r="C22" s="6">
        <f t="shared" ca="1" si="25"/>
        <v>0</v>
      </c>
      <c r="D22" s="2">
        <v>10</v>
      </c>
      <c r="E22" s="2">
        <v>22</v>
      </c>
      <c r="G22" s="1">
        <v>10</v>
      </c>
      <c r="H22" s="6">
        <v>1.27</v>
      </c>
      <c r="I22" s="6">
        <v>1.27</v>
      </c>
      <c r="K22" s="1" t="e">
        <f t="shared" si="21"/>
        <v>#N/A</v>
      </c>
      <c r="L22" s="1" t="e">
        <f t="shared" si="22"/>
        <v>#N/A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147.41777029294093</v>
      </c>
      <c r="BE22">
        <v>-35.643098973415725</v>
      </c>
      <c r="BF22" s="6">
        <f t="shared" si="0"/>
        <v>6.045955192831288</v>
      </c>
      <c r="BG22" s="6">
        <f t="shared" si="1"/>
        <v>5.6968893424324216</v>
      </c>
      <c r="BH22" s="6">
        <f t="shared" si="2"/>
        <v>-9.4324047527639898E-2</v>
      </c>
      <c r="BI22" s="6">
        <f t="shared" si="3"/>
        <v>9.4324047527639898E-2</v>
      </c>
      <c r="BJ22">
        <v>163.79752254771213</v>
      </c>
      <c r="BK22">
        <v>-39.603443303795252</v>
      </c>
      <c r="BV22" s="38"/>
      <c r="BW22" s="6">
        <f t="shared" si="27"/>
        <v>0.12217304763960306</v>
      </c>
      <c r="BX22" s="9">
        <f t="shared" ca="1" si="28"/>
        <v>24.026044091338505</v>
      </c>
      <c r="BY22" s="9">
        <f t="shared" ca="1" si="29"/>
        <v>3.2715680504560751</v>
      </c>
      <c r="BZ22" s="9">
        <f t="shared" ca="1" si="30"/>
        <v>147.92172514815968</v>
      </c>
      <c r="CA22" s="6">
        <f t="shared" ca="1" si="31"/>
        <v>-38.026992301817643</v>
      </c>
      <c r="CB22" s="6">
        <f t="shared" ca="1" si="32"/>
        <v>-0.25162641608123765</v>
      </c>
      <c r="CC22" s="6">
        <f t="shared" ca="1" si="33"/>
        <v>7.3651899278849575E-3</v>
      </c>
      <c r="CD22" s="9">
        <f t="shared" si="34"/>
        <v>135.72172514815969</v>
      </c>
      <c r="CE22" s="9">
        <f t="shared" si="35"/>
        <v>-33.82699230181764</v>
      </c>
      <c r="CF22" s="6">
        <f t="shared" si="36"/>
        <v>-0.24426122615335269</v>
      </c>
      <c r="CG22" s="6"/>
      <c r="CH22" s="6"/>
      <c r="CI22" s="6"/>
      <c r="CJ22" s="1"/>
      <c r="CK22" s="6"/>
      <c r="CU22">
        <v>5.6749753133634915</v>
      </c>
      <c r="CV22">
        <v>5.674969321251039</v>
      </c>
      <c r="CW22">
        <v>5.6749723173072653</v>
      </c>
      <c r="CX22">
        <v>9.3251472654820589E-9</v>
      </c>
      <c r="CY22">
        <v>-1.0931750504816762E-9</v>
      </c>
      <c r="CZ22">
        <v>4.1159908814591972E-9</v>
      </c>
      <c r="DK22">
        <v>2.0110001640556598</v>
      </c>
      <c r="DL22">
        <v>-0.50911306204408868</v>
      </c>
      <c r="DM22">
        <v>2.0110001641556599</v>
      </c>
      <c r="DN22">
        <v>-0.50911306204465423</v>
      </c>
      <c r="DO22">
        <v>2.0110001639556598</v>
      </c>
      <c r="DP22">
        <v>-0.50911306203858642</v>
      </c>
      <c r="DQ22">
        <v>-3.0339064593931653E-2</v>
      </c>
      <c r="DR22">
        <v>-2.2034057174406221</v>
      </c>
      <c r="EB22">
        <f t="array" aca="1" ref="EB22:EE22" ca="1">MMULT(EB12:EE12,DW16:DZ19)</f>
        <v>20.640000000941882</v>
      </c>
      <c r="EC22">
        <f ca="1"/>
        <v>-118.83839446912771</v>
      </c>
      <c r="ED22">
        <f ca="1"/>
        <v>6.1980642139300244</v>
      </c>
      <c r="EE22">
        <f ca="1"/>
        <v>0</v>
      </c>
    </row>
    <row r="23" spans="1:136" x14ac:dyDescent="0.2">
      <c r="A23">
        <v>9</v>
      </c>
      <c r="B23" s="19">
        <v>0</v>
      </c>
      <c r="C23" s="6">
        <f t="shared" ca="1" si="25"/>
        <v>0</v>
      </c>
      <c r="D23" s="2">
        <v>2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21"/>
        <v>#N/A</v>
      </c>
      <c r="L23" s="1" t="e">
        <f t="shared" si="22"/>
        <v>#N/A</v>
      </c>
      <c r="T23" s="8" t="s">
        <v>108</v>
      </c>
      <c r="U23" s="39">
        <f ca="1">SQRT(POWER(U21,2)+POWER(V21,2)+POWER(W21,2))</f>
        <v>0.7020596733339064</v>
      </c>
      <c r="V23" t="str">
        <f ca="1">IF(ABS(U23)&lt;=L1,"","NG")</f>
        <v>NG</v>
      </c>
      <c r="BC23">
        <v>0.36651914291880933</v>
      </c>
      <c r="BD23">
        <v>147.38535178428367</v>
      </c>
      <c r="BE23">
        <v>-35.556368565906446</v>
      </c>
      <c r="BF23" s="6">
        <f t="shared" si="0"/>
        <v>6.0464609692690008</v>
      </c>
      <c r="BG23" s="6">
        <f t="shared" si="1"/>
        <v>5.6799418263501913</v>
      </c>
      <c r="BH23" s="6">
        <f t="shared" si="2"/>
        <v>-9.4829823965352666E-2</v>
      </c>
      <c r="BI23" s="6">
        <f t="shared" si="3"/>
        <v>9.4829823965352666E-2</v>
      </c>
      <c r="BJ23">
        <v>163.7615019825374</v>
      </c>
      <c r="BK23">
        <v>-39.507076184340498</v>
      </c>
      <c r="BV23" s="38"/>
      <c r="BW23" s="6">
        <f t="shared" si="27"/>
        <v>0.13962634015954636</v>
      </c>
      <c r="BX23" s="9">
        <f t="shared" ca="1" si="28"/>
        <v>23.977258423632165</v>
      </c>
      <c r="BY23" s="9">
        <f t="shared" ca="1" si="29"/>
        <v>3.642948552405997</v>
      </c>
      <c r="BZ23" s="9">
        <f t="shared" ca="1" si="30"/>
        <v>147.87293948045334</v>
      </c>
      <c r="CA23" s="6">
        <f t="shared" ca="1" si="31"/>
        <v>-37.655611799867721</v>
      </c>
      <c r="CB23" s="6">
        <f t="shared" ca="1" si="32"/>
        <v>-0.24934884783632894</v>
      </c>
      <c r="CC23" s="6">
        <f t="shared" ca="1" si="33"/>
        <v>7.5820121256820194E-3</v>
      </c>
      <c r="CD23" s="9">
        <f t="shared" si="34"/>
        <v>135.67293948045335</v>
      </c>
      <c r="CE23" s="9">
        <f t="shared" si="35"/>
        <v>-33.455611799867718</v>
      </c>
      <c r="CF23" s="6">
        <f t="shared" si="36"/>
        <v>-0.24176683571064692</v>
      </c>
      <c r="CG23" s="6"/>
      <c r="CH23" s="6"/>
      <c r="CI23" s="6"/>
      <c r="CJ23" s="1"/>
      <c r="CK23" s="6"/>
      <c r="CU23">
        <v>5.6749723173072653</v>
      </c>
      <c r="CV23">
        <v>5.674969321251039</v>
      </c>
      <c r="CW23">
        <v>5.6749708192791521</v>
      </c>
      <c r="CX23">
        <v>4.1159908814591972E-9</v>
      </c>
      <c r="CY23">
        <v>-1.0931750504816762E-9</v>
      </c>
      <c r="CZ23">
        <v>1.5114057783094381E-9</v>
      </c>
      <c r="DK23">
        <v>-2.2034057174406221</v>
      </c>
      <c r="DL23">
        <v>2.1678252471934405</v>
      </c>
      <c r="DM23">
        <v>-2.2034057173406221</v>
      </c>
      <c r="DN23">
        <v>2.1678252471930382</v>
      </c>
      <c r="DO23">
        <v>-2.2034057175406221</v>
      </c>
      <c r="DP23">
        <v>2.1678252471983752</v>
      </c>
      <c r="DQ23">
        <v>-2.6685320619890263E-2</v>
      </c>
      <c r="DR23">
        <v>-2.6481948450344208</v>
      </c>
      <c r="DV23" t="s">
        <v>202</v>
      </c>
    </row>
    <row r="24" spans="1:136" ht="16" thickBot="1" x14ac:dyDescent="0.25">
      <c r="A24">
        <v>10</v>
      </c>
      <c r="B24" s="19">
        <v>0</v>
      </c>
      <c r="C24" s="11">
        <f t="shared" ca="1" si="25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21"/>
        <v>#N/A</v>
      </c>
      <c r="L24" s="1" t="e">
        <f t="shared" si="22"/>
        <v>#N/A</v>
      </c>
      <c r="BC24">
        <v>0.38397243543875265</v>
      </c>
      <c r="BD24">
        <v>147.35334220656773</v>
      </c>
      <c r="BE24">
        <v>-35.475088051280622</v>
      </c>
      <c r="BF24" s="6">
        <f t="shared" si="0"/>
        <v>6.0469327639457164</v>
      </c>
      <c r="BG24" s="6">
        <f t="shared" si="1"/>
        <v>5.6629603285069638</v>
      </c>
      <c r="BH24" s="6">
        <f t="shared" si="2"/>
        <v>-9.530161864206832E-2</v>
      </c>
      <c r="BI24" s="6">
        <f t="shared" si="3"/>
        <v>9.530161864206832E-2</v>
      </c>
      <c r="BJ24">
        <v>163.72593578507525</v>
      </c>
      <c r="BK24">
        <v>-39.416764501422911</v>
      </c>
      <c r="BV24" s="38"/>
      <c r="BW24" s="6">
        <f t="shared" si="27"/>
        <v>0.15707963267948966</v>
      </c>
      <c r="BX24" s="9">
        <f t="shared" ca="1" si="28"/>
        <v>23.931250300272879</v>
      </c>
      <c r="BY24" s="9">
        <f t="shared" ca="1" si="29"/>
        <v>3.9513220116178687</v>
      </c>
      <c r="BZ24" s="9">
        <f t="shared" ca="1" si="30"/>
        <v>147.82693135709405</v>
      </c>
      <c r="CA24" s="6">
        <f t="shared" ca="1" si="31"/>
        <v>-37.347238340655849</v>
      </c>
      <c r="CB24" s="6">
        <f t="shared" ca="1" si="32"/>
        <v>-0.24746336281277942</v>
      </c>
      <c r="CC24" s="6">
        <f t="shared" ca="1" si="33"/>
        <v>7.7620793357319195E-3</v>
      </c>
      <c r="CD24" s="9">
        <f t="shared" si="34"/>
        <v>135.62693135709407</v>
      </c>
      <c r="CE24" s="9">
        <f t="shared" si="35"/>
        <v>-33.147238340655846</v>
      </c>
      <c r="CF24" s="6">
        <f t="shared" si="36"/>
        <v>-0.2397012834770475</v>
      </c>
      <c r="CG24" s="6"/>
      <c r="CH24" s="6"/>
      <c r="CI24" s="6"/>
      <c r="CJ24" s="1"/>
      <c r="CK24" s="6"/>
      <c r="CU24">
        <v>5.6749708192791521</v>
      </c>
      <c r="CV24">
        <v>5.674969321251039</v>
      </c>
      <c r="CW24">
        <v>5.6749700702650951</v>
      </c>
      <c r="CX24">
        <v>1.5114057783094381E-9</v>
      </c>
      <c r="CY24">
        <v>-1.0931750504816762E-9</v>
      </c>
      <c r="CZ24">
        <v>2.0910168041510246E-10</v>
      </c>
      <c r="DK24">
        <v>-2.6481948450344208</v>
      </c>
      <c r="DL24">
        <v>2.387166243371448</v>
      </c>
      <c r="DM24">
        <v>-2.6481948449344208</v>
      </c>
      <c r="DN24">
        <v>2.3871662430960123</v>
      </c>
      <c r="DO24">
        <v>-2.6481948451344208</v>
      </c>
      <c r="DP24">
        <v>2.3871662436547272</v>
      </c>
      <c r="DQ24">
        <v>-2.7935742608065084</v>
      </c>
      <c r="DR24">
        <v>-1.7936744276382959</v>
      </c>
      <c r="DV24" t="s">
        <v>198</v>
      </c>
      <c r="DW24">
        <f ca="1">ATAN2(DW20,DX20)</f>
        <v>-0.20563916507936747</v>
      </c>
    </row>
    <row r="25" spans="1:136" ht="16" thickTop="1" x14ac:dyDescent="0.2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147.3216837721684</v>
      </c>
      <c r="BE25">
        <v>-35.398641357858828</v>
      </c>
      <c r="BF25" s="6">
        <f t="shared" si="0"/>
        <v>6.0473743916991189</v>
      </c>
      <c r="BG25" s="6">
        <f t="shared" si="1"/>
        <v>5.6459486637404233</v>
      </c>
      <c r="BH25" s="6">
        <f t="shared" si="2"/>
        <v>-9.5743246395470827E-2</v>
      </c>
      <c r="BI25" s="6">
        <f t="shared" si="3"/>
        <v>9.5743246395470827E-2</v>
      </c>
      <c r="BJ25">
        <v>163.69075974685379</v>
      </c>
      <c r="BK25">
        <v>-39.331823730954255</v>
      </c>
      <c r="BV25" s="38"/>
      <c r="BW25" s="6">
        <f t="shared" si="27"/>
        <v>0.17453292519943295</v>
      </c>
      <c r="BX25" s="9">
        <f t="shared" ca="1" si="28"/>
        <v>23.8875339038254</v>
      </c>
      <c r="BY25" s="9">
        <f t="shared" ca="1" si="29"/>
        <v>4.2129165752088511</v>
      </c>
      <c r="BZ25" s="9">
        <f t="shared" ca="1" si="30"/>
        <v>147.78321496064657</v>
      </c>
      <c r="CA25" s="6">
        <f t="shared" ca="1" si="31"/>
        <v>-37.085643777064867</v>
      </c>
      <c r="CB25" s="6">
        <f t="shared" ca="1" si="32"/>
        <v>-0.24586905396471834</v>
      </c>
      <c r="CC25" s="6">
        <f t="shared" ca="1" si="33"/>
        <v>7.9148056792546218E-3</v>
      </c>
      <c r="CD25" s="9">
        <f t="shared" si="34"/>
        <v>135.58321496064659</v>
      </c>
      <c r="CE25" s="9">
        <f t="shared" si="35"/>
        <v>-32.885643777064864</v>
      </c>
      <c r="CF25" s="6">
        <f t="shared" si="36"/>
        <v>-0.23795424828546372</v>
      </c>
      <c r="CG25" s="6"/>
      <c r="CH25" s="6"/>
      <c r="CI25" s="6"/>
      <c r="CJ25" s="1"/>
      <c r="CK25" s="6"/>
      <c r="DK25">
        <v>-1.7936744276382959</v>
      </c>
      <c r="DL25">
        <v>2.1581561730405934</v>
      </c>
      <c r="DM25">
        <v>-1.7936744275382959</v>
      </c>
      <c r="DN25">
        <v>2.1581561730373302</v>
      </c>
      <c r="DO25">
        <v>-1.7936744277382959</v>
      </c>
      <c r="DP25">
        <v>2.158156173042391</v>
      </c>
      <c r="DQ25">
        <v>-2.5304203177256568E-2</v>
      </c>
      <c r="DR25">
        <v>1.8133628471295007</v>
      </c>
      <c r="DV25" t="s">
        <v>199</v>
      </c>
      <c r="DW25">
        <v>0</v>
      </c>
      <c r="DX25">
        <v>0</v>
      </c>
      <c r="DY25">
        <v>1</v>
      </c>
    </row>
    <row r="26" spans="1:136" x14ac:dyDescent="0.2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0.41887902047863929</v>
      </c>
      <c r="BD26">
        <v>147.29032320536498</v>
      </c>
      <c r="BE26">
        <v>-35.326502979593187</v>
      </c>
      <c r="BF26" s="6">
        <f t="shared" si="0"/>
        <v>6.0477891021236392</v>
      </c>
      <c r="BG26" s="6">
        <f t="shared" si="1"/>
        <v>5.6289100816449995</v>
      </c>
      <c r="BH26" s="6">
        <f t="shared" si="2"/>
        <v>-9.615795681999105E-2</v>
      </c>
      <c r="BI26" s="6">
        <f t="shared" si="3"/>
        <v>9.615795681999105E-2</v>
      </c>
      <c r="BJ26">
        <v>163.65591467262774</v>
      </c>
      <c r="BK26">
        <v>-39.251669977325761</v>
      </c>
      <c r="BV26" s="38"/>
      <c r="BW26" s="6">
        <f t="shared" si="27"/>
        <v>0.19198621771937624</v>
      </c>
      <c r="BX26" s="9">
        <f t="shared" ca="1" si="28"/>
        <v>23.845740272983207</v>
      </c>
      <c r="BY26" s="9">
        <f t="shared" ca="1" si="29"/>
        <v>4.4386649268784524</v>
      </c>
      <c r="BZ26" s="9">
        <f t="shared" ca="1" si="30"/>
        <v>147.74142132980438</v>
      </c>
      <c r="CA26" s="6">
        <f t="shared" ca="1" si="31"/>
        <v>-36.859895425395266</v>
      </c>
      <c r="CB26" s="6">
        <f t="shared" ca="1" si="32"/>
        <v>-0.24449789328532689</v>
      </c>
      <c r="CC26" s="6">
        <f t="shared" ca="1" si="33"/>
        <v>8.0465486689088577E-3</v>
      </c>
      <c r="CD26" s="9">
        <f t="shared" si="34"/>
        <v>135.54142132980439</v>
      </c>
      <c r="CE26" s="9">
        <f t="shared" si="35"/>
        <v>-32.659895425395263</v>
      </c>
      <c r="CF26" s="6">
        <f t="shared" si="36"/>
        <v>-0.23645134461641804</v>
      </c>
      <c r="CG26" s="6"/>
      <c r="CH26" s="6"/>
      <c r="CI26" s="6"/>
      <c r="CJ26" s="1"/>
      <c r="CK26" s="6"/>
      <c r="DK26">
        <v>1.8133628471295007</v>
      </c>
      <c r="DL26">
        <v>-0.50336144237662572</v>
      </c>
      <c r="DM26">
        <v>1.8133628472295007</v>
      </c>
      <c r="DN26">
        <v>-0.50336144238140368</v>
      </c>
      <c r="DO26">
        <v>1.8133628470295007</v>
      </c>
      <c r="DP26">
        <v>-0.5033614423759758</v>
      </c>
      <c r="DQ26">
        <v>-2.7139401836961952E-2</v>
      </c>
      <c r="DR26">
        <v>2.1156624436934424</v>
      </c>
      <c r="DW26">
        <f ca="1">(DW25*DW25*(1-COS(DW24)))+COS(DW24)</f>
        <v>0.97893067151958357</v>
      </c>
      <c r="DX26">
        <f ca="1">(DX25*DW25*(1-COS(DW24)))-(DY25*SIN(DW24))</f>
        <v>0.20419289987219741</v>
      </c>
      <c r="DY26">
        <f ca="1">(DY25*DW25*(1-COS(DW24)))+(DX25*SIN(DW24))</f>
        <v>0</v>
      </c>
      <c r="DZ26">
        <v>0</v>
      </c>
    </row>
    <row r="27" spans="1:136" x14ac:dyDescent="0.2">
      <c r="A27" s="8" t="s">
        <v>15</v>
      </c>
      <c r="B27" s="33">
        <v>5.6749700702650951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f>F28</f>
        <v>3.5355339059327377E-3</v>
      </c>
      <c r="I27" s="6">
        <f>IF(F26="web",(B5*F27)*H27,G12*H27)</f>
        <v>0.93338095116624276</v>
      </c>
      <c r="BC27">
        <v>0.43633231299858261</v>
      </c>
      <c r="BD27">
        <v>147.2592109833345</v>
      </c>
      <c r="BE27">
        <v>-35.258221462262746</v>
      </c>
      <c r="BF27" s="6">
        <f t="shared" si="0"/>
        <v>6.0481796825268148</v>
      </c>
      <c r="BG27" s="6">
        <f t="shared" si="1"/>
        <v>5.611847369528232</v>
      </c>
      <c r="BH27" s="6">
        <f t="shared" si="2"/>
        <v>-9.6548537223166697E-2</v>
      </c>
      <c r="BI27" s="6">
        <f t="shared" si="3"/>
        <v>9.6548537223166697E-2</v>
      </c>
      <c r="BJ27">
        <v>163.62134553703834</v>
      </c>
      <c r="BK27">
        <v>-39.175801624736387</v>
      </c>
      <c r="BV27" s="38"/>
      <c r="BW27" s="6">
        <f t="shared" si="27"/>
        <v>0.20943951023931953</v>
      </c>
      <c r="BX27" s="9">
        <f t="shared" ca="1" si="28"/>
        <v>23.805580732677882</v>
      </c>
      <c r="BY27" s="9">
        <f t="shared" ca="1" si="29"/>
        <v>4.6362369034238355</v>
      </c>
      <c r="BZ27" s="9">
        <f t="shared" ca="1" si="30"/>
        <v>147.70126178949906</v>
      </c>
      <c r="CA27" s="6">
        <f t="shared" ca="1" si="31"/>
        <v>-36.662323448849882</v>
      </c>
      <c r="CB27" s="6">
        <f t="shared" ca="1" si="32"/>
        <v>-0.24330213450119836</v>
      </c>
      <c r="CC27" s="6">
        <f t="shared" ca="1" si="33"/>
        <v>8.161777127656809E-3</v>
      </c>
      <c r="CD27" s="9">
        <f t="shared" si="34"/>
        <v>135.50126178949907</v>
      </c>
      <c r="CE27" s="9">
        <f t="shared" si="35"/>
        <v>-32.46232344884988</v>
      </c>
      <c r="CF27" s="6">
        <f t="shared" si="36"/>
        <v>-0.23514035737354155</v>
      </c>
      <c r="CG27" s="6"/>
      <c r="CH27" s="6"/>
      <c r="CI27" s="6"/>
      <c r="CJ27" s="1"/>
      <c r="CK27" s="6"/>
      <c r="DK27">
        <v>2.1156624436934424</v>
      </c>
      <c r="DL27">
        <v>-0.52030964368487465</v>
      </c>
      <c r="DM27">
        <v>2.1156624437934424</v>
      </c>
      <c r="DN27">
        <v>-0.52030964372038646</v>
      </c>
      <c r="DO27">
        <v>2.1156624435934424</v>
      </c>
      <c r="DP27">
        <v>-0.52030964364935905</v>
      </c>
      <c r="DQ27">
        <v>-0.35513703089407045</v>
      </c>
      <c r="DR27">
        <v>0.65056700609580265</v>
      </c>
      <c r="DW27">
        <f ca="1">(DW25*DX25*(1-COS(DW24)))+(DY25*SIN(DW24))</f>
        <v>-0.20419289987219741</v>
      </c>
      <c r="DX27">
        <f ca="1">(DX25*DX25*(1-COS(DW24)))+COS(DW24)</f>
        <v>0.97893067151958357</v>
      </c>
      <c r="DY27">
        <f ca="1">(DY25*DX25*(1-COS(DW24)))-(DW25*SIN(DW24))</f>
        <v>0</v>
      </c>
      <c r="DZ27">
        <v>0</v>
      </c>
    </row>
    <row r="28" spans="1:136" x14ac:dyDescent="0.2">
      <c r="A28" s="8" t="s">
        <v>17</v>
      </c>
      <c r="B28" s="33">
        <v>2.8639878006233337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1.056</v>
      </c>
      <c r="BC28">
        <v>0.45378560551852593</v>
      </c>
      <c r="BD28">
        <v>147.22830070162902</v>
      </c>
      <c r="BE28">
        <v>-35.193406418383539</v>
      </c>
      <c r="BF28" s="6">
        <f t="shared" si="0"/>
        <v>6.0485485388693832</v>
      </c>
      <c r="BG28" s="6">
        <f t="shared" si="1"/>
        <v>5.5947629333508573</v>
      </c>
      <c r="BH28" s="6">
        <f t="shared" si="2"/>
        <v>-9.6917393565735033E-2</v>
      </c>
      <c r="BI28" s="6">
        <f t="shared" si="3"/>
        <v>9.6917393565735033E-2</v>
      </c>
      <c r="BJ28">
        <v>163.58700077958781</v>
      </c>
      <c r="BK28">
        <v>-39.103784909315046</v>
      </c>
      <c r="BV28" s="38"/>
      <c r="BW28" s="6">
        <f t="shared" si="27"/>
        <v>0.22689280275926282</v>
      </c>
      <c r="BX28" s="9">
        <f t="shared" ca="1" si="28"/>
        <v>23.766823817932945</v>
      </c>
      <c r="BY28" s="9">
        <f t="shared" ca="1" si="29"/>
        <v>4.8111933208898776</v>
      </c>
      <c r="BZ28" s="9">
        <f t="shared" ca="1" si="30"/>
        <v>147.66250487475412</v>
      </c>
      <c r="CA28" s="6">
        <f t="shared" ca="1" si="31"/>
        <v>-36.48736703138384</v>
      </c>
      <c r="CB28" s="6">
        <f t="shared" ca="1" si="32"/>
        <v>-0.24224715241549449</v>
      </c>
      <c r="CC28" s="6">
        <f t="shared" ca="1" si="33"/>
        <v>8.2637362268243586E-3</v>
      </c>
      <c r="CD28" s="9">
        <f t="shared" si="34"/>
        <v>135.46250487475413</v>
      </c>
      <c r="CE28" s="9">
        <f t="shared" si="35"/>
        <v>-32.287367031383837</v>
      </c>
      <c r="CF28" s="6">
        <f t="shared" si="36"/>
        <v>-0.23398341618867013</v>
      </c>
      <c r="CG28" s="6"/>
      <c r="CH28" s="6"/>
      <c r="CI28" s="6"/>
      <c r="CJ28" s="1"/>
      <c r="CK28" s="6"/>
      <c r="DK28">
        <v>0.65056700609580265</v>
      </c>
      <c r="DL28">
        <v>-0.44691851234159402</v>
      </c>
      <c r="DM28">
        <v>0.65056700619580266</v>
      </c>
      <c r="DN28">
        <v>-0.44691851235231622</v>
      </c>
      <c r="DO28">
        <v>0.65056700599580264</v>
      </c>
      <c r="DP28">
        <v>-0.44691851233103619</v>
      </c>
      <c r="DQ28">
        <v>-0.10640016645524497</v>
      </c>
      <c r="DR28">
        <v>2.7333969263354536</v>
      </c>
      <c r="DW28">
        <f ca="1">(DW25*DY25*(1-COS(DW24)))-(DX25*SIN(DW24))</f>
        <v>0</v>
      </c>
      <c r="DX28">
        <f ca="1">(DX25*DY25*(1-COS(DW24)))+(DW25*SIN(DW24))</f>
        <v>0</v>
      </c>
      <c r="DY28">
        <f ca="1">(DY25*DY25*(1-COS(DW24)))+COS(DW24)</f>
        <v>1</v>
      </c>
      <c r="DZ28">
        <v>0</v>
      </c>
    </row>
    <row r="29" spans="1:136" x14ac:dyDescent="0.2">
      <c r="A29" s="8" t="s">
        <v>18</v>
      </c>
      <c r="B29" s="6">
        <f>B28*B4</f>
        <v>2.2911902404986666</v>
      </c>
      <c r="C29" t="s">
        <v>4</v>
      </c>
      <c r="G29" s="1" t="s">
        <v>84</v>
      </c>
      <c r="H29" s="21" t="s">
        <v>85</v>
      </c>
      <c r="I29" s="7">
        <v>5</v>
      </c>
      <c r="BC29">
        <v>0.47123889803846924</v>
      </c>
      <c r="BD29">
        <v>147.19754852026256</v>
      </c>
      <c r="BE29">
        <v>-35.131718218235264</v>
      </c>
      <c r="BF29" s="6">
        <f t="shared" si="0"/>
        <v>6.0488977599780309</v>
      </c>
      <c r="BG29" s="6">
        <f t="shared" si="1"/>
        <v>5.577658861939562</v>
      </c>
      <c r="BH29" s="6">
        <f t="shared" si="2"/>
        <v>-9.7266614674382815E-2</v>
      </c>
      <c r="BI29" s="6">
        <f t="shared" si="3"/>
        <v>9.7266614674382815E-2</v>
      </c>
      <c r="BJ29">
        <v>163.55283168918061</v>
      </c>
      <c r="BK29">
        <v>-39.035242464705846</v>
      </c>
      <c r="BV29" s="38"/>
      <c r="BW29" s="6">
        <f t="shared" si="27"/>
        <v>0.24434609527920612</v>
      </c>
      <c r="BX29" s="9">
        <f t="shared" ca="1" si="28"/>
        <v>23.729280064339932</v>
      </c>
      <c r="BY29" s="9">
        <f t="shared" ca="1" si="29"/>
        <v>4.9676773878810749</v>
      </c>
      <c r="BZ29" s="9">
        <f t="shared" ca="1" si="30"/>
        <v>147.62496112116111</v>
      </c>
      <c r="CA29" s="6">
        <f t="shared" ca="1" si="31"/>
        <v>-36.330882964392643</v>
      </c>
      <c r="CB29" s="6">
        <f t="shared" ca="1" si="32"/>
        <v>-0.24130714732253111</v>
      </c>
      <c r="CC29" s="6">
        <f t="shared" ca="1" si="33"/>
        <v>8.3548470314942502E-3</v>
      </c>
      <c r="CD29" s="9">
        <f t="shared" si="34"/>
        <v>135.42496112116112</v>
      </c>
      <c r="CE29" s="9">
        <f t="shared" si="35"/>
        <v>-32.13088296439264</v>
      </c>
      <c r="CF29" s="6">
        <f t="shared" si="36"/>
        <v>-0.23295230029103686</v>
      </c>
      <c r="CG29" s="6"/>
      <c r="CH29" s="6"/>
      <c r="CI29" s="6"/>
      <c r="CJ29" s="1"/>
      <c r="CK29" s="6"/>
      <c r="DK29">
        <v>2.7333969263354536</v>
      </c>
      <c r="DL29">
        <v>-2.1689011171076373</v>
      </c>
      <c r="DM29">
        <v>2.7333969264354536</v>
      </c>
      <c r="DN29">
        <v>-2.1689011171357815</v>
      </c>
      <c r="DO29">
        <v>2.7333969262354536</v>
      </c>
      <c r="DP29">
        <v>-2.1689011170639088</v>
      </c>
      <c r="DQ29">
        <v>-0.35936364994881842</v>
      </c>
      <c r="DR29">
        <v>2.9811885107037921</v>
      </c>
      <c r="DW29">
        <v>0</v>
      </c>
      <c r="DX29">
        <v>0</v>
      </c>
      <c r="DY29">
        <v>0</v>
      </c>
      <c r="DZ29">
        <v>1</v>
      </c>
      <c r="EF29" t="s">
        <v>206</v>
      </c>
    </row>
    <row r="30" spans="1:136" x14ac:dyDescent="0.2">
      <c r="A30" s="8" t="s">
        <v>102</v>
      </c>
      <c r="B30" s="1">
        <v>3.0000000000000001E-3</v>
      </c>
      <c r="BC30">
        <v>0.48869219055841256</v>
      </c>
      <c r="BD30">
        <v>147.16691271347898</v>
      </c>
      <c r="BE30">
        <v>-35.072859716816943</v>
      </c>
      <c r="BF30" s="6">
        <f t="shared" si="0"/>
        <v>6.0492291690928353</v>
      </c>
      <c r="BG30" s="6">
        <f t="shared" si="1"/>
        <v>5.5605369785344223</v>
      </c>
      <c r="BH30" s="6">
        <f t="shared" si="2"/>
        <v>-9.7598023789187138E-2</v>
      </c>
      <c r="BI30" s="6">
        <f t="shared" si="3"/>
        <v>9.7598023789187138E-2</v>
      </c>
      <c r="BJ30">
        <v>163.51879190386552</v>
      </c>
      <c r="BK30">
        <v>-38.969844129796606</v>
      </c>
      <c r="BV30" s="38"/>
      <c r="BW30" s="6">
        <f t="shared" si="27"/>
        <v>0.26179938779914941</v>
      </c>
      <c r="BX30" s="9">
        <f t="shared" ca="1" si="28"/>
        <v>23.692791593049336</v>
      </c>
      <c r="BY30" s="9">
        <f t="shared" ca="1" si="29"/>
        <v>5.1088478729813644</v>
      </c>
      <c r="BZ30" s="9">
        <f t="shared" ca="1" si="30"/>
        <v>147.58847264987051</v>
      </c>
      <c r="CA30" s="6">
        <f t="shared" ca="1" si="31"/>
        <v>-36.189712479292353</v>
      </c>
      <c r="CB30" s="6">
        <f t="shared" ca="1" si="32"/>
        <v>-0.2404624515161303</v>
      </c>
      <c r="CC30" s="6">
        <f t="shared" ca="1" si="33"/>
        <v>8.4369573598219172E-3</v>
      </c>
      <c r="CD30" s="9">
        <f t="shared" si="34"/>
        <v>135.38847264987052</v>
      </c>
      <c r="CE30" s="9">
        <f t="shared" si="35"/>
        <v>-31.989712479292354</v>
      </c>
      <c r="CF30" s="6">
        <f t="shared" si="36"/>
        <v>-0.23202549415630838</v>
      </c>
      <c r="CG30" s="6"/>
      <c r="CH30" s="6"/>
      <c r="CI30" s="6"/>
      <c r="CJ30" s="1"/>
      <c r="CK30" s="6"/>
      <c r="DK30">
        <v>2.9811885107037921</v>
      </c>
      <c r="DL30">
        <v>-2.2656400191707617</v>
      </c>
      <c r="DM30">
        <v>2.9811885108037921</v>
      </c>
      <c r="DN30">
        <v>-2.2656400192211992</v>
      </c>
      <c r="DO30">
        <v>2.9811885106037921</v>
      </c>
      <c r="DP30">
        <v>-2.2656400191203239</v>
      </c>
      <c r="DQ30">
        <v>-0.50437654053325787</v>
      </c>
      <c r="DR30">
        <v>-1.5107730241752646</v>
      </c>
      <c r="DV30" t="s">
        <v>193</v>
      </c>
      <c r="DW30">
        <f t="array" aca="1" ref="DW30:DZ30" ca="1">MMULT(DW20:DZ20,DW26:DZ29)</f>
        <v>1104.0112762248657</v>
      </c>
      <c r="DX30">
        <f ca="1"/>
        <v>-2.8421709430404007E-14</v>
      </c>
      <c r="DY30">
        <f ca="1"/>
        <v>0</v>
      </c>
      <c r="DZ30" s="9">
        <f ca="1"/>
        <v>0</v>
      </c>
      <c r="EB30">
        <f t="array" aca="1" ref="EB30:EE30" ca="1">MMULT(EB20:EE20,DW26:DZ29)</f>
        <v>45.116800088602353</v>
      </c>
      <c r="EC30">
        <f ca="1"/>
        <v>-115.21565844001017</v>
      </c>
      <c r="ED30">
        <f ca="1"/>
        <v>-0.12649110640673911</v>
      </c>
      <c r="EE30" s="9">
        <f ca="1"/>
        <v>0</v>
      </c>
      <c r="EF30">
        <f ca="1">ATAN2(EC30,ED30)</f>
        <v>-3.1404947901804325</v>
      </c>
    </row>
    <row r="31" spans="1:136" x14ac:dyDescent="0.2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147.13635326188842</v>
      </c>
      <c r="BE31">
        <v>-35.016569568445917</v>
      </c>
      <c r="BF31" s="6">
        <f t="shared" si="0"/>
        <v>6.0495443654728893</v>
      </c>
      <c r="BG31" s="6">
        <f t="shared" si="1"/>
        <v>5.5433988823945333</v>
      </c>
      <c r="BH31" s="6">
        <f t="shared" si="2"/>
        <v>-9.79132201692412E-2</v>
      </c>
      <c r="BI31" s="6">
        <f t="shared" si="3"/>
        <v>9.79132201692412E-2</v>
      </c>
      <c r="BJ31">
        <v>163.48483695765378</v>
      </c>
      <c r="BK31">
        <v>-38.907299520495464</v>
      </c>
      <c r="BV31" s="38"/>
      <c r="BW31" s="6">
        <f t="shared" si="27"/>
        <v>0.27925268031909273</v>
      </c>
      <c r="BX31" s="9">
        <f t="shared" ca="1" si="28"/>
        <v>23.65722478989268</v>
      </c>
      <c r="BY31" s="9">
        <f t="shared" ca="1" si="29"/>
        <v>5.2371607910073905</v>
      </c>
      <c r="BZ31" s="9">
        <f t="shared" ca="1" si="30"/>
        <v>147.55290584671386</v>
      </c>
      <c r="CA31" s="6">
        <f t="shared" ca="1" si="31"/>
        <v>-36.061399561266327</v>
      </c>
      <c r="CB31" s="6">
        <f t="shared" ca="1" si="32"/>
        <v>-0.23969777645933471</v>
      </c>
      <c r="CC31" s="6">
        <f t="shared" ca="1" si="33"/>
        <v>8.511505222913579E-3</v>
      </c>
      <c r="CD31" s="9">
        <f t="shared" si="34"/>
        <v>135.35290584671387</v>
      </c>
      <c r="CE31" s="9">
        <f t="shared" si="35"/>
        <v>-31.861399561266328</v>
      </c>
      <c r="CF31" s="6">
        <f t="shared" si="36"/>
        <v>-0.23118627123642113</v>
      </c>
      <c r="CG31" s="6"/>
      <c r="CH31" s="6"/>
      <c r="CI31" s="6"/>
      <c r="CJ31" s="1"/>
      <c r="CK31" s="6"/>
      <c r="DK31">
        <v>-1.5107730241752646</v>
      </c>
      <c r="DL31">
        <v>2.1520342189644612</v>
      </c>
      <c r="DM31">
        <v>-1.5107730240752646</v>
      </c>
      <c r="DN31">
        <v>2.1520342189615338</v>
      </c>
      <c r="DO31">
        <v>-1.5107730242752646</v>
      </c>
      <c r="DP31">
        <v>2.1520342189663131</v>
      </c>
      <c r="DQ31">
        <v>-2.3896440382031869E-2</v>
      </c>
      <c r="DR31">
        <v>0.5813182970992693</v>
      </c>
      <c r="DV31" t="s">
        <v>194</v>
      </c>
      <c r="DW31">
        <f t="array" aca="1" ref="DW31:DY31" ca="1">MMULT(DW21:DY21,DW26:DY28)</f>
        <v>0</v>
      </c>
      <c r="DX31">
        <f ca="1"/>
        <v>0</v>
      </c>
      <c r="DY31">
        <f ca="1"/>
        <v>0</v>
      </c>
      <c r="DZ31" s="9">
        <f ca="1">SQRT(POWER(DW31,2)+POWER(DX31,2)+POWER(DY31,2))</f>
        <v>0</v>
      </c>
      <c r="EB31">
        <f t="array" aca="1" ref="EB31:EE31" ca="1">MMULT(EB21:EE21,DW26:DZ29)</f>
        <v>16.016804494200311</v>
      </c>
      <c r="EC31">
        <f ca="1"/>
        <v>24.293982919784781</v>
      </c>
      <c r="ED31">
        <f ca="1"/>
        <v>-1.5236699570880798</v>
      </c>
      <c r="EE31" s="9">
        <f ca="1"/>
        <v>0</v>
      </c>
      <c r="EF31">
        <f ca="1">ATAN2(EC31,ED31)</f>
        <v>-6.2635956185627673E-2</v>
      </c>
    </row>
    <row r="32" spans="1:136" x14ac:dyDescent="0.2">
      <c r="J32" t="s">
        <v>88</v>
      </c>
      <c r="N32" t="s">
        <v>89</v>
      </c>
      <c r="BC32">
        <v>0.52359877559829915</v>
      </c>
      <c r="BD32">
        <v>147.10583149959817</v>
      </c>
      <c r="BE32">
        <v>-34.962616774948792</v>
      </c>
      <c r="BF32" s="6">
        <f t="shared" si="0"/>
        <v>6.0498447583086472</v>
      </c>
      <c r="BG32" s="6">
        <f t="shared" si="1"/>
        <v>5.5262459827103481</v>
      </c>
      <c r="BH32" s="6">
        <f t="shared" si="2"/>
        <v>-9.8213613004999076E-2</v>
      </c>
      <c r="BI32" s="6">
        <f t="shared" si="3"/>
        <v>9.8213613004999076E-2</v>
      </c>
      <c r="BJ32">
        <v>163.45092388844242</v>
      </c>
      <c r="BK32">
        <v>-38.84735197216532</v>
      </c>
      <c r="BV32" s="38"/>
      <c r="BW32" s="6">
        <f t="shared" si="27"/>
        <v>0.29670597283903605</v>
      </c>
      <c r="BX32" s="9">
        <f t="shared" ca="1" si="28"/>
        <v>23.622464991382074</v>
      </c>
      <c r="BY32" s="9">
        <f t="shared" ca="1" si="29"/>
        <v>5.3545584713299803</v>
      </c>
      <c r="BZ32" s="9">
        <f t="shared" ca="1" si="30"/>
        <v>147.51814604820325</v>
      </c>
      <c r="CA32" s="6">
        <f t="shared" ca="1" si="31"/>
        <v>-35.944001880943738</v>
      </c>
      <c r="CB32" s="6">
        <f t="shared" ca="1" si="32"/>
        <v>-0.23900103563876635</v>
      </c>
      <c r="CC32" s="6">
        <f t="shared" ca="1" si="33"/>
        <v>8.5796287024950679E-3</v>
      </c>
      <c r="CD32" s="9">
        <f t="shared" si="34"/>
        <v>135.31814604820326</v>
      </c>
      <c r="CE32" s="9">
        <f t="shared" si="35"/>
        <v>-31.744001880943738</v>
      </c>
      <c r="CF32" s="6">
        <f t="shared" si="36"/>
        <v>-0.23042140693627128</v>
      </c>
      <c r="CG32" s="6"/>
      <c r="CH32" s="6"/>
      <c r="CI32" s="6"/>
      <c r="CJ32" s="1"/>
      <c r="CK32" s="6"/>
      <c r="DK32">
        <v>0.5813182970992693</v>
      </c>
      <c r="DL32">
        <v>-0.43892882042798442</v>
      </c>
      <c r="DM32">
        <v>0.58131829719926931</v>
      </c>
      <c r="DN32">
        <v>-0.4389288204409354</v>
      </c>
      <c r="DO32">
        <v>0.58131829699926929</v>
      </c>
      <c r="DP32">
        <v>-0.43892882041544889</v>
      </c>
      <c r="DQ32">
        <v>-0.12743250898950009</v>
      </c>
      <c r="DR32">
        <v>-2.8630839508714612</v>
      </c>
      <c r="EB32">
        <f t="array" aca="1" ref="EB32:EE32" ca="1">MMULT(EB22:EE22,DW26:DZ29)</f>
        <v>44.471085443893536</v>
      </c>
      <c r="EC32">
        <f ca="1"/>
        <v>-112.12000784641788</v>
      </c>
      <c r="ED32">
        <f ca="1"/>
        <v>6.1980642139300244</v>
      </c>
      <c r="EE32" s="9">
        <f ca="1"/>
        <v>0</v>
      </c>
      <c r="EF32">
        <f ca="1">ATAN2(COS(EF30-EF31),SIN(EF30-EF31))</f>
        <v>-3.0778588339948048</v>
      </c>
    </row>
    <row r="33" spans="1:139" x14ac:dyDescent="0.2">
      <c r="A33" t="s">
        <v>19</v>
      </c>
      <c r="J33">
        <f>(J38*COS(-1*$B$27))+(K38*SIN(-1*$B$27))+$I$2</f>
        <v>1.4608635747366163</v>
      </c>
      <c r="K33">
        <f>(-1*J38*SIN(-1*$B$27))+(K38*COS(-1*$B$27))+$I$3</f>
        <v>27.84821759462212</v>
      </c>
      <c r="N33" t="e">
        <f>IF(B1="PCA_Parabolic",NA(),(N38*COS(-1*$B$27))+(O38*SIN(-1*$B$27))+$I$2)</f>
        <v>#N/A</v>
      </c>
      <c r="O33">
        <f>(-1*N38*SIN(-1*$B$27))+(O38*COS(-1*$B$27))+$I$3</f>
        <v>28.318294878292132</v>
      </c>
      <c r="BC33">
        <v>0.54105206811824247</v>
      </c>
      <c r="BD33">
        <v>147.07530979837915</v>
      </c>
      <c r="BE33">
        <v>-34.910796208372695</v>
      </c>
      <c r="BF33" s="6">
        <f t="shared" si="0"/>
        <v>6.0501315945441272</v>
      </c>
      <c r="BG33" s="6">
        <f t="shared" si="1"/>
        <v>5.5090795264258849</v>
      </c>
      <c r="BH33" s="6">
        <f t="shared" si="2"/>
        <v>-9.8500449240479071E-2</v>
      </c>
      <c r="BI33" s="6">
        <f t="shared" si="3"/>
        <v>9.8500449240479071E-2</v>
      </c>
      <c r="BJ33">
        <v>163.41701088708794</v>
      </c>
      <c r="BK33">
        <v>-38.78977356485855</v>
      </c>
      <c r="BV33" s="38"/>
      <c r="BW33" s="6">
        <f t="shared" si="27"/>
        <v>0.31415926535897937</v>
      </c>
      <c r="BX33" s="9">
        <f t="shared" ca="1" si="28"/>
        <v>23.588412559255616</v>
      </c>
      <c r="BY33" s="9">
        <f t="shared" ca="1" si="29"/>
        <v>5.462599974389974</v>
      </c>
      <c r="BZ33" s="9">
        <f t="shared" ca="1" si="30"/>
        <v>147.48409361607679</v>
      </c>
      <c r="CA33" s="6">
        <f t="shared" ca="1" si="31"/>
        <v>-35.835960377883744</v>
      </c>
      <c r="CB33" s="6">
        <f t="shared" ca="1" si="32"/>
        <v>-0.23836253220645329</v>
      </c>
      <c r="CC33" s="6">
        <f t="shared" ca="1" si="33"/>
        <v>8.6422418510194998E-3</v>
      </c>
      <c r="CD33" s="9">
        <f t="shared" si="34"/>
        <v>135.2840936160768</v>
      </c>
      <c r="CE33" s="9">
        <f t="shared" si="35"/>
        <v>-31.635960377883745</v>
      </c>
      <c r="CF33" s="6">
        <f t="shared" si="36"/>
        <v>-0.22972029035543379</v>
      </c>
      <c r="CG33" s="6"/>
      <c r="CH33" s="6"/>
      <c r="CI33" s="6"/>
      <c r="CJ33" s="1"/>
      <c r="CK33" s="6"/>
      <c r="DK33">
        <v>-2.8630839508714612</v>
      </c>
      <c r="DL33">
        <v>-2.497582316601775</v>
      </c>
      <c r="DM33">
        <v>-2.8630839507714612</v>
      </c>
      <c r="DN33">
        <v>-2.4975823166556981</v>
      </c>
      <c r="DO33">
        <v>-2.8630839509714612</v>
      </c>
      <c r="DP33">
        <v>-2.4975823165632951</v>
      </c>
      <c r="DQ33">
        <v>-0.46201487080566039</v>
      </c>
      <c r="DR33">
        <v>-1.9857469711418057</v>
      </c>
    </row>
    <row r="34" spans="1:139" x14ac:dyDescent="0.2">
      <c r="J34">
        <f>(J39*COS(-1*$B$27))+(K39*SIN(-1*$B$27))+$I$2</f>
        <v>22.438576685756551</v>
      </c>
      <c r="K34">
        <f>(-1*J39*SIN(-1*$B$27))+(K39*COS(-1*$B$27))+$I$3</f>
        <v>13.242158186441747</v>
      </c>
      <c r="N34" t="e">
        <f>IF(B1="PCA_Parabolic",NA(),(N39*COS(-1*$B$27))+(O39*SIN(-1*$B$27))+$I$2)</f>
        <v>#N/A</v>
      </c>
      <c r="O34">
        <f>(-1*N39*SIN(-1*$B$27))+(O39*COS(-1*$B$27))+$I$3</f>
        <v>13.712235470111757</v>
      </c>
      <c r="BC34">
        <v>0.55850536063818579</v>
      </c>
      <c r="BD34">
        <v>147.0447512882246</v>
      </c>
      <c r="BE34">
        <v>-34.860924905792736</v>
      </c>
      <c r="BF34" s="6">
        <f t="shared" ref="BF34:BF65" si="41">IF(BC34&lt;&gt;"",IF(AND(BD34=0,BE34=0),0,MOD(ATAN2(BD34,BE34),2*PI())),NA())</f>
        <v>6.05040598188332</v>
      </c>
      <c r="BG34" s="6">
        <f t="shared" ref="BG34:BG65" si="42">ABS(BC34-BF34)</f>
        <v>5.4919006212451347</v>
      </c>
      <c r="BH34" s="6">
        <f t="shared" si="2"/>
        <v>-9.8774836579671899E-2</v>
      </c>
      <c r="BI34" s="6">
        <f t="shared" si="3"/>
        <v>9.8774836579671899E-2</v>
      </c>
      <c r="BJ34">
        <v>163.38305698691622</v>
      </c>
      <c r="BK34">
        <v>-38.734361006436373</v>
      </c>
      <c r="BV34" s="38"/>
      <c r="BW34" s="6">
        <f t="shared" si="27"/>
        <v>0.33161255787892269</v>
      </c>
      <c r="BX34" s="9">
        <f t="shared" ca="1" si="28"/>
        <v>23.554979908932253</v>
      </c>
      <c r="BY34" s="9">
        <f t="shared" ca="1" si="29"/>
        <v>5.5625532097997237</v>
      </c>
      <c r="BZ34" s="9">
        <f t="shared" ca="1" si="30"/>
        <v>147.45066096575343</v>
      </c>
      <c r="CA34" s="6">
        <f t="shared" ca="1" si="31"/>
        <v>-35.736007142473994</v>
      </c>
      <c r="CB34" s="6">
        <f t="shared" ca="1" si="32"/>
        <v>-0.23777438498807199</v>
      </c>
      <c r="CC34" s="6">
        <f t="shared" ca="1" si="33"/>
        <v>8.7000883689485053E-3</v>
      </c>
      <c r="CD34" s="9">
        <f t="shared" si="34"/>
        <v>135.25066096575344</v>
      </c>
      <c r="CE34" s="9">
        <f t="shared" si="35"/>
        <v>-31.536007142473995</v>
      </c>
      <c r="CF34" s="6">
        <f t="shared" si="36"/>
        <v>-0.22907429661912349</v>
      </c>
      <c r="CG34" s="6"/>
      <c r="CH34" s="6"/>
      <c r="CI34" s="6"/>
      <c r="CJ34" s="1"/>
      <c r="CK34" s="6"/>
      <c r="DK34">
        <v>-1.9857469711418057</v>
      </c>
      <c r="DL34">
        <v>2.1623962919960009</v>
      </c>
      <c r="DM34">
        <v>-1.9857469710418056</v>
      </c>
      <c r="DN34">
        <v>2.1623962919921782</v>
      </c>
      <c r="DO34">
        <v>-1.9857469712418057</v>
      </c>
      <c r="DP34">
        <v>2.1623962919980118</v>
      </c>
      <c r="DQ34">
        <v>-2.9167779302952113E-2</v>
      </c>
      <c r="DR34">
        <v>3.0356879664215102</v>
      </c>
      <c r="EB34" t="s">
        <v>207</v>
      </c>
    </row>
    <row r="35" spans="1:139" x14ac:dyDescent="0.2">
      <c r="A35" s="8" t="s">
        <v>20</v>
      </c>
      <c r="AD35" t="s">
        <v>135</v>
      </c>
      <c r="BC35">
        <v>0.57595865315812911</v>
      </c>
      <c r="BD35">
        <v>147.01411958171315</v>
      </c>
      <c r="BE35">
        <v>-34.812838991352621</v>
      </c>
      <c r="BF35" s="6">
        <f t="shared" si="41"/>
        <v>6.0506689078425282</v>
      </c>
      <c r="BG35" s="6">
        <f t="shared" si="42"/>
        <v>5.4747102546843989</v>
      </c>
      <c r="BH35" s="6">
        <f t="shared" si="2"/>
        <v>-9.9037762538880081E-2</v>
      </c>
      <c r="BI35" s="6">
        <f t="shared" si="3"/>
        <v>9.9037762538880081E-2</v>
      </c>
      <c r="BJ35">
        <v>163.34902175745904</v>
      </c>
      <c r="BK35">
        <v>-38.680932212614024</v>
      </c>
      <c r="BV35" s="38"/>
      <c r="BW35" s="6">
        <f t="shared" si="27"/>
        <v>0.34906585039886601</v>
      </c>
      <c r="BX35" s="9">
        <f t="shared" ca="1" si="28"/>
        <v>23.522089236119754</v>
      </c>
      <c r="BY35" s="9">
        <f t="shared" ca="1" si="29"/>
        <v>5.6554613788579928</v>
      </c>
      <c r="BZ35" s="9">
        <f t="shared" ca="1" si="30"/>
        <v>147.41777029294093</v>
      </c>
      <c r="CA35" s="6">
        <f t="shared" ca="1" si="31"/>
        <v>-35.643098973415725</v>
      </c>
      <c r="CB35" s="6">
        <f t="shared" ca="1" si="32"/>
        <v>-0.23723011434829852</v>
      </c>
      <c r="CC35" s="6">
        <f t="shared" ca="1" si="33"/>
        <v>8.7537803644511247E-3</v>
      </c>
      <c r="CD35" s="9">
        <f t="shared" si="34"/>
        <v>135.21777029294094</v>
      </c>
      <c r="CE35" s="9">
        <f t="shared" si="35"/>
        <v>-31.443098973415726</v>
      </c>
      <c r="CF35" s="6">
        <f t="shared" si="36"/>
        <v>-0.2284763339838474</v>
      </c>
      <c r="CG35" s="6"/>
      <c r="CH35" s="6"/>
      <c r="CI35" s="6"/>
      <c r="CJ35" s="1"/>
      <c r="CK35" s="6"/>
      <c r="DK35">
        <v>3.0356879664215102</v>
      </c>
      <c r="DL35">
        <v>-2.2931533870971319</v>
      </c>
      <c r="DM35">
        <v>3.0356879665215102</v>
      </c>
      <c r="DN35">
        <v>-2.2931533871514871</v>
      </c>
      <c r="DO35">
        <v>3.0356879663215102</v>
      </c>
      <c r="DP35">
        <v>-2.2931533870509671</v>
      </c>
      <c r="DQ35">
        <v>-0.50260018369385762</v>
      </c>
      <c r="DR35">
        <v>-1.5268917171822884</v>
      </c>
      <c r="EE35" s="9"/>
    </row>
    <row r="36" spans="1:139" x14ac:dyDescent="0.2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76.588219866820097</v>
      </c>
      <c r="H36" s="14" t="s">
        <v>4</v>
      </c>
      <c r="J36" t="s">
        <v>52</v>
      </c>
      <c r="N36" t="s">
        <v>53</v>
      </c>
      <c r="AD36" t="s">
        <v>8</v>
      </c>
      <c r="AE36" t="s">
        <v>9</v>
      </c>
      <c r="BC36">
        <v>0.59341194567807243</v>
      </c>
      <c r="BD36">
        <v>146.98337854655603</v>
      </c>
      <c r="BE36">
        <v>-34.766391088025308</v>
      </c>
      <c r="BF36" s="6">
        <f t="shared" si="41"/>
        <v>6.0509212557856209</v>
      </c>
      <c r="BG36" s="6">
        <f t="shared" si="42"/>
        <v>5.4575093101075485</v>
      </c>
      <c r="BH36" s="6">
        <f t="shared" si="2"/>
        <v>-9.9290110481972782E-2</v>
      </c>
      <c r="BI36" s="6">
        <f t="shared" si="3"/>
        <v>9.9290110481972782E-2</v>
      </c>
      <c r="BJ36">
        <v>163.3148650517289</v>
      </c>
      <c r="BK36">
        <v>-38.629323431139234</v>
      </c>
      <c r="BV36" s="38"/>
      <c r="BW36" s="6">
        <f t="shared" si="27"/>
        <v>0.36651914291880933</v>
      </c>
      <c r="BX36" s="9">
        <f t="shared" ca="1" si="28"/>
        <v>23.489670727462496</v>
      </c>
      <c r="BY36" s="9">
        <f t="shared" ca="1" si="29"/>
        <v>5.7421917863672718</v>
      </c>
      <c r="BZ36" s="9">
        <f t="shared" ca="1" si="30"/>
        <v>147.38535178428367</v>
      </c>
      <c r="CA36" s="6">
        <f t="shared" ca="1" si="31"/>
        <v>-35.556368565906446</v>
      </c>
      <c r="CB36" s="6">
        <f t="shared" ca="1" si="32"/>
        <v>-0.23672433791058528</v>
      </c>
      <c r="CC36" s="6">
        <f t="shared" ca="1" si="33"/>
        <v>8.8038268547572258E-3</v>
      </c>
      <c r="CD36" s="9">
        <f t="shared" si="34"/>
        <v>135.18535178428368</v>
      </c>
      <c r="CE36" s="9">
        <f t="shared" si="35"/>
        <v>-31.356368565906447</v>
      </c>
      <c r="CF36" s="6">
        <f t="shared" si="36"/>
        <v>-0.22792051105582806</v>
      </c>
      <c r="CG36" s="6"/>
      <c r="CH36" s="6"/>
      <c r="CI36" s="6"/>
      <c r="CJ36" s="1"/>
      <c r="CK36" s="6"/>
      <c r="DK36">
        <v>-1.5268917171822884</v>
      </c>
      <c r="DL36">
        <v>2.1524135764296712</v>
      </c>
      <c r="DM36">
        <v>-1.5268917170822884</v>
      </c>
      <c r="DN36">
        <v>2.15241357642675</v>
      </c>
      <c r="DO36">
        <v>-1.5268917172822885</v>
      </c>
      <c r="DP36">
        <v>2.1524135764325907</v>
      </c>
      <c r="DQ36">
        <v>-2.9203306439740118E-2</v>
      </c>
      <c r="DR36">
        <v>3.0625177502220042</v>
      </c>
      <c r="EB36">
        <f ca="1">(EB32-EB30)</f>
        <v>-0.64571464470881779</v>
      </c>
      <c r="EC36">
        <f t="shared" ref="EC36:ED36" ca="1" si="43">(EC32-EC30)</f>
        <v>3.0956505935922962</v>
      </c>
      <c r="ED36">
        <f t="shared" ca="1" si="43"/>
        <v>6.3245553203367635</v>
      </c>
      <c r="EE36" s="9">
        <f ca="1">SQRT(POWER(EB36,2)+POWER(EC36,2)+POWER(ED36,2))</f>
        <v>7.071067811865464</v>
      </c>
      <c r="EF36">
        <f ca="1">EB36/EE36</f>
        <v>-9.1317840797013605E-2</v>
      </c>
      <c r="EG36">
        <f ca="1">EC36/EE36</f>
        <v>0.43779110538265548</v>
      </c>
      <c r="EH36">
        <f ca="1">ED36/EE36</f>
        <v>0.89442719099991796</v>
      </c>
    </row>
    <row r="37" spans="1:139" x14ac:dyDescent="0.2">
      <c r="A37" s="3">
        <f t="shared" ref="A37:A45" si="44">E3-$I$2</f>
        <v>-6</v>
      </c>
      <c r="B37" s="6">
        <f t="shared" ref="B37:B45" si="45">F3-$I$3</f>
        <v>-12</v>
      </c>
      <c r="C37" s="6">
        <f t="shared" ref="C37:C45" si="46">A37*COS($B$27)+B37*SIN($B$27)</f>
        <v>1.932829184100429</v>
      </c>
      <c r="D37" s="6">
        <f t="shared" ref="D37:D45" si="47">-1*A37*SIN($B$27)+B37*COS($B$27)</f>
        <v>-13.276451760357121</v>
      </c>
      <c r="F37" s="8" t="s">
        <v>23</v>
      </c>
      <c r="G37" s="1">
        <f>MAX(D37:D41)-MIN(D37:D41)</f>
        <v>26.552903520714242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146.95249205473797</v>
      </c>
      <c r="BE37">
        <v>-34.721448148953471</v>
      </c>
      <c r="BF37" s="6">
        <f t="shared" si="41"/>
        <v>6.0511638182720437</v>
      </c>
      <c r="BG37" s="6">
        <f t="shared" si="42"/>
        <v>5.4402985800740282</v>
      </c>
      <c r="BH37" s="6">
        <f t="shared" si="2"/>
        <v>-9.9532672968395616E-2</v>
      </c>
      <c r="BI37" s="6">
        <f t="shared" si="3"/>
        <v>9.9532672968395616E-2</v>
      </c>
      <c r="BJ37">
        <v>163.28054672748664</v>
      </c>
      <c r="BK37">
        <v>-38.57938683217052</v>
      </c>
      <c r="BV37" s="38"/>
      <c r="BW37" s="6">
        <f t="shared" si="27"/>
        <v>0.38397243543875265</v>
      </c>
      <c r="BX37" s="9">
        <f t="shared" ca="1" si="28"/>
        <v>23.457661149746556</v>
      </c>
      <c r="BY37" s="9">
        <f t="shared" ca="1" si="29"/>
        <v>5.823472300993096</v>
      </c>
      <c r="BZ37" s="9">
        <f t="shared" ca="1" si="30"/>
        <v>147.35334220656773</v>
      </c>
      <c r="CA37" s="6">
        <f t="shared" ca="1" si="31"/>
        <v>-35.475088051280622</v>
      </c>
      <c r="CB37" s="6">
        <f t="shared" ca="1" si="32"/>
        <v>-0.23625254323386938</v>
      </c>
      <c r="CC37" s="6">
        <f t="shared" ca="1" si="33"/>
        <v>8.8506550745925949E-3</v>
      </c>
      <c r="CD37" s="9">
        <f t="shared" si="34"/>
        <v>135.15334220656774</v>
      </c>
      <c r="CE37" s="9">
        <f t="shared" si="35"/>
        <v>-31.275088051280623</v>
      </c>
      <c r="CF37" s="6">
        <f t="shared" si="36"/>
        <v>-0.22740188815927678</v>
      </c>
      <c r="CG37" s="6"/>
      <c r="CH37" s="6"/>
      <c r="CI37" s="6"/>
      <c r="CJ37" s="1"/>
      <c r="CK37" s="6"/>
      <c r="DK37">
        <v>3.0625177502220042</v>
      </c>
      <c r="DL37">
        <v>-2.3075767943621766</v>
      </c>
      <c r="DM37">
        <v>3.0625177503220042</v>
      </c>
      <c r="DN37">
        <v>-2.3075767944128929</v>
      </c>
      <c r="DO37">
        <v>3.0625177501220042</v>
      </c>
      <c r="DP37">
        <v>-2.3075767943048642</v>
      </c>
      <c r="DQ37">
        <v>-0.54014348549458191</v>
      </c>
      <c r="DR37">
        <v>-1.20963743878161</v>
      </c>
      <c r="EB37">
        <f ca="1">EB31-EB30</f>
        <v>-29.099995594402042</v>
      </c>
      <c r="EC37">
        <f t="shared" ref="EC37:ED37" ca="1" si="48">EC31-EC30</f>
        <v>139.50964135979495</v>
      </c>
      <c r="ED37">
        <f t="shared" ca="1" si="48"/>
        <v>-1.3971788506813407</v>
      </c>
      <c r="EE37" s="9">
        <f ca="1">SQRT(POWER(EB37,2)+POWER(EC37,2)+POWER(ED37,2))</f>
        <v>142.51912813609835</v>
      </c>
      <c r="EF37">
        <f ca="1">EB37/EE37</f>
        <v>-0.20418308738608801</v>
      </c>
      <c r="EG37">
        <f ca="1">EC37/EE37</f>
        <v>0.97888362905623805</v>
      </c>
      <c r="EH37">
        <f ca="1">ED37/EE37</f>
        <v>-9.8034479227736195E-3</v>
      </c>
    </row>
    <row r="38" spans="1:139" x14ac:dyDescent="0.2">
      <c r="A38" s="3">
        <f t="shared" si="44"/>
        <v>6</v>
      </c>
      <c r="B38" s="6">
        <f t="shared" si="45"/>
        <v>-12</v>
      </c>
      <c r="C38" s="6">
        <f t="shared" si="46"/>
        <v>11.780858918745954</v>
      </c>
      <c r="D38" s="6">
        <f t="shared" si="47"/>
        <v>-6.4196077089339294</v>
      </c>
      <c r="F38" s="8" t="s">
        <v>24</v>
      </c>
      <c r="G38" s="6">
        <f>MAX(D37:D43)</f>
        <v>13.276451760357121</v>
      </c>
      <c r="H38" t="s">
        <v>4</v>
      </c>
      <c r="J38" s="9">
        <f>MIN(C37:C43,A37:A43)-1</f>
        <v>-12.780858918745954</v>
      </c>
      <c r="K38" s="9">
        <f>G40</f>
        <v>10.412463959733788</v>
      </c>
      <c r="N38" s="9">
        <f>J38</f>
        <v>-12.780858918745954</v>
      </c>
      <c r="O38" s="9">
        <f>G41</f>
        <v>10.985261519858454</v>
      </c>
      <c r="AD38">
        <f>AE37</f>
        <v>6.2831853071795862</v>
      </c>
      <c r="AE38">
        <f>AE37</f>
        <v>6.2831853071795862</v>
      </c>
      <c r="BC38">
        <v>0.62831853071795907</v>
      </c>
      <c r="BD38">
        <v>146.92142377303125</v>
      </c>
      <c r="BE38">
        <v>-34.677889609319642</v>
      </c>
      <c r="BF38" s="6">
        <f t="shared" si="41"/>
        <v>6.0513973084445318</v>
      </c>
      <c r="BG38" s="6">
        <f t="shared" si="42"/>
        <v>5.4230787777265732</v>
      </c>
      <c r="BH38" s="6">
        <f t="shared" si="2"/>
        <v>-9.9766163140883699E-2</v>
      </c>
      <c r="BI38" s="6">
        <f t="shared" si="3"/>
        <v>9.9766163140883699E-2</v>
      </c>
      <c r="BJ38">
        <v>163.24602641447916</v>
      </c>
      <c r="BK38">
        <v>-38.530988454799605</v>
      </c>
      <c r="BV38" s="38"/>
      <c r="BW38" s="6">
        <f t="shared" si="27"/>
        <v>0.40142572795869597</v>
      </c>
      <c r="BX38" s="9">
        <f t="shared" ca="1" si="28"/>
        <v>23.426002715347224</v>
      </c>
      <c r="BY38" s="9">
        <f t="shared" ca="1" si="29"/>
        <v>5.8999189944148895</v>
      </c>
      <c r="BZ38" s="9">
        <f t="shared" ca="1" si="30"/>
        <v>147.3216837721684</v>
      </c>
      <c r="CA38" s="6">
        <f t="shared" ca="1" si="31"/>
        <v>-35.398641357858828</v>
      </c>
      <c r="CB38" s="6">
        <f t="shared" ca="1" si="32"/>
        <v>-0.23581091548046745</v>
      </c>
      <c r="CC38" s="6">
        <f t="shared" ca="1" si="33"/>
        <v>8.8946266416360664E-3</v>
      </c>
      <c r="CD38" s="9">
        <f t="shared" si="34"/>
        <v>135.12168377216841</v>
      </c>
      <c r="CE38" s="9">
        <f t="shared" si="35"/>
        <v>-31.198641357858829</v>
      </c>
      <c r="CF38" s="6">
        <f t="shared" si="36"/>
        <v>-0.22691628883883139</v>
      </c>
      <c r="CG38" s="6"/>
      <c r="CH38" s="6"/>
      <c r="CI38" s="6"/>
      <c r="CJ38" s="1"/>
      <c r="CK38" s="6"/>
      <c r="DK38">
        <v>-1.20963743878161</v>
      </c>
      <c r="DL38">
        <v>2.1442878891289894</v>
      </c>
      <c r="DM38">
        <v>-1.20963743868161</v>
      </c>
      <c r="DN38">
        <v>2.1442878891256179</v>
      </c>
      <c r="DO38">
        <v>-1.20963743888161</v>
      </c>
      <c r="DP38">
        <v>2.1442878891317347</v>
      </c>
      <c r="DQ38">
        <v>-3.0584423882373812E-2</v>
      </c>
      <c r="DR38">
        <v>-0.21422033310202962</v>
      </c>
      <c r="EF38">
        <f ca="1">EF36-EF37</f>
        <v>0.1128652465890744</v>
      </c>
      <c r="EG38">
        <f ca="1">EG36-EG37</f>
        <v>-0.54109252367358263</v>
      </c>
      <c r="EH38">
        <f ca="1">EH36-EH37</f>
        <v>0.90423063892269162</v>
      </c>
      <c r="EI38" s="9"/>
    </row>
    <row r="39" spans="1:139" x14ac:dyDescent="0.2">
      <c r="A39" s="3">
        <f t="shared" si="44"/>
        <v>6</v>
      </c>
      <c r="B39" s="6">
        <f t="shared" si="45"/>
        <v>4</v>
      </c>
      <c r="C39" s="6">
        <f t="shared" si="46"/>
        <v>2.6384001835150319</v>
      </c>
      <c r="D39" s="6">
        <f t="shared" si="47"/>
        <v>6.7110986039267706</v>
      </c>
      <c r="J39" s="9">
        <f>MAX(C37:C43,A37:A43)+1</f>
        <v>12.780858918745954</v>
      </c>
      <c r="K39" s="9">
        <f>K38</f>
        <v>10.412463959733788</v>
      </c>
      <c r="N39" s="9">
        <f>J39</f>
        <v>12.780858918745954</v>
      </c>
      <c r="O39" s="9">
        <f>G41</f>
        <v>10.985261519858454</v>
      </c>
      <c r="AD39">
        <f>AD38</f>
        <v>6.2831853071795862</v>
      </c>
      <c r="AE39">
        <v>0</v>
      </c>
      <c r="BC39">
        <v>0.64577182323790239</v>
      </c>
      <c r="BD39">
        <v>146.89013693763897</v>
      </c>
      <c r="BE39">
        <v>-34.635605818923878</v>
      </c>
      <c r="BF39" s="6">
        <f t="shared" si="41"/>
        <v>6.0516223696179949</v>
      </c>
      <c r="BG39" s="6">
        <f t="shared" si="42"/>
        <v>5.4058505463800923</v>
      </c>
      <c r="BH39" s="6">
        <f t="shared" si="2"/>
        <v>-9.9991224314346816E-2</v>
      </c>
      <c r="BI39" s="6">
        <f t="shared" si="3"/>
        <v>9.9991224314346816E-2</v>
      </c>
      <c r="BJ39">
        <v>163.21126326404331</v>
      </c>
      <c r="BK39">
        <v>-38.484006465470976</v>
      </c>
      <c r="BV39" s="38"/>
      <c r="BW39" s="6">
        <f t="shared" si="27"/>
        <v>0.41887902047863929</v>
      </c>
      <c r="BX39" s="9">
        <f t="shared" ca="1" si="28"/>
        <v>23.394642148543809</v>
      </c>
      <c r="BY39" s="9">
        <f t="shared" ca="1" si="29"/>
        <v>5.9720573726805313</v>
      </c>
      <c r="BZ39" s="9">
        <f t="shared" ca="1" si="30"/>
        <v>147.29032320536498</v>
      </c>
      <c r="CA39" s="6">
        <f t="shared" ca="1" si="31"/>
        <v>-35.326502979593187</v>
      </c>
      <c r="CB39" s="6">
        <f t="shared" ca="1" si="32"/>
        <v>-0.23539620505594691</v>
      </c>
      <c r="CC39" s="6">
        <f t="shared" ca="1" si="33"/>
        <v>8.9360499817984218E-3</v>
      </c>
      <c r="CD39" s="9">
        <f t="shared" si="34"/>
        <v>135.090323205365</v>
      </c>
      <c r="CE39" s="9">
        <f t="shared" si="35"/>
        <v>-31.126502979593187</v>
      </c>
      <c r="CF39" s="6">
        <f t="shared" si="36"/>
        <v>-0.22646015507414849</v>
      </c>
      <c r="CG39" s="6"/>
      <c r="CH39" s="6"/>
      <c r="CI39" s="6"/>
      <c r="CJ39" s="1"/>
      <c r="CK39" s="6"/>
      <c r="DK39">
        <v>-0.21422033310202962</v>
      </c>
      <c r="DL39">
        <v>2.0645838937026983</v>
      </c>
      <c r="DM39">
        <v>-0.21422033300202961</v>
      </c>
      <c r="DN39">
        <v>2.0645838936791003</v>
      </c>
      <c r="DO39">
        <v>-0.21422033320202963</v>
      </c>
      <c r="DP39">
        <v>2.0645838937273417</v>
      </c>
      <c r="DQ39">
        <v>-0.24120705433006151</v>
      </c>
      <c r="DR39">
        <v>2.061978741891449</v>
      </c>
    </row>
    <row r="40" spans="1:139" x14ac:dyDescent="0.2">
      <c r="A40" s="3">
        <f t="shared" si="44"/>
        <v>6</v>
      </c>
      <c r="B40" s="6">
        <f t="shared" si="45"/>
        <v>4</v>
      </c>
      <c r="C40" s="6">
        <f t="shared" si="46"/>
        <v>2.6384001835150319</v>
      </c>
      <c r="D40" s="6">
        <f t="shared" si="47"/>
        <v>6.7110986039267706</v>
      </c>
      <c r="F40" s="8" t="s">
        <v>50</v>
      </c>
      <c r="G40" s="9">
        <f>G38-B28</f>
        <v>10.412463959733788</v>
      </c>
      <c r="AD40">
        <f>AE39</f>
        <v>0</v>
      </c>
      <c r="AE40">
        <f>AE39</f>
        <v>0</v>
      </c>
      <c r="BC40">
        <v>0.66322511575784571</v>
      </c>
      <c r="BD40">
        <v>146.85859413364147</v>
      </c>
      <c r="BE40">
        <v>-34.594496699411103</v>
      </c>
      <c r="BF40" s="6">
        <f t="shared" si="41"/>
        <v>6.0518395834561325</v>
      </c>
      <c r="BG40" s="6">
        <f t="shared" si="42"/>
        <v>5.3886144676982868</v>
      </c>
      <c r="BH40" s="6">
        <f t="shared" si="2"/>
        <v>-0.10020843815248437</v>
      </c>
      <c r="BI40" s="6">
        <f t="shared" si="3"/>
        <v>0.10020843815248437</v>
      </c>
      <c r="BJ40">
        <v>163.17621570404609</v>
      </c>
      <c r="BK40">
        <v>-38.438329666012336</v>
      </c>
      <c r="BV40" s="38"/>
      <c r="BW40" s="6">
        <f t="shared" si="27"/>
        <v>0.43633231299858261</v>
      </c>
      <c r="BX40" s="9">
        <f t="shared" ca="1" si="28"/>
        <v>23.363529926513323</v>
      </c>
      <c r="BY40" s="9">
        <f t="shared" ca="1" si="29"/>
        <v>6.0403388900109718</v>
      </c>
      <c r="BZ40" s="9">
        <f t="shared" ca="1" si="30"/>
        <v>147.2592109833345</v>
      </c>
      <c r="CA40" s="6">
        <f t="shared" ca="1" si="31"/>
        <v>-35.258221462262746</v>
      </c>
      <c r="CB40" s="6">
        <f t="shared" ca="1" si="32"/>
        <v>-0.23500562465277167</v>
      </c>
      <c r="CC40" s="6">
        <f t="shared" ca="1" si="33"/>
        <v>8.9751900003086638E-3</v>
      </c>
      <c r="CD40" s="9">
        <f t="shared" si="34"/>
        <v>135.05921098333451</v>
      </c>
      <c r="CE40" s="9">
        <f t="shared" si="35"/>
        <v>-31.058221462262747</v>
      </c>
      <c r="CF40" s="6">
        <f t="shared" si="36"/>
        <v>-0.226030434652463</v>
      </c>
      <c r="CG40" s="6"/>
      <c r="CH40" s="6"/>
      <c r="CI40" s="6"/>
      <c r="CJ40" s="1"/>
      <c r="CK40" s="6"/>
      <c r="DK40">
        <v>2.061978741891449</v>
      </c>
      <c r="DL40">
        <v>-0.51067321376283359</v>
      </c>
      <c r="DM40">
        <v>2.061978741991449</v>
      </c>
      <c r="DN40">
        <v>-0.51067321376344155</v>
      </c>
      <c r="DO40">
        <v>2.061978741791449</v>
      </c>
      <c r="DP40">
        <v>-0.51067321375706465</v>
      </c>
      <c r="DQ40">
        <v>-3.1884495044209871E-2</v>
      </c>
      <c r="DR40">
        <v>-1.3880000654589852</v>
      </c>
      <c r="DW40">
        <f t="array" aca="1" ref="DW40:DZ43" ca="1">MMULT(DW16:DZ19,DW26:DZ29)</f>
        <v>0.97893067151958357</v>
      </c>
      <c r="DX40">
        <f ca="1"/>
        <v>0.20419289987219741</v>
      </c>
      <c r="DY40">
        <f ca="1"/>
        <v>0</v>
      </c>
      <c r="DZ40">
        <f ca="1"/>
        <v>0</v>
      </c>
    </row>
    <row r="41" spans="1:139" x14ac:dyDescent="0.2">
      <c r="A41" s="3">
        <f t="shared" si="44"/>
        <v>6</v>
      </c>
      <c r="B41" s="6">
        <f t="shared" si="45"/>
        <v>12</v>
      </c>
      <c r="C41" s="6">
        <f t="shared" si="46"/>
        <v>-1.932829184100429</v>
      </c>
      <c r="D41" s="6">
        <f t="shared" si="47"/>
        <v>13.276451760357121</v>
      </c>
      <c r="F41" s="8" t="s">
        <v>51</v>
      </c>
      <c r="G41" s="9">
        <f>G38-B29</f>
        <v>10.985261519858454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146.82675707635499</v>
      </c>
      <c r="BE41">
        <v>-34.554470587605593</v>
      </c>
      <c r="BF41" s="6">
        <f t="shared" si="41"/>
        <v>6.0520494769747808</v>
      </c>
      <c r="BG41" s="6">
        <f t="shared" si="42"/>
        <v>5.371371068696992</v>
      </c>
      <c r="BH41" s="6">
        <f t="shared" si="2"/>
        <v>-0.10041833167113268</v>
      </c>
      <c r="BI41" s="6">
        <f t="shared" si="3"/>
        <v>0.10041833167113268</v>
      </c>
      <c r="BJ41">
        <v>163.14084119595</v>
      </c>
      <c r="BK41">
        <v>-38.393856208450657</v>
      </c>
      <c r="BV41" s="38"/>
      <c r="BW41" s="6">
        <f t="shared" si="27"/>
        <v>0.45378560551852593</v>
      </c>
      <c r="BX41" s="9">
        <f t="shared" ca="1" si="28"/>
        <v>23.332619644807849</v>
      </c>
      <c r="BY41" s="9">
        <f t="shared" ca="1" si="29"/>
        <v>6.105153933890179</v>
      </c>
      <c r="BZ41" s="9">
        <f t="shared" ca="1" si="30"/>
        <v>147.22830070162902</v>
      </c>
      <c r="CA41" s="6">
        <f t="shared" ca="1" si="31"/>
        <v>-35.193406418383539</v>
      </c>
      <c r="CB41" s="6">
        <f t="shared" ca="1" si="32"/>
        <v>-0.23463676831020333</v>
      </c>
      <c r="CC41" s="6">
        <f t="shared" ca="1" si="33"/>
        <v>9.0122756900888334E-3</v>
      </c>
      <c r="CD41" s="9">
        <f t="shared" si="34"/>
        <v>135.02830070162904</v>
      </c>
      <c r="CE41" s="9">
        <f t="shared" si="35"/>
        <v>-30.99340641838354</v>
      </c>
      <c r="CF41" s="6">
        <f t="shared" si="36"/>
        <v>-0.2256244926201145</v>
      </c>
      <c r="CG41" s="6"/>
      <c r="CH41" s="6"/>
      <c r="CI41" s="6"/>
      <c r="CJ41" s="1"/>
      <c r="CK41" s="6"/>
      <c r="DK41">
        <v>-1.3880000654589852</v>
      </c>
      <c r="DL41">
        <v>2.1490586186531777</v>
      </c>
      <c r="DM41">
        <v>-1.3880000653589852</v>
      </c>
      <c r="DN41">
        <v>2.1490586186501739</v>
      </c>
      <c r="DO41">
        <v>-1.3880000655589853</v>
      </c>
      <c r="DP41">
        <v>2.1490586186552676</v>
      </c>
      <c r="DQ41">
        <v>-2.5468516184901091E-2</v>
      </c>
      <c r="DR41">
        <v>1.3115813000887226</v>
      </c>
      <c r="DW41">
        <f ca="1"/>
        <v>-0.19371439368925458</v>
      </c>
      <c r="DX41">
        <f ca="1"/>
        <v>0.92869517802000268</v>
      </c>
      <c r="DY41">
        <f ca="1"/>
        <v>0.31622776601683794</v>
      </c>
      <c r="DZ41">
        <f ca="1"/>
        <v>0</v>
      </c>
    </row>
    <row r="42" spans="1:139" x14ac:dyDescent="0.2">
      <c r="A42" s="3">
        <f t="shared" si="44"/>
        <v>-6</v>
      </c>
      <c r="B42" s="6">
        <f t="shared" si="45"/>
        <v>12</v>
      </c>
      <c r="C42" s="6">
        <f t="shared" si="46"/>
        <v>-11.780858918745954</v>
      </c>
      <c r="D42" s="6">
        <f t="shared" si="47"/>
        <v>6.4196077089339294</v>
      </c>
      <c r="J42" s="9"/>
      <c r="K42" s="9"/>
      <c r="N42" s="9"/>
      <c r="O42" s="9"/>
      <c r="BC42">
        <v>0.69813170079773235</v>
      </c>
      <c r="BD42">
        <v>146.79458638188083</v>
      </c>
      <c r="BE42">
        <v>-34.515443237487091</v>
      </c>
      <c r="BF42" s="6">
        <f t="shared" si="41"/>
        <v>6.0522525285257105</v>
      </c>
      <c r="BG42" s="6">
        <f t="shared" si="42"/>
        <v>5.3541208277279786</v>
      </c>
      <c r="BH42" s="6">
        <f t="shared" si="2"/>
        <v>-0.10062138322206239</v>
      </c>
      <c r="BI42" s="6">
        <f t="shared" si="3"/>
        <v>0.10062138322206239</v>
      </c>
      <c r="BJ42">
        <v>163.1050959798676</v>
      </c>
      <c r="BK42">
        <v>-38.350492486096769</v>
      </c>
      <c r="BV42" s="38"/>
      <c r="BW42" s="6">
        <f t="shared" si="27"/>
        <v>0.47123889803846924</v>
      </c>
      <c r="BX42" s="9">
        <f t="shared" ca="1" si="28"/>
        <v>23.301867463441383</v>
      </c>
      <c r="BY42" s="9">
        <f t="shared" ca="1" si="29"/>
        <v>6.166842134038454</v>
      </c>
      <c r="BZ42" s="9">
        <f t="shared" ca="1" si="30"/>
        <v>147.19754852026256</v>
      </c>
      <c r="CA42" s="6">
        <f t="shared" ca="1" si="31"/>
        <v>-35.131718218235264</v>
      </c>
      <c r="CB42" s="6">
        <f t="shared" ca="1" si="32"/>
        <v>-0.23428754720155501</v>
      </c>
      <c r="CC42" s="6">
        <f t="shared" ca="1" si="33"/>
        <v>9.0475061731820905E-3</v>
      </c>
      <c r="CD42" s="9">
        <f t="shared" si="34"/>
        <v>134.99754852026257</v>
      </c>
      <c r="CE42" s="9">
        <f t="shared" si="35"/>
        <v>-30.931718218235265</v>
      </c>
      <c r="CF42" s="6">
        <f t="shared" si="36"/>
        <v>-0.22524004102837292</v>
      </c>
      <c r="CG42" s="6"/>
      <c r="CH42" s="6"/>
      <c r="CI42" s="6"/>
      <c r="CJ42" s="1"/>
      <c r="CK42" s="6"/>
      <c r="DK42">
        <v>1.3115813000887226</v>
      </c>
      <c r="DL42">
        <v>-0.48743314214214212</v>
      </c>
      <c r="DM42">
        <v>1.3115813001887227</v>
      </c>
      <c r="DN42">
        <v>-0.48743314214587768</v>
      </c>
      <c r="DO42">
        <v>1.3115812999887226</v>
      </c>
      <c r="DP42">
        <v>-0.48743314213840594</v>
      </c>
      <c r="DQ42">
        <v>-3.7358727222880361E-2</v>
      </c>
      <c r="DR42">
        <v>0.83058177161247271</v>
      </c>
      <c r="DW42">
        <f ca="1"/>
        <v>6.4571464563084865E-2</v>
      </c>
      <c r="DX42">
        <f ca="1"/>
        <v>-0.30956505934000089</v>
      </c>
      <c r="DY42">
        <f ca="1"/>
        <v>0.94868329805051377</v>
      </c>
      <c r="DZ42">
        <f ca="1"/>
        <v>0</v>
      </c>
    </row>
    <row r="43" spans="1:139" x14ac:dyDescent="0.2">
      <c r="A43" s="3">
        <f t="shared" si="44"/>
        <v>-6</v>
      </c>
      <c r="B43" s="6">
        <f t="shared" si="45"/>
        <v>4</v>
      </c>
      <c r="C43" s="6">
        <f t="shared" si="46"/>
        <v>-7.2096295511304938</v>
      </c>
      <c r="D43" s="6">
        <f t="shared" si="47"/>
        <v>-0.14574544749642104</v>
      </c>
      <c r="AD43" t="s">
        <v>134</v>
      </c>
      <c r="BC43">
        <v>0.71558499331767567</v>
      </c>
      <c r="BD43">
        <v>146.76204133333948</v>
      </c>
      <c r="BE43">
        <v>-34.477336951691441</v>
      </c>
      <c r="BF43" s="6">
        <f t="shared" si="41"/>
        <v>6.0524491729552361</v>
      </c>
      <c r="BG43" s="6">
        <f t="shared" si="42"/>
        <v>5.3368641796375602</v>
      </c>
      <c r="BH43" s="6">
        <f t="shared" si="2"/>
        <v>-0.10081802765158798</v>
      </c>
      <c r="BI43" s="6">
        <f t="shared" si="3"/>
        <v>0.10081802765158798</v>
      </c>
      <c r="BJ43">
        <v>163.06893481482163</v>
      </c>
      <c r="BK43">
        <v>-38.308152168546044</v>
      </c>
      <c r="BV43" s="38"/>
      <c r="BW43" s="6">
        <f t="shared" si="27"/>
        <v>0.48869219055841256</v>
      </c>
      <c r="BX43" s="9">
        <f t="shared" ca="1" si="28"/>
        <v>23.271231656657804</v>
      </c>
      <c r="BY43" s="9">
        <f t="shared" ca="1" si="29"/>
        <v>6.225700635456775</v>
      </c>
      <c r="BZ43" s="9">
        <f t="shared" ca="1" si="30"/>
        <v>147.16691271347898</v>
      </c>
      <c r="CA43" s="6">
        <f t="shared" ca="1" si="31"/>
        <v>-35.072859716816943</v>
      </c>
      <c r="CB43" s="6">
        <f t="shared" ca="1" si="32"/>
        <v>-0.23395613808675106</v>
      </c>
      <c r="CC43" s="6">
        <f t="shared" ca="1" si="33"/>
        <v>9.0810555527167398E-3</v>
      </c>
      <c r="CD43" s="9">
        <f t="shared" si="34"/>
        <v>134.96691271347899</v>
      </c>
      <c r="CE43" s="9">
        <f t="shared" si="35"/>
        <v>-30.872859716816944</v>
      </c>
      <c r="CF43" s="6">
        <f t="shared" si="36"/>
        <v>-0.22487508253403432</v>
      </c>
      <c r="CG43" s="6"/>
      <c r="CH43" s="6"/>
      <c r="CI43" s="6"/>
      <c r="CJ43" s="1"/>
      <c r="CK43" s="6"/>
      <c r="DK43">
        <v>0.83058177161247271</v>
      </c>
      <c r="DL43">
        <v>-0.46262863547510236</v>
      </c>
      <c r="DM43">
        <v>0.83058177171247272</v>
      </c>
      <c r="DN43">
        <v>-0.46262863548234806</v>
      </c>
      <c r="DO43">
        <v>0.8305817715124727</v>
      </c>
      <c r="DP43">
        <v>-0.46262863546785771</v>
      </c>
      <c r="DQ43">
        <v>-7.2451766808256934E-2</v>
      </c>
      <c r="DR43">
        <v>0.72843438291114837</v>
      </c>
      <c r="DV43" s="5"/>
      <c r="DW43">
        <f ca="1"/>
        <v>0</v>
      </c>
      <c r="DX43">
        <f ca="1"/>
        <v>0</v>
      </c>
      <c r="DY43">
        <f ca="1"/>
        <v>0</v>
      </c>
      <c r="DZ43">
        <f ca="1"/>
        <v>1</v>
      </c>
    </row>
    <row r="44" spans="1:139" x14ac:dyDescent="0.2">
      <c r="A44" s="3">
        <f t="shared" si="44"/>
        <v>-6</v>
      </c>
      <c r="B44" s="6">
        <f t="shared" si="45"/>
        <v>4</v>
      </c>
      <c r="C44" s="6">
        <f t="shared" si="46"/>
        <v>-7.2096295511304938</v>
      </c>
      <c r="D44" s="6">
        <f t="shared" si="47"/>
        <v>-0.14574544749642104</v>
      </c>
      <c r="AD44" t="s">
        <v>8</v>
      </c>
      <c r="AE44" t="s">
        <v>9</v>
      </c>
      <c r="BC44">
        <v>0.73303828583761899</v>
      </c>
      <c r="BD44">
        <v>146.72907963293554</v>
      </c>
      <c r="BE44">
        <v>-34.440079824130848</v>
      </c>
      <c r="BF44" s="6">
        <f t="shared" si="41"/>
        <v>6.0526398060387265</v>
      </c>
      <c r="BG44" s="6">
        <f t="shared" si="42"/>
        <v>5.3196015202011075</v>
      </c>
      <c r="BH44" s="6">
        <f t="shared" si="2"/>
        <v>-0.1010086607350784</v>
      </c>
      <c r="BI44" s="6">
        <f t="shared" si="3"/>
        <v>0.1010086607350784</v>
      </c>
      <c r="BJ44">
        <v>163.03231070326171</v>
      </c>
      <c r="BK44">
        <v>-38.266755360145389</v>
      </c>
      <c r="BV44" s="38"/>
      <c r="BW44" s="6">
        <f t="shared" si="27"/>
        <v>0.50614548307835583</v>
      </c>
      <c r="BX44" s="9">
        <f t="shared" ca="1" si="28"/>
        <v>23.240672205067241</v>
      </c>
      <c r="BY44" s="9">
        <f t="shared" ca="1" si="29"/>
        <v>6.2819907838278013</v>
      </c>
      <c r="BZ44" s="9">
        <f t="shared" ca="1" si="30"/>
        <v>147.13635326188842</v>
      </c>
      <c r="CA44" s="6">
        <f t="shared" ca="1" si="31"/>
        <v>-35.016569568445917</v>
      </c>
      <c r="CB44" s="6">
        <f t="shared" ca="1" si="32"/>
        <v>-0.23364094170669655</v>
      </c>
      <c r="CC44" s="6">
        <f t="shared" ca="1" si="33"/>
        <v>9.1130768332596812E-3</v>
      </c>
      <c r="CD44" s="9">
        <f t="shared" si="34"/>
        <v>134.93635326188843</v>
      </c>
      <c r="CE44" s="9">
        <f t="shared" si="35"/>
        <v>-30.816569568445917</v>
      </c>
      <c r="CF44" s="6">
        <f t="shared" si="36"/>
        <v>-0.22452786487343687</v>
      </c>
      <c r="CG44" s="6"/>
      <c r="CH44" s="6"/>
      <c r="CI44" s="6"/>
      <c r="CJ44" s="1"/>
      <c r="CK44" s="6"/>
      <c r="DK44">
        <v>0.72843438291114837</v>
      </c>
      <c r="DL44">
        <v>-0.4544515021646609</v>
      </c>
      <c r="DM44">
        <v>0.72843438301114838</v>
      </c>
      <c r="DN44">
        <v>-0.45445150217352581</v>
      </c>
      <c r="DO44">
        <v>0.72843438281114836</v>
      </c>
      <c r="DP44">
        <v>-0.45445150215579339</v>
      </c>
      <c r="DQ44">
        <v>-8.8662133190808845E-2</v>
      </c>
      <c r="DR44">
        <v>1.8859647367338088</v>
      </c>
      <c r="DV44" s="5"/>
      <c r="DW44">
        <f t="array" aca="1" ref="DW44:DZ44" ca="1">MMULT(DW10:DZ10,DW40:DZ43)</f>
        <v>1104.0112762248655</v>
      </c>
      <c r="DX44">
        <f ca="1"/>
        <v>-1.7763568394002505E-14</v>
      </c>
      <c r="DY44">
        <f ca="1"/>
        <v>0</v>
      </c>
      <c r="DZ44">
        <f ca="1"/>
        <v>0</v>
      </c>
    </row>
    <row r="45" spans="1:139" x14ac:dyDescent="0.2">
      <c r="A45" s="3">
        <f t="shared" si="44"/>
        <v>-6</v>
      </c>
      <c r="B45" s="6">
        <f t="shared" si="45"/>
        <v>-12</v>
      </c>
      <c r="C45" s="6">
        <f t="shared" si="46"/>
        <v>1.932829184100429</v>
      </c>
      <c r="D45" s="6">
        <f t="shared" si="47"/>
        <v>-13.276451760357121</v>
      </c>
      <c r="AD45" s="38">
        <f>U13+PI()/3</f>
        <v>6.9988286965002455</v>
      </c>
      <c r="AE45">
        <v>0</v>
      </c>
      <c r="BC45">
        <v>0.75049157835756231</v>
      </c>
      <c r="BD45">
        <v>146.69565713369209</v>
      </c>
      <c r="BE45">
        <v>-34.403605077580934</v>
      </c>
      <c r="BF45" s="6">
        <f t="shared" si="41"/>
        <v>6.0528247882836759</v>
      </c>
      <c r="BG45" s="6">
        <f t="shared" si="42"/>
        <v>5.3023332099261138</v>
      </c>
      <c r="BH45" s="6">
        <f t="shared" si="2"/>
        <v>-0.10119364298002775</v>
      </c>
      <c r="BI45" s="6">
        <f t="shared" si="3"/>
        <v>0.10119364298002775</v>
      </c>
      <c r="BJ45">
        <v>162.99517459299122</v>
      </c>
      <c r="BK45">
        <v>-38.226227863978814</v>
      </c>
      <c r="BV45" s="38"/>
      <c r="BW45" s="6">
        <f t="shared" si="27"/>
        <v>0.52359877559829915</v>
      </c>
      <c r="BX45" s="9">
        <f t="shared" ca="1" si="28"/>
        <v>23.210150442776992</v>
      </c>
      <c r="BY45" s="9">
        <f t="shared" ca="1" si="29"/>
        <v>6.335943577324926</v>
      </c>
      <c r="BZ45" s="9">
        <f t="shared" ca="1" si="30"/>
        <v>147.10583149959817</v>
      </c>
      <c r="CA45" s="6">
        <f t="shared" ca="1" si="31"/>
        <v>-34.962616774948792</v>
      </c>
      <c r="CB45" s="6">
        <f t="shared" ca="1" si="32"/>
        <v>-0.23334054887093941</v>
      </c>
      <c r="CC45" s="6">
        <f t="shared" ca="1" si="33"/>
        <v>9.1437051186803175E-3</v>
      </c>
      <c r="CD45" s="9">
        <f t="shared" si="34"/>
        <v>134.90583149959818</v>
      </c>
      <c r="CE45" s="9">
        <f t="shared" si="35"/>
        <v>-30.762616774948793</v>
      </c>
      <c r="CF45" s="6">
        <f t="shared" si="36"/>
        <v>-0.2241968437522591</v>
      </c>
      <c r="CG45" s="6"/>
      <c r="CH45" s="6"/>
      <c r="CI45" s="6"/>
      <c r="CJ45" s="1"/>
      <c r="CK45" s="6"/>
      <c r="DK45">
        <v>1.8859647367338088</v>
      </c>
      <c r="DL45">
        <v>-0.50543343630739357</v>
      </c>
      <c r="DM45">
        <v>1.8859647368338088</v>
      </c>
      <c r="DN45">
        <v>-0.50543343631237625</v>
      </c>
      <c r="DO45">
        <v>1.8859647366338088</v>
      </c>
      <c r="DP45">
        <v>-0.50543343630681536</v>
      </c>
      <c r="DQ45">
        <v>-2.780442542871242E-2</v>
      </c>
      <c r="DR45">
        <v>2.5573555455544161</v>
      </c>
      <c r="DV45" s="5"/>
    </row>
    <row r="46" spans="1:139" x14ac:dyDescent="0.2">
      <c r="AD46" s="38">
        <f>U13-PI()/3</f>
        <v>4.9044335941070507</v>
      </c>
      <c r="AE46">
        <f>AE45</f>
        <v>0</v>
      </c>
      <c r="BC46">
        <v>0.76794487087750563</v>
      </c>
      <c r="BD46">
        <v>146.66172755537599</v>
      </c>
      <c r="BE46">
        <v>-34.367850478549016</v>
      </c>
      <c r="BF46" s="6">
        <f t="shared" si="41"/>
        <v>6.0530044482205598</v>
      </c>
      <c r="BG46" s="6">
        <f t="shared" si="42"/>
        <v>5.2850595773430538</v>
      </c>
      <c r="BH46" s="6">
        <f t="shared" si="2"/>
        <v>-0.10137330291691171</v>
      </c>
      <c r="BI46" s="6">
        <f t="shared" si="3"/>
        <v>0.10137330291691171</v>
      </c>
      <c r="BJ46">
        <v>162.95747506152887</v>
      </c>
      <c r="BK46">
        <v>-38.18650053172113</v>
      </c>
      <c r="BV46" s="38"/>
      <c r="BW46" s="6">
        <f t="shared" si="27"/>
        <v>0.54105206811824247</v>
      </c>
      <c r="BX46" s="9">
        <f t="shared" ca="1" si="28"/>
        <v>23.179628741557977</v>
      </c>
      <c r="BY46" s="9">
        <f t="shared" ca="1" si="29"/>
        <v>6.3877641439010233</v>
      </c>
      <c r="BZ46" s="9">
        <f t="shared" ca="1" si="30"/>
        <v>147.07530979837915</v>
      </c>
      <c r="CA46" s="6">
        <f t="shared" ca="1" si="31"/>
        <v>-34.910796208372695</v>
      </c>
      <c r="CB46" s="6">
        <f t="shared" ca="1" si="32"/>
        <v>-0.23305371263545938</v>
      </c>
      <c r="CC46" s="6">
        <f t="shared" ca="1" si="33"/>
        <v>9.1730602383214843E-3</v>
      </c>
      <c r="CD46" s="9">
        <f t="shared" si="34"/>
        <v>134.87530979837916</v>
      </c>
      <c r="CE46" s="9">
        <f t="shared" si="35"/>
        <v>-30.710796208372695</v>
      </c>
      <c r="CF46" s="6">
        <f t="shared" si="36"/>
        <v>-0.22388065239713789</v>
      </c>
      <c r="CG46" s="6"/>
      <c r="CH46" s="6"/>
      <c r="CI46" s="6"/>
      <c r="CJ46" s="1"/>
      <c r="CK46" s="6"/>
      <c r="DK46">
        <v>2.5573555455544161</v>
      </c>
      <c r="DL46">
        <v>-1.2883041366617594</v>
      </c>
      <c r="DM46">
        <v>2.5573555456544161</v>
      </c>
      <c r="DN46">
        <v>-1.2883041374238555</v>
      </c>
      <c r="DO46">
        <v>2.5573555454544161</v>
      </c>
      <c r="DP46">
        <v>-1.2883041358996543</v>
      </c>
      <c r="DQ46">
        <v>-7.6210060484527276</v>
      </c>
      <c r="DR46">
        <v>2.3883090799734945</v>
      </c>
    </row>
    <row r="47" spans="1:139" x14ac:dyDescent="0.2">
      <c r="A47" t="s">
        <v>27</v>
      </c>
      <c r="BC47">
        <v>0.78539816339744895</v>
      </c>
      <c r="BD47">
        <v>146.62724218423637</v>
      </c>
      <c r="BE47">
        <v>-34.332757815663072</v>
      </c>
      <c r="BF47" s="6">
        <f t="shared" si="41"/>
        <v>6.053179085268245</v>
      </c>
      <c r="BG47" s="6">
        <f t="shared" si="42"/>
        <v>5.2677809218707958</v>
      </c>
      <c r="BH47" s="6">
        <f t="shared" si="2"/>
        <v>-0.10154793996459688</v>
      </c>
      <c r="BI47" s="6">
        <f t="shared" si="3"/>
        <v>0.10154793996459688</v>
      </c>
      <c r="BJ47">
        <v>162.91915798248485</v>
      </c>
      <c r="BK47">
        <v>-38.147508684070083</v>
      </c>
      <c r="BV47" s="38"/>
      <c r="BW47" s="6">
        <f t="shared" si="27"/>
        <v>0.55850536063818579</v>
      </c>
      <c r="BX47" s="9">
        <f t="shared" ca="1" si="28"/>
        <v>23.149070231403428</v>
      </c>
      <c r="BY47" s="9">
        <f t="shared" ca="1" si="29"/>
        <v>6.4376354464809822</v>
      </c>
      <c r="BZ47" s="9">
        <f t="shared" ca="1" si="30"/>
        <v>147.0447512882246</v>
      </c>
      <c r="CA47" s="6">
        <f t="shared" ca="1" si="31"/>
        <v>-34.860924905792736</v>
      </c>
      <c r="CB47" s="6">
        <f t="shared" ca="1" si="32"/>
        <v>-0.23277932529626644</v>
      </c>
      <c r="CC47" s="6">
        <f t="shared" ca="1" si="33"/>
        <v>9.2012489205471597E-3</v>
      </c>
      <c r="CD47" s="9">
        <f t="shared" si="34"/>
        <v>134.84475128822461</v>
      </c>
      <c r="CE47" s="9">
        <f t="shared" si="35"/>
        <v>-30.660924905792736</v>
      </c>
      <c r="CF47" s="6">
        <f t="shared" si="36"/>
        <v>-0.22357807637571928</v>
      </c>
      <c r="CG47" s="6"/>
      <c r="CH47" s="6"/>
      <c r="CI47" s="6"/>
      <c r="CJ47" s="1"/>
      <c r="CK47" s="6"/>
      <c r="DK47">
        <v>2.3883090799734945</v>
      </c>
      <c r="DL47">
        <v>-0.68768861460223074</v>
      </c>
      <c r="DM47">
        <v>2.3883090800734945</v>
      </c>
      <c r="DN47">
        <v>-0.68768861474463838</v>
      </c>
      <c r="DO47">
        <v>2.3883090798734945</v>
      </c>
      <c r="DP47">
        <v>-0.68768861446032337</v>
      </c>
      <c r="DQ47">
        <v>-1.4215750798740601</v>
      </c>
      <c r="DR47">
        <v>1.9045579054219863</v>
      </c>
    </row>
    <row r="48" spans="1:139" x14ac:dyDescent="0.2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146.59214952165729</v>
      </c>
      <c r="BE48">
        <v>-34.298272443848532</v>
      </c>
      <c r="BF48" s="6">
        <f t="shared" si="41"/>
        <v>6.053348972105133</v>
      </c>
      <c r="BG48" s="6">
        <f t="shared" si="42"/>
        <v>5.2504975161877407</v>
      </c>
      <c r="BH48" s="6">
        <f t="shared" si="2"/>
        <v>-0.10171782680148488</v>
      </c>
      <c r="BI48" s="6">
        <f t="shared" si="3"/>
        <v>0.10171782680148488</v>
      </c>
      <c r="BJ48">
        <v>162.88016613517476</v>
      </c>
      <c r="BK48">
        <v>-38.109191604276148</v>
      </c>
      <c r="BV48" s="38"/>
      <c r="BW48" s="6">
        <f t="shared" si="27"/>
        <v>0.57595865315812911</v>
      </c>
      <c r="BX48" s="9">
        <f t="shared" ca="1" si="28"/>
        <v>23.118438524891971</v>
      </c>
      <c r="BY48" s="9">
        <f t="shared" ca="1" si="29"/>
        <v>6.4857213609210973</v>
      </c>
      <c r="BZ48" s="9">
        <f t="shared" ca="1" si="30"/>
        <v>147.01411958171315</v>
      </c>
      <c r="CA48" s="6">
        <f t="shared" ca="1" si="31"/>
        <v>-34.812838991352621</v>
      </c>
      <c r="CB48" s="6">
        <f t="shared" ca="1" si="32"/>
        <v>-0.23251639933705814</v>
      </c>
      <c r="CC48" s="6">
        <f t="shared" ca="1" si="33"/>
        <v>9.2283665962020756E-3</v>
      </c>
      <c r="CD48" s="9">
        <f t="shared" si="34"/>
        <v>134.81411958171316</v>
      </c>
      <c r="CE48" s="9">
        <f t="shared" si="35"/>
        <v>-30.612838991352621</v>
      </c>
      <c r="CF48" s="6">
        <f t="shared" si="36"/>
        <v>-0.22328803274085607</v>
      </c>
      <c r="CG48" s="6"/>
      <c r="CH48" s="6"/>
      <c r="CI48" s="6"/>
      <c r="CJ48" s="1"/>
      <c r="CK48" s="6"/>
      <c r="DK48">
        <v>1.9045579054219863</v>
      </c>
      <c r="DL48">
        <v>-0.50597000193921637</v>
      </c>
      <c r="DM48">
        <v>1.9045579055219863</v>
      </c>
      <c r="DN48">
        <v>-0.50597000194426767</v>
      </c>
      <c r="DO48">
        <v>1.9045579053219863</v>
      </c>
      <c r="DP48">
        <v>-0.50597000193865416</v>
      </c>
      <c r="DQ48">
        <v>-2.8067548285548582E-2</v>
      </c>
      <c r="DR48">
        <v>2.7272453312991485</v>
      </c>
    </row>
    <row r="49" spans="1:122" x14ac:dyDescent="0.2">
      <c r="A49" t="s">
        <v>43</v>
      </c>
      <c r="B49" s="6">
        <f>C37</f>
        <v>1.932829184100429</v>
      </c>
      <c r="C49" s="6">
        <f>D37</f>
        <v>-13.276451760357121</v>
      </c>
      <c r="D49" s="6">
        <f t="shared" ref="D49:E56" si="49">C38</f>
        <v>11.780858918745954</v>
      </c>
      <c r="E49" s="6">
        <f t="shared" si="49"/>
        <v>-6.4196077089339294</v>
      </c>
      <c r="F49" s="6">
        <f t="shared" ref="F49:F56" si="50">IF(B49=D49,"V",(C49-E49)/(B49-D49))</f>
        <v>0.69626557150824853</v>
      </c>
      <c r="G49" s="6">
        <f t="shared" ref="G49:G56" si="51">IF(F49="V",0,(-1*B49*F49)+C49)</f>
        <v>-14.622214176852628</v>
      </c>
      <c r="H49" s="6">
        <f t="shared" ref="H49:H56" si="52">IF(AND(C49&lt;$G$41,E49&lt;$G$41),0,IF(AND(C49&lt;$G$41,E49&gt;$G$41),IF(F49="V",B49,($G$41-G49)/F49),B49))</f>
        <v>0</v>
      </c>
      <c r="I49" s="6">
        <f t="shared" ref="I49:I56" si="53">IF(AND(C49&lt;$G$41,E49&lt;$G$41),0,IF(AND(C49&lt;$G$41,E49&gt;$G$41),$G$41,C49))</f>
        <v>0</v>
      </c>
      <c r="J49" s="6">
        <f t="shared" ref="J49:J56" si="54">IF(AND(C49&lt;$G$41,E49&lt;$G$41),0,IF(E49&gt;=$G$41,D49,IF(F49="V",D49,($G$41-G49)/F49)))</f>
        <v>0</v>
      </c>
      <c r="K49" s="6">
        <f t="shared" ref="K49:K56" si="55">IF(AND(C49&lt;$G$41,E49&lt;$G$41),0,IF(E49&gt;=$G$41,E49,$G$41))</f>
        <v>0</v>
      </c>
      <c r="L49" s="6">
        <f t="shared" ref="L49:L56" si="56">IF(AND(I49=0,K49=0,H49=0,J49=0),0,$B$31)</f>
        <v>0</v>
      </c>
      <c r="M49" s="6">
        <f t="shared" ref="M49:M56" si="57">IF(AND(I49=0,K49=0,H49=0,J49=0),0,$B$31)</f>
        <v>0</v>
      </c>
      <c r="N49" s="10">
        <f t="shared" ref="N49:N56" si="58">(1/6)*(K49-I49)*((L49*((2*H49)+J49))+(M49*(H49+(2*J49))))</f>
        <v>0</v>
      </c>
      <c r="O49" s="10">
        <f t="shared" ref="O49:O56" si="59">((1/12)*(K49-I49)*(L49*H49*((3*I49)+K49)+L49*J49*(I49+K49)+M49*H49*(I49+K49)+M49*J49*(I49+(3*K49))))</f>
        <v>0</v>
      </c>
      <c r="P49" s="10">
        <f t="shared" ref="P49:P56" si="60">((-1/24)*(K49-I49)*(H49*H49*((3*L49)+M49)+2*H49*J49*(L49+M49)+J49*J49*(L49+(3*M49))))</f>
        <v>0</v>
      </c>
      <c r="S49" t="e">
        <f t="shared" ref="S49:S56" si="61">IF(AND(I49=0,K49=0,H49=0,J49=0),NA(),H49)</f>
        <v>#N/A</v>
      </c>
      <c r="T49" t="e">
        <f t="shared" ref="T49:T56" si="62">IF(AND(I49=0,K49=0,H49=0,J49=0),NA(),I49)</f>
        <v>#N/A</v>
      </c>
      <c r="V49" t="e">
        <f t="shared" ref="V49:V56" si="63">IF(AND(I49=0,K49=0,H49=0,J49=0),NA(),J49)</f>
        <v>#N/A</v>
      </c>
      <c r="W49" t="e">
        <f t="shared" ref="W49:W56" si="64">IF(AND(I49=0,K49=0,H49=0,J49=0),NA(),K49)</f>
        <v>#N/A</v>
      </c>
      <c r="AC49">
        <v>0</v>
      </c>
      <c r="AD49">
        <f>-PI()</f>
        <v>-3.1415926535897931</v>
      </c>
      <c r="BC49">
        <v>0.82030474843733558</v>
      </c>
      <c r="BD49">
        <v>146.55639492227905</v>
      </c>
      <c r="BE49">
        <v>-34.264342866856133</v>
      </c>
      <c r="BF49" s="6">
        <f t="shared" si="41"/>
        <v>6.0535143567837562</v>
      </c>
      <c r="BG49" s="6">
        <f t="shared" si="42"/>
        <v>5.2332096083464208</v>
      </c>
      <c r="BH49" s="6">
        <f t="shared" si="2"/>
        <v>-0.10188321148010804</v>
      </c>
      <c r="BI49" s="6">
        <f t="shared" si="3"/>
        <v>0.10188321148010804</v>
      </c>
      <c r="BJ49">
        <v>162.84043880253228</v>
      </c>
      <c r="BK49">
        <v>-38.071492074284592</v>
      </c>
      <c r="BV49" s="38"/>
      <c r="BW49" s="6">
        <f t="shared" si="27"/>
        <v>0.59341194567807243</v>
      </c>
      <c r="BX49" s="9">
        <f t="shared" ca="1" si="28"/>
        <v>23.08769748973485</v>
      </c>
      <c r="BY49" s="9">
        <f t="shared" ca="1" si="29"/>
        <v>6.5321692642484095</v>
      </c>
      <c r="BZ49" s="9">
        <f t="shared" ca="1" si="30"/>
        <v>146.98337854655603</v>
      </c>
      <c r="CA49" s="6">
        <f t="shared" ca="1" si="31"/>
        <v>-34.766391088025308</v>
      </c>
      <c r="CB49" s="6">
        <f t="shared" ca="1" si="32"/>
        <v>-0.23226405139396514</v>
      </c>
      <c r="CC49" s="6">
        <f t="shared" ca="1" si="33"/>
        <v>9.2544989168122371E-3</v>
      </c>
      <c r="CD49" s="9">
        <f t="shared" si="34"/>
        <v>134.78337854655604</v>
      </c>
      <c r="CE49" s="9">
        <f t="shared" si="35"/>
        <v>-30.566391088025309</v>
      </c>
      <c r="CF49" s="6">
        <f t="shared" si="36"/>
        <v>-0.2230095524771529</v>
      </c>
      <c r="CG49" s="6"/>
      <c r="CH49" s="6"/>
      <c r="CI49" s="6"/>
      <c r="CJ49" s="1"/>
      <c r="CK49" s="6"/>
      <c r="DK49">
        <v>2.7272453312991485</v>
      </c>
      <c r="DL49">
        <v>-2.1669272035456535</v>
      </c>
      <c r="DM49">
        <v>2.7272453313991485</v>
      </c>
      <c r="DN49">
        <v>-2.1669272035733607</v>
      </c>
      <c r="DO49">
        <v>2.7272453311991485</v>
      </c>
      <c r="DP49">
        <v>-2.1669272035179459</v>
      </c>
      <c r="DQ49">
        <v>-0.27707391936360182</v>
      </c>
      <c r="DR49">
        <v>1.1896757708868384</v>
      </c>
    </row>
    <row r="50" spans="1:122" x14ac:dyDescent="0.2">
      <c r="A50" t="s">
        <v>44</v>
      </c>
      <c r="B50" s="6">
        <f t="shared" ref="B50:C56" si="65">D49</f>
        <v>11.780858918745954</v>
      </c>
      <c r="C50" s="6">
        <f t="shared" si="65"/>
        <v>-6.4196077089339294</v>
      </c>
      <c r="D50" s="6">
        <f t="shared" si="49"/>
        <v>2.6384001835150319</v>
      </c>
      <c r="E50" s="6">
        <f t="shared" si="49"/>
        <v>6.7110986039267706</v>
      </c>
      <c r="F50" s="6">
        <f t="shared" si="50"/>
        <v>-1.436233588045726</v>
      </c>
      <c r="G50" s="6">
        <f t="shared" si="51"/>
        <v>10.500457566197065</v>
      </c>
      <c r="H50" s="6">
        <f t="shared" si="52"/>
        <v>0</v>
      </c>
      <c r="I50" s="6">
        <f t="shared" si="53"/>
        <v>0</v>
      </c>
      <c r="J50" s="6">
        <f t="shared" si="54"/>
        <v>0</v>
      </c>
      <c r="K50" s="6">
        <f t="shared" si="55"/>
        <v>0</v>
      </c>
      <c r="L50" s="6">
        <f t="shared" si="56"/>
        <v>0</v>
      </c>
      <c r="M50" s="6">
        <f t="shared" si="57"/>
        <v>0</v>
      </c>
      <c r="N50" s="10">
        <f t="shared" si="58"/>
        <v>0</v>
      </c>
      <c r="O50" s="10">
        <f t="shared" si="59"/>
        <v>0</v>
      </c>
      <c r="P50" s="10">
        <f t="shared" si="60"/>
        <v>0</v>
      </c>
      <c r="S50" t="e">
        <f t="shared" si="61"/>
        <v>#N/A</v>
      </c>
      <c r="T50" t="e">
        <f t="shared" si="62"/>
        <v>#N/A</v>
      </c>
      <c r="V50" t="e">
        <f t="shared" si="63"/>
        <v>#N/A</v>
      </c>
      <c r="W50" t="e">
        <f t="shared" si="64"/>
        <v>#N/A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146.51992017586088</v>
      </c>
      <c r="BE50">
        <v>-34.230920366978715</v>
      </c>
      <c r="BF50" s="6">
        <f t="shared" si="41"/>
        <v>6.0536754644615431</v>
      </c>
      <c r="BG50" s="6">
        <f t="shared" si="42"/>
        <v>5.2159174235042638</v>
      </c>
      <c r="BH50" s="6">
        <f t="shared" si="2"/>
        <v>-0.10204431915789502</v>
      </c>
      <c r="BI50" s="6">
        <f t="shared" si="3"/>
        <v>0.10204431915789502</v>
      </c>
      <c r="BJ50">
        <v>162.79991130651209</v>
      </c>
      <c r="BK50">
        <v>-38.034355963309686</v>
      </c>
      <c r="BV50" s="38"/>
      <c r="BW50" s="6">
        <f t="shared" si="27"/>
        <v>0.61086523819801575</v>
      </c>
      <c r="BX50" s="9">
        <f t="shared" ca="1" si="28"/>
        <v>23.056810997916799</v>
      </c>
      <c r="BY50" s="9">
        <f t="shared" ca="1" si="29"/>
        <v>6.5771122033202474</v>
      </c>
      <c r="BZ50" s="9">
        <f t="shared" ca="1" si="30"/>
        <v>146.95249205473797</v>
      </c>
      <c r="CA50" s="6">
        <f t="shared" ca="1" si="31"/>
        <v>-34.721448148953471</v>
      </c>
      <c r="CB50" s="6">
        <f t="shared" ca="1" si="32"/>
        <v>-0.23202148890754207</v>
      </c>
      <c r="CC50" s="6">
        <f t="shared" ca="1" si="33"/>
        <v>9.2797230228106597E-3</v>
      </c>
      <c r="CD50" s="9">
        <f t="shared" si="34"/>
        <v>134.75249205473798</v>
      </c>
      <c r="CE50" s="9">
        <f t="shared" si="35"/>
        <v>-30.521448148953471</v>
      </c>
      <c r="CF50" s="6">
        <f t="shared" si="36"/>
        <v>-0.22274176588473141</v>
      </c>
      <c r="CG50" s="6"/>
      <c r="CH50" s="6"/>
      <c r="CI50" s="6"/>
      <c r="CJ50" s="1"/>
      <c r="CK50" s="6"/>
      <c r="DK50">
        <v>1.1896757708868384</v>
      </c>
      <c r="DL50">
        <v>-0.48251426257404556</v>
      </c>
      <c r="DM50">
        <v>1.1896757709868384</v>
      </c>
      <c r="DN50">
        <v>-0.48251426257829277</v>
      </c>
      <c r="DO50">
        <v>1.1896757707868384</v>
      </c>
      <c r="DP50">
        <v>-0.48251426256979868</v>
      </c>
      <c r="DQ50">
        <v>-4.2470471584010738E-2</v>
      </c>
      <c r="DR50">
        <v>2.394876033756383</v>
      </c>
    </row>
    <row r="51" spans="1:122" x14ac:dyDescent="0.2">
      <c r="A51" t="s">
        <v>45</v>
      </c>
      <c r="B51" s="6">
        <f t="shared" si="65"/>
        <v>2.6384001835150319</v>
      </c>
      <c r="C51" s="6">
        <f t="shared" si="65"/>
        <v>6.7110986039267706</v>
      </c>
      <c r="D51" s="6">
        <f t="shared" si="49"/>
        <v>2.6384001835150319</v>
      </c>
      <c r="E51" s="6">
        <f t="shared" si="49"/>
        <v>6.7110986039267706</v>
      </c>
      <c r="F51" s="6" t="str">
        <f t="shared" si="50"/>
        <v>V</v>
      </c>
      <c r="G51" s="6">
        <f t="shared" si="51"/>
        <v>0</v>
      </c>
      <c r="H51" s="6">
        <f t="shared" si="52"/>
        <v>0</v>
      </c>
      <c r="I51" s="6">
        <f t="shared" si="53"/>
        <v>0</v>
      </c>
      <c r="J51" s="6">
        <f t="shared" si="54"/>
        <v>0</v>
      </c>
      <c r="K51" s="6">
        <f t="shared" si="55"/>
        <v>0</v>
      </c>
      <c r="L51" s="6">
        <f t="shared" si="56"/>
        <v>0</v>
      </c>
      <c r="M51" s="6">
        <f t="shared" si="57"/>
        <v>0</v>
      </c>
      <c r="N51" s="10">
        <f t="shared" si="58"/>
        <v>0</v>
      </c>
      <c r="O51" s="10">
        <f t="shared" si="59"/>
        <v>0</v>
      </c>
      <c r="P51" s="10">
        <f t="shared" si="60"/>
        <v>0</v>
      </c>
      <c r="S51" t="e">
        <f t="shared" si="61"/>
        <v>#N/A</v>
      </c>
      <c r="T51" t="e">
        <f t="shared" si="62"/>
        <v>#N/A</v>
      </c>
      <c r="V51" t="e">
        <f t="shared" si="63"/>
        <v>#N/A</v>
      </c>
      <c r="W51" t="e">
        <f t="shared" si="64"/>
        <v>#N/A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146.48266304847337</v>
      </c>
      <c r="BE51">
        <v>-34.19795866619598</v>
      </c>
      <c r="BF51" s="6">
        <f t="shared" si="41"/>
        <v>6.0538324988725547</v>
      </c>
      <c r="BG51" s="6">
        <f t="shared" si="42"/>
        <v>5.1986211653953323</v>
      </c>
      <c r="BH51" s="6">
        <f t="shared" si="2"/>
        <v>-0.10220135356890658</v>
      </c>
      <c r="BI51" s="6">
        <f t="shared" si="3"/>
        <v>0.10220135356890658</v>
      </c>
      <c r="BJ51">
        <v>162.75851449830375</v>
      </c>
      <c r="BK51">
        <v>-37.997731851328865</v>
      </c>
      <c r="BV51" s="38"/>
      <c r="BW51" s="6">
        <f t="shared" si="27"/>
        <v>0.62831853071795907</v>
      </c>
      <c r="BX51" s="9">
        <f t="shared" ca="1" si="28"/>
        <v>23.025742716210075</v>
      </c>
      <c r="BY51" s="9">
        <f t="shared" ca="1" si="29"/>
        <v>6.6206707429540756</v>
      </c>
      <c r="BZ51" s="9">
        <f t="shared" ca="1" si="30"/>
        <v>146.92142377303125</v>
      </c>
      <c r="CA51" s="6">
        <f t="shared" ca="1" si="31"/>
        <v>-34.677889609319642</v>
      </c>
      <c r="CB51" s="6">
        <f t="shared" ca="1" si="32"/>
        <v>-0.23178799873505482</v>
      </c>
      <c r="CC51" s="6">
        <f t="shared" ca="1" si="33"/>
        <v>9.3041086257497924E-3</v>
      </c>
      <c r="CD51" s="9">
        <f t="shared" si="34"/>
        <v>134.72142377303126</v>
      </c>
      <c r="CE51" s="9">
        <f t="shared" si="35"/>
        <v>-30.477889609319643</v>
      </c>
      <c r="CF51" s="6">
        <f t="shared" si="36"/>
        <v>-0.22248389010930503</v>
      </c>
      <c r="CG51" s="6"/>
      <c r="CH51" s="6"/>
      <c r="CI51" s="6"/>
      <c r="CJ51" s="1"/>
      <c r="CK51" s="6"/>
      <c r="DK51">
        <v>2.394876033756383</v>
      </c>
      <c r="DL51">
        <v>-0.69725541353948506</v>
      </c>
      <c r="DM51">
        <v>2.394876033856383</v>
      </c>
      <c r="DN51">
        <v>-0.69725541368496624</v>
      </c>
      <c r="DO51">
        <v>2.394876033656383</v>
      </c>
      <c r="DP51">
        <v>-0.69725541339472508</v>
      </c>
      <c r="DQ51">
        <v>-1.4512058221782809</v>
      </c>
      <c r="DR51">
        <v>1.9144097877673096</v>
      </c>
    </row>
    <row r="52" spans="1:122" x14ac:dyDescent="0.2">
      <c r="A52" t="s">
        <v>46</v>
      </c>
      <c r="B52" s="6">
        <f t="shared" si="65"/>
        <v>2.6384001835150319</v>
      </c>
      <c r="C52" s="6">
        <f t="shared" si="65"/>
        <v>6.7110986039267706</v>
      </c>
      <c r="D52" s="6">
        <f t="shared" si="49"/>
        <v>-1.932829184100429</v>
      </c>
      <c r="E52" s="6">
        <f t="shared" si="49"/>
        <v>13.276451760357121</v>
      </c>
      <c r="F52" s="6">
        <f t="shared" si="50"/>
        <v>-1.4362335880457267</v>
      </c>
      <c r="G52" s="6">
        <f t="shared" si="51"/>
        <v>10.500457566197069</v>
      </c>
      <c r="H52" s="6">
        <f t="shared" si="52"/>
        <v>-0.33755230186550311</v>
      </c>
      <c r="I52" s="6">
        <f t="shared" si="53"/>
        <v>10.985261519858454</v>
      </c>
      <c r="J52" s="6">
        <f t="shared" si="54"/>
        <v>-1.932829184100429</v>
      </c>
      <c r="K52" s="6">
        <f t="shared" si="55"/>
        <v>13.276451760357121</v>
      </c>
      <c r="L52" s="6">
        <f t="shared" si="56"/>
        <v>4.25</v>
      </c>
      <c r="M52" s="6">
        <f t="shared" si="57"/>
        <v>4.25</v>
      </c>
      <c r="N52" s="10">
        <f t="shared" si="58"/>
        <v>-11.053986293564757</v>
      </c>
      <c r="O52" s="10">
        <f t="shared" si="59"/>
        <v>-137.0602882703447</v>
      </c>
      <c r="P52" s="10">
        <f t="shared" si="60"/>
        <v>-7.3067411986941151</v>
      </c>
      <c r="S52">
        <f t="shared" si="61"/>
        <v>-0.33755230186550311</v>
      </c>
      <c r="T52">
        <f t="shared" si="62"/>
        <v>10.985261519858454</v>
      </c>
      <c r="V52">
        <f t="shared" si="63"/>
        <v>-1.932829184100429</v>
      </c>
      <c r="W52">
        <f t="shared" si="64"/>
        <v>13.276451760357121</v>
      </c>
      <c r="AC52">
        <f>0</f>
        <v>0</v>
      </c>
      <c r="AD52">
        <f>AD51</f>
        <v>3.1415926535897931</v>
      </c>
      <c r="BC52">
        <v>0.87266462599716554</v>
      </c>
      <c r="BD52">
        <v>146.44455676298131</v>
      </c>
      <c r="BE52">
        <v>-34.165413618042699</v>
      </c>
      <c r="BF52" s="6">
        <f t="shared" si="41"/>
        <v>6.0539856435137835</v>
      </c>
      <c r="BG52" s="6">
        <f t="shared" si="42"/>
        <v>5.181321017516618</v>
      </c>
      <c r="BH52" s="6">
        <f t="shared" si="2"/>
        <v>-0.10235449821013543</v>
      </c>
      <c r="BI52" s="6">
        <f t="shared" si="3"/>
        <v>0.10235449821013543</v>
      </c>
      <c r="BJ52">
        <v>162.71617418109034</v>
      </c>
      <c r="BK52">
        <v>-37.961570686714111</v>
      </c>
      <c r="BV52" s="38"/>
      <c r="BW52" s="6">
        <f t="shared" si="27"/>
        <v>0.64577182323790239</v>
      </c>
      <c r="BX52" s="9">
        <f t="shared" ca="1" si="28"/>
        <v>22.994455880817796</v>
      </c>
      <c r="BY52" s="9">
        <f t="shared" ca="1" si="29"/>
        <v>6.6629545333498399</v>
      </c>
      <c r="BZ52" s="9">
        <f t="shared" ca="1" si="30"/>
        <v>146.89013693763897</v>
      </c>
      <c r="CA52" s="6">
        <f t="shared" ca="1" si="31"/>
        <v>-34.635605818923878</v>
      </c>
      <c r="CB52" s="6">
        <f t="shared" ca="1" si="32"/>
        <v>-0.23156293756159116</v>
      </c>
      <c r="CC52" s="6">
        <f t="shared" ca="1" si="33"/>
        <v>9.3277189231798785E-3</v>
      </c>
      <c r="CD52" s="9">
        <f t="shared" si="34"/>
        <v>134.69013693763898</v>
      </c>
      <c r="CE52" s="9">
        <f t="shared" si="35"/>
        <v>-30.435605818923879</v>
      </c>
      <c r="CF52" s="6">
        <f t="shared" si="36"/>
        <v>-0.22223521863841128</v>
      </c>
      <c r="CG52" s="6"/>
      <c r="CH52" s="6"/>
      <c r="CI52" s="6"/>
      <c r="CJ52" s="1"/>
      <c r="CK52" s="6"/>
      <c r="DK52">
        <v>1.9144097877673096</v>
      </c>
      <c r="DL52">
        <v>-0.50625556088658152</v>
      </c>
      <c r="DM52">
        <v>1.9144097878673096</v>
      </c>
      <c r="DN52">
        <v>-0.50625556089166568</v>
      </c>
      <c r="DO52">
        <v>1.9144097876673096</v>
      </c>
      <c r="DP52">
        <v>-0.50625556088602019</v>
      </c>
      <c r="DQ52">
        <v>-2.8227420401094605E-2</v>
      </c>
      <c r="DR52">
        <v>2.8290799247393044</v>
      </c>
    </row>
    <row r="53" spans="1:122" x14ac:dyDescent="0.2">
      <c r="A53" t="s">
        <v>47</v>
      </c>
      <c r="B53" s="6">
        <f t="shared" si="65"/>
        <v>-1.932829184100429</v>
      </c>
      <c r="C53" s="6">
        <f t="shared" si="65"/>
        <v>13.276451760357121</v>
      </c>
      <c r="D53" s="6">
        <f t="shared" si="49"/>
        <v>-11.780858918745954</v>
      </c>
      <c r="E53" s="6">
        <f t="shared" si="49"/>
        <v>6.4196077089339294</v>
      </c>
      <c r="F53" s="6">
        <f t="shared" si="50"/>
        <v>0.69626557150824853</v>
      </c>
      <c r="G53" s="6">
        <f t="shared" si="51"/>
        <v>14.622214176852628</v>
      </c>
      <c r="H53" s="6">
        <f t="shared" si="52"/>
        <v>-1.932829184100429</v>
      </c>
      <c r="I53" s="6">
        <f t="shared" si="53"/>
        <v>13.276451760357121</v>
      </c>
      <c r="J53" s="6">
        <f t="shared" si="54"/>
        <v>-5.2235135641071802</v>
      </c>
      <c r="K53" s="6">
        <f t="shared" si="55"/>
        <v>10.985261519858454</v>
      </c>
      <c r="L53" s="6">
        <f t="shared" si="56"/>
        <v>4.25</v>
      </c>
      <c r="M53" s="6">
        <f t="shared" si="57"/>
        <v>4.25</v>
      </c>
      <c r="N53" s="10">
        <f t="shared" si="58"/>
        <v>34.842653157507939</v>
      </c>
      <c r="O53" s="10">
        <f t="shared" si="59"/>
        <v>416.55313543059856</v>
      </c>
      <c r="P53" s="10">
        <f t="shared" si="60"/>
        <v>66.729998818541489</v>
      </c>
      <c r="S53">
        <f t="shared" si="61"/>
        <v>-1.932829184100429</v>
      </c>
      <c r="T53">
        <f t="shared" si="62"/>
        <v>13.276451760357121</v>
      </c>
      <c r="V53">
        <f t="shared" si="63"/>
        <v>-5.2235135641071802</v>
      </c>
      <c r="W53">
        <f t="shared" si="64"/>
        <v>10.985261519858454</v>
      </c>
      <c r="AC53">
        <f>AC49</f>
        <v>0</v>
      </c>
      <c r="AD53">
        <f>AD49</f>
        <v>-3.1415926535897931</v>
      </c>
      <c r="BC53">
        <v>0.89011791851710886</v>
      </c>
      <c r="BD53">
        <v>146.40552941289354</v>
      </c>
      <c r="BE53">
        <v>-34.133242923640445</v>
      </c>
      <c r="BF53" s="6">
        <f t="shared" si="41"/>
        <v>6.0541350625789878</v>
      </c>
      <c r="BG53" s="6">
        <f t="shared" si="42"/>
        <v>5.1640171440618792</v>
      </c>
      <c r="BH53" s="6">
        <f t="shared" si="2"/>
        <v>-0.1025039172753397</v>
      </c>
      <c r="BI53" s="6">
        <f t="shared" si="3"/>
        <v>0.1025039172753397</v>
      </c>
      <c r="BJ53">
        <v>162.67281045877061</v>
      </c>
      <c r="BK53">
        <v>-37.925825470711608</v>
      </c>
      <c r="BV53" s="38"/>
      <c r="BW53" s="6">
        <f t="shared" si="27"/>
        <v>0.66322511575784571</v>
      </c>
      <c r="BX53" s="9">
        <f t="shared" ca="1" si="28"/>
        <v>22.9629130768203</v>
      </c>
      <c r="BY53" s="9">
        <f t="shared" ca="1" si="29"/>
        <v>6.7040636528626152</v>
      </c>
      <c r="BZ53" s="9">
        <f t="shared" ca="1" si="30"/>
        <v>146.85859413364147</v>
      </c>
      <c r="CA53" s="6">
        <f t="shared" ca="1" si="31"/>
        <v>-34.594496699411103</v>
      </c>
      <c r="CB53" s="6">
        <f t="shared" ca="1" si="32"/>
        <v>-0.23134572372345358</v>
      </c>
      <c r="CC53" s="6">
        <f t="shared" ca="1" si="33"/>
        <v>9.3506113810820357E-3</v>
      </c>
      <c r="CD53" s="9">
        <f t="shared" si="34"/>
        <v>134.65859413364149</v>
      </c>
      <c r="CE53" s="9">
        <f t="shared" si="35"/>
        <v>-30.394496699411103</v>
      </c>
      <c r="CF53" s="6">
        <f t="shared" si="36"/>
        <v>-0.22199511234237154</v>
      </c>
      <c r="CG53" s="6"/>
      <c r="CH53" s="6"/>
      <c r="CI53" s="6"/>
      <c r="CJ53" s="1"/>
      <c r="CK53" s="6"/>
      <c r="DK53">
        <v>2.8290799247393044</v>
      </c>
      <c r="DL53">
        <v>-2.2019233223324575</v>
      </c>
      <c r="DM53">
        <v>2.8290799248393044</v>
      </c>
      <c r="DN53">
        <v>-2.2019233223679811</v>
      </c>
      <c r="DO53">
        <v>2.8290799246393044</v>
      </c>
      <c r="DP53">
        <v>-2.2019233222969334</v>
      </c>
      <c r="DQ53">
        <v>-0.35523806118931134</v>
      </c>
      <c r="DR53">
        <v>2.913820969047459</v>
      </c>
    </row>
    <row r="54" spans="1:122" x14ac:dyDescent="0.2">
      <c r="A54" t="s">
        <v>48</v>
      </c>
      <c r="B54" s="6">
        <f t="shared" si="65"/>
        <v>-11.780858918745954</v>
      </c>
      <c r="C54" s="6">
        <f t="shared" si="65"/>
        <v>6.4196077089339294</v>
      </c>
      <c r="D54" s="6">
        <f t="shared" si="49"/>
        <v>-7.2096295511304938</v>
      </c>
      <c r="E54" s="6">
        <f t="shared" si="49"/>
        <v>-0.14574544749642104</v>
      </c>
      <c r="F54" s="6">
        <f t="shared" si="50"/>
        <v>-1.4362335880457267</v>
      </c>
      <c r="G54" s="6">
        <f t="shared" si="51"/>
        <v>-10.500457566197072</v>
      </c>
      <c r="H54" s="6">
        <f t="shared" si="52"/>
        <v>0</v>
      </c>
      <c r="I54" s="6">
        <f t="shared" si="53"/>
        <v>0</v>
      </c>
      <c r="J54" s="6">
        <f t="shared" si="54"/>
        <v>0</v>
      </c>
      <c r="K54" s="6">
        <f t="shared" si="55"/>
        <v>0</v>
      </c>
      <c r="L54" s="6">
        <f t="shared" si="56"/>
        <v>0</v>
      </c>
      <c r="M54" s="6">
        <f t="shared" si="57"/>
        <v>0</v>
      </c>
      <c r="N54" s="10">
        <f t="shared" si="58"/>
        <v>0</v>
      </c>
      <c r="O54" s="10">
        <f t="shared" si="59"/>
        <v>0</v>
      </c>
      <c r="P54" s="10">
        <f t="shared" si="60"/>
        <v>0</v>
      </c>
      <c r="S54" t="e">
        <f t="shared" si="61"/>
        <v>#N/A</v>
      </c>
      <c r="T54" t="e">
        <f t="shared" si="62"/>
        <v>#N/A</v>
      </c>
      <c r="V54" t="e">
        <f t="shared" si="63"/>
        <v>#N/A</v>
      </c>
      <c r="W54" t="e">
        <f t="shared" si="64"/>
        <v>#N/A</v>
      </c>
      <c r="BC54">
        <v>0.90757121103705218</v>
      </c>
      <c r="BD54">
        <v>146.36550330086408</v>
      </c>
      <c r="BE54">
        <v>-34.101405866115464</v>
      </c>
      <c r="BF54" s="6">
        <f t="shared" si="41"/>
        <v>6.0542809016638239</v>
      </c>
      <c r="BG54" s="6">
        <f t="shared" si="42"/>
        <v>5.1467096906267713</v>
      </c>
      <c r="BH54" s="6">
        <f t="shared" si="2"/>
        <v>-0.10264975636017581</v>
      </c>
      <c r="BI54" s="6">
        <f t="shared" si="3"/>
        <v>0.10264975636017581</v>
      </c>
      <c r="BJ54">
        <v>162.62833700096007</v>
      </c>
      <c r="BK54">
        <v>-37.890450962350513</v>
      </c>
      <c r="BV54" s="38"/>
      <c r="BW54" s="6">
        <f t="shared" si="27"/>
        <v>0.68067840827778903</v>
      </c>
      <c r="BX54" s="9">
        <f t="shared" ca="1" si="28"/>
        <v>22.931076019533819</v>
      </c>
      <c r="BY54" s="9">
        <f t="shared" ca="1" si="29"/>
        <v>6.744089764668125</v>
      </c>
      <c r="BZ54" s="9">
        <f t="shared" ca="1" si="30"/>
        <v>146.82675707635499</v>
      </c>
      <c r="CA54" s="6">
        <f t="shared" ca="1" si="31"/>
        <v>-34.554470587605593</v>
      </c>
      <c r="CB54" s="6">
        <f t="shared" ca="1" si="32"/>
        <v>-0.23113583020480516</v>
      </c>
      <c r="CC54" s="6">
        <f t="shared" ca="1" si="33"/>
        <v>9.3728384064206971E-3</v>
      </c>
      <c r="CD54" s="9">
        <f t="shared" si="34"/>
        <v>134.62675707635501</v>
      </c>
      <c r="CE54" s="9">
        <f t="shared" si="35"/>
        <v>-30.354470587605594</v>
      </c>
      <c r="CF54" s="6">
        <f t="shared" si="36"/>
        <v>-0.22176299179838446</v>
      </c>
      <c r="CG54" s="6"/>
      <c r="CH54" s="6"/>
      <c r="CI54" s="6"/>
      <c r="CJ54" s="1"/>
      <c r="CK54" s="6"/>
      <c r="DK54">
        <v>2.913820969047459</v>
      </c>
      <c r="DL54">
        <v>-2.2353620073715215</v>
      </c>
      <c r="DM54">
        <v>2.913820969147459</v>
      </c>
      <c r="DN54">
        <v>-2.2353620074148135</v>
      </c>
      <c r="DO54">
        <v>2.913820968947459</v>
      </c>
      <c r="DP54">
        <v>-2.235362007328229</v>
      </c>
      <c r="DQ54">
        <v>-0.43292258666838279</v>
      </c>
      <c r="DR54">
        <v>-2.249601028806862</v>
      </c>
    </row>
    <row r="55" spans="1:122" x14ac:dyDescent="0.2">
      <c r="A55" t="s">
        <v>93</v>
      </c>
      <c r="B55" s="6">
        <f t="shared" si="65"/>
        <v>-7.2096295511304938</v>
      </c>
      <c r="C55" s="6">
        <f t="shared" si="65"/>
        <v>-0.14574544749642104</v>
      </c>
      <c r="D55" s="6">
        <f t="shared" si="49"/>
        <v>-7.2096295511304938</v>
      </c>
      <c r="E55" s="6">
        <f t="shared" si="49"/>
        <v>-0.14574544749642104</v>
      </c>
      <c r="F55" s="6" t="str">
        <f t="shared" si="50"/>
        <v>V</v>
      </c>
      <c r="G55" s="6">
        <f t="shared" si="51"/>
        <v>0</v>
      </c>
      <c r="H55" s="6">
        <f t="shared" si="52"/>
        <v>0</v>
      </c>
      <c r="I55" s="6">
        <f t="shared" si="53"/>
        <v>0</v>
      </c>
      <c r="J55" s="6">
        <f t="shared" si="54"/>
        <v>0</v>
      </c>
      <c r="K55" s="6">
        <f t="shared" si="55"/>
        <v>0</v>
      </c>
      <c r="L55" s="6">
        <f t="shared" si="56"/>
        <v>0</v>
      </c>
      <c r="M55" s="6">
        <f t="shared" si="57"/>
        <v>0</v>
      </c>
      <c r="N55" s="10">
        <f t="shared" si="58"/>
        <v>0</v>
      </c>
      <c r="O55" s="10">
        <f t="shared" si="59"/>
        <v>0</v>
      </c>
      <c r="P55" s="10">
        <f t="shared" si="60"/>
        <v>0</v>
      </c>
      <c r="S55" t="e">
        <f t="shared" si="61"/>
        <v>#N/A</v>
      </c>
      <c r="T55" t="e">
        <f t="shared" si="62"/>
        <v>#N/A</v>
      </c>
      <c r="V55" t="e">
        <f t="shared" si="63"/>
        <v>#N/A</v>
      </c>
      <c r="W55" t="e">
        <f t="shared" si="64"/>
        <v>#N/A</v>
      </c>
      <c r="BC55">
        <v>0.9250245035569955</v>
      </c>
      <c r="BD55">
        <v>146.32439418097405</v>
      </c>
      <c r="BE55">
        <v>-34.069863062323861</v>
      </c>
      <c r="BF55" s="6">
        <f t="shared" si="41"/>
        <v>6.0544232882173095</v>
      </c>
      <c r="BG55" s="6">
        <f t="shared" si="42"/>
        <v>5.1293987846603137</v>
      </c>
      <c r="BH55" s="6">
        <f t="shared" si="2"/>
        <v>-0.10279214291366133</v>
      </c>
      <c r="BI55" s="6">
        <f t="shared" si="3"/>
        <v>0.10279214291366133</v>
      </c>
      <c r="BJ55">
        <v>162.58266020108229</v>
      </c>
      <c r="BK55">
        <v>-37.85540340258207</v>
      </c>
      <c r="BV55" s="38"/>
      <c r="BW55" s="6">
        <f t="shared" si="27"/>
        <v>0.69813170079773235</v>
      </c>
      <c r="BX55" s="9">
        <f t="shared" ca="1" si="28"/>
        <v>22.898905325059658</v>
      </c>
      <c r="BY55" s="9">
        <f t="shared" ca="1" si="29"/>
        <v>6.7831171147866272</v>
      </c>
      <c r="BZ55" s="9">
        <f t="shared" ca="1" si="30"/>
        <v>146.79458638188083</v>
      </c>
      <c r="CA55" s="6">
        <f t="shared" ca="1" si="31"/>
        <v>-34.515443237487091</v>
      </c>
      <c r="CB55" s="6">
        <f t="shared" ca="1" si="32"/>
        <v>-0.23093277865387582</v>
      </c>
      <c r="CC55" s="6">
        <f t="shared" ca="1" si="33"/>
        <v>9.3944479250160084E-3</v>
      </c>
      <c r="CD55" s="9">
        <f t="shared" si="34"/>
        <v>134.59458638188084</v>
      </c>
      <c r="CE55" s="9">
        <f t="shared" si="35"/>
        <v>-30.315443237487091</v>
      </c>
      <c r="CF55" s="6">
        <f t="shared" si="36"/>
        <v>-0.22153833072885981</v>
      </c>
      <c r="CG55" s="6"/>
      <c r="CH55" s="6"/>
      <c r="CI55" s="6"/>
      <c r="CJ55" s="1"/>
      <c r="CK55" s="6"/>
      <c r="DK55">
        <v>-2.249601028806862</v>
      </c>
      <c r="DL55">
        <v>2.1691084864416261</v>
      </c>
      <c r="DM55">
        <v>-2.249601028706862</v>
      </c>
      <c r="DN55">
        <v>2.1691084864410888</v>
      </c>
      <c r="DO55">
        <v>-2.249601028906862</v>
      </c>
      <c r="DP55">
        <v>2.1691084864445136</v>
      </c>
      <c r="DQ55">
        <v>-1.7124079931818414E-2</v>
      </c>
      <c r="DR55">
        <v>-1.2432323375348964</v>
      </c>
    </row>
    <row r="56" spans="1:122" ht="16" thickBot="1" x14ac:dyDescent="0.25">
      <c r="A56" t="s">
        <v>94</v>
      </c>
      <c r="B56" s="6">
        <f t="shared" si="65"/>
        <v>-7.2096295511304938</v>
      </c>
      <c r="C56" s="6">
        <f t="shared" si="65"/>
        <v>-0.14574544749642104</v>
      </c>
      <c r="D56" s="6">
        <f t="shared" si="49"/>
        <v>1.932829184100429</v>
      </c>
      <c r="E56" s="6">
        <f t="shared" si="49"/>
        <v>-13.276451760357121</v>
      </c>
      <c r="F56" s="6">
        <f t="shared" si="50"/>
        <v>-1.436233588045726</v>
      </c>
      <c r="G56" s="6">
        <f t="shared" si="51"/>
        <v>-10.500457566197067</v>
      </c>
      <c r="H56" s="6">
        <f t="shared" si="52"/>
        <v>0</v>
      </c>
      <c r="I56" s="6">
        <f t="shared" si="53"/>
        <v>0</v>
      </c>
      <c r="J56" s="6">
        <f t="shared" si="54"/>
        <v>0</v>
      </c>
      <c r="K56" s="6">
        <f t="shared" si="55"/>
        <v>0</v>
      </c>
      <c r="L56" s="6">
        <f t="shared" si="56"/>
        <v>0</v>
      </c>
      <c r="M56" s="6">
        <f t="shared" si="57"/>
        <v>0</v>
      </c>
      <c r="N56" s="11">
        <f t="shared" si="58"/>
        <v>0</v>
      </c>
      <c r="O56" s="11">
        <f t="shared" si="59"/>
        <v>0</v>
      </c>
      <c r="P56" s="11">
        <f t="shared" si="60"/>
        <v>0</v>
      </c>
      <c r="S56" t="e">
        <f t="shared" si="61"/>
        <v>#N/A</v>
      </c>
      <c r="T56" t="e">
        <f t="shared" si="62"/>
        <v>#N/A</v>
      </c>
      <c r="V56" t="e">
        <f t="shared" si="63"/>
        <v>#N/A</v>
      </c>
      <c r="W56" t="e">
        <f t="shared" si="64"/>
        <v>#N/A</v>
      </c>
      <c r="BC56">
        <v>0.94247779607693882</v>
      </c>
      <c r="BD56">
        <v>146.28211039115143</v>
      </c>
      <c r="BE56">
        <v>-34.038576226736545</v>
      </c>
      <c r="BF56" s="6">
        <f t="shared" si="41"/>
        <v>6.0545623317519865</v>
      </c>
      <c r="BG56" s="6">
        <f t="shared" si="42"/>
        <v>5.1120845356750477</v>
      </c>
      <c r="BH56" s="6">
        <f t="shared" si="2"/>
        <v>-0.10293118644833843</v>
      </c>
      <c r="BI56" s="6">
        <f t="shared" si="3"/>
        <v>0.10293118644833843</v>
      </c>
      <c r="BJ56">
        <v>162.53567821239048</v>
      </c>
      <c r="BK56">
        <v>-37.820640251929497</v>
      </c>
      <c r="BV56" s="38"/>
      <c r="BW56" s="6">
        <f t="shared" si="27"/>
        <v>0.71558499331767567</v>
      </c>
      <c r="BX56" s="9">
        <f t="shared" ca="1" si="28"/>
        <v>22.866360276518307</v>
      </c>
      <c r="BY56" s="9">
        <f t="shared" ca="1" si="29"/>
        <v>6.8212234005822765</v>
      </c>
      <c r="BZ56" s="9">
        <f t="shared" ca="1" si="30"/>
        <v>146.76204133333948</v>
      </c>
      <c r="CA56" s="6">
        <f t="shared" ca="1" si="31"/>
        <v>-34.477336951691441</v>
      </c>
      <c r="CB56" s="6">
        <f t="shared" ca="1" si="32"/>
        <v>-0.2307361342243498</v>
      </c>
      <c r="CC56" s="6">
        <f t="shared" ca="1" si="33"/>
        <v>9.4154838825483405E-3</v>
      </c>
      <c r="CD56" s="9">
        <f t="shared" si="34"/>
        <v>134.56204133333949</v>
      </c>
      <c r="CE56" s="9">
        <f t="shared" si="35"/>
        <v>-30.277336951691442</v>
      </c>
      <c r="CF56" s="6">
        <f t="shared" si="36"/>
        <v>-0.22132065034180146</v>
      </c>
      <c r="CG56" s="6"/>
      <c r="CH56" s="6"/>
      <c r="CI56" s="6"/>
      <c r="CJ56" s="1"/>
      <c r="CK56" s="6"/>
      <c r="DK56">
        <v>-1.2432323375348964</v>
      </c>
      <c r="DL56">
        <v>2.1452428243957389</v>
      </c>
      <c r="DM56">
        <v>-1.2432323374348964</v>
      </c>
      <c r="DN56">
        <v>2.1452428243931028</v>
      </c>
      <c r="DO56">
        <v>-1.2432323376348964</v>
      </c>
      <c r="DP56">
        <v>2.1452428243983741</v>
      </c>
      <c r="DQ56">
        <v>-2.6356694604601216E-2</v>
      </c>
      <c r="DR56">
        <v>-1.5319304246531789</v>
      </c>
    </row>
    <row r="57" spans="1:122" ht="16" thickTop="1" x14ac:dyDescent="0.2">
      <c r="N57" s="6">
        <f>SUM(N49:N56)</f>
        <v>23.788666863943185</v>
      </c>
      <c r="O57" s="6">
        <f>SUM(O49:O56)</f>
        <v>279.49284716025386</v>
      </c>
      <c r="P57" s="6">
        <f>SUM(P49:P56)</f>
        <v>59.423257619847377</v>
      </c>
      <c r="BC57">
        <v>0.95993108859688214</v>
      </c>
      <c r="BD57">
        <v>146.23855185106294</v>
      </c>
      <c r="BE57">
        <v>-34.007507945804939</v>
      </c>
      <c r="BF57" s="6">
        <f t="shared" si="41"/>
        <v>6.0546981237860349</v>
      </c>
      <c r="BG57" s="6">
        <f t="shared" si="42"/>
        <v>5.094767035189153</v>
      </c>
      <c r="BH57" s="6">
        <f t="shared" si="2"/>
        <v>-0.10306697848238676</v>
      </c>
      <c r="BI57" s="6">
        <f t="shared" si="3"/>
        <v>0.10306697848238676</v>
      </c>
      <c r="BJ57">
        <v>162.48727983451437</v>
      </c>
      <c r="BK57">
        <v>-37.786119939783262</v>
      </c>
      <c r="BV57" s="38"/>
      <c r="BW57" s="6">
        <f t="shared" si="27"/>
        <v>0.73303828583761899</v>
      </c>
      <c r="BX57" s="9">
        <f t="shared" ca="1" si="28"/>
        <v>22.833398576114362</v>
      </c>
      <c r="BY57" s="9">
        <f t="shared" ca="1" si="29"/>
        <v>6.85848052814287</v>
      </c>
      <c r="BZ57" s="9">
        <f t="shared" ca="1" si="30"/>
        <v>146.72907963293554</v>
      </c>
      <c r="CA57" s="6">
        <f t="shared" ca="1" si="31"/>
        <v>-34.440079824130848</v>
      </c>
      <c r="CB57" s="6">
        <f t="shared" ca="1" si="32"/>
        <v>-0.23054550114085984</v>
      </c>
      <c r="CC57" s="6">
        <f t="shared" ca="1" si="33"/>
        <v>9.435986678803715E-3</v>
      </c>
      <c r="CD57" s="9">
        <f t="shared" si="34"/>
        <v>134.52907963293555</v>
      </c>
      <c r="CE57" s="9">
        <f t="shared" si="35"/>
        <v>-30.240079824130849</v>
      </c>
      <c r="CF57" s="6">
        <f t="shared" si="36"/>
        <v>-0.22110951446205612</v>
      </c>
      <c r="CG57" s="6"/>
      <c r="CH57" s="6"/>
      <c r="CI57" s="6"/>
      <c r="CJ57" s="1"/>
      <c r="CK57" s="6"/>
      <c r="DK57">
        <v>-1.5319304246531789</v>
      </c>
      <c r="DL57">
        <v>2.1525317613483264</v>
      </c>
      <c r="DM57">
        <v>-1.5319304245531788</v>
      </c>
      <c r="DN57">
        <v>2.1525317613454078</v>
      </c>
      <c r="DO57">
        <v>-1.5319304247531789</v>
      </c>
      <c r="DP57">
        <v>2.1525317613501445</v>
      </c>
      <c r="DQ57">
        <v>-2.3683277561303839E-2</v>
      </c>
      <c r="DR57">
        <v>1.3917298999168077</v>
      </c>
    </row>
    <row r="58" spans="1:122" x14ac:dyDescent="0.2">
      <c r="O58" s="6">
        <f>O57/N57</f>
        <v>11.748991600024677</v>
      </c>
      <c r="P58" s="6">
        <f>-1*P57/N57</f>
        <v>-2.4979650166910377</v>
      </c>
      <c r="S58">
        <f>(P58*COS(-1*$B$27))+(O58*SIN(-1*$B$27))+$I$2</f>
        <v>10.663414116864384</v>
      </c>
      <c r="T58">
        <f>(-1*P58*SIN(-1*$B$27))+(O58*COS(-1*$B$27))+$I$3</f>
        <v>23.069381266208726</v>
      </c>
      <c r="BC58">
        <v>0.97738438111682546</v>
      </c>
      <c r="BD58">
        <v>146.19360891216914</v>
      </c>
      <c r="BE58">
        <v>-33.976621454037762</v>
      </c>
      <c r="BF58" s="6">
        <f t="shared" si="41"/>
        <v>6.0548307375537194</v>
      </c>
      <c r="BG58" s="6">
        <f t="shared" si="42"/>
        <v>5.0774463564368943</v>
      </c>
      <c r="BH58" s="6">
        <f t="shared" si="2"/>
        <v>-0.10319959225007126</v>
      </c>
      <c r="BI58" s="6">
        <f t="shared" si="3"/>
        <v>0.10319959225007126</v>
      </c>
      <c r="BJ58">
        <v>162.4373432357435</v>
      </c>
      <c r="BK58">
        <v>-37.751801615597515</v>
      </c>
      <c r="BV58" s="38"/>
      <c r="BW58" s="6">
        <f t="shared" si="27"/>
        <v>0.75049157835756231</v>
      </c>
      <c r="BX58" s="9">
        <f t="shared" ca="1" si="28"/>
        <v>22.799976076870919</v>
      </c>
      <c r="BY58" s="9">
        <f t="shared" ca="1" si="29"/>
        <v>6.8949552746927836</v>
      </c>
      <c r="BZ58" s="9">
        <f t="shared" ca="1" si="30"/>
        <v>146.69565713369209</v>
      </c>
      <c r="CA58" s="6">
        <f t="shared" ca="1" si="31"/>
        <v>-34.403605077580934</v>
      </c>
      <c r="CB58" s="6">
        <f t="shared" ca="1" si="32"/>
        <v>-0.23036051889591078</v>
      </c>
      <c r="CC58" s="6">
        <f t="shared" ca="1" si="33"/>
        <v>9.4559935442581344E-3</v>
      </c>
      <c r="CD58" s="9">
        <f t="shared" si="34"/>
        <v>134.49565713369211</v>
      </c>
      <c r="CE58" s="9">
        <f t="shared" si="35"/>
        <v>-30.203605077580935</v>
      </c>
      <c r="CF58" s="6">
        <f t="shared" si="36"/>
        <v>-0.22090452535165264</v>
      </c>
      <c r="CG58" s="6"/>
      <c r="CH58" s="6"/>
      <c r="CI58" s="6"/>
      <c r="CJ58" s="1"/>
      <c r="CK58" s="6"/>
      <c r="DK58">
        <v>1.3917298999168077</v>
      </c>
      <c r="DL58">
        <v>-0.4903842828474656</v>
      </c>
      <c r="DM58">
        <v>1.3917299000168077</v>
      </c>
      <c r="DN58">
        <v>-0.49038428285096441</v>
      </c>
      <c r="DO58">
        <v>1.3917298998168077</v>
      </c>
      <c r="DP58">
        <v>-0.49038428284396635</v>
      </c>
      <c r="DQ58">
        <v>-3.4990343955598746E-2</v>
      </c>
      <c r="DR58">
        <v>-5.6745509236744103E-2</v>
      </c>
    </row>
    <row r="59" spans="1:122" x14ac:dyDescent="0.2">
      <c r="A59" t="s">
        <v>54</v>
      </c>
      <c r="O59">
        <f>O57/12</f>
        <v>23.29107059668782</v>
      </c>
      <c r="P59">
        <f>P57/12</f>
        <v>4.9519381349872811</v>
      </c>
      <c r="BC59">
        <v>0.99483767363676878</v>
      </c>
      <c r="BD59">
        <v>146.14716100892011</v>
      </c>
      <c r="BE59">
        <v>-33.945880417564631</v>
      </c>
      <c r="BF59" s="6">
        <f t="shared" si="41"/>
        <v>6.0549602273692846</v>
      </c>
      <c r="BG59" s="6">
        <f t="shared" si="42"/>
        <v>5.0601225537325156</v>
      </c>
      <c r="BH59" s="6">
        <f t="shared" si="2"/>
        <v>-0.10332908206563651</v>
      </c>
      <c r="BI59" s="6">
        <f t="shared" si="3"/>
        <v>0.10332908206563651</v>
      </c>
      <c r="BJ59">
        <v>162.38573445435568</v>
      </c>
      <c r="BK59">
        <v>-37.717644908405141</v>
      </c>
      <c r="BV59" s="38"/>
      <c r="BW59" s="6">
        <f t="shared" si="27"/>
        <v>0.76794487087750563</v>
      </c>
      <c r="BX59" s="9">
        <f t="shared" ca="1" si="28"/>
        <v>22.766046498554815</v>
      </c>
      <c r="BY59" s="9">
        <f t="shared" ca="1" si="29"/>
        <v>6.9307098737247017</v>
      </c>
      <c r="BZ59" s="9">
        <f t="shared" ca="1" si="30"/>
        <v>146.66172755537599</v>
      </c>
      <c r="CA59" s="6">
        <f t="shared" ca="1" si="31"/>
        <v>-34.367850478549016</v>
      </c>
      <c r="CB59" s="6">
        <f t="shared" ca="1" si="32"/>
        <v>-0.23018085895902632</v>
      </c>
      <c r="CC59" s="6">
        <f t="shared" ca="1" si="33"/>
        <v>9.4755388699145904E-3</v>
      </c>
      <c r="CD59" s="9">
        <f t="shared" si="34"/>
        <v>134.461727555376</v>
      </c>
      <c r="CE59" s="9">
        <f t="shared" si="35"/>
        <v>-30.167850478549017</v>
      </c>
      <c r="CF59" s="6">
        <f t="shared" si="36"/>
        <v>-0.22070532008911173</v>
      </c>
      <c r="CG59" s="6"/>
      <c r="CH59" s="6"/>
      <c r="CI59" s="6"/>
      <c r="CJ59" s="1"/>
      <c r="CK59" s="6"/>
      <c r="DK59">
        <v>-5.6745509236744103E-2</v>
      </c>
      <c r="DL59">
        <v>1.9518512633441496</v>
      </c>
      <c r="DM59">
        <v>-5.6745509136744102E-2</v>
      </c>
      <c r="DN59">
        <v>1.951851263150405</v>
      </c>
      <c r="DO59">
        <v>-5.6745509336744104E-2</v>
      </c>
      <c r="DP59">
        <v>1.9518512635263872</v>
      </c>
      <c r="DQ59">
        <v>-1.8799106715761127</v>
      </c>
      <c r="DR59">
        <v>0.9815225812931756</v>
      </c>
    </row>
    <row r="60" spans="1:122" x14ac:dyDescent="0.2">
      <c r="BC60">
        <v>1.0122909661567121</v>
      </c>
      <c r="BD60">
        <v>146.09907509379346</v>
      </c>
      <c r="BE60">
        <v>-33.915248712312639</v>
      </c>
      <c r="BF60" s="6">
        <f t="shared" si="41"/>
        <v>6.0550866277011872</v>
      </c>
      <c r="BG60" s="6">
        <f t="shared" si="42"/>
        <v>5.0427956615444751</v>
      </c>
      <c r="BH60" s="6">
        <f t="shared" si="2"/>
        <v>-0.1034554823975391</v>
      </c>
      <c r="BI60" s="6">
        <f t="shared" si="3"/>
        <v>0.1034554823975391</v>
      </c>
      <c r="BJ60">
        <v>162.3323056597705</v>
      </c>
      <c r="BK60">
        <v>-37.683609680347374</v>
      </c>
      <c r="BV60" s="38"/>
      <c r="BW60" s="6">
        <f t="shared" si="27"/>
        <v>0.78539816339744895</v>
      </c>
      <c r="BX60" s="9">
        <f t="shared" ca="1" si="28"/>
        <v>22.731561127415191</v>
      </c>
      <c r="BY60" s="9">
        <f t="shared" ca="1" si="29"/>
        <v>6.9658025366106457</v>
      </c>
      <c r="BZ60" s="9">
        <f t="shared" ca="1" si="30"/>
        <v>146.62724218423637</v>
      </c>
      <c r="CA60" s="6">
        <f t="shared" ca="1" si="31"/>
        <v>-34.332757815663072</v>
      </c>
      <c r="CB60" s="6">
        <f t="shared" ca="1" si="32"/>
        <v>-0.23000622191134165</v>
      </c>
      <c r="CC60" s="6">
        <f t="shared" ca="1" si="33"/>
        <v>9.4946544985876607E-3</v>
      </c>
      <c r="CD60" s="9">
        <f t="shared" si="34"/>
        <v>134.42724218423638</v>
      </c>
      <c r="CE60" s="9">
        <f t="shared" si="35"/>
        <v>-30.132757815663073</v>
      </c>
      <c r="CF60" s="6">
        <f t="shared" si="36"/>
        <v>-0.22051156741275399</v>
      </c>
      <c r="CG60" s="6"/>
      <c r="CH60" s="6"/>
      <c r="CI60" s="6"/>
      <c r="CJ60" s="1"/>
      <c r="CK60" s="6"/>
      <c r="DK60">
        <v>0.9815225812931756</v>
      </c>
      <c r="DL60">
        <v>-0.47227227950607342</v>
      </c>
      <c r="DM60">
        <v>0.98152258139317561</v>
      </c>
      <c r="DN60">
        <v>-0.47227227951170253</v>
      </c>
      <c r="DO60">
        <v>0.98152258119317559</v>
      </c>
      <c r="DP60">
        <v>-0.47227227950044343</v>
      </c>
      <c r="DQ60">
        <v>-5.62955237981555E-2</v>
      </c>
      <c r="DR60">
        <v>-1.124454297838527</v>
      </c>
    </row>
    <row r="61" spans="1:122" x14ac:dyDescent="0.2">
      <c r="A61">
        <f t="shared" ref="A61:E71" si="66">A14</f>
        <v>0</v>
      </c>
      <c r="B61" s="1" t="str">
        <f t="shared" si="66"/>
        <v>Bar #</v>
      </c>
      <c r="C61" s="1" t="str">
        <f t="shared" si="66"/>
        <v>As (in^2)</v>
      </c>
      <c r="D61" s="1" t="str">
        <f t="shared" si="66"/>
        <v>x</v>
      </c>
      <c r="E61" s="1" t="str">
        <f t="shared" si="66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146.04920379124502</v>
      </c>
      <c r="BE61">
        <v>-33.884690201313106</v>
      </c>
      <c r="BF61" s="6">
        <f t="shared" si="41"/>
        <v>6.0552099518287381</v>
      </c>
      <c r="BG61" s="6">
        <f t="shared" si="42"/>
        <v>5.0254656931520829</v>
      </c>
      <c r="BH61" s="6">
        <f t="shared" si="2"/>
        <v>-0.10357880652508999</v>
      </c>
      <c r="BI61" s="6">
        <f t="shared" si="3"/>
        <v>0.10357880652508999</v>
      </c>
      <c r="BJ61">
        <v>162.27689310138337</v>
      </c>
      <c r="BK61">
        <v>-37.649655779236781</v>
      </c>
      <c r="BV61" s="38"/>
      <c r="BW61" s="6">
        <f t="shared" si="27"/>
        <v>0.80285145591739226</v>
      </c>
      <c r="BX61" s="9">
        <f t="shared" ca="1" si="28"/>
        <v>22.696468464836116</v>
      </c>
      <c r="BY61" s="9">
        <f t="shared" ca="1" si="29"/>
        <v>7.0002879084251859</v>
      </c>
      <c r="BZ61" s="9">
        <f t="shared" ca="1" si="30"/>
        <v>146.59214952165729</v>
      </c>
      <c r="CA61" s="6">
        <f t="shared" ca="1" si="31"/>
        <v>-34.298272443848532</v>
      </c>
      <c r="CB61" s="6">
        <f t="shared" ca="1" si="32"/>
        <v>-0.22983633507445314</v>
      </c>
      <c r="CC61" s="6">
        <f t="shared" ca="1" si="33"/>
        <v>9.5133699734377131E-3</v>
      </c>
      <c r="CD61" s="9">
        <f t="shared" si="34"/>
        <v>134.3921495216573</v>
      </c>
      <c r="CE61" s="9">
        <f t="shared" si="35"/>
        <v>-30.098272443848533</v>
      </c>
      <c r="CF61" s="6">
        <f t="shared" si="36"/>
        <v>-0.22032296510101543</v>
      </c>
      <c r="CG61" s="6"/>
      <c r="CH61" s="6"/>
      <c r="CI61" s="6"/>
      <c r="CJ61" s="1"/>
      <c r="CK61" s="6"/>
      <c r="DK61">
        <v>-1.124454297838527</v>
      </c>
      <c r="DL61">
        <v>2.1417098398611412</v>
      </c>
      <c r="DM61">
        <v>-1.124454297738527</v>
      </c>
      <c r="DN61">
        <v>2.1417098398580725</v>
      </c>
      <c r="DO61">
        <v>-1.124454297938527</v>
      </c>
      <c r="DP61">
        <v>2.141709839864208</v>
      </c>
      <c r="DQ61">
        <v>-3.0677682616442326E-2</v>
      </c>
      <c r="DR61">
        <v>-0.42620636576620097</v>
      </c>
    </row>
    <row r="62" spans="1:122" x14ac:dyDescent="0.2">
      <c r="A62">
        <f t="shared" si="66"/>
        <v>1</v>
      </c>
      <c r="B62" s="1">
        <f t="shared" si="66"/>
        <v>8</v>
      </c>
      <c r="C62" s="1">
        <f t="shared" ca="1" si="66"/>
        <v>0.79</v>
      </c>
      <c r="D62" s="1">
        <f t="shared" si="66"/>
        <v>2</v>
      </c>
      <c r="E62" s="1">
        <f t="shared" si="66"/>
        <v>2</v>
      </c>
      <c r="F62" s="1">
        <f t="shared" ref="F62:F71" si="67">D62-$I$2</f>
        <v>-4</v>
      </c>
      <c r="G62" s="1">
        <f t="shared" ref="G62:G71" si="68">E62-$I$3</f>
        <v>-10</v>
      </c>
      <c r="H62" s="6">
        <f t="shared" ref="H62:H71" si="69">F62*COS($B$27)+G62*SIN($B$27)</f>
        <v>2.4313601313041522</v>
      </c>
      <c r="I62" s="6">
        <f t="shared" ref="I62:I71" si="70">-1*F62*SIN($B$27)+G62*COS($B$27)</f>
        <v>-10.492306129345668</v>
      </c>
      <c r="J62" s="6">
        <f t="shared" ref="J62:J71" si="71">$G$38-I62</f>
        <v>23.76875788970279</v>
      </c>
      <c r="K62">
        <f t="shared" ref="K62:K71" ca="1" si="72">IF($B$28=0,-1,IF(C62=0,0,(($B$28-J62)/$B$28)*$B$30)*IF($B$28&lt;0,-1,1))</f>
        <v>-2.1897547976143225E-2</v>
      </c>
      <c r="L62">
        <f t="shared" ref="L62:L71" ca="1" si="73">IF(AND(K62&gt;0,J62&lt;=$B$29),MIN((K62*B$13),B$12)-$B$31,MAX(K62*B$13,-1*B$12))</f>
        <v>-60</v>
      </c>
      <c r="M62" s="6">
        <f t="shared" ref="M62:M71" ca="1" si="74">L62*C62</f>
        <v>-47.400000000000006</v>
      </c>
      <c r="N62" s="6">
        <f t="shared" ref="N62:N71" ca="1" si="75">M62*I62</f>
        <v>497.33531053098471</v>
      </c>
      <c r="O62" s="6">
        <f t="shared" ref="O62:O71" ca="1" si="76">M62*H62*-1</f>
        <v>115.24647022381683</v>
      </c>
      <c r="Q62">
        <f t="shared" ref="Q62:Q71" si="77">IF($B62=0,NA(),H62)</f>
        <v>2.4313601313041522</v>
      </c>
      <c r="R62">
        <f t="shared" ref="R62:R71" si="78">IF($B62=0,NA(),I62)</f>
        <v>-10.492306129345668</v>
      </c>
      <c r="BC62">
        <v>1.0471975511965987</v>
      </c>
      <c r="BD62">
        <v>145.99738322458194</v>
      </c>
      <c r="BE62">
        <v>-33.854168501248729</v>
      </c>
      <c r="BF62" s="6">
        <f t="shared" si="41"/>
        <v>6.0553301900751215</v>
      </c>
      <c r="BG62" s="6">
        <f t="shared" si="42"/>
        <v>5.0081326388785232</v>
      </c>
      <c r="BH62" s="6">
        <f t="shared" si="2"/>
        <v>-0.10369904477147342</v>
      </c>
      <c r="BI62" s="6">
        <f t="shared" si="3"/>
        <v>0.10369904477147342</v>
      </c>
      <c r="BJ62">
        <v>162.21931469397992</v>
      </c>
      <c r="BK62">
        <v>-37.615742779165252</v>
      </c>
      <c r="BV62" s="38"/>
      <c r="BW62" s="6">
        <f t="shared" si="27"/>
        <v>0.82030474843733558</v>
      </c>
      <c r="BX62" s="9">
        <f t="shared" ca="1" si="28"/>
        <v>22.660713865457879</v>
      </c>
      <c r="BY62" s="9">
        <f t="shared" ca="1" si="29"/>
        <v>7.0342174854175852</v>
      </c>
      <c r="BZ62" s="9">
        <f t="shared" ca="1" si="30"/>
        <v>146.55639492227905</v>
      </c>
      <c r="CA62" s="6">
        <f t="shared" ca="1" si="31"/>
        <v>-34.264342866856133</v>
      </c>
      <c r="CB62" s="6">
        <f t="shared" ca="1" si="32"/>
        <v>-0.2296709503958303</v>
      </c>
      <c r="CC62" s="6">
        <f t="shared" ca="1" si="33"/>
        <v>9.5317127635202725E-3</v>
      </c>
      <c r="CD62" s="9">
        <f t="shared" si="34"/>
        <v>134.35639492227907</v>
      </c>
      <c r="CE62" s="9">
        <f t="shared" si="35"/>
        <v>-30.064342866856133</v>
      </c>
      <c r="CF62" s="6">
        <f t="shared" si="36"/>
        <v>-0.22013923763231003</v>
      </c>
      <c r="CG62" s="6"/>
      <c r="CH62" s="6"/>
      <c r="CI62" s="6"/>
      <c r="CJ62" s="1"/>
      <c r="CK62" s="6"/>
      <c r="DK62">
        <v>-0.42620636576620097</v>
      </c>
      <c r="DL62">
        <v>2.0994511137167544</v>
      </c>
      <c r="DM62">
        <v>-0.42620636566620096</v>
      </c>
      <c r="DN62">
        <v>2.0994511137047374</v>
      </c>
      <c r="DO62">
        <v>-0.42620636586620098</v>
      </c>
      <c r="DP62">
        <v>2.0994511137287715</v>
      </c>
      <c r="DQ62">
        <v>-0.12017054018542694</v>
      </c>
      <c r="DR62">
        <v>-1.8051649971768213</v>
      </c>
    </row>
    <row r="63" spans="1:122" x14ac:dyDescent="0.2">
      <c r="A63">
        <f t="shared" si="66"/>
        <v>2</v>
      </c>
      <c r="B63" s="1">
        <f t="shared" si="66"/>
        <v>8</v>
      </c>
      <c r="C63" s="1">
        <f t="shared" ca="1" si="66"/>
        <v>0.79</v>
      </c>
      <c r="D63" s="1">
        <f t="shared" si="66"/>
        <v>2</v>
      </c>
      <c r="E63" s="1">
        <f t="shared" si="66"/>
        <v>4</v>
      </c>
      <c r="F63" s="1">
        <f t="shared" si="67"/>
        <v>-4</v>
      </c>
      <c r="G63" s="1">
        <f t="shared" si="68"/>
        <v>-8</v>
      </c>
      <c r="H63" s="6">
        <f t="shared" si="69"/>
        <v>1.2885527894002866</v>
      </c>
      <c r="I63" s="6">
        <f t="shared" si="70"/>
        <v>-8.8509678402380807</v>
      </c>
      <c r="J63" s="6">
        <f t="shared" si="71"/>
        <v>22.127419600595204</v>
      </c>
      <c r="K63">
        <f t="shared" ca="1" si="72"/>
        <v>-2.0178261718621086E-2</v>
      </c>
      <c r="L63">
        <f t="shared" ca="1" si="73"/>
        <v>-60</v>
      </c>
      <c r="M63" s="6">
        <f t="shared" ca="1" si="74"/>
        <v>-47.400000000000006</v>
      </c>
      <c r="N63" s="6">
        <f t="shared" ca="1" si="75"/>
        <v>419.53587562728507</v>
      </c>
      <c r="O63" s="6">
        <f t="shared" ca="1" si="76"/>
        <v>61.077402217573592</v>
      </c>
      <c r="Q63">
        <f t="shared" si="77"/>
        <v>1.2885527894002866</v>
      </c>
      <c r="R63">
        <f t="shared" si="78"/>
        <v>-8.8509678402380807</v>
      </c>
      <c r="BC63">
        <v>1.0646508437165421</v>
      </c>
      <c r="BD63">
        <v>145.94343043172015</v>
      </c>
      <c r="BE63">
        <v>-33.823646738566651</v>
      </c>
      <c r="BF63" s="6">
        <f t="shared" si="41"/>
        <v>6.0554473074867357</v>
      </c>
      <c r="BG63" s="6">
        <f t="shared" si="42"/>
        <v>4.9907964637701934</v>
      </c>
      <c r="BH63" s="6">
        <f t="shared" si="2"/>
        <v>-0.10381616218308753</v>
      </c>
      <c r="BI63" s="6">
        <f t="shared" si="3"/>
        <v>0.10381616218308753</v>
      </c>
      <c r="BJ63">
        <v>162.15936714635572</v>
      </c>
      <c r="BK63">
        <v>-37.581829709518502</v>
      </c>
      <c r="BV63" s="38"/>
      <c r="BW63" s="6">
        <f t="shared" si="27"/>
        <v>0.8377580409572789</v>
      </c>
      <c r="BX63" s="9">
        <f t="shared" ca="1" si="28"/>
        <v>22.6242391190397</v>
      </c>
      <c r="BY63" s="9">
        <f t="shared" ca="1" si="29"/>
        <v>7.0676399852950027</v>
      </c>
      <c r="BZ63" s="9">
        <f t="shared" ca="1" si="30"/>
        <v>146.51992017586088</v>
      </c>
      <c r="CA63" s="6">
        <f t="shared" ca="1" si="31"/>
        <v>-34.230920366978715</v>
      </c>
      <c r="CB63" s="6">
        <f t="shared" ca="1" si="32"/>
        <v>-0.22950984271804284</v>
      </c>
      <c r="CC63" s="6">
        <f t="shared" ca="1" si="33"/>
        <v>9.5497084573807067E-3</v>
      </c>
      <c r="CD63" s="9">
        <f t="shared" si="34"/>
        <v>134.31992017586089</v>
      </c>
      <c r="CE63" s="9">
        <f t="shared" si="35"/>
        <v>-30.030920366978716</v>
      </c>
      <c r="CF63" s="6">
        <f t="shared" si="36"/>
        <v>-0.21996013426066213</v>
      </c>
      <c r="CG63" s="6"/>
      <c r="CH63" s="6"/>
      <c r="CI63" s="6"/>
      <c r="CJ63" s="1"/>
      <c r="CK63" s="6"/>
      <c r="DK63">
        <v>-1.8051649971768213</v>
      </c>
      <c r="DL63">
        <v>2.1584016970070543</v>
      </c>
      <c r="DM63">
        <v>-1.8051649970768213</v>
      </c>
      <c r="DN63">
        <v>2.1584016970052451</v>
      </c>
      <c r="DO63">
        <v>-1.8051649972768213</v>
      </c>
      <c r="DP63">
        <v>2.158401697010345</v>
      </c>
      <c r="DQ63">
        <v>-2.5499602429590595E-2</v>
      </c>
      <c r="DR63">
        <v>1.1579495061518836</v>
      </c>
    </row>
    <row r="64" spans="1:122" x14ac:dyDescent="0.2">
      <c r="A64">
        <f t="shared" si="66"/>
        <v>3</v>
      </c>
      <c r="B64" s="1">
        <f t="shared" si="66"/>
        <v>8</v>
      </c>
      <c r="C64" s="1">
        <f t="shared" ca="1" si="66"/>
        <v>0.79</v>
      </c>
      <c r="D64" s="1">
        <f t="shared" si="66"/>
        <v>4</v>
      </c>
      <c r="E64" s="1">
        <f t="shared" si="66"/>
        <v>2</v>
      </c>
      <c r="F64" s="1">
        <f t="shared" si="67"/>
        <v>-2</v>
      </c>
      <c r="G64" s="1">
        <f t="shared" si="68"/>
        <v>-10</v>
      </c>
      <c r="H64" s="6">
        <f t="shared" si="69"/>
        <v>4.07269842041174</v>
      </c>
      <c r="I64" s="6">
        <f t="shared" si="70"/>
        <v>-9.3494987874418012</v>
      </c>
      <c r="J64" s="6">
        <f t="shared" si="71"/>
        <v>22.625950547798922</v>
      </c>
      <c r="K64">
        <f t="shared" ca="1" si="72"/>
        <v>-2.0700468147463291E-2</v>
      </c>
      <c r="L64">
        <f t="shared" ca="1" si="73"/>
        <v>-60</v>
      </c>
      <c r="M64" s="6">
        <f t="shared" ca="1" si="74"/>
        <v>-47.400000000000006</v>
      </c>
      <c r="N64" s="6">
        <f t="shared" ca="1" si="75"/>
        <v>443.16624252474145</v>
      </c>
      <c r="O64" s="6">
        <f t="shared" ca="1" si="76"/>
        <v>193.04590512751651</v>
      </c>
      <c r="Q64">
        <f t="shared" si="77"/>
        <v>4.07269842041174</v>
      </c>
      <c r="R64">
        <f t="shared" si="78"/>
        <v>-9.3494987874418012</v>
      </c>
      <c r="BC64">
        <v>1.0821041362364854</v>
      </c>
      <c r="BD64">
        <v>145.88714028270977</v>
      </c>
      <c r="BE64">
        <v>-33.793087287077398</v>
      </c>
      <c r="BF64" s="6">
        <f t="shared" si="41"/>
        <v>6.0555612408783297</v>
      </c>
      <c r="BG64" s="6">
        <f t="shared" si="42"/>
        <v>4.9734571046418443</v>
      </c>
      <c r="BH64" s="6">
        <f t="shared" si="2"/>
        <v>-0.10393009557468157</v>
      </c>
      <c r="BI64" s="6">
        <f t="shared" si="3"/>
        <v>0.10393009557468157</v>
      </c>
      <c r="BJ64">
        <v>162.09682253634418</v>
      </c>
      <c r="BK64">
        <v>-37.54787476341933</v>
      </c>
      <c r="BV64" s="38"/>
      <c r="BW64" s="6">
        <f t="shared" si="27"/>
        <v>0.85521133347722222</v>
      </c>
      <c r="BX64" s="9">
        <f t="shared" ca="1" si="28"/>
        <v>22.586981991652195</v>
      </c>
      <c r="BY64" s="9">
        <f t="shared" ca="1" si="29"/>
        <v>7.1006016860777379</v>
      </c>
      <c r="BZ64" s="9">
        <f t="shared" ca="1" si="30"/>
        <v>146.48266304847337</v>
      </c>
      <c r="CA64" s="6">
        <f t="shared" ca="1" si="31"/>
        <v>-34.19795866619598</v>
      </c>
      <c r="CB64" s="6">
        <f t="shared" ca="1" si="32"/>
        <v>-0.22935280830703114</v>
      </c>
      <c r="CC64" s="6">
        <f t="shared" ca="1" si="33"/>
        <v>9.5673809354756573E-3</v>
      </c>
      <c r="CD64" s="9">
        <f t="shared" si="34"/>
        <v>134.28266304847338</v>
      </c>
      <c r="CE64" s="9">
        <f t="shared" si="35"/>
        <v>-29.997958666195981</v>
      </c>
      <c r="CF64" s="6">
        <f t="shared" si="36"/>
        <v>-0.21978542737155549</v>
      </c>
      <c r="CG64" s="6"/>
      <c r="CH64" s="6"/>
      <c r="CI64" s="6"/>
      <c r="CJ64" s="1"/>
      <c r="CK64" s="6"/>
      <c r="DK64">
        <v>1.1579495061518836</v>
      </c>
      <c r="DL64">
        <v>-0.48112365843145799</v>
      </c>
      <c r="DM64">
        <v>1.1579495062518836</v>
      </c>
      <c r="DN64">
        <v>-0.48112365843587157</v>
      </c>
      <c r="DO64">
        <v>1.1579495060518836</v>
      </c>
      <c r="DP64">
        <v>-0.48112365842704308</v>
      </c>
      <c r="DQ64">
        <v>-4.4142467459096224E-2</v>
      </c>
      <c r="DR64">
        <v>2.8249824503347782</v>
      </c>
    </row>
    <row r="65" spans="1:122" x14ac:dyDescent="0.2">
      <c r="A65">
        <f t="shared" si="66"/>
        <v>4</v>
      </c>
      <c r="B65" s="1">
        <f t="shared" si="66"/>
        <v>8</v>
      </c>
      <c r="C65" s="1">
        <f t="shared" ca="1" si="66"/>
        <v>0.79</v>
      </c>
      <c r="D65" s="1">
        <f t="shared" si="66"/>
        <v>4</v>
      </c>
      <c r="E65" s="1">
        <f t="shared" si="66"/>
        <v>4</v>
      </c>
      <c r="F65" s="1">
        <f t="shared" si="67"/>
        <v>-2</v>
      </c>
      <c r="G65" s="1">
        <f t="shared" si="68"/>
        <v>-8</v>
      </c>
      <c r="H65" s="6">
        <f t="shared" si="69"/>
        <v>2.929891078507874</v>
      </c>
      <c r="I65" s="6">
        <f t="shared" si="70"/>
        <v>-7.7081604983342151</v>
      </c>
      <c r="J65" s="6">
        <f t="shared" si="71"/>
        <v>20.984612258691335</v>
      </c>
      <c r="K65">
        <f t="shared" ca="1" si="72"/>
        <v>-1.8981181889941148E-2</v>
      </c>
      <c r="L65">
        <f t="shared" ca="1" si="73"/>
        <v>-60</v>
      </c>
      <c r="M65" s="6">
        <f t="shared" ca="1" si="74"/>
        <v>-47.400000000000006</v>
      </c>
      <c r="N65" s="6">
        <f t="shared" ca="1" si="75"/>
        <v>365.36680762104186</v>
      </c>
      <c r="O65" s="6">
        <f t="shared" ca="1" si="76"/>
        <v>138.87683712127324</v>
      </c>
      <c r="Q65">
        <f t="shared" si="77"/>
        <v>2.929891078507874</v>
      </c>
      <c r="R65">
        <f t="shared" si="78"/>
        <v>-7.7081604983342151</v>
      </c>
      <c r="BC65">
        <v>1.0995574287564287</v>
      </c>
      <c r="BD65">
        <v>145.82828178220711</v>
      </c>
      <c r="BE65">
        <v>-33.762451479789299</v>
      </c>
      <c r="BF65" s="6">
        <f t="shared" si="41"/>
        <v>6.0556718951126021</v>
      </c>
      <c r="BG65" s="6">
        <f t="shared" si="42"/>
        <v>4.9561144663561736</v>
      </c>
      <c r="BH65" s="6">
        <f t="shared" si="2"/>
        <v>-0.10404074980895395</v>
      </c>
      <c r="BI65" s="6">
        <f t="shared" si="3"/>
        <v>0.10404074980895395</v>
      </c>
      <c r="BJ65">
        <v>162.03142420245234</v>
      </c>
      <c r="BK65">
        <v>-37.513834977543667</v>
      </c>
      <c r="BV65" s="38"/>
      <c r="BW65" s="6">
        <f t="shared" si="27"/>
        <v>0.87266462599716554</v>
      </c>
      <c r="BX65" s="9">
        <f t="shared" ca="1" si="28"/>
        <v>22.548875706160132</v>
      </c>
      <c r="BY65" s="9">
        <f t="shared" ca="1" si="29"/>
        <v>7.1331467342310191</v>
      </c>
      <c r="BZ65" s="9">
        <f t="shared" ca="1" si="30"/>
        <v>146.44455676298131</v>
      </c>
      <c r="CA65" s="6">
        <f t="shared" ca="1" si="31"/>
        <v>-34.165413618042699</v>
      </c>
      <c r="CB65" s="6">
        <f t="shared" ca="1" si="32"/>
        <v>-0.22919966366580272</v>
      </c>
      <c r="CC65" s="6">
        <f t="shared" ca="1" si="33"/>
        <v>9.5847525203061057E-3</v>
      </c>
      <c r="CD65" s="9">
        <f t="shared" si="34"/>
        <v>134.24455676298132</v>
      </c>
      <c r="CE65" s="9">
        <f t="shared" si="35"/>
        <v>-29.9654136180427</v>
      </c>
      <c r="CF65" s="6">
        <f t="shared" si="36"/>
        <v>-0.21961491114549661</v>
      </c>
      <c r="CG65" s="6"/>
      <c r="CH65" s="6"/>
      <c r="CI65" s="6"/>
      <c r="CJ65" s="1"/>
      <c r="CK65" s="6"/>
      <c r="DK65">
        <v>2.8249824503347782</v>
      </c>
      <c r="DL65">
        <v>-2.2004146847259158</v>
      </c>
      <c r="DM65">
        <v>2.8249824504347782</v>
      </c>
      <c r="DN65">
        <v>-2.2004146847610966</v>
      </c>
      <c r="DO65">
        <v>2.8249824502347782</v>
      </c>
      <c r="DP65">
        <v>-2.2004146846907346</v>
      </c>
      <c r="DQ65">
        <v>-0.35180969248926885</v>
      </c>
      <c r="DR65">
        <v>2.8536081711748427</v>
      </c>
    </row>
    <row r="66" spans="1:122" x14ac:dyDescent="0.2">
      <c r="A66">
        <f t="shared" si="66"/>
        <v>5</v>
      </c>
      <c r="B66" s="1">
        <f t="shared" si="66"/>
        <v>0</v>
      </c>
      <c r="C66" s="1">
        <f t="shared" ca="1" si="66"/>
        <v>0</v>
      </c>
      <c r="D66" s="1">
        <f t="shared" si="66"/>
        <v>6</v>
      </c>
      <c r="E66" s="1">
        <f t="shared" si="66"/>
        <v>2</v>
      </c>
      <c r="F66" s="1">
        <f t="shared" si="67"/>
        <v>0</v>
      </c>
      <c r="G66" s="1">
        <f t="shared" si="68"/>
        <v>-10</v>
      </c>
      <c r="H66" s="6">
        <f t="shared" si="69"/>
        <v>5.714036709519327</v>
      </c>
      <c r="I66" s="6">
        <f t="shared" si="70"/>
        <v>-8.2066914455379365</v>
      </c>
      <c r="J66" s="6">
        <f t="shared" si="71"/>
        <v>21.483143205895058</v>
      </c>
      <c r="K66">
        <f t="shared" ca="1" si="72"/>
        <v>0</v>
      </c>
      <c r="L66">
        <f t="shared" ca="1" si="73"/>
        <v>0</v>
      </c>
      <c r="M66" s="6">
        <f t="shared" ca="1" si="74"/>
        <v>0</v>
      </c>
      <c r="N66" s="6">
        <f t="shared" ca="1" si="75"/>
        <v>0</v>
      </c>
      <c r="O66" s="6">
        <f t="shared" ca="1" si="76"/>
        <v>0</v>
      </c>
      <c r="Q66" t="e">
        <f t="shared" si="77"/>
        <v>#N/A</v>
      </c>
      <c r="R66" t="e">
        <f t="shared" si="78"/>
        <v>#N/A</v>
      </c>
      <c r="BC66">
        <v>1.117010721276372</v>
      </c>
      <c r="BD66">
        <v>145.76659358166731</v>
      </c>
      <c r="BE66">
        <v>-33.731699298641196</v>
      </c>
      <c r="BF66" s="6">
        <f t="shared" ref="BF66:BF97" si="79">IF(BC66&lt;&gt;"",IF(AND(BD66=0,BE66=0),0,MOD(ATAN2(BD66,BE66),2*PI())),NA())</f>
        <v>6.0557791383229356</v>
      </c>
      <c r="BG66" s="6">
        <f t="shared" ref="BG66:BG97" si="80">ABS(BC66-BF66)</f>
        <v>4.938768417046564</v>
      </c>
      <c r="BH66" s="6">
        <f t="shared" si="2"/>
        <v>-0.10414799301928745</v>
      </c>
      <c r="BI66" s="6">
        <f t="shared" si="3"/>
        <v>0.10414799301928745</v>
      </c>
      <c r="BJ66">
        <v>161.96288175740813</v>
      </c>
      <c r="BK66">
        <v>-37.479665887379106</v>
      </c>
      <c r="BV66" s="38"/>
      <c r="BW66" s="6">
        <f t="shared" si="27"/>
        <v>0.89011791851710886</v>
      </c>
      <c r="BX66" s="9">
        <f t="shared" ca="1" si="28"/>
        <v>22.509848356072368</v>
      </c>
      <c r="BY66" s="9">
        <f t="shared" ca="1" si="29"/>
        <v>7.1653174286332728</v>
      </c>
      <c r="BZ66" s="9">
        <f t="shared" ca="1" si="30"/>
        <v>146.40552941289354</v>
      </c>
      <c r="CA66" s="6">
        <f t="shared" ca="1" si="31"/>
        <v>-34.133242923640445</v>
      </c>
      <c r="CB66" s="6">
        <f t="shared" ca="1" si="32"/>
        <v>-0.22905024460059825</v>
      </c>
      <c r="CC66" s="6">
        <f t="shared" ca="1" si="33"/>
        <v>9.6018441078283834E-3</v>
      </c>
      <c r="CD66" s="9">
        <f t="shared" si="34"/>
        <v>134.20552941289355</v>
      </c>
      <c r="CE66" s="9">
        <f t="shared" si="35"/>
        <v>-29.933242923640446</v>
      </c>
      <c r="CF66" s="6">
        <f t="shared" si="36"/>
        <v>-0.21944840049276987</v>
      </c>
      <c r="CG66" s="6"/>
      <c r="CH66" s="6"/>
      <c r="CI66" s="6"/>
      <c r="CJ66" s="1"/>
      <c r="CK66" s="6"/>
      <c r="DK66">
        <v>2.8536081711748427</v>
      </c>
      <c r="DL66">
        <v>-2.2111493536266913</v>
      </c>
      <c r="DM66">
        <v>2.8536081712748427</v>
      </c>
      <c r="DN66">
        <v>-2.2111493536643261</v>
      </c>
      <c r="DO66">
        <v>2.8536081710748427</v>
      </c>
      <c r="DP66">
        <v>-2.2111493535890561</v>
      </c>
      <c r="DQ66">
        <v>-0.37635006222558332</v>
      </c>
      <c r="DR66">
        <v>-3.0216382431630238</v>
      </c>
    </row>
    <row r="67" spans="1:122" x14ac:dyDescent="0.2">
      <c r="A67">
        <f t="shared" si="66"/>
        <v>6</v>
      </c>
      <c r="B67" s="1">
        <f t="shared" si="66"/>
        <v>0</v>
      </c>
      <c r="C67" s="1">
        <f t="shared" ca="1" si="66"/>
        <v>0</v>
      </c>
      <c r="D67" s="1">
        <f t="shared" si="66"/>
        <v>0</v>
      </c>
      <c r="E67" s="1">
        <f t="shared" si="66"/>
        <v>8.66</v>
      </c>
      <c r="F67" s="1">
        <f t="shared" si="67"/>
        <v>-6</v>
      </c>
      <c r="G67" s="1">
        <f t="shared" si="68"/>
        <v>-3.34</v>
      </c>
      <c r="H67" s="6">
        <f t="shared" si="69"/>
        <v>-3.0155266063433075</v>
      </c>
      <c r="I67" s="6">
        <f t="shared" si="70"/>
        <v>-6.169456968521267</v>
      </c>
      <c r="J67" s="6">
        <f t="shared" si="71"/>
        <v>19.445908728878386</v>
      </c>
      <c r="K67">
        <f t="shared" ca="1" si="72"/>
        <v>0</v>
      </c>
      <c r="L67">
        <f t="shared" ca="1" si="73"/>
        <v>0</v>
      </c>
      <c r="M67" s="6">
        <f t="shared" ca="1" si="74"/>
        <v>0</v>
      </c>
      <c r="N67" s="6">
        <f t="shared" ca="1" si="75"/>
        <v>0</v>
      </c>
      <c r="O67" s="6">
        <f t="shared" ca="1" si="76"/>
        <v>0</v>
      </c>
      <c r="Q67" t="e">
        <f t="shared" si="77"/>
        <v>#N/A</v>
      </c>
      <c r="R67" t="e">
        <f t="shared" si="78"/>
        <v>#N/A</v>
      </c>
      <c r="BC67">
        <v>1.1344640137963153</v>
      </c>
      <c r="BD67">
        <v>145.70177853723428</v>
      </c>
      <c r="BE67">
        <v>-33.700789016311319</v>
      </c>
      <c r="BF67" s="6">
        <f t="shared" si="79"/>
        <v>6.0558827959951937</v>
      </c>
      <c r="BG67" s="6">
        <f t="shared" si="80"/>
        <v>4.9214187821988782</v>
      </c>
      <c r="BH67" s="6">
        <f t="shared" ref="BH67:BH130" si="81">ATAN2(COS($U$13-BF67),SIN($U$13-BF67))</f>
        <v>-0.10425165069154563</v>
      </c>
      <c r="BI67" s="6">
        <f t="shared" ref="BI67:BI130" si="82">ABS(BH67)</f>
        <v>0.10425165069154563</v>
      </c>
      <c r="BJ67">
        <v>161.89086504137143</v>
      </c>
      <c r="BK67">
        <v>-37.445321129234799</v>
      </c>
      <c r="BV67" s="38"/>
      <c r="BW67" s="6">
        <f t="shared" si="27"/>
        <v>0.90757121103705218</v>
      </c>
      <c r="BX67" s="9">
        <f t="shared" ca="1" si="28"/>
        <v>22.469822244042902</v>
      </c>
      <c r="BY67" s="9">
        <f t="shared" ca="1" si="29"/>
        <v>7.1971544861582544</v>
      </c>
      <c r="BZ67" s="9">
        <f t="shared" ca="1" si="30"/>
        <v>146.36550330086408</v>
      </c>
      <c r="CA67" s="6">
        <f t="shared" ca="1" si="31"/>
        <v>-34.101405866115464</v>
      </c>
      <c r="CB67" s="6">
        <f t="shared" ca="1" si="32"/>
        <v>-0.22890440551576255</v>
      </c>
      <c r="CC67" s="6">
        <f t="shared" ca="1" si="33"/>
        <v>9.6186752830481337E-3</v>
      </c>
      <c r="CD67" s="9">
        <f t="shared" si="34"/>
        <v>134.16550330086409</v>
      </c>
      <c r="CE67" s="9">
        <f t="shared" si="35"/>
        <v>-29.901405866115464</v>
      </c>
      <c r="CF67" s="6">
        <f t="shared" si="36"/>
        <v>-0.21928573023271442</v>
      </c>
      <c r="CG67" s="6"/>
      <c r="CH67" s="6"/>
      <c r="CI67" s="6"/>
      <c r="CJ67" s="1"/>
      <c r="CK67" s="6"/>
      <c r="DK67">
        <v>-3.0216382431630238</v>
      </c>
      <c r="DL67">
        <v>-2.4265537507543087</v>
      </c>
      <c r="DM67">
        <v>-3.0216382430630238</v>
      </c>
      <c r="DN67">
        <v>-2.4265537508093558</v>
      </c>
      <c r="DO67">
        <v>-3.0216382432630238</v>
      </c>
      <c r="DP67">
        <v>-2.426553750699262</v>
      </c>
      <c r="DQ67">
        <v>-0.55046855962359587</v>
      </c>
      <c r="DR67">
        <v>-1.1466134173260201</v>
      </c>
    </row>
    <row r="68" spans="1:122" x14ac:dyDescent="0.2">
      <c r="A68">
        <f t="shared" si="66"/>
        <v>7</v>
      </c>
      <c r="B68" s="1">
        <f t="shared" si="66"/>
        <v>0</v>
      </c>
      <c r="C68" s="1">
        <f t="shared" ca="1" si="66"/>
        <v>0</v>
      </c>
      <c r="D68" s="1">
        <f t="shared" si="66"/>
        <v>2</v>
      </c>
      <c r="E68" s="1">
        <f t="shared" si="66"/>
        <v>22</v>
      </c>
      <c r="F68" s="1">
        <f t="shared" si="67"/>
        <v>-4</v>
      </c>
      <c r="G68" s="1">
        <f t="shared" si="68"/>
        <v>10</v>
      </c>
      <c r="H68" s="6">
        <f t="shared" si="69"/>
        <v>-8.9967132877345009</v>
      </c>
      <c r="I68" s="6">
        <f t="shared" si="70"/>
        <v>5.9210767617302054</v>
      </c>
      <c r="J68" s="6">
        <f t="shared" si="71"/>
        <v>7.3553749986269157</v>
      </c>
      <c r="K68">
        <f t="shared" ca="1" si="72"/>
        <v>0</v>
      </c>
      <c r="L68">
        <f t="shared" ca="1" si="73"/>
        <v>0</v>
      </c>
      <c r="M68" s="6">
        <f t="shared" ca="1" si="74"/>
        <v>0</v>
      </c>
      <c r="N68" s="6">
        <f t="shared" ca="1" si="75"/>
        <v>0</v>
      </c>
      <c r="O68" s="6">
        <f t="shared" ca="1" si="76"/>
        <v>0</v>
      </c>
      <c r="Q68" t="e">
        <f t="shared" si="77"/>
        <v>#N/A</v>
      </c>
      <c r="R68" t="e">
        <f t="shared" si="78"/>
        <v>#N/A</v>
      </c>
      <c r="BC68">
        <v>1.1519173063162587</v>
      </c>
      <c r="BD68">
        <v>145.63349701968158</v>
      </c>
      <c r="BE68">
        <v>-33.669676795631617</v>
      </c>
      <c r="BF68" s="6">
        <f t="shared" si="79"/>
        <v>6.055982643423178</v>
      </c>
      <c r="BG68" s="6">
        <f t="shared" si="80"/>
        <v>4.9040653371069194</v>
      </c>
      <c r="BH68" s="6">
        <f t="shared" si="81"/>
        <v>-0.10435149811952993</v>
      </c>
      <c r="BI68" s="6">
        <f t="shared" si="82"/>
        <v>0.10435149811952993</v>
      </c>
      <c r="BJ68">
        <v>161.8149966885351</v>
      </c>
      <c r="BK68">
        <v>-37.410751995146242</v>
      </c>
      <c r="BV68" s="38"/>
      <c r="BW68" s="6">
        <f t="shared" si="27"/>
        <v>0.9250245035569955</v>
      </c>
      <c r="BX68" s="9">
        <f t="shared" ca="1" si="28"/>
        <v>22.428713124152878</v>
      </c>
      <c r="BY68" s="9">
        <f t="shared" ca="1" si="29"/>
        <v>7.2286972899498565</v>
      </c>
      <c r="BZ68" s="9">
        <f t="shared" ca="1" si="30"/>
        <v>146.32439418097405</v>
      </c>
      <c r="CA68" s="6">
        <f t="shared" ca="1" si="31"/>
        <v>-34.069863062323861</v>
      </c>
      <c r="CB68" s="6">
        <f t="shared" ca="1" si="32"/>
        <v>-0.22876201896227699</v>
      </c>
      <c r="CC68" s="6">
        <f t="shared" ca="1" si="33"/>
        <v>9.6352644189244014E-3</v>
      </c>
      <c r="CD68" s="9">
        <f t="shared" si="34"/>
        <v>134.12439418097406</v>
      </c>
      <c r="CE68" s="9">
        <f t="shared" si="35"/>
        <v>-29.869863062323862</v>
      </c>
      <c r="CF68" s="6">
        <f t="shared" si="36"/>
        <v>-0.21912675454335259</v>
      </c>
      <c r="CG68" s="6"/>
      <c r="CH68" s="6"/>
      <c r="CI68" s="6"/>
      <c r="CJ68" s="1"/>
      <c r="CK68" s="6"/>
      <c r="DK68">
        <v>-1.1466134173260201</v>
      </c>
      <c r="DL68">
        <v>2.142404068265864</v>
      </c>
      <c r="DM68">
        <v>-1.1466134172260201</v>
      </c>
      <c r="DN68">
        <v>2.1424040682628869</v>
      </c>
      <c r="DO68">
        <v>-1.1466134174260201</v>
      </c>
      <c r="DP68">
        <v>2.1424040682688412</v>
      </c>
      <c r="DQ68">
        <v>-2.9771740628348198E-2</v>
      </c>
      <c r="DR68">
        <v>1.699342860017002</v>
      </c>
    </row>
    <row r="69" spans="1:122" x14ac:dyDescent="0.2">
      <c r="A69">
        <f t="shared" si="66"/>
        <v>8</v>
      </c>
      <c r="B69" s="1">
        <f t="shared" si="66"/>
        <v>0</v>
      </c>
      <c r="C69" s="1">
        <f t="shared" ca="1" si="66"/>
        <v>0</v>
      </c>
      <c r="D69" s="1">
        <f t="shared" si="66"/>
        <v>10</v>
      </c>
      <c r="E69" s="1">
        <f t="shared" si="66"/>
        <v>22</v>
      </c>
      <c r="F69" s="1">
        <f t="shared" si="67"/>
        <v>4</v>
      </c>
      <c r="G69" s="1">
        <f t="shared" si="68"/>
        <v>10</v>
      </c>
      <c r="H69" s="6">
        <f t="shared" si="69"/>
        <v>-2.4313601313041522</v>
      </c>
      <c r="I69" s="6">
        <f t="shared" si="70"/>
        <v>10.492306129345668</v>
      </c>
      <c r="J69" s="6">
        <f t="shared" si="71"/>
        <v>2.7841456310114534</v>
      </c>
      <c r="K69">
        <f t="shared" ca="1" si="72"/>
        <v>0</v>
      </c>
      <c r="L69">
        <f t="shared" ca="1" si="73"/>
        <v>0</v>
      </c>
      <c r="M69" s="6">
        <f t="shared" ca="1" si="74"/>
        <v>0</v>
      </c>
      <c r="N69" s="6">
        <f t="shared" ca="1" si="75"/>
        <v>0</v>
      </c>
      <c r="O69" s="6">
        <f t="shared" ca="1" si="76"/>
        <v>0</v>
      </c>
      <c r="Q69" t="e">
        <f t="shared" si="77"/>
        <v>#N/A</v>
      </c>
      <c r="R69" t="e">
        <f t="shared" si="78"/>
        <v>#N/A</v>
      </c>
      <c r="BC69">
        <v>1.169370598836202</v>
      </c>
      <c r="BD69">
        <v>145.56135864178782</v>
      </c>
      <c r="BE69">
        <v>-33.638316228398843</v>
      </c>
      <c r="BF69" s="6">
        <f t="shared" si="79"/>
        <v>6.0560783961418521</v>
      </c>
      <c r="BG69" s="6">
        <f t="shared" si="80"/>
        <v>4.8867077973056503</v>
      </c>
      <c r="BH69" s="6">
        <f t="shared" si="81"/>
        <v>-0.10444725083820394</v>
      </c>
      <c r="BI69" s="6">
        <f t="shared" si="82"/>
        <v>0.10444725083820394</v>
      </c>
      <c r="BJ69">
        <v>161.73484293531979</v>
      </c>
      <c r="BK69">
        <v>-37.375906920443157</v>
      </c>
      <c r="BV69" s="38"/>
      <c r="BW69" s="6">
        <f t="shared" si="27"/>
        <v>0.94247779607693882</v>
      </c>
      <c r="BX69" s="9">
        <f t="shared" ca="1" si="28"/>
        <v>22.386429334330259</v>
      </c>
      <c r="BY69" s="9">
        <f t="shared" ca="1" si="29"/>
        <v>7.2599841255371729</v>
      </c>
      <c r="BZ69" s="9">
        <f t="shared" ca="1" si="30"/>
        <v>146.28211039115143</v>
      </c>
      <c r="CA69" s="6">
        <f t="shared" ca="1" si="31"/>
        <v>-34.038576226736545</v>
      </c>
      <c r="CB69" s="6">
        <f t="shared" ca="1" si="32"/>
        <v>-0.22862297542759963</v>
      </c>
      <c r="CC69" s="6">
        <f t="shared" ca="1" si="33"/>
        <v>9.6516287607824602E-3</v>
      </c>
      <c r="CD69" s="9">
        <f t="shared" si="34"/>
        <v>134.08211039115145</v>
      </c>
      <c r="CE69" s="9">
        <f t="shared" si="35"/>
        <v>-29.838576226736546</v>
      </c>
      <c r="CF69" s="6">
        <f t="shared" si="36"/>
        <v>-0.21897134666681717</v>
      </c>
      <c r="CG69" s="6"/>
      <c r="CH69" s="6"/>
      <c r="CI69" s="6"/>
      <c r="CJ69" s="1"/>
      <c r="CK69" s="6"/>
      <c r="DK69">
        <v>1.699342860017002</v>
      </c>
      <c r="DL69">
        <v>-0.50014160458193202</v>
      </c>
      <c r="DM69">
        <v>1.699342860117002</v>
      </c>
      <c r="DN69">
        <v>-0.50014160458279333</v>
      </c>
      <c r="DO69">
        <v>1.699342859917002</v>
      </c>
      <c r="DP69">
        <v>-0.50014160457736856</v>
      </c>
      <c r="DQ69">
        <v>-2.7123858714617199E-2</v>
      </c>
      <c r="DR69">
        <v>2.1097227836214083</v>
      </c>
    </row>
    <row r="70" spans="1:122" x14ac:dyDescent="0.2">
      <c r="A70">
        <f t="shared" si="66"/>
        <v>9</v>
      </c>
      <c r="B70" s="1">
        <f t="shared" si="66"/>
        <v>0</v>
      </c>
      <c r="C70" s="1">
        <f t="shared" ca="1" si="66"/>
        <v>0</v>
      </c>
      <c r="D70" s="1">
        <f t="shared" si="66"/>
        <v>2</v>
      </c>
      <c r="E70" s="1">
        <f t="shared" si="66"/>
        <v>2</v>
      </c>
      <c r="F70" s="1">
        <f t="shared" si="67"/>
        <v>-4</v>
      </c>
      <c r="G70" s="1">
        <f t="shared" si="68"/>
        <v>-10</v>
      </c>
      <c r="H70" s="6">
        <f t="shared" si="69"/>
        <v>2.4313601313041522</v>
      </c>
      <c r="I70" s="6">
        <f t="shared" si="70"/>
        <v>-10.492306129345668</v>
      </c>
      <c r="J70" s="6">
        <f t="shared" si="71"/>
        <v>23.76875788970279</v>
      </c>
      <c r="K70">
        <f t="shared" ca="1" si="72"/>
        <v>0</v>
      </c>
      <c r="L70">
        <f t="shared" ca="1" si="73"/>
        <v>0</v>
      </c>
      <c r="M70" s="6">
        <f t="shared" ca="1" si="74"/>
        <v>0</v>
      </c>
      <c r="N70" s="6">
        <f t="shared" ca="1" si="75"/>
        <v>0</v>
      </c>
      <c r="O70" s="6">
        <f t="shared" ca="1" si="76"/>
        <v>0</v>
      </c>
      <c r="Q70" t="e">
        <f t="shared" si="77"/>
        <v>#N/A</v>
      </c>
      <c r="R70" t="e">
        <f t="shared" si="78"/>
        <v>#N/A</v>
      </c>
      <c r="BC70">
        <v>1.1868238913561453</v>
      </c>
      <c r="BD70">
        <v>145.48491194947729</v>
      </c>
      <c r="BE70">
        <v>-33.606657792636845</v>
      </c>
      <c r="BF70" s="6">
        <f t="shared" si="79"/>
        <v>6.0561696977764017</v>
      </c>
      <c r="BG70" s="6">
        <f t="shared" si="80"/>
        <v>4.8693458064202559</v>
      </c>
      <c r="BH70" s="6">
        <f t="shared" si="81"/>
        <v>-0.10453855247275355</v>
      </c>
      <c r="BI70" s="6">
        <f t="shared" si="82"/>
        <v>0.10453855247275355</v>
      </c>
      <c r="BJ70">
        <v>161.64990216608587</v>
      </c>
      <c r="BK70">
        <v>-37.340730880707603</v>
      </c>
      <c r="BV70" s="38"/>
      <c r="BW70" s="6">
        <f t="shared" si="27"/>
        <v>0.95993108859688214</v>
      </c>
      <c r="BX70" s="9">
        <f t="shared" ca="1" si="28"/>
        <v>22.342870794241762</v>
      </c>
      <c r="BY70" s="9">
        <f t="shared" ca="1" si="29"/>
        <v>7.2910524064687792</v>
      </c>
      <c r="BZ70" s="9">
        <f t="shared" ca="1" si="30"/>
        <v>146.23855185106294</v>
      </c>
      <c r="CA70" s="6">
        <f t="shared" ca="1" si="31"/>
        <v>-34.007507945804939</v>
      </c>
      <c r="CB70" s="6">
        <f t="shared" ca="1" si="32"/>
        <v>-0.22848718339355112</v>
      </c>
      <c r="CC70" s="6">
        <f t="shared" ca="1" si="33"/>
        <v>9.6677844955005143E-3</v>
      </c>
      <c r="CD70" s="9">
        <f t="shared" si="34"/>
        <v>134.03855185106295</v>
      </c>
      <c r="CE70" s="9">
        <f t="shared" si="35"/>
        <v>-29.807507945804939</v>
      </c>
      <c r="CF70" s="6">
        <f t="shared" si="36"/>
        <v>-0.2188193988980506</v>
      </c>
      <c r="CG70" s="6"/>
      <c r="CH70" s="6"/>
      <c r="CI70" s="6"/>
      <c r="CJ70" s="1"/>
      <c r="CK70" s="6"/>
      <c r="DK70">
        <v>2.1097227836214083</v>
      </c>
      <c r="DL70">
        <v>-0.51826610224970815</v>
      </c>
      <c r="DM70">
        <v>2.1097227837214083</v>
      </c>
      <c r="DN70">
        <v>-0.51826610228480696</v>
      </c>
      <c r="DO70">
        <v>2.1097227835214083</v>
      </c>
      <c r="DP70">
        <v>-0.51826610221461111</v>
      </c>
      <c r="DQ70">
        <v>-0.35097924566684924</v>
      </c>
      <c r="DR70">
        <v>0.6330938699515436</v>
      </c>
    </row>
    <row r="71" spans="1:122" ht="16" thickBot="1" x14ac:dyDescent="0.25">
      <c r="A71">
        <f t="shared" si="66"/>
        <v>10</v>
      </c>
      <c r="B71" s="1">
        <f t="shared" si="66"/>
        <v>0</v>
      </c>
      <c r="C71" s="1">
        <f t="shared" ca="1" si="66"/>
        <v>0</v>
      </c>
      <c r="D71" s="1">
        <f t="shared" si="66"/>
        <v>10</v>
      </c>
      <c r="E71" s="1">
        <f t="shared" si="66"/>
        <v>2</v>
      </c>
      <c r="F71" s="1">
        <f t="shared" si="67"/>
        <v>4</v>
      </c>
      <c r="G71" s="1">
        <f t="shared" si="68"/>
        <v>-10</v>
      </c>
      <c r="H71" s="6">
        <f t="shared" si="69"/>
        <v>8.9967132877345009</v>
      </c>
      <c r="I71" s="6">
        <f t="shared" si="70"/>
        <v>-5.9210767617302054</v>
      </c>
      <c r="J71" s="6">
        <f t="shared" si="71"/>
        <v>19.197528522087325</v>
      </c>
      <c r="K71" s="12">
        <f t="shared" ca="1" si="72"/>
        <v>0</v>
      </c>
      <c r="L71">
        <f t="shared" ca="1" si="73"/>
        <v>0</v>
      </c>
      <c r="M71" s="11">
        <f t="shared" ca="1" si="74"/>
        <v>0</v>
      </c>
      <c r="N71" s="11">
        <f t="shared" ca="1" si="75"/>
        <v>0</v>
      </c>
      <c r="O71" s="11">
        <f t="shared" ca="1" si="76"/>
        <v>0</v>
      </c>
      <c r="Q71" t="e">
        <f t="shared" si="77"/>
        <v>#N/A</v>
      </c>
      <c r="R71" t="e">
        <f t="shared" si="78"/>
        <v>#N/A</v>
      </c>
      <c r="BC71">
        <v>1.2042771838760886</v>
      </c>
      <c r="BD71">
        <v>145.40363143360273</v>
      </c>
      <c r="BE71">
        <v>-33.574648216125034</v>
      </c>
      <c r="BF71" s="6">
        <f t="shared" si="79"/>
        <v>6.0562561043955885</v>
      </c>
      <c r="BG71" s="6">
        <f t="shared" si="80"/>
        <v>4.8519789205194996</v>
      </c>
      <c r="BH71" s="6">
        <f t="shared" si="81"/>
        <v>-0.10462495909194036</v>
      </c>
      <c r="BI71" s="6">
        <f t="shared" si="82"/>
        <v>0.10462495909194036</v>
      </c>
      <c r="BJ71">
        <v>161.55959048178082</v>
      </c>
      <c r="BK71">
        <v>-37.305164684583367</v>
      </c>
      <c r="BV71" s="38"/>
      <c r="BW71" s="6">
        <f t="shared" si="27"/>
        <v>0.97738438111682546</v>
      </c>
      <c r="BX71" s="9">
        <f t="shared" ca="1" si="28"/>
        <v>22.297927855347965</v>
      </c>
      <c r="BY71" s="9">
        <f t="shared" ca="1" si="29"/>
        <v>7.3219388982359561</v>
      </c>
      <c r="BZ71" s="9">
        <f t="shared" ca="1" si="30"/>
        <v>146.19360891216914</v>
      </c>
      <c r="CA71" s="6">
        <f t="shared" ca="1" si="31"/>
        <v>-33.976621454037762</v>
      </c>
      <c r="CB71" s="6">
        <f t="shared" ca="1" si="32"/>
        <v>-0.22835456962586706</v>
      </c>
      <c r="CC71" s="6">
        <f t="shared" ca="1" si="33"/>
        <v>9.6837468099819895E-3</v>
      </c>
      <c r="CD71" s="9">
        <f t="shared" si="34"/>
        <v>133.99360891216915</v>
      </c>
      <c r="CE71" s="9">
        <f t="shared" si="35"/>
        <v>-29.776621454037763</v>
      </c>
      <c r="CF71" s="6">
        <f t="shared" si="36"/>
        <v>-0.21867082281588507</v>
      </c>
      <c r="CG71" s="6"/>
      <c r="CH71" s="6"/>
      <c r="CI71" s="6"/>
      <c r="CJ71" s="1"/>
      <c r="CK71" s="6"/>
      <c r="DK71">
        <v>0.6330938699515436</v>
      </c>
      <c r="DL71">
        <v>-0.44503172456936491</v>
      </c>
      <c r="DM71">
        <v>0.63309387005154361</v>
      </c>
      <c r="DN71">
        <v>-0.44503172458037343</v>
      </c>
      <c r="DO71">
        <v>0.63309386985154359</v>
      </c>
      <c r="DP71">
        <v>-0.4450317245583581</v>
      </c>
      <c r="DQ71">
        <v>-0.11007667000129118</v>
      </c>
      <c r="DR71">
        <v>2.8733541452951852</v>
      </c>
    </row>
    <row r="72" spans="1:122" ht="16" thickTop="1" x14ac:dyDescent="0.2">
      <c r="K72" s="13">
        <f ca="1">MIN(K62:K71)</f>
        <v>-2.1897547976143225E-2</v>
      </c>
      <c r="M72" s="9">
        <f ca="1">SUM(M62:M71)</f>
        <v>-189.60000000000002</v>
      </c>
      <c r="N72" s="9">
        <f ca="1">SUM(N62:N71)</f>
        <v>1725.404236304053</v>
      </c>
      <c r="O72" s="9">
        <f ca="1">SUM(O62:O71)</f>
        <v>508.24661469018014</v>
      </c>
      <c r="BC72">
        <v>1.2217304763960319</v>
      </c>
      <c r="BD72">
        <v>145.31690102603056</v>
      </c>
      <c r="BE72">
        <v>-33.542229707453629</v>
      </c>
      <c r="BF72" s="6">
        <f t="shared" si="79"/>
        <v>6.0563370643291554</v>
      </c>
      <c r="BG72" s="6">
        <f t="shared" si="80"/>
        <v>4.8346065879331235</v>
      </c>
      <c r="BH72" s="6">
        <f t="shared" si="81"/>
        <v>-0.1047059190255073</v>
      </c>
      <c r="BI72" s="6">
        <f t="shared" si="82"/>
        <v>0.1047059190255073</v>
      </c>
      <c r="BJ72">
        <v>161.46322336225617</v>
      </c>
      <c r="BK72">
        <v>-37.269144119392919</v>
      </c>
      <c r="BV72" s="38"/>
      <c r="BW72" s="6">
        <f t="shared" si="27"/>
        <v>0.99483767363676878</v>
      </c>
      <c r="BX72" s="9">
        <f t="shared" ca="1" si="28"/>
        <v>22.251479952098933</v>
      </c>
      <c r="BY72" s="9">
        <f t="shared" ca="1" si="29"/>
        <v>7.3526799347090872</v>
      </c>
      <c r="BZ72" s="9">
        <f t="shared" ca="1" si="30"/>
        <v>146.14716100892011</v>
      </c>
      <c r="CA72" s="6">
        <f t="shared" ca="1" si="31"/>
        <v>-33.945880417564631</v>
      </c>
      <c r="CB72" s="6">
        <f t="shared" ca="1" si="32"/>
        <v>-0.22822507981030141</v>
      </c>
      <c r="CC72" s="6">
        <f t="shared" ca="1" si="33"/>
        <v>9.6995299316782191E-3</v>
      </c>
      <c r="CD72" s="9">
        <f t="shared" si="34"/>
        <v>133.94716100892012</v>
      </c>
      <c r="CE72" s="9">
        <f t="shared" si="35"/>
        <v>-29.745880417564631</v>
      </c>
      <c r="CF72" s="6">
        <f t="shared" si="36"/>
        <v>-0.21852554987862319</v>
      </c>
      <c r="CG72" s="6"/>
      <c r="CH72" s="6"/>
      <c r="CI72" s="6"/>
      <c r="CJ72" s="1"/>
      <c r="CK72" s="6"/>
      <c r="DK72">
        <v>2.8733541452951852</v>
      </c>
      <c r="DL72">
        <v>-2.2188320765383023</v>
      </c>
      <c r="DM72">
        <v>2.8733541453951852</v>
      </c>
      <c r="DN72">
        <v>-2.2188320765777156</v>
      </c>
      <c r="DO72">
        <v>2.8733541451951852</v>
      </c>
      <c r="DP72">
        <v>-2.218832076498888</v>
      </c>
      <c r="DQ72">
        <v>-0.39413805552612757</v>
      </c>
      <c r="DR72">
        <v>-2.7562267729351655</v>
      </c>
    </row>
    <row r="73" spans="1:122" x14ac:dyDescent="0.2">
      <c r="N73" s="46">
        <f ca="1">N72/12</f>
        <v>143.78368635867108</v>
      </c>
      <c r="O73" s="46">
        <f ca="1">O72/12</f>
        <v>42.353884557515009</v>
      </c>
      <c r="BC73">
        <v>1.2391837689159753</v>
      </c>
      <c r="BD73">
        <v>145.22399285759573</v>
      </c>
      <c r="BE73">
        <v>-33.509339034054783</v>
      </c>
      <c r="BF73" s="6">
        <f t="shared" si="79"/>
        <v>6.0564118916919281</v>
      </c>
      <c r="BG73" s="6">
        <f t="shared" si="80"/>
        <v>4.817228122775953</v>
      </c>
      <c r="BH73" s="6">
        <f t="shared" si="81"/>
        <v>-0.10478074638827993</v>
      </c>
      <c r="BI73" s="6">
        <f t="shared" si="82"/>
        <v>0.10478074638827993</v>
      </c>
      <c r="BJ73">
        <v>161.35999206399526</v>
      </c>
      <c r="BK73">
        <v>-37.232598926727533</v>
      </c>
      <c r="BV73" s="38"/>
      <c r="BW73" s="6">
        <f t="shared" si="27"/>
        <v>1.0122909661567121</v>
      </c>
      <c r="BX73" s="9">
        <f t="shared" ca="1" si="28"/>
        <v>22.203394036972284</v>
      </c>
      <c r="BY73" s="9">
        <f t="shared" ca="1" si="29"/>
        <v>7.3833116399610788</v>
      </c>
      <c r="BZ73" s="9">
        <f t="shared" ca="1" si="30"/>
        <v>146.09907509379346</v>
      </c>
      <c r="CA73" s="6">
        <f t="shared" ca="1" si="31"/>
        <v>-33.915248712312639</v>
      </c>
      <c r="CB73" s="6">
        <f t="shared" ca="1" si="32"/>
        <v>-0.22809867947839907</v>
      </c>
      <c r="CC73" s="6">
        <f t="shared" ca="1" si="33"/>
        <v>9.7151471579736432E-3</v>
      </c>
      <c r="CD73" s="9">
        <f t="shared" si="34"/>
        <v>133.89907509379347</v>
      </c>
      <c r="CE73" s="9">
        <f t="shared" si="35"/>
        <v>-29.71524871231264</v>
      </c>
      <c r="CF73" s="6">
        <f t="shared" si="36"/>
        <v>-0.21838353232042543</v>
      </c>
      <c r="CG73" s="6"/>
      <c r="CH73" s="6"/>
      <c r="CI73" s="6"/>
      <c r="CJ73" s="1"/>
      <c r="CK73" s="6"/>
      <c r="DK73">
        <v>-2.7562267729351655</v>
      </c>
      <c r="DL73">
        <v>-3.1115893738949691</v>
      </c>
      <c r="DM73">
        <v>-2.7562267728351655</v>
      </c>
      <c r="DN73">
        <v>-3.1115893752732222</v>
      </c>
      <c r="DO73">
        <v>-2.7562267730351655</v>
      </c>
      <c r="DP73">
        <v>-3.1115893725312911</v>
      </c>
      <c r="DQ73">
        <v>-13.709655632965223</v>
      </c>
      <c r="DR73">
        <v>-2.9831901232335545</v>
      </c>
    </row>
    <row r="74" spans="1:122" x14ac:dyDescent="0.2">
      <c r="BC74">
        <v>1.2566370614359186</v>
      </c>
      <c r="BD74">
        <v>145.12403962168923</v>
      </c>
      <c r="BE74">
        <v>-33.47590638425639</v>
      </c>
      <c r="BF74" s="6">
        <f t="shared" si="79"/>
        <v>6.056479731454063</v>
      </c>
      <c r="BG74" s="6">
        <f t="shared" si="80"/>
        <v>4.799842670018144</v>
      </c>
      <c r="BH74" s="6">
        <f t="shared" si="81"/>
        <v>-0.10484858615041492</v>
      </c>
      <c r="BI74" s="6">
        <f t="shared" si="82"/>
        <v>0.10484858615041492</v>
      </c>
      <c r="BJ74">
        <v>161.24893291298804</v>
      </c>
      <c r="BK74">
        <v>-37.195451538062656</v>
      </c>
      <c r="BV74" s="38"/>
      <c r="BW74" s="6">
        <f t="shared" si="27"/>
        <v>1.0297442586766554</v>
      </c>
      <c r="BX74" s="9">
        <f t="shared" ca="1" si="28"/>
        <v>22.153522734423845</v>
      </c>
      <c r="BY74" s="9">
        <f t="shared" ca="1" si="29"/>
        <v>7.4138701509606122</v>
      </c>
      <c r="BZ74" s="9">
        <f t="shared" ca="1" si="30"/>
        <v>146.04920379124502</v>
      </c>
      <c r="CA74" s="6">
        <f t="shared" ca="1" si="31"/>
        <v>-33.884690201313106</v>
      </c>
      <c r="CB74" s="6">
        <f t="shared" ca="1" si="32"/>
        <v>-0.22797535535084804</v>
      </c>
      <c r="CC74" s="6">
        <f t="shared" ca="1" si="33"/>
        <v>9.7306108670104103E-3</v>
      </c>
      <c r="CD74" s="9">
        <f t="shared" si="34"/>
        <v>133.84920379124503</v>
      </c>
      <c r="CE74" s="9">
        <f t="shared" si="35"/>
        <v>-29.684690201313106</v>
      </c>
      <c r="CF74" s="6">
        <f t="shared" si="36"/>
        <v>-0.21824474448383763</v>
      </c>
      <c r="CG74" s="6"/>
      <c r="CH74" s="6"/>
      <c r="CI74" s="6"/>
      <c r="CJ74" s="1"/>
      <c r="CK74" s="6"/>
      <c r="DK74">
        <v>-2.9831901232335545</v>
      </c>
      <c r="DL74">
        <v>-2.4457884546205761</v>
      </c>
      <c r="DM74">
        <v>-2.9831901231335545</v>
      </c>
      <c r="DN74">
        <v>-2.4457884546712378</v>
      </c>
      <c r="DO74">
        <v>-2.9831901233335545</v>
      </c>
      <c r="DP74">
        <v>-2.4457884545699144</v>
      </c>
      <c r="DQ74">
        <v>-0.50661697059695143</v>
      </c>
      <c r="DR74">
        <v>-1.5276923918149634</v>
      </c>
    </row>
    <row r="75" spans="1:122" x14ac:dyDescent="0.2">
      <c r="A75" s="8" t="s">
        <v>63</v>
      </c>
      <c r="B75" s="9">
        <f ca="1">N57+M72</f>
        <v>-165.81133313605685</v>
      </c>
      <c r="C75" t="s">
        <v>68</v>
      </c>
      <c r="E75">
        <f>((O59*COS(-1*B27))+(P59*SIN(-1*B27)))</f>
        <v>21.943818610984412</v>
      </c>
      <c r="F75">
        <f>(-1*(O59)*SIN(-1*B27))+((P59)*COS(-1*B27))</f>
        <v>-9.2447004062247213</v>
      </c>
      <c r="BC75">
        <v>1.2740903539558619</v>
      </c>
      <c r="BD75">
        <v>145.01599811957328</v>
      </c>
      <c r="BE75">
        <v>-33.441853950801047</v>
      </c>
      <c r="BF75" s="6">
        <f t="shared" si="79"/>
        <v>6.0565395126955384</v>
      </c>
      <c r="BG75" s="6">
        <f t="shared" si="80"/>
        <v>4.7824491587396762</v>
      </c>
      <c r="BH75" s="6">
        <f t="shared" si="81"/>
        <v>-0.10490836739189024</v>
      </c>
      <c r="BI75" s="6">
        <f t="shared" si="82"/>
        <v>0.10490836739189024</v>
      </c>
      <c r="BJ75">
        <v>161.12888679952587</v>
      </c>
      <c r="BK75">
        <v>-37.157615500890053</v>
      </c>
      <c r="BV75" s="38"/>
      <c r="BW75" s="6">
        <f t="shared" si="27"/>
        <v>1.0471975511965987</v>
      </c>
      <c r="BX75" s="9">
        <f t="shared" ca="1" si="28"/>
        <v>22.101702167760763</v>
      </c>
      <c r="BY75" s="9">
        <f t="shared" ca="1" si="29"/>
        <v>7.4443918510249887</v>
      </c>
      <c r="BZ75" s="9">
        <f t="shared" ca="1" si="30"/>
        <v>145.99738322458194</v>
      </c>
      <c r="CA75" s="6">
        <f t="shared" ca="1" si="31"/>
        <v>-33.854168501248729</v>
      </c>
      <c r="CB75" s="6">
        <f t="shared" ca="1" si="32"/>
        <v>-0.22785511710446502</v>
      </c>
      <c r="CC75" s="6">
        <f t="shared" ca="1" si="33"/>
        <v>9.7459325128752567E-3</v>
      </c>
      <c r="CD75" s="9">
        <f t="shared" si="34"/>
        <v>133.79738322458195</v>
      </c>
      <c r="CE75" s="9">
        <f t="shared" si="35"/>
        <v>-29.65416850124873</v>
      </c>
      <c r="CF75" s="6">
        <f t="shared" si="36"/>
        <v>-0.21810918459158976</v>
      </c>
      <c r="CG75" s="6"/>
      <c r="CH75" s="6"/>
      <c r="CI75" s="6"/>
      <c r="CJ75" s="1"/>
      <c r="CK75" s="6"/>
      <c r="DK75">
        <v>-1.5276923918149634</v>
      </c>
      <c r="DL75">
        <v>2.1524323688980811</v>
      </c>
      <c r="DM75">
        <v>-1.5276923917149634</v>
      </c>
      <c r="DN75">
        <v>2.1524323688962559</v>
      </c>
      <c r="DO75">
        <v>-1.5276923919149634</v>
      </c>
      <c r="DP75">
        <v>2.1524323689009996</v>
      </c>
      <c r="DQ75">
        <v>-2.3718804698091844E-2</v>
      </c>
      <c r="DR75">
        <v>1.2556407979310045</v>
      </c>
    </row>
    <row r="76" spans="1:122" x14ac:dyDescent="0.2">
      <c r="A76" s="8" t="s">
        <v>66</v>
      </c>
      <c r="B76" s="9">
        <f ca="1">O57+N72</f>
        <v>2004.8970834643069</v>
      </c>
      <c r="C76" t="s">
        <v>69</v>
      </c>
      <c r="E76">
        <f ca="1">((N73*COS(-1*B27))+(O73*SIN(-1*B27)))</f>
        <v>142.20000000000002</v>
      </c>
      <c r="F76">
        <f ca="1">(-1*(N73)*SIN(-1*B27))+((O73)*COS(-1*B27))</f>
        <v>-47.4</v>
      </c>
      <c r="BC76">
        <v>1.2915436464758052</v>
      </c>
      <c r="BD76">
        <v>144.89860043927862</v>
      </c>
      <c r="BE76">
        <v>-33.407094152483687</v>
      </c>
      <c r="BF76" s="6">
        <f t="shared" si="79"/>
        <v>6.0565898850553177</v>
      </c>
      <c r="BG76" s="6">
        <f t="shared" si="80"/>
        <v>4.7650462385795125</v>
      </c>
      <c r="BH76" s="6">
        <f t="shared" si="81"/>
        <v>-0.10495873975166958</v>
      </c>
      <c r="BI76" s="6">
        <f t="shared" si="82"/>
        <v>0.10495873975166958</v>
      </c>
      <c r="BJ76">
        <v>160.99844493253181</v>
      </c>
      <c r="BK76">
        <v>-37.11899350275965</v>
      </c>
      <c r="BV76" s="38"/>
      <c r="BW76" s="6">
        <f t="shared" si="27"/>
        <v>1.0646508437165421</v>
      </c>
      <c r="BX76" s="9">
        <f t="shared" ca="1" si="28"/>
        <v>22.04774937489897</v>
      </c>
      <c r="BY76" s="9">
        <f t="shared" ca="1" si="29"/>
        <v>7.4749136137070664</v>
      </c>
      <c r="BZ76" s="9">
        <f t="shared" ca="1" si="30"/>
        <v>145.94343043172015</v>
      </c>
      <c r="CA76" s="6">
        <f t="shared" ca="1" si="31"/>
        <v>-33.823646738566651</v>
      </c>
      <c r="CB76" s="6">
        <f t="shared" ca="1" si="32"/>
        <v>-0.22773799969285072</v>
      </c>
      <c r="CC76" s="6">
        <f t="shared" ca="1" si="33"/>
        <v>9.7611225989840972E-3</v>
      </c>
      <c r="CD76" s="9">
        <f t="shared" si="34"/>
        <v>133.74343043172016</v>
      </c>
      <c r="CE76" s="9">
        <f t="shared" si="35"/>
        <v>-29.623646738566652</v>
      </c>
      <c r="CF76" s="6">
        <f t="shared" si="36"/>
        <v>-0.21797687709386662</v>
      </c>
      <c r="CG76" s="6"/>
      <c r="CH76" s="6"/>
      <c r="CI76" s="6"/>
      <c r="CJ76" s="1"/>
      <c r="CK76" s="6"/>
      <c r="DK76">
        <v>1.2556407979310045</v>
      </c>
      <c r="DL76">
        <v>-0.4852509865032486</v>
      </c>
      <c r="DM76">
        <v>1.2556407980310045</v>
      </c>
      <c r="DN76">
        <v>-0.48525098650719345</v>
      </c>
      <c r="DO76">
        <v>1.2556407978310045</v>
      </c>
      <c r="DP76">
        <v>-0.48525098649930398</v>
      </c>
      <c r="DQ76">
        <v>-3.9447334287956437E-2</v>
      </c>
      <c r="DR76">
        <v>1.5207749596308315</v>
      </c>
    </row>
    <row r="77" spans="1:122" x14ac:dyDescent="0.2">
      <c r="A77" s="8" t="s">
        <v>67</v>
      </c>
      <c r="B77" s="9">
        <f ca="1">P57+O72</f>
        <v>567.66987231002747</v>
      </c>
      <c r="C77" t="s">
        <v>69</v>
      </c>
      <c r="BC77">
        <v>1.3089969389957485</v>
      </c>
      <c r="BD77">
        <v>144.77028752081529</v>
      </c>
      <c r="BE77">
        <v>-33.37152734987221</v>
      </c>
      <c r="BF77" s="6">
        <f t="shared" si="79"/>
        <v>6.0566291311060434</v>
      </c>
      <c r="BG77" s="6">
        <f t="shared" si="80"/>
        <v>4.7476321921102951</v>
      </c>
      <c r="BH77" s="6">
        <f t="shared" si="81"/>
        <v>-0.10499798580239529</v>
      </c>
      <c r="BI77" s="6">
        <f t="shared" si="82"/>
        <v>0.10499798580239529</v>
      </c>
      <c r="BJ77">
        <v>160.85587502312811</v>
      </c>
      <c r="BK77">
        <v>-37.079474833191341</v>
      </c>
      <c r="BV77" s="38"/>
      <c r="BW77" s="6">
        <f t="shared" si="27"/>
        <v>1.0821041362364854</v>
      </c>
      <c r="BX77" s="9">
        <f t="shared" ca="1" si="28"/>
        <v>21.99145922588859</v>
      </c>
      <c r="BY77" s="9">
        <f t="shared" ca="1" si="29"/>
        <v>7.5054730651963197</v>
      </c>
      <c r="BZ77" s="9">
        <f t="shared" ca="1" si="30"/>
        <v>145.88714028270977</v>
      </c>
      <c r="CA77" s="6">
        <f t="shared" ca="1" si="31"/>
        <v>-33.793087287077398</v>
      </c>
      <c r="CB77" s="6">
        <f t="shared" ca="1" si="32"/>
        <v>-0.22762406630125648</v>
      </c>
      <c r="CC77" s="6">
        <f t="shared" ca="1" si="33"/>
        <v>9.7761906285218358E-3</v>
      </c>
      <c r="CD77" s="9">
        <f t="shared" si="34"/>
        <v>133.68714028270978</v>
      </c>
      <c r="CE77" s="9">
        <f t="shared" si="35"/>
        <v>-29.593087287077399</v>
      </c>
      <c r="CF77" s="6">
        <f t="shared" si="36"/>
        <v>-0.21784787567273464</v>
      </c>
      <c r="CG77" s="6"/>
      <c r="CH77" s="6"/>
      <c r="CI77" s="6"/>
      <c r="CJ77" s="1"/>
      <c r="CK77" s="6"/>
      <c r="DK77">
        <v>1.5207749596308315</v>
      </c>
      <c r="DL77">
        <v>-0.49482290663196316</v>
      </c>
      <c r="DM77">
        <v>1.5207749597308315</v>
      </c>
      <c r="DN77">
        <v>-0.49482290663520345</v>
      </c>
      <c r="DO77">
        <v>1.5207749595308315</v>
      </c>
      <c r="DP77">
        <v>-0.49482290662872336</v>
      </c>
      <c r="DQ77">
        <v>-3.2400471194904412E-2</v>
      </c>
      <c r="DR77">
        <v>-1.1849442562894832</v>
      </c>
    </row>
    <row r="78" spans="1:122" x14ac:dyDescent="0.2">
      <c r="BC78">
        <v>1.3264502315156919</v>
      </c>
      <c r="BD78">
        <v>144.62911703575031</v>
      </c>
      <c r="BE78">
        <v>-33.335038878985166</v>
      </c>
      <c r="BF78" s="6">
        <f t="shared" si="79"/>
        <v>6.0566550431385267</v>
      </c>
      <c r="BG78" s="6">
        <f t="shared" si="80"/>
        <v>4.7302048116228352</v>
      </c>
      <c r="BH78" s="6">
        <f t="shared" si="81"/>
        <v>-0.10502389783487853</v>
      </c>
      <c r="BI78" s="6">
        <f t="shared" si="82"/>
        <v>0.10502389783487853</v>
      </c>
      <c r="BJ78">
        <v>160.69901892861145</v>
      </c>
      <c r="BK78">
        <v>-37.038932087761296</v>
      </c>
      <c r="BV78" s="38"/>
      <c r="BW78" s="6">
        <f t="shared" si="27"/>
        <v>1.0995574287564287</v>
      </c>
      <c r="BX78" s="9">
        <f t="shared" ca="1" si="28"/>
        <v>21.932600725385939</v>
      </c>
      <c r="BY78" s="9">
        <f t="shared" ca="1" si="29"/>
        <v>7.5361088724844194</v>
      </c>
      <c r="BZ78" s="9">
        <f t="shared" ca="1" si="30"/>
        <v>145.82828178220711</v>
      </c>
      <c r="CA78" s="6">
        <f t="shared" ca="1" si="31"/>
        <v>-33.762451479789299</v>
      </c>
      <c r="CB78" s="6">
        <f t="shared" ca="1" si="32"/>
        <v>-0.22751341206698375</v>
      </c>
      <c r="CC78" s="6">
        <f t="shared" ca="1" si="33"/>
        <v>9.7911450281481793E-3</v>
      </c>
      <c r="CD78" s="9">
        <f t="shared" si="34"/>
        <v>133.62828178220713</v>
      </c>
      <c r="CE78" s="9">
        <f t="shared" si="35"/>
        <v>-29.562451479789299</v>
      </c>
      <c r="CF78" s="6">
        <f t="shared" si="36"/>
        <v>-0.21772226703883557</v>
      </c>
      <c r="CG78" s="6"/>
      <c r="CH78" s="6"/>
      <c r="CI78" s="6"/>
      <c r="CJ78" s="1"/>
      <c r="CK78" s="6"/>
      <c r="DK78">
        <v>-1.1849442562894832</v>
      </c>
      <c r="DL78">
        <v>2.1435649753089887</v>
      </c>
      <c r="DM78">
        <v>-1.1849442561894832</v>
      </c>
      <c r="DN78">
        <v>2.1435649753061563</v>
      </c>
      <c r="DO78">
        <v>-1.1849442563894832</v>
      </c>
      <c r="DP78">
        <v>2.1435649753118193</v>
      </c>
      <c r="DQ78">
        <v>-2.8315128020039992E-2</v>
      </c>
      <c r="DR78">
        <v>-0.87929071498209344</v>
      </c>
    </row>
    <row r="79" spans="1:122" x14ac:dyDescent="0.2">
      <c r="A79" s="8" t="s">
        <v>64</v>
      </c>
      <c r="B79">
        <f ca="1">((B76*COS(-1*B27))+(B77*SIN(-1*B27)))</f>
        <v>1969.7258233318132</v>
      </c>
      <c r="C79" t="s">
        <v>69</v>
      </c>
      <c r="BC79">
        <v>1.3439035240356352</v>
      </c>
      <c r="BD79">
        <v>144.47263296869514</v>
      </c>
      <c r="BE79">
        <v>-33.297495124487924</v>
      </c>
      <c r="BF79" s="6">
        <f t="shared" si="79"/>
        <v>6.0566647463130137</v>
      </c>
      <c r="BG79" s="6">
        <f t="shared" si="80"/>
        <v>4.7127612222773783</v>
      </c>
      <c r="BH79" s="6">
        <f t="shared" si="81"/>
        <v>-0.10503360100936553</v>
      </c>
      <c r="BI79" s="6">
        <f t="shared" si="82"/>
        <v>0.10503360100936553</v>
      </c>
      <c r="BJ79">
        <v>160.52514774299459</v>
      </c>
      <c r="BK79">
        <v>-36.997216804986579</v>
      </c>
      <c r="BV79" s="38"/>
      <c r="BW79" s="6">
        <f t="shared" si="27"/>
        <v>1.117010721276372</v>
      </c>
      <c r="BX79" s="9">
        <f t="shared" ca="1" si="28"/>
        <v>21.870912524846133</v>
      </c>
      <c r="BY79" s="9">
        <f t="shared" ca="1" si="29"/>
        <v>7.5668610536325218</v>
      </c>
      <c r="BZ79" s="9">
        <f t="shared" ca="1" si="30"/>
        <v>145.76659358166731</v>
      </c>
      <c r="CA79" s="6">
        <f t="shared" ca="1" si="31"/>
        <v>-33.731699298641196</v>
      </c>
      <c r="CB79" s="6">
        <f t="shared" ca="1" si="32"/>
        <v>-0.22740616885665102</v>
      </c>
      <c r="CC79" s="6">
        <f t="shared" ca="1" si="33"/>
        <v>9.8059930301457338E-3</v>
      </c>
      <c r="CD79" s="9">
        <f t="shared" si="34"/>
        <v>133.56659358166732</v>
      </c>
      <c r="CE79" s="9">
        <f t="shared" si="35"/>
        <v>-29.531699298641197</v>
      </c>
      <c r="CF79" s="6">
        <f t="shared" si="36"/>
        <v>-0.21760017582650529</v>
      </c>
      <c r="CG79" s="6"/>
      <c r="CH79" s="6"/>
      <c r="CI79" s="6"/>
      <c r="CJ79" s="1"/>
      <c r="CK79" s="6"/>
      <c r="DK79">
        <v>-0.87929071498209344</v>
      </c>
      <c r="DL79">
        <v>2.1325591100565742</v>
      </c>
      <c r="DM79">
        <v>-0.87929071488209343</v>
      </c>
      <c r="DN79">
        <v>2.1325591100521111</v>
      </c>
      <c r="DO79">
        <v>-0.87929071508209344</v>
      </c>
      <c r="DP79">
        <v>2.132559110061039</v>
      </c>
      <c r="DQ79">
        <v>-4.4639847374128294E-2</v>
      </c>
      <c r="DR79">
        <v>2.9109569686065253</v>
      </c>
    </row>
    <row r="80" spans="1:122" x14ac:dyDescent="0.2">
      <c r="A80" s="8" t="s">
        <v>65</v>
      </c>
      <c r="B80">
        <f ca="1">(-1*(B76)*SIN(-1*B27))+((B77)*COS(-1*B27))</f>
        <v>-679.73640487469675</v>
      </c>
      <c r="C80" t="s">
        <v>69</v>
      </c>
      <c r="BC80">
        <v>1.3613568165555785</v>
      </c>
      <c r="BD80">
        <v>144.29767655082941</v>
      </c>
      <c r="BE80">
        <v>-33.258738210897278</v>
      </c>
      <c r="BF80" s="6">
        <f t="shared" si="79"/>
        <v>6.0566544387614885</v>
      </c>
      <c r="BG80" s="6">
        <f t="shared" si="80"/>
        <v>4.69529762220591</v>
      </c>
      <c r="BH80" s="6">
        <f t="shared" si="81"/>
        <v>-0.10502329345784034</v>
      </c>
      <c r="BI80" s="6">
        <f t="shared" si="82"/>
        <v>0.10502329345784034</v>
      </c>
      <c r="BJ80">
        <v>160.33075172314378</v>
      </c>
      <c r="BK80">
        <v>-36.954153567663639</v>
      </c>
      <c r="BV80" s="38"/>
      <c r="BW80" s="6">
        <f t="shared" ref="BW80:BW143" si="83">BC67</f>
        <v>1.1344640137963153</v>
      </c>
      <c r="BX80" s="9">
        <f t="shared" ref="BX80:BX143" ca="1" si="84">BD67-$BW$5</f>
        <v>21.806097480413101</v>
      </c>
      <c r="BY80" s="9">
        <f t="shared" ref="BY80:BY143" ca="1" si="85">BE67-$BX$5</f>
        <v>7.5977713359623991</v>
      </c>
      <c r="BZ80" s="9">
        <f t="shared" ref="BZ80:BZ143" ca="1" si="86">BX80-$CE$5</f>
        <v>145.70177853723428</v>
      </c>
      <c r="CA80" s="6">
        <f t="shared" ref="CA80:CA143" ca="1" si="87">BY80-$CF$5</f>
        <v>-33.700789016311319</v>
      </c>
      <c r="CB80" s="6">
        <f t="shared" ref="CB80:CB143" ca="1" si="88">ATAN2(BZ80,CA80)</f>
        <v>-0.22730251118439249</v>
      </c>
      <c r="CC80" s="6">
        <f t="shared" ref="CC80:CC143" ca="1" si="89">ATAN2(COS(CF80-CB80),SIN(CF80-CB80))</f>
        <v>9.8207405173685314E-3</v>
      </c>
      <c r="CD80" s="9">
        <f t="shared" ref="CD80:CD143" si="90">BD67-$BW$6</f>
        <v>133.50177853723429</v>
      </c>
      <c r="CE80" s="9">
        <f t="shared" ref="CE80:CE143" si="91">BE67-$BX$6</f>
        <v>-29.50078901631132</v>
      </c>
      <c r="CF80" s="6">
        <f t="shared" ref="CF80:CF143" si="92">ATAN2(CD80,CE80)</f>
        <v>-0.21748177066702395</v>
      </c>
      <c r="CG80" s="6"/>
      <c r="CH80" s="6"/>
      <c r="CI80" s="6"/>
      <c r="CJ80" s="1"/>
      <c r="CK80" s="6"/>
      <c r="DK80">
        <v>2.9109569686065253</v>
      </c>
      <c r="DL80">
        <v>-2.2341549053070104</v>
      </c>
    </row>
    <row r="81" spans="1:89" x14ac:dyDescent="0.2">
      <c r="BC81">
        <v>1.3788101090755218</v>
      </c>
      <c r="BD81">
        <v>144.10010457445676</v>
      </c>
      <c r="BE81">
        <v>-33.218578670166494</v>
      </c>
      <c r="BF81" s="6">
        <f t="shared" si="79"/>
        <v>6.0566189989026613</v>
      </c>
      <c r="BG81" s="6">
        <f t="shared" si="80"/>
        <v>4.6778088898271397</v>
      </c>
      <c r="BH81" s="6">
        <f t="shared" si="81"/>
        <v>-0.10498785359901321</v>
      </c>
      <c r="BI81" s="6">
        <f t="shared" si="82"/>
        <v>0.10498785359901321</v>
      </c>
      <c r="BJ81">
        <v>160.11122730495197</v>
      </c>
      <c r="BK81">
        <v>-36.909531855740546</v>
      </c>
      <c r="BV81" s="38"/>
      <c r="BW81" s="6">
        <f t="shared" si="83"/>
        <v>1.1519173063162587</v>
      </c>
      <c r="BX81" s="9">
        <f t="shared" ca="1" si="84"/>
        <v>21.73781596286041</v>
      </c>
      <c r="BY81" s="9">
        <f t="shared" ca="1" si="85"/>
        <v>7.6288835566421014</v>
      </c>
      <c r="BZ81" s="9">
        <f t="shared" ca="1" si="86"/>
        <v>145.63349701968158</v>
      </c>
      <c r="CA81" s="6">
        <f t="shared" ca="1" si="87"/>
        <v>-33.669676795631617</v>
      </c>
      <c r="CB81" s="6">
        <f t="shared" ca="1" si="88"/>
        <v>-0.2272026637564078</v>
      </c>
      <c r="CC81" s="6">
        <f t="shared" ca="1" si="89"/>
        <v>9.8353918063792678E-3</v>
      </c>
      <c r="CD81" s="9">
        <f t="shared" si="90"/>
        <v>133.4334970196816</v>
      </c>
      <c r="CE81" s="9">
        <f t="shared" si="91"/>
        <v>-29.469676795631617</v>
      </c>
      <c r="CF81" s="6">
        <f t="shared" si="92"/>
        <v>-0.21736727195002853</v>
      </c>
      <c r="CG81" s="6"/>
      <c r="CH81" s="6"/>
      <c r="CI81" s="6"/>
      <c r="CJ81" s="1"/>
      <c r="CK81" s="6"/>
    </row>
    <row r="82" spans="1:89" x14ac:dyDescent="0.2">
      <c r="B82">
        <f>ATAN2(1,0)</f>
        <v>0</v>
      </c>
      <c r="BC82">
        <v>1.3962634015954651</v>
      </c>
      <c r="BD82">
        <v>143.87435622321024</v>
      </c>
      <c r="BE82">
        <v>-33.176785038595874</v>
      </c>
      <c r="BF82" s="6">
        <f t="shared" si="79"/>
        <v>6.0565513729091345</v>
      </c>
      <c r="BG82" s="6">
        <f t="shared" si="80"/>
        <v>4.6602879713136698</v>
      </c>
      <c r="BH82" s="6">
        <f t="shared" si="81"/>
        <v>-0.10492022760548637</v>
      </c>
      <c r="BI82" s="6">
        <f t="shared" si="82"/>
        <v>0.10492022760548637</v>
      </c>
      <c r="BJ82">
        <v>159.86039580356695</v>
      </c>
      <c r="BK82">
        <v>-36.863094487328745</v>
      </c>
      <c r="BV82" s="38"/>
      <c r="BW82" s="6">
        <f t="shared" si="83"/>
        <v>1.169370598836202</v>
      </c>
      <c r="BX82" s="9">
        <f t="shared" ca="1" si="84"/>
        <v>21.665677584966645</v>
      </c>
      <c r="BY82" s="9">
        <f t="shared" ca="1" si="85"/>
        <v>7.6602441238748753</v>
      </c>
      <c r="BZ82" s="9">
        <f t="shared" ca="1" si="86"/>
        <v>145.56135864178782</v>
      </c>
      <c r="CA82" s="6">
        <f t="shared" ca="1" si="87"/>
        <v>-33.638316228398843</v>
      </c>
      <c r="CB82" s="6">
        <f t="shared" ca="1" si="88"/>
        <v>-0.22710691103773389</v>
      </c>
      <c r="CC82" s="6">
        <f t="shared" ca="1" si="89"/>
        <v>9.8499493558971696E-3</v>
      </c>
      <c r="CD82" s="9">
        <f t="shared" si="90"/>
        <v>133.36135864178783</v>
      </c>
      <c r="CE82" s="9">
        <f t="shared" si="91"/>
        <v>-29.438316228398843</v>
      </c>
      <c r="CF82" s="6">
        <f t="shared" si="92"/>
        <v>-0.21725696168183672</v>
      </c>
      <c r="CG82" s="6"/>
      <c r="CH82" s="6"/>
      <c r="CI82" s="6"/>
      <c r="CJ82" s="1"/>
      <c r="CK82" s="6"/>
    </row>
    <row r="83" spans="1:89" x14ac:dyDescent="0.2">
      <c r="A83" t="s">
        <v>74</v>
      </c>
      <c r="B83">
        <f ca="1">ATAN2(B79,B80)</f>
        <v>-0.33229566351334822</v>
      </c>
      <c r="BC83">
        <v>1.4137166941154085</v>
      </c>
      <c r="BD83">
        <v>143.61276165892693</v>
      </c>
      <c r="BE83">
        <v>-33.133068642505968</v>
      </c>
      <c r="BF83" s="6">
        <f t="shared" si="79"/>
        <v>6.0564415824716553</v>
      </c>
      <c r="BG83" s="6">
        <f t="shared" si="80"/>
        <v>4.6427248883562466</v>
      </c>
      <c r="BH83" s="6">
        <f t="shared" si="81"/>
        <v>-0.1048104371680072</v>
      </c>
      <c r="BI83" s="6">
        <f t="shared" si="82"/>
        <v>0.1048104371680072</v>
      </c>
      <c r="BJ83">
        <v>159.56973517658548</v>
      </c>
      <c r="BK83">
        <v>-36.814520713895519</v>
      </c>
      <c r="BV83" s="38"/>
      <c r="BW83" s="6">
        <f t="shared" si="83"/>
        <v>1.1868238913561453</v>
      </c>
      <c r="BX83" s="9">
        <f t="shared" ca="1" si="84"/>
        <v>21.589230892656118</v>
      </c>
      <c r="BY83" s="9">
        <f t="shared" ca="1" si="85"/>
        <v>7.6919025596368726</v>
      </c>
      <c r="BZ83" s="9">
        <f t="shared" ca="1" si="86"/>
        <v>145.48491194947729</v>
      </c>
      <c r="CA83" s="6">
        <f t="shared" ca="1" si="87"/>
        <v>-33.606657792636845</v>
      </c>
      <c r="CB83" s="6">
        <f t="shared" ca="1" si="88"/>
        <v>-0.22701560940318477</v>
      </c>
      <c r="CC83" s="6">
        <f t="shared" ca="1" si="89"/>
        <v>9.8644133806089218E-3</v>
      </c>
      <c r="CD83" s="9">
        <f t="shared" si="90"/>
        <v>133.2849119494773</v>
      </c>
      <c r="CE83" s="9">
        <f t="shared" si="91"/>
        <v>-29.406657792636846</v>
      </c>
      <c r="CF83" s="6">
        <f t="shared" si="92"/>
        <v>-0.21715119602257585</v>
      </c>
      <c r="CG83" s="6"/>
      <c r="CH83" s="6"/>
      <c r="CI83" s="6"/>
      <c r="CJ83" s="1"/>
      <c r="CK83" s="6"/>
    </row>
    <row r="84" spans="1:89" x14ac:dyDescent="0.2">
      <c r="BC84">
        <v>1.4311699866353518</v>
      </c>
      <c r="BD84">
        <v>143.30438820072601</v>
      </c>
      <c r="BE84">
        <v>-33.087060518893146</v>
      </c>
      <c r="BF84" s="6">
        <f t="shared" si="79"/>
        <v>6.0562750433109915</v>
      </c>
      <c r="BG84" s="6">
        <f t="shared" si="80"/>
        <v>4.6251050566756398</v>
      </c>
      <c r="BH84" s="6">
        <f t="shared" si="81"/>
        <v>-0.10464389800734342</v>
      </c>
      <c r="BI84" s="6">
        <f t="shared" si="82"/>
        <v>0.10464389800734342</v>
      </c>
      <c r="BJ84">
        <v>159.22709800080668</v>
      </c>
      <c r="BK84">
        <v>-36.763400576547937</v>
      </c>
      <c r="BV84" s="38"/>
      <c r="BW84" s="6">
        <f t="shared" si="83"/>
        <v>1.2042771838760886</v>
      </c>
      <c r="BX84" s="9">
        <f t="shared" ca="1" si="84"/>
        <v>21.507950376781551</v>
      </c>
      <c r="BY84" s="9">
        <f t="shared" ca="1" si="85"/>
        <v>7.7239121361486838</v>
      </c>
      <c r="BZ84" s="9">
        <f t="shared" ca="1" si="86"/>
        <v>145.40363143360273</v>
      </c>
      <c r="CA84" s="6">
        <f t="shared" ca="1" si="87"/>
        <v>-33.574648216125034</v>
      </c>
      <c r="CB84" s="6">
        <f t="shared" ca="1" si="88"/>
        <v>-0.22692920278399786</v>
      </c>
      <c r="CC84" s="6">
        <f t="shared" ca="1" si="89"/>
        <v>9.8787813308699735E-3</v>
      </c>
      <c r="CD84" s="9">
        <f t="shared" si="90"/>
        <v>133.20363143360274</v>
      </c>
      <c r="CE84" s="9">
        <f t="shared" si="91"/>
        <v>-29.374648216125035</v>
      </c>
      <c r="CF84" s="6">
        <f t="shared" si="92"/>
        <v>-0.21705042145312789</v>
      </c>
      <c r="CG84" s="6"/>
      <c r="CH84" s="6"/>
      <c r="CI84" s="6"/>
      <c r="CJ84" s="1"/>
      <c r="CK84" s="6"/>
    </row>
    <row r="85" spans="1:89" x14ac:dyDescent="0.2">
      <c r="BC85">
        <v>1.4486232791552951</v>
      </c>
      <c r="BD85">
        <v>142.93300769828596</v>
      </c>
      <c r="BE85">
        <v>-33.038274852510305</v>
      </c>
      <c r="BF85" s="6">
        <f t="shared" si="79"/>
        <v>6.0560295542201219</v>
      </c>
      <c r="BG85" s="6">
        <f t="shared" si="80"/>
        <v>4.607406275064827</v>
      </c>
      <c r="BH85" s="6">
        <f t="shared" si="81"/>
        <v>-0.10439840891647378</v>
      </c>
      <c r="BI85" s="6">
        <f t="shared" si="82"/>
        <v>0.10439840891647378</v>
      </c>
      <c r="BJ85">
        <v>158.8144529980955</v>
      </c>
      <c r="BK85">
        <v>-36.709194280567004</v>
      </c>
      <c r="BV85" s="38"/>
      <c r="BW85" s="6">
        <f t="shared" si="83"/>
        <v>1.2217304763960319</v>
      </c>
      <c r="BX85" s="9">
        <f t="shared" ca="1" si="84"/>
        <v>21.421219969209389</v>
      </c>
      <c r="BY85" s="9">
        <f t="shared" ca="1" si="85"/>
        <v>7.756330644820089</v>
      </c>
      <c r="BZ85" s="9">
        <f t="shared" ca="1" si="86"/>
        <v>145.31690102603056</v>
      </c>
      <c r="CA85" s="6">
        <f t="shared" ca="1" si="87"/>
        <v>-33.542229707453629</v>
      </c>
      <c r="CB85" s="6">
        <f t="shared" ca="1" si="88"/>
        <v>-0.22684824285043079</v>
      </c>
      <c r="CC85" s="6">
        <f t="shared" ca="1" si="89"/>
        <v>9.8930472008735282E-3</v>
      </c>
      <c r="CD85" s="9">
        <f t="shared" si="90"/>
        <v>133.11690102603058</v>
      </c>
      <c r="CE85" s="9">
        <f t="shared" si="91"/>
        <v>-29.34222970745363</v>
      </c>
      <c r="CF85" s="6">
        <f t="shared" si="92"/>
        <v>-0.21695519564955726</v>
      </c>
      <c r="CG85" s="6"/>
      <c r="CH85" s="6"/>
      <c r="CI85" s="6"/>
      <c r="CJ85" s="1"/>
      <c r="CK85" s="6"/>
    </row>
    <row r="86" spans="1:89" x14ac:dyDescent="0.2">
      <c r="BC86">
        <v>1.4660765716752384</v>
      </c>
      <c r="BD86">
        <v>142.47326609403359</v>
      </c>
      <c r="BE86">
        <v>-32.986047766588605</v>
      </c>
      <c r="BF86" s="6">
        <f t="shared" si="79"/>
        <v>6.0556695226065305</v>
      </c>
      <c r="BG86" s="6">
        <f t="shared" si="80"/>
        <v>4.5895929509312925</v>
      </c>
      <c r="BH86" s="6">
        <f t="shared" si="81"/>
        <v>-0.10403837730288235</v>
      </c>
      <c r="BI86" s="6">
        <f t="shared" si="82"/>
        <v>0.10403837730288235</v>
      </c>
      <c r="BJ86">
        <v>158.30362899337067</v>
      </c>
      <c r="BK86">
        <v>-36.651164185098452</v>
      </c>
      <c r="BV86" s="38"/>
      <c r="BW86" s="6">
        <f t="shared" si="83"/>
        <v>1.2391837689159753</v>
      </c>
      <c r="BX86" s="9">
        <f t="shared" ca="1" si="84"/>
        <v>21.328311800774557</v>
      </c>
      <c r="BY86" s="9">
        <f t="shared" ca="1" si="85"/>
        <v>7.7892213182189352</v>
      </c>
      <c r="BZ86" s="9">
        <f t="shared" ca="1" si="86"/>
        <v>145.22399285759573</v>
      </c>
      <c r="CA86" s="6">
        <f t="shared" ca="1" si="87"/>
        <v>-33.509339034054783</v>
      </c>
      <c r="CB86" s="6">
        <f t="shared" ca="1" si="88"/>
        <v>-0.22677341548765775</v>
      </c>
      <c r="CC86" s="6">
        <f t="shared" ca="1" si="89"/>
        <v>9.9072005875004698E-3</v>
      </c>
      <c r="CD86" s="9">
        <f t="shared" si="90"/>
        <v>133.02399285759574</v>
      </c>
      <c r="CE86" s="9">
        <f t="shared" si="91"/>
        <v>-29.309339034054783</v>
      </c>
      <c r="CF86" s="6">
        <f t="shared" si="92"/>
        <v>-0.21686621490015728</v>
      </c>
      <c r="CG86" s="6"/>
      <c r="CH86" s="6"/>
      <c r="CI86" s="6"/>
      <c r="CJ86" s="1"/>
      <c r="CK86" s="6"/>
    </row>
    <row r="87" spans="1:89" x14ac:dyDescent="0.2">
      <c r="A87" t="s">
        <v>119</v>
      </c>
      <c r="BC87">
        <v>1.4835298641951817</v>
      </c>
      <c r="BD87">
        <v>141.88281256597239</v>
      </c>
      <c r="BE87">
        <v>-32.929427524465012</v>
      </c>
      <c r="BF87" s="6">
        <f t="shared" si="79"/>
        <v>6.0551338666897339</v>
      </c>
      <c r="BG87" s="6">
        <f t="shared" si="80"/>
        <v>4.5716040024945519</v>
      </c>
      <c r="BH87" s="6">
        <f t="shared" si="81"/>
        <v>-0.10350272138608574</v>
      </c>
      <c r="BI87" s="6">
        <f t="shared" si="82"/>
        <v>0.10350272138608574</v>
      </c>
      <c r="BJ87">
        <v>157.64756951774709</v>
      </c>
      <c r="BK87">
        <v>-36.588252804961122</v>
      </c>
      <c r="BV87" s="38"/>
      <c r="BW87" s="6">
        <f t="shared" si="83"/>
        <v>1.2566370614359186</v>
      </c>
      <c r="BX87" s="9">
        <f t="shared" ca="1" si="84"/>
        <v>21.22835856486806</v>
      </c>
      <c r="BY87" s="9">
        <f t="shared" ca="1" si="85"/>
        <v>7.8226539680173275</v>
      </c>
      <c r="BZ87" s="9">
        <f t="shared" ca="1" si="86"/>
        <v>145.12403962168923</v>
      </c>
      <c r="CA87" s="6">
        <f t="shared" ca="1" si="87"/>
        <v>-33.47590638425639</v>
      </c>
      <c r="CB87" s="6">
        <f t="shared" ca="1" si="88"/>
        <v>-0.2267055757255233</v>
      </c>
      <c r="CC87" s="6">
        <f t="shared" ca="1" si="89"/>
        <v>9.9212254154629198E-3</v>
      </c>
      <c r="CD87" s="9">
        <f t="shared" si="90"/>
        <v>132.92403962168925</v>
      </c>
      <c r="CE87" s="9">
        <f t="shared" si="91"/>
        <v>-29.275906384256391</v>
      </c>
      <c r="CF87" s="6">
        <f t="shared" si="92"/>
        <v>-0.21678435031006038</v>
      </c>
      <c r="CG87" s="6"/>
      <c r="CH87" s="6"/>
      <c r="CI87" s="6"/>
      <c r="CJ87" s="1"/>
      <c r="CK87" s="6"/>
    </row>
    <row r="88" spans="1:89" x14ac:dyDescent="0.2">
      <c r="A88" t="s">
        <v>120</v>
      </c>
      <c r="BC88">
        <v>1.5009831567151251</v>
      </c>
      <c r="BD88">
        <v>141.08414285979569</v>
      </c>
      <c r="BE88">
        <v>-32.866958465107231</v>
      </c>
      <c r="BF88" s="6">
        <f t="shared" si="79"/>
        <v>6.0543074832737691</v>
      </c>
      <c r="BG88" s="6">
        <f t="shared" si="80"/>
        <v>4.5533243265586441</v>
      </c>
      <c r="BH88" s="6">
        <f t="shared" si="81"/>
        <v>-0.102676337970121</v>
      </c>
      <c r="BI88" s="6">
        <f t="shared" si="82"/>
        <v>0.102676337970121</v>
      </c>
      <c r="BJ88">
        <v>156.76015873310632</v>
      </c>
      <c r="BK88">
        <v>-36.518842739008036</v>
      </c>
      <c r="BV88" s="38"/>
      <c r="BW88" s="6">
        <f t="shared" si="83"/>
        <v>1.2740903539558619</v>
      </c>
      <c r="BX88" s="9">
        <f t="shared" ca="1" si="84"/>
        <v>21.120317062752108</v>
      </c>
      <c r="BY88" s="9">
        <f t="shared" ca="1" si="85"/>
        <v>7.8567064014726711</v>
      </c>
      <c r="BZ88" s="9">
        <f t="shared" ca="1" si="86"/>
        <v>145.01599811957328</v>
      </c>
      <c r="CA88" s="6">
        <f t="shared" ca="1" si="87"/>
        <v>-33.441853950801047</v>
      </c>
      <c r="CB88" s="6">
        <f t="shared" ca="1" si="88"/>
        <v>-0.22664579448404781</v>
      </c>
      <c r="CC88" s="6">
        <f t="shared" ca="1" si="89"/>
        <v>9.9350981854743892E-3</v>
      </c>
      <c r="CD88" s="9">
        <f t="shared" si="90"/>
        <v>132.81599811957329</v>
      </c>
      <c r="CE88" s="9">
        <f t="shared" si="91"/>
        <v>-29.241853950801048</v>
      </c>
      <c r="CF88" s="6">
        <f t="shared" si="92"/>
        <v>-0.21671069629857342</v>
      </c>
      <c r="CG88" s="6"/>
      <c r="CH88" s="6"/>
      <c r="CI88" s="6"/>
      <c r="CJ88" s="1"/>
      <c r="CK88" s="6"/>
    </row>
    <row r="89" spans="1:89" x14ac:dyDescent="0.2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139.91524319122874</v>
      </c>
      <c r="BE89">
        <v>-32.796196973572535</v>
      </c>
      <c r="BF89" s="6">
        <f t="shared" si="79"/>
        <v>6.0529415884261875</v>
      </c>
      <c r="BG89" s="6">
        <f t="shared" si="80"/>
        <v>4.5345051391911193</v>
      </c>
      <c r="BH89" s="6">
        <f t="shared" si="81"/>
        <v>-0.10131044312253934</v>
      </c>
      <c r="BI89" s="6">
        <f t="shared" si="82"/>
        <v>0.10131044312253934</v>
      </c>
      <c r="BJ89">
        <v>155.46138132358749</v>
      </c>
      <c r="BK89">
        <v>-36.440218859525039</v>
      </c>
      <c r="BV89" s="38"/>
      <c r="BW89" s="6">
        <f t="shared" si="83"/>
        <v>1.2915436464758052</v>
      </c>
      <c r="BX89" s="9">
        <f t="shared" ca="1" si="84"/>
        <v>21.002919382457449</v>
      </c>
      <c r="BY89" s="9">
        <f t="shared" ca="1" si="85"/>
        <v>7.8914661997900311</v>
      </c>
      <c r="BZ89" s="9">
        <f t="shared" ca="1" si="86"/>
        <v>144.89860043927862</v>
      </c>
      <c r="CA89" s="6">
        <f t="shared" ca="1" si="87"/>
        <v>-33.407094152483687</v>
      </c>
      <c r="CB89" s="6">
        <f t="shared" ca="1" si="88"/>
        <v>-0.2265954221242687</v>
      </c>
      <c r="CC89" s="6">
        <f t="shared" ca="1" si="89"/>
        <v>9.9487855283523496E-3</v>
      </c>
      <c r="CD89" s="9">
        <f t="shared" si="90"/>
        <v>132.69860043927864</v>
      </c>
      <c r="CE89" s="9">
        <f t="shared" si="91"/>
        <v>-29.207094152483688</v>
      </c>
      <c r="CF89" s="6">
        <f t="shared" si="92"/>
        <v>-0.21664663659591635</v>
      </c>
      <c r="CG89" s="6"/>
      <c r="CH89" s="6"/>
      <c r="CI89" s="6"/>
      <c r="CJ89" s="1"/>
      <c r="CK89" s="6"/>
    </row>
    <row r="90" spans="1:89" x14ac:dyDescent="0.2">
      <c r="A90" s="6">
        <f t="shared" ref="A90:A98" si="93">E3-$I$2</f>
        <v>-6</v>
      </c>
      <c r="B90" s="1">
        <f t="shared" ref="B90:B98" si="94">F3-$I$3</f>
        <v>-12</v>
      </c>
      <c r="C90" s="1"/>
      <c r="BC90">
        <v>1.5358897417550117</v>
      </c>
      <c r="BD90">
        <v>137.95618459569394</v>
      </c>
      <c r="BE90">
        <v>-32.71238864002715</v>
      </c>
      <c r="BF90" s="6">
        <f t="shared" si="79"/>
        <v>6.0503637502397218</v>
      </c>
      <c r="BG90" s="6">
        <f t="shared" si="80"/>
        <v>4.5144740084847097</v>
      </c>
      <c r="BH90" s="6">
        <f t="shared" si="81"/>
        <v>-9.8732604936073706E-2</v>
      </c>
      <c r="BI90" s="6">
        <f t="shared" si="82"/>
        <v>9.8732604936073706E-2</v>
      </c>
      <c r="BJ90">
        <v>153.28464955077104</v>
      </c>
      <c r="BK90">
        <v>-36.347098488919052</v>
      </c>
      <c r="BV90" s="38"/>
      <c r="BW90" s="6">
        <f t="shared" si="83"/>
        <v>1.3089969389957485</v>
      </c>
      <c r="BX90" s="9">
        <f t="shared" ca="1" si="84"/>
        <v>20.874606463994112</v>
      </c>
      <c r="BY90" s="9">
        <f t="shared" ca="1" si="85"/>
        <v>7.9270330024015081</v>
      </c>
      <c r="BZ90" s="9">
        <f t="shared" ca="1" si="86"/>
        <v>144.77028752081529</v>
      </c>
      <c r="CA90" s="6">
        <f t="shared" ca="1" si="87"/>
        <v>-33.37152734987221</v>
      </c>
      <c r="CB90" s="6">
        <f t="shared" ca="1" si="88"/>
        <v>-0.22655617607354273</v>
      </c>
      <c r="CC90" s="6">
        <f t="shared" ca="1" si="89"/>
        <v>9.9622407533803414E-3</v>
      </c>
      <c r="CD90" s="9">
        <f t="shared" si="90"/>
        <v>132.5702875208153</v>
      </c>
      <c r="CE90" s="9">
        <f t="shared" si="91"/>
        <v>-29.171527349872211</v>
      </c>
      <c r="CF90" s="6">
        <f t="shared" si="92"/>
        <v>-0.21659393532016238</v>
      </c>
      <c r="CG90" s="6"/>
      <c r="CH90" s="6"/>
      <c r="CI90" s="6"/>
      <c r="CJ90" s="1"/>
      <c r="CK90" s="6"/>
    </row>
    <row r="91" spans="1:89" x14ac:dyDescent="0.2">
      <c r="A91" s="6">
        <f t="shared" si="93"/>
        <v>6</v>
      </c>
      <c r="B91" s="1">
        <f t="shared" si="94"/>
        <v>-12</v>
      </c>
      <c r="C91" s="1">
        <f t="shared" ref="C91:C98" si="95">((A90*B91)-(A91*B90))*0.5</f>
        <v>72</v>
      </c>
      <c r="D91" s="6">
        <f t="shared" ref="D91:D98" si="96">(A91+A90)*((A90*B91)-(A91*B90))*(1/6)</f>
        <v>0</v>
      </c>
      <c r="E91" s="6">
        <f t="shared" ref="E91:E98" si="97">(B91+B90)*((A90*B91)-(A91*B90))*(1/6)</f>
        <v>-576</v>
      </c>
      <c r="BC91">
        <v>1.553343034274955</v>
      </c>
      <c r="BD91">
        <v>134.03658046265843</v>
      </c>
      <c r="BE91">
        <v>-32.610893218114846</v>
      </c>
      <c r="BF91" s="6">
        <f t="shared" si="79"/>
        <v>6.0445238558599694</v>
      </c>
      <c r="BG91" s="6">
        <f t="shared" si="80"/>
        <v>4.4911808215850142</v>
      </c>
      <c r="BH91" s="6">
        <f t="shared" si="81"/>
        <v>-9.2892710556321312E-2</v>
      </c>
      <c r="BI91" s="6">
        <f t="shared" si="82"/>
        <v>9.2892710556321312E-2</v>
      </c>
      <c r="BJ91">
        <v>148.92953384739826</v>
      </c>
      <c r="BK91">
        <v>-36.234325797905385</v>
      </c>
      <c r="BV91" s="38"/>
      <c r="BW91" s="6">
        <f t="shared" si="83"/>
        <v>1.3264502315156919</v>
      </c>
      <c r="BX91" s="9">
        <f t="shared" ca="1" si="84"/>
        <v>20.733435978929137</v>
      </c>
      <c r="BY91" s="9">
        <f t="shared" ca="1" si="85"/>
        <v>7.9635214732885515</v>
      </c>
      <c r="BZ91" s="9">
        <f t="shared" ca="1" si="86"/>
        <v>144.62911703575031</v>
      </c>
      <c r="CA91" s="6">
        <f t="shared" ca="1" si="87"/>
        <v>-33.335038878985166</v>
      </c>
      <c r="CB91" s="6">
        <f t="shared" ca="1" si="88"/>
        <v>-0.22653026404105917</v>
      </c>
      <c r="CC91" s="6">
        <f t="shared" ca="1" si="89"/>
        <v>9.9753988771592861E-3</v>
      </c>
      <c r="CD91" s="9">
        <f t="shared" si="90"/>
        <v>132.42911703575032</v>
      </c>
      <c r="CE91" s="9">
        <f t="shared" si="91"/>
        <v>-29.135038878985167</v>
      </c>
      <c r="CF91" s="6">
        <f t="shared" si="92"/>
        <v>-0.21655486516389988</v>
      </c>
      <c r="CG91" s="6"/>
      <c r="CH91" s="6"/>
      <c r="CI91" s="6"/>
      <c r="CJ91" s="1"/>
      <c r="CK91" s="6"/>
    </row>
    <row r="92" spans="1:89" x14ac:dyDescent="0.2">
      <c r="A92" s="6">
        <f t="shared" si="93"/>
        <v>6</v>
      </c>
      <c r="B92" s="1">
        <f t="shared" si="94"/>
        <v>4</v>
      </c>
      <c r="C92" s="1">
        <f t="shared" si="95"/>
        <v>48</v>
      </c>
      <c r="D92" s="6">
        <f t="shared" si="96"/>
        <v>192</v>
      </c>
      <c r="E92" s="6">
        <f t="shared" si="97"/>
        <v>-128</v>
      </c>
      <c r="BC92">
        <v>1.5707963267948983</v>
      </c>
      <c r="BD92">
        <v>127.9799999999989</v>
      </c>
      <c r="BE92">
        <v>-32.542162768136279</v>
      </c>
      <c r="BF92" s="6">
        <f t="shared" si="79"/>
        <v>6.03418682516826</v>
      </c>
      <c r="BG92" s="6">
        <f t="shared" si="80"/>
        <v>4.4633904983733617</v>
      </c>
      <c r="BH92" s="6">
        <f t="shared" si="81"/>
        <v>-8.2555679864611889E-2</v>
      </c>
      <c r="BI92" s="6">
        <f t="shared" si="82"/>
        <v>8.2555679864611889E-2</v>
      </c>
      <c r="BJ92">
        <v>142.19999999999877</v>
      </c>
      <c r="BK92">
        <v>-36.157958631262531</v>
      </c>
      <c r="BV92" s="38"/>
      <c r="BW92" s="6">
        <f t="shared" si="83"/>
        <v>1.3439035240356352</v>
      </c>
      <c r="BX92" s="9">
        <f t="shared" ca="1" si="84"/>
        <v>20.576951911873962</v>
      </c>
      <c r="BY92" s="9">
        <f t="shared" ca="1" si="85"/>
        <v>8.0010652277857943</v>
      </c>
      <c r="BZ92" s="9">
        <f t="shared" ca="1" si="86"/>
        <v>144.47263296869514</v>
      </c>
      <c r="CA92" s="6">
        <f t="shared" ca="1" si="87"/>
        <v>-33.297495124487924</v>
      </c>
      <c r="CB92" s="6">
        <f t="shared" ca="1" si="88"/>
        <v>-0.22652056086657243</v>
      </c>
      <c r="CC92" s="6">
        <f t="shared" ca="1" si="89"/>
        <v>9.988169321679367E-3</v>
      </c>
      <c r="CD92" s="9">
        <f t="shared" si="90"/>
        <v>132.27263296869515</v>
      </c>
      <c r="CE92" s="9">
        <f t="shared" si="91"/>
        <v>-29.097495124487924</v>
      </c>
      <c r="CF92" s="6">
        <f t="shared" si="92"/>
        <v>-0.21653239154489307</v>
      </c>
      <c r="CG92" s="6"/>
      <c r="CH92" s="6"/>
      <c r="CI92" s="6"/>
      <c r="CJ92" s="1"/>
      <c r="CK92" s="6"/>
    </row>
    <row r="93" spans="1:89" x14ac:dyDescent="0.2">
      <c r="A93" s="6">
        <f t="shared" si="93"/>
        <v>6</v>
      </c>
      <c r="B93" s="1">
        <f t="shared" si="94"/>
        <v>4</v>
      </c>
      <c r="C93" s="1">
        <f t="shared" si="95"/>
        <v>0</v>
      </c>
      <c r="D93" s="6">
        <f t="shared" si="96"/>
        <v>0</v>
      </c>
      <c r="E93" s="6">
        <f t="shared" si="97"/>
        <v>0</v>
      </c>
      <c r="BC93">
        <v>1.5882496193148417</v>
      </c>
      <c r="BD93">
        <v>121.92341953734058</v>
      </c>
      <c r="BE93">
        <v>-32.61089321811636</v>
      </c>
      <c r="BF93" s="6">
        <f t="shared" si="79"/>
        <v>6.0218327885002187</v>
      </c>
      <c r="BG93" s="6">
        <f t="shared" si="80"/>
        <v>4.4335831691853773</v>
      </c>
      <c r="BH93" s="6">
        <f t="shared" si="81"/>
        <v>-7.0201643196570629E-2</v>
      </c>
      <c r="BI93" s="6">
        <f t="shared" si="82"/>
        <v>7.0201643196570629E-2</v>
      </c>
      <c r="BJ93">
        <v>135.47046615260064</v>
      </c>
      <c r="BK93">
        <v>-36.234325797907069</v>
      </c>
      <c r="BV93" s="38"/>
      <c r="BW93" s="6">
        <f t="shared" si="83"/>
        <v>1.3613568165555785</v>
      </c>
      <c r="BX93" s="9">
        <f t="shared" ca="1" si="84"/>
        <v>20.401995494008233</v>
      </c>
      <c r="BY93" s="9">
        <f t="shared" ca="1" si="85"/>
        <v>8.0398221413764404</v>
      </c>
      <c r="BZ93" s="9">
        <f t="shared" ca="1" si="86"/>
        <v>144.29767655082941</v>
      </c>
      <c r="CA93" s="6">
        <f t="shared" ca="1" si="87"/>
        <v>-33.258738210897278</v>
      </c>
      <c r="CB93" s="6">
        <f t="shared" ca="1" si="88"/>
        <v>-0.226530868418098</v>
      </c>
      <c r="CC93" s="6">
        <f t="shared" ca="1" si="89"/>
        <v>1.0000424936619484E-2</v>
      </c>
      <c r="CD93" s="9">
        <f t="shared" si="90"/>
        <v>132.09767655082942</v>
      </c>
      <c r="CE93" s="9">
        <f t="shared" si="91"/>
        <v>-29.058738210897278</v>
      </c>
      <c r="CF93" s="6">
        <f t="shared" si="92"/>
        <v>-0.21653044348147851</v>
      </c>
      <c r="CG93" s="6"/>
      <c r="CH93" s="6"/>
      <c r="CI93" s="6"/>
      <c r="CJ93" s="1"/>
      <c r="CK93" s="6"/>
    </row>
    <row r="94" spans="1:89" x14ac:dyDescent="0.2">
      <c r="A94" s="6">
        <f t="shared" si="93"/>
        <v>6</v>
      </c>
      <c r="B94" s="1">
        <f t="shared" si="94"/>
        <v>12</v>
      </c>
      <c r="C94" s="1">
        <f t="shared" si="95"/>
        <v>24</v>
      </c>
      <c r="D94" s="6">
        <f t="shared" si="96"/>
        <v>96</v>
      </c>
      <c r="E94" s="6">
        <f t="shared" si="97"/>
        <v>128</v>
      </c>
      <c r="BC94">
        <v>1.605702911834785</v>
      </c>
      <c r="BD94">
        <v>118.00381540430574</v>
      </c>
      <c r="BE94">
        <v>-32.712388640028095</v>
      </c>
      <c r="BF94" s="6">
        <f t="shared" si="79"/>
        <v>6.0127613040968919</v>
      </c>
      <c r="BG94" s="6">
        <f t="shared" si="80"/>
        <v>4.4070583922621065</v>
      </c>
      <c r="BH94" s="6">
        <f t="shared" si="81"/>
        <v>-6.1130158793243794E-2</v>
      </c>
      <c r="BI94" s="6">
        <f t="shared" si="82"/>
        <v>6.1130158793243794E-2</v>
      </c>
      <c r="BJ94">
        <v>131.1153504492286</v>
      </c>
      <c r="BK94">
        <v>-36.347098488920103</v>
      </c>
      <c r="BV94" s="38"/>
      <c r="BW94" s="6">
        <f t="shared" si="83"/>
        <v>1.3788101090755218</v>
      </c>
      <c r="BX94" s="9">
        <f t="shared" ca="1" si="84"/>
        <v>20.20442351763559</v>
      </c>
      <c r="BY94" s="9">
        <f t="shared" ca="1" si="85"/>
        <v>8.0799816821072241</v>
      </c>
      <c r="BZ94" s="9">
        <f t="shared" ca="1" si="86"/>
        <v>144.10010457445676</v>
      </c>
      <c r="CA94" s="6">
        <f t="shared" ca="1" si="87"/>
        <v>-33.218578670166494</v>
      </c>
      <c r="CB94" s="6">
        <f t="shared" ca="1" si="88"/>
        <v>-0.22656630827692487</v>
      </c>
      <c r="CC94" s="6">
        <f t="shared" ca="1" si="89"/>
        <v>1.00119850267405E-2</v>
      </c>
      <c r="CD94" s="9">
        <f t="shared" si="90"/>
        <v>131.90010457445678</v>
      </c>
      <c r="CE94" s="9">
        <f t="shared" si="91"/>
        <v>-29.018578670166495</v>
      </c>
      <c r="CF94" s="6">
        <f t="shared" si="92"/>
        <v>-0.21655432325018437</v>
      </c>
      <c r="CG94" s="6"/>
      <c r="CH94" s="6"/>
      <c r="CI94" s="6"/>
      <c r="CJ94" s="1"/>
      <c r="CK94" s="6"/>
    </row>
    <row r="95" spans="1:89" x14ac:dyDescent="0.2">
      <c r="A95" s="6">
        <f t="shared" si="93"/>
        <v>-6</v>
      </c>
      <c r="B95" s="1">
        <f t="shared" si="94"/>
        <v>12</v>
      </c>
      <c r="C95" s="1">
        <f t="shared" si="95"/>
        <v>72</v>
      </c>
      <c r="D95" s="6">
        <f t="shared" si="96"/>
        <v>0</v>
      </c>
      <c r="E95" s="6">
        <f t="shared" si="97"/>
        <v>576</v>
      </c>
      <c r="BC95">
        <v>1.6231562043547283</v>
      </c>
      <c r="BD95">
        <v>116.0447568087715</v>
      </c>
      <c r="BE95">
        <v>-32.796196973573068</v>
      </c>
      <c r="BF95" s="6">
        <f t="shared" si="79"/>
        <v>6.0077517053571121</v>
      </c>
      <c r="BG95" s="6">
        <f t="shared" si="80"/>
        <v>4.3845955010023836</v>
      </c>
      <c r="BH95" s="6">
        <f t="shared" si="81"/>
        <v>-5.6120560053463997E-2</v>
      </c>
      <c r="BI95" s="6">
        <f t="shared" si="82"/>
        <v>5.6120560053463997E-2</v>
      </c>
      <c r="BJ95">
        <v>128.93861867641277</v>
      </c>
      <c r="BK95">
        <v>-36.440218859525629</v>
      </c>
      <c r="BV95" s="38"/>
      <c r="BW95" s="6">
        <f t="shared" si="83"/>
        <v>1.3962634015954651</v>
      </c>
      <c r="BX95" s="9">
        <f t="shared" ca="1" si="84"/>
        <v>19.978675166389067</v>
      </c>
      <c r="BY95" s="9">
        <f t="shared" ca="1" si="85"/>
        <v>8.1217753136778441</v>
      </c>
      <c r="BZ95" s="9">
        <f t="shared" ca="1" si="86"/>
        <v>143.87435622321024</v>
      </c>
      <c r="CA95" s="6">
        <f t="shared" ca="1" si="87"/>
        <v>-33.176785038595874</v>
      </c>
      <c r="CB95" s="6">
        <f t="shared" ca="1" si="88"/>
        <v>-0.22663393427045189</v>
      </c>
      <c r="CC95" s="6">
        <f t="shared" ca="1" si="89"/>
        <v>1.0022588256150792E-2</v>
      </c>
      <c r="CD95" s="9">
        <f t="shared" si="90"/>
        <v>131.67435622321025</v>
      </c>
      <c r="CE95" s="9">
        <f t="shared" si="91"/>
        <v>-28.976785038595875</v>
      </c>
      <c r="CF95" s="6">
        <f t="shared" si="92"/>
        <v>-0.2166113460143011</v>
      </c>
      <c r="CG95" s="6"/>
      <c r="CH95" s="6"/>
      <c r="CI95" s="6"/>
      <c r="CJ95" s="1"/>
      <c r="CK95" s="6"/>
    </row>
    <row r="96" spans="1:89" x14ac:dyDescent="0.2">
      <c r="A96" s="6">
        <f t="shared" si="93"/>
        <v>-6</v>
      </c>
      <c r="B96" s="1">
        <f t="shared" si="94"/>
        <v>4</v>
      </c>
      <c r="C96" s="1">
        <f t="shared" si="95"/>
        <v>24</v>
      </c>
      <c r="D96" s="6">
        <f t="shared" si="96"/>
        <v>-96</v>
      </c>
      <c r="E96" s="6">
        <f t="shared" si="97"/>
        <v>128</v>
      </c>
      <c r="BC96">
        <v>1.6406094968746716</v>
      </c>
      <c r="BD96">
        <v>114.87585714020435</v>
      </c>
      <c r="BE96">
        <v>-32.866958465107643</v>
      </c>
      <c r="BF96" s="6">
        <f t="shared" si="79"/>
        <v>6.0045212295674597</v>
      </c>
      <c r="BG96" s="6">
        <f t="shared" si="80"/>
        <v>4.3639117326927881</v>
      </c>
      <c r="BH96" s="6">
        <f t="shared" si="81"/>
        <v>-5.2890084263811595E-2</v>
      </c>
      <c r="BI96" s="6">
        <f t="shared" si="82"/>
        <v>5.2890084263811595E-2</v>
      </c>
      <c r="BJ96">
        <v>127.63984126689371</v>
      </c>
      <c r="BK96">
        <v>-36.518842739008491</v>
      </c>
      <c r="BV96" s="38"/>
      <c r="BW96" s="6">
        <f t="shared" si="83"/>
        <v>1.4137166941154085</v>
      </c>
      <c r="BX96" s="9">
        <f t="shared" ca="1" si="84"/>
        <v>19.717080602105753</v>
      </c>
      <c r="BY96" s="9">
        <f t="shared" ca="1" si="85"/>
        <v>8.1654917097677497</v>
      </c>
      <c r="BZ96" s="9">
        <f t="shared" ca="1" si="86"/>
        <v>143.61276165892693</v>
      </c>
      <c r="CA96" s="6">
        <f t="shared" ca="1" si="87"/>
        <v>-33.133068642505968</v>
      </c>
      <c r="CB96" s="6">
        <f t="shared" ca="1" si="88"/>
        <v>-0.22674372470793128</v>
      </c>
      <c r="CC96" s="6">
        <f t="shared" ca="1" si="89"/>
        <v>1.0031847699958131E-2</v>
      </c>
      <c r="CD96" s="9">
        <f t="shared" si="90"/>
        <v>131.41276165892694</v>
      </c>
      <c r="CE96" s="9">
        <f t="shared" si="91"/>
        <v>-28.933068642505969</v>
      </c>
      <c r="CF96" s="6">
        <f t="shared" si="92"/>
        <v>-0.21671187700797315</v>
      </c>
      <c r="CG96" s="6"/>
      <c r="CH96" s="6"/>
      <c r="CI96" s="6"/>
      <c r="CJ96" s="1"/>
      <c r="CK96" s="6"/>
    </row>
    <row r="97" spans="1:89" x14ac:dyDescent="0.2">
      <c r="A97" s="6">
        <f t="shared" si="93"/>
        <v>-6</v>
      </c>
      <c r="B97" s="1">
        <f t="shared" si="94"/>
        <v>4</v>
      </c>
      <c r="C97" s="1">
        <f t="shared" si="95"/>
        <v>0</v>
      </c>
      <c r="D97" s="6">
        <f t="shared" si="96"/>
        <v>0</v>
      </c>
      <c r="E97" s="6">
        <f t="shared" si="97"/>
        <v>0</v>
      </c>
      <c r="BC97">
        <v>1.6580627893946149</v>
      </c>
      <c r="BD97">
        <v>114.07718743402748</v>
      </c>
      <c r="BE97">
        <v>-32.929427524465119</v>
      </c>
      <c r="BF97" s="6">
        <f t="shared" si="79"/>
        <v>6.002165131900127</v>
      </c>
      <c r="BG97" s="6">
        <f t="shared" si="80"/>
        <v>4.3441023425055123</v>
      </c>
      <c r="BH97" s="6">
        <f t="shared" si="81"/>
        <v>-5.0533986596478897E-2</v>
      </c>
      <c r="BI97" s="6">
        <f t="shared" si="82"/>
        <v>5.0533986596478897E-2</v>
      </c>
      <c r="BJ97">
        <v>126.75243048225275</v>
      </c>
      <c r="BK97">
        <v>-36.588252804961243</v>
      </c>
      <c r="BV97" s="38"/>
      <c r="BW97" s="6">
        <f t="shared" si="83"/>
        <v>1.4311699866353518</v>
      </c>
      <c r="BX97" s="9">
        <f t="shared" ca="1" si="84"/>
        <v>19.408707143904834</v>
      </c>
      <c r="BY97" s="9">
        <f t="shared" ca="1" si="85"/>
        <v>8.2114998333805715</v>
      </c>
      <c r="BZ97" s="9">
        <f t="shared" ca="1" si="86"/>
        <v>143.30438820072601</v>
      </c>
      <c r="CA97" s="6">
        <f t="shared" ca="1" si="87"/>
        <v>-33.087060518893146</v>
      </c>
      <c r="CB97" s="6">
        <f t="shared" ca="1" si="88"/>
        <v>-0.226910263868595</v>
      </c>
      <c r="CC97" s="6">
        <f t="shared" ca="1" si="89"/>
        <v>1.003917277074981E-2</v>
      </c>
      <c r="CD97" s="9">
        <f t="shared" si="90"/>
        <v>131.10438820072602</v>
      </c>
      <c r="CE97" s="9">
        <f t="shared" si="91"/>
        <v>-28.887060518893147</v>
      </c>
      <c r="CF97" s="6">
        <f t="shared" si="92"/>
        <v>-0.21687109109784519</v>
      </c>
      <c r="CG97" s="6"/>
      <c r="CH97" s="6"/>
      <c r="CI97" s="6"/>
      <c r="CJ97" s="1"/>
      <c r="CK97" s="6"/>
    </row>
    <row r="98" spans="1:89" x14ac:dyDescent="0.2">
      <c r="A98" s="6">
        <f t="shared" si="93"/>
        <v>-6</v>
      </c>
      <c r="B98" s="1">
        <f t="shared" si="94"/>
        <v>-12</v>
      </c>
      <c r="C98" s="1">
        <f t="shared" si="95"/>
        <v>48</v>
      </c>
      <c r="D98" s="6">
        <f t="shared" si="96"/>
        <v>-192</v>
      </c>
      <c r="E98" s="6">
        <f t="shared" si="97"/>
        <v>-128</v>
      </c>
      <c r="BC98">
        <v>1.6755160819145583</v>
      </c>
      <c r="BD98">
        <v>113.2010280419091</v>
      </c>
      <c r="BE98">
        <v>-33.111335578908772</v>
      </c>
      <c r="BF98" s="6">
        <f t="shared" ref="BF98:BF129" si="98">IF(BC98&lt;&gt;"",IF(AND(BD98=0,BE98=0),0,MOD(ATAN2(BD98,BE98),2*PI())),NA())</f>
        <v>5.9986230863027927</v>
      </c>
      <c r="BG98" s="6">
        <f t="shared" ref="BG98:BG129" si="99">ABS(BC98-BF98)</f>
        <v>4.323107004388234</v>
      </c>
      <c r="BH98" s="6">
        <f t="shared" si="81"/>
        <v>-4.699194099914461E-2</v>
      </c>
      <c r="BI98" s="6">
        <f t="shared" si="82"/>
        <v>4.699194099914461E-2</v>
      </c>
      <c r="BJ98">
        <v>125.77892004656566</v>
      </c>
      <c r="BK98">
        <v>-36.790372865454188</v>
      </c>
      <c r="BV98" s="38"/>
      <c r="BW98" s="6">
        <f t="shared" si="83"/>
        <v>1.4486232791552951</v>
      </c>
      <c r="BX98" s="9">
        <f t="shared" ca="1" si="84"/>
        <v>19.037326641464787</v>
      </c>
      <c r="BY98" s="9">
        <f t="shared" ca="1" si="85"/>
        <v>8.2602854997634125</v>
      </c>
      <c r="BZ98" s="9">
        <f t="shared" ca="1" si="86"/>
        <v>142.93300769828596</v>
      </c>
      <c r="CA98" s="6">
        <f t="shared" ca="1" si="87"/>
        <v>-33.038274852510305</v>
      </c>
      <c r="CB98" s="6">
        <f t="shared" ca="1" si="88"/>
        <v>-0.22715575295946402</v>
      </c>
      <c r="CC98" s="6">
        <f t="shared" ca="1" si="89"/>
        <v>1.0043625721205511E-2</v>
      </c>
      <c r="CD98" s="9">
        <f t="shared" si="90"/>
        <v>130.73300769828597</v>
      </c>
      <c r="CE98" s="9">
        <f t="shared" si="91"/>
        <v>-28.838274852510306</v>
      </c>
      <c r="CF98" s="6">
        <f t="shared" si="92"/>
        <v>-0.21711212723825851</v>
      </c>
      <c r="CG98" s="6"/>
      <c r="CH98" s="6"/>
      <c r="CI98" s="6"/>
      <c r="CJ98" s="1"/>
      <c r="CK98" s="6"/>
    </row>
    <row r="99" spans="1:89" x14ac:dyDescent="0.2">
      <c r="C99" s="1">
        <f>SUM(C91:C98)</f>
        <v>288</v>
      </c>
      <c r="D99" s="6">
        <f>SUM(D91:D98)/C99</f>
        <v>0</v>
      </c>
      <c r="E99" s="6">
        <f>SUM(E91:E98)/C99</f>
        <v>0</v>
      </c>
      <c r="BC99">
        <v>1.6929693744345016</v>
      </c>
      <c r="BD99">
        <v>112.38976571970473</v>
      </c>
      <c r="BE99">
        <v>-33.360570471203793</v>
      </c>
      <c r="BF99" s="6">
        <f t="shared" si="98"/>
        <v>5.9946399852880425</v>
      </c>
      <c r="BG99" s="6">
        <f t="shared" si="99"/>
        <v>4.3016706108535407</v>
      </c>
      <c r="BH99" s="6">
        <f t="shared" si="81"/>
        <v>-4.300883998439442E-2</v>
      </c>
      <c r="BI99" s="6">
        <f t="shared" si="82"/>
        <v>4.300883998439442E-2</v>
      </c>
      <c r="BJ99">
        <v>124.87751746633859</v>
      </c>
      <c r="BK99">
        <v>-37.067300523559773</v>
      </c>
      <c r="BV99" s="38"/>
      <c r="BW99" s="6">
        <f t="shared" si="83"/>
        <v>1.4660765716752384</v>
      </c>
      <c r="BX99" s="9">
        <f t="shared" ca="1" si="84"/>
        <v>18.577585037212415</v>
      </c>
      <c r="BY99" s="9">
        <f t="shared" ca="1" si="85"/>
        <v>8.3125125856851128</v>
      </c>
      <c r="BZ99" s="9">
        <f t="shared" ca="1" si="86"/>
        <v>142.47326609403359</v>
      </c>
      <c r="CA99" s="6">
        <f t="shared" ca="1" si="87"/>
        <v>-32.986047766588605</v>
      </c>
      <c r="CB99" s="6">
        <f t="shared" ca="1" si="88"/>
        <v>-0.22751578457305544</v>
      </c>
      <c r="CC99" s="6">
        <f t="shared" ca="1" si="89"/>
        <v>1.0043638616382328E-2</v>
      </c>
      <c r="CD99" s="9">
        <f t="shared" si="90"/>
        <v>130.2732660940336</v>
      </c>
      <c r="CE99" s="9">
        <f t="shared" si="91"/>
        <v>-28.786047766588606</v>
      </c>
      <c r="CF99" s="6">
        <f t="shared" si="92"/>
        <v>-0.21747214595667311</v>
      </c>
      <c r="CG99" s="6"/>
      <c r="CH99" s="6"/>
      <c r="CI99" s="6"/>
      <c r="CJ99" s="1"/>
      <c r="CK99" s="6"/>
    </row>
    <row r="100" spans="1:89" x14ac:dyDescent="0.2">
      <c r="A100" s="8" t="s">
        <v>124</v>
      </c>
      <c r="B100" s="1">
        <f>B31*C99*0.65</f>
        <v>795.6</v>
      </c>
      <c r="C100" t="s">
        <v>68</v>
      </c>
      <c r="BC100">
        <v>1.7104226669544449</v>
      </c>
      <c r="BD100">
        <v>111.84161899369487</v>
      </c>
      <c r="BE100">
        <v>-33.555912190114384</v>
      </c>
      <c r="BF100" s="6">
        <f t="shared" si="98"/>
        <v>5.9917004055966174</v>
      </c>
      <c r="BG100" s="6">
        <f t="shared" si="99"/>
        <v>4.2812777386421725</v>
      </c>
      <c r="BH100" s="6">
        <f t="shared" si="81"/>
        <v>-4.0069260292969311E-2</v>
      </c>
      <c r="BI100" s="6">
        <f t="shared" si="82"/>
        <v>4.0069260292969311E-2</v>
      </c>
      <c r="BJ100">
        <v>124.26846554854984</v>
      </c>
      <c r="BK100">
        <v>-37.284346877904873</v>
      </c>
      <c r="BV100" s="38"/>
      <c r="BW100" s="6">
        <f t="shared" si="83"/>
        <v>1.4835298641951817</v>
      </c>
      <c r="BX100" s="9">
        <f t="shared" ca="1" si="84"/>
        <v>17.987131509151212</v>
      </c>
      <c r="BY100" s="9">
        <f t="shared" ca="1" si="85"/>
        <v>8.3691328278087056</v>
      </c>
      <c r="BZ100" s="9">
        <f t="shared" ca="1" si="86"/>
        <v>141.88281256597239</v>
      </c>
      <c r="CA100" s="6">
        <f t="shared" ca="1" si="87"/>
        <v>-32.929427524465012</v>
      </c>
      <c r="CB100" s="6">
        <f t="shared" ca="1" si="88"/>
        <v>-0.22805144048985243</v>
      </c>
      <c r="CC100" s="6">
        <f t="shared" ca="1" si="89"/>
        <v>1.0036401664780148E-2</v>
      </c>
      <c r="CD100" s="9">
        <f t="shared" si="90"/>
        <v>129.6828125659724</v>
      </c>
      <c r="CE100" s="9">
        <f t="shared" si="91"/>
        <v>-28.729427524465013</v>
      </c>
      <c r="CF100" s="6">
        <f t="shared" si="92"/>
        <v>-0.21801503882507228</v>
      </c>
      <c r="CG100" s="6"/>
      <c r="CH100" s="6"/>
      <c r="CI100" s="6"/>
      <c r="CJ100" s="1"/>
      <c r="CK100" s="6"/>
    </row>
    <row r="101" spans="1:89" x14ac:dyDescent="0.2">
      <c r="A101" s="8" t="s">
        <v>77</v>
      </c>
      <c r="B101" s="1">
        <f>B100*E99</f>
        <v>0</v>
      </c>
      <c r="C101" t="s">
        <v>69</v>
      </c>
      <c r="BC101">
        <v>1.7278759594743882</v>
      </c>
      <c r="BD101">
        <v>111.45448245702369</v>
      </c>
      <c r="BE101">
        <v>-33.713395516716439</v>
      </c>
      <c r="BF101" s="6">
        <f t="shared" si="98"/>
        <v>5.9894495481884018</v>
      </c>
      <c r="BG101" s="6">
        <f t="shared" si="99"/>
        <v>4.2615735887140138</v>
      </c>
      <c r="BH101" s="6">
        <f t="shared" si="81"/>
        <v>-3.7818402884753688E-2</v>
      </c>
      <c r="BI101" s="6">
        <f t="shared" si="82"/>
        <v>3.7818402884753688E-2</v>
      </c>
      <c r="BJ101">
        <v>123.83831384113742</v>
      </c>
      <c r="BK101">
        <v>-37.459328351907153</v>
      </c>
      <c r="BV101" s="38"/>
      <c r="BW101" s="6">
        <f t="shared" si="83"/>
        <v>1.5009831567151251</v>
      </c>
      <c r="BX101" s="9">
        <f t="shared" ca="1" si="84"/>
        <v>17.188461802974516</v>
      </c>
      <c r="BY101" s="9">
        <f t="shared" ca="1" si="85"/>
        <v>8.4316018871664866</v>
      </c>
      <c r="BZ101" s="9">
        <f t="shared" ca="1" si="86"/>
        <v>141.08414285979569</v>
      </c>
      <c r="CA101" s="6">
        <f t="shared" ca="1" si="87"/>
        <v>-32.866958465107231</v>
      </c>
      <c r="CB101" s="6">
        <f t="shared" ca="1" si="88"/>
        <v>-0.22887782390581696</v>
      </c>
      <c r="CC101" s="6">
        <f t="shared" ca="1" si="89"/>
        <v>1.0016368250349322E-2</v>
      </c>
      <c r="CD101" s="9">
        <f t="shared" si="90"/>
        <v>128.8841428597957</v>
      </c>
      <c r="CE101" s="9">
        <f t="shared" si="91"/>
        <v>-28.666958465107232</v>
      </c>
      <c r="CF101" s="6">
        <f t="shared" si="92"/>
        <v>-0.21886145565546763</v>
      </c>
      <c r="CG101" s="6"/>
      <c r="CH101" s="6"/>
      <c r="CI101" s="6"/>
      <c r="CJ101" s="1"/>
      <c r="CK101" s="6"/>
    </row>
    <row r="102" spans="1:89" x14ac:dyDescent="0.2">
      <c r="A102" s="8" t="s">
        <v>125</v>
      </c>
      <c r="B102" s="1">
        <f>B100*D99*-1</f>
        <v>0</v>
      </c>
      <c r="C102" t="s">
        <v>69</v>
      </c>
      <c r="J102" t="s">
        <v>127</v>
      </c>
      <c r="BC102">
        <v>1.7453292519943315</v>
      </c>
      <c r="BD102">
        <v>111.17136552261806</v>
      </c>
      <c r="BE102">
        <v>-33.8432024197621</v>
      </c>
      <c r="BF102" s="6">
        <f t="shared" si="98"/>
        <v>5.9876749969342473</v>
      </c>
      <c r="BG102" s="6">
        <f t="shared" si="99"/>
        <v>4.2423457449399162</v>
      </c>
      <c r="BH102" s="6">
        <f t="shared" si="81"/>
        <v>-3.6043851630599193E-2</v>
      </c>
      <c r="BI102" s="6">
        <f t="shared" si="82"/>
        <v>3.6043851630599193E-2</v>
      </c>
      <c r="BJ102">
        <v>123.52373946957562</v>
      </c>
      <c r="BK102">
        <v>-37.603558244180114</v>
      </c>
      <c r="BV102" s="38"/>
      <c r="BW102" s="6">
        <f t="shared" si="83"/>
        <v>1.5184364492350684</v>
      </c>
      <c r="BX102" s="9">
        <f t="shared" ca="1" si="84"/>
        <v>16.019562134407565</v>
      </c>
      <c r="BY102" s="9">
        <f t="shared" ca="1" si="85"/>
        <v>8.5023633787011832</v>
      </c>
      <c r="BZ102" s="9">
        <f t="shared" ca="1" si="86"/>
        <v>139.91524319122874</v>
      </c>
      <c r="CA102" s="6">
        <f t="shared" ca="1" si="87"/>
        <v>-32.796196973572535</v>
      </c>
      <c r="CB102" s="6">
        <f t="shared" ca="1" si="88"/>
        <v>-0.23024371875339905</v>
      </c>
      <c r="CC102" s="6">
        <f t="shared" ca="1" si="89"/>
        <v>9.9708964719522619E-3</v>
      </c>
      <c r="CD102" s="9">
        <f t="shared" si="90"/>
        <v>127.71524319122874</v>
      </c>
      <c r="CE102" s="9">
        <f t="shared" si="91"/>
        <v>-28.596196973572535</v>
      </c>
      <c r="CF102" s="6">
        <f t="shared" si="92"/>
        <v>-0.22027282228144679</v>
      </c>
      <c r="CG102" s="6"/>
      <c r="CH102" s="6"/>
      <c r="CI102" s="6"/>
      <c r="CJ102" s="1"/>
      <c r="CK102" s="6"/>
    </row>
    <row r="103" spans="1:89" x14ac:dyDescent="0.2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110.95838216816632</v>
      </c>
      <c r="BE103">
        <v>-33.952129795237759</v>
      </c>
      <c r="BF103" s="6">
        <f t="shared" si="98"/>
        <v>5.9862424105318235</v>
      </c>
      <c r="BG103" s="6">
        <f t="shared" si="99"/>
        <v>4.2234598660175484</v>
      </c>
      <c r="BH103" s="6">
        <f t="shared" si="81"/>
        <v>-3.461126522817537E-2</v>
      </c>
      <c r="BI103" s="6">
        <f t="shared" si="82"/>
        <v>3.461126522817537E-2</v>
      </c>
      <c r="BJ103">
        <v>123.28709129796258</v>
      </c>
      <c r="BK103">
        <v>-37.724588661375286</v>
      </c>
      <c r="BV103" s="38"/>
      <c r="BW103" s="6">
        <f t="shared" si="83"/>
        <v>1.5358897417550117</v>
      </c>
      <c r="BX103" s="9">
        <f t="shared" ca="1" si="84"/>
        <v>14.060503538872766</v>
      </c>
      <c r="BY103" s="9">
        <f t="shared" ca="1" si="85"/>
        <v>8.5861717122465677</v>
      </c>
      <c r="BZ103" s="9">
        <f t="shared" ca="1" si="86"/>
        <v>137.95618459569394</v>
      </c>
      <c r="CA103" s="6">
        <f t="shared" ca="1" si="87"/>
        <v>-32.71238864002715</v>
      </c>
      <c r="CB103" s="6">
        <f t="shared" ca="1" si="88"/>
        <v>-0.23282155693986417</v>
      </c>
      <c r="CC103" s="6">
        <f t="shared" ca="1" si="89"/>
        <v>9.8634398489510239E-3</v>
      </c>
      <c r="CD103" s="9">
        <f t="shared" si="90"/>
        <v>125.75618459569394</v>
      </c>
      <c r="CE103" s="9">
        <f t="shared" si="91"/>
        <v>-28.512388640027151</v>
      </c>
      <c r="CF103" s="6">
        <f t="shared" si="92"/>
        <v>-0.22295811709091315</v>
      </c>
      <c r="CG103" s="6"/>
      <c r="CH103" s="6"/>
      <c r="CI103" s="6"/>
      <c r="CJ103" s="1"/>
      <c r="CK103" s="6"/>
    </row>
    <row r="104" spans="1:89" x14ac:dyDescent="0.2">
      <c r="A104">
        <f t="shared" ref="A104:C113" si="100">A15</f>
        <v>1</v>
      </c>
      <c r="B104">
        <f t="shared" si="100"/>
        <v>8</v>
      </c>
      <c r="C104">
        <f t="shared" ca="1" si="100"/>
        <v>0.79</v>
      </c>
      <c r="D104" s="9">
        <f t="shared" ref="D104:D113" si="101">D15-$I$2</f>
        <v>-4</v>
      </c>
      <c r="E104" s="5">
        <f t="shared" ref="E104:E113" si="102">E15-$I$3</f>
        <v>-10</v>
      </c>
      <c r="F104" s="5">
        <f t="shared" ref="F104:F113" ca="1" si="103">($B$12-$B$31)*C104*0.65</f>
        <v>28.627625000000002</v>
      </c>
      <c r="G104">
        <f t="shared" ref="G104:G113" ca="1" si="104">E104*F104</f>
        <v>-286.27625</v>
      </c>
      <c r="H104">
        <f t="shared" ref="H104:H113" ca="1" si="105">D104*F104*-1</f>
        <v>114.51050000000001</v>
      </c>
      <c r="J104">
        <f t="shared" ref="J104:J113" ca="1" si="106">-1*C104*$B$12*0.9</f>
        <v>-42.660000000000004</v>
      </c>
      <c r="K104">
        <f t="shared" ref="K104:K113" ca="1" si="107">E104*J104</f>
        <v>426.6</v>
      </c>
      <c r="L104">
        <f t="shared" ref="L104:L113" ca="1" si="108">D104*J104*-1</f>
        <v>-170.64000000000001</v>
      </c>
      <c r="BC104">
        <v>1.7802358370342182</v>
      </c>
      <c r="BD104">
        <v>110.79434700910228</v>
      </c>
      <c r="BE104">
        <v>-34.044898684912376</v>
      </c>
      <c r="BF104" s="6">
        <f t="shared" si="98"/>
        <v>5.9850629710929582</v>
      </c>
      <c r="BG104" s="6">
        <f t="shared" si="99"/>
        <v>4.20482713405874</v>
      </c>
      <c r="BH104" s="6">
        <f t="shared" si="81"/>
        <v>-3.3431825789310032E-2</v>
      </c>
      <c r="BI104" s="6">
        <f t="shared" si="82"/>
        <v>3.3431825789310032E-2</v>
      </c>
      <c r="BJ104">
        <v>123.10483001011364</v>
      </c>
      <c r="BK104">
        <v>-37.827665205458196</v>
      </c>
      <c r="BV104" s="38"/>
      <c r="BW104" s="6">
        <f t="shared" si="83"/>
        <v>1.553343034274955</v>
      </c>
      <c r="BX104" s="9">
        <f t="shared" ca="1" si="84"/>
        <v>10.14089940583726</v>
      </c>
      <c r="BY104" s="9">
        <f t="shared" ca="1" si="85"/>
        <v>8.6876671341588718</v>
      </c>
      <c r="BZ104" s="9">
        <f t="shared" ca="1" si="86"/>
        <v>134.03658046265843</v>
      </c>
      <c r="CA104" s="6">
        <f t="shared" ca="1" si="87"/>
        <v>-32.610893218114846</v>
      </c>
      <c r="CB104" s="6">
        <f t="shared" ca="1" si="88"/>
        <v>-0.23866145131961644</v>
      </c>
      <c r="CC104" s="6">
        <f t="shared" ca="1" si="89"/>
        <v>9.5668481693030327E-3</v>
      </c>
      <c r="CD104" s="9">
        <f t="shared" si="90"/>
        <v>121.83658046265843</v>
      </c>
      <c r="CE104" s="9">
        <f t="shared" si="91"/>
        <v>-28.410893218114847</v>
      </c>
      <c r="CF104" s="6">
        <f t="shared" si="92"/>
        <v>-0.22909460315031341</v>
      </c>
      <c r="CG104" s="6"/>
      <c r="CH104" s="6"/>
      <c r="CI104" s="6"/>
      <c r="CJ104" s="1"/>
      <c r="CK104" s="6"/>
    </row>
    <row r="105" spans="1:89" x14ac:dyDescent="0.2">
      <c r="A105">
        <f t="shared" si="100"/>
        <v>2</v>
      </c>
      <c r="B105">
        <f t="shared" si="100"/>
        <v>8</v>
      </c>
      <c r="C105">
        <f t="shared" ca="1" si="100"/>
        <v>0.79</v>
      </c>
      <c r="D105" s="9">
        <f t="shared" si="101"/>
        <v>-4</v>
      </c>
      <c r="E105" s="5">
        <f t="shared" si="102"/>
        <v>-8</v>
      </c>
      <c r="F105" s="5">
        <f t="shared" ca="1" si="103"/>
        <v>28.627625000000002</v>
      </c>
      <c r="G105">
        <f t="shared" ca="1" si="104"/>
        <v>-229.02100000000002</v>
      </c>
      <c r="H105">
        <f t="shared" ca="1" si="105"/>
        <v>114.51050000000001</v>
      </c>
      <c r="J105">
        <f t="shared" ca="1" si="106"/>
        <v>-42.660000000000004</v>
      </c>
      <c r="K105">
        <f t="shared" ca="1" si="107"/>
        <v>341.28000000000003</v>
      </c>
      <c r="L105">
        <f t="shared" ca="1" si="108"/>
        <v>-170.64000000000001</v>
      </c>
      <c r="BC105">
        <v>1.7976891295541615</v>
      </c>
      <c r="BD105">
        <v>110.66546235573662</v>
      </c>
      <c r="BE105">
        <v>-34.124896148033542</v>
      </c>
      <c r="BF105" s="6">
        <f t="shared" si="98"/>
        <v>5.9840757670681795</v>
      </c>
      <c r="BG105" s="6">
        <f t="shared" si="99"/>
        <v>4.1863866375140182</v>
      </c>
      <c r="BH105" s="6">
        <f t="shared" si="81"/>
        <v>-3.2444621764531334E-2</v>
      </c>
      <c r="BI105" s="6">
        <f t="shared" si="82"/>
        <v>3.2444621764531334E-2</v>
      </c>
      <c r="BJ105">
        <v>122.96162483970735</v>
      </c>
      <c r="BK105">
        <v>-37.916551275592823</v>
      </c>
      <c r="BV105" s="38"/>
      <c r="BW105" s="6">
        <f t="shared" si="83"/>
        <v>1.5707963267948983</v>
      </c>
      <c r="BX105" s="9">
        <f t="shared" ca="1" si="84"/>
        <v>4.0843189431777205</v>
      </c>
      <c r="BY105" s="9">
        <f t="shared" ca="1" si="85"/>
        <v>8.7563975841374386</v>
      </c>
      <c r="BZ105" s="9">
        <f t="shared" ca="1" si="86"/>
        <v>127.9799999999989</v>
      </c>
      <c r="CA105" s="6">
        <f t="shared" ca="1" si="87"/>
        <v>-32.542162768136279</v>
      </c>
      <c r="CB105" s="6">
        <f t="shared" ca="1" si="88"/>
        <v>-0.24899848201132596</v>
      </c>
      <c r="CC105" s="6">
        <f t="shared" ca="1" si="89"/>
        <v>8.9262588110895214E-3</v>
      </c>
      <c r="CD105" s="9">
        <f t="shared" si="90"/>
        <v>115.77999999999889</v>
      </c>
      <c r="CE105" s="9">
        <f t="shared" si="91"/>
        <v>-28.34216276813628</v>
      </c>
      <c r="CF105" s="6">
        <f t="shared" si="92"/>
        <v>-0.24007222320023644</v>
      </c>
      <c r="CG105" s="6"/>
      <c r="CH105" s="6"/>
      <c r="CI105" s="6"/>
      <c r="CJ105" s="1"/>
      <c r="CK105" s="6"/>
    </row>
    <row r="106" spans="1:89" x14ac:dyDescent="0.2">
      <c r="A106">
        <f t="shared" si="100"/>
        <v>3</v>
      </c>
      <c r="B106">
        <f t="shared" si="100"/>
        <v>8</v>
      </c>
      <c r="C106">
        <f t="shared" ca="1" si="100"/>
        <v>0.79</v>
      </c>
      <c r="D106" s="9">
        <f t="shared" si="101"/>
        <v>-2</v>
      </c>
      <c r="E106" s="5">
        <f t="shared" si="102"/>
        <v>-10</v>
      </c>
      <c r="F106" s="5">
        <f t="shared" ca="1" si="103"/>
        <v>28.627625000000002</v>
      </c>
      <c r="G106">
        <f t="shared" ca="1" si="104"/>
        <v>-286.27625</v>
      </c>
      <c r="H106">
        <f t="shared" ca="1" si="105"/>
        <v>57.255250000000004</v>
      </c>
      <c r="J106">
        <f t="shared" ca="1" si="106"/>
        <v>-42.660000000000004</v>
      </c>
      <c r="K106">
        <f t="shared" ca="1" si="107"/>
        <v>426.6</v>
      </c>
      <c r="L106">
        <f t="shared" ca="1" si="108"/>
        <v>-85.320000000000007</v>
      </c>
      <c r="BC106">
        <v>1.8151424220741048</v>
      </c>
      <c r="BD106">
        <v>110.56243133794491</v>
      </c>
      <c r="BE106">
        <v>-34.194618507768929</v>
      </c>
      <c r="BF106" s="6">
        <f t="shared" si="98"/>
        <v>5.9832377204745111</v>
      </c>
      <c r="BG106" s="6">
        <f t="shared" si="99"/>
        <v>4.1680952984004058</v>
      </c>
      <c r="BH106" s="6">
        <f t="shared" si="81"/>
        <v>-3.1606575170862961E-2</v>
      </c>
      <c r="BI106" s="6">
        <f t="shared" si="82"/>
        <v>3.1606575170862961E-2</v>
      </c>
      <c r="BJ106">
        <v>122.84714593104991</v>
      </c>
      <c r="BK106">
        <v>-37.9940205641877</v>
      </c>
      <c r="BV106" s="38"/>
      <c r="BW106" s="6">
        <f t="shared" si="83"/>
        <v>1.5882496193148417</v>
      </c>
      <c r="BX106" s="9">
        <f t="shared" ca="1" si="84"/>
        <v>-1.9722615194805968</v>
      </c>
      <c r="BY106" s="9">
        <f t="shared" ca="1" si="85"/>
        <v>8.6876671341573584</v>
      </c>
      <c r="BZ106" s="9">
        <f t="shared" ca="1" si="86"/>
        <v>121.92341953734058</v>
      </c>
      <c r="CA106" s="6">
        <f t="shared" ca="1" si="87"/>
        <v>-32.61089321811636</v>
      </c>
      <c r="CB106" s="6">
        <f t="shared" ca="1" si="88"/>
        <v>-0.26135251867936743</v>
      </c>
      <c r="CC106" s="6">
        <f t="shared" ca="1" si="89"/>
        <v>7.9851908110282199E-3</v>
      </c>
      <c r="CD106" s="9">
        <f t="shared" si="90"/>
        <v>109.72341953734058</v>
      </c>
      <c r="CE106" s="9">
        <f t="shared" si="91"/>
        <v>-28.41089321811636</v>
      </c>
      <c r="CF106" s="6">
        <f t="shared" si="92"/>
        <v>-0.25336732786833921</v>
      </c>
      <c r="CG106" s="6"/>
      <c r="CH106" s="6"/>
      <c r="CI106" s="6"/>
      <c r="CJ106" s="1"/>
      <c r="CK106" s="6"/>
    </row>
    <row r="107" spans="1:89" x14ac:dyDescent="0.2">
      <c r="A107">
        <f t="shared" si="100"/>
        <v>4</v>
      </c>
      <c r="B107">
        <f t="shared" si="100"/>
        <v>8</v>
      </c>
      <c r="C107">
        <f t="shared" ca="1" si="100"/>
        <v>0.79</v>
      </c>
      <c r="D107" s="9">
        <f t="shared" si="101"/>
        <v>-2</v>
      </c>
      <c r="E107" s="5">
        <f t="shared" si="102"/>
        <v>-8</v>
      </c>
      <c r="F107" s="5">
        <f t="shared" ca="1" si="103"/>
        <v>28.627625000000002</v>
      </c>
      <c r="G107">
        <f t="shared" ca="1" si="104"/>
        <v>-229.02100000000002</v>
      </c>
      <c r="H107">
        <f t="shared" ca="1" si="105"/>
        <v>57.255250000000004</v>
      </c>
      <c r="J107">
        <f t="shared" ca="1" si="106"/>
        <v>-42.660000000000004</v>
      </c>
      <c r="K107">
        <f t="shared" ca="1" si="107"/>
        <v>341.28000000000003</v>
      </c>
      <c r="L107">
        <f t="shared" ca="1" si="108"/>
        <v>-85.320000000000007</v>
      </c>
      <c r="BC107">
        <v>1.8325957145940481</v>
      </c>
      <c r="BD107">
        <v>110.47880712395622</v>
      </c>
      <c r="BE107">
        <v>-34.25594797587835</v>
      </c>
      <c r="BF107" s="6">
        <f t="shared" si="98"/>
        <v>5.9825175571848517</v>
      </c>
      <c r="BG107" s="6">
        <f t="shared" si="99"/>
        <v>4.1499218425908033</v>
      </c>
      <c r="BH107" s="6">
        <f t="shared" si="81"/>
        <v>-3.0886411881203557E-2</v>
      </c>
      <c r="BI107" s="6">
        <f t="shared" si="82"/>
        <v>3.0886411881203557E-2</v>
      </c>
      <c r="BJ107">
        <v>122.75423013772912</v>
      </c>
      <c r="BK107">
        <v>-38.062164417642613</v>
      </c>
      <c r="BV107" s="38"/>
      <c r="BW107" s="6">
        <f t="shared" si="83"/>
        <v>1.605702911834785</v>
      </c>
      <c r="BX107" s="9">
        <f t="shared" ca="1" si="84"/>
        <v>-5.8918656525154347</v>
      </c>
      <c r="BY107" s="9">
        <f t="shared" ca="1" si="85"/>
        <v>8.5861717122456227</v>
      </c>
      <c r="BZ107" s="9">
        <f t="shared" ca="1" si="86"/>
        <v>118.00381540430574</v>
      </c>
      <c r="CA107" s="6">
        <f t="shared" ca="1" si="87"/>
        <v>-32.712388640028095</v>
      </c>
      <c r="CB107" s="6">
        <f t="shared" ca="1" si="88"/>
        <v>-0.27042400308269421</v>
      </c>
      <c r="CC107" s="6">
        <f t="shared" ca="1" si="89"/>
        <v>7.1935824961722461E-3</v>
      </c>
      <c r="CD107" s="9">
        <f t="shared" si="90"/>
        <v>105.80381540430574</v>
      </c>
      <c r="CE107" s="9">
        <f t="shared" si="91"/>
        <v>-28.512388640028096</v>
      </c>
      <c r="CF107" s="6">
        <f t="shared" si="92"/>
        <v>-0.26323042058652196</v>
      </c>
      <c r="CG107" s="6"/>
      <c r="CH107" s="6"/>
      <c r="CI107" s="6"/>
      <c r="CJ107" s="1"/>
      <c r="CK107" s="6"/>
    </row>
    <row r="108" spans="1:89" x14ac:dyDescent="0.2">
      <c r="A108">
        <f t="shared" si="100"/>
        <v>5</v>
      </c>
      <c r="B108">
        <f t="shared" si="100"/>
        <v>0</v>
      </c>
      <c r="C108">
        <f t="shared" ca="1" si="100"/>
        <v>0</v>
      </c>
      <c r="D108" s="9">
        <f t="shared" si="101"/>
        <v>0</v>
      </c>
      <c r="E108" s="5">
        <f t="shared" si="102"/>
        <v>-10</v>
      </c>
      <c r="F108" s="5">
        <f t="shared" ca="1" si="103"/>
        <v>0</v>
      </c>
      <c r="G108">
        <f t="shared" ca="1" si="104"/>
        <v>0</v>
      </c>
      <c r="H108">
        <f t="shared" ca="1" si="105"/>
        <v>0</v>
      </c>
      <c r="J108">
        <f t="shared" ca="1" si="106"/>
        <v>0</v>
      </c>
      <c r="K108">
        <f t="shared" ca="1" si="107"/>
        <v>0</v>
      </c>
      <c r="L108">
        <f t="shared" ca="1" si="108"/>
        <v>0</v>
      </c>
      <c r="BC108">
        <v>1.8500490071139915</v>
      </c>
      <c r="BD108">
        <v>110.41000771492178</v>
      </c>
      <c r="BE108">
        <v>-34.310331721920925</v>
      </c>
      <c r="BF108" s="6">
        <f t="shared" si="98"/>
        <v>5.981892054132306</v>
      </c>
      <c r="BG108" s="6">
        <f t="shared" si="99"/>
        <v>4.1318430470183145</v>
      </c>
      <c r="BH108" s="6">
        <f t="shared" si="81"/>
        <v>-3.026090882865784E-2</v>
      </c>
      <c r="BI108" s="6">
        <f t="shared" si="82"/>
        <v>3.026090882865784E-2</v>
      </c>
      <c r="BJ108">
        <v>122.67778634991308</v>
      </c>
      <c r="BK108">
        <v>-38.122590802134361</v>
      </c>
      <c r="BV108" s="38"/>
      <c r="BW108" s="6">
        <f t="shared" si="83"/>
        <v>1.6231562043547283</v>
      </c>
      <c r="BX108" s="9">
        <f t="shared" ca="1" si="84"/>
        <v>-7.8509242480496795</v>
      </c>
      <c r="BY108" s="9">
        <f t="shared" ca="1" si="85"/>
        <v>8.5023633787006503</v>
      </c>
      <c r="BZ108" s="9">
        <f t="shared" ca="1" si="86"/>
        <v>116.0447568087715</v>
      </c>
      <c r="CA108" s="6">
        <f t="shared" ca="1" si="87"/>
        <v>-32.796196973573068</v>
      </c>
      <c r="CB108" s="6">
        <f t="shared" ca="1" si="88"/>
        <v>-0.27543360182247428</v>
      </c>
      <c r="CC108" s="6">
        <f t="shared" ca="1" si="89"/>
        <v>6.7192636375938419E-3</v>
      </c>
      <c r="CD108" s="9">
        <f t="shared" si="90"/>
        <v>103.84475680877149</v>
      </c>
      <c r="CE108" s="9">
        <f t="shared" si="91"/>
        <v>-28.596196973573068</v>
      </c>
      <c r="CF108" s="6">
        <f t="shared" si="92"/>
        <v>-0.26871433818488044</v>
      </c>
      <c r="CG108" s="6"/>
      <c r="CH108" s="6"/>
      <c r="CI108" s="6"/>
      <c r="CJ108" s="1"/>
      <c r="CK108" s="6"/>
    </row>
    <row r="109" spans="1:89" x14ac:dyDescent="0.2">
      <c r="A109">
        <f t="shared" si="100"/>
        <v>6</v>
      </c>
      <c r="B109">
        <f t="shared" si="100"/>
        <v>0</v>
      </c>
      <c r="C109">
        <f t="shared" ca="1" si="100"/>
        <v>0</v>
      </c>
      <c r="D109" s="9">
        <f t="shared" si="101"/>
        <v>-6</v>
      </c>
      <c r="E109" s="5">
        <f t="shared" si="102"/>
        <v>-3.34</v>
      </c>
      <c r="F109" s="5">
        <f t="shared" ca="1" si="103"/>
        <v>0</v>
      </c>
      <c r="G109">
        <f t="shared" ca="1" si="104"/>
        <v>0</v>
      </c>
      <c r="H109">
        <f t="shared" ca="1" si="105"/>
        <v>0</v>
      </c>
      <c r="J109">
        <f t="shared" ca="1" si="106"/>
        <v>0</v>
      </c>
      <c r="K109">
        <f t="shared" ca="1" si="107"/>
        <v>0</v>
      </c>
      <c r="L109">
        <f t="shared" ca="1" si="108"/>
        <v>0</v>
      </c>
      <c r="BC109">
        <v>1.8675022996339348</v>
      </c>
      <c r="BD109">
        <v>110.35270613860243</v>
      </c>
      <c r="BE109">
        <v>-34.358901447748089</v>
      </c>
      <c r="BF109" s="6">
        <f t="shared" si="98"/>
        <v>5.981343624185949</v>
      </c>
      <c r="BG109" s="6">
        <f t="shared" si="99"/>
        <v>4.1138413245520145</v>
      </c>
      <c r="BH109" s="6">
        <f t="shared" si="81"/>
        <v>-2.9712478882300886E-2</v>
      </c>
      <c r="BI109" s="6">
        <f t="shared" si="82"/>
        <v>2.9712478882300886E-2</v>
      </c>
      <c r="BJ109">
        <v>122.61411793178047</v>
      </c>
      <c r="BK109">
        <v>-38.176557164164542</v>
      </c>
      <c r="BV109" s="38"/>
      <c r="BW109" s="6">
        <f t="shared" si="83"/>
        <v>1.6406094968746716</v>
      </c>
      <c r="BX109" s="9">
        <f t="shared" ca="1" si="84"/>
        <v>-9.0198239166168293</v>
      </c>
      <c r="BY109" s="9">
        <f t="shared" ca="1" si="85"/>
        <v>8.4316018871660745</v>
      </c>
      <c r="BZ109" s="9">
        <f t="shared" ca="1" si="86"/>
        <v>114.87585714020435</v>
      </c>
      <c r="CA109" s="6">
        <f t="shared" ca="1" si="87"/>
        <v>-32.866958465107643</v>
      </c>
      <c r="CB109" s="6">
        <f t="shared" ca="1" si="88"/>
        <v>-0.27866407761212658</v>
      </c>
      <c r="CC109" s="6">
        <f t="shared" ca="1" si="89"/>
        <v>6.3986408525107952E-3</v>
      </c>
      <c r="CD109" s="9">
        <f t="shared" si="90"/>
        <v>102.67585714020434</v>
      </c>
      <c r="CE109" s="9">
        <f t="shared" si="91"/>
        <v>-28.666958465107644</v>
      </c>
      <c r="CF109" s="6">
        <f t="shared" si="92"/>
        <v>-0.27226543675961579</v>
      </c>
      <c r="CG109" s="6"/>
      <c r="CH109" s="6"/>
      <c r="CI109" s="6"/>
      <c r="CJ109" s="1"/>
      <c r="CK109" s="6"/>
    </row>
    <row r="110" spans="1:89" x14ac:dyDescent="0.2">
      <c r="A110">
        <f t="shared" si="100"/>
        <v>7</v>
      </c>
      <c r="B110">
        <f t="shared" si="100"/>
        <v>0</v>
      </c>
      <c r="C110">
        <f t="shared" ca="1" si="100"/>
        <v>0</v>
      </c>
      <c r="D110" s="9">
        <f t="shared" si="101"/>
        <v>-4</v>
      </c>
      <c r="E110" s="5">
        <f t="shared" si="102"/>
        <v>10</v>
      </c>
      <c r="F110" s="5">
        <f t="shared" ca="1" si="103"/>
        <v>0</v>
      </c>
      <c r="G110">
        <f t="shared" ca="1" si="104"/>
        <v>0</v>
      </c>
      <c r="H110">
        <f t="shared" ca="1" si="105"/>
        <v>0</v>
      </c>
      <c r="J110">
        <f t="shared" ca="1" si="106"/>
        <v>0</v>
      </c>
      <c r="K110">
        <f t="shared" ca="1" si="107"/>
        <v>0</v>
      </c>
      <c r="L110">
        <f t="shared" ca="1" si="108"/>
        <v>0</v>
      </c>
      <c r="BC110">
        <v>1.8849555921538781</v>
      </c>
      <c r="BD110">
        <v>110.30444098057141</v>
      </c>
      <c r="BE110">
        <v>-34.402555415055453</v>
      </c>
      <c r="BF110" s="6">
        <f t="shared" si="98"/>
        <v>5.9808587160390774</v>
      </c>
      <c r="BG110" s="6">
        <f t="shared" si="99"/>
        <v>4.0959031238851988</v>
      </c>
      <c r="BH110" s="6">
        <f t="shared" si="81"/>
        <v>-2.9227570735429254E-2</v>
      </c>
      <c r="BI110" s="6">
        <f t="shared" si="82"/>
        <v>2.9227570735429254E-2</v>
      </c>
      <c r="BJ110">
        <v>122.56048997841268</v>
      </c>
      <c r="BK110">
        <v>-38.225061572283835</v>
      </c>
      <c r="BV110" s="38"/>
      <c r="BW110" s="6">
        <f t="shared" si="83"/>
        <v>1.6580627893946149</v>
      </c>
      <c r="BX110" s="9">
        <f t="shared" ca="1" si="84"/>
        <v>-9.8184936227936959</v>
      </c>
      <c r="BY110" s="9">
        <f t="shared" ca="1" si="85"/>
        <v>8.369132827808599</v>
      </c>
      <c r="BZ110" s="9">
        <f t="shared" ca="1" si="86"/>
        <v>114.07718743402748</v>
      </c>
      <c r="CA110" s="6">
        <f t="shared" ca="1" si="87"/>
        <v>-32.929427524465119</v>
      </c>
      <c r="CB110" s="6">
        <f t="shared" ca="1" si="88"/>
        <v>-0.28102017527945916</v>
      </c>
      <c r="CC110" s="6">
        <f t="shared" ca="1" si="89"/>
        <v>6.1572858464992164E-3</v>
      </c>
      <c r="CD110" s="9">
        <f t="shared" si="90"/>
        <v>101.87718743402748</v>
      </c>
      <c r="CE110" s="9">
        <f t="shared" si="91"/>
        <v>-28.72942752446512</v>
      </c>
      <c r="CF110" s="6">
        <f t="shared" si="92"/>
        <v>-0.27486288943295994</v>
      </c>
      <c r="CG110" s="6"/>
      <c r="CH110" s="6"/>
      <c r="CI110" s="6"/>
      <c r="CJ110" s="1"/>
      <c r="CK110" s="6"/>
    </row>
    <row r="111" spans="1:89" x14ac:dyDescent="0.2">
      <c r="A111">
        <f t="shared" si="100"/>
        <v>8</v>
      </c>
      <c r="B111">
        <f t="shared" si="100"/>
        <v>0</v>
      </c>
      <c r="C111">
        <f t="shared" ca="1" si="100"/>
        <v>0</v>
      </c>
      <c r="D111" s="9">
        <f t="shared" si="101"/>
        <v>4</v>
      </c>
      <c r="E111" s="5">
        <f t="shared" si="102"/>
        <v>10</v>
      </c>
      <c r="F111" s="5">
        <f t="shared" ca="1" si="103"/>
        <v>0</v>
      </c>
      <c r="G111">
        <f t="shared" ca="1" si="104"/>
        <v>0</v>
      </c>
      <c r="H111">
        <f t="shared" ca="1" si="105"/>
        <v>0</v>
      </c>
      <c r="J111">
        <f t="shared" ca="1" si="106"/>
        <v>0</v>
      </c>
      <c r="K111">
        <f t="shared" ca="1" si="107"/>
        <v>0</v>
      </c>
      <c r="L111">
        <f t="shared" ca="1" si="108"/>
        <v>0</v>
      </c>
      <c r="BC111">
        <v>1.9024088846738214</v>
      </c>
      <c r="BD111">
        <v>110.26336073173083</v>
      </c>
      <c r="BE111">
        <v>-34.442016045636947</v>
      </c>
      <c r="BF111" s="6">
        <f t="shared" si="98"/>
        <v>5.9804267267177273</v>
      </c>
      <c r="BG111" s="6">
        <f t="shared" si="99"/>
        <v>4.0780178420439057</v>
      </c>
      <c r="BH111" s="6">
        <f t="shared" si="81"/>
        <v>-2.8795581414079226E-2</v>
      </c>
      <c r="BI111" s="6">
        <f t="shared" si="82"/>
        <v>2.8795581414079226E-2</v>
      </c>
      <c r="BJ111">
        <v>122.5148452574787</v>
      </c>
      <c r="BK111">
        <v>-38.268906717374385</v>
      </c>
      <c r="BV111" s="38"/>
      <c r="BW111" s="6">
        <f t="shared" si="83"/>
        <v>1.6755160819145583</v>
      </c>
      <c r="BX111" s="9">
        <f t="shared" ca="1" si="84"/>
        <v>-10.694653014912078</v>
      </c>
      <c r="BY111" s="9">
        <f t="shared" ca="1" si="85"/>
        <v>8.1872247733649459</v>
      </c>
      <c r="BZ111" s="9">
        <f t="shared" ca="1" si="86"/>
        <v>113.2010280419091</v>
      </c>
      <c r="CA111" s="6">
        <f t="shared" ca="1" si="87"/>
        <v>-33.111335578908772</v>
      </c>
      <c r="CB111" s="6">
        <f t="shared" ca="1" si="88"/>
        <v>-0.28456222087679367</v>
      </c>
      <c r="CC111" s="6">
        <f t="shared" ca="1" si="89"/>
        <v>5.7692587803738196E-3</v>
      </c>
      <c r="CD111" s="9">
        <f t="shared" si="90"/>
        <v>101.00102804190909</v>
      </c>
      <c r="CE111" s="9">
        <f t="shared" si="91"/>
        <v>-28.911335578908773</v>
      </c>
      <c r="CF111" s="6">
        <f t="shared" si="92"/>
        <v>-0.27879296209641985</v>
      </c>
      <c r="CG111" s="6"/>
      <c r="CH111" s="6"/>
      <c r="CI111" s="6"/>
      <c r="CJ111" s="1"/>
      <c r="CK111" s="6"/>
    </row>
    <row r="112" spans="1:89" x14ac:dyDescent="0.2">
      <c r="A112">
        <f t="shared" si="100"/>
        <v>9</v>
      </c>
      <c r="B112">
        <f t="shared" si="100"/>
        <v>0</v>
      </c>
      <c r="C112">
        <f t="shared" ca="1" si="100"/>
        <v>0</v>
      </c>
      <c r="D112" s="9">
        <f t="shared" si="101"/>
        <v>-4</v>
      </c>
      <c r="E112" s="5">
        <f t="shared" si="102"/>
        <v>-10</v>
      </c>
      <c r="F112" s="5">
        <f t="shared" ca="1" si="103"/>
        <v>0</v>
      </c>
      <c r="G112">
        <f t="shared" ca="1" si="104"/>
        <v>0</v>
      </c>
      <c r="H112">
        <f t="shared" ca="1" si="105"/>
        <v>0</v>
      </c>
      <c r="J112">
        <f t="shared" ca="1" si="106"/>
        <v>0</v>
      </c>
      <c r="K112">
        <f t="shared" ca="1" si="107"/>
        <v>0</v>
      </c>
      <c r="L112">
        <f t="shared" ca="1" si="108"/>
        <v>0</v>
      </c>
      <c r="BC112">
        <v>1.9198621771937647</v>
      </c>
      <c r="BD112">
        <v>110.22805186575081</v>
      </c>
      <c r="BE112">
        <v>-34.477871203024975</v>
      </c>
      <c r="BF112" s="6">
        <f t="shared" si="98"/>
        <v>5.9800392456567533</v>
      </c>
      <c r="BG112" s="6">
        <f t="shared" si="99"/>
        <v>4.0601770684629885</v>
      </c>
      <c r="BH112" s="6">
        <f t="shared" si="81"/>
        <v>-2.8408100353105148E-2</v>
      </c>
      <c r="BI112" s="6">
        <f t="shared" si="82"/>
        <v>2.8408100353105148E-2</v>
      </c>
      <c r="BJ112">
        <v>122.47561318416757</v>
      </c>
      <c r="BK112">
        <v>-38.30874578113886</v>
      </c>
      <c r="BV112" s="38"/>
      <c r="BW112" s="6">
        <f t="shared" si="83"/>
        <v>1.6929693744345016</v>
      </c>
      <c r="BX112" s="9">
        <f t="shared" ca="1" si="84"/>
        <v>-11.505915337116448</v>
      </c>
      <c r="BY112" s="9">
        <f t="shared" ca="1" si="85"/>
        <v>7.9379898810699245</v>
      </c>
      <c r="BZ112" s="9">
        <f t="shared" ca="1" si="86"/>
        <v>112.38976571970473</v>
      </c>
      <c r="CA112" s="6">
        <f t="shared" ca="1" si="87"/>
        <v>-33.360570471203793</v>
      </c>
      <c r="CB112" s="6">
        <f t="shared" ca="1" si="88"/>
        <v>-0.28854532189154397</v>
      </c>
      <c r="CC112" s="6">
        <f t="shared" ca="1" si="89"/>
        <v>5.3165060473187031E-3</v>
      </c>
      <c r="CD112" s="9">
        <f t="shared" si="90"/>
        <v>100.18976571970472</v>
      </c>
      <c r="CE112" s="9">
        <f t="shared" si="91"/>
        <v>-29.160570471203794</v>
      </c>
      <c r="CF112" s="6">
        <f t="shared" si="92"/>
        <v>-0.28322881584422527</v>
      </c>
      <c r="CG112" s="6"/>
      <c r="CH112" s="6"/>
      <c r="CI112" s="6"/>
      <c r="CJ112" s="1"/>
      <c r="CK112" s="6"/>
    </row>
    <row r="113" spans="1:89" x14ac:dyDescent="0.2">
      <c r="A113">
        <f t="shared" si="100"/>
        <v>10</v>
      </c>
      <c r="B113">
        <f t="shared" si="100"/>
        <v>0</v>
      </c>
      <c r="C113">
        <f t="shared" ca="1" si="100"/>
        <v>0</v>
      </c>
      <c r="D113" s="9">
        <f t="shared" si="101"/>
        <v>4</v>
      </c>
      <c r="E113" s="5">
        <f t="shared" si="102"/>
        <v>-10</v>
      </c>
      <c r="F113" s="5">
        <f t="shared" ca="1" si="103"/>
        <v>0</v>
      </c>
      <c r="G113">
        <f t="shared" ca="1" si="104"/>
        <v>0</v>
      </c>
      <c r="H113">
        <f t="shared" ca="1" si="105"/>
        <v>0</v>
      </c>
      <c r="J113">
        <f t="shared" ca="1" si="106"/>
        <v>0</v>
      </c>
      <c r="K113">
        <f t="shared" ca="1" si="107"/>
        <v>0</v>
      </c>
      <c r="L113">
        <f t="shared" ca="1" si="108"/>
        <v>0</v>
      </c>
      <c r="BC113">
        <v>1.937315469713708</v>
      </c>
      <c r="BD113">
        <v>110.19742076581285</v>
      </c>
      <c r="BE113">
        <v>-34.51060434212603</v>
      </c>
      <c r="BF113" s="6">
        <f t="shared" si="98"/>
        <v>5.9796895185602086</v>
      </c>
      <c r="BG113" s="6">
        <f t="shared" si="99"/>
        <v>4.0423740488465008</v>
      </c>
      <c r="BH113" s="6">
        <f t="shared" si="81"/>
        <v>-2.8058373256560465E-2</v>
      </c>
      <c r="BI113" s="6">
        <f t="shared" si="82"/>
        <v>2.8058373256560465E-2</v>
      </c>
      <c r="BJ113">
        <v>122.44157862868094</v>
      </c>
      <c r="BK113">
        <v>-38.345115935695588</v>
      </c>
      <c r="BV113" s="38"/>
      <c r="BW113" s="6">
        <f t="shared" si="83"/>
        <v>1.7104226669544449</v>
      </c>
      <c r="BX113" s="9">
        <f t="shared" ca="1" si="84"/>
        <v>-12.05406206312631</v>
      </c>
      <c r="BY113" s="9">
        <f t="shared" ca="1" si="85"/>
        <v>7.7426481621593339</v>
      </c>
      <c r="BZ113" s="9">
        <f t="shared" ca="1" si="86"/>
        <v>111.84161899369487</v>
      </c>
      <c r="CA113" s="6">
        <f t="shared" ca="1" si="87"/>
        <v>-33.555912190114384</v>
      </c>
      <c r="CB113" s="6">
        <f t="shared" ca="1" si="88"/>
        <v>-0.29148490158296886</v>
      </c>
      <c r="CC113" s="6">
        <f t="shared" ca="1" si="89"/>
        <v>4.9757980435794491E-3</v>
      </c>
      <c r="CD113" s="9">
        <f t="shared" si="90"/>
        <v>99.641618993694863</v>
      </c>
      <c r="CE113" s="9">
        <f t="shared" si="91"/>
        <v>-29.355912190114385</v>
      </c>
      <c r="CF113" s="6">
        <f t="shared" si="92"/>
        <v>-0.28650910353938941</v>
      </c>
      <c r="CG113" s="6"/>
      <c r="CH113" s="6"/>
      <c r="CI113" s="6"/>
      <c r="CJ113" s="1"/>
      <c r="CK113" s="6"/>
    </row>
    <row r="114" spans="1:89" x14ac:dyDescent="0.2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1.9547687622336514</v>
      </c>
      <c r="BD114">
        <v>110.17061102162646</v>
      </c>
      <c r="BE114">
        <v>-34.540616870023541</v>
      </c>
      <c r="BF114" s="6">
        <f t="shared" si="98"/>
        <v>5.979372060283966</v>
      </c>
      <c r="BG114" s="6">
        <f t="shared" si="99"/>
        <v>4.0246032980503141</v>
      </c>
      <c r="BH114" s="6">
        <f t="shared" si="81"/>
        <v>-2.7740914980317836E-2</v>
      </c>
      <c r="BI114" s="6">
        <f t="shared" si="82"/>
        <v>2.7740914980317836E-2</v>
      </c>
      <c r="BJ114">
        <v>122.41179002402939</v>
      </c>
      <c r="BK114">
        <v>-38.378463188915042</v>
      </c>
      <c r="BV114" s="38"/>
      <c r="BW114" s="6">
        <f t="shared" si="83"/>
        <v>1.7278759594743882</v>
      </c>
      <c r="BX114" s="9">
        <f t="shared" ca="1" si="84"/>
        <v>-12.441198599797488</v>
      </c>
      <c r="BY114" s="9">
        <f t="shared" ca="1" si="85"/>
        <v>7.5851648355572792</v>
      </c>
      <c r="BZ114" s="9">
        <f t="shared" ca="1" si="86"/>
        <v>111.45448245702369</v>
      </c>
      <c r="CA114" s="6">
        <f t="shared" ca="1" si="87"/>
        <v>-33.713395516716439</v>
      </c>
      <c r="CB114" s="6">
        <f t="shared" ca="1" si="88"/>
        <v>-0.29373575899118459</v>
      </c>
      <c r="CC114" s="6">
        <f t="shared" ca="1" si="89"/>
        <v>4.7112311635507664E-3</v>
      </c>
      <c r="CD114" s="9">
        <f t="shared" si="90"/>
        <v>99.254482457023684</v>
      </c>
      <c r="CE114" s="9">
        <f t="shared" si="91"/>
        <v>-29.513395516716439</v>
      </c>
      <c r="CF114" s="6">
        <f t="shared" si="92"/>
        <v>-0.28902452782763383</v>
      </c>
      <c r="CG114" s="6"/>
      <c r="CH114" s="6"/>
      <c r="CI114" s="6"/>
      <c r="CJ114" s="1"/>
      <c r="CK114" s="6"/>
    </row>
    <row r="115" spans="1:89" x14ac:dyDescent="0.2">
      <c r="A115" s="8" t="s">
        <v>99</v>
      </c>
      <c r="B115" s="5">
        <f ca="1">B100+F114</f>
        <v>910.1105</v>
      </c>
      <c r="J115">
        <f ca="1">J114</f>
        <v>-170.64000000000001</v>
      </c>
      <c r="BC115">
        <v>1.9722220547535947</v>
      </c>
      <c r="BD115">
        <v>110.14694454168702</v>
      </c>
      <c r="BE115">
        <v>-34.568244995964349</v>
      </c>
      <c r="BF115" s="6">
        <f t="shared" si="98"/>
        <v>5.9790823707008123</v>
      </c>
      <c r="BG115" s="6">
        <f t="shared" si="99"/>
        <v>4.0068603159472174</v>
      </c>
      <c r="BH115" s="6">
        <f t="shared" si="81"/>
        <v>-2.7451225397164155E-2</v>
      </c>
      <c r="BI115" s="6">
        <f t="shared" si="82"/>
        <v>2.7451225397164155E-2</v>
      </c>
      <c r="BJ115">
        <v>122.38549393520779</v>
      </c>
      <c r="BK115">
        <v>-38.409161106627053</v>
      </c>
      <c r="BV115" s="38"/>
      <c r="BW115" s="6">
        <f t="shared" si="83"/>
        <v>1.7453292519943315</v>
      </c>
      <c r="BX115" s="9">
        <f t="shared" ca="1" si="84"/>
        <v>-12.724315534203114</v>
      </c>
      <c r="BY115" s="9">
        <f t="shared" ca="1" si="85"/>
        <v>7.4553579325116175</v>
      </c>
      <c r="BZ115" s="9">
        <f t="shared" ca="1" si="86"/>
        <v>111.17136552261806</v>
      </c>
      <c r="CA115" s="6">
        <f t="shared" ca="1" si="87"/>
        <v>-33.8432024197621</v>
      </c>
      <c r="CB115" s="6">
        <f t="shared" ca="1" si="88"/>
        <v>-0.29551031024533908</v>
      </c>
      <c r="CC115" s="6">
        <f t="shared" ca="1" si="89"/>
        <v>4.5004404875371717E-3</v>
      </c>
      <c r="CD115" s="9">
        <f t="shared" si="90"/>
        <v>98.971365522618058</v>
      </c>
      <c r="CE115" s="9">
        <f t="shared" si="91"/>
        <v>-29.643202419762101</v>
      </c>
      <c r="CF115" s="6">
        <f t="shared" si="92"/>
        <v>-0.29100986975780191</v>
      </c>
      <c r="CG115" s="6"/>
      <c r="CH115" s="6"/>
      <c r="CI115" s="6"/>
      <c r="CJ115" s="1"/>
      <c r="CK115" s="6"/>
    </row>
    <row r="116" spans="1:89" x14ac:dyDescent="0.2">
      <c r="A116" s="8" t="s">
        <v>100</v>
      </c>
      <c r="B116" s="5">
        <f ca="1">B101+G114</f>
        <v>-1030.5945000000002</v>
      </c>
      <c r="C116">
        <f ca="1">B116/12</f>
        <v>-85.882875000000013</v>
      </c>
      <c r="J116">
        <f ca="1">K114</f>
        <v>1535.76</v>
      </c>
      <c r="K116">
        <f ca="1">J116/12</f>
        <v>127.98</v>
      </c>
      <c r="BC116">
        <v>1.989675347273538</v>
      </c>
      <c r="BD116">
        <v>110.12587893557465</v>
      </c>
      <c r="BE116">
        <v>-34.593772585551072</v>
      </c>
      <c r="BF116" s="6">
        <f t="shared" si="98"/>
        <v>5.978816723085064</v>
      </c>
      <c r="BG116" s="6">
        <f t="shared" si="99"/>
        <v>3.9891413758115259</v>
      </c>
      <c r="BH116" s="6">
        <f t="shared" si="81"/>
        <v>-2.7185577781415837E-2</v>
      </c>
      <c r="BI116" s="6">
        <f t="shared" si="82"/>
        <v>2.7185577781415837E-2</v>
      </c>
      <c r="BJ116">
        <v>122.36208770619405</v>
      </c>
      <c r="BK116">
        <v>-38.437525095056749</v>
      </c>
      <c r="BV116" s="38"/>
      <c r="BW116" s="6">
        <f t="shared" si="83"/>
        <v>1.7627825445142749</v>
      </c>
      <c r="BX116" s="9">
        <f t="shared" ca="1" si="84"/>
        <v>-12.937298888654851</v>
      </c>
      <c r="BY116" s="9">
        <f t="shared" ca="1" si="85"/>
        <v>7.3464305570359585</v>
      </c>
      <c r="BZ116" s="9">
        <f t="shared" ca="1" si="86"/>
        <v>110.95838216816632</v>
      </c>
      <c r="CA116" s="6">
        <f t="shared" ca="1" si="87"/>
        <v>-33.952129795237759</v>
      </c>
      <c r="CB116" s="6">
        <f t="shared" ca="1" si="88"/>
        <v>-0.29694289664776291</v>
      </c>
      <c r="CC116" s="6">
        <f t="shared" ca="1" si="89"/>
        <v>4.3288730111054616E-3</v>
      </c>
      <c r="CD116" s="9">
        <f t="shared" si="90"/>
        <v>98.758382168166321</v>
      </c>
      <c r="CE116" s="9">
        <f t="shared" si="91"/>
        <v>-29.75212979523776</v>
      </c>
      <c r="CF116" s="6">
        <f t="shared" si="92"/>
        <v>-0.29261402363665745</v>
      </c>
      <c r="CG116" s="6"/>
      <c r="CH116" s="6"/>
      <c r="CI116" s="6"/>
      <c r="CJ116" s="1"/>
      <c r="CK116" s="6"/>
    </row>
    <row r="117" spans="1:89" x14ac:dyDescent="0.2">
      <c r="A117" s="8" t="s">
        <v>101</v>
      </c>
      <c r="B117" s="5">
        <f ca="1">B102+H114</f>
        <v>343.53149999999999</v>
      </c>
      <c r="C117">
        <f ca="1">B117/12</f>
        <v>28.627624999999998</v>
      </c>
      <c r="J117">
        <f ca="1">L114</f>
        <v>-511.92</v>
      </c>
      <c r="K117">
        <f ca="1">J117/12</f>
        <v>-42.660000000000004</v>
      </c>
      <c r="BC117">
        <v>2.0071286397934811</v>
      </c>
      <c r="BD117">
        <v>110.10697624548926</v>
      </c>
      <c r="BE117">
        <v>-34.61744109303816</v>
      </c>
      <c r="BF117" s="6">
        <f t="shared" si="98"/>
        <v>5.9785720043611743</v>
      </c>
      <c r="BG117" s="6">
        <f t="shared" si="99"/>
        <v>3.9714433645676932</v>
      </c>
      <c r="BH117" s="6">
        <f t="shared" si="81"/>
        <v>-2.6940859057526193E-2</v>
      </c>
      <c r="BI117" s="6">
        <f t="shared" si="82"/>
        <v>2.6940859057526193E-2</v>
      </c>
      <c r="BJ117">
        <v>122.34108471721029</v>
      </c>
      <c r="BK117">
        <v>-38.463823436709063</v>
      </c>
      <c r="BV117" s="38"/>
      <c r="BW117" s="6">
        <f t="shared" si="83"/>
        <v>1.7802358370342182</v>
      </c>
      <c r="BX117" s="9">
        <f t="shared" ca="1" si="84"/>
        <v>-13.101334047718893</v>
      </c>
      <c r="BY117" s="9">
        <f t="shared" ca="1" si="85"/>
        <v>7.2536616673613423</v>
      </c>
      <c r="BZ117" s="9">
        <f t="shared" ca="1" si="86"/>
        <v>110.79434700910228</v>
      </c>
      <c r="CA117" s="6">
        <f t="shared" ca="1" si="87"/>
        <v>-34.044898684912376</v>
      </c>
      <c r="CB117" s="6">
        <f t="shared" ca="1" si="88"/>
        <v>-0.29812233608662814</v>
      </c>
      <c r="CC117" s="6">
        <f t="shared" ca="1" si="89"/>
        <v>4.1866996896101627E-3</v>
      </c>
      <c r="CD117" s="9">
        <f t="shared" si="90"/>
        <v>98.594347009102279</v>
      </c>
      <c r="CE117" s="9">
        <f t="shared" si="91"/>
        <v>-29.844898684912376</v>
      </c>
      <c r="CF117" s="6">
        <f t="shared" si="92"/>
        <v>-0.29393563639701797</v>
      </c>
      <c r="CG117" s="6"/>
      <c r="CH117" s="6"/>
      <c r="CI117" s="6"/>
      <c r="CJ117" s="1"/>
      <c r="CK117" s="6"/>
    </row>
    <row r="118" spans="1:89" x14ac:dyDescent="0.2">
      <c r="BC118">
        <v>2.0245819323134242</v>
      </c>
      <c r="BD118">
        <v>110.08987970794762</v>
      </c>
      <c r="BE118">
        <v>-34.639457322739226</v>
      </c>
      <c r="BF118" s="6">
        <f t="shared" si="98"/>
        <v>5.9783455930072869</v>
      </c>
      <c r="BG118" s="6">
        <f t="shared" si="99"/>
        <v>3.9537636606938626</v>
      </c>
      <c r="BH118" s="6">
        <f t="shared" si="81"/>
        <v>-2.6714447703638733E-2</v>
      </c>
      <c r="BI118" s="6">
        <f t="shared" si="82"/>
        <v>2.6714447703638733E-2</v>
      </c>
      <c r="BJ118">
        <v>122.32208856438623</v>
      </c>
      <c r="BK118">
        <v>-38.488285914154694</v>
      </c>
      <c r="BV118" s="38"/>
      <c r="BW118" s="6">
        <f t="shared" si="83"/>
        <v>1.7976891295541615</v>
      </c>
      <c r="BX118" s="9">
        <f t="shared" ca="1" si="84"/>
        <v>-13.230218701084553</v>
      </c>
      <c r="BY118" s="9">
        <f t="shared" ca="1" si="85"/>
        <v>7.1736642042401755</v>
      </c>
      <c r="BZ118" s="9">
        <f t="shared" ca="1" si="86"/>
        <v>110.66546235573662</v>
      </c>
      <c r="CA118" s="6">
        <f t="shared" ca="1" si="87"/>
        <v>-34.124896148033542</v>
      </c>
      <c r="CB118" s="6">
        <f t="shared" ca="1" si="88"/>
        <v>-0.29910954011140656</v>
      </c>
      <c r="CC118" s="6">
        <f t="shared" ca="1" si="89"/>
        <v>4.0670673026210191E-3</v>
      </c>
      <c r="CD118" s="9">
        <f t="shared" si="90"/>
        <v>98.465462355736619</v>
      </c>
      <c r="CE118" s="9">
        <f t="shared" si="91"/>
        <v>-29.924896148033543</v>
      </c>
      <c r="CF118" s="6">
        <f t="shared" si="92"/>
        <v>-0.29504247280878554</v>
      </c>
      <c r="CG118" s="6"/>
      <c r="CH118" s="6"/>
      <c r="CI118" s="6"/>
      <c r="CJ118" s="1"/>
      <c r="CK118" s="6"/>
    </row>
    <row r="119" spans="1:89" x14ac:dyDescent="0.2">
      <c r="A119" s="8" t="s">
        <v>8</v>
      </c>
      <c r="B119">
        <f ca="1">B117/B115</f>
        <v>0.37746130826971008</v>
      </c>
      <c r="J119">
        <f ca="1">J117/J115</f>
        <v>3</v>
      </c>
      <c r="BC119">
        <v>2.0420352248333673</v>
      </c>
      <c r="BD119">
        <v>110.07429626441888</v>
      </c>
      <c r="BE119">
        <v>-34.659999551548353</v>
      </c>
      <c r="BF119" s="6">
        <f t="shared" si="98"/>
        <v>5.9781352646812369</v>
      </c>
      <c r="BG119" s="6">
        <f t="shared" si="99"/>
        <v>3.9361000398478696</v>
      </c>
      <c r="BH119" s="6">
        <f t="shared" si="81"/>
        <v>-2.6504119377588786E-2</v>
      </c>
      <c r="BI119" s="6">
        <f t="shared" si="82"/>
        <v>2.6504119377588786E-2</v>
      </c>
      <c r="BJ119">
        <v>122.30477362713208</v>
      </c>
      <c r="BK119">
        <v>-38.511110612831501</v>
      </c>
      <c r="BV119" s="38"/>
      <c r="BW119" s="6">
        <f t="shared" si="83"/>
        <v>1.8151424220741048</v>
      </c>
      <c r="BX119" s="9">
        <f t="shared" ca="1" si="84"/>
        <v>-13.33324971887626</v>
      </c>
      <c r="BY119" s="9">
        <f t="shared" ca="1" si="85"/>
        <v>7.1039418445047886</v>
      </c>
      <c r="BZ119" s="9">
        <f t="shared" ca="1" si="86"/>
        <v>110.56243133794491</v>
      </c>
      <c r="CA119" s="6">
        <f t="shared" ca="1" si="87"/>
        <v>-34.194618507768929</v>
      </c>
      <c r="CB119" s="6">
        <f t="shared" ca="1" si="88"/>
        <v>-0.29994758670507504</v>
      </c>
      <c r="CC119" s="6">
        <f t="shared" ca="1" si="89"/>
        <v>3.9650648427295709E-3</v>
      </c>
      <c r="CD119" s="9">
        <f t="shared" si="90"/>
        <v>98.362431337944912</v>
      </c>
      <c r="CE119" s="9">
        <f t="shared" si="91"/>
        <v>-29.99461850776893</v>
      </c>
      <c r="CF119" s="6">
        <f t="shared" si="92"/>
        <v>-0.29598252186234547</v>
      </c>
      <c r="CG119" s="6"/>
      <c r="CH119" s="6"/>
      <c r="CI119" s="6"/>
      <c r="CJ119" s="1"/>
      <c r="CK119" s="6"/>
    </row>
    <row r="120" spans="1:89" x14ac:dyDescent="0.2">
      <c r="A120" s="8" t="s">
        <v>9</v>
      </c>
      <c r="B120">
        <f ca="1">B116/B115</f>
        <v>-1.1323839248091305</v>
      </c>
      <c r="J120">
        <f ca="1">J116/J115</f>
        <v>-9</v>
      </c>
      <c r="BC120">
        <v>2.0594885173533104</v>
      </c>
      <c r="BD120">
        <v>110.0599832616753</v>
      </c>
      <c r="BE120">
        <v>-34.679222408969238</v>
      </c>
      <c r="BF120" s="6">
        <f t="shared" si="98"/>
        <v>5.9779391184925954</v>
      </c>
      <c r="BG120" s="6">
        <f t="shared" si="99"/>
        <v>3.918450601139285</v>
      </c>
      <c r="BH120" s="6">
        <f t="shared" si="81"/>
        <v>-2.6307973188947287E-2</v>
      </c>
      <c r="BI120" s="6">
        <f t="shared" si="82"/>
        <v>2.6307973188947287E-2</v>
      </c>
      <c r="BJ120">
        <v>122.28887029075032</v>
      </c>
      <c r="BK120">
        <v>-38.532469343299155</v>
      </c>
      <c r="BV120" s="38"/>
      <c r="BW120" s="6">
        <f t="shared" si="83"/>
        <v>1.8325957145940481</v>
      </c>
      <c r="BX120" s="9">
        <f t="shared" ca="1" si="84"/>
        <v>-13.416873932864959</v>
      </c>
      <c r="BY120" s="9">
        <f t="shared" ca="1" si="85"/>
        <v>7.0426123763953683</v>
      </c>
      <c r="BZ120" s="9">
        <f t="shared" ca="1" si="86"/>
        <v>110.47880712395622</v>
      </c>
      <c r="CA120" s="6">
        <f t="shared" ca="1" si="87"/>
        <v>-34.25594797587835</v>
      </c>
      <c r="CB120" s="6">
        <f t="shared" ca="1" si="88"/>
        <v>-0.30066774999473495</v>
      </c>
      <c r="CC120" s="6">
        <f t="shared" ca="1" si="89"/>
        <v>3.8770885499396219E-3</v>
      </c>
      <c r="CD120" s="9">
        <f t="shared" si="90"/>
        <v>98.278807123956213</v>
      </c>
      <c r="CE120" s="9">
        <f t="shared" si="91"/>
        <v>-30.05594797587835</v>
      </c>
      <c r="CF120" s="6">
        <f t="shared" si="92"/>
        <v>-0.29679066144479532</v>
      </c>
      <c r="CG120" s="6"/>
      <c r="CH120" s="6"/>
      <c r="CI120" s="6"/>
      <c r="CJ120" s="1"/>
      <c r="CK120" s="6"/>
    </row>
    <row r="121" spans="1:89" x14ac:dyDescent="0.2">
      <c r="BC121">
        <v>2.0769418098732535</v>
      </c>
      <c r="BD121">
        <v>110.04673824246643</v>
      </c>
      <c r="BE121">
        <v>-34.697260805171055</v>
      </c>
      <c r="BF121" s="6">
        <f t="shared" si="98"/>
        <v>5.9777555188267737</v>
      </c>
      <c r="BG121" s="6">
        <f t="shared" si="99"/>
        <v>3.9008137089535202</v>
      </c>
      <c r="BH121" s="6">
        <f t="shared" si="81"/>
        <v>-2.6124373523125577E-2</v>
      </c>
      <c r="BI121" s="6">
        <f t="shared" si="82"/>
        <v>2.6124373523125577E-2</v>
      </c>
      <c r="BJ121">
        <v>122.27415360274048</v>
      </c>
      <c r="BK121">
        <v>-38.552512005745619</v>
      </c>
      <c r="BV121" s="38"/>
      <c r="BW121" s="6">
        <f t="shared" si="83"/>
        <v>1.8500490071139915</v>
      </c>
      <c r="BX121" s="9">
        <f t="shared" ca="1" si="84"/>
        <v>-13.4856733418994</v>
      </c>
      <c r="BY121" s="9">
        <f t="shared" ca="1" si="85"/>
        <v>6.9882286303527934</v>
      </c>
      <c r="BZ121" s="9">
        <f t="shared" ca="1" si="86"/>
        <v>110.41000771492178</v>
      </c>
      <c r="CA121" s="6">
        <f t="shared" ca="1" si="87"/>
        <v>-34.310331721920925</v>
      </c>
      <c r="CB121" s="6">
        <f t="shared" ca="1" si="88"/>
        <v>-0.30129325304728061</v>
      </c>
      <c r="CC121" s="6">
        <f t="shared" ca="1" si="89"/>
        <v>3.8004385152037861E-3</v>
      </c>
      <c r="CD121" s="9">
        <f t="shared" si="90"/>
        <v>98.210007714921773</v>
      </c>
      <c r="CE121" s="9">
        <f t="shared" si="91"/>
        <v>-30.110331721920925</v>
      </c>
      <c r="CF121" s="6">
        <f t="shared" si="92"/>
        <v>-0.29749281453207682</v>
      </c>
      <c r="CG121" s="6"/>
      <c r="CH121" s="6"/>
      <c r="CI121" s="6"/>
      <c r="CJ121" s="1"/>
      <c r="CK121" s="6"/>
    </row>
    <row r="122" spans="1:89" x14ac:dyDescent="0.2">
      <c r="BC122">
        <v>2.0943951023931966</v>
      </c>
      <c r="BD122">
        <v>110.03439101151912</v>
      </c>
      <c r="BE122">
        <v>-34.714233110372</v>
      </c>
      <c r="BF122" s="6">
        <f t="shared" si="98"/>
        <v>5.9775830490313009</v>
      </c>
      <c r="BG122" s="6">
        <f t="shared" si="99"/>
        <v>3.8831879466381043</v>
      </c>
      <c r="BH122" s="6">
        <f t="shared" si="81"/>
        <v>-2.595190372765277E-2</v>
      </c>
      <c r="BI122" s="6">
        <f t="shared" si="82"/>
        <v>2.595190372765277E-2</v>
      </c>
      <c r="BJ122">
        <v>122.26043445724346</v>
      </c>
      <c r="BK122">
        <v>-38.571370122635557</v>
      </c>
      <c r="BV122" s="38"/>
      <c r="BW122" s="6">
        <f t="shared" si="83"/>
        <v>1.8675022996339348</v>
      </c>
      <c r="BX122" s="9">
        <f t="shared" ca="1" si="84"/>
        <v>-13.542974918218746</v>
      </c>
      <c r="BY122" s="9">
        <f t="shared" ca="1" si="85"/>
        <v>6.9396589045256292</v>
      </c>
      <c r="BZ122" s="9">
        <f t="shared" ca="1" si="86"/>
        <v>110.35270613860243</v>
      </c>
      <c r="CA122" s="6">
        <f t="shared" ca="1" si="87"/>
        <v>-34.358901447748089</v>
      </c>
      <c r="CB122" s="6">
        <f t="shared" ca="1" si="88"/>
        <v>-0.30184168299363762</v>
      </c>
      <c r="CC122" s="6">
        <f t="shared" ca="1" si="89"/>
        <v>3.73305471070845E-3</v>
      </c>
      <c r="CD122" s="9">
        <f t="shared" si="90"/>
        <v>98.152706138602426</v>
      </c>
      <c r="CE122" s="9">
        <f t="shared" si="91"/>
        <v>-30.158901447748089</v>
      </c>
      <c r="CF122" s="6">
        <f t="shared" si="92"/>
        <v>-0.29810862828292917</v>
      </c>
      <c r="CG122" s="6"/>
      <c r="CH122" s="6"/>
      <c r="CI122" s="6"/>
      <c r="CJ122" s="1"/>
      <c r="CK122" s="6"/>
    </row>
    <row r="123" spans="1:89" x14ac:dyDescent="0.2">
      <c r="A123" t="s">
        <v>128</v>
      </c>
      <c r="BC123">
        <v>2.1118483949131397</v>
      </c>
      <c r="BD123">
        <v>110.022797436868</v>
      </c>
      <c r="BE123">
        <v>-34.73024375908691</v>
      </c>
      <c r="BF123" s="6">
        <f t="shared" si="98"/>
        <v>5.9774204741995121</v>
      </c>
      <c r="BG123" s="6">
        <f t="shared" si="99"/>
        <v>3.8655720792863724</v>
      </c>
      <c r="BH123" s="6">
        <f t="shared" si="81"/>
        <v>-2.5789328895863942E-2</v>
      </c>
      <c r="BI123" s="6">
        <f t="shared" si="82"/>
        <v>2.5789328895863942E-2</v>
      </c>
      <c r="BJ123">
        <v>122.24755270763112</v>
      </c>
      <c r="BK123">
        <v>-38.589159732318791</v>
      </c>
      <c r="BV123" s="38"/>
      <c r="BW123" s="6">
        <f t="shared" si="83"/>
        <v>1.8849555921538781</v>
      </c>
      <c r="BX123" s="9">
        <f t="shared" ca="1" si="84"/>
        <v>-13.591240076249761</v>
      </c>
      <c r="BY123" s="9">
        <f t="shared" ca="1" si="85"/>
        <v>6.8960049372182652</v>
      </c>
      <c r="BZ123" s="9">
        <f t="shared" ca="1" si="86"/>
        <v>110.30444098057141</v>
      </c>
      <c r="CA123" s="6">
        <f t="shared" ca="1" si="87"/>
        <v>-34.402555415055453</v>
      </c>
      <c r="CB123" s="6">
        <f t="shared" ca="1" si="88"/>
        <v>-0.30232659114050914</v>
      </c>
      <c r="CC123" s="6">
        <f t="shared" ca="1" si="89"/>
        <v>3.6733396739424551E-3</v>
      </c>
      <c r="CD123" s="9">
        <f t="shared" si="90"/>
        <v>98.104440980571411</v>
      </c>
      <c r="CE123" s="9">
        <f t="shared" si="91"/>
        <v>-30.202555415055453</v>
      </c>
      <c r="CF123" s="6">
        <f t="shared" si="92"/>
        <v>-0.29865325146656668</v>
      </c>
      <c r="CG123" s="6"/>
      <c r="CH123" s="6"/>
      <c r="CI123" s="6"/>
      <c r="CJ123" s="1"/>
      <c r="CK123" s="6"/>
    </row>
    <row r="124" spans="1:89" x14ac:dyDescent="0.2">
      <c r="BC124">
        <v>2.1293016874330828</v>
      </c>
      <c r="BD124">
        <v>110.01183454618619</v>
      </c>
      <c r="BE124">
        <v>-34.745385391707522</v>
      </c>
      <c r="BF124" s="6">
        <f t="shared" si="98"/>
        <v>5.9772667110269424</v>
      </c>
      <c r="BG124" s="6">
        <f t="shared" si="99"/>
        <v>3.8479650235938596</v>
      </c>
      <c r="BH124" s="6">
        <f t="shared" si="81"/>
        <v>-2.5635565723294285E-2</v>
      </c>
      <c r="BI124" s="6">
        <f t="shared" si="82"/>
        <v>2.5635565723294285E-2</v>
      </c>
      <c r="BJ124">
        <v>122.23537171798466</v>
      </c>
      <c r="BK124">
        <v>-38.60598376856391</v>
      </c>
      <c r="BV124" s="38"/>
      <c r="BW124" s="6">
        <f t="shared" si="83"/>
        <v>1.9024088846738214</v>
      </c>
      <c r="BX124" s="9">
        <f t="shared" ca="1" si="84"/>
        <v>-13.632320325090348</v>
      </c>
      <c r="BY124" s="9">
        <f t="shared" ca="1" si="85"/>
        <v>6.8565443066367706</v>
      </c>
      <c r="BZ124" s="9">
        <f t="shared" ca="1" si="86"/>
        <v>110.26336073173083</v>
      </c>
      <c r="CA124" s="6">
        <f t="shared" ca="1" si="87"/>
        <v>-34.442016045636947</v>
      </c>
      <c r="CB124" s="6">
        <f t="shared" ca="1" si="88"/>
        <v>-0.30275858046185855</v>
      </c>
      <c r="CC124" s="6">
        <f t="shared" ca="1" si="89"/>
        <v>3.620036596663434E-3</v>
      </c>
      <c r="CD124" s="9">
        <f t="shared" si="90"/>
        <v>98.063360731730825</v>
      </c>
      <c r="CE124" s="9">
        <f t="shared" si="91"/>
        <v>-30.242016045636948</v>
      </c>
      <c r="CF124" s="6">
        <f t="shared" si="92"/>
        <v>-0.29913854386519512</v>
      </c>
      <c r="CG124" s="6"/>
      <c r="CH124" s="6"/>
      <c r="CI124" s="6"/>
      <c r="CJ124" s="1"/>
      <c r="CK124" s="6"/>
    </row>
    <row r="125" spans="1:89" x14ac:dyDescent="0.2">
      <c r="A125" s="8" t="s">
        <v>77</v>
      </c>
      <c r="B125" s="3">
        <f ca="1">B116</f>
        <v>-1030.5945000000002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-1030.5945000000002</v>
      </c>
      <c r="G125" s="1" t="s">
        <v>130</v>
      </c>
      <c r="BC125">
        <v>2.1467549799530259</v>
      </c>
      <c r="BD125">
        <v>110.00139663618653</v>
      </c>
      <c r="BE125">
        <v>-34.759740638021903</v>
      </c>
      <c r="BF125" s="6">
        <f t="shared" si="98"/>
        <v>5.9771208031772343</v>
      </c>
      <c r="BG125" s="6">
        <f t="shared" si="99"/>
        <v>3.8303658232242084</v>
      </c>
      <c r="BH125" s="6">
        <f t="shared" si="81"/>
        <v>-2.5489657873586147E-2</v>
      </c>
      <c r="BI125" s="6">
        <f t="shared" si="82"/>
        <v>2.5489657873586147E-2</v>
      </c>
      <c r="BJ125">
        <v>122.22377404020725</v>
      </c>
      <c r="BK125">
        <v>-38.621934042246558</v>
      </c>
      <c r="BV125" s="38"/>
      <c r="BW125" s="6">
        <f t="shared" si="83"/>
        <v>1.9198621771937647</v>
      </c>
      <c r="BX125" s="9">
        <f t="shared" ca="1" si="84"/>
        <v>-13.667629191070361</v>
      </c>
      <c r="BY125" s="9">
        <f t="shared" ca="1" si="85"/>
        <v>6.8206891492487429</v>
      </c>
      <c r="BZ125" s="9">
        <f t="shared" ca="1" si="86"/>
        <v>110.22805186575081</v>
      </c>
      <c r="CA125" s="6">
        <f t="shared" ca="1" si="87"/>
        <v>-34.477871203024975</v>
      </c>
      <c r="CB125" s="6">
        <f t="shared" ca="1" si="88"/>
        <v>-0.30314606152283258</v>
      </c>
      <c r="CC125" s="6">
        <f t="shared" ca="1" si="89"/>
        <v>3.5721437473648083E-3</v>
      </c>
      <c r="CD125" s="9">
        <f t="shared" si="90"/>
        <v>98.028051865750811</v>
      </c>
      <c r="CE125" s="9">
        <f t="shared" si="91"/>
        <v>-30.277871203024976</v>
      </c>
      <c r="CF125" s="6">
        <f t="shared" si="92"/>
        <v>-0.29957391777546777</v>
      </c>
      <c r="CG125" s="6"/>
      <c r="CH125" s="6"/>
      <c r="CI125" s="6"/>
      <c r="CJ125" s="1"/>
      <c r="CK125" s="6"/>
    </row>
    <row r="126" spans="1:89" x14ac:dyDescent="0.2">
      <c r="A126" s="8" t="s">
        <v>125</v>
      </c>
      <c r="B126" s="3">
        <f ca="1">B117</f>
        <v>343.53149999999999</v>
      </c>
      <c r="D126" s="1">
        <f ca="1">J117</f>
        <v>-511.92</v>
      </c>
      <c r="F126" s="3">
        <f ca="1">B117</f>
        <v>343.53149999999999</v>
      </c>
      <c r="BC126">
        <v>2.164208272472969</v>
      </c>
      <c r="BD126">
        <v>109.99139213746911</v>
      </c>
      <c r="BE126">
        <v>-34.773383603823518</v>
      </c>
      <c r="BF126" s="6">
        <f t="shared" si="98"/>
        <v>5.9769819010058187</v>
      </c>
      <c r="BG126" s="6">
        <f t="shared" si="99"/>
        <v>3.8127736285328497</v>
      </c>
      <c r="BH126" s="6">
        <f t="shared" si="81"/>
        <v>-2.5350755702170602E-2</v>
      </c>
      <c r="BI126" s="6">
        <f t="shared" si="82"/>
        <v>2.5350755702170602E-2</v>
      </c>
      <c r="BJ126">
        <v>122.21265793052123</v>
      </c>
      <c r="BK126">
        <v>-38.637092893137243</v>
      </c>
      <c r="BV126" s="38"/>
      <c r="BW126" s="6">
        <f t="shared" si="83"/>
        <v>1.937315469713708</v>
      </c>
      <c r="BX126" s="9">
        <f t="shared" ca="1" si="84"/>
        <v>-13.698260291008324</v>
      </c>
      <c r="BY126" s="9">
        <f t="shared" ca="1" si="85"/>
        <v>6.7879560101476883</v>
      </c>
      <c r="BZ126" s="9">
        <f t="shared" ca="1" si="86"/>
        <v>110.19742076581285</v>
      </c>
      <c r="CA126" s="6">
        <f t="shared" ca="1" si="87"/>
        <v>-34.51060434212603</v>
      </c>
      <c r="CB126" s="6">
        <f t="shared" ca="1" si="88"/>
        <v>-0.30349578861937782</v>
      </c>
      <c r="CC126" s="6">
        <f t="shared" ca="1" si="89"/>
        <v>3.5288532584950572E-3</v>
      </c>
      <c r="CD126" s="9">
        <f t="shared" si="90"/>
        <v>97.997420765812848</v>
      </c>
      <c r="CE126" s="9">
        <f t="shared" si="91"/>
        <v>-30.31060434212603</v>
      </c>
      <c r="CF126" s="6">
        <f t="shared" si="92"/>
        <v>-0.29996693536088276</v>
      </c>
      <c r="CG126" s="6"/>
      <c r="CH126" s="6"/>
      <c r="CI126" s="6"/>
      <c r="CJ126" s="1"/>
      <c r="CK126" s="6"/>
    </row>
    <row r="127" spans="1:89" x14ac:dyDescent="0.2">
      <c r="A127" s="8" t="s">
        <v>75</v>
      </c>
      <c r="B127" s="3">
        <f ca="1">B115</f>
        <v>910.1105</v>
      </c>
      <c r="D127" s="1">
        <f ca="1">J115</f>
        <v>-170.64000000000001</v>
      </c>
      <c r="F127" s="3">
        <f ca="1">B115</f>
        <v>910.1105</v>
      </c>
      <c r="BC127">
        <v>2.1816615649929121</v>
      </c>
      <c r="BD127">
        <v>109.98174108811217</v>
      </c>
      <c r="BE127">
        <v>-34.786381128413169</v>
      </c>
      <c r="BF127" s="6">
        <f t="shared" si="98"/>
        <v>5.9768492447163837</v>
      </c>
      <c r="BG127" s="6">
        <f t="shared" si="99"/>
        <v>3.7951876797234716</v>
      </c>
      <c r="BH127" s="6">
        <f t="shared" si="81"/>
        <v>-2.5218099412735562E-2</v>
      </c>
      <c r="BI127" s="6">
        <f t="shared" si="82"/>
        <v>2.5218099412735562E-2</v>
      </c>
      <c r="BJ127">
        <v>122.20193454234686</v>
      </c>
      <c r="BK127">
        <v>-38.651534587125745</v>
      </c>
      <c r="BV127" s="38"/>
      <c r="BW127" s="6">
        <f t="shared" si="83"/>
        <v>1.9547687622336514</v>
      </c>
      <c r="BX127" s="9">
        <f t="shared" ca="1" si="84"/>
        <v>-13.725070035194719</v>
      </c>
      <c r="BY127" s="9">
        <f t="shared" ca="1" si="85"/>
        <v>6.7579434822501767</v>
      </c>
      <c r="BZ127" s="9">
        <f t="shared" ca="1" si="86"/>
        <v>110.17061102162646</v>
      </c>
      <c r="CA127" s="6">
        <f t="shared" ca="1" si="87"/>
        <v>-34.540616870023541</v>
      </c>
      <c r="CB127" s="6">
        <f t="shared" ca="1" si="88"/>
        <v>-0.30381324689561984</v>
      </c>
      <c r="CC127" s="6">
        <f t="shared" ca="1" si="89"/>
        <v>3.489506603428616E-3</v>
      </c>
      <c r="CD127" s="9">
        <f t="shared" si="90"/>
        <v>97.970611021626453</v>
      </c>
      <c r="CE127" s="9">
        <f t="shared" si="91"/>
        <v>-30.340616870023542</v>
      </c>
      <c r="CF127" s="6">
        <f t="shared" si="92"/>
        <v>-0.30032374029219122</v>
      </c>
      <c r="CG127" s="6"/>
      <c r="CH127" s="6"/>
      <c r="CI127" s="6"/>
      <c r="CJ127" s="1"/>
      <c r="CK127" s="6"/>
    </row>
    <row r="128" spans="1:89" x14ac:dyDescent="0.2">
      <c r="BC128">
        <v>2.1991148575128552</v>
      </c>
      <c r="BD128">
        <v>109.97237307355556</v>
      </c>
      <c r="BE128">
        <v>-34.798793853396525</v>
      </c>
      <c r="BF128" s="6">
        <f t="shared" si="98"/>
        <v>5.9767221502574897</v>
      </c>
      <c r="BG128" s="6">
        <f t="shared" si="99"/>
        <v>3.7776072927446345</v>
      </c>
      <c r="BH128" s="6">
        <f t="shared" si="81"/>
        <v>-2.5091004953841534E-2</v>
      </c>
      <c r="BI128" s="6">
        <f t="shared" si="82"/>
        <v>2.5091004953841534E-2</v>
      </c>
      <c r="BJ128">
        <v>122.19152563728395</v>
      </c>
      <c r="BK128">
        <v>-38.665326503773919</v>
      </c>
      <c r="BV128" s="38"/>
      <c r="BW128" s="6">
        <f t="shared" si="83"/>
        <v>1.9722220547535947</v>
      </c>
      <c r="BX128" s="9">
        <f t="shared" ca="1" si="84"/>
        <v>-13.748736515134155</v>
      </c>
      <c r="BY128" s="9">
        <f t="shared" ca="1" si="85"/>
        <v>6.7303153563093687</v>
      </c>
      <c r="BZ128" s="9">
        <f t="shared" ca="1" si="86"/>
        <v>110.14694454168702</v>
      </c>
      <c r="CA128" s="6">
        <f t="shared" ca="1" si="87"/>
        <v>-34.568244995964349</v>
      </c>
      <c r="CB128" s="6">
        <f t="shared" ca="1" si="88"/>
        <v>-0.30410293647877418</v>
      </c>
      <c r="CC128" s="6">
        <f t="shared" ca="1" si="89"/>
        <v>3.4535617051776879E-3</v>
      </c>
      <c r="CD128" s="9">
        <f t="shared" si="90"/>
        <v>97.946944541687017</v>
      </c>
      <c r="CE128" s="9">
        <f t="shared" si="91"/>
        <v>-30.36824499596435</v>
      </c>
      <c r="CF128" s="6">
        <f t="shared" si="92"/>
        <v>-0.30064937477359649</v>
      </c>
      <c r="CG128" s="6"/>
      <c r="CH128" s="6"/>
      <c r="CI128" s="6"/>
      <c r="CJ128" s="1"/>
      <c r="CK128" s="6"/>
    </row>
    <row r="129" spans="1:89" x14ac:dyDescent="0.2">
      <c r="A129" s="14" t="s">
        <v>131</v>
      </c>
      <c r="BC129">
        <v>2.2165681500327983</v>
      </c>
      <c r="BD129">
        <v>109.96322553426229</v>
      </c>
      <c r="BE129">
        <v>-34.810677139587852</v>
      </c>
      <c r="BF129" s="6">
        <f t="shared" si="98"/>
        <v>5.9765999974073019</v>
      </c>
      <c r="BG129" s="6">
        <f t="shared" si="99"/>
        <v>3.7600318473745036</v>
      </c>
      <c r="BH129" s="6">
        <f t="shared" si="81"/>
        <v>-2.4968852103653738E-2</v>
      </c>
      <c r="BI129" s="6">
        <f t="shared" si="82"/>
        <v>2.4968852103653738E-2</v>
      </c>
      <c r="BJ129">
        <v>122.18136170473588</v>
      </c>
      <c r="BK129">
        <v>-38.678530155097611</v>
      </c>
      <c r="BV129" s="38"/>
      <c r="BW129" s="6">
        <f t="shared" si="83"/>
        <v>1.989675347273538</v>
      </c>
      <c r="BX129" s="9">
        <f t="shared" ca="1" si="84"/>
        <v>-13.769802121246528</v>
      </c>
      <c r="BY129" s="9">
        <f t="shared" ca="1" si="85"/>
        <v>6.7047877667226459</v>
      </c>
      <c r="BZ129" s="9">
        <f t="shared" ca="1" si="86"/>
        <v>110.12587893557465</v>
      </c>
      <c r="CA129" s="6">
        <f t="shared" ca="1" si="87"/>
        <v>-34.593772585551072</v>
      </c>
      <c r="CB129" s="6">
        <f t="shared" ca="1" si="88"/>
        <v>-0.30436858409452261</v>
      </c>
      <c r="CC129" s="6">
        <f t="shared" ca="1" si="89"/>
        <v>3.4205683005569809E-3</v>
      </c>
      <c r="CD129" s="9">
        <f t="shared" si="90"/>
        <v>97.925878935574644</v>
      </c>
      <c r="CE129" s="9">
        <f t="shared" si="91"/>
        <v>-30.393772585551073</v>
      </c>
      <c r="CF129" s="6">
        <f t="shared" si="92"/>
        <v>-0.30094801579396563</v>
      </c>
      <c r="CG129" s="6"/>
      <c r="CH129" s="6"/>
      <c r="CI129" s="6"/>
      <c r="CJ129" s="1"/>
      <c r="CK129" s="6"/>
    </row>
    <row r="130" spans="1:89" x14ac:dyDescent="0.2">
      <c r="A130" s="8" t="s">
        <v>133</v>
      </c>
      <c r="B130" s="1">
        <f>U10</f>
        <v>-150</v>
      </c>
      <c r="BC130">
        <v>2.2340214425527414</v>
      </c>
      <c r="BD130">
        <v>109.95424236188461</v>
      </c>
      <c r="BE130">
        <v>-34.822081860389467</v>
      </c>
      <c r="BF130" s="6">
        <f t="shared" ref="BF130:BF155" si="109">IF(BC130&lt;&gt;"",IF(AND(BD130=0,BE130=0),0,MOD(ATAN2(BD130,BE130),2*PI())),NA())</f>
        <v>5.9764822196118059</v>
      </c>
      <c r="BG130" s="6">
        <f t="shared" ref="BG130:BG155" si="110">ABS(BC130-BF130)</f>
        <v>3.7424607770590645</v>
      </c>
      <c r="BH130" s="6">
        <f t="shared" si="81"/>
        <v>-2.4851074308157806E-2</v>
      </c>
      <c r="BI130" s="6">
        <f t="shared" si="82"/>
        <v>2.4851074308157806E-2</v>
      </c>
      <c r="BJ130">
        <v>122.171380402094</v>
      </c>
      <c r="BK130">
        <v>-38.691202067099404</v>
      </c>
      <c r="BV130" s="38"/>
      <c r="BW130" s="6">
        <f t="shared" si="83"/>
        <v>2.0071286397934811</v>
      </c>
      <c r="BX130" s="9">
        <f t="shared" ca="1" si="84"/>
        <v>-13.788704811331911</v>
      </c>
      <c r="BY130" s="9">
        <f t="shared" ca="1" si="85"/>
        <v>6.6811192592355582</v>
      </c>
      <c r="BZ130" s="9">
        <f t="shared" ca="1" si="86"/>
        <v>110.10697624548926</v>
      </c>
      <c r="CA130" s="6">
        <f t="shared" ca="1" si="87"/>
        <v>-34.61744109303816</v>
      </c>
      <c r="CB130" s="6">
        <f t="shared" ca="1" si="88"/>
        <v>-0.30461330281841187</v>
      </c>
      <c r="CC130" s="6">
        <f t="shared" ca="1" si="89"/>
        <v>3.3901492474119892E-3</v>
      </c>
      <c r="CD130" s="9">
        <f t="shared" si="90"/>
        <v>97.906976245489261</v>
      </c>
      <c r="CE130" s="9">
        <f t="shared" si="91"/>
        <v>-30.41744109303816</v>
      </c>
      <c r="CF130" s="6">
        <f t="shared" si="92"/>
        <v>-0.30122315357099988</v>
      </c>
      <c r="CG130" s="6"/>
      <c r="CH130" s="6"/>
      <c r="CI130" s="6"/>
      <c r="CJ130" s="1"/>
      <c r="CK130" s="6"/>
    </row>
    <row r="131" spans="1:89" x14ac:dyDescent="0.2">
      <c r="A131" s="8" t="s">
        <v>132</v>
      </c>
      <c r="B131">
        <f ca="1">(U10-B127)/(D127-F127)</f>
        <v>0.98090216011928744</v>
      </c>
      <c r="BC131">
        <v>2.2514747350726845</v>
      </c>
      <c r="BD131">
        <v>109.94537272413821</v>
      </c>
      <c r="BE131">
        <v>-34.833055095652576</v>
      </c>
      <c r="BF131" s="6">
        <f t="shared" si="109"/>
        <v>5.9763682952269024</v>
      </c>
      <c r="BG131" s="6">
        <f t="shared" si="110"/>
        <v>3.7248935601542179</v>
      </c>
      <c r="BH131" s="6">
        <f t="shared" ref="BH131:BH155" si="111">ATAN2(COS($U$13-BF131),SIN($U$13-BF131))</f>
        <v>-2.4737149923254268E-2</v>
      </c>
      <c r="BI131" s="6">
        <f t="shared" ref="BI131:BI155" si="112">ABS(BH131)</f>
        <v>2.4737149923254268E-2</v>
      </c>
      <c r="BJ131">
        <v>122.16152524904246</v>
      </c>
      <c r="BK131">
        <v>-38.703394550725086</v>
      </c>
      <c r="BV131" s="38"/>
      <c r="BW131" s="6">
        <f t="shared" si="83"/>
        <v>2.0245819323134242</v>
      </c>
      <c r="BX131" s="9">
        <f t="shared" ca="1" si="84"/>
        <v>-13.805801348873558</v>
      </c>
      <c r="BY131" s="9">
        <f t="shared" ca="1" si="85"/>
        <v>6.6591030295344922</v>
      </c>
      <c r="BZ131" s="9">
        <f t="shared" ca="1" si="86"/>
        <v>110.08987970794762</v>
      </c>
      <c r="CA131" s="6">
        <f t="shared" ca="1" si="87"/>
        <v>-34.639457322739226</v>
      </c>
      <c r="CB131" s="6">
        <f t="shared" ca="1" si="88"/>
        <v>-0.30483971417229955</v>
      </c>
      <c r="CC131" s="6">
        <f t="shared" ca="1" si="89"/>
        <v>3.3619861725180393E-3</v>
      </c>
      <c r="CD131" s="9">
        <f t="shared" si="90"/>
        <v>97.889879707947614</v>
      </c>
      <c r="CE131" s="9">
        <f t="shared" si="91"/>
        <v>-30.439457322739226</v>
      </c>
      <c r="CF131" s="6">
        <f t="shared" si="92"/>
        <v>-0.30147772799978151</v>
      </c>
      <c r="CG131" s="6"/>
      <c r="CH131" s="6"/>
      <c r="CI131" s="6"/>
      <c r="CJ131" s="1"/>
      <c r="CK131" s="6"/>
    </row>
    <row r="132" spans="1:89" x14ac:dyDescent="0.2">
      <c r="A132" s="8" t="s">
        <v>77</v>
      </c>
      <c r="B132">
        <f ca="1">(B125+(B131*(D125-F125)))/12</f>
        <v>123.89568105682118</v>
      </c>
      <c r="BC132">
        <v>2.2689280275926276</v>
      </c>
      <c r="BD132">
        <v>109.93657008186445</v>
      </c>
      <c r="BE132">
        <v>-34.843640750165399</v>
      </c>
      <c r="BF132" s="6">
        <f t="shared" si="109"/>
        <v>5.9762577398731667</v>
      </c>
      <c r="BG132" s="6">
        <f t="shared" si="110"/>
        <v>3.7073297122805391</v>
      </c>
      <c r="BH132" s="6">
        <f t="shared" si="111"/>
        <v>-2.4626594569518545E-2</v>
      </c>
      <c r="BI132" s="6">
        <f t="shared" si="112"/>
        <v>2.4626594569518545E-2</v>
      </c>
      <c r="BJ132">
        <v>122.15174453540493</v>
      </c>
      <c r="BK132">
        <v>-38.715156389072668</v>
      </c>
      <c r="BV132" s="38"/>
      <c r="BW132" s="6">
        <f t="shared" si="83"/>
        <v>2.0420352248333673</v>
      </c>
      <c r="BX132" s="9">
        <f t="shared" ca="1" si="84"/>
        <v>-13.821384792402299</v>
      </c>
      <c r="BY132" s="9">
        <f t="shared" ca="1" si="85"/>
        <v>6.6385608007253651</v>
      </c>
      <c r="BZ132" s="9">
        <f t="shared" ca="1" si="86"/>
        <v>110.07429626441888</v>
      </c>
      <c r="CA132" s="6">
        <f t="shared" ca="1" si="87"/>
        <v>-34.659999551548353</v>
      </c>
      <c r="CB132" s="6">
        <f t="shared" ca="1" si="88"/>
        <v>-0.30505004249834966</v>
      </c>
      <c r="CC132" s="6">
        <f t="shared" ca="1" si="89"/>
        <v>3.3358083328755002E-3</v>
      </c>
      <c r="CD132" s="9">
        <f t="shared" si="90"/>
        <v>97.874296264418874</v>
      </c>
      <c r="CE132" s="9">
        <f t="shared" si="91"/>
        <v>-30.459999551548353</v>
      </c>
      <c r="CF132" s="6">
        <f t="shared" si="92"/>
        <v>-0.30171423416547416</v>
      </c>
      <c r="CG132" s="6"/>
      <c r="CH132" s="6"/>
      <c r="CI132" s="6"/>
      <c r="CJ132" s="1"/>
      <c r="CK132" s="6"/>
    </row>
    <row r="133" spans="1:89" x14ac:dyDescent="0.2">
      <c r="A133" s="8" t="s">
        <v>125</v>
      </c>
      <c r="B133">
        <f ca="1">(B126+(B131*(D126-F126)))/12</f>
        <v>-41.298560352273718</v>
      </c>
      <c r="BC133">
        <v>2.2863813201125707</v>
      </c>
      <c r="BD133">
        <v>109.92779134090161</v>
      </c>
      <c r="BE133">
        <v>-34.853880105175406</v>
      </c>
      <c r="BF133" s="6">
        <f t="shared" si="109"/>
        <v>5.9761500996864587</v>
      </c>
      <c r="BG133" s="6">
        <f t="shared" si="110"/>
        <v>3.689768779573888</v>
      </c>
      <c r="BH133" s="6">
        <f t="shared" si="111"/>
        <v>-2.4518954382810598E-2</v>
      </c>
      <c r="BI133" s="6">
        <f t="shared" si="112"/>
        <v>2.4518954382810598E-2</v>
      </c>
      <c r="BJ133">
        <v>122.14199037877955</v>
      </c>
      <c r="BK133">
        <v>-38.726533450194893</v>
      </c>
      <c r="BV133" s="38"/>
      <c r="BW133" s="6">
        <f t="shared" si="83"/>
        <v>2.0594885173533104</v>
      </c>
      <c r="BX133" s="9">
        <f t="shared" ca="1" si="84"/>
        <v>-13.835697795145876</v>
      </c>
      <c r="BY133" s="9">
        <f t="shared" ca="1" si="85"/>
        <v>6.6193379433044797</v>
      </c>
      <c r="BZ133" s="9">
        <f t="shared" ca="1" si="86"/>
        <v>110.0599832616753</v>
      </c>
      <c r="CA133" s="6">
        <f t="shared" ca="1" si="87"/>
        <v>-34.679222408969238</v>
      </c>
      <c r="CB133" s="6">
        <f t="shared" ca="1" si="88"/>
        <v>-0.30524618868699055</v>
      </c>
      <c r="CC133" s="6">
        <f t="shared" ca="1" si="89"/>
        <v>3.3113838811741902E-3</v>
      </c>
      <c r="CD133" s="9">
        <f t="shared" si="90"/>
        <v>97.859983261675296</v>
      </c>
      <c r="CE133" s="9">
        <f t="shared" si="91"/>
        <v>-30.479222408969239</v>
      </c>
      <c r="CF133" s="6">
        <f t="shared" si="92"/>
        <v>-0.30193480480581636</v>
      </c>
      <c r="CG133" s="6"/>
      <c r="CH133" s="6"/>
      <c r="CI133" s="6"/>
      <c r="CJ133" s="1"/>
      <c r="CK133" s="6"/>
    </row>
    <row r="134" spans="1:89" x14ac:dyDescent="0.2">
      <c r="BC134">
        <v>2.3038346126325138</v>
      </c>
      <c r="BD134">
        <v>109.91899612372164</v>
      </c>
      <c r="BE134">
        <v>-34.863812323323152</v>
      </c>
      <c r="BF134" s="6">
        <f t="shared" si="109"/>
        <v>5.9760449452586899</v>
      </c>
      <c r="BG134" s="6">
        <f t="shared" si="110"/>
        <v>3.6722103326261761</v>
      </c>
      <c r="BH134" s="6">
        <f t="shared" si="111"/>
        <v>-2.4413799955041782E-2</v>
      </c>
      <c r="BI134" s="6">
        <f t="shared" si="112"/>
        <v>2.4413799955041782E-2</v>
      </c>
      <c r="BJ134">
        <v>122.13221791524626</v>
      </c>
      <c r="BK134">
        <v>-38.737569248136836</v>
      </c>
      <c r="BV134" s="38"/>
      <c r="BW134" s="6">
        <f t="shared" si="83"/>
        <v>2.0769418098732535</v>
      </c>
      <c r="BX134" s="9">
        <f t="shared" ca="1" si="84"/>
        <v>-13.848942814354743</v>
      </c>
      <c r="BY134" s="9">
        <f t="shared" ca="1" si="85"/>
        <v>6.6012995471026628</v>
      </c>
      <c r="BZ134" s="9">
        <f t="shared" ca="1" si="86"/>
        <v>110.04673824246643</v>
      </c>
      <c r="CA134" s="6">
        <f t="shared" ca="1" si="87"/>
        <v>-34.697260805171055</v>
      </c>
      <c r="CB134" s="6">
        <f t="shared" ca="1" si="88"/>
        <v>-0.30542978835281265</v>
      </c>
      <c r="CC134" s="6">
        <f t="shared" ca="1" si="89"/>
        <v>3.2885129497784993E-3</v>
      </c>
      <c r="CD134" s="9">
        <f t="shared" si="90"/>
        <v>97.846738242466429</v>
      </c>
      <c r="CE134" s="9">
        <f t="shared" si="91"/>
        <v>-30.497260805171056</v>
      </c>
      <c r="CF134" s="6">
        <f t="shared" si="92"/>
        <v>-0.30214127540303415</v>
      </c>
      <c r="CG134" s="6"/>
      <c r="CH134" s="6"/>
      <c r="CI134" s="6"/>
      <c r="CJ134" s="1"/>
      <c r="CK134" s="6"/>
    </row>
    <row r="135" spans="1:89" x14ac:dyDescent="0.2">
      <c r="A135" s="8"/>
      <c r="BC135">
        <v>2.3212879051524569</v>
      </c>
      <c r="BD135">
        <v>109.91014613361206</v>
      </c>
      <c r="BE135">
        <v>-34.873474918247126</v>
      </c>
      <c r="BF135" s="6">
        <f t="shared" si="109"/>
        <v>5.9759418661059618</v>
      </c>
      <c r="BG135" s="6">
        <f t="shared" si="110"/>
        <v>3.6546539609535049</v>
      </c>
      <c r="BH135" s="6">
        <f t="shared" si="111"/>
        <v>-2.4310720802313668E-2</v>
      </c>
      <c r="BI135" s="6">
        <f t="shared" si="112"/>
        <v>2.4310720802313668E-2</v>
      </c>
      <c r="BJ135">
        <v>122.12238459290228</v>
      </c>
      <c r="BK135">
        <v>-38.748305464719031</v>
      </c>
      <c r="BV135" s="38"/>
      <c r="BW135" s="6">
        <f t="shared" si="83"/>
        <v>2.0943951023931966</v>
      </c>
      <c r="BX135" s="9">
        <f t="shared" ca="1" si="84"/>
        <v>-13.861290045302056</v>
      </c>
      <c r="BY135" s="9">
        <f t="shared" ca="1" si="85"/>
        <v>6.5843272419017183</v>
      </c>
      <c r="BZ135" s="9">
        <f t="shared" ca="1" si="86"/>
        <v>110.03439101151912</v>
      </c>
      <c r="CA135" s="6">
        <f t="shared" ca="1" si="87"/>
        <v>-34.714233110372</v>
      </c>
      <c r="CB135" s="6">
        <f t="shared" ca="1" si="88"/>
        <v>-0.30560225814828551</v>
      </c>
      <c r="CC135" s="6">
        <f t="shared" ca="1" si="89"/>
        <v>3.2670221282137812E-3</v>
      </c>
      <c r="CD135" s="9">
        <f t="shared" si="90"/>
        <v>97.834391011519116</v>
      </c>
      <c r="CE135" s="9">
        <f t="shared" si="91"/>
        <v>-30.514233110372</v>
      </c>
      <c r="CF135" s="6">
        <f t="shared" si="92"/>
        <v>-0.30233523602007173</v>
      </c>
      <c r="CG135" s="6"/>
      <c r="CH135" s="6"/>
      <c r="CI135" s="6"/>
      <c r="CJ135" s="1"/>
      <c r="CK135" s="6"/>
    </row>
    <row r="136" spans="1:89" x14ac:dyDescent="0.2">
      <c r="A136" s="51" t="s">
        <v>154</v>
      </c>
      <c r="BC136">
        <v>2.3387411976724</v>
      </c>
      <c r="BD136">
        <v>109.90120458407934</v>
      </c>
      <c r="BE136">
        <v>-34.882904197076094</v>
      </c>
      <c r="BF136" s="6">
        <f t="shared" si="109"/>
        <v>5.9758404655257058</v>
      </c>
      <c r="BG136" s="6">
        <f t="shared" si="110"/>
        <v>3.6370992678533058</v>
      </c>
      <c r="BH136" s="6">
        <f t="shared" si="111"/>
        <v>-2.4209320222057684E-2</v>
      </c>
      <c r="BI136" s="6">
        <f t="shared" si="112"/>
        <v>2.4209320222057684E-2</v>
      </c>
      <c r="BJ136">
        <v>122.11244953786593</v>
      </c>
      <c r="BK136">
        <v>-38.758782441195656</v>
      </c>
      <c r="BV136" s="38"/>
      <c r="BW136" s="6">
        <f t="shared" si="83"/>
        <v>2.1118483949131397</v>
      </c>
      <c r="BX136" s="9">
        <f t="shared" ca="1" si="84"/>
        <v>-13.872883619953171</v>
      </c>
      <c r="BY136" s="9">
        <f t="shared" ca="1" si="85"/>
        <v>6.5683165931868075</v>
      </c>
      <c r="BZ136" s="9">
        <f t="shared" ca="1" si="86"/>
        <v>110.022797436868</v>
      </c>
      <c r="CA136" s="6">
        <f t="shared" ca="1" si="87"/>
        <v>-34.73024375908691</v>
      </c>
      <c r="CB136" s="6">
        <f t="shared" ca="1" si="88"/>
        <v>-0.30576483298007429</v>
      </c>
      <c r="CC136" s="6">
        <f t="shared" ca="1" si="89"/>
        <v>3.2467600120851259E-3</v>
      </c>
      <c r="CD136" s="9">
        <f t="shared" si="90"/>
        <v>97.822797436868001</v>
      </c>
      <c r="CE136" s="9">
        <f t="shared" si="91"/>
        <v>-30.530243759086911</v>
      </c>
      <c r="CF136" s="6">
        <f t="shared" si="92"/>
        <v>-0.30251807296798916</v>
      </c>
      <c r="CG136" s="6"/>
      <c r="CH136" s="6"/>
      <c r="CI136" s="6"/>
      <c r="CJ136" s="1"/>
      <c r="CK136" s="6"/>
    </row>
    <row r="137" spans="1:89" x14ac:dyDescent="0.2">
      <c r="A137" t="s">
        <v>155</v>
      </c>
      <c r="BC137">
        <v>2.3561944901923431</v>
      </c>
      <c r="BD137">
        <v>109.89213569305574</v>
      </c>
      <c r="BE137">
        <v>-34.892135692888566</v>
      </c>
      <c r="BF137" s="6">
        <f t="shared" si="109"/>
        <v>5.9757403557013458</v>
      </c>
      <c r="BG137" s="6">
        <f t="shared" si="110"/>
        <v>3.6195458655090027</v>
      </c>
      <c r="BH137" s="6">
        <f t="shared" si="111"/>
        <v>-2.4109210397697645E-2</v>
      </c>
      <c r="BI137" s="6">
        <f t="shared" si="112"/>
        <v>2.4109210397697645E-2</v>
      </c>
      <c r="BJ137">
        <v>122.10237299228415</v>
      </c>
      <c r="BK137">
        <v>-38.769039658765074</v>
      </c>
      <c r="BV137" s="38"/>
      <c r="BW137" s="6">
        <f t="shared" si="83"/>
        <v>2.1293016874330828</v>
      </c>
      <c r="BX137" s="9">
        <f t="shared" ca="1" si="84"/>
        <v>-13.883846510634982</v>
      </c>
      <c r="BY137" s="9">
        <f t="shared" ca="1" si="85"/>
        <v>6.5531749605661958</v>
      </c>
      <c r="BZ137" s="9">
        <f t="shared" ca="1" si="86"/>
        <v>110.01183454618619</v>
      </c>
      <c r="CA137" s="6">
        <f t="shared" ca="1" si="87"/>
        <v>-34.745385391707522</v>
      </c>
      <c r="CB137" s="6">
        <f t="shared" ca="1" si="88"/>
        <v>-0.30591859615264405</v>
      </c>
      <c r="CC137" s="6">
        <f t="shared" ca="1" si="89"/>
        <v>3.2275935885603957E-3</v>
      </c>
      <c r="CD137" s="9">
        <f t="shared" si="90"/>
        <v>97.811834546186191</v>
      </c>
      <c r="CE137" s="9">
        <f t="shared" si="91"/>
        <v>-30.545385391707523</v>
      </c>
      <c r="CF137" s="6">
        <f t="shared" si="92"/>
        <v>-0.30269100256408366</v>
      </c>
      <c r="CG137" s="6"/>
      <c r="CH137" s="6"/>
      <c r="CI137" s="6"/>
      <c r="CJ137" s="1"/>
      <c r="CK137" s="6"/>
    </row>
    <row r="138" spans="1:89" ht="17" x14ac:dyDescent="0.25">
      <c r="A138" t="s">
        <v>156</v>
      </c>
      <c r="B138" t="s">
        <v>157</v>
      </c>
      <c r="BC138">
        <v>2.3736477827122862</v>
      </c>
      <c r="BD138">
        <v>109.8829041976645</v>
      </c>
      <c r="BE138">
        <v>-34.901204584906651</v>
      </c>
      <c r="BF138" s="6">
        <f t="shared" si="109"/>
        <v>5.9756411529574329</v>
      </c>
      <c r="BG138" s="6">
        <f t="shared" si="110"/>
        <v>3.6019933702451468</v>
      </c>
      <c r="BH138" s="6">
        <f t="shared" si="111"/>
        <v>-2.4010007653784804E-2</v>
      </c>
      <c r="BI138" s="6">
        <f t="shared" si="112"/>
        <v>2.4010007653784804E-2</v>
      </c>
      <c r="BJ138">
        <v>122.09211577518278</v>
      </c>
      <c r="BK138">
        <v>-38.779116205451835</v>
      </c>
      <c r="BV138" s="38"/>
      <c r="BW138" s="6">
        <f t="shared" si="83"/>
        <v>2.1467549799530259</v>
      </c>
      <c r="BX138" s="9">
        <f t="shared" ca="1" si="84"/>
        <v>-13.894284420634648</v>
      </c>
      <c r="BY138" s="9">
        <f t="shared" ca="1" si="85"/>
        <v>6.5388197142518152</v>
      </c>
      <c r="BZ138" s="9">
        <f t="shared" ca="1" si="86"/>
        <v>110.00139663618653</v>
      </c>
      <c r="CA138" s="6">
        <f t="shared" ca="1" si="87"/>
        <v>-34.759740638021903</v>
      </c>
      <c r="CB138" s="6">
        <f t="shared" ca="1" si="88"/>
        <v>-0.30606450400235197</v>
      </c>
      <c r="CC138" s="6">
        <f t="shared" ca="1" si="89"/>
        <v>3.2094052745246797E-3</v>
      </c>
      <c r="CD138" s="9">
        <f t="shared" si="90"/>
        <v>97.801396636186524</v>
      </c>
      <c r="CE138" s="9">
        <f t="shared" si="91"/>
        <v>-30.559740638021903</v>
      </c>
      <c r="CF138" s="6">
        <f t="shared" si="92"/>
        <v>-0.30285509872782729</v>
      </c>
      <c r="CG138" s="6"/>
      <c r="CH138" s="6"/>
      <c r="CI138" s="6"/>
      <c r="CJ138" s="1"/>
      <c r="CK138" s="6"/>
    </row>
    <row r="139" spans="1:89" ht="17" x14ac:dyDescent="0.25">
      <c r="A139" t="s">
        <v>158</v>
      </c>
      <c r="B139" t="s">
        <v>159</v>
      </c>
      <c r="BC139">
        <v>2.3911010752322293</v>
      </c>
      <c r="BD139">
        <v>109.87347491725144</v>
      </c>
      <c r="BE139">
        <v>-34.910146132854315</v>
      </c>
      <c r="BF139" s="6">
        <f t="shared" si="109"/>
        <v>5.9755424730197344</v>
      </c>
      <c r="BG139" s="6">
        <f t="shared" si="110"/>
        <v>3.5844413977875051</v>
      </c>
      <c r="BH139" s="6">
        <f t="shared" si="111"/>
        <v>-2.3911327716086284E-2</v>
      </c>
      <c r="BI139" s="6">
        <f t="shared" si="112"/>
        <v>2.3911327716086284E-2</v>
      </c>
      <c r="BJ139">
        <v>122.08163879694604</v>
      </c>
      <c r="BK139">
        <v>-38.789051258727014</v>
      </c>
      <c r="BV139" s="38"/>
      <c r="BW139" s="6">
        <f t="shared" si="83"/>
        <v>2.164208272472969</v>
      </c>
      <c r="BX139" s="9">
        <f t="shared" ca="1" si="84"/>
        <v>-13.904288919352069</v>
      </c>
      <c r="BY139" s="9">
        <f t="shared" ca="1" si="85"/>
        <v>6.5251767484501997</v>
      </c>
      <c r="BZ139" s="9">
        <f t="shared" ca="1" si="86"/>
        <v>109.99139213746911</v>
      </c>
      <c r="CA139" s="6">
        <f t="shared" ca="1" si="87"/>
        <v>-34.773383603823518</v>
      </c>
      <c r="CB139" s="6">
        <f t="shared" ca="1" si="88"/>
        <v>-0.30620340617376768</v>
      </c>
      <c r="CC139" s="6">
        <f t="shared" ca="1" si="89"/>
        <v>3.1920904733840905E-3</v>
      </c>
      <c r="CD139" s="9">
        <f t="shared" si="90"/>
        <v>97.791392137469103</v>
      </c>
      <c r="CE139" s="9">
        <f t="shared" si="91"/>
        <v>-30.573383603823519</v>
      </c>
      <c r="CF139" s="6">
        <f t="shared" si="92"/>
        <v>-0.30301131570038359</v>
      </c>
      <c r="CG139" s="6"/>
      <c r="CH139" s="6"/>
      <c r="CI139" s="6"/>
      <c r="CJ139" s="1"/>
      <c r="CK139" s="6"/>
    </row>
    <row r="140" spans="1:89" ht="17" x14ac:dyDescent="0.25">
      <c r="A140" t="s">
        <v>160</v>
      </c>
      <c r="BC140">
        <v>2.4085543677521724</v>
      </c>
      <c r="BD140">
        <v>109.86381232398267</v>
      </c>
      <c r="BE140">
        <v>-34.918996123821579</v>
      </c>
      <c r="BF140" s="6">
        <f t="shared" si="109"/>
        <v>5.9754439261872951</v>
      </c>
      <c r="BG140" s="6">
        <f t="shared" si="110"/>
        <v>3.5668895584351228</v>
      </c>
      <c r="BH140" s="6">
        <f t="shared" si="111"/>
        <v>-2.3812780883647022E-2</v>
      </c>
      <c r="BI140" s="6">
        <f t="shared" si="112"/>
        <v>2.3812780883647022E-2</v>
      </c>
      <c r="BJ140">
        <v>122.07090258220296</v>
      </c>
      <c r="BK140">
        <v>-38.798884582023973</v>
      </c>
      <c r="BV140" s="38"/>
      <c r="BW140" s="6">
        <f t="shared" si="83"/>
        <v>2.1816615649929121</v>
      </c>
      <c r="BX140" s="9">
        <f t="shared" ca="1" si="84"/>
        <v>-13.913939968709002</v>
      </c>
      <c r="BY140" s="9">
        <f t="shared" ca="1" si="85"/>
        <v>6.5121792238605494</v>
      </c>
      <c r="BZ140" s="9">
        <f t="shared" ca="1" si="86"/>
        <v>109.98174108811217</v>
      </c>
      <c r="CA140" s="6">
        <f t="shared" ca="1" si="87"/>
        <v>-34.786381128413169</v>
      </c>
      <c r="CB140" s="6">
        <f t="shared" ca="1" si="88"/>
        <v>-0.30633606246320222</v>
      </c>
      <c r="CC140" s="6">
        <f t="shared" ca="1" si="89"/>
        <v>3.1755555405243441E-3</v>
      </c>
      <c r="CD140" s="9">
        <f t="shared" si="90"/>
        <v>97.78174108811217</v>
      </c>
      <c r="CE140" s="9">
        <f t="shared" si="91"/>
        <v>-30.586381128413169</v>
      </c>
      <c r="CF140" s="6">
        <f t="shared" si="92"/>
        <v>-0.30316050692267787</v>
      </c>
      <c r="CG140" s="6"/>
      <c r="CH140" s="6"/>
      <c r="CI140" s="6"/>
      <c r="CJ140" s="1"/>
      <c r="CK140" s="6"/>
    </row>
    <row r="141" spans="1:89" ht="18" x14ac:dyDescent="0.25">
      <c r="A141" t="s">
        <v>161</v>
      </c>
      <c r="B141" t="s">
        <v>162</v>
      </c>
      <c r="BC141">
        <v>2.4260076602721155</v>
      </c>
      <c r="BD141">
        <v>109.85388010564851</v>
      </c>
      <c r="BE141">
        <v>-34.927791340846632</v>
      </c>
      <c r="BF141" s="6">
        <f t="shared" si="109"/>
        <v>5.9753451122998031</v>
      </c>
      <c r="BG141" s="6">
        <f t="shared" si="110"/>
        <v>3.5493374520276877</v>
      </c>
      <c r="BH141" s="6">
        <f t="shared" si="111"/>
        <v>-2.3713966996155023E-2</v>
      </c>
      <c r="BI141" s="6">
        <f t="shared" si="112"/>
        <v>2.3713966996155023E-2</v>
      </c>
      <c r="BJ141">
        <v>122.0598667840539</v>
      </c>
      <c r="BK141">
        <v>-38.808657045385146</v>
      </c>
      <c r="BV141" s="38"/>
      <c r="BW141" s="6">
        <f t="shared" si="83"/>
        <v>2.1991148575128552</v>
      </c>
      <c r="BX141" s="9">
        <f t="shared" ca="1" si="84"/>
        <v>-13.923307983265616</v>
      </c>
      <c r="BY141" s="9">
        <f t="shared" ca="1" si="85"/>
        <v>6.499766498877193</v>
      </c>
      <c r="BZ141" s="9">
        <f t="shared" ca="1" si="86"/>
        <v>109.97237307355556</v>
      </c>
      <c r="CA141" s="6">
        <f t="shared" ca="1" si="87"/>
        <v>-34.798793853396525</v>
      </c>
      <c r="CB141" s="6">
        <f t="shared" ca="1" si="88"/>
        <v>-0.30646315692209619</v>
      </c>
      <c r="CC141" s="6">
        <f t="shared" ca="1" si="89"/>
        <v>3.1597160760462595E-3</v>
      </c>
      <c r="CD141" s="9">
        <f t="shared" si="90"/>
        <v>97.772373073555556</v>
      </c>
      <c r="CE141" s="9">
        <f t="shared" si="91"/>
        <v>-30.598793853396526</v>
      </c>
      <c r="CF141" s="6">
        <f t="shared" si="92"/>
        <v>-0.30330344084604993</v>
      </c>
      <c r="CG141" s="6"/>
      <c r="CH141" s="6"/>
      <c r="CI141" s="6"/>
      <c r="CJ141" s="1"/>
      <c r="CK141" s="6"/>
    </row>
    <row r="142" spans="1:89" x14ac:dyDescent="0.2">
      <c r="BC142">
        <v>2.4434609527920585</v>
      </c>
      <c r="BD142">
        <v>109.84364075048222</v>
      </c>
      <c r="BE142">
        <v>-34.936570081907867</v>
      </c>
      <c r="BF142" s="6">
        <f t="shared" si="109"/>
        <v>5.9752456153410503</v>
      </c>
      <c r="BG142" s="6">
        <f t="shared" si="110"/>
        <v>3.5317846625489917</v>
      </c>
      <c r="BH142" s="6">
        <f t="shared" si="111"/>
        <v>-2.3614470037402135E-2</v>
      </c>
      <c r="BI142" s="6">
        <f t="shared" si="112"/>
        <v>2.3614470037402135E-2</v>
      </c>
      <c r="BJ142">
        <v>122.04848972275802</v>
      </c>
      <c r="BK142">
        <v>-38.818411202119854</v>
      </c>
      <c r="BV142" s="38"/>
      <c r="BW142" s="6">
        <f t="shared" si="83"/>
        <v>2.2165681500327983</v>
      </c>
      <c r="BX142" s="9">
        <f t="shared" ca="1" si="84"/>
        <v>-13.932455522558882</v>
      </c>
      <c r="BY142" s="9">
        <f t="shared" ca="1" si="85"/>
        <v>6.4878832126858654</v>
      </c>
      <c r="BZ142" s="9">
        <f t="shared" ca="1" si="86"/>
        <v>109.96322553426229</v>
      </c>
      <c r="CA142" s="6">
        <f t="shared" ca="1" si="87"/>
        <v>-34.810677139587852</v>
      </c>
      <c r="CB142" s="6">
        <f t="shared" ca="1" si="88"/>
        <v>-0.30658530977228393</v>
      </c>
      <c r="CC142" s="6">
        <f t="shared" ca="1" si="89"/>
        <v>3.1444954792776425E-3</v>
      </c>
      <c r="CD142" s="9">
        <f t="shared" si="90"/>
        <v>97.76322553426229</v>
      </c>
      <c r="CE142" s="9">
        <f t="shared" si="91"/>
        <v>-30.610677139587853</v>
      </c>
      <c r="CF142" s="6">
        <f t="shared" si="92"/>
        <v>-0.30344081429300629</v>
      </c>
      <c r="CG142" s="6"/>
      <c r="CH142" s="6"/>
      <c r="CI142" s="6"/>
      <c r="CJ142" s="1"/>
      <c r="CK142" s="6"/>
    </row>
    <row r="143" spans="1:89" x14ac:dyDescent="0.2">
      <c r="A143" t="s">
        <v>163</v>
      </c>
      <c r="B143" s="3">
        <f>B2*1000</f>
        <v>5000</v>
      </c>
      <c r="C143" t="s">
        <v>164</v>
      </c>
      <c r="BC143">
        <v>2.4609142453120016</v>
      </c>
      <c r="BD143">
        <v>109.83305509495133</v>
      </c>
      <c r="BE143">
        <v>-34.945372723656007</v>
      </c>
      <c r="BF143" s="6">
        <f t="shared" si="109"/>
        <v>5.975144997569708</v>
      </c>
      <c r="BG143" s="6">
        <f t="shared" si="110"/>
        <v>3.5142307522577063</v>
      </c>
      <c r="BH143" s="6">
        <f t="shared" si="111"/>
        <v>-2.3513852266059843E-2</v>
      </c>
      <c r="BI143" s="6">
        <f t="shared" si="112"/>
        <v>2.3513852266059843E-2</v>
      </c>
      <c r="BJ143">
        <v>122.03672788327926</v>
      </c>
      <c r="BK143">
        <v>-38.828191915173342</v>
      </c>
      <c r="BV143" s="38"/>
      <c r="BW143" s="6">
        <f t="shared" si="83"/>
        <v>2.2340214425527414</v>
      </c>
      <c r="BX143" s="9">
        <f t="shared" ca="1" si="84"/>
        <v>-13.941438694936565</v>
      </c>
      <c r="BY143" s="9">
        <f t="shared" ca="1" si="85"/>
        <v>6.4764784918842508</v>
      </c>
      <c r="BZ143" s="9">
        <f t="shared" ca="1" si="86"/>
        <v>109.95424236188461</v>
      </c>
      <c r="CA143" s="6">
        <f t="shared" ca="1" si="87"/>
        <v>-34.822081860389467</v>
      </c>
      <c r="CB143" s="6">
        <f t="shared" ca="1" si="88"/>
        <v>-0.3067030875677807</v>
      </c>
      <c r="CC143" s="6">
        <f t="shared" ca="1" si="89"/>
        <v>3.1298237134541602E-3</v>
      </c>
      <c r="CD143" s="9">
        <f t="shared" si="90"/>
        <v>97.754242361884607</v>
      </c>
      <c r="CE143" s="9">
        <f t="shared" si="91"/>
        <v>-30.622081860389468</v>
      </c>
      <c r="CF143" s="6">
        <f t="shared" si="92"/>
        <v>-0.30357326385432654</v>
      </c>
      <c r="CG143" s="6"/>
      <c r="CH143" s="6"/>
      <c r="CI143" s="6"/>
      <c r="CJ143" s="1"/>
      <c r="CK143" s="6"/>
    </row>
    <row r="144" spans="1:89" x14ac:dyDescent="0.2">
      <c r="A144" t="s">
        <v>2</v>
      </c>
      <c r="B144" s="3">
        <f>B3*1000</f>
        <v>4074280.688047891</v>
      </c>
      <c r="C144" t="s">
        <v>164</v>
      </c>
      <c r="BC144">
        <v>2.4783675378319447</v>
      </c>
      <c r="BD144">
        <v>109.82208186007131</v>
      </c>
      <c r="BE144">
        <v>-34.954242361301148</v>
      </c>
      <c r="BF144" s="6">
        <f t="shared" si="109"/>
        <v>5.9750427929840164</v>
      </c>
      <c r="BG144" s="6">
        <f t="shared" si="110"/>
        <v>3.4966752551520717</v>
      </c>
      <c r="BH144" s="6">
        <f t="shared" si="111"/>
        <v>-2.3411647680368297E-2</v>
      </c>
      <c r="BI144" s="6">
        <f t="shared" si="112"/>
        <v>2.3411647680368297E-2</v>
      </c>
      <c r="BJ144">
        <v>122.02453540007923</v>
      </c>
      <c r="BK144">
        <v>-38.838047068112388</v>
      </c>
      <c r="BV144" s="38"/>
      <c r="BW144" s="6">
        <f t="shared" ref="BW144:BW207" si="113">BC131</f>
        <v>2.2514747350726845</v>
      </c>
      <c r="BX144" s="9">
        <f t="shared" ref="BX144:BX207" ca="1" si="114">BD131-$BW$5</f>
        <v>-13.950308332682965</v>
      </c>
      <c r="BY144" s="9">
        <f t="shared" ref="BY144:BY207" ca="1" si="115">BE131-$BX$5</f>
        <v>6.4655052566211424</v>
      </c>
      <c r="BZ144" s="9">
        <f t="shared" ref="BZ144:BZ207" ca="1" si="116">BX144-$CE$5</f>
        <v>109.94537272413821</v>
      </c>
      <c r="CA144" s="6">
        <f t="shared" ref="CA144:CA207" ca="1" si="117">BY144-$CF$5</f>
        <v>-34.833055095652576</v>
      </c>
      <c r="CB144" s="6">
        <f t="shared" ref="CB144:CB207" ca="1" si="118">ATAN2(BZ144,CA144)</f>
        <v>-0.30681701195268385</v>
      </c>
      <c r="CC144" s="6">
        <f t="shared" ref="CC144:CC207" ca="1" si="119">ATAN2(COS(CF144-CB144),SIN(CF144-CB144))</f>
        <v>3.1156362388559122E-3</v>
      </c>
      <c r="CD144" s="9">
        <f t="shared" ref="CD144:CD207" si="120">BD131-$BW$6</f>
        <v>97.745372724138207</v>
      </c>
      <c r="CE144" s="9">
        <f t="shared" ref="CE144:CE207" si="121">BE131-$BX$6</f>
        <v>-30.633055095652576</v>
      </c>
      <c r="CF144" s="6">
        <f t="shared" ref="CF144:CF207" si="122">ATAN2(CD144,CE144)</f>
        <v>-0.30370137571382794</v>
      </c>
      <c r="CG144" s="6"/>
      <c r="CH144" s="6"/>
      <c r="CI144" s="6"/>
      <c r="CJ144" s="1"/>
      <c r="CK144" s="6"/>
    </row>
    <row r="145" spans="1:89" ht="17" x14ac:dyDescent="0.25">
      <c r="A145" t="s">
        <v>156</v>
      </c>
      <c r="B145" s="1">
        <f>(2*0.85*B143)/B144</f>
        <v>2.0862578331765852E-3</v>
      </c>
      <c r="C145" t="s">
        <v>165</v>
      </c>
      <c r="BC145">
        <v>2.4958208303518878</v>
      </c>
      <c r="BD145">
        <v>109.81067714035919</v>
      </c>
      <c r="BE145">
        <v>-34.963225534699077</v>
      </c>
      <c r="BF145" s="6">
        <f t="shared" si="109"/>
        <v>5.9749384999419233</v>
      </c>
      <c r="BG145" s="6">
        <f t="shared" si="110"/>
        <v>3.4791176695900354</v>
      </c>
      <c r="BH145" s="6">
        <f t="shared" si="111"/>
        <v>-2.3307354638275161E-2</v>
      </c>
      <c r="BI145" s="6">
        <f t="shared" si="112"/>
        <v>2.3307354638275161E-2</v>
      </c>
      <c r="BJ145">
        <v>122.01186348928799</v>
      </c>
      <c r="BK145">
        <v>-38.848028371887864</v>
      </c>
      <c r="BV145" s="38"/>
      <c r="BW145" s="6">
        <f t="shared" si="113"/>
        <v>2.2689280275926276</v>
      </c>
      <c r="BX145" s="9">
        <f t="shared" ca="1" si="114"/>
        <v>-13.959110974956729</v>
      </c>
      <c r="BY145" s="9">
        <f t="shared" ca="1" si="115"/>
        <v>6.4549196021083191</v>
      </c>
      <c r="BZ145" s="9">
        <f t="shared" ca="1" si="116"/>
        <v>109.93657008186445</v>
      </c>
      <c r="CA145" s="6">
        <f t="shared" ca="1" si="117"/>
        <v>-34.843640750165399</v>
      </c>
      <c r="CB145" s="6">
        <f t="shared" ca="1" si="118"/>
        <v>-0.30692756730641962</v>
      </c>
      <c r="CC145" s="6">
        <f t="shared" ca="1" si="119"/>
        <v>3.1018730791505522E-3</v>
      </c>
      <c r="CD145" s="9">
        <f t="shared" si="120"/>
        <v>97.736570081864443</v>
      </c>
      <c r="CE145" s="9">
        <f t="shared" si="121"/>
        <v>-30.6436407501654</v>
      </c>
      <c r="CF145" s="6">
        <f t="shared" si="122"/>
        <v>-0.30382569422726907</v>
      </c>
      <c r="CG145" s="6"/>
      <c r="CH145" s="6"/>
      <c r="CI145" s="6"/>
      <c r="CJ145" s="1"/>
      <c r="CK145" s="6"/>
    </row>
    <row r="146" spans="1:89" ht="17" x14ac:dyDescent="0.25">
      <c r="A146" t="s">
        <v>166</v>
      </c>
      <c r="B146" s="1">
        <v>3.0000000000000001E-3</v>
      </c>
      <c r="C146" t="s">
        <v>165</v>
      </c>
      <c r="BC146">
        <v>2.5132741228718309</v>
      </c>
      <c r="BD146">
        <v>109.79879385294963</v>
      </c>
      <c r="BE146">
        <v>-34.972373073172299</v>
      </c>
      <c r="BF146" s="6">
        <f t="shared" si="109"/>
        <v>5.9748315726859991</v>
      </c>
      <c r="BG146" s="6">
        <f t="shared" si="110"/>
        <v>3.4615574498141681</v>
      </c>
      <c r="BH146" s="6">
        <f t="shared" si="111"/>
        <v>-2.3200427382350952E-2</v>
      </c>
      <c r="BI146" s="6">
        <f t="shared" si="112"/>
        <v>2.3200427382350952E-2</v>
      </c>
      <c r="BJ146">
        <v>121.9986598366107</v>
      </c>
      <c r="BK146">
        <v>-38.858192303524774</v>
      </c>
      <c r="BV146" s="38"/>
      <c r="BW146" s="6">
        <f t="shared" si="113"/>
        <v>2.2863813201125707</v>
      </c>
      <c r="BX146" s="9">
        <f t="shared" ca="1" si="114"/>
        <v>-13.967889715919569</v>
      </c>
      <c r="BY146" s="9">
        <f t="shared" ca="1" si="115"/>
        <v>6.4446802470983116</v>
      </c>
      <c r="BZ146" s="9">
        <f t="shared" ca="1" si="116"/>
        <v>109.92779134090161</v>
      </c>
      <c r="CA146" s="6">
        <f t="shared" ca="1" si="117"/>
        <v>-34.853880105175406</v>
      </c>
      <c r="CB146" s="6">
        <f t="shared" ca="1" si="118"/>
        <v>-0.30703520749312746</v>
      </c>
      <c r="CC146" s="6">
        <f t="shared" ca="1" si="119"/>
        <v>3.0884779956635859E-3</v>
      </c>
      <c r="CD146" s="9">
        <f t="shared" si="120"/>
        <v>97.727791340901604</v>
      </c>
      <c r="CE146" s="9">
        <f t="shared" si="121"/>
        <v>-30.653880105175407</v>
      </c>
      <c r="CF146" s="6">
        <f t="shared" si="122"/>
        <v>-0.30394672949746387</v>
      </c>
      <c r="CG146" s="6"/>
      <c r="CH146" s="6"/>
      <c r="CI146" s="6"/>
      <c r="CJ146" s="1"/>
      <c r="CK146" s="6"/>
    </row>
    <row r="147" spans="1:89" ht="17" x14ac:dyDescent="0.25">
      <c r="A147" t="s">
        <v>167</v>
      </c>
      <c r="B147" s="1">
        <f>B146/B145</f>
        <v>1.4379814193110203</v>
      </c>
      <c r="C147" t="s">
        <v>168</v>
      </c>
      <c r="BC147">
        <v>2.530727415391774</v>
      </c>
      <c r="BD147">
        <v>109.78638112751368</v>
      </c>
      <c r="BE147">
        <v>-34.981741087071036</v>
      </c>
      <c r="BF147" s="6">
        <f t="shared" si="109"/>
        <v>5.9747214114887788</v>
      </c>
      <c r="BG147" s="6">
        <f t="shared" si="110"/>
        <v>3.4439939960970047</v>
      </c>
      <c r="BH147" s="6">
        <f t="shared" si="111"/>
        <v>-2.3090266185130662E-2</v>
      </c>
      <c r="BI147" s="6">
        <f t="shared" si="112"/>
        <v>2.3090266185130662E-2</v>
      </c>
      <c r="BJ147">
        <v>121.98486791945965</v>
      </c>
      <c r="BK147">
        <v>-38.868601207856706</v>
      </c>
      <c r="BV147" s="38"/>
      <c r="BW147" s="6">
        <f t="shared" si="113"/>
        <v>2.3038346126325138</v>
      </c>
      <c r="BX147" s="9">
        <f t="shared" ca="1" si="114"/>
        <v>-13.976684933099534</v>
      </c>
      <c r="BY147" s="9">
        <f t="shared" ca="1" si="115"/>
        <v>6.4347480289505654</v>
      </c>
      <c r="BZ147" s="9">
        <f t="shared" ca="1" si="116"/>
        <v>109.91899612372164</v>
      </c>
      <c r="CA147" s="6">
        <f t="shared" ca="1" si="117"/>
        <v>-34.863812323323152</v>
      </c>
      <c r="CB147" s="6">
        <f t="shared" ca="1" si="118"/>
        <v>-0.30714036192089661</v>
      </c>
      <c r="CC147" s="6">
        <f t="shared" ca="1" si="119"/>
        <v>3.0753977442355418E-3</v>
      </c>
      <c r="CD147" s="9">
        <f t="shared" si="120"/>
        <v>97.718996123721638</v>
      </c>
      <c r="CE147" s="9">
        <f t="shared" si="121"/>
        <v>-30.663812323323153</v>
      </c>
      <c r="CF147" s="6">
        <f t="shared" si="122"/>
        <v>-0.30406496417666107</v>
      </c>
      <c r="CG147" s="6"/>
      <c r="CH147" s="6"/>
      <c r="CI147" s="6"/>
      <c r="CJ147" s="1"/>
      <c r="CK147" s="6"/>
    </row>
    <row r="148" spans="1:89" ht="17" x14ac:dyDescent="0.25">
      <c r="A148" t="s">
        <v>169</v>
      </c>
      <c r="B148" s="6">
        <f>G38</f>
        <v>13.276451760357121</v>
      </c>
      <c r="C148" t="s">
        <v>4</v>
      </c>
      <c r="BC148">
        <v>2.5481807079117171</v>
      </c>
      <c r="BD148">
        <v>109.77338360385319</v>
      </c>
      <c r="BE148">
        <v>-34.991392136971243</v>
      </c>
      <c r="BF148" s="6">
        <f t="shared" si="109"/>
        <v>5.9746073510733817</v>
      </c>
      <c r="BG148" s="6">
        <f t="shared" si="110"/>
        <v>3.4264266431616646</v>
      </c>
      <c r="BH148" s="6">
        <f t="shared" si="111"/>
        <v>-2.2976205769733579E-2</v>
      </c>
      <c r="BI148" s="6">
        <f t="shared" si="112"/>
        <v>2.2976205769733579E-2</v>
      </c>
      <c r="BJ148">
        <v>121.97042622650355</v>
      </c>
      <c r="BK148">
        <v>-38.87932459663471</v>
      </c>
      <c r="BV148" s="38"/>
      <c r="BW148" s="6">
        <f t="shared" si="113"/>
        <v>2.3212879051524569</v>
      </c>
      <c r="BX148" s="9">
        <f t="shared" ca="1" si="114"/>
        <v>-13.985534923209116</v>
      </c>
      <c r="BY148" s="9">
        <f t="shared" ca="1" si="115"/>
        <v>6.4250854340265917</v>
      </c>
      <c r="BZ148" s="9">
        <f t="shared" ca="1" si="116"/>
        <v>109.91014613361206</v>
      </c>
      <c r="CA148" s="6">
        <f t="shared" ca="1" si="117"/>
        <v>-34.873474918247126</v>
      </c>
      <c r="CB148" s="6">
        <f t="shared" ca="1" si="118"/>
        <v>-0.30724344107362417</v>
      </c>
      <c r="CC148" s="6">
        <f t="shared" ca="1" si="119"/>
        <v>3.0625813950874714E-3</v>
      </c>
      <c r="CD148" s="9">
        <f t="shared" si="120"/>
        <v>97.710146133612056</v>
      </c>
      <c r="CE148" s="9">
        <f t="shared" si="121"/>
        <v>-30.673474918247127</v>
      </c>
      <c r="CF148" s="6">
        <f t="shared" si="122"/>
        <v>-0.3041808596785367</v>
      </c>
      <c r="CG148" s="6"/>
      <c r="CH148" s="6"/>
      <c r="CI148" s="6"/>
      <c r="CJ148" s="1"/>
      <c r="CK148" s="6"/>
    </row>
    <row r="149" spans="1:89" x14ac:dyDescent="0.2">
      <c r="B149" s="1"/>
      <c r="BC149">
        <v>2.5656340004316602</v>
      </c>
      <c r="BD149">
        <v>109.75974063801314</v>
      </c>
      <c r="BE149">
        <v>-35.001396636194137</v>
      </c>
      <c r="BF149" s="6">
        <f t="shared" si="109"/>
        <v>5.9744886468479832</v>
      </c>
      <c r="BG149" s="6">
        <f t="shared" si="110"/>
        <v>3.408854646416323</v>
      </c>
      <c r="BH149" s="6">
        <f t="shared" si="111"/>
        <v>-2.2857501544335083E-2</v>
      </c>
      <c r="BI149" s="6">
        <f t="shared" si="112"/>
        <v>2.2857501544335083E-2</v>
      </c>
      <c r="BJ149">
        <v>121.95526737557016</v>
      </c>
      <c r="BK149">
        <v>-38.890440706882373</v>
      </c>
      <c r="BV149" s="38"/>
      <c r="BW149" s="6">
        <f t="shared" si="113"/>
        <v>2.3387411976724</v>
      </c>
      <c r="BX149" s="9">
        <f t="shared" ca="1" si="114"/>
        <v>-13.994476472741837</v>
      </c>
      <c r="BY149" s="9">
        <f t="shared" ca="1" si="115"/>
        <v>6.4156561551976239</v>
      </c>
      <c r="BZ149" s="9">
        <f t="shared" ca="1" si="116"/>
        <v>109.90120458407934</v>
      </c>
      <c r="CA149" s="6">
        <f t="shared" ca="1" si="117"/>
        <v>-34.882904197076094</v>
      </c>
      <c r="CB149" s="6">
        <f t="shared" ca="1" si="118"/>
        <v>-0.30734484165388043</v>
      </c>
      <c r="CC149" s="6">
        <f t="shared" ca="1" si="119"/>
        <v>3.0499796991481083E-3</v>
      </c>
      <c r="CD149" s="9">
        <f t="shared" si="120"/>
        <v>97.701204584079335</v>
      </c>
      <c r="CE149" s="9">
        <f t="shared" si="121"/>
        <v>-30.682904197076095</v>
      </c>
      <c r="CF149" s="6">
        <f t="shared" si="122"/>
        <v>-0.30429486195473232</v>
      </c>
      <c r="CG149" s="6"/>
      <c r="CH149" s="6"/>
      <c r="CI149" s="6"/>
      <c r="CJ149" s="1"/>
      <c r="CK149" s="6"/>
    </row>
    <row r="150" spans="1:89" x14ac:dyDescent="0.2">
      <c r="A150" t="s">
        <v>170</v>
      </c>
      <c r="B150" s="50">
        <f>B28</f>
        <v>2.8639878006233337</v>
      </c>
      <c r="C150" t="s">
        <v>4</v>
      </c>
      <c r="D150" t="s">
        <v>171</v>
      </c>
      <c r="BC150">
        <v>2.5830872929516033</v>
      </c>
      <c r="BD150">
        <v>109.74538539189319</v>
      </c>
      <c r="BE150">
        <v>-35.011834546394354</v>
      </c>
      <c r="BF150" s="6">
        <f t="shared" si="109"/>
        <v>5.9743644583900979</v>
      </c>
      <c r="BG150" s="6">
        <f t="shared" si="110"/>
        <v>3.3912771654384946</v>
      </c>
      <c r="BH150" s="6">
        <f t="shared" si="111"/>
        <v>-2.2733313086449772E-2</v>
      </c>
      <c r="BI150" s="6">
        <f t="shared" si="112"/>
        <v>2.2733313086449772E-2</v>
      </c>
      <c r="BJ150">
        <v>121.93931710210354</v>
      </c>
      <c r="BK150">
        <v>-38.902038384882616</v>
      </c>
      <c r="BV150" s="38"/>
      <c r="BW150" s="6">
        <f t="shared" si="113"/>
        <v>2.3561944901923431</v>
      </c>
      <c r="BX150" s="9">
        <f t="shared" ca="1" si="114"/>
        <v>-14.00354536376544</v>
      </c>
      <c r="BY150" s="9">
        <f t="shared" ca="1" si="115"/>
        <v>6.4064246593851522</v>
      </c>
      <c r="BZ150" s="9">
        <f t="shared" ca="1" si="116"/>
        <v>109.89213569305574</v>
      </c>
      <c r="CA150" s="6">
        <f t="shared" ca="1" si="117"/>
        <v>-34.892135692888566</v>
      </c>
      <c r="CB150" s="6">
        <f t="shared" ca="1" si="118"/>
        <v>-0.30744495147824025</v>
      </c>
      <c r="CC150" s="6">
        <f t="shared" ca="1" si="119"/>
        <v>3.0375444830062492E-3</v>
      </c>
      <c r="CD150" s="9">
        <f t="shared" si="120"/>
        <v>97.692135693055732</v>
      </c>
      <c r="CE150" s="9">
        <f t="shared" si="121"/>
        <v>-30.692135692888566</v>
      </c>
      <c r="CF150" s="6">
        <f t="shared" si="122"/>
        <v>-0.304407406995234</v>
      </c>
      <c r="CG150" s="6"/>
      <c r="CH150" s="6"/>
      <c r="CI150" s="6"/>
      <c r="CJ150" s="1"/>
      <c r="CK150" s="6"/>
    </row>
    <row r="151" spans="1:89" ht="17" x14ac:dyDescent="0.25">
      <c r="A151" t="s">
        <v>172</v>
      </c>
      <c r="B151" s="1">
        <f>(((B145/B146)*B150)-B150)*-1</f>
        <v>0.87231547289913047</v>
      </c>
      <c r="C151" t="s">
        <v>4</v>
      </c>
      <c r="D151" t="s">
        <v>173</v>
      </c>
      <c r="BC151">
        <v>2.6005405854715464</v>
      </c>
      <c r="BD151">
        <v>109.73024375837407</v>
      </c>
      <c r="BE151">
        <v>-35.022797435972983</v>
      </c>
      <c r="BF151" s="6">
        <f t="shared" si="109"/>
        <v>5.9742338294719772</v>
      </c>
      <c r="BG151" s="6">
        <f t="shared" si="110"/>
        <v>3.3736932440004308</v>
      </c>
      <c r="BH151" s="6">
        <f t="shared" si="111"/>
        <v>-2.2602684168329112E-2</v>
      </c>
      <c r="BI151" s="6">
        <f t="shared" si="112"/>
        <v>2.2602684168329112E-2</v>
      </c>
      <c r="BJ151">
        <v>121.92249306486008</v>
      </c>
      <c r="BK151">
        <v>-38.914219373303311</v>
      </c>
      <c r="BV151" s="38"/>
      <c r="BW151" s="6">
        <f t="shared" si="113"/>
        <v>2.3736477827122862</v>
      </c>
      <c r="BX151" s="9">
        <f t="shared" ca="1" si="114"/>
        <v>-14.012776859156673</v>
      </c>
      <c r="BY151" s="9">
        <f t="shared" ca="1" si="115"/>
        <v>6.3973557673670669</v>
      </c>
      <c r="BZ151" s="9">
        <f t="shared" ca="1" si="116"/>
        <v>109.8829041976645</v>
      </c>
      <c r="CA151" s="6">
        <f t="shared" ca="1" si="117"/>
        <v>-34.901204584906651</v>
      </c>
      <c r="CB151" s="6">
        <f t="shared" ca="1" si="118"/>
        <v>-0.30754415422215287</v>
      </c>
      <c r="CC151" s="6">
        <f t="shared" ca="1" si="119"/>
        <v>3.0252280616194782E-3</v>
      </c>
      <c r="CD151" s="9">
        <f t="shared" si="120"/>
        <v>97.682904197664499</v>
      </c>
      <c r="CE151" s="9">
        <f t="shared" si="121"/>
        <v>-30.701204584906652</v>
      </c>
      <c r="CF151" s="6">
        <f t="shared" si="122"/>
        <v>-0.30451892616053339</v>
      </c>
      <c r="CG151" s="6"/>
      <c r="CH151" s="6"/>
      <c r="CI151" s="6"/>
      <c r="CJ151" s="1"/>
      <c r="CK151" s="6"/>
    </row>
    <row r="152" spans="1:89" x14ac:dyDescent="0.2">
      <c r="A152" t="s">
        <v>174</v>
      </c>
      <c r="B152" s="1">
        <f>B148-B151</f>
        <v>12.404136287457991</v>
      </c>
      <c r="C152" t="s">
        <v>4</v>
      </c>
      <c r="D152" t="s">
        <v>175</v>
      </c>
      <c r="BC152">
        <v>2.6179938779914895</v>
      </c>
      <c r="BD152">
        <v>109.71423311056176</v>
      </c>
      <c r="BE152">
        <v>-35.034391011377927</v>
      </c>
      <c r="BF152" s="6">
        <f t="shared" si="109"/>
        <v>5.9740956636798757</v>
      </c>
      <c r="BG152" s="6">
        <f t="shared" si="110"/>
        <v>3.3561017856883861</v>
      </c>
      <c r="BH152" s="6">
        <f t="shared" si="111"/>
        <v>-2.2464518376227538E-2</v>
      </c>
      <c r="BI152" s="6">
        <f t="shared" si="112"/>
        <v>2.2464518376227538E-2</v>
      </c>
      <c r="BJ152">
        <v>121.90470345617973</v>
      </c>
      <c r="BK152">
        <v>-38.927101123753253</v>
      </c>
      <c r="BV152" s="38"/>
      <c r="BW152" s="6">
        <f t="shared" si="113"/>
        <v>2.3911010752322293</v>
      </c>
      <c r="BX152" s="9">
        <f t="shared" ca="1" si="114"/>
        <v>-14.022206139569732</v>
      </c>
      <c r="BY152" s="9">
        <f t="shared" ca="1" si="115"/>
        <v>6.3884142194194027</v>
      </c>
      <c r="BZ152" s="9">
        <f t="shared" ca="1" si="116"/>
        <v>109.87347491725144</v>
      </c>
      <c r="CA152" s="6">
        <f t="shared" ca="1" si="117"/>
        <v>-34.910146132854315</v>
      </c>
      <c r="CB152" s="6">
        <f t="shared" ca="1" si="118"/>
        <v>-0.30764283415985177</v>
      </c>
      <c r="CC152" s="6">
        <f t="shared" ca="1" si="119"/>
        <v>3.0129826494715291E-3</v>
      </c>
      <c r="CD152" s="9">
        <f t="shared" si="120"/>
        <v>97.67347491725144</v>
      </c>
      <c r="CE152" s="9">
        <f t="shared" si="121"/>
        <v>-30.710146132854316</v>
      </c>
      <c r="CF152" s="6">
        <f t="shared" si="122"/>
        <v>-0.30462985151038025</v>
      </c>
      <c r="CG152" s="6"/>
      <c r="CH152" s="6"/>
      <c r="CI152" s="6"/>
      <c r="CJ152" s="1"/>
      <c r="CK152" s="6"/>
    </row>
    <row r="153" spans="1:89" x14ac:dyDescent="0.2">
      <c r="A153" t="s">
        <v>176</v>
      </c>
      <c r="B153" s="1">
        <f>B148-B150</f>
        <v>10.412463959733788</v>
      </c>
      <c r="C153" t="s">
        <v>4</v>
      </c>
      <c r="D153" t="s">
        <v>177</v>
      </c>
      <c r="BC153">
        <v>2.6354471705114326</v>
      </c>
      <c r="BD153">
        <v>109.69726080475321</v>
      </c>
      <c r="BE153">
        <v>-35.046738241864084</v>
      </c>
      <c r="BF153" s="6">
        <f t="shared" si="109"/>
        <v>5.9739486944350988</v>
      </c>
      <c r="BG153" s="6">
        <f t="shared" si="110"/>
        <v>3.3385015239236662</v>
      </c>
      <c r="BH153" s="6">
        <f t="shared" si="111"/>
        <v>-2.2317549131450676E-2</v>
      </c>
      <c r="BI153" s="6">
        <f t="shared" si="112"/>
        <v>2.2317549131450676E-2</v>
      </c>
      <c r="BJ153">
        <v>121.88584533861467</v>
      </c>
      <c r="BK153">
        <v>-38.940820268737873</v>
      </c>
      <c r="BV153" s="38"/>
      <c r="BW153" s="6">
        <f t="shared" si="113"/>
        <v>2.4085543677521724</v>
      </c>
      <c r="BX153" s="9">
        <f t="shared" ca="1" si="114"/>
        <v>-14.031868732838504</v>
      </c>
      <c r="BY153" s="9">
        <f t="shared" ca="1" si="115"/>
        <v>6.3795642284521392</v>
      </c>
      <c r="BZ153" s="9">
        <f t="shared" ca="1" si="116"/>
        <v>109.86381232398267</v>
      </c>
      <c r="CA153" s="6">
        <f t="shared" ca="1" si="117"/>
        <v>-34.918996123821579</v>
      </c>
      <c r="CB153" s="6">
        <f t="shared" ca="1" si="118"/>
        <v>-0.30774138099229137</v>
      </c>
      <c r="CC153" s="6">
        <f t="shared" ca="1" si="119"/>
        <v>3.0007597596505287E-3</v>
      </c>
      <c r="CD153" s="9">
        <f t="shared" si="120"/>
        <v>97.663812323982668</v>
      </c>
      <c r="CE153" s="9">
        <f t="shared" si="121"/>
        <v>-30.718996123821579</v>
      </c>
      <c r="CF153" s="6">
        <f t="shared" si="122"/>
        <v>-0.30474062123264084</v>
      </c>
      <c r="CG153" s="6"/>
      <c r="CH153" s="6"/>
      <c r="CI153" s="6"/>
      <c r="CJ153" s="1"/>
      <c r="CK153" s="6"/>
    </row>
    <row r="154" spans="1:89" x14ac:dyDescent="0.2">
      <c r="BC154">
        <v>2.6529004630313757</v>
      </c>
      <c r="BD154">
        <v>109.67922240951128</v>
      </c>
      <c r="BE154">
        <v>-35.059983261699813</v>
      </c>
      <c r="BF154" s="6">
        <f t="shared" si="109"/>
        <v>5.973791447810159</v>
      </c>
      <c r="BG154" s="6">
        <f t="shared" si="110"/>
        <v>3.3208909847787833</v>
      </c>
      <c r="BH154" s="6">
        <f t="shared" si="111"/>
        <v>-2.2160302506510909E-2</v>
      </c>
      <c r="BI154" s="6">
        <f t="shared" si="112"/>
        <v>2.2160302506510909E-2</v>
      </c>
      <c r="BJ154">
        <v>121.86580267723475</v>
      </c>
      <c r="BK154">
        <v>-38.955536957444238</v>
      </c>
      <c r="BV154" s="38"/>
      <c r="BW154" s="6">
        <f t="shared" si="113"/>
        <v>2.4260076602721155</v>
      </c>
      <c r="BX154" s="9">
        <f t="shared" ca="1" si="114"/>
        <v>-14.041800951172661</v>
      </c>
      <c r="BY154" s="9">
        <f t="shared" ca="1" si="115"/>
        <v>6.3707690114270861</v>
      </c>
      <c r="BZ154" s="9">
        <f t="shared" ca="1" si="116"/>
        <v>109.85388010564851</v>
      </c>
      <c r="CA154" s="6">
        <f t="shared" ca="1" si="117"/>
        <v>-34.927791340846632</v>
      </c>
      <c r="CB154" s="6">
        <f t="shared" ca="1" si="118"/>
        <v>-0.3078401948797832</v>
      </c>
      <c r="CC154" s="6">
        <f t="shared" ca="1" si="119"/>
        <v>2.9885095764748959E-3</v>
      </c>
      <c r="CD154" s="9">
        <f t="shared" si="120"/>
        <v>97.653880105648511</v>
      </c>
      <c r="CE154" s="9">
        <f t="shared" si="121"/>
        <v>-30.727791340846633</v>
      </c>
      <c r="CF154" s="6">
        <f t="shared" si="122"/>
        <v>-0.30485168530330831</v>
      </c>
      <c r="CG154" s="6"/>
      <c r="CH154" s="6"/>
      <c r="CI154" s="6"/>
      <c r="CJ154" s="1"/>
      <c r="CK154" s="6"/>
    </row>
    <row r="155" spans="1:89" x14ac:dyDescent="0.2">
      <c r="A155" t="s">
        <v>178</v>
      </c>
      <c r="BC155">
        <v>2.6703537555513188</v>
      </c>
      <c r="BD155">
        <v>109.65999955202656</v>
      </c>
      <c r="BE155">
        <v>-35.074296264202765</v>
      </c>
      <c r="BF155" s="6">
        <f t="shared" si="109"/>
        <v>5.9736221960632907</v>
      </c>
      <c r="BG155" s="6">
        <f t="shared" si="110"/>
        <v>3.3032684405119719</v>
      </c>
      <c r="BH155" s="6">
        <f t="shared" si="111"/>
        <v>-2.1991050759642587E-2</v>
      </c>
      <c r="BI155" s="6">
        <f t="shared" si="112"/>
        <v>2.1991050759642587E-2</v>
      </c>
      <c r="BJ155">
        <v>121.84444394669617</v>
      </c>
      <c r="BK155">
        <v>-38.971440293558629</v>
      </c>
      <c r="BV155" s="38"/>
      <c r="BW155" s="6">
        <f t="shared" si="113"/>
        <v>2.4434609527920585</v>
      </c>
      <c r="BX155" s="9">
        <f t="shared" ca="1" si="114"/>
        <v>-14.052040306338952</v>
      </c>
      <c r="BY155" s="9">
        <f t="shared" ca="1" si="115"/>
        <v>6.3619902703658511</v>
      </c>
      <c r="BZ155" s="9">
        <f t="shared" ca="1" si="116"/>
        <v>109.84364075048222</v>
      </c>
      <c r="CA155" s="6">
        <f t="shared" ca="1" si="117"/>
        <v>-34.936570081907867</v>
      </c>
      <c r="CB155" s="6">
        <f t="shared" ca="1" si="118"/>
        <v>-0.30793969183853559</v>
      </c>
      <c r="CC155" s="6">
        <f t="shared" ca="1" si="119"/>
        <v>2.9761802804739168E-3</v>
      </c>
      <c r="CD155" s="9">
        <f t="shared" si="120"/>
        <v>97.64364075048222</v>
      </c>
      <c r="CE155" s="9">
        <f t="shared" si="121"/>
        <v>-30.736570081907868</v>
      </c>
      <c r="CF155" s="6">
        <f t="shared" si="122"/>
        <v>-0.30496351155806167</v>
      </c>
      <c r="CG155" s="6"/>
      <c r="CH155" s="6"/>
      <c r="CI155" s="6"/>
      <c r="CJ155" s="1"/>
      <c r="CK155" s="6"/>
    </row>
    <row r="156" spans="1:89" x14ac:dyDescent="0.2">
      <c r="B156" t="str">
        <f>B48</f>
        <v>xi (in)</v>
      </c>
      <c r="C156" t="str">
        <f t="shared" ref="C156:E156" si="123">C48</f>
        <v>yi (in)</v>
      </c>
      <c r="D156" t="str">
        <f t="shared" si="123"/>
        <v>xj (in)</v>
      </c>
      <c r="E156" t="str">
        <f t="shared" si="123"/>
        <v>yj (in)</v>
      </c>
      <c r="F156" s="1" t="s">
        <v>184</v>
      </c>
      <c r="G156" s="1" t="s">
        <v>185</v>
      </c>
      <c r="H156" s="1" t="s">
        <v>179</v>
      </c>
      <c r="I156" s="1" t="s">
        <v>180</v>
      </c>
      <c r="J156" s="1" t="s">
        <v>181</v>
      </c>
      <c r="K156" s="1" t="s">
        <v>182</v>
      </c>
      <c r="M156" s="1" t="s">
        <v>99</v>
      </c>
      <c r="N156" s="1" t="s">
        <v>100</v>
      </c>
      <c r="O156" s="1" t="s">
        <v>101</v>
      </c>
      <c r="P156" t="s">
        <v>186</v>
      </c>
      <c r="AB156" t="s">
        <v>187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109.63945732366687</v>
      </c>
      <c r="BE156">
        <v>-35.089879708888155</v>
      </c>
      <c r="BF156" s="6">
        <f t="shared" ref="BF156:BF157" si="124">IF(BC156&lt;&gt;"",IF(AND(BD156=0,BE156=0),0,MOD(ATAN2(BD156,BE156),2*PI())),NA())</f>
        <v>5.973438899058678</v>
      </c>
      <c r="BG156" s="6">
        <f t="shared" ref="BG156:BG157" si="125">ABS(BC156-BF156)</f>
        <v>3.2856318509874161</v>
      </c>
      <c r="BH156" s="6">
        <f t="shared" ref="BH156:BH157" si="126">ATAN2(COS($U$13-BF156),SIN($U$13-BF156))</f>
        <v>-2.1807753755029857E-2</v>
      </c>
      <c r="BI156" s="6">
        <f t="shared" ref="BI156:BI157" si="127">ABS(BH156)</f>
        <v>2.1807753755029857E-2</v>
      </c>
      <c r="BJ156">
        <v>121.82161924851874</v>
      </c>
      <c r="BK156">
        <v>-38.988755232097951</v>
      </c>
      <c r="BV156" s="38"/>
      <c r="BW156" s="6">
        <f t="shared" si="113"/>
        <v>2.4609142453120016</v>
      </c>
      <c r="BX156" s="9">
        <f t="shared" ca="1" si="114"/>
        <v>-14.062625961869841</v>
      </c>
      <c r="BY156" s="9">
        <f t="shared" ca="1" si="115"/>
        <v>6.3531876286177109</v>
      </c>
      <c r="BZ156" s="9">
        <f t="shared" ca="1" si="116"/>
        <v>109.83305509495133</v>
      </c>
      <c r="CA156" s="6">
        <f t="shared" ca="1" si="117"/>
        <v>-34.945372723656007</v>
      </c>
      <c r="CB156" s="6">
        <f t="shared" ca="1" si="118"/>
        <v>-0.30804030960987799</v>
      </c>
      <c r="CC156" s="6">
        <f t="shared" ca="1" si="119"/>
        <v>2.9637173136424222E-3</v>
      </c>
      <c r="CD156" s="9">
        <f t="shared" si="120"/>
        <v>97.633055094951331</v>
      </c>
      <c r="CE156" s="9">
        <f t="shared" si="121"/>
        <v>-30.745372723656008</v>
      </c>
      <c r="CF156" s="6">
        <f t="shared" si="122"/>
        <v>-0.30507659229623557</v>
      </c>
      <c r="CG156" s="6"/>
      <c r="CH156" s="6"/>
      <c r="CI156" s="6"/>
      <c r="CJ156" s="1"/>
      <c r="CK156" s="6"/>
    </row>
    <row r="157" spans="1:89" x14ac:dyDescent="0.2">
      <c r="A157" s="1" t="s">
        <v>43</v>
      </c>
      <c r="B157" s="6">
        <f t="shared" ref="B157:E157" si="128">B49</f>
        <v>1.932829184100429</v>
      </c>
      <c r="C157" s="6">
        <f t="shared" si="128"/>
        <v>-13.276451760357121</v>
      </c>
      <c r="D157" s="6">
        <f t="shared" si="128"/>
        <v>11.780858918745954</v>
      </c>
      <c r="E157" s="6">
        <f t="shared" si="128"/>
        <v>-6.4196077089339294</v>
      </c>
      <c r="F157" s="6">
        <f>IF(E157-C157=0,0,MIN(MAX(($B$152-C157)/(E157-C157),0),1))</f>
        <v>1</v>
      </c>
      <c r="G157" s="6">
        <f>IF(E157-C157=0,0,MIN(MAX(($B$153-C157)/(E157-C157),0),1))</f>
        <v>1</v>
      </c>
      <c r="H157" s="6">
        <f>IF(AND(F157=0,G157=0),0,IF(C157&gt;E157,B157+(F157*(D157-B157)),B157+(G157*(D157-B157))))</f>
        <v>11.780858918745954</v>
      </c>
      <c r="I157" s="6">
        <f>IF(AND(F157=0,G157=0),0,IF(C157&gt;E157,C157+(F157*(E157-C157)),C157+(G157*(E157-C157))))</f>
        <v>-6.4196077089339294</v>
      </c>
      <c r="J157" s="6">
        <f>IF(AND(F157=0,G157=0),0,IF(C157&gt;E157,B157+(G157*(D157-B157)),B157+(F157*(D157-B157))))</f>
        <v>11.780858918745954</v>
      </c>
      <c r="K157" s="6">
        <f>IF(AND(F157=0,G157=0),0,IF(C157&gt;E157,C157+(G157*(E157-C157)),C157+(F157*(E157-C157))))</f>
        <v>-6.4196077089339294</v>
      </c>
      <c r="L157" s="6"/>
      <c r="M157" s="6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0</v>
      </c>
      <c r="N157" s="6">
        <f>((1/(1200*$B$150*$B$150))*17*$B$143*$B$147*(I157-K157))*Z157</f>
        <v>0</v>
      </c>
      <c r="O157" s="6">
        <f>((1/(1200*$B$150*$B$150))*17*$B$143*$B$147*(I157-K157))*AW157</f>
        <v>0</v>
      </c>
      <c r="P157" s="6">
        <f t="shared" ref="P157:P164" si="129">((2*I157*I157)*((5*$B$150*($B$147-1))+(3*$B$147*K157)-(5*$B$147*$B$148)))</f>
        <v>-9633.4377991634974</v>
      </c>
      <c r="Q157" s="6">
        <f>(I157)*((20*K157)*(($B$150*($B$147-1))-($B$147*$B$148))+((10*($B$150-$B$148))*(($B$150*($B$147-2))-($B$147*$B$148)))+(9*$B$147*K157*K157))</f>
        <v>-31962.874580729749</v>
      </c>
      <c r="R157" s="6">
        <f t="shared" ref="R157:R164" si="130">(2*K157)*((15*K157)*(($B$150*($B$147-1))-($B$147*$B$148))+((10*($B$150-$B$148))*(($B$150*($B$147-2))-($B$147*$B$148)))+(6*$B$147*K157*K157))</f>
        <v>-54292.311362295994</v>
      </c>
      <c r="S157" s="6">
        <f t="shared" ref="S157:S164" si="131">3*$B$147*I157*I157*I157</f>
        <v>-1141.3004771137635</v>
      </c>
      <c r="T157" s="71">
        <f>J157*(SUM(P157:S157))</f>
        <v>-1143095.8481242198</v>
      </c>
      <c r="U157" s="10">
        <f t="shared" ref="U157:U164" si="132">(I157*I157)*((30*$B$150*($B$147-1))+(9*$B$147*K157)-(30*$B$147*$B$148))</f>
        <v>-25476.4119661492</v>
      </c>
      <c r="V157" s="10">
        <f t="shared" ref="V157:V164" si="133">I157*(((20*K157)*(($B$150*($B$147-1))-($B$147*$B$148)))+(20*($B$150-$B$148)*(($B$150*($B$147-2))-($B$147*$B$148)))+(6*$B$147*K157*K157))</f>
        <v>-44658.873563132503</v>
      </c>
      <c r="W157" s="10">
        <f t="shared" ref="W157:W164" si="134">K157*(((10*K157)*(($B$150*($B$147-1))-($B$147*$B$148)))+(10*($B$150-$B$148)*(($B$150*($B$147-2))-($B$147*$B$148)))+(3*$B$147*K157*K157))</f>
        <v>-22329.436781566252</v>
      </c>
      <c r="X157" s="10">
        <f t="shared" ref="X157:X164" si="135">12*$B$147*I157*I157*I157</f>
        <v>-4565.2019084550539</v>
      </c>
      <c r="Y157" s="71">
        <f t="shared" ref="Y157:Y164" si="136">H157*SUM(U157:X157)</f>
        <v>-1143095.84812422</v>
      </c>
      <c r="Z157" s="71">
        <f t="shared" ref="Z157:Z164" si="137">T157+Y157</f>
        <v>-2286191.6962484401</v>
      </c>
      <c r="AA157" s="6"/>
      <c r="AB157" s="6">
        <f>(3*I157)*(((5*$B$150)*($B$147-1))+($B$147*K157)-(5*$B$147*$B$148))</f>
        <v>1895.3737200459434</v>
      </c>
      <c r="AC157" s="6">
        <f>(10*($B$150-$B$148))*(($B$150*($B$147-2))-($B$147*$B$148))</f>
        <v>2155.474304179002</v>
      </c>
      <c r="AD157" s="6">
        <f>(5*K157)*(($B$150*($B$147-1))-($B$147*$B$148))</f>
        <v>572.53006556039895</v>
      </c>
      <c r="AE157" s="6">
        <f>6*$B$147*I157*I157</f>
        <v>355.56704672949348</v>
      </c>
      <c r="AF157" s="6">
        <f>$B$147*K157*K157</f>
        <v>59.261174454915583</v>
      </c>
      <c r="AG157" s="6">
        <f>SUM(AB157:AF157)</f>
        <v>5038.2063109697528</v>
      </c>
      <c r="AH157" s="72">
        <f>AG157*H157*H157</f>
        <v>699245.78613605152</v>
      </c>
      <c r="AI157" s="6">
        <f>(2*I157)*(((5*$B$150)*($B$147-1))+(2*$B$147*K157)-(5*$B$147*$B$148))</f>
        <v>1382.1048289404603</v>
      </c>
      <c r="AJ157" s="6">
        <f>(10*($B$150-$B$148))*(($B$150*($B$147-2))-($B$147*$B$148))</f>
        <v>2155.474304179002</v>
      </c>
      <c r="AK157" s="6">
        <f>(10*K157)*(($B$150*($B$147-1))-($B$147*$B$148))</f>
        <v>1145.0601311207979</v>
      </c>
      <c r="AL157" s="6">
        <f>3*$B$147*I157*I157</f>
        <v>177.78352336474674</v>
      </c>
      <c r="AM157" s="6">
        <f>3*$B$147*K157*K157</f>
        <v>177.78352336474674</v>
      </c>
      <c r="AN157" s="6">
        <f>SUM(AI157:AM157)</f>
        <v>5038.2063109697538</v>
      </c>
      <c r="AO157" s="72">
        <f>(H157*J157)*AN157</f>
        <v>699245.78613605164</v>
      </c>
      <c r="AP157" s="6">
        <f>(I157)*(((5*$B$150)*($B$147-1))+(3*$B$147*K157)-(5*$B$147*$B$148))</f>
        <v>750.31358892514561</v>
      </c>
      <c r="AQ157" s="6">
        <f>(10*($B$150-$B$148))*(($B$150*($B$147-2))-($B$147*$B$148))</f>
        <v>2155.474304179002</v>
      </c>
      <c r="AR157" s="6">
        <f>(15*K157)*(($B$150*($B$147-1))-($B$147*$B$148))</f>
        <v>1717.5901966811969</v>
      </c>
      <c r="AS157" s="6">
        <f>$B$147*I157*I157</f>
        <v>59.261174454915583</v>
      </c>
      <c r="AT157" s="6">
        <f>6*$B$147*K157*K157</f>
        <v>355.56704672949348</v>
      </c>
      <c r="AU157" s="6">
        <f>SUM(AP157:AT157)</f>
        <v>5038.2063109697538</v>
      </c>
      <c r="AV157" s="72">
        <f>(J157*J157)*AU157</f>
        <v>699245.78613605164</v>
      </c>
      <c r="AW157" s="72">
        <f>AH157+AO157+AV157</f>
        <v>2097737.3584081549</v>
      </c>
      <c r="BA157"/>
      <c r="BC157">
        <v>2.705260340591205</v>
      </c>
      <c r="BD157">
        <v>109.61744109322744</v>
      </c>
      <c r="BE157">
        <v>-35.106976245957007</v>
      </c>
      <c r="BF157" s="6">
        <f t="shared" si="124"/>
        <v>5.9732391297989311</v>
      </c>
      <c r="BG157" s="6">
        <f t="shared" si="125"/>
        <v>3.2679787892077261</v>
      </c>
      <c r="BH157" s="6">
        <f t="shared" si="126"/>
        <v>-2.1607984495283006E-2</v>
      </c>
      <c r="BI157" s="6">
        <f t="shared" si="127"/>
        <v>2.1607984495283006E-2</v>
      </c>
      <c r="BJ157">
        <v>121.79715677025271</v>
      </c>
      <c r="BK157">
        <v>-39.007751384396677</v>
      </c>
      <c r="BV157" s="38"/>
      <c r="BW157" s="6">
        <f t="shared" si="113"/>
        <v>2.4783675378319447</v>
      </c>
      <c r="BX157" s="9">
        <f t="shared" ca="1" si="114"/>
        <v>-14.073599196749868</v>
      </c>
      <c r="BY157" s="9">
        <f t="shared" ca="1" si="115"/>
        <v>6.34431799097257</v>
      </c>
      <c r="BZ157" s="9">
        <f t="shared" ca="1" si="116"/>
        <v>109.82208186007131</v>
      </c>
      <c r="CA157" s="6">
        <f t="shared" ca="1" si="117"/>
        <v>-34.954242361301148</v>
      </c>
      <c r="CB157" s="6">
        <f t="shared" ca="1" si="118"/>
        <v>-0.30814251419557004</v>
      </c>
      <c r="CC157" s="6">
        <f t="shared" ca="1" si="119"/>
        <v>2.9510625594920126E-3</v>
      </c>
      <c r="CD157" s="9">
        <f t="shared" si="120"/>
        <v>97.622081860071305</v>
      </c>
      <c r="CE157" s="9">
        <f t="shared" si="121"/>
        <v>-30.754242361301149</v>
      </c>
      <c r="CF157" s="6">
        <f t="shared" si="122"/>
        <v>-0.30519145163607803</v>
      </c>
      <c r="CG157" s="6"/>
      <c r="CH157" s="6"/>
      <c r="CI157" s="6"/>
      <c r="CJ157" s="1"/>
      <c r="CK157" s="6"/>
    </row>
    <row r="158" spans="1:89" x14ac:dyDescent="0.2">
      <c r="A158" s="1" t="s">
        <v>44</v>
      </c>
      <c r="B158" s="6">
        <f t="shared" ref="B158:E158" si="138">B50</f>
        <v>11.780858918745954</v>
      </c>
      <c r="C158" s="6">
        <f t="shared" si="138"/>
        <v>-6.4196077089339294</v>
      </c>
      <c r="D158" s="6">
        <f t="shared" si="138"/>
        <v>2.6384001835150319</v>
      </c>
      <c r="E158" s="6">
        <f t="shared" si="138"/>
        <v>6.7110986039267706</v>
      </c>
      <c r="F158" s="6">
        <f t="shared" ref="F158:F164" si="139">IF(E158-C158=0,0,MIN(MAX(($B$152-C158)/(E158-C158),0),1))</f>
        <v>1</v>
      </c>
      <c r="G158" s="6">
        <f t="shared" ref="G158:G164" si="140">IF(E158-C158=0,0,MIN(MAX(($B$153-C158)/(E158-C158),0),1))</f>
        <v>1</v>
      </c>
      <c r="H158" s="6">
        <f t="shared" ref="H158:H164" si="141">IF(AND(F158=0,G158=0),0,IF(C158&gt;E158,B158+(F158*(D158-B158)),B158+(G158*(D158-B158))))</f>
        <v>2.6384001835150315</v>
      </c>
      <c r="I158" s="6">
        <f t="shared" ref="I158:I164" si="142">IF(AND(F158=0,G158=0),0,IF(C158&gt;E158,C158+(F158*(E158-C158)),C158+(G158*(E158-C158))))</f>
        <v>6.7110986039267697</v>
      </c>
      <c r="J158" s="6">
        <f t="shared" ref="J158:J164" si="143">IF(AND(F158=0,G158=0),0,IF(C158&gt;E158,B158+(G158*(D158-B158)),B158+(F158*(D158-B158))))</f>
        <v>2.6384001835150315</v>
      </c>
      <c r="K158" s="6">
        <f t="shared" ref="K158:K164" si="144">IF(AND(F158=0,G158=0),0,IF(C158&gt;E158,C158+(G158*(E158-C158)),C158+(F158*(E158-C158))))</f>
        <v>6.7110986039267697</v>
      </c>
      <c r="L158" s="6"/>
      <c r="M158" s="6">
        <f t="shared" ref="M158:M164" si="145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0</v>
      </c>
      <c r="N158" s="6">
        <f t="shared" ref="N158:N164" si="146">((1/(1200*$B$150*$B$150))*17*$B$143*$B$147*(I158-K158))*Z158</f>
        <v>0</v>
      </c>
      <c r="O158" s="6">
        <f t="shared" ref="O158:O164" si="147">((1/(1200*$B$150*$B$150))*17*$B$143*$B$147*(I158-K158))*AW158</f>
        <v>0</v>
      </c>
      <c r="P158" s="6">
        <f t="shared" si="129"/>
        <v>-5425.6748610153581</v>
      </c>
      <c r="Q158" s="6">
        <f t="shared" ref="Q158:Q164" si="148">(I158)*((20*K158)*(($B$150*($B$147-1))-($B$147*$B$148))+((10*($B$150-$B$148))*(($B$150*($B$147-2))-($B$147*$B$148)))+(9*$B$147*K158*K158))</f>
        <v>2310.3175354807445</v>
      </c>
      <c r="R158" s="6">
        <f t="shared" si="130"/>
        <v>10046.309931976848</v>
      </c>
      <c r="S158" s="6">
        <f t="shared" si="131"/>
        <v>1303.9333360642643</v>
      </c>
      <c r="T158" s="71">
        <f t="shared" ref="T158:T164" si="149">J158*(SUM(P158:S158))</f>
        <v>21726.924581934498</v>
      </c>
      <c r="U158" s="10">
        <f t="shared" si="132"/>
        <v>-20188.824591238863</v>
      </c>
      <c r="V158" s="10">
        <f t="shared" si="133"/>
        <v>15471.984792992207</v>
      </c>
      <c r="W158" s="10">
        <f t="shared" si="134"/>
        <v>7735.9923964961035</v>
      </c>
      <c r="X158" s="10">
        <f t="shared" si="135"/>
        <v>5215.7333442570571</v>
      </c>
      <c r="Y158" s="71">
        <f t="shared" si="136"/>
        <v>21726.924581934516</v>
      </c>
      <c r="Z158" s="71">
        <f t="shared" si="137"/>
        <v>43453.849163869018</v>
      </c>
      <c r="AA158" s="6"/>
      <c r="AB158" s="6">
        <f t="shared" ref="AB158:AB164" si="150">(3*I158)*(((5*$B$150)*($B$147-1))+($B$147*K158)-(5*$B$147*$B$148))</f>
        <v>-1601.2846178960458</v>
      </c>
      <c r="AC158" s="6">
        <f t="shared" ref="AC158:AC164" si="151">(10*($B$150-$B$148))*(($B$150*($B$147-2))-($B$147*$B$148))</f>
        <v>2155.474304179002</v>
      </c>
      <c r="AD158" s="6">
        <f t="shared" ref="AD158:AD164" si="152">(5*K158)*(($B$150*($B$147-1))-($B$147*$B$148))</f>
        <v>-598.52656079612177</v>
      </c>
      <c r="AE158" s="6">
        <f t="shared" ref="AE158:AE164" si="153">6*$B$147*I158*I158</f>
        <v>388.59012898463817</v>
      </c>
      <c r="AF158" s="6">
        <f t="shared" ref="AF158:AF164" si="154">$B$147*K158*K158</f>
        <v>64.765021497439704</v>
      </c>
      <c r="AG158" s="6">
        <f t="shared" ref="AG158:AG164" si="155">SUM(AB158:AF158)</f>
        <v>409.01827596891235</v>
      </c>
      <c r="AH158" s="72">
        <f t="shared" ref="AH158:AH164" si="156">AG158*H158*H158</f>
        <v>2847.2398329662406</v>
      </c>
      <c r="AI158" s="6">
        <f t="shared" ref="AI158:AI164" si="157">(2*I158)*(((5*$B$150)*($B$147-1))+(2*$B$147*K158)-(5*$B$147*$B$148))</f>
        <v>-937.9930356024845</v>
      </c>
      <c r="AJ158" s="6">
        <f t="shared" ref="AJ158:AJ164" si="158">(10*($B$150-$B$148))*(($B$150*($B$147-2))-($B$147*$B$148))</f>
        <v>2155.474304179002</v>
      </c>
      <c r="AK158" s="6">
        <f t="shared" ref="AK158:AK164" si="159">(10*K158)*(($B$150*($B$147-1))-($B$147*$B$148))</f>
        <v>-1197.0531215922435</v>
      </c>
      <c r="AL158" s="6">
        <f t="shared" ref="AL158:AL164" si="160">3*$B$147*I158*I158</f>
        <v>194.29506449231909</v>
      </c>
      <c r="AM158" s="6">
        <f t="shared" ref="AM158:AM164" si="161">3*$B$147*K158*K158</f>
        <v>194.29506449231909</v>
      </c>
      <c r="AN158" s="6">
        <f t="shared" ref="AN158:AN164" si="162">SUM(AI158:AM158)</f>
        <v>409.01827596891218</v>
      </c>
      <c r="AO158" s="72">
        <f t="shared" ref="AO158:AO164" si="163">(H158*J158)*AN158</f>
        <v>2847.2398329662396</v>
      </c>
      <c r="AP158" s="6">
        <f t="shared" ref="AP158:AP164" si="164">(I158)*(((5*$B$150)*($B$147-1))+(3*$B$147*K158)-(5*$B$147*$B$148))</f>
        <v>-404.2314963038026</v>
      </c>
      <c r="AQ158" s="6">
        <f t="shared" ref="AQ158:AQ164" si="165">(10*($B$150-$B$148))*(($B$150*($B$147-2))-($B$147*$B$148))</f>
        <v>2155.474304179002</v>
      </c>
      <c r="AR158" s="6">
        <f t="shared" ref="AR158:AR164" si="166">(15*K158)*(($B$150*($B$147-1))-($B$147*$B$148))</f>
        <v>-1795.5796823883652</v>
      </c>
      <c r="AS158" s="6">
        <f t="shared" ref="AS158:AS164" si="167">$B$147*I158*I158</f>
        <v>64.765021497439704</v>
      </c>
      <c r="AT158" s="6">
        <f t="shared" ref="AT158:AT164" si="168">6*$B$147*K158*K158</f>
        <v>388.59012898463817</v>
      </c>
      <c r="AU158" s="6">
        <f t="shared" ref="AU158:AU164" si="169">SUM(AP158:AT158)</f>
        <v>409.01827596891223</v>
      </c>
      <c r="AV158" s="72">
        <f t="shared" ref="AV158:AV164" si="170">(J158*J158)*AU158</f>
        <v>2847.2398329662401</v>
      </c>
      <c r="AW158" s="72">
        <f t="shared" ref="AW158:AW164" si="171">AH158+AO158+AV158</f>
        <v>8541.7194988987212</v>
      </c>
      <c r="BC158">
        <v>2.7227136331111481</v>
      </c>
      <c r="BD158">
        <v>109.59377258544005</v>
      </c>
      <c r="BE158">
        <v>-35.125878935065906</v>
      </c>
      <c r="BF158" s="6">
        <f t="shared" ref="BF158:BF194" si="172">IF(BC158&lt;&gt;"",IF(AND(BD158=0,BE158=0),0,MOD(ATAN2(BD158,BE158),2*PI())),NA())</f>
        <v>5.9730199788805187</v>
      </c>
      <c r="BG158" s="6">
        <f t="shared" ref="BG158:BG194" si="173">ABS(BC158-BF158)</f>
        <v>3.2503063457693706</v>
      </c>
      <c r="BH158" s="6">
        <f t="shared" ref="BH158:BH194" si="174">ATAN2(COS($U$13-BF158),SIN($U$13-BF158))</f>
        <v>-2.1388833576870603E-2</v>
      </c>
      <c r="BI158" s="6">
        <f t="shared" ref="BI158:BI194" si="175">ABS(BH158)</f>
        <v>2.1388833576870603E-2</v>
      </c>
      <c r="BJ158">
        <v>121.77085842826672</v>
      </c>
      <c r="BK158">
        <v>-39.028754372295452</v>
      </c>
      <c r="BV158" s="38"/>
      <c r="BW158" s="6">
        <f t="shared" si="113"/>
        <v>2.4958208303518878</v>
      </c>
      <c r="BX158" s="9">
        <f t="shared" ca="1" si="114"/>
        <v>-14.085003916461986</v>
      </c>
      <c r="BY158" s="9">
        <f t="shared" ca="1" si="115"/>
        <v>6.3353348175746405</v>
      </c>
      <c r="BZ158" s="9">
        <f t="shared" ca="1" si="116"/>
        <v>109.81067714035919</v>
      </c>
      <c r="CA158" s="6">
        <f t="shared" ca="1" si="117"/>
        <v>-34.963225534699077</v>
      </c>
      <c r="CB158" s="6">
        <f t="shared" ca="1" si="118"/>
        <v>-0.30824680723766301</v>
      </c>
      <c r="CC158" s="6">
        <f t="shared" ca="1" si="119"/>
        <v>2.9381534161562195E-3</v>
      </c>
      <c r="CD158" s="9">
        <f t="shared" si="120"/>
        <v>97.610677140359186</v>
      </c>
      <c r="CE158" s="9">
        <f t="shared" si="121"/>
        <v>-30.763225534699078</v>
      </c>
      <c r="CF158" s="6">
        <f t="shared" si="122"/>
        <v>-0.30530865382150679</v>
      </c>
      <c r="CG158" s="6"/>
      <c r="CH158" s="6"/>
      <c r="CI158" s="6"/>
      <c r="CJ158" s="1"/>
      <c r="CK158" s="6"/>
    </row>
    <row r="159" spans="1:89" x14ac:dyDescent="0.2">
      <c r="A159" s="1" t="s">
        <v>45</v>
      </c>
      <c r="B159" s="6">
        <f t="shared" ref="B159:E159" si="176">B51</f>
        <v>2.6384001835150319</v>
      </c>
      <c r="C159" s="6">
        <f t="shared" si="176"/>
        <v>6.7110986039267706</v>
      </c>
      <c r="D159" s="6">
        <f t="shared" si="176"/>
        <v>2.6384001835150319</v>
      </c>
      <c r="E159" s="6">
        <f t="shared" si="176"/>
        <v>6.7110986039267706</v>
      </c>
      <c r="F159" s="6">
        <f t="shared" si="139"/>
        <v>0</v>
      </c>
      <c r="G159" s="6">
        <f t="shared" si="140"/>
        <v>0</v>
      </c>
      <c r="H159" s="6">
        <f t="shared" si="141"/>
        <v>0</v>
      </c>
      <c r="I159" s="6">
        <f t="shared" si="142"/>
        <v>0</v>
      </c>
      <c r="J159" s="6">
        <f t="shared" si="143"/>
        <v>0</v>
      </c>
      <c r="K159" s="6">
        <f t="shared" si="144"/>
        <v>0</v>
      </c>
      <c r="L159" s="6"/>
      <c r="M159" s="6">
        <f t="shared" si="145"/>
        <v>0</v>
      </c>
      <c r="N159" s="6">
        <f t="shared" si="146"/>
        <v>0</v>
      </c>
      <c r="O159" s="6">
        <f t="shared" si="147"/>
        <v>0</v>
      </c>
      <c r="P159" s="6">
        <f t="shared" si="129"/>
        <v>0</v>
      </c>
      <c r="Q159" s="6">
        <f t="shared" si="148"/>
        <v>0</v>
      </c>
      <c r="R159" s="6">
        <f t="shared" si="130"/>
        <v>0</v>
      </c>
      <c r="S159" s="6">
        <f t="shared" si="131"/>
        <v>0</v>
      </c>
      <c r="T159" s="71">
        <f t="shared" si="149"/>
        <v>0</v>
      </c>
      <c r="U159" s="10">
        <f t="shared" si="132"/>
        <v>0</v>
      </c>
      <c r="V159" s="10">
        <f t="shared" si="133"/>
        <v>0</v>
      </c>
      <c r="W159" s="10">
        <f t="shared" si="134"/>
        <v>0</v>
      </c>
      <c r="X159" s="10">
        <f t="shared" si="135"/>
        <v>0</v>
      </c>
      <c r="Y159" s="71">
        <f t="shared" si="136"/>
        <v>0</v>
      </c>
      <c r="Z159" s="71">
        <f t="shared" si="137"/>
        <v>0</v>
      </c>
      <c r="AA159" s="6"/>
      <c r="AB159" s="6">
        <f t="shared" si="150"/>
        <v>0</v>
      </c>
      <c r="AC159" s="6">
        <f t="shared" si="151"/>
        <v>2155.474304179002</v>
      </c>
      <c r="AD159" s="6">
        <f t="shared" si="152"/>
        <v>0</v>
      </c>
      <c r="AE159" s="6">
        <f t="shared" si="153"/>
        <v>0</v>
      </c>
      <c r="AF159" s="6">
        <f t="shared" si="154"/>
        <v>0</v>
      </c>
      <c r="AG159" s="6">
        <f t="shared" si="155"/>
        <v>2155.474304179002</v>
      </c>
      <c r="AH159" s="72">
        <f t="shared" si="156"/>
        <v>0</v>
      </c>
      <c r="AI159" s="6">
        <f t="shared" si="157"/>
        <v>0</v>
      </c>
      <c r="AJ159" s="6">
        <f t="shared" si="158"/>
        <v>2155.474304179002</v>
      </c>
      <c r="AK159" s="6">
        <f t="shared" si="159"/>
        <v>0</v>
      </c>
      <c r="AL159" s="6">
        <f t="shared" si="160"/>
        <v>0</v>
      </c>
      <c r="AM159" s="6">
        <f t="shared" si="161"/>
        <v>0</v>
      </c>
      <c r="AN159" s="6">
        <f t="shared" si="162"/>
        <v>2155.474304179002</v>
      </c>
      <c r="AO159" s="72">
        <f t="shared" si="163"/>
        <v>0</v>
      </c>
      <c r="AP159" s="6">
        <f t="shared" si="164"/>
        <v>0</v>
      </c>
      <c r="AQ159" s="6">
        <f t="shared" si="165"/>
        <v>2155.474304179002</v>
      </c>
      <c r="AR159" s="6">
        <f t="shared" si="166"/>
        <v>0</v>
      </c>
      <c r="AS159" s="6">
        <f t="shared" si="167"/>
        <v>0</v>
      </c>
      <c r="AT159" s="6">
        <f t="shared" si="168"/>
        <v>0</v>
      </c>
      <c r="AU159" s="6">
        <f t="shared" si="169"/>
        <v>2155.474304179002</v>
      </c>
      <c r="AV159" s="72">
        <f t="shared" si="170"/>
        <v>0</v>
      </c>
      <c r="AW159" s="72">
        <f t="shared" si="171"/>
        <v>0</v>
      </c>
      <c r="BC159">
        <v>2.7401669256310912</v>
      </c>
      <c r="BD159">
        <v>109.56824499644529</v>
      </c>
      <c r="BE159">
        <v>-35.146944541619831</v>
      </c>
      <c r="BF159" s="6">
        <f t="shared" si="172"/>
        <v>5.9727779307336339</v>
      </c>
      <c r="BG159" s="6">
        <f t="shared" si="173"/>
        <v>3.2326110051025427</v>
      </c>
      <c r="BH159" s="6">
        <f t="shared" si="174"/>
        <v>-2.1146785429985826E-2</v>
      </c>
      <c r="BI159" s="6">
        <f t="shared" si="175"/>
        <v>2.1146785429985826E-2</v>
      </c>
      <c r="BJ159">
        <v>121.74249444049477</v>
      </c>
      <c r="BK159">
        <v>-39.052160601799812</v>
      </c>
      <c r="BV159" s="38"/>
      <c r="BW159" s="6">
        <f t="shared" si="113"/>
        <v>2.5132741228718309</v>
      </c>
      <c r="BX159" s="9">
        <f t="shared" ca="1" si="114"/>
        <v>-14.096887203871546</v>
      </c>
      <c r="BY159" s="9">
        <f t="shared" ca="1" si="115"/>
        <v>6.3261872791014184</v>
      </c>
      <c r="BZ159" s="9">
        <f t="shared" ca="1" si="116"/>
        <v>109.79879385294963</v>
      </c>
      <c r="CA159" s="6">
        <f t="shared" ca="1" si="117"/>
        <v>-34.972373073172299</v>
      </c>
      <c r="CB159" s="6">
        <f t="shared" ca="1" si="118"/>
        <v>-0.30835373449358705</v>
      </c>
      <c r="CC159" s="6">
        <f t="shared" ca="1" si="119"/>
        <v>2.924921730255603E-3</v>
      </c>
      <c r="CD159" s="9">
        <f t="shared" si="120"/>
        <v>97.598793852949626</v>
      </c>
      <c r="CE159" s="9">
        <f t="shared" si="121"/>
        <v>-30.7723730731723</v>
      </c>
      <c r="CF159" s="6">
        <f t="shared" si="122"/>
        <v>-0.30542881276333145</v>
      </c>
      <c r="CG159" s="6"/>
      <c r="CH159" s="6"/>
      <c r="CI159" s="6"/>
      <c r="CJ159" s="1"/>
      <c r="CK159" s="6"/>
    </row>
    <row r="160" spans="1:89" x14ac:dyDescent="0.2">
      <c r="A160" s="1" t="s">
        <v>46</v>
      </c>
      <c r="B160" s="6">
        <f t="shared" ref="B160:E160" si="177">B52</f>
        <v>2.6384001835150319</v>
      </c>
      <c r="C160" s="6">
        <f t="shared" si="177"/>
        <v>6.7110986039267706</v>
      </c>
      <c r="D160" s="6">
        <f t="shared" si="177"/>
        <v>-1.932829184100429</v>
      </c>
      <c r="E160" s="6">
        <f t="shared" si="177"/>
        <v>13.276451760357121</v>
      </c>
      <c r="F160" s="6">
        <f t="shared" si="139"/>
        <v>0.86713350339048378</v>
      </c>
      <c r="G160" s="6">
        <f t="shared" si="140"/>
        <v>0.56377246853533891</v>
      </c>
      <c r="H160" s="6">
        <f t="shared" si="141"/>
        <v>6.1266918693227534E-2</v>
      </c>
      <c r="I160" s="6">
        <f t="shared" si="142"/>
        <v>10.412463959733788</v>
      </c>
      <c r="J160" s="6">
        <f t="shared" si="143"/>
        <v>-1.325465952826828</v>
      </c>
      <c r="K160" s="6">
        <f t="shared" si="144"/>
        <v>12.404136287457991</v>
      </c>
      <c r="L160" s="6"/>
      <c r="M160" s="6">
        <f t="shared" si="145"/>
        <v>-4545.1619397898958</v>
      </c>
      <c r="N160" s="6">
        <f t="shared" si="146"/>
        <v>-53909.531502576821</v>
      </c>
      <c r="O160" s="6">
        <f t="shared" si="147"/>
        <v>2152.5925426699869</v>
      </c>
      <c r="P160" s="6">
        <f t="shared" si="129"/>
        <v>-7735.4719821098006</v>
      </c>
      <c r="Q160" s="6">
        <f t="shared" si="148"/>
        <v>-2897.7138352373704</v>
      </c>
      <c r="R160" s="6">
        <f t="shared" si="130"/>
        <v>4073.7739607236108</v>
      </c>
      <c r="S160" s="6">
        <f t="shared" si="131"/>
        <v>4870.0684206458645</v>
      </c>
      <c r="T160" s="71">
        <f t="shared" si="149"/>
        <v>2239.1672070199229</v>
      </c>
      <c r="U160" s="10">
        <f t="shared" si="132"/>
        <v>-40611.227906076456</v>
      </c>
      <c r="V160" s="10">
        <f t="shared" si="133"/>
        <v>12634.763124895075</v>
      </c>
      <c r="W160" s="10">
        <f t="shared" si="134"/>
        <v>7525.7558809814118</v>
      </c>
      <c r="X160" s="10">
        <f t="shared" si="135"/>
        <v>19480.273682583458</v>
      </c>
      <c r="Y160" s="71">
        <f t="shared" si="136"/>
        <v>-59.455575574755414</v>
      </c>
      <c r="Z160" s="71">
        <f t="shared" si="137"/>
        <v>2179.7116314451673</v>
      </c>
      <c r="AA160" s="6"/>
      <c r="AB160" s="6">
        <f t="shared" si="150"/>
        <v>-2228.7151279535101</v>
      </c>
      <c r="AC160" s="6">
        <f t="shared" si="151"/>
        <v>2155.474304179002</v>
      </c>
      <c r="AD160" s="6">
        <f t="shared" si="152"/>
        <v>-1106.2577783367071</v>
      </c>
      <c r="AE160" s="6">
        <f t="shared" si="153"/>
        <v>935.43054544610902</v>
      </c>
      <c r="AF160" s="6">
        <f t="shared" si="154"/>
        <v>221.25155566734142</v>
      </c>
      <c r="AG160" s="6">
        <f t="shared" si="155"/>
        <v>-22.816500997764734</v>
      </c>
      <c r="AH160" s="72">
        <f t="shared" si="156"/>
        <v>-8.5644824164632857E-2</v>
      </c>
      <c r="AI160" s="6">
        <f t="shared" si="157"/>
        <v>-1114.3575639767553</v>
      </c>
      <c r="AJ160" s="6">
        <f t="shared" si="158"/>
        <v>2155.474304179002</v>
      </c>
      <c r="AK160" s="6">
        <f t="shared" si="159"/>
        <v>-2212.5155566734143</v>
      </c>
      <c r="AL160" s="6">
        <f t="shared" si="160"/>
        <v>467.71527272305451</v>
      </c>
      <c r="AM160" s="6">
        <f t="shared" si="161"/>
        <v>663.75466700202423</v>
      </c>
      <c r="AN160" s="6">
        <f t="shared" si="162"/>
        <v>-39.92887674608869</v>
      </c>
      <c r="AO160" s="72">
        <f t="shared" si="163"/>
        <v>3.2425128691443228</v>
      </c>
      <c r="AP160" s="6">
        <f t="shared" si="164"/>
        <v>-371.452521325585</v>
      </c>
      <c r="AQ160" s="6">
        <f t="shared" si="165"/>
        <v>2155.474304179002</v>
      </c>
      <c r="AR160" s="6">
        <f t="shared" si="166"/>
        <v>-3318.7733350101216</v>
      </c>
      <c r="AS160" s="6">
        <f t="shared" si="167"/>
        <v>155.90509090768484</v>
      </c>
      <c r="AT160" s="6">
        <f t="shared" si="168"/>
        <v>1327.5093340040485</v>
      </c>
      <c r="AU160" s="6">
        <f t="shared" si="169"/>
        <v>-51.337127244971271</v>
      </c>
      <c r="AV160" s="72">
        <f t="shared" si="170"/>
        <v>-90.19214496619766</v>
      </c>
      <c r="AW160" s="72">
        <f t="shared" si="171"/>
        <v>-87.035276921217971</v>
      </c>
      <c r="BC160">
        <v>2.7576202181510343</v>
      </c>
      <c r="BD160">
        <v>109.54061687012829</v>
      </c>
      <c r="BE160">
        <v>-35.170611021507192</v>
      </c>
      <c r="BF160" s="6">
        <f t="shared" si="172"/>
        <v>5.972508701648704</v>
      </c>
      <c r="BG160" s="6">
        <f t="shared" si="173"/>
        <v>3.2148884834976696</v>
      </c>
      <c r="BH160" s="6">
        <f t="shared" si="174"/>
        <v>-2.087755634505584E-2</v>
      </c>
      <c r="BI160" s="6">
        <f t="shared" si="175"/>
        <v>2.087755634505584E-2</v>
      </c>
      <c r="BJ160">
        <v>121.71179652236476</v>
      </c>
      <c r="BK160">
        <v>-39.078456690563549</v>
      </c>
      <c r="BV160" s="38"/>
      <c r="BW160" s="6">
        <f t="shared" si="113"/>
        <v>2.530727415391774</v>
      </c>
      <c r="BX160" s="9">
        <f t="shared" ca="1" si="114"/>
        <v>-14.109299929307497</v>
      </c>
      <c r="BY160" s="9">
        <f t="shared" ca="1" si="115"/>
        <v>6.3168192652026818</v>
      </c>
      <c r="BZ160" s="9">
        <f t="shared" ca="1" si="116"/>
        <v>109.78638112751368</v>
      </c>
      <c r="CA160" s="6">
        <f t="shared" ca="1" si="117"/>
        <v>-34.981741087071036</v>
      </c>
      <c r="CB160" s="6">
        <f t="shared" ca="1" si="118"/>
        <v>-0.3084638956908074</v>
      </c>
      <c r="CC160" s="6">
        <f t="shared" ca="1" si="119"/>
        <v>2.911292555700828E-3</v>
      </c>
      <c r="CD160" s="9">
        <f t="shared" si="120"/>
        <v>97.586381127513675</v>
      </c>
      <c r="CE160" s="9">
        <f t="shared" si="121"/>
        <v>-30.781741087071037</v>
      </c>
      <c r="CF160" s="6">
        <f t="shared" si="122"/>
        <v>-0.30555260313510657</v>
      </c>
      <c r="CG160" s="6"/>
      <c r="CH160" s="6"/>
      <c r="CI160" s="6"/>
      <c r="CJ160" s="1"/>
      <c r="CK160" s="6"/>
    </row>
    <row r="161" spans="1:89" x14ac:dyDescent="0.2">
      <c r="A161" s="1" t="s">
        <v>47</v>
      </c>
      <c r="B161" s="6">
        <f t="shared" ref="B161:E161" si="178">B53</f>
        <v>-1.932829184100429</v>
      </c>
      <c r="C161" s="6">
        <f t="shared" si="178"/>
        <v>13.276451760357121</v>
      </c>
      <c r="D161" s="6">
        <f t="shared" si="178"/>
        <v>-11.780858918745954</v>
      </c>
      <c r="E161" s="6">
        <f t="shared" si="178"/>
        <v>6.4196077089339294</v>
      </c>
      <c r="F161" s="6">
        <f t="shared" si="139"/>
        <v>0.12721821677103393</v>
      </c>
      <c r="G161" s="6">
        <f t="shared" si="140"/>
        <v>0.41768308847988017</v>
      </c>
      <c r="H161" s="6">
        <f>IF(AND(F161=0,G161=0),0,IF(C161&gt;E161,B161+(F161*(D161-B161)),B161+(G161*(D161-B161))))</f>
        <v>-3.185677965650151</v>
      </c>
      <c r="I161" s="6">
        <f t="shared" si="142"/>
        <v>12.404136287457991</v>
      </c>
      <c r="J161" s="6">
        <f t="shared" si="143"/>
        <v>-6.0461846591088664</v>
      </c>
      <c r="K161" s="6">
        <f t="shared" si="144"/>
        <v>10.412463959733788</v>
      </c>
      <c r="L161" s="6"/>
      <c r="M161" s="6">
        <f t="shared" si="145"/>
        <v>24030.275365645226</v>
      </c>
      <c r="N161" s="6">
        <f t="shared" si="146"/>
        <v>278218.26152295363</v>
      </c>
      <c r="O161" s="6">
        <f t="shared" si="147"/>
        <v>-52535.680777510228</v>
      </c>
      <c r="P161" s="6">
        <f t="shared" si="129"/>
        <v>-13621.701406570653</v>
      </c>
      <c r="Q161" s="6">
        <f t="shared" si="148"/>
        <v>-1933.8679955274524</v>
      </c>
      <c r="R161" s="6">
        <f t="shared" si="130"/>
        <v>6351.8308335521915</v>
      </c>
      <c r="S161" s="6">
        <f t="shared" si="131"/>
        <v>8233.3033509294037</v>
      </c>
      <c r="T161" s="71">
        <f t="shared" si="149"/>
        <v>5867.4305254119299</v>
      </c>
      <c r="U161" s="10">
        <f t="shared" si="132"/>
        <v>-61599.068864502995</v>
      </c>
      <c r="V161" s="10">
        <f t="shared" si="133"/>
        <v>19001.325051040218</v>
      </c>
      <c r="W161" s="10">
        <f t="shared" si="134"/>
        <v>7975.1869737674842</v>
      </c>
      <c r="X161" s="10">
        <f t="shared" si="135"/>
        <v>32933.213403717615</v>
      </c>
      <c r="Y161" s="71">
        <f t="shared" si="136"/>
        <v>5381.7041604097894</v>
      </c>
      <c r="Z161" s="71">
        <f t="shared" si="137"/>
        <v>11249.134685821718</v>
      </c>
      <c r="AA161" s="6"/>
      <c r="AB161" s="6">
        <f t="shared" si="150"/>
        <v>-2761.5945530217436</v>
      </c>
      <c r="AC161" s="6">
        <f t="shared" si="151"/>
        <v>2155.474304179002</v>
      </c>
      <c r="AD161" s="6">
        <f t="shared" si="152"/>
        <v>-928.63130331396269</v>
      </c>
      <c r="AE161" s="6">
        <f t="shared" si="153"/>
        <v>1327.5093340040485</v>
      </c>
      <c r="AF161" s="6">
        <f t="shared" si="154"/>
        <v>155.90509090768484</v>
      </c>
      <c r="AG161" s="6">
        <f t="shared" si="155"/>
        <v>-51.337127244970986</v>
      </c>
      <c r="AH161" s="72">
        <f t="shared" si="156"/>
        <v>-520.99709985545212</v>
      </c>
      <c r="AI161" s="6">
        <f t="shared" si="157"/>
        <v>-1469.6105140222442</v>
      </c>
      <c r="AJ161" s="6">
        <f t="shared" si="158"/>
        <v>2155.474304179002</v>
      </c>
      <c r="AK161" s="6">
        <f t="shared" si="159"/>
        <v>-1857.2626066279254</v>
      </c>
      <c r="AL161" s="6">
        <f t="shared" si="160"/>
        <v>663.75466700202423</v>
      </c>
      <c r="AM161" s="6">
        <f t="shared" si="161"/>
        <v>467.71527272305451</v>
      </c>
      <c r="AN161" s="6">
        <f t="shared" si="162"/>
        <v>-39.928876746088747</v>
      </c>
      <c r="AO161" s="72">
        <f t="shared" si="163"/>
        <v>-769.07797076872862</v>
      </c>
      <c r="AP161" s="6">
        <f t="shared" si="164"/>
        <v>-549.0789963483295</v>
      </c>
      <c r="AQ161" s="6">
        <f t="shared" si="165"/>
        <v>2155.474304179002</v>
      </c>
      <c r="AR161" s="6">
        <f t="shared" si="166"/>
        <v>-2785.8939099418881</v>
      </c>
      <c r="AS161" s="6">
        <f t="shared" si="167"/>
        <v>221.25155566734142</v>
      </c>
      <c r="AT161" s="6">
        <f t="shared" si="168"/>
        <v>935.43054544610902</v>
      </c>
      <c r="AU161" s="6">
        <f t="shared" si="169"/>
        <v>-22.816500997764933</v>
      </c>
      <c r="AV161" s="72">
        <f t="shared" si="170"/>
        <v>-834.08797188261121</v>
      </c>
      <c r="AW161" s="72">
        <f t="shared" si="171"/>
        <v>-2124.163042506792</v>
      </c>
      <c r="BC161">
        <v>2.7750735106709774</v>
      </c>
      <c r="BD161">
        <v>109.51060434149873</v>
      </c>
      <c r="BE161">
        <v>-35.197420765316764</v>
      </c>
      <c r="BF161" s="6">
        <f t="shared" si="172"/>
        <v>5.9722070254420689</v>
      </c>
      <c r="BG161" s="6">
        <f t="shared" si="173"/>
        <v>3.1971335147710915</v>
      </c>
      <c r="BH161" s="6">
        <f t="shared" si="174"/>
        <v>-2.0575880138420821E-2</v>
      </c>
      <c r="BI161" s="6">
        <f t="shared" si="175"/>
        <v>2.0575880138420821E-2</v>
      </c>
      <c r="BJ161">
        <v>121.67844926833192</v>
      </c>
      <c r="BK161">
        <v>-39.108245294796404</v>
      </c>
      <c r="BV161" s="38"/>
      <c r="BW161" s="6">
        <f t="shared" si="113"/>
        <v>2.5481807079117171</v>
      </c>
      <c r="BX161" s="9">
        <f t="shared" ca="1" si="114"/>
        <v>-14.122297452967985</v>
      </c>
      <c r="BY161" s="9">
        <f t="shared" ca="1" si="115"/>
        <v>6.3071682153024753</v>
      </c>
      <c r="BZ161" s="9">
        <f t="shared" ca="1" si="116"/>
        <v>109.77338360385319</v>
      </c>
      <c r="CA161" s="6">
        <f t="shared" ca="1" si="117"/>
        <v>-34.991392136971243</v>
      </c>
      <c r="CB161" s="6">
        <f t="shared" ca="1" si="118"/>
        <v>-0.30857795610620459</v>
      </c>
      <c r="CC161" s="6">
        <f t="shared" ca="1" si="119"/>
        <v>2.8971826942043029E-3</v>
      </c>
      <c r="CD161" s="9">
        <f t="shared" si="120"/>
        <v>97.573383603853188</v>
      </c>
      <c r="CE161" s="9">
        <f t="shared" si="121"/>
        <v>-30.791392136971243</v>
      </c>
      <c r="CF161" s="6">
        <f t="shared" si="122"/>
        <v>-0.30568077341200028</v>
      </c>
      <c r="CG161" s="6"/>
      <c r="CH161" s="6"/>
      <c r="CI161" s="6"/>
      <c r="CJ161" s="1"/>
      <c r="CK161" s="6"/>
    </row>
    <row r="162" spans="1:89" x14ac:dyDescent="0.2">
      <c r="A162" s="1" t="s">
        <v>48</v>
      </c>
      <c r="B162" s="6">
        <f t="shared" ref="B162:E162" si="179">B54</f>
        <v>-11.780858918745954</v>
      </c>
      <c r="C162" s="6">
        <f t="shared" si="179"/>
        <v>6.4196077089339294</v>
      </c>
      <c r="D162" s="6">
        <f t="shared" si="179"/>
        <v>-7.2096295511304938</v>
      </c>
      <c r="E162" s="6">
        <f t="shared" si="179"/>
        <v>-0.14574544749642104</v>
      </c>
      <c r="F162" s="6">
        <f t="shared" si="139"/>
        <v>0</v>
      </c>
      <c r="G162" s="6">
        <f t="shared" si="140"/>
        <v>0</v>
      </c>
      <c r="H162" s="6">
        <f t="shared" si="141"/>
        <v>0</v>
      </c>
      <c r="I162" s="6">
        <f t="shared" si="142"/>
        <v>0</v>
      </c>
      <c r="J162" s="6">
        <f t="shared" si="143"/>
        <v>0</v>
      </c>
      <c r="K162" s="6">
        <f t="shared" si="144"/>
        <v>0</v>
      </c>
      <c r="L162" s="6"/>
      <c r="M162" s="6">
        <f t="shared" si="145"/>
        <v>0</v>
      </c>
      <c r="N162" s="6">
        <f t="shared" si="146"/>
        <v>0</v>
      </c>
      <c r="O162" s="6">
        <f t="shared" si="147"/>
        <v>0</v>
      </c>
      <c r="P162" s="6">
        <f t="shared" si="129"/>
        <v>0</v>
      </c>
      <c r="Q162" s="6">
        <f t="shared" si="148"/>
        <v>0</v>
      </c>
      <c r="R162" s="6">
        <f t="shared" si="130"/>
        <v>0</v>
      </c>
      <c r="S162" s="6">
        <f t="shared" si="131"/>
        <v>0</v>
      </c>
      <c r="T162" s="71">
        <f t="shared" si="149"/>
        <v>0</v>
      </c>
      <c r="U162" s="10">
        <f t="shared" si="132"/>
        <v>0</v>
      </c>
      <c r="V162" s="10">
        <f t="shared" si="133"/>
        <v>0</v>
      </c>
      <c r="W162" s="10">
        <f t="shared" si="134"/>
        <v>0</v>
      </c>
      <c r="X162" s="10">
        <f t="shared" si="135"/>
        <v>0</v>
      </c>
      <c r="Y162" s="71">
        <f t="shared" si="136"/>
        <v>0</v>
      </c>
      <c r="Z162" s="71">
        <f t="shared" si="137"/>
        <v>0</v>
      </c>
      <c r="AA162" s="6"/>
      <c r="AB162" s="6">
        <f t="shared" si="150"/>
        <v>0</v>
      </c>
      <c r="AC162" s="6">
        <f t="shared" si="151"/>
        <v>2155.474304179002</v>
      </c>
      <c r="AD162" s="6">
        <f t="shared" si="152"/>
        <v>0</v>
      </c>
      <c r="AE162" s="6">
        <f t="shared" si="153"/>
        <v>0</v>
      </c>
      <c r="AF162" s="6">
        <f t="shared" si="154"/>
        <v>0</v>
      </c>
      <c r="AG162" s="6">
        <f t="shared" si="155"/>
        <v>2155.474304179002</v>
      </c>
      <c r="AH162" s="72">
        <f t="shared" si="156"/>
        <v>0</v>
      </c>
      <c r="AI162" s="6">
        <f t="shared" si="157"/>
        <v>0</v>
      </c>
      <c r="AJ162" s="6">
        <f t="shared" si="158"/>
        <v>2155.474304179002</v>
      </c>
      <c r="AK162" s="6">
        <f t="shared" si="159"/>
        <v>0</v>
      </c>
      <c r="AL162" s="6">
        <f t="shared" si="160"/>
        <v>0</v>
      </c>
      <c r="AM162" s="6">
        <f t="shared" si="161"/>
        <v>0</v>
      </c>
      <c r="AN162" s="6">
        <f t="shared" si="162"/>
        <v>2155.474304179002</v>
      </c>
      <c r="AO162" s="72">
        <f t="shared" si="163"/>
        <v>0</v>
      </c>
      <c r="AP162" s="6">
        <f t="shared" si="164"/>
        <v>0</v>
      </c>
      <c r="AQ162" s="6">
        <f t="shared" si="165"/>
        <v>2155.474304179002</v>
      </c>
      <c r="AR162" s="6">
        <f t="shared" si="166"/>
        <v>0</v>
      </c>
      <c r="AS162" s="6">
        <f t="shared" si="167"/>
        <v>0</v>
      </c>
      <c r="AT162" s="6">
        <f t="shared" si="168"/>
        <v>0</v>
      </c>
      <c r="AU162" s="6">
        <f t="shared" si="169"/>
        <v>2155.474304179002</v>
      </c>
      <c r="AV162" s="72">
        <f t="shared" si="170"/>
        <v>0</v>
      </c>
      <c r="AW162" s="72">
        <f t="shared" si="171"/>
        <v>0</v>
      </c>
      <c r="BC162">
        <v>2.7925268031909205</v>
      </c>
      <c r="BD162">
        <v>109.47787120275075</v>
      </c>
      <c r="BE162">
        <v>-35.228051866092997</v>
      </c>
      <c r="BF162" s="6">
        <f t="shared" si="172"/>
        <v>5.9718663664357914</v>
      </c>
      <c r="BG162" s="6">
        <f t="shared" si="173"/>
        <v>3.1793395632448709</v>
      </c>
      <c r="BH162" s="6">
        <f t="shared" si="174"/>
        <v>-2.0235221132143266E-2</v>
      </c>
      <c r="BI162" s="6">
        <f t="shared" si="175"/>
        <v>2.0235221132143266E-2</v>
      </c>
      <c r="BJ162">
        <v>121.6420791141675</v>
      </c>
      <c r="BK162">
        <v>-39.14227985121444</v>
      </c>
      <c r="BV162" s="38"/>
      <c r="BW162" s="6">
        <f t="shared" si="113"/>
        <v>2.5656340004316602</v>
      </c>
      <c r="BX162" s="9">
        <f t="shared" ca="1" si="114"/>
        <v>-14.135940418808033</v>
      </c>
      <c r="BY162" s="9">
        <f t="shared" ca="1" si="115"/>
        <v>6.2971637160795808</v>
      </c>
      <c r="BZ162" s="9">
        <f t="shared" ca="1" si="116"/>
        <v>109.75974063801314</v>
      </c>
      <c r="CA162" s="6">
        <f t="shared" ca="1" si="117"/>
        <v>-35.001396636194137</v>
      </c>
      <c r="CB162" s="6">
        <f t="shared" ca="1" si="118"/>
        <v>-0.30869666033160309</v>
      </c>
      <c r="CC162" s="6">
        <f t="shared" ca="1" si="119"/>
        <v>2.8824989583589029E-3</v>
      </c>
      <c r="CD162" s="9">
        <f t="shared" si="120"/>
        <v>97.559740638013139</v>
      </c>
      <c r="CE162" s="9">
        <f t="shared" si="121"/>
        <v>-30.801396636194138</v>
      </c>
      <c r="CF162" s="6">
        <f t="shared" si="122"/>
        <v>-0.30581416137324419</v>
      </c>
      <c r="CG162" s="6"/>
      <c r="CH162" s="6"/>
      <c r="CI162" s="6"/>
      <c r="CJ162" s="1"/>
      <c r="CK162" s="6"/>
    </row>
    <row r="163" spans="1:89" x14ac:dyDescent="0.2">
      <c r="A163" s="1" t="s">
        <v>93</v>
      </c>
      <c r="B163" s="6">
        <f t="shared" ref="B163:E163" si="180">B55</f>
        <v>-7.2096295511304938</v>
      </c>
      <c r="C163" s="6">
        <f t="shared" si="180"/>
        <v>-0.14574544749642104</v>
      </c>
      <c r="D163" s="6">
        <f t="shared" si="180"/>
        <v>-7.2096295511304938</v>
      </c>
      <c r="E163" s="6">
        <f t="shared" si="180"/>
        <v>-0.14574544749642104</v>
      </c>
      <c r="F163" s="6">
        <f t="shared" si="139"/>
        <v>0</v>
      </c>
      <c r="G163" s="6">
        <f t="shared" si="140"/>
        <v>0</v>
      </c>
      <c r="H163" s="6">
        <f t="shared" si="141"/>
        <v>0</v>
      </c>
      <c r="I163" s="6">
        <f t="shared" si="142"/>
        <v>0</v>
      </c>
      <c r="J163" s="6">
        <f t="shared" si="143"/>
        <v>0</v>
      </c>
      <c r="K163" s="6">
        <f t="shared" si="144"/>
        <v>0</v>
      </c>
      <c r="L163" s="6"/>
      <c r="M163" s="6">
        <f t="shared" si="145"/>
        <v>0</v>
      </c>
      <c r="N163" s="6">
        <f t="shared" si="146"/>
        <v>0</v>
      </c>
      <c r="O163" s="6">
        <f t="shared" si="147"/>
        <v>0</v>
      </c>
      <c r="P163" s="6">
        <f t="shared" si="129"/>
        <v>0</v>
      </c>
      <c r="Q163" s="6">
        <f t="shared" si="148"/>
        <v>0</v>
      </c>
      <c r="R163" s="6">
        <f t="shared" si="130"/>
        <v>0</v>
      </c>
      <c r="S163" s="6">
        <f t="shared" si="131"/>
        <v>0</v>
      </c>
      <c r="T163" s="71">
        <f t="shared" si="149"/>
        <v>0</v>
      </c>
      <c r="U163" s="10">
        <f t="shared" si="132"/>
        <v>0</v>
      </c>
      <c r="V163" s="10">
        <f t="shared" si="133"/>
        <v>0</v>
      </c>
      <c r="W163" s="10">
        <f t="shared" si="134"/>
        <v>0</v>
      </c>
      <c r="X163" s="10">
        <f t="shared" si="135"/>
        <v>0</v>
      </c>
      <c r="Y163" s="71">
        <f t="shared" si="136"/>
        <v>0</v>
      </c>
      <c r="Z163" s="71">
        <f t="shared" si="137"/>
        <v>0</v>
      </c>
      <c r="AA163" s="6"/>
      <c r="AB163" s="6">
        <f t="shared" si="150"/>
        <v>0</v>
      </c>
      <c r="AC163" s="6">
        <f t="shared" si="151"/>
        <v>2155.474304179002</v>
      </c>
      <c r="AD163" s="6">
        <f t="shared" si="152"/>
        <v>0</v>
      </c>
      <c r="AE163" s="6">
        <f t="shared" si="153"/>
        <v>0</v>
      </c>
      <c r="AF163" s="6">
        <f t="shared" si="154"/>
        <v>0</v>
      </c>
      <c r="AG163" s="6">
        <f t="shared" si="155"/>
        <v>2155.474304179002</v>
      </c>
      <c r="AH163" s="72">
        <f t="shared" si="156"/>
        <v>0</v>
      </c>
      <c r="AI163" s="6">
        <f t="shared" si="157"/>
        <v>0</v>
      </c>
      <c r="AJ163" s="6">
        <f t="shared" si="158"/>
        <v>2155.474304179002</v>
      </c>
      <c r="AK163" s="6">
        <f t="shared" si="159"/>
        <v>0</v>
      </c>
      <c r="AL163" s="6">
        <f t="shared" si="160"/>
        <v>0</v>
      </c>
      <c r="AM163" s="6">
        <f t="shared" si="161"/>
        <v>0</v>
      </c>
      <c r="AN163" s="6">
        <f t="shared" si="162"/>
        <v>2155.474304179002</v>
      </c>
      <c r="AO163" s="72">
        <f t="shared" si="163"/>
        <v>0</v>
      </c>
      <c r="AP163" s="6">
        <f t="shared" si="164"/>
        <v>0</v>
      </c>
      <c r="AQ163" s="6">
        <f t="shared" si="165"/>
        <v>2155.474304179002</v>
      </c>
      <c r="AR163" s="6">
        <f t="shared" si="166"/>
        <v>0</v>
      </c>
      <c r="AS163" s="6">
        <f t="shared" si="167"/>
        <v>0</v>
      </c>
      <c r="AT163" s="6">
        <f t="shared" si="168"/>
        <v>0</v>
      </c>
      <c r="AU163" s="6">
        <f t="shared" si="169"/>
        <v>2155.474304179002</v>
      </c>
      <c r="AV163" s="72">
        <f t="shared" si="170"/>
        <v>0</v>
      </c>
      <c r="AW163" s="72">
        <f t="shared" si="171"/>
        <v>0</v>
      </c>
      <c r="BC163">
        <v>2.8099800957108636</v>
      </c>
      <c r="BD163">
        <v>109.44201604613612</v>
      </c>
      <c r="BE163">
        <v>-35.263360731447719</v>
      </c>
      <c r="BF163" s="6">
        <f t="shared" si="172"/>
        <v>5.9714785300839512</v>
      </c>
      <c r="BG163" s="6">
        <f t="shared" si="173"/>
        <v>3.1614984343730876</v>
      </c>
      <c r="BH163" s="6">
        <f t="shared" si="174"/>
        <v>-1.9847384780303127E-2</v>
      </c>
      <c r="BI163" s="6">
        <f t="shared" si="175"/>
        <v>1.9847384780303127E-2</v>
      </c>
      <c r="BJ163">
        <v>121.60224005126236</v>
      </c>
      <c r="BK163">
        <v>-39.181511923830797</v>
      </c>
      <c r="BV163" s="38"/>
      <c r="BW163" s="6">
        <f t="shared" si="113"/>
        <v>2.5830872929516033</v>
      </c>
      <c r="BX163" s="9">
        <f t="shared" ca="1" si="114"/>
        <v>-14.150295664927981</v>
      </c>
      <c r="BY163" s="9">
        <f t="shared" ca="1" si="115"/>
        <v>6.2867258058793638</v>
      </c>
      <c r="BZ163" s="9">
        <f t="shared" ca="1" si="116"/>
        <v>109.74538539189319</v>
      </c>
      <c r="CA163" s="6">
        <f t="shared" ca="1" si="117"/>
        <v>-35.011834546394354</v>
      </c>
      <c r="CB163" s="6">
        <f t="shared" ca="1" si="118"/>
        <v>-0.30882084878948868</v>
      </c>
      <c r="CC163" s="6">
        <f t="shared" ca="1" si="119"/>
        <v>2.8671360857409622E-3</v>
      </c>
      <c r="CD163" s="9">
        <f t="shared" si="120"/>
        <v>97.545385391893191</v>
      </c>
      <c r="CE163" s="9">
        <f t="shared" si="121"/>
        <v>-30.811834546394355</v>
      </c>
      <c r="CF163" s="6">
        <f t="shared" si="122"/>
        <v>-0.30595371270374772</v>
      </c>
      <c r="CG163" s="6"/>
      <c r="CH163" s="6"/>
      <c r="CI163" s="6"/>
      <c r="CJ163" s="1"/>
      <c r="CK163" s="6"/>
    </row>
    <row r="164" spans="1:89" ht="16" thickBot="1" x14ac:dyDescent="0.25">
      <c r="A164" s="1" t="s">
        <v>94</v>
      </c>
      <c r="B164" s="6">
        <f t="shared" ref="B164:E164" si="181">B56</f>
        <v>-7.2096295511304938</v>
      </c>
      <c r="C164" s="6">
        <f t="shared" si="181"/>
        <v>-0.14574544749642104</v>
      </c>
      <c r="D164" s="6">
        <f t="shared" si="181"/>
        <v>1.932829184100429</v>
      </c>
      <c r="E164" s="6">
        <f t="shared" si="181"/>
        <v>-13.276451760357121</v>
      </c>
      <c r="F164" s="6">
        <f t="shared" si="139"/>
        <v>0</v>
      </c>
      <c r="G164" s="6">
        <f t="shared" si="140"/>
        <v>0</v>
      </c>
      <c r="H164" s="6">
        <f t="shared" si="141"/>
        <v>0</v>
      </c>
      <c r="I164" s="6">
        <f t="shared" si="142"/>
        <v>0</v>
      </c>
      <c r="J164" s="6">
        <f t="shared" si="143"/>
        <v>0</v>
      </c>
      <c r="K164" s="6">
        <f t="shared" si="144"/>
        <v>0</v>
      </c>
      <c r="L164" s="6"/>
      <c r="M164" s="11">
        <f t="shared" si="145"/>
        <v>0</v>
      </c>
      <c r="N164" s="11">
        <f t="shared" si="146"/>
        <v>0</v>
      </c>
      <c r="O164" s="11">
        <f t="shared" si="147"/>
        <v>0</v>
      </c>
      <c r="P164" s="6">
        <f t="shared" si="129"/>
        <v>0</v>
      </c>
      <c r="Q164" s="6">
        <f t="shared" si="148"/>
        <v>0</v>
      </c>
      <c r="R164" s="6">
        <f t="shared" si="130"/>
        <v>0</v>
      </c>
      <c r="S164" s="6">
        <f t="shared" si="131"/>
        <v>0</v>
      </c>
      <c r="T164" s="71">
        <f t="shared" si="149"/>
        <v>0</v>
      </c>
      <c r="U164" s="10">
        <f t="shared" si="132"/>
        <v>0</v>
      </c>
      <c r="V164" s="10">
        <f t="shared" si="133"/>
        <v>0</v>
      </c>
      <c r="W164" s="10">
        <f t="shared" si="134"/>
        <v>0</v>
      </c>
      <c r="X164" s="10">
        <f t="shared" si="135"/>
        <v>0</v>
      </c>
      <c r="Y164" s="71">
        <f t="shared" si="136"/>
        <v>0</v>
      </c>
      <c r="Z164" s="71">
        <f t="shared" si="137"/>
        <v>0</v>
      </c>
      <c r="AA164" s="6"/>
      <c r="AB164" s="6">
        <f t="shared" si="150"/>
        <v>0</v>
      </c>
      <c r="AC164" s="6">
        <f t="shared" si="151"/>
        <v>2155.474304179002</v>
      </c>
      <c r="AD164" s="6">
        <f t="shared" si="152"/>
        <v>0</v>
      </c>
      <c r="AE164" s="6">
        <f t="shared" si="153"/>
        <v>0</v>
      </c>
      <c r="AF164" s="6">
        <f t="shared" si="154"/>
        <v>0</v>
      </c>
      <c r="AG164" s="6">
        <f t="shared" si="155"/>
        <v>2155.474304179002</v>
      </c>
      <c r="AH164" s="72">
        <f t="shared" si="156"/>
        <v>0</v>
      </c>
      <c r="AI164" s="6">
        <f t="shared" si="157"/>
        <v>0</v>
      </c>
      <c r="AJ164" s="6">
        <f t="shared" si="158"/>
        <v>2155.474304179002</v>
      </c>
      <c r="AK164" s="6">
        <f t="shared" si="159"/>
        <v>0</v>
      </c>
      <c r="AL164" s="6">
        <f t="shared" si="160"/>
        <v>0</v>
      </c>
      <c r="AM164" s="6">
        <f t="shared" si="161"/>
        <v>0</v>
      </c>
      <c r="AN164" s="6">
        <f t="shared" si="162"/>
        <v>2155.474304179002</v>
      </c>
      <c r="AO164" s="72">
        <f t="shared" si="163"/>
        <v>0</v>
      </c>
      <c r="AP164" s="6">
        <f t="shared" si="164"/>
        <v>0</v>
      </c>
      <c r="AQ164" s="6">
        <f t="shared" si="165"/>
        <v>2155.474304179002</v>
      </c>
      <c r="AR164" s="6">
        <f t="shared" si="166"/>
        <v>0</v>
      </c>
      <c r="AS164" s="6">
        <f t="shared" si="167"/>
        <v>0</v>
      </c>
      <c r="AT164" s="6">
        <f t="shared" si="168"/>
        <v>0</v>
      </c>
      <c r="AU164" s="6">
        <f t="shared" si="169"/>
        <v>2155.474304179002</v>
      </c>
      <c r="AV164" s="72">
        <f t="shared" si="170"/>
        <v>0</v>
      </c>
      <c r="AW164" s="72">
        <f t="shared" si="171"/>
        <v>0</v>
      </c>
      <c r="BC164">
        <v>2.8274333882308067</v>
      </c>
      <c r="BD164">
        <v>109.40255541558511</v>
      </c>
      <c r="BE164">
        <v>-35.30444098145238</v>
      </c>
      <c r="BF164" s="6">
        <f t="shared" si="172"/>
        <v>5.9710331272201822</v>
      </c>
      <c r="BG164" s="6">
        <f t="shared" si="173"/>
        <v>3.1435997389893755</v>
      </c>
      <c r="BH164" s="6">
        <f t="shared" si="174"/>
        <v>-1.9401981916534083E-2</v>
      </c>
      <c r="BI164" s="6">
        <f t="shared" si="175"/>
        <v>1.9401981916534083E-2</v>
      </c>
      <c r="BJ164">
        <v>121.55839490620568</v>
      </c>
      <c r="BK164">
        <v>-39.227156646058198</v>
      </c>
      <c r="BV164" s="38"/>
      <c r="BW164" s="6">
        <f t="shared" si="113"/>
        <v>2.6005405854715464</v>
      </c>
      <c r="BX164" s="9">
        <f t="shared" ca="1" si="114"/>
        <v>-14.165437298447102</v>
      </c>
      <c r="BY164" s="9">
        <f t="shared" ca="1" si="115"/>
        <v>6.2757629163007351</v>
      </c>
      <c r="BZ164" s="9">
        <f t="shared" ca="1" si="116"/>
        <v>109.73024375837407</v>
      </c>
      <c r="CA164" s="6">
        <f t="shared" ca="1" si="117"/>
        <v>-35.022797435972983</v>
      </c>
      <c r="CB164" s="6">
        <f t="shared" ca="1" si="118"/>
        <v>-0.30895147770760872</v>
      </c>
      <c r="CC164" s="6">
        <f t="shared" ca="1" si="119"/>
        <v>2.8509742145872981E-3</v>
      </c>
      <c r="CD164" s="9">
        <f t="shared" si="120"/>
        <v>97.53024375837407</v>
      </c>
      <c r="CE164" s="9">
        <f t="shared" si="121"/>
        <v>-30.822797435972983</v>
      </c>
      <c r="CF164" s="6">
        <f t="shared" si="122"/>
        <v>-0.30610050349302143</v>
      </c>
      <c r="CG164" s="6"/>
      <c r="CH164" s="6"/>
      <c r="CI164" s="6"/>
      <c r="CJ164" s="1"/>
      <c r="CK164" s="6"/>
    </row>
    <row r="165" spans="1:89" ht="16" thickTop="1" x14ac:dyDescent="0.2">
      <c r="M165" s="6">
        <f>SUM(M157:M164)</f>
        <v>19485.113425855328</v>
      </c>
      <c r="N165" s="6">
        <f t="shared" ref="N165:O165" si="182">SUM(N157:N164)</f>
        <v>224308.7300203768</v>
      </c>
      <c r="O165" s="6">
        <f t="shared" si="182"/>
        <v>-50383.088234840237</v>
      </c>
      <c r="AA165" s="52"/>
      <c r="AC165" s="52"/>
      <c r="BC165">
        <v>2.8448866807507498</v>
      </c>
      <c r="BD165">
        <v>109.35890144735211</v>
      </c>
      <c r="BE165">
        <v>-35.35270613821352</v>
      </c>
      <c r="BF165" s="6">
        <f t="shared" si="172"/>
        <v>5.9705168253479437</v>
      </c>
      <c r="BG165" s="6">
        <f t="shared" si="173"/>
        <v>3.1256301445971939</v>
      </c>
      <c r="BH165" s="6">
        <f t="shared" si="174"/>
        <v>-1.8885680044295583E-2</v>
      </c>
      <c r="BI165" s="6">
        <f t="shared" si="175"/>
        <v>1.8885680044295583E-2</v>
      </c>
      <c r="BJ165">
        <v>121.5098904970579</v>
      </c>
      <c r="BK165">
        <v>-39.280784598015025</v>
      </c>
      <c r="BV165" s="38"/>
      <c r="BW165" s="6">
        <f t="shared" si="113"/>
        <v>2.6179938779914895</v>
      </c>
      <c r="BX165" s="9">
        <f t="shared" ca="1" si="114"/>
        <v>-14.181447946259411</v>
      </c>
      <c r="BY165" s="9">
        <f t="shared" ca="1" si="115"/>
        <v>6.2641693408957906</v>
      </c>
      <c r="BZ165" s="9">
        <f t="shared" ca="1" si="116"/>
        <v>109.71423311056176</v>
      </c>
      <c r="CA165" s="6">
        <f t="shared" ca="1" si="117"/>
        <v>-35.034391011377927</v>
      </c>
      <c r="CB165" s="6">
        <f t="shared" ca="1" si="118"/>
        <v>-0.30908964349971096</v>
      </c>
      <c r="CC165" s="6">
        <f t="shared" ca="1" si="119"/>
        <v>2.8338757999346602E-3</v>
      </c>
      <c r="CD165" s="9">
        <f t="shared" si="120"/>
        <v>97.514233110561761</v>
      </c>
      <c r="CE165" s="9">
        <f t="shared" si="121"/>
        <v>-30.834391011377928</v>
      </c>
      <c r="CF165" s="6">
        <f t="shared" si="122"/>
        <v>-0.3062557676997763</v>
      </c>
      <c r="CG165" s="6"/>
      <c r="CH165" s="6"/>
      <c r="CI165" s="6"/>
      <c r="CJ165" s="1"/>
      <c r="CK165" s="6"/>
    </row>
    <row r="166" spans="1:89" x14ac:dyDescent="0.2">
      <c r="A166" t="s">
        <v>183</v>
      </c>
      <c r="M166" s="6"/>
      <c r="N166" s="1"/>
      <c r="O166" s="1"/>
      <c r="BC166">
        <v>2.8623399732706929</v>
      </c>
      <c r="BD166">
        <v>109.31033172215594</v>
      </c>
      <c r="BE166">
        <v>-35.410007715015766</v>
      </c>
      <c r="BF166" s="6">
        <f t="shared" si="172"/>
        <v>5.9699122842476031</v>
      </c>
      <c r="BG166" s="6">
        <f t="shared" si="173"/>
        <v>3.1075723109769102</v>
      </c>
      <c r="BH166" s="6">
        <f t="shared" si="174"/>
        <v>-1.8281138943955E-2</v>
      </c>
      <c r="BI166" s="6">
        <f t="shared" si="175"/>
        <v>1.8281138943955E-2</v>
      </c>
      <c r="BJ166">
        <v>121.45592413572882</v>
      </c>
      <c r="BK166">
        <v>-39.344453016684184</v>
      </c>
      <c r="BV166" s="38"/>
      <c r="BW166" s="6">
        <f t="shared" si="113"/>
        <v>2.6354471705114326</v>
      </c>
      <c r="BX166" s="9">
        <f t="shared" ca="1" si="114"/>
        <v>-14.198420252067962</v>
      </c>
      <c r="BY166" s="9">
        <f t="shared" ca="1" si="115"/>
        <v>6.2518221104096341</v>
      </c>
      <c r="BZ166" s="9">
        <f t="shared" ca="1" si="116"/>
        <v>109.69726080475321</v>
      </c>
      <c r="CA166" s="6">
        <f t="shared" ca="1" si="117"/>
        <v>-35.046738241864084</v>
      </c>
      <c r="CB166" s="6">
        <f t="shared" ca="1" si="118"/>
        <v>-0.30923661274448733</v>
      </c>
      <c r="CC166" s="6">
        <f t="shared" ca="1" si="119"/>
        <v>2.815681819387406E-3</v>
      </c>
      <c r="CD166" s="9">
        <f t="shared" si="120"/>
        <v>97.497260804753211</v>
      </c>
      <c r="CE166" s="9">
        <f t="shared" si="121"/>
        <v>-30.846738241864085</v>
      </c>
      <c r="CF166" s="6">
        <f t="shared" si="122"/>
        <v>-0.30642093092509992</v>
      </c>
      <c r="CG166" s="6"/>
      <c r="CH166" s="6"/>
      <c r="CI166" s="6"/>
      <c r="CJ166" s="1"/>
      <c r="CK166" s="6"/>
    </row>
    <row r="167" spans="1:89" x14ac:dyDescent="0.2">
      <c r="B167" t="str">
        <f t="shared" ref="B167:E167" si="183">B156</f>
        <v>xi (in)</v>
      </c>
      <c r="C167" t="str">
        <f t="shared" si="183"/>
        <v>yi (in)</v>
      </c>
      <c r="D167" t="str">
        <f t="shared" si="183"/>
        <v>xj (in)</v>
      </c>
      <c r="E167" t="str">
        <f t="shared" si="183"/>
        <v>yj (in)</v>
      </c>
      <c r="F167" s="1" t="s">
        <v>184</v>
      </c>
      <c r="G167" s="1" t="s">
        <v>185</v>
      </c>
      <c r="H167" s="1" t="s">
        <v>179</v>
      </c>
      <c r="I167" s="1" t="s">
        <v>180</v>
      </c>
      <c r="J167" s="1" t="s">
        <v>181</v>
      </c>
      <c r="K167" s="1" t="s">
        <v>182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109.25594797622563</v>
      </c>
      <c r="BE167">
        <v>-35.478807124488547</v>
      </c>
      <c r="BF167" s="6">
        <f t="shared" si="172"/>
        <v>5.9691966136897667</v>
      </c>
      <c r="BG167" s="6">
        <f t="shared" si="173"/>
        <v>3.0894033478991307</v>
      </c>
      <c r="BH167" s="6">
        <f t="shared" si="174"/>
        <v>-1.756546838611861E-2</v>
      </c>
      <c r="BI167" s="6">
        <f t="shared" si="175"/>
        <v>1.756546838611861E-2</v>
      </c>
      <c r="BJ167">
        <v>121.3954977513618</v>
      </c>
      <c r="BK167">
        <v>-39.420896804987272</v>
      </c>
      <c r="BV167" s="38"/>
      <c r="BW167" s="6">
        <f t="shared" si="113"/>
        <v>2.6529004630313757</v>
      </c>
      <c r="BX167" s="9">
        <f t="shared" ca="1" si="114"/>
        <v>-14.216458647309892</v>
      </c>
      <c r="BY167" s="9">
        <f t="shared" ca="1" si="115"/>
        <v>6.2385770905739051</v>
      </c>
      <c r="BZ167" s="9">
        <f t="shared" ca="1" si="116"/>
        <v>109.67922240951128</v>
      </c>
      <c r="CA167" s="6">
        <f t="shared" ca="1" si="117"/>
        <v>-35.059983261699813</v>
      </c>
      <c r="CB167" s="6">
        <f t="shared" ca="1" si="118"/>
        <v>-0.3093938593694272</v>
      </c>
      <c r="CC167" s="6">
        <f t="shared" ca="1" si="119"/>
        <v>2.7962070632461256E-3</v>
      </c>
      <c r="CD167" s="9">
        <f t="shared" si="120"/>
        <v>97.47922240951128</v>
      </c>
      <c r="CE167" s="9">
        <f t="shared" si="121"/>
        <v>-30.859983261699814</v>
      </c>
      <c r="CF167" s="6">
        <f t="shared" si="122"/>
        <v>-0.30659765230618108</v>
      </c>
      <c r="CG167" s="6"/>
      <c r="CH167" s="6"/>
      <c r="CI167" s="6"/>
      <c r="CJ167" s="1"/>
      <c r="CK167" s="6"/>
    </row>
    <row r="168" spans="1:89" x14ac:dyDescent="0.2">
      <c r="A168" s="1" t="str">
        <f t="shared" ref="A168:E175" si="184">A157</f>
        <v>Segment 1</v>
      </c>
      <c r="B168" s="6">
        <f t="shared" si="184"/>
        <v>1.932829184100429</v>
      </c>
      <c r="C168" s="6">
        <f t="shared" si="184"/>
        <v>-13.276451760357121</v>
      </c>
      <c r="D168" s="6">
        <f t="shared" si="184"/>
        <v>11.780858918745954</v>
      </c>
      <c r="E168" s="6">
        <f t="shared" si="184"/>
        <v>-6.4196077089339294</v>
      </c>
      <c r="F168" s="6">
        <f>IF(E168-C168=0,0,MIN(MAX(($B$148-C168)/(E168-C168),0),1))</f>
        <v>1</v>
      </c>
      <c r="G168" s="6">
        <f>IF(E168-C168=0,0,MIN(MAX(($B$152-C168)/(E168-C168),0),1))</f>
        <v>1</v>
      </c>
      <c r="H168" s="6">
        <f>IF(AND(F168=0,G168=0),0,IF(C168&gt;E168,B168+(F168*(D168-B168)),B168+(G168*(D168-B168))))</f>
        <v>11.780858918745954</v>
      </c>
      <c r="I168" s="6">
        <f>IF(AND(F168=0,G168=0),0,IF(C168&gt;E168,C168+(F168*(E168-C168)),C168+(G168*(E168-C168))))</f>
        <v>-6.4196077089339294</v>
      </c>
      <c r="J168" s="9">
        <f>IF(AND(F168=0,G168=0),0,IF(C168&gt;E168,B168+(G168*(D168-B168)),B168+(F168*(D168-B168))))</f>
        <v>11.780858918745954</v>
      </c>
      <c r="K168" s="9">
        <f>IF(AND(F168=0,G168=0),0,IF(C168&gt;E168,C168+(G168*(E168-C168)),C168+(F168*(E168-C168))))</f>
        <v>-6.4196077089339294</v>
      </c>
      <c r="L168" s="6">
        <f>0.85*$B$143</f>
        <v>4250</v>
      </c>
      <c r="M168" s="6">
        <f>L168</f>
        <v>4250</v>
      </c>
      <c r="N168" s="10">
        <f t="shared" ref="N168" si="185">(1/6)*(K168-I168)*((L168*((2*H168)+J168))+(M168*(H168+(2*J168))))</f>
        <v>0</v>
      </c>
      <c r="O168" s="10">
        <f t="shared" ref="O168" si="186">((1/12)*(K168-I168)*(L168*H168*((3*I168)+K168)+L168*J168*(I168+K168)+M168*H168*(I168+K168)+M168*J168*(I168+(3*K168))))</f>
        <v>0</v>
      </c>
      <c r="P168" s="10">
        <f>((1/24)*(K168-I168)*(H168*H168*((3*L168)+M168)+2*H168*J168*(L168+M168)+J168*J168*(L168+(3*M168))))</f>
        <v>0</v>
      </c>
      <c r="BC168">
        <v>2.8972465583105791</v>
      </c>
      <c r="BD168">
        <v>109.19461850764128</v>
      </c>
      <c r="BE168">
        <v>-35.562431337465185</v>
      </c>
      <c r="BF168" s="6">
        <f t="shared" si="172"/>
        <v>5.9683390906339771</v>
      </c>
      <c r="BG168" s="6">
        <f t="shared" si="173"/>
        <v>3.071092532323398</v>
      </c>
      <c r="BH168" s="6">
        <f t="shared" si="174"/>
        <v>-1.6707945330328929E-2</v>
      </c>
      <c r="BI168" s="6">
        <f t="shared" si="175"/>
        <v>1.6707945330328929E-2</v>
      </c>
      <c r="BJ168">
        <v>121.3273538973792</v>
      </c>
      <c r="BK168">
        <v>-39.513812597183538</v>
      </c>
      <c r="BV168" s="38"/>
      <c r="BW168" s="6">
        <f t="shared" si="113"/>
        <v>2.6703537555513188</v>
      </c>
      <c r="BX168" s="9">
        <f t="shared" ca="1" si="114"/>
        <v>-14.235681504794613</v>
      </c>
      <c r="BY168" s="9">
        <f t="shared" ca="1" si="115"/>
        <v>6.224264088070953</v>
      </c>
      <c r="BZ168" s="9">
        <f t="shared" ca="1" si="116"/>
        <v>109.65999955202656</v>
      </c>
      <c r="CA168" s="6">
        <f t="shared" ca="1" si="117"/>
        <v>-35.074296264202765</v>
      </c>
      <c r="CB168" s="6">
        <f t="shared" ca="1" si="118"/>
        <v>-0.30956311111629514</v>
      </c>
      <c r="CC168" s="6">
        <f t="shared" ca="1" si="119"/>
        <v>2.7752342457152408E-3</v>
      </c>
      <c r="CD168" s="9">
        <f t="shared" si="120"/>
        <v>97.459999552026559</v>
      </c>
      <c r="CE168" s="9">
        <f t="shared" si="121"/>
        <v>-30.874296264202766</v>
      </c>
      <c r="CF168" s="6">
        <f t="shared" si="122"/>
        <v>-0.3067878768705799</v>
      </c>
      <c r="CG168" s="6"/>
      <c r="CH168" s="6"/>
      <c r="CI168" s="6"/>
      <c r="CJ168" s="1"/>
      <c r="CK168" s="6"/>
    </row>
    <row r="169" spans="1:89" x14ac:dyDescent="0.2">
      <c r="A169" s="1" t="str">
        <f t="shared" si="184"/>
        <v>Segment 2</v>
      </c>
      <c r="B169" s="6">
        <f t="shared" si="184"/>
        <v>11.780858918745954</v>
      </c>
      <c r="C169" s="6">
        <f t="shared" si="184"/>
        <v>-6.4196077089339294</v>
      </c>
      <c r="D169" s="6">
        <f t="shared" si="184"/>
        <v>2.6384001835150319</v>
      </c>
      <c r="E169" s="6">
        <f t="shared" si="184"/>
        <v>6.7110986039267706</v>
      </c>
      <c r="F169" s="6">
        <f t="shared" ref="F169:F175" si="187">IF(E169-C169=0,0,MIN(MAX(($B$148-C169)/(E169-C169),0),1))</f>
        <v>1</v>
      </c>
      <c r="G169" s="6">
        <f t="shared" ref="G169:G175" si="188">IF(E169-C169=0,0,MIN(MAX(($B$152-C169)/(E169-C169),0),1))</f>
        <v>1</v>
      </c>
      <c r="H169" s="6">
        <f t="shared" ref="H169:H175" si="189">IF(AND(F169=0,G169=0),0,IF(C169&gt;E169,B169+(F169*(D169-B169)),B169+(G169*(D169-B169))))</f>
        <v>2.6384001835150315</v>
      </c>
      <c r="I169" s="6">
        <f t="shared" ref="I169:I175" si="190">IF(AND(F169=0,G169=0),0,IF(C169&gt;E169,C169+(F169*(E169-C169)),C169+(G169*(E169-C169))))</f>
        <v>6.7110986039267697</v>
      </c>
      <c r="J169" s="9">
        <f t="shared" ref="J169:J175" si="191">IF(AND(F169=0,G169=0),0,IF(C169&gt;E169,B169+(G169*(D169-B169)),B169+(F169*(D169-B169))))</f>
        <v>2.6384001835150315</v>
      </c>
      <c r="K169" s="9">
        <f t="shared" ref="K169:K175" si="192">IF(AND(F169=0,G169=0),0,IF(C169&gt;E169,C169+(G169*(E169-C169)),C169+(F169*(E169-C169))))</f>
        <v>6.7110986039267697</v>
      </c>
      <c r="L169" s="6">
        <f t="shared" ref="L169:L175" si="193">0.85*$B$143</f>
        <v>4250</v>
      </c>
      <c r="M169" s="6">
        <f t="shared" ref="M169:M175" si="194">L169</f>
        <v>4250</v>
      </c>
      <c r="N169" s="10">
        <f t="shared" ref="N169:N175" si="195">(1/6)*(K169-I169)*((L169*((2*H169)+J169))+(M169*(H169+(2*J169))))</f>
        <v>0</v>
      </c>
      <c r="O169" s="10">
        <f t="shared" ref="O169:O175" si="196">((1/12)*(K169-I169)*(L169*H169*((3*I169)+K169)+L169*J169*(I169+K169)+M169*H169*(I169+K169)+M169*J169*(I169+(3*K169))))</f>
        <v>0</v>
      </c>
      <c r="P169" s="10">
        <f t="shared" ref="P169:P175" si="197">((1/24)*(K169-I169)*(H169*H169*((3*L169)+M169)+2*H169*J169*(L169+M169)+J169*J169*(L169+(3*M169))))</f>
        <v>0</v>
      </c>
      <c r="BC169">
        <v>2.9146998508305222</v>
      </c>
      <c r="BD169">
        <v>109.1248961484071</v>
      </c>
      <c r="BE169">
        <v>-35.665462355694352</v>
      </c>
      <c r="BF169" s="6">
        <f t="shared" si="172"/>
        <v>5.9672976984874939</v>
      </c>
      <c r="BG169" s="6">
        <f t="shared" si="173"/>
        <v>3.0525978476569717</v>
      </c>
      <c r="BH169" s="6">
        <f t="shared" si="174"/>
        <v>-1.5666553183845803E-2</v>
      </c>
      <c r="BI169" s="6">
        <f t="shared" si="175"/>
        <v>1.5666553183845803E-2</v>
      </c>
      <c r="BJ169">
        <v>121.24988460934122</v>
      </c>
      <c r="BK169">
        <v>-39.628291506327059</v>
      </c>
      <c r="BV169" s="38"/>
      <c r="BW169" s="6">
        <f t="shared" si="113"/>
        <v>2.6878070480712619</v>
      </c>
      <c r="BX169" s="9">
        <f t="shared" ca="1" si="114"/>
        <v>-14.2562237331543</v>
      </c>
      <c r="BY169" s="9">
        <f t="shared" ca="1" si="115"/>
        <v>6.2086806433855628</v>
      </c>
      <c r="BZ169" s="9">
        <f t="shared" ca="1" si="116"/>
        <v>109.63945732366687</v>
      </c>
      <c r="CA169" s="6">
        <f t="shared" ca="1" si="117"/>
        <v>-35.089879708888155</v>
      </c>
      <c r="CB169" s="6">
        <f t="shared" ca="1" si="118"/>
        <v>-0.30974640812090781</v>
      </c>
      <c r="CC169" s="6">
        <f t="shared" ca="1" si="119"/>
        <v>2.7525065754400173E-3</v>
      </c>
      <c r="CD169" s="9">
        <f t="shared" si="120"/>
        <v>97.439457323666872</v>
      </c>
      <c r="CE169" s="9">
        <f t="shared" si="121"/>
        <v>-30.889879708888156</v>
      </c>
      <c r="CF169" s="6">
        <f t="shared" si="122"/>
        <v>-0.3069939015454678</v>
      </c>
      <c r="CG169" s="6"/>
      <c r="CH169" s="6"/>
      <c r="CI169" s="6"/>
      <c r="CJ169" s="1"/>
      <c r="CK169" s="6"/>
    </row>
    <row r="170" spans="1:89" x14ac:dyDescent="0.2">
      <c r="A170" s="1" t="str">
        <f t="shared" si="184"/>
        <v>Segment 3</v>
      </c>
      <c r="B170" s="6">
        <f t="shared" si="184"/>
        <v>2.6384001835150319</v>
      </c>
      <c r="C170" s="6">
        <f t="shared" si="184"/>
        <v>6.7110986039267706</v>
      </c>
      <c r="D170" s="6">
        <f t="shared" si="184"/>
        <v>2.6384001835150319</v>
      </c>
      <c r="E170" s="6">
        <f t="shared" si="184"/>
        <v>6.7110986039267706</v>
      </c>
      <c r="F170" s="6">
        <f t="shared" si="187"/>
        <v>0</v>
      </c>
      <c r="G170" s="6">
        <f t="shared" si="188"/>
        <v>0</v>
      </c>
      <c r="H170" s="6">
        <f t="shared" si="189"/>
        <v>0</v>
      </c>
      <c r="I170" s="6">
        <f t="shared" si="190"/>
        <v>0</v>
      </c>
      <c r="J170" s="9">
        <f t="shared" si="191"/>
        <v>0</v>
      </c>
      <c r="K170" s="9">
        <f t="shared" si="192"/>
        <v>0</v>
      </c>
      <c r="L170" s="6">
        <f t="shared" si="193"/>
        <v>4250</v>
      </c>
      <c r="M170" s="6">
        <f t="shared" si="194"/>
        <v>4250</v>
      </c>
      <c r="N170" s="10">
        <f t="shared" si="195"/>
        <v>0</v>
      </c>
      <c r="O170" s="10">
        <f t="shared" si="196"/>
        <v>0</v>
      </c>
      <c r="P170" s="10">
        <f t="shared" si="197"/>
        <v>0</v>
      </c>
      <c r="BC170">
        <v>2.9321531433504653</v>
      </c>
      <c r="BD170">
        <v>109.04489868527902</v>
      </c>
      <c r="BE170">
        <v>-35.79434700900822</v>
      </c>
      <c r="BF170" s="6">
        <f t="shared" si="172"/>
        <v>5.9660137361275449</v>
      </c>
      <c r="BG170" s="6">
        <f t="shared" si="173"/>
        <v>3.0338605927770796</v>
      </c>
      <c r="BH170" s="6">
        <f t="shared" si="174"/>
        <v>-1.4382590823896813E-2</v>
      </c>
      <c r="BI170" s="6">
        <f t="shared" si="175"/>
        <v>1.4382590823896813E-2</v>
      </c>
      <c r="BJ170">
        <v>121.16099853919891</v>
      </c>
      <c r="BK170">
        <v>-39.771496676675802</v>
      </c>
      <c r="BV170" s="38"/>
      <c r="BW170" s="6">
        <f t="shared" si="113"/>
        <v>2.705260340591205</v>
      </c>
      <c r="BX170" s="9">
        <f t="shared" ca="1" si="114"/>
        <v>-14.278239963593734</v>
      </c>
      <c r="BY170" s="9">
        <f t="shared" ca="1" si="115"/>
        <v>6.1915841063167107</v>
      </c>
      <c r="BZ170" s="9">
        <f t="shared" ca="1" si="116"/>
        <v>109.61744109322744</v>
      </c>
      <c r="CA170" s="6">
        <f t="shared" ca="1" si="117"/>
        <v>-35.106976245957007</v>
      </c>
      <c r="CB170" s="6">
        <f t="shared" ca="1" si="118"/>
        <v>-0.30994617738065511</v>
      </c>
      <c r="CC170" s="6">
        <f t="shared" ca="1" si="119"/>
        <v>2.7277183055039456E-3</v>
      </c>
      <c r="CD170" s="9">
        <f t="shared" si="120"/>
        <v>97.417441093227438</v>
      </c>
      <c r="CE170" s="9">
        <f t="shared" si="121"/>
        <v>-30.906976245957008</v>
      </c>
      <c r="CF170" s="6">
        <f t="shared" si="122"/>
        <v>-0.30721845907515116</v>
      </c>
      <c r="CG170" s="6"/>
      <c r="CH170" s="6"/>
      <c r="CI170" s="6"/>
      <c r="CJ170" s="1"/>
      <c r="CK170" s="6"/>
    </row>
    <row r="171" spans="1:89" x14ac:dyDescent="0.2">
      <c r="A171" s="1" t="str">
        <f t="shared" si="184"/>
        <v>Segment 4</v>
      </c>
      <c r="B171" s="6">
        <f t="shared" si="184"/>
        <v>2.6384001835150319</v>
      </c>
      <c r="C171" s="6">
        <f t="shared" si="184"/>
        <v>6.7110986039267706</v>
      </c>
      <c r="D171" s="6">
        <f t="shared" si="184"/>
        <v>-1.932829184100429</v>
      </c>
      <c r="E171" s="6">
        <f t="shared" si="184"/>
        <v>13.276451760357121</v>
      </c>
      <c r="F171" s="6">
        <f t="shared" si="187"/>
        <v>1</v>
      </c>
      <c r="G171" s="6">
        <f t="shared" si="188"/>
        <v>0.86713350339048378</v>
      </c>
      <c r="H171" s="6">
        <f t="shared" si="189"/>
        <v>-1.325465952826828</v>
      </c>
      <c r="I171" s="6">
        <f t="shared" si="190"/>
        <v>12.404136287457991</v>
      </c>
      <c r="J171" s="9">
        <f t="shared" si="191"/>
        <v>-1.9328291841004286</v>
      </c>
      <c r="K171" s="9">
        <f t="shared" si="192"/>
        <v>13.276451760357121</v>
      </c>
      <c r="L171" s="6">
        <f t="shared" si="193"/>
        <v>4250</v>
      </c>
      <c r="M171" s="6">
        <f t="shared" si="194"/>
        <v>4250</v>
      </c>
      <c r="N171" s="10">
        <f t="shared" si="195"/>
        <v>-6039.8051843289741</v>
      </c>
      <c r="O171" s="10">
        <f t="shared" si="196"/>
        <v>-77716.557322164954</v>
      </c>
      <c r="P171" s="10">
        <f t="shared" si="197"/>
        <v>4976.8503518545822</v>
      </c>
      <c r="BC171">
        <v>2.9496064358704084</v>
      </c>
      <c r="BD171">
        <v>108.95212979536159</v>
      </c>
      <c r="BE171">
        <v>-35.958382168001449</v>
      </c>
      <c r="BF171" s="6">
        <f t="shared" si="172"/>
        <v>5.9644031548783021</v>
      </c>
      <c r="BG171" s="6">
        <f t="shared" si="173"/>
        <v>3.0147967190078937</v>
      </c>
      <c r="BH171" s="6">
        <f t="shared" si="174"/>
        <v>-1.2772009574653964E-2</v>
      </c>
      <c r="BI171" s="6">
        <f t="shared" si="175"/>
        <v>1.2772009574653964E-2</v>
      </c>
      <c r="BJ171">
        <v>121.0579219948462</v>
      </c>
      <c r="BK171">
        <v>-39.953757964446055</v>
      </c>
      <c r="BV171" s="38"/>
      <c r="BW171" s="6">
        <f t="shared" si="113"/>
        <v>2.7227136331111481</v>
      </c>
      <c r="BX171" s="9">
        <f t="shared" ca="1" si="114"/>
        <v>-14.301908471381125</v>
      </c>
      <c r="BY171" s="9">
        <f t="shared" ca="1" si="115"/>
        <v>6.1726814172078122</v>
      </c>
      <c r="BZ171" s="9">
        <f t="shared" ca="1" si="116"/>
        <v>109.59377258544005</v>
      </c>
      <c r="CA171" s="6">
        <f t="shared" ca="1" si="117"/>
        <v>-35.125878935065906</v>
      </c>
      <c r="CB171" s="6">
        <f t="shared" ca="1" si="118"/>
        <v>-0.31016532829906795</v>
      </c>
      <c r="CC171" s="6">
        <f t="shared" ca="1" si="119"/>
        <v>2.700502601012289E-3</v>
      </c>
      <c r="CD171" s="9">
        <f t="shared" si="120"/>
        <v>97.393772585440047</v>
      </c>
      <c r="CE171" s="9">
        <f t="shared" si="121"/>
        <v>-30.925878935065906</v>
      </c>
      <c r="CF171" s="6">
        <f t="shared" si="122"/>
        <v>-0.30746482569805567</v>
      </c>
      <c r="CG171" s="6"/>
      <c r="CH171" s="6"/>
      <c r="CI171" s="6"/>
      <c r="CJ171" s="1"/>
      <c r="CK171" s="6"/>
    </row>
    <row r="172" spans="1:89" x14ac:dyDescent="0.2">
      <c r="A172" s="1" t="str">
        <f t="shared" si="184"/>
        <v>Segment 5</v>
      </c>
      <c r="B172" s="6">
        <f t="shared" si="184"/>
        <v>-1.932829184100429</v>
      </c>
      <c r="C172" s="6">
        <f t="shared" si="184"/>
        <v>13.276451760357121</v>
      </c>
      <c r="D172" s="6">
        <f t="shared" si="184"/>
        <v>-11.780858918745954</v>
      </c>
      <c r="E172" s="6">
        <f t="shared" si="184"/>
        <v>6.4196077089339294</v>
      </c>
      <c r="F172" s="6">
        <f t="shared" si="187"/>
        <v>0</v>
      </c>
      <c r="G172" s="6">
        <f t="shared" si="188"/>
        <v>0.12721821677103393</v>
      </c>
      <c r="H172" s="6">
        <f t="shared" si="189"/>
        <v>-1.932829184100429</v>
      </c>
      <c r="I172" s="6">
        <f t="shared" si="190"/>
        <v>13.276451760357121</v>
      </c>
      <c r="J172" s="9">
        <f t="shared" si="191"/>
        <v>-3.185677965650151</v>
      </c>
      <c r="K172" s="9">
        <f t="shared" si="192"/>
        <v>12.404136287457991</v>
      </c>
      <c r="L172" s="6">
        <f t="shared" si="193"/>
        <v>4250</v>
      </c>
      <c r="M172" s="6">
        <f t="shared" si="194"/>
        <v>4250</v>
      </c>
      <c r="N172" s="10">
        <f t="shared" si="195"/>
        <v>9488.0250928535424</v>
      </c>
      <c r="O172" s="10">
        <f t="shared" si="196"/>
        <v>121491.39221001788</v>
      </c>
      <c r="P172" s="10">
        <f t="shared" si="197"/>
        <v>-12383.595799289329</v>
      </c>
      <c r="BC172">
        <v>2.9670597283903515</v>
      </c>
      <c r="BD172">
        <v>108.84320241945723</v>
      </c>
      <c r="BE172">
        <v>-36.171365522488401</v>
      </c>
      <c r="BF172" s="6">
        <f t="shared" si="172"/>
        <v>5.9623421276905653</v>
      </c>
      <c r="BG172" s="6">
        <f t="shared" si="173"/>
        <v>2.9952823993002138</v>
      </c>
      <c r="BH172" s="6">
        <f t="shared" si="174"/>
        <v>-1.0710982386917147E-2</v>
      </c>
      <c r="BI172" s="6">
        <f t="shared" si="175"/>
        <v>1.0710982386917147E-2</v>
      </c>
      <c r="BJ172">
        <v>120.93689157717469</v>
      </c>
      <c r="BK172">
        <v>-40.190406136098225</v>
      </c>
      <c r="BV172" s="38"/>
      <c r="BW172" s="6">
        <f t="shared" si="113"/>
        <v>2.7401669256310912</v>
      </c>
      <c r="BX172" s="9">
        <f t="shared" ca="1" si="114"/>
        <v>-14.327436060375888</v>
      </c>
      <c r="BY172" s="9">
        <f t="shared" ca="1" si="115"/>
        <v>6.1516158106538867</v>
      </c>
      <c r="BZ172" s="9">
        <f t="shared" ca="1" si="116"/>
        <v>109.56824499644529</v>
      </c>
      <c r="CA172" s="6">
        <f t="shared" ca="1" si="117"/>
        <v>-35.146944541619831</v>
      </c>
      <c r="CB172" s="6">
        <f t="shared" ca="1" si="118"/>
        <v>-0.3104073764459519</v>
      </c>
      <c r="CC172" s="6">
        <f t="shared" ca="1" si="119"/>
        <v>2.6704158145783308E-3</v>
      </c>
      <c r="CD172" s="9">
        <f t="shared" si="120"/>
        <v>97.368244996445284</v>
      </c>
      <c r="CE172" s="9">
        <f t="shared" si="121"/>
        <v>-30.946944541619832</v>
      </c>
      <c r="CF172" s="6">
        <f t="shared" si="122"/>
        <v>-0.30773696063137357</v>
      </c>
      <c r="CG172" s="6"/>
      <c r="CH172" s="6"/>
      <c r="CI172" s="6"/>
      <c r="CJ172" s="1"/>
      <c r="CK172" s="6"/>
    </row>
    <row r="173" spans="1:89" x14ac:dyDescent="0.2">
      <c r="A173" s="1" t="str">
        <f t="shared" si="184"/>
        <v>Segment 6</v>
      </c>
      <c r="B173" s="6">
        <f t="shared" si="184"/>
        <v>-11.780858918745954</v>
      </c>
      <c r="C173" s="6">
        <f t="shared" si="184"/>
        <v>6.4196077089339294</v>
      </c>
      <c r="D173" s="6">
        <f t="shared" si="184"/>
        <v>-7.2096295511304938</v>
      </c>
      <c r="E173" s="6">
        <f t="shared" si="184"/>
        <v>-0.14574544749642104</v>
      </c>
      <c r="F173" s="6">
        <f t="shared" si="187"/>
        <v>0</v>
      </c>
      <c r="G173" s="6">
        <f t="shared" si="188"/>
        <v>0</v>
      </c>
      <c r="H173" s="6">
        <f t="shared" si="189"/>
        <v>0</v>
      </c>
      <c r="I173" s="6">
        <f t="shared" si="190"/>
        <v>0</v>
      </c>
      <c r="J173" s="9">
        <f t="shared" si="191"/>
        <v>0</v>
      </c>
      <c r="K173" s="9">
        <f t="shared" si="192"/>
        <v>0</v>
      </c>
      <c r="L173" s="6">
        <f t="shared" si="193"/>
        <v>4250</v>
      </c>
      <c r="M173" s="6">
        <f t="shared" si="194"/>
        <v>4250</v>
      </c>
      <c r="N173" s="10">
        <f t="shared" si="195"/>
        <v>0</v>
      </c>
      <c r="O173" s="10">
        <f t="shared" si="196"/>
        <v>0</v>
      </c>
      <c r="P173" s="10">
        <f t="shared" si="197"/>
        <v>0</v>
      </c>
      <c r="BC173">
        <v>2.9845130209102946</v>
      </c>
      <c r="BD173">
        <v>108.71339551651735</v>
      </c>
      <c r="BE173">
        <v>-36.454482457062049</v>
      </c>
      <c r="BF173" s="6">
        <f t="shared" si="172"/>
        <v>5.959641976402593</v>
      </c>
      <c r="BG173" s="6">
        <f t="shared" si="173"/>
        <v>2.9751289554922984</v>
      </c>
      <c r="BH173" s="6">
        <f t="shared" si="174"/>
        <v>-8.0108310989448483E-3</v>
      </c>
      <c r="BI173" s="6">
        <f t="shared" si="175"/>
        <v>8.0108310989448483E-3</v>
      </c>
      <c r="BJ173">
        <v>120.79266168501928</v>
      </c>
      <c r="BK173">
        <v>-40.504980507846717</v>
      </c>
      <c r="BV173" s="38"/>
      <c r="BW173" s="6">
        <f t="shared" si="113"/>
        <v>2.7576202181510343</v>
      </c>
      <c r="BX173" s="9">
        <f t="shared" ca="1" si="114"/>
        <v>-14.355064186692886</v>
      </c>
      <c r="BY173" s="9">
        <f t="shared" ca="1" si="115"/>
        <v>6.1279493307665263</v>
      </c>
      <c r="BZ173" s="9">
        <f t="shared" ca="1" si="116"/>
        <v>109.54061687012829</v>
      </c>
      <c r="CA173" s="6">
        <f t="shared" ca="1" si="117"/>
        <v>-35.170611021507192</v>
      </c>
      <c r="CB173" s="6">
        <f t="shared" ca="1" si="118"/>
        <v>-0.31067660553088233</v>
      </c>
      <c r="CC173" s="6">
        <f t="shared" ca="1" si="119"/>
        <v>2.6369168943479737E-3</v>
      </c>
      <c r="CD173" s="9">
        <f t="shared" si="120"/>
        <v>97.340616870128287</v>
      </c>
      <c r="CE173" s="9">
        <f t="shared" si="121"/>
        <v>-30.970611021507192</v>
      </c>
      <c r="CF173" s="6">
        <f t="shared" si="122"/>
        <v>-0.30803968863653436</v>
      </c>
      <c r="CG173" s="6"/>
      <c r="CH173" s="6"/>
      <c r="CI173" s="6"/>
      <c r="CJ173" s="1"/>
      <c r="CK173" s="6"/>
    </row>
    <row r="174" spans="1:89" x14ac:dyDescent="0.2">
      <c r="A174" s="1" t="str">
        <f t="shared" si="184"/>
        <v>Segment 7</v>
      </c>
      <c r="B174" s="6">
        <f t="shared" si="184"/>
        <v>-7.2096295511304938</v>
      </c>
      <c r="C174" s="6">
        <f t="shared" si="184"/>
        <v>-0.14574544749642104</v>
      </c>
      <c r="D174" s="6">
        <f t="shared" si="184"/>
        <v>-7.2096295511304938</v>
      </c>
      <c r="E174" s="6">
        <f t="shared" si="184"/>
        <v>-0.14574544749642104</v>
      </c>
      <c r="F174" s="6">
        <f t="shared" si="187"/>
        <v>0</v>
      </c>
      <c r="G174" s="6">
        <f t="shared" si="188"/>
        <v>0</v>
      </c>
      <c r="H174" s="6">
        <f t="shared" si="189"/>
        <v>0</v>
      </c>
      <c r="I174" s="6">
        <f t="shared" si="190"/>
        <v>0</v>
      </c>
      <c r="J174" s="9">
        <f t="shared" si="191"/>
        <v>0</v>
      </c>
      <c r="K174" s="9">
        <f t="shared" si="192"/>
        <v>0</v>
      </c>
      <c r="L174" s="6">
        <f t="shared" si="193"/>
        <v>4250</v>
      </c>
      <c r="M174" s="6">
        <f t="shared" si="194"/>
        <v>4250</v>
      </c>
      <c r="N174" s="10">
        <f t="shared" si="195"/>
        <v>0</v>
      </c>
      <c r="O174" s="10">
        <f t="shared" si="196"/>
        <v>0</v>
      </c>
      <c r="P174" s="10">
        <f t="shared" si="197"/>
        <v>0</v>
      </c>
      <c r="BC174">
        <v>3.0019663134302377</v>
      </c>
      <c r="BD174">
        <v>108.55591219006642</v>
      </c>
      <c r="BE174">
        <v>-36.841618993864877</v>
      </c>
      <c r="BF174" s="6">
        <f t="shared" si="172"/>
        <v>5.9560033745300389</v>
      </c>
      <c r="BG174" s="6">
        <f t="shared" si="173"/>
        <v>2.9540370610998012</v>
      </c>
      <c r="BH174" s="6">
        <f t="shared" si="174"/>
        <v>-4.3722292263908002E-3</v>
      </c>
      <c r="BI174" s="6">
        <f t="shared" si="175"/>
        <v>4.3722292263908002E-3</v>
      </c>
      <c r="BJ174">
        <v>120.6176802111849</v>
      </c>
      <c r="BK174">
        <v>-40.935132215405417</v>
      </c>
      <c r="BV174" s="38"/>
      <c r="BW174" s="6">
        <f t="shared" si="113"/>
        <v>2.7750735106709774</v>
      </c>
      <c r="BX174" s="9">
        <f t="shared" ca="1" si="114"/>
        <v>-14.385076715322441</v>
      </c>
      <c r="BY174" s="9">
        <f t="shared" ca="1" si="115"/>
        <v>6.101139586956954</v>
      </c>
      <c r="BZ174" s="9">
        <f t="shared" ca="1" si="116"/>
        <v>109.51060434149873</v>
      </c>
      <c r="CA174" s="6">
        <f t="shared" ca="1" si="117"/>
        <v>-35.197420765316764</v>
      </c>
      <c r="CB174" s="6">
        <f t="shared" ca="1" si="118"/>
        <v>-0.31097828173751713</v>
      </c>
      <c r="CC174" s="6">
        <f t="shared" ca="1" si="119"/>
        <v>2.5993401198665107E-3</v>
      </c>
      <c r="CD174" s="9">
        <f t="shared" si="120"/>
        <v>97.310604341498731</v>
      </c>
      <c r="CE174" s="9">
        <f t="shared" si="121"/>
        <v>-30.997420765316765</v>
      </c>
      <c r="CF174" s="6">
        <f t="shared" si="122"/>
        <v>-0.30837894161765061</v>
      </c>
      <c r="CG174" s="6"/>
      <c r="CH174" s="6"/>
      <c r="CI174" s="6"/>
      <c r="CJ174" s="1"/>
      <c r="CK174" s="6"/>
    </row>
    <row r="175" spans="1:89" ht="16" thickBot="1" x14ac:dyDescent="0.25">
      <c r="A175" s="1" t="str">
        <f t="shared" si="184"/>
        <v>Segment 8</v>
      </c>
      <c r="B175" s="6">
        <f t="shared" si="184"/>
        <v>-7.2096295511304938</v>
      </c>
      <c r="C175" s="6">
        <f t="shared" si="184"/>
        <v>-0.14574544749642104</v>
      </c>
      <c r="D175" s="6">
        <f t="shared" si="184"/>
        <v>1.932829184100429</v>
      </c>
      <c r="E175" s="6">
        <f t="shared" si="184"/>
        <v>-13.276451760357121</v>
      </c>
      <c r="F175" s="6">
        <f t="shared" si="187"/>
        <v>0</v>
      </c>
      <c r="G175" s="6">
        <f t="shared" si="188"/>
        <v>0</v>
      </c>
      <c r="H175" s="6">
        <f t="shared" si="189"/>
        <v>0</v>
      </c>
      <c r="I175" s="6">
        <f t="shared" si="190"/>
        <v>0</v>
      </c>
      <c r="J175" s="9">
        <f t="shared" si="191"/>
        <v>0</v>
      </c>
      <c r="K175" s="9">
        <f t="shared" si="192"/>
        <v>0</v>
      </c>
      <c r="L175" s="6">
        <f t="shared" si="193"/>
        <v>4250</v>
      </c>
      <c r="M175" s="6">
        <f t="shared" si="194"/>
        <v>4250</v>
      </c>
      <c r="N175" s="11">
        <f t="shared" si="195"/>
        <v>0</v>
      </c>
      <c r="O175" s="11">
        <f t="shared" si="196"/>
        <v>0</v>
      </c>
      <c r="P175" s="11">
        <f t="shared" si="197"/>
        <v>0</v>
      </c>
      <c r="BC175">
        <v>3.0194196059501808</v>
      </c>
      <c r="BD175">
        <v>108.36057047076645</v>
      </c>
      <c r="BE175">
        <v>-37.389765720060637</v>
      </c>
      <c r="BF175" s="6">
        <f t="shared" si="172"/>
        <v>5.9509274804484322</v>
      </c>
      <c r="BG175" s="6">
        <f t="shared" si="173"/>
        <v>2.9315078744982515</v>
      </c>
      <c r="BH175" s="6">
        <f t="shared" si="174"/>
        <v>7.0366485521589084E-4</v>
      </c>
      <c r="BI175" s="6">
        <f t="shared" si="175"/>
        <v>7.0366485521589084E-4</v>
      </c>
      <c r="BJ175">
        <v>120.40063385640715</v>
      </c>
      <c r="BK175">
        <v>-41.544184133400705</v>
      </c>
      <c r="BV175" s="38"/>
      <c r="BW175" s="6">
        <f t="shared" si="113"/>
        <v>2.7925268031909205</v>
      </c>
      <c r="BX175" s="9">
        <f t="shared" ca="1" si="114"/>
        <v>-14.417809854070427</v>
      </c>
      <c r="BY175" s="9">
        <f t="shared" ca="1" si="115"/>
        <v>6.0705084861807208</v>
      </c>
      <c r="BZ175" s="9">
        <f t="shared" ca="1" si="116"/>
        <v>109.47787120275075</v>
      </c>
      <c r="CA175" s="6">
        <f t="shared" ca="1" si="117"/>
        <v>-35.228051866092997</v>
      </c>
      <c r="CB175" s="6">
        <f t="shared" ca="1" si="118"/>
        <v>-0.31131894074379474</v>
      </c>
      <c r="CC175" s="6">
        <f t="shared" ca="1" si="119"/>
        <v>2.5568585724838888E-3</v>
      </c>
      <c r="CD175" s="9">
        <f t="shared" si="120"/>
        <v>97.277871202750745</v>
      </c>
      <c r="CE175" s="9">
        <f t="shared" si="121"/>
        <v>-31.028051866092998</v>
      </c>
      <c r="CF175" s="6">
        <f t="shared" si="122"/>
        <v>-0.30876208217131085</v>
      </c>
      <c r="CG175" s="6"/>
      <c r="CH175" s="6"/>
      <c r="CI175" s="6"/>
      <c r="CJ175" s="1"/>
      <c r="CK175" s="6"/>
    </row>
    <row r="176" spans="1:89" ht="16" thickTop="1" x14ac:dyDescent="0.2">
      <c r="M176" s="9"/>
      <c r="N176" s="6">
        <f>SUM(N168:N175)</f>
        <v>3448.2199085245684</v>
      </c>
      <c r="O176" s="6">
        <f t="shared" ref="O176:P176" si="198">SUM(O168:O175)</f>
        <v>43774.834887852921</v>
      </c>
      <c r="P176" s="6">
        <f t="shared" si="198"/>
        <v>-7406.7454474347469</v>
      </c>
      <c r="BC176">
        <v>3.0368728984701239</v>
      </c>
      <c r="BD176">
        <v>108.11170680132052</v>
      </c>
      <c r="BE176">
        <v>-38.198861603803763</v>
      </c>
      <c r="BF176" s="6">
        <f t="shared" si="172"/>
        <v>5.9435490184405522</v>
      </c>
      <c r="BG176" s="6">
        <f t="shared" si="173"/>
        <v>2.9066761199704283</v>
      </c>
      <c r="BH176" s="6">
        <f t="shared" si="174"/>
        <v>8.0821268630959526E-3</v>
      </c>
      <c r="BI176" s="6">
        <f t="shared" si="175"/>
        <v>8.0821268630959526E-3</v>
      </c>
      <c r="BJ176">
        <v>120.12411866813392</v>
      </c>
      <c r="BK176">
        <v>-42.44317955978196</v>
      </c>
      <c r="BV176" s="38"/>
      <c r="BW176" s="6">
        <f t="shared" si="113"/>
        <v>2.8099800957108636</v>
      </c>
      <c r="BX176" s="9">
        <f t="shared" ca="1" si="114"/>
        <v>-14.453665010685057</v>
      </c>
      <c r="BY176" s="9">
        <f t="shared" ca="1" si="115"/>
        <v>6.035199620825999</v>
      </c>
      <c r="BZ176" s="9">
        <f t="shared" ca="1" si="116"/>
        <v>109.44201604613612</v>
      </c>
      <c r="CA176" s="6">
        <f t="shared" ca="1" si="117"/>
        <v>-35.263360731447719</v>
      </c>
      <c r="CB176" s="6">
        <f t="shared" ca="1" si="118"/>
        <v>-0.31170677709563482</v>
      </c>
      <c r="CC176" s="6">
        <f t="shared" ca="1" si="119"/>
        <v>2.5084345539246873E-3</v>
      </c>
      <c r="CD176" s="9">
        <f t="shared" si="120"/>
        <v>97.242016046136115</v>
      </c>
      <c r="CE176" s="9">
        <f t="shared" si="121"/>
        <v>-31.06336073144772</v>
      </c>
      <c r="CF176" s="6">
        <f t="shared" si="122"/>
        <v>-0.30919834254171014</v>
      </c>
      <c r="CG176" s="6"/>
      <c r="CH176" s="6"/>
      <c r="CI176" s="6"/>
      <c r="CJ176" s="1"/>
      <c r="CK176" s="6"/>
    </row>
    <row r="177" spans="1:89" x14ac:dyDescent="0.2">
      <c r="BC177">
        <v>3.054326190990067</v>
      </c>
      <c r="BD177">
        <v>107.93371788826779</v>
      </c>
      <c r="BE177">
        <v>-39.015873003781032</v>
      </c>
      <c r="BF177" s="6">
        <f t="shared" si="172"/>
        <v>5.9363202068710077</v>
      </c>
      <c r="BG177" s="6">
        <f t="shared" si="173"/>
        <v>2.8819940158809407</v>
      </c>
      <c r="BH177" s="6">
        <f t="shared" si="174"/>
        <v>1.5310938432640418E-2</v>
      </c>
      <c r="BI177" s="6">
        <f t="shared" si="175"/>
        <v>1.5310938432640418E-2</v>
      </c>
      <c r="BJ177">
        <v>119.92635320918643</v>
      </c>
      <c r="BK177">
        <v>-43.350970004201145</v>
      </c>
      <c r="BV177" s="38"/>
      <c r="BW177" s="6">
        <f t="shared" si="113"/>
        <v>2.8274333882308067</v>
      </c>
      <c r="BX177" s="9">
        <f t="shared" ca="1" si="114"/>
        <v>-14.493125641236063</v>
      </c>
      <c r="BY177" s="9">
        <f t="shared" ca="1" si="115"/>
        <v>5.9941193708213376</v>
      </c>
      <c r="BZ177" s="9">
        <f t="shared" ca="1" si="116"/>
        <v>109.40255541558511</v>
      </c>
      <c r="CA177" s="6">
        <f t="shared" ca="1" si="117"/>
        <v>-35.30444098145238</v>
      </c>
      <c r="CB177" s="6">
        <f t="shared" ca="1" si="118"/>
        <v>-0.31215217995940397</v>
      </c>
      <c r="CC177" s="6">
        <f t="shared" ca="1" si="119"/>
        <v>2.4527513340907303E-3</v>
      </c>
      <c r="CD177" s="9">
        <f t="shared" si="120"/>
        <v>97.20255541558511</v>
      </c>
      <c r="CE177" s="9">
        <f t="shared" si="121"/>
        <v>-31.104440981452381</v>
      </c>
      <c r="CF177" s="6">
        <f t="shared" si="122"/>
        <v>-0.30969942862531324</v>
      </c>
      <c r="CG177" s="6"/>
      <c r="CH177" s="6"/>
      <c r="CI177" s="6"/>
      <c r="CJ177" s="1"/>
      <c r="CK177" s="6"/>
    </row>
    <row r="178" spans="1:89" x14ac:dyDescent="0.2">
      <c r="A178" t="s">
        <v>188</v>
      </c>
      <c r="B178">
        <f>(N176+M165)/1000</f>
        <v>22.933333334379896</v>
      </c>
      <c r="C178" t="s">
        <v>68</v>
      </c>
      <c r="BC178">
        <v>3.0717794835100101</v>
      </c>
      <c r="BD178">
        <v>107.88209202580585</v>
      </c>
      <c r="BE178">
        <v>-39.627765399975225</v>
      </c>
      <c r="BF178" s="6">
        <f t="shared" si="172"/>
        <v>5.9311605197298274</v>
      </c>
      <c r="BG178" s="6">
        <f t="shared" si="173"/>
        <v>2.8593810362198173</v>
      </c>
      <c r="BH178" s="6">
        <f t="shared" si="174"/>
        <v>2.0470625573820733E-2</v>
      </c>
      <c r="BI178" s="6">
        <f t="shared" si="175"/>
        <v>2.0470625573820733E-2</v>
      </c>
      <c r="BJ178">
        <v>119.86899113978427</v>
      </c>
      <c r="BK178">
        <v>-44.030850444416913</v>
      </c>
      <c r="BV178" s="38"/>
      <c r="BW178" s="6">
        <f t="shared" si="113"/>
        <v>2.8448866807507498</v>
      </c>
      <c r="BX178" s="9">
        <f t="shared" ca="1" si="114"/>
        <v>-14.536779609469065</v>
      </c>
      <c r="BY178" s="9">
        <f t="shared" ca="1" si="115"/>
        <v>5.9458542140601978</v>
      </c>
      <c r="BZ178" s="9">
        <f t="shared" ca="1" si="116"/>
        <v>109.35890144735211</v>
      </c>
      <c r="CA178" s="6">
        <f t="shared" ca="1" si="117"/>
        <v>-35.35270613821352</v>
      </c>
      <c r="CB178" s="6">
        <f t="shared" ca="1" si="118"/>
        <v>-0.3126684818316422</v>
      </c>
      <c r="CC178" s="6">
        <f t="shared" ca="1" si="119"/>
        <v>2.3881177304597712E-3</v>
      </c>
      <c r="CD178" s="9">
        <f t="shared" si="120"/>
        <v>97.158901447352108</v>
      </c>
      <c r="CE178" s="9">
        <f t="shared" si="121"/>
        <v>-31.152706138213521</v>
      </c>
      <c r="CF178" s="6">
        <f t="shared" si="122"/>
        <v>-0.31028036410118243</v>
      </c>
      <c r="CG178" s="6"/>
      <c r="CH178" s="6"/>
      <c r="CI178" s="6"/>
      <c r="CJ178" s="1"/>
      <c r="CK178" s="6"/>
    </row>
    <row r="179" spans="1:89" x14ac:dyDescent="0.2">
      <c r="A179" t="s">
        <v>100</v>
      </c>
      <c r="B179">
        <f>(N165+O176)/1000</f>
        <v>268.08356490822973</v>
      </c>
      <c r="C179" t="s">
        <v>69</v>
      </c>
      <c r="BC179">
        <v>3.0892327760299532</v>
      </c>
      <c r="BD179">
        <v>107.83388083594321</v>
      </c>
      <c r="BE179">
        <v>-40.312652641948432</v>
      </c>
      <c r="BF179" s="6">
        <f t="shared" si="172"/>
        <v>5.9254317290895235</v>
      </c>
      <c r="BG179" s="6">
        <f t="shared" si="173"/>
        <v>2.8361989530595704</v>
      </c>
      <c r="BH179" s="6">
        <f t="shared" si="174"/>
        <v>2.6199416214124579E-2</v>
      </c>
      <c r="BI179" s="6">
        <f t="shared" si="175"/>
        <v>2.6199416214124579E-2</v>
      </c>
      <c r="BJ179">
        <v>119.81542315104801</v>
      </c>
      <c r="BK179">
        <v>-44.791836268831588</v>
      </c>
      <c r="BV179" s="38"/>
      <c r="BW179" s="6">
        <f t="shared" si="113"/>
        <v>2.8623399732706929</v>
      </c>
      <c r="BX179" s="9">
        <f t="shared" ca="1" si="114"/>
        <v>-14.585349334665239</v>
      </c>
      <c r="BY179" s="9">
        <f t="shared" ca="1" si="115"/>
        <v>5.888552637257952</v>
      </c>
      <c r="BZ179" s="9">
        <f t="shared" ca="1" si="116"/>
        <v>109.31033172215594</v>
      </c>
      <c r="CA179" s="6">
        <f t="shared" ca="1" si="117"/>
        <v>-35.410007715015766</v>
      </c>
      <c r="CB179" s="6">
        <f t="shared" ca="1" si="118"/>
        <v>-0.31327302293198295</v>
      </c>
      <c r="CC179" s="6">
        <f t="shared" ca="1" si="119"/>
        <v>2.3123324113941135E-3</v>
      </c>
      <c r="CD179" s="9">
        <f t="shared" si="120"/>
        <v>97.110331722155934</v>
      </c>
      <c r="CE179" s="9">
        <f t="shared" si="121"/>
        <v>-31.210007715015767</v>
      </c>
      <c r="CF179" s="6">
        <f t="shared" si="122"/>
        <v>-0.31096069052058883</v>
      </c>
      <c r="CG179" s="6"/>
      <c r="CH179" s="6"/>
      <c r="CI179" s="6"/>
      <c r="CJ179" s="1"/>
      <c r="CK179" s="6"/>
    </row>
    <row r="180" spans="1:89" x14ac:dyDescent="0.2">
      <c r="A180" t="s">
        <v>101</v>
      </c>
      <c r="B180">
        <f>-1*(O165+P176)/1000</f>
        <v>57.789833682274981</v>
      </c>
      <c r="C180" t="s">
        <v>69</v>
      </c>
      <c r="BC180">
        <v>3.1066860685498963</v>
      </c>
      <c r="BD180">
        <v>107.79186424542024</v>
      </c>
      <c r="BE180">
        <v>-41.063896960568357</v>
      </c>
      <c r="BF180" s="6">
        <f t="shared" si="172"/>
        <v>5.9192036802093551</v>
      </c>
      <c r="BG180" s="6">
        <f t="shared" si="173"/>
        <v>2.8125176116594588</v>
      </c>
      <c r="BH180" s="6">
        <f t="shared" si="174"/>
        <v>3.2427465094293069E-2</v>
      </c>
      <c r="BI180" s="6">
        <f t="shared" si="175"/>
        <v>3.2427465094293069E-2</v>
      </c>
      <c r="BJ180">
        <v>119.76873805046694</v>
      </c>
      <c r="BK180">
        <v>-45.626552178409284</v>
      </c>
      <c r="BV180" s="38"/>
      <c r="BW180" s="6">
        <f t="shared" si="113"/>
        <v>2.879793265790636</v>
      </c>
      <c r="BX180" s="9">
        <f t="shared" ca="1" si="114"/>
        <v>-14.639733080595548</v>
      </c>
      <c r="BY180" s="9">
        <f t="shared" ca="1" si="115"/>
        <v>5.8197532277851707</v>
      </c>
      <c r="BZ180" s="9">
        <f t="shared" ca="1" si="116"/>
        <v>109.25594797622563</v>
      </c>
      <c r="CA180" s="6">
        <f t="shared" ca="1" si="117"/>
        <v>-35.478807124488547</v>
      </c>
      <c r="CB180" s="6">
        <f t="shared" ca="1" si="118"/>
        <v>-0.31398869348981973</v>
      </c>
      <c r="CC180" s="6">
        <f t="shared" ca="1" si="119"/>
        <v>2.2224872315793061E-3</v>
      </c>
      <c r="CD180" s="9">
        <f t="shared" si="120"/>
        <v>97.055947976225625</v>
      </c>
      <c r="CE180" s="9">
        <f t="shared" si="121"/>
        <v>-31.278807124488548</v>
      </c>
      <c r="CF180" s="6">
        <f t="shared" si="122"/>
        <v>-0.31176620625824042</v>
      </c>
      <c r="CG180" s="6"/>
      <c r="CH180" s="6"/>
      <c r="CI180" s="6"/>
      <c r="CJ180" s="1"/>
      <c r="CK180" s="6"/>
    </row>
    <row r="181" spans="1:89" x14ac:dyDescent="0.2">
      <c r="BC181">
        <v>3.1241393610698394</v>
      </c>
      <c r="BD181">
        <v>107.76047424146579</v>
      </c>
      <c r="BE181">
        <v>-41.858812519794697</v>
      </c>
      <c r="BF181" s="6">
        <f t="shared" si="172"/>
        <v>5.9126813047036357</v>
      </c>
      <c r="BG181" s="6">
        <f t="shared" si="173"/>
        <v>2.7885419436337964</v>
      </c>
      <c r="BH181" s="6">
        <f t="shared" si="174"/>
        <v>3.8949840600012386E-2</v>
      </c>
      <c r="BI181" s="6">
        <f t="shared" si="175"/>
        <v>3.8949840600012386E-2</v>
      </c>
      <c r="BJ181">
        <v>119.73386026829532</v>
      </c>
      <c r="BK181">
        <v>-46.509791688660776</v>
      </c>
      <c r="BV181" s="38"/>
      <c r="BW181" s="6">
        <f t="shared" si="113"/>
        <v>2.8972465583105791</v>
      </c>
      <c r="BX181" s="9">
        <f t="shared" ca="1" si="114"/>
        <v>-14.701062549179895</v>
      </c>
      <c r="BY181" s="9">
        <f t="shared" ca="1" si="115"/>
        <v>5.7361290148085331</v>
      </c>
      <c r="BZ181" s="9">
        <f t="shared" ca="1" si="116"/>
        <v>109.19461850764128</v>
      </c>
      <c r="CA181" s="6">
        <f t="shared" ca="1" si="117"/>
        <v>-35.562431337465185</v>
      </c>
      <c r="CB181" s="6">
        <f t="shared" ca="1" si="118"/>
        <v>-0.31484621654560935</v>
      </c>
      <c r="CC181" s="6">
        <f t="shared" ca="1" si="119"/>
        <v>2.1146761210031895E-3</v>
      </c>
      <c r="CD181" s="9">
        <f t="shared" si="120"/>
        <v>96.994618507641277</v>
      </c>
      <c r="CE181" s="9">
        <f t="shared" si="121"/>
        <v>-31.362431337465186</v>
      </c>
      <c r="CF181" s="6">
        <f t="shared" si="122"/>
        <v>-0.31273154042460616</v>
      </c>
      <c r="CG181" s="6"/>
      <c r="CH181" s="6"/>
      <c r="CI181" s="6"/>
      <c r="CJ181" s="1"/>
      <c r="CK181" s="6"/>
    </row>
    <row r="182" spans="1:89" x14ac:dyDescent="0.2">
      <c r="A182" t="s">
        <v>54</v>
      </c>
      <c r="BC182">
        <v>3.1415926535897825</v>
      </c>
      <c r="BD182">
        <v>107.74432553675405</v>
      </c>
      <c r="BE182">
        <v>-42.659999999999805</v>
      </c>
      <c r="BF182" s="6">
        <f t="shared" si="172"/>
        <v>5.9061861353602385</v>
      </c>
      <c r="BG182" s="6">
        <f t="shared" si="173"/>
        <v>2.7645934817704561</v>
      </c>
      <c r="BH182" s="6">
        <f t="shared" si="174"/>
        <v>4.5445009943409609E-2</v>
      </c>
      <c r="BI182" s="6">
        <f t="shared" si="175"/>
        <v>4.5445009943409609E-2</v>
      </c>
      <c r="BJ182">
        <v>119.71591726306005</v>
      </c>
      <c r="BK182">
        <v>-47.399999999999785</v>
      </c>
      <c r="BV182" s="38"/>
      <c r="BW182" s="6">
        <f t="shared" si="113"/>
        <v>2.9146998508305222</v>
      </c>
      <c r="BX182" s="9">
        <f t="shared" ca="1" si="114"/>
        <v>-14.770784908414072</v>
      </c>
      <c r="BY182" s="9">
        <f t="shared" ca="1" si="115"/>
        <v>5.6330979965793659</v>
      </c>
      <c r="BZ182" s="9">
        <f t="shared" ca="1" si="116"/>
        <v>109.1248961484071</v>
      </c>
      <c r="CA182" s="6">
        <f t="shared" ca="1" si="117"/>
        <v>-35.665462355694352</v>
      </c>
      <c r="CB182" s="6">
        <f t="shared" ca="1" si="118"/>
        <v>-0.31588760869209276</v>
      </c>
      <c r="CC182" s="6">
        <f t="shared" ca="1" si="119"/>
        <v>1.9835538190291495E-3</v>
      </c>
      <c r="CD182" s="9">
        <f t="shared" si="120"/>
        <v>96.9248961484071</v>
      </c>
      <c r="CE182" s="9">
        <f t="shared" si="121"/>
        <v>-31.465462355694353</v>
      </c>
      <c r="CF182" s="6">
        <f t="shared" si="122"/>
        <v>-0.31390405487306361</v>
      </c>
      <c r="CG182" s="6"/>
      <c r="CH182" s="6"/>
      <c r="CI182" s="6"/>
      <c r="CJ182" s="1"/>
      <c r="CK182" s="6"/>
    </row>
    <row r="183" spans="1:89" x14ac:dyDescent="0.2">
      <c r="BC183">
        <v>3.1590459461097256</v>
      </c>
      <c r="BD183">
        <v>107.76047424145933</v>
      </c>
      <c r="BE183">
        <v>-43.461187480204615</v>
      </c>
      <c r="BF183" s="6">
        <f t="shared" si="172"/>
        <v>5.8998262634799898</v>
      </c>
      <c r="BG183" s="6">
        <f t="shared" si="173"/>
        <v>2.7407803173702643</v>
      </c>
      <c r="BH183" s="6">
        <f t="shared" si="174"/>
        <v>5.1804881823658278E-2</v>
      </c>
      <c r="BI183" s="6">
        <f t="shared" si="175"/>
        <v>5.1804881823658278E-2</v>
      </c>
      <c r="BJ183">
        <v>119.73386026828814</v>
      </c>
      <c r="BK183">
        <v>-48.290208311338461</v>
      </c>
      <c r="BV183" s="38"/>
      <c r="BW183" s="6">
        <f t="shared" si="113"/>
        <v>2.9321531433504653</v>
      </c>
      <c r="BX183" s="9">
        <f t="shared" ca="1" si="114"/>
        <v>-14.850782371542152</v>
      </c>
      <c r="BY183" s="9">
        <f t="shared" ca="1" si="115"/>
        <v>5.5042133432654978</v>
      </c>
      <c r="BZ183" s="9">
        <f t="shared" ca="1" si="116"/>
        <v>109.04489868527902</v>
      </c>
      <c r="CA183" s="6">
        <f t="shared" ca="1" si="117"/>
        <v>-35.79434700900822</v>
      </c>
      <c r="CB183" s="6">
        <f t="shared" ca="1" si="118"/>
        <v>-0.31717157105204108</v>
      </c>
      <c r="CC183" s="6">
        <f t="shared" ca="1" si="119"/>
        <v>1.8216487802435455E-3</v>
      </c>
      <c r="CD183" s="9">
        <f t="shared" si="120"/>
        <v>96.84489868527902</v>
      </c>
      <c r="CE183" s="9">
        <f t="shared" si="121"/>
        <v>-31.594347009008221</v>
      </c>
      <c r="CF183" s="6">
        <f t="shared" si="122"/>
        <v>-0.31534992227179753</v>
      </c>
      <c r="CG183" s="6"/>
      <c r="CH183" s="6"/>
      <c r="CI183" s="6"/>
      <c r="CJ183" s="1"/>
      <c r="CK183" s="6"/>
    </row>
    <row r="184" spans="1:89" x14ac:dyDescent="0.2">
      <c r="A184">
        <f>A14</f>
        <v>0</v>
      </c>
      <c r="B184" t="str">
        <f t="shared" ref="B184:E184" si="199">B14</f>
        <v>Bar #</v>
      </c>
      <c r="C184" t="str">
        <f t="shared" si="199"/>
        <v>As (in^2)</v>
      </c>
      <c r="D184" t="str">
        <f t="shared" si="199"/>
        <v>x</v>
      </c>
      <c r="E184" t="str">
        <f t="shared" si="199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189</v>
      </c>
      <c r="M184" s="1" t="s">
        <v>227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107.79186424541585</v>
      </c>
      <c r="BE184">
        <v>-44.256103039430592</v>
      </c>
      <c r="BF184" s="6">
        <f t="shared" si="172"/>
        <v>5.8936002229987894</v>
      </c>
      <c r="BG184" s="6">
        <f t="shared" si="173"/>
        <v>2.7171009843691207</v>
      </c>
      <c r="BH184" s="6">
        <f t="shared" si="174"/>
        <v>5.8030922304858727E-2</v>
      </c>
      <c r="BI184" s="6">
        <f t="shared" si="175"/>
        <v>5.8030922304858727E-2</v>
      </c>
      <c r="BJ184">
        <v>119.76873805046205</v>
      </c>
      <c r="BK184">
        <v>-49.173447821589548</v>
      </c>
      <c r="BV184" s="38"/>
      <c r="BW184" s="6">
        <f t="shared" si="113"/>
        <v>2.9496064358704084</v>
      </c>
      <c r="BX184" s="9">
        <f t="shared" ca="1" si="114"/>
        <v>-14.943551261459589</v>
      </c>
      <c r="BY184" s="9">
        <f t="shared" ca="1" si="115"/>
        <v>5.3401781842722684</v>
      </c>
      <c r="BZ184" s="9">
        <f t="shared" ca="1" si="116"/>
        <v>108.95212979536159</v>
      </c>
      <c r="CA184" s="6">
        <f t="shared" ca="1" si="117"/>
        <v>-35.958382168001449</v>
      </c>
      <c r="CB184" s="6">
        <f t="shared" ca="1" si="118"/>
        <v>-0.31878215230128437</v>
      </c>
      <c r="CC184" s="6">
        <f t="shared" ca="1" si="119"/>
        <v>1.6182599601890502E-3</v>
      </c>
      <c r="CD184" s="9">
        <f t="shared" si="120"/>
        <v>96.752129795361583</v>
      </c>
      <c r="CE184" s="9">
        <f t="shared" si="121"/>
        <v>-31.75838216800145</v>
      </c>
      <c r="CF184" s="6">
        <f t="shared" si="122"/>
        <v>-0.31716389234109532</v>
      </c>
      <c r="CG184" s="6"/>
      <c r="CH184" s="6"/>
      <c r="CI184" s="6"/>
      <c r="CJ184" s="1"/>
      <c r="CK184" s="6"/>
    </row>
    <row r="185" spans="1:89" x14ac:dyDescent="0.2">
      <c r="A185">
        <f t="shared" ref="A185:E194" si="200">A15</f>
        <v>1</v>
      </c>
      <c r="B185">
        <f t="shared" si="200"/>
        <v>8</v>
      </c>
      <c r="C185" s="6">
        <f t="shared" ca="1" si="200"/>
        <v>0.79</v>
      </c>
      <c r="D185" s="6">
        <f t="shared" si="200"/>
        <v>2</v>
      </c>
      <c r="E185" s="6">
        <f t="shared" si="200"/>
        <v>2</v>
      </c>
      <c r="F185" s="6">
        <f t="shared" ref="F185:F194" si="201">D185-$I$2</f>
        <v>-4</v>
      </c>
      <c r="G185" s="6">
        <f t="shared" ref="G185:G194" si="202">E185-$I$3</f>
        <v>-10</v>
      </c>
      <c r="H185" s="6">
        <f t="shared" ref="H185:H194" si="203">F185*COS($B$27)+G185*SIN($B$27)</f>
        <v>2.4313601313041522</v>
      </c>
      <c r="I185" s="6">
        <f t="shared" ref="I185:I194" si="204">-1*F185*SIN($B$27)+G185*COS($B$27)</f>
        <v>-10.492306129345668</v>
      </c>
      <c r="J185" s="6">
        <f t="shared" ref="J185:J194" si="205">$G$38-I185</f>
        <v>23.76875788970279</v>
      </c>
      <c r="K185" s="6">
        <f t="shared" ref="K185:K194" ca="1" si="206">IF($B$28=0,-1,IF(C185=0,0,(($B$28-J185)/$B$28)*$B$30)*IF($B$28&lt;0,-1,1))</f>
        <v>-2.1897547976143225E-2</v>
      </c>
      <c r="L185" s="6">
        <f ca="1">IF(K185&lt;0,0,IF(K185&lt;=$B$145,0.85*$B$143*((2*K185/$B$145)-POWER(K185/$B$145,2)),0.85*$B$143))/1000</f>
        <v>0</v>
      </c>
      <c r="M185" s="6">
        <f ca="1">IF(K185&gt;0,MIN((K185*B$13),B$12)-L185,MAX(K185*B$13,-1*B$12))</f>
        <v>-60</v>
      </c>
      <c r="N185" s="6">
        <f t="shared" ref="N185:N194" ca="1" si="207">M185*C185</f>
        <v>-47.400000000000006</v>
      </c>
      <c r="O185" s="6">
        <f t="shared" ref="O185:O194" ca="1" si="208">N185*I185</f>
        <v>497.33531053098471</v>
      </c>
      <c r="P185" s="6">
        <f t="shared" ref="P185:P194" ca="1" si="209">N185*H185*-1</f>
        <v>115.24647022381683</v>
      </c>
      <c r="BC185">
        <v>3.1939525311496118</v>
      </c>
      <c r="BD185">
        <v>107.83388083593891</v>
      </c>
      <c r="BE185">
        <v>-45.007347358050751</v>
      </c>
      <c r="BF185" s="6">
        <f t="shared" si="172"/>
        <v>5.8877893567941202</v>
      </c>
      <c r="BG185" s="6">
        <f t="shared" si="173"/>
        <v>2.6938368256445084</v>
      </c>
      <c r="BH185" s="6">
        <f t="shared" si="174"/>
        <v>6.384178850952793E-2</v>
      </c>
      <c r="BI185" s="6">
        <f t="shared" si="175"/>
        <v>6.384178850952793E-2</v>
      </c>
      <c r="BJ185">
        <v>119.81542315104323</v>
      </c>
      <c r="BK185">
        <v>-50.0081637311675</v>
      </c>
      <c r="BV185" s="38"/>
      <c r="BW185" s="6">
        <f t="shared" si="113"/>
        <v>2.9670597283903515</v>
      </c>
      <c r="BX185" s="9">
        <f t="shared" ca="1" si="114"/>
        <v>-15.052478637363947</v>
      </c>
      <c r="BY185" s="9">
        <f t="shared" ca="1" si="115"/>
        <v>5.1271948297853172</v>
      </c>
      <c r="BZ185" s="9">
        <f t="shared" ca="1" si="116"/>
        <v>108.84320241945723</v>
      </c>
      <c r="CA185" s="6">
        <f t="shared" ca="1" si="117"/>
        <v>-36.171365522488401</v>
      </c>
      <c r="CB185" s="6">
        <f t="shared" ca="1" si="118"/>
        <v>-0.32084317948902091</v>
      </c>
      <c r="CC185" s="6">
        <f t="shared" ca="1" si="119"/>
        <v>1.3576216808358075E-3</v>
      </c>
      <c r="CD185" s="9">
        <f t="shared" si="120"/>
        <v>96.643202419457225</v>
      </c>
      <c r="CE185" s="9">
        <f t="shared" si="121"/>
        <v>-31.971365522488401</v>
      </c>
      <c r="CF185" s="6">
        <f t="shared" si="122"/>
        <v>-0.31948555780818511</v>
      </c>
      <c r="CG185" s="6"/>
      <c r="CH185" s="6"/>
      <c r="CI185" s="6"/>
      <c r="CJ185" s="1"/>
      <c r="CK185" s="6"/>
    </row>
    <row r="186" spans="1:89" x14ac:dyDescent="0.2">
      <c r="A186">
        <f t="shared" si="200"/>
        <v>2</v>
      </c>
      <c r="B186">
        <f t="shared" si="200"/>
        <v>8</v>
      </c>
      <c r="C186" s="6">
        <f t="shared" ca="1" si="200"/>
        <v>0.79</v>
      </c>
      <c r="D186" s="6">
        <f t="shared" si="200"/>
        <v>2</v>
      </c>
      <c r="E186" s="6">
        <f t="shared" si="200"/>
        <v>4</v>
      </c>
      <c r="F186" s="6">
        <f t="shared" si="201"/>
        <v>-4</v>
      </c>
      <c r="G186" s="6">
        <f t="shared" si="202"/>
        <v>-8</v>
      </c>
      <c r="H186" s="6">
        <f t="shared" si="203"/>
        <v>1.2885527894002866</v>
      </c>
      <c r="I186" s="6">
        <f t="shared" si="204"/>
        <v>-8.8509678402380807</v>
      </c>
      <c r="J186" s="6">
        <f t="shared" si="205"/>
        <v>22.127419600595204</v>
      </c>
      <c r="K186" s="6">
        <f t="shared" ca="1" si="206"/>
        <v>-2.0178261718621086E-2</v>
      </c>
      <c r="L186" s="6">
        <f t="shared" ref="L186:L194" ca="1" si="210">IF(K186&lt;0,0,IF(K186&lt;=$B$145,0.85*$B$143*((2*K186/$B$145)-POWER(K186/$B$145,2)),0.85*$B$143))/1000</f>
        <v>0</v>
      </c>
      <c r="M186" s="6">
        <f t="shared" ref="M186:M194" ca="1" si="211">IF(K186&gt;0,MIN((K186*B$13),B$12)-L186,MAX(K186*B$13,-1*B$12))</f>
        <v>-60</v>
      </c>
      <c r="N186" s="6">
        <f t="shared" ca="1" si="207"/>
        <v>-47.400000000000006</v>
      </c>
      <c r="O186" s="6">
        <f t="shared" ca="1" si="208"/>
        <v>419.53587562728507</v>
      </c>
      <c r="P186" s="6">
        <f t="shared" ca="1" si="209"/>
        <v>61.077402217573592</v>
      </c>
      <c r="BC186">
        <v>3.2114058236695548</v>
      </c>
      <c r="BD186">
        <v>107.88209202580114</v>
      </c>
      <c r="BE186">
        <v>-45.692234600024086</v>
      </c>
      <c r="BF186" s="6">
        <f t="shared" si="172"/>
        <v>5.8825530951720975</v>
      </c>
      <c r="BG186" s="6">
        <f t="shared" si="173"/>
        <v>2.6711472715025426</v>
      </c>
      <c r="BH186" s="6">
        <f t="shared" si="174"/>
        <v>6.9078050131550661E-2</v>
      </c>
      <c r="BI186" s="6">
        <f t="shared" si="175"/>
        <v>6.9078050131550661E-2</v>
      </c>
      <c r="BJ186">
        <v>119.86899113977904</v>
      </c>
      <c r="BK186">
        <v>-50.769149555582317</v>
      </c>
      <c r="BV186" s="38"/>
      <c r="BW186" s="6">
        <f t="shared" si="113"/>
        <v>2.9845130209102946</v>
      </c>
      <c r="BX186" s="9">
        <f t="shared" ca="1" si="114"/>
        <v>-15.182285540303823</v>
      </c>
      <c r="BY186" s="9">
        <f t="shared" ca="1" si="115"/>
        <v>4.8440778952116688</v>
      </c>
      <c r="BZ186" s="9">
        <f t="shared" ca="1" si="116"/>
        <v>108.71339551651735</v>
      </c>
      <c r="CA186" s="6">
        <f t="shared" ca="1" si="117"/>
        <v>-36.454482457062049</v>
      </c>
      <c r="CB186" s="6">
        <f t="shared" ca="1" si="118"/>
        <v>-0.3235433307769931</v>
      </c>
      <c r="CC186" s="6">
        <f t="shared" ca="1" si="119"/>
        <v>1.0157224747889271E-3</v>
      </c>
      <c r="CD186" s="9">
        <f t="shared" si="120"/>
        <v>96.513395516517349</v>
      </c>
      <c r="CE186" s="9">
        <f t="shared" si="121"/>
        <v>-32.254482457062046</v>
      </c>
      <c r="CF186" s="6">
        <f t="shared" si="122"/>
        <v>-0.32252760830220417</v>
      </c>
      <c r="CG186" s="6"/>
      <c r="CH186" s="6"/>
      <c r="CI186" s="6"/>
      <c r="CJ186" s="1"/>
      <c r="CK186" s="6"/>
    </row>
    <row r="187" spans="1:89" x14ac:dyDescent="0.2">
      <c r="A187">
        <f t="shared" si="200"/>
        <v>3</v>
      </c>
      <c r="B187">
        <f t="shared" si="200"/>
        <v>8</v>
      </c>
      <c r="C187" s="6">
        <f t="shared" ca="1" si="200"/>
        <v>0.79</v>
      </c>
      <c r="D187" s="6">
        <f t="shared" si="200"/>
        <v>4</v>
      </c>
      <c r="E187" s="6">
        <f t="shared" si="200"/>
        <v>2</v>
      </c>
      <c r="F187" s="6">
        <f t="shared" si="201"/>
        <v>-2</v>
      </c>
      <c r="G187" s="6">
        <f t="shared" si="202"/>
        <v>-10</v>
      </c>
      <c r="H187" s="6">
        <f t="shared" si="203"/>
        <v>4.07269842041174</v>
      </c>
      <c r="I187" s="6">
        <f t="shared" si="204"/>
        <v>-9.3494987874418012</v>
      </c>
      <c r="J187" s="6">
        <f t="shared" si="205"/>
        <v>22.625950547798922</v>
      </c>
      <c r="K187" s="6">
        <f t="shared" ca="1" si="206"/>
        <v>-2.0700468147463291E-2</v>
      </c>
      <c r="L187" s="6">
        <f t="shared" ca="1" si="210"/>
        <v>0</v>
      </c>
      <c r="M187" s="6">
        <f t="shared" ca="1" si="211"/>
        <v>-60</v>
      </c>
      <c r="N187" s="6">
        <f t="shared" ca="1" si="207"/>
        <v>-47.400000000000006</v>
      </c>
      <c r="O187" s="6">
        <f t="shared" ca="1" si="208"/>
        <v>443.16624252474145</v>
      </c>
      <c r="P187" s="6">
        <f t="shared" ca="1" si="209"/>
        <v>193.04590512751651</v>
      </c>
      <c r="BC187">
        <v>3.2288591161894979</v>
      </c>
      <c r="BD187">
        <v>107.93371788826502</v>
      </c>
      <c r="BE187">
        <v>-46.304126996218393</v>
      </c>
      <c r="BF187" s="6">
        <f t="shared" si="172"/>
        <v>5.8779271103874322</v>
      </c>
      <c r="BG187" s="6">
        <f t="shared" si="173"/>
        <v>2.6490679941979343</v>
      </c>
      <c r="BH187" s="6">
        <f t="shared" si="174"/>
        <v>7.370403491621591E-2</v>
      </c>
      <c r="BI187" s="6">
        <f t="shared" si="175"/>
        <v>7.370403491621591E-2</v>
      </c>
      <c r="BJ187">
        <v>119.92635320918336</v>
      </c>
      <c r="BK187">
        <v>-51.449029995798213</v>
      </c>
      <c r="BV187" s="38"/>
      <c r="BW187" s="6">
        <f t="shared" si="113"/>
        <v>3.0019663134302377</v>
      </c>
      <c r="BX187" s="9">
        <f t="shared" ca="1" si="114"/>
        <v>-15.339768866754753</v>
      </c>
      <c r="BY187" s="9">
        <f t="shared" ca="1" si="115"/>
        <v>4.4569413584088409</v>
      </c>
      <c r="BZ187" s="9">
        <f t="shared" ca="1" si="116"/>
        <v>108.55591219006642</v>
      </c>
      <c r="CA187" s="6">
        <f t="shared" ca="1" si="117"/>
        <v>-36.841618993864877</v>
      </c>
      <c r="CB187" s="6">
        <f t="shared" ca="1" si="118"/>
        <v>-0.32718193264954698</v>
      </c>
      <c r="CC187" s="6">
        <f t="shared" ca="1" si="119"/>
        <v>5.5451556337154917E-4</v>
      </c>
      <c r="CD187" s="9">
        <f t="shared" si="120"/>
        <v>96.355912190066419</v>
      </c>
      <c r="CE187" s="9">
        <f t="shared" si="121"/>
        <v>-32.641618993864874</v>
      </c>
      <c r="CF187" s="6">
        <f t="shared" si="122"/>
        <v>-0.32662741708617543</v>
      </c>
      <c r="CG187" s="6"/>
      <c r="CH187" s="6"/>
      <c r="CI187" s="6"/>
      <c r="CJ187" s="1"/>
      <c r="CK187" s="6"/>
    </row>
    <row r="188" spans="1:89" x14ac:dyDescent="0.2">
      <c r="A188">
        <f t="shared" si="200"/>
        <v>4</v>
      </c>
      <c r="B188">
        <f t="shared" si="200"/>
        <v>8</v>
      </c>
      <c r="C188" s="6">
        <f t="shared" ca="1" si="200"/>
        <v>0.79</v>
      </c>
      <c r="D188" s="6">
        <f t="shared" si="200"/>
        <v>4</v>
      </c>
      <c r="E188" s="6">
        <f t="shared" si="200"/>
        <v>4</v>
      </c>
      <c r="F188" s="6">
        <f t="shared" si="201"/>
        <v>-2</v>
      </c>
      <c r="G188" s="6">
        <f t="shared" si="202"/>
        <v>-8</v>
      </c>
      <c r="H188" s="6">
        <f t="shared" si="203"/>
        <v>2.929891078507874</v>
      </c>
      <c r="I188" s="6">
        <f t="shared" si="204"/>
        <v>-7.7081604983342151</v>
      </c>
      <c r="J188" s="6">
        <f t="shared" si="205"/>
        <v>20.984612258691335</v>
      </c>
      <c r="K188" s="6">
        <f t="shared" ca="1" si="206"/>
        <v>-1.8981181889941148E-2</v>
      </c>
      <c r="L188" s="6">
        <f t="shared" ca="1" si="210"/>
        <v>0</v>
      </c>
      <c r="M188" s="6">
        <f t="shared" ca="1" si="211"/>
        <v>-60</v>
      </c>
      <c r="N188" s="6">
        <f t="shared" ca="1" si="207"/>
        <v>-47.400000000000006</v>
      </c>
      <c r="O188" s="6">
        <f t="shared" ca="1" si="208"/>
        <v>365.36680762104186</v>
      </c>
      <c r="P188" s="6">
        <f t="shared" ca="1" si="209"/>
        <v>138.87683712127324</v>
      </c>
      <c r="BC188">
        <v>3.246312408709441</v>
      </c>
      <c r="BD188">
        <v>107.9865311016495</v>
      </c>
      <c r="BE188">
        <v>-46.839415910980534</v>
      </c>
      <c r="BF188" s="6">
        <f t="shared" si="172"/>
        <v>5.8739247252054723</v>
      </c>
      <c r="BG188" s="6">
        <f t="shared" si="173"/>
        <v>2.6276123164960312</v>
      </c>
      <c r="BH188" s="6">
        <f t="shared" si="174"/>
        <v>7.7706420098175855E-2</v>
      </c>
      <c r="BI188" s="6">
        <f t="shared" si="175"/>
        <v>7.7706420098175855E-2</v>
      </c>
      <c r="BJ188">
        <v>119.98503455738833</v>
      </c>
      <c r="BK188">
        <v>-52.043795456645036</v>
      </c>
      <c r="BV188" s="38"/>
      <c r="BW188" s="6">
        <f t="shared" si="113"/>
        <v>3.0194196059501808</v>
      </c>
      <c r="BX188" s="9">
        <f t="shared" ca="1" si="114"/>
        <v>-15.535110586054728</v>
      </c>
      <c r="BY188" s="9">
        <f t="shared" ca="1" si="115"/>
        <v>3.9087946322130804</v>
      </c>
      <c r="BZ188" s="9">
        <f t="shared" ca="1" si="116"/>
        <v>108.36057047076645</v>
      </c>
      <c r="CA188" s="6">
        <f t="shared" ca="1" si="117"/>
        <v>-37.389765720060637</v>
      </c>
      <c r="CB188" s="6">
        <f t="shared" ca="1" si="118"/>
        <v>-0.33225782673115406</v>
      </c>
      <c r="CC188" s="6">
        <f t="shared" ca="1" si="119"/>
        <v>-8.9250348877634153E-5</v>
      </c>
      <c r="CD188" s="9">
        <f t="shared" si="120"/>
        <v>96.160570470766444</v>
      </c>
      <c r="CE188" s="9">
        <f t="shared" si="121"/>
        <v>-33.189765720060635</v>
      </c>
      <c r="CF188" s="6">
        <f t="shared" si="122"/>
        <v>-0.33234707708003169</v>
      </c>
      <c r="CG188" s="6"/>
      <c r="CH188" s="6"/>
      <c r="CI188" s="6"/>
      <c r="CJ188" s="1"/>
      <c r="CK188" s="6"/>
    </row>
    <row r="189" spans="1:89" x14ac:dyDescent="0.2">
      <c r="A189">
        <f t="shared" si="200"/>
        <v>5</v>
      </c>
      <c r="B189">
        <f t="shared" si="200"/>
        <v>0</v>
      </c>
      <c r="C189" s="6">
        <f t="shared" ca="1" si="200"/>
        <v>0</v>
      </c>
      <c r="D189" s="6">
        <f t="shared" si="200"/>
        <v>6</v>
      </c>
      <c r="E189" s="6">
        <f t="shared" si="200"/>
        <v>2</v>
      </c>
      <c r="F189" s="6">
        <f t="shared" si="201"/>
        <v>0</v>
      </c>
      <c r="G189" s="6">
        <f t="shared" si="202"/>
        <v>-10</v>
      </c>
      <c r="H189" s="6">
        <f t="shared" si="203"/>
        <v>5.714036709519327</v>
      </c>
      <c r="I189" s="6">
        <f t="shared" si="204"/>
        <v>-8.2066914455379365</v>
      </c>
      <c r="J189" s="6">
        <f t="shared" si="205"/>
        <v>21.483143205895058</v>
      </c>
      <c r="K189" s="6">
        <f t="shared" ca="1" si="206"/>
        <v>0</v>
      </c>
      <c r="L189" s="6">
        <f t="shared" ca="1" si="210"/>
        <v>0</v>
      </c>
      <c r="M189" s="6">
        <f t="shared" ca="1" si="211"/>
        <v>0</v>
      </c>
      <c r="N189" s="6">
        <f t="shared" ca="1" si="207"/>
        <v>0</v>
      </c>
      <c r="O189" s="6">
        <f t="shared" ca="1" si="208"/>
        <v>0</v>
      </c>
      <c r="P189" s="6">
        <f t="shared" ca="1" si="209"/>
        <v>0</v>
      </c>
      <c r="BC189">
        <v>3.2637657012293841</v>
      </c>
      <c r="BD189">
        <v>108.03827485183839</v>
      </c>
      <c r="BE189">
        <v>-47.293007698182386</v>
      </c>
      <c r="BF189" s="6">
        <f t="shared" si="172"/>
        <v>5.8705708520566349</v>
      </c>
      <c r="BG189" s="6">
        <f t="shared" si="173"/>
        <v>2.6068051508272507</v>
      </c>
      <c r="BH189" s="6">
        <f t="shared" si="174"/>
        <v>8.1060293247013235E-2</v>
      </c>
      <c r="BI189" s="6">
        <f t="shared" si="175"/>
        <v>8.1060293247013235E-2</v>
      </c>
      <c r="BJ189">
        <v>120.04252761315377</v>
      </c>
      <c r="BK189">
        <v>-52.547786331313759</v>
      </c>
      <c r="BV189" s="38"/>
      <c r="BW189" s="6">
        <f t="shared" si="113"/>
        <v>3.0368728984701239</v>
      </c>
      <c r="BX189" s="9">
        <f t="shared" ca="1" si="114"/>
        <v>-15.783974255500652</v>
      </c>
      <c r="BY189" s="9">
        <f t="shared" ca="1" si="115"/>
        <v>3.0996987484699545</v>
      </c>
      <c r="BZ189" s="9">
        <f t="shared" ca="1" si="116"/>
        <v>108.11170680132052</v>
      </c>
      <c r="CA189" s="6">
        <f t="shared" ca="1" si="117"/>
        <v>-38.198861603803763</v>
      </c>
      <c r="CB189" s="6">
        <f t="shared" ca="1" si="118"/>
        <v>-0.33963628873903423</v>
      </c>
      <c r="CC189" s="6">
        <f t="shared" ca="1" si="119"/>
        <v>-1.0247724764068655E-3</v>
      </c>
      <c r="CD189" s="9">
        <f t="shared" si="120"/>
        <v>95.91170680132052</v>
      </c>
      <c r="CE189" s="9">
        <f t="shared" si="121"/>
        <v>-33.998861603803761</v>
      </c>
      <c r="CF189" s="6">
        <f t="shared" si="122"/>
        <v>-0.3406610612154411</v>
      </c>
      <c r="CG189" s="6"/>
      <c r="CH189" s="6"/>
      <c r="CI189" s="6"/>
      <c r="CJ189" s="1"/>
      <c r="CK189" s="6"/>
    </row>
    <row r="190" spans="1:89" x14ac:dyDescent="0.2">
      <c r="A190">
        <f t="shared" si="200"/>
        <v>6</v>
      </c>
      <c r="B190">
        <f t="shared" si="200"/>
        <v>0</v>
      </c>
      <c r="C190" s="6">
        <f t="shared" ca="1" si="200"/>
        <v>0</v>
      </c>
      <c r="D190" s="6">
        <f t="shared" si="200"/>
        <v>0</v>
      </c>
      <c r="E190" s="6">
        <f t="shared" si="200"/>
        <v>8.66</v>
      </c>
      <c r="F190" s="6">
        <f t="shared" si="201"/>
        <v>-6</v>
      </c>
      <c r="G190" s="6">
        <f t="shared" si="202"/>
        <v>-3.34</v>
      </c>
      <c r="H190" s="6">
        <f t="shared" si="203"/>
        <v>-3.0155266063433075</v>
      </c>
      <c r="I190" s="6">
        <f t="shared" si="204"/>
        <v>-6.169456968521267</v>
      </c>
      <c r="J190" s="6">
        <f t="shared" si="205"/>
        <v>19.445908728878386</v>
      </c>
      <c r="K190" s="6">
        <f t="shared" ca="1" si="206"/>
        <v>0</v>
      </c>
      <c r="L190" s="6">
        <f t="shared" ca="1" si="210"/>
        <v>0</v>
      </c>
      <c r="M190" s="6">
        <f t="shared" ca="1" si="211"/>
        <v>0</v>
      </c>
      <c r="N190" s="6">
        <f t="shared" ca="1" si="207"/>
        <v>0</v>
      </c>
      <c r="O190" s="6">
        <f t="shared" ca="1" si="208"/>
        <v>0</v>
      </c>
      <c r="P190" s="6">
        <f t="shared" ca="1" si="209"/>
        <v>0</v>
      </c>
      <c r="BC190">
        <v>3.2812189937493272</v>
      </c>
      <c r="BD190">
        <v>108.08706051954593</v>
      </c>
      <c r="BE190">
        <v>-47.664388200132052</v>
      </c>
      <c r="BF190" s="6">
        <f t="shared" si="172"/>
        <v>5.8678564734444398</v>
      </c>
      <c r="BG190" s="6">
        <f t="shared" si="173"/>
        <v>2.5866374796951126</v>
      </c>
      <c r="BH190" s="6">
        <f t="shared" si="174"/>
        <v>8.3774671859208283E-2</v>
      </c>
      <c r="BI190" s="6">
        <f t="shared" si="175"/>
        <v>8.3774671859208283E-2</v>
      </c>
      <c r="BJ190">
        <v>120.09673391060659</v>
      </c>
      <c r="BK190">
        <v>-52.960431333480059</v>
      </c>
      <c r="BV190" s="38"/>
      <c r="BW190" s="6">
        <f t="shared" si="113"/>
        <v>3.054326190990067</v>
      </c>
      <c r="BX190" s="9">
        <f t="shared" ca="1" si="114"/>
        <v>-15.961963168553382</v>
      </c>
      <c r="BY190" s="9">
        <f t="shared" ca="1" si="115"/>
        <v>2.2826873484926864</v>
      </c>
      <c r="BZ190" s="9">
        <f t="shared" ca="1" si="116"/>
        <v>107.93371788826779</v>
      </c>
      <c r="CA190" s="6">
        <f t="shared" ca="1" si="117"/>
        <v>-39.015873003781032</v>
      </c>
      <c r="CB190" s="6">
        <f t="shared" ca="1" si="118"/>
        <v>-0.3468651003085787</v>
      </c>
      <c r="CC190" s="6">
        <f t="shared" ca="1" si="119"/>
        <v>-1.9392257131268797E-3</v>
      </c>
      <c r="CD190" s="9">
        <f t="shared" si="120"/>
        <v>95.73371788826779</v>
      </c>
      <c r="CE190" s="9">
        <f t="shared" si="121"/>
        <v>-34.815873003781029</v>
      </c>
      <c r="CF190" s="6">
        <f t="shared" si="122"/>
        <v>-0.34880432602170558</v>
      </c>
      <c r="CG190" s="6"/>
      <c r="CH190" s="6"/>
      <c r="CI190" s="6"/>
      <c r="CJ190" s="1"/>
      <c r="CK190" s="6"/>
    </row>
    <row r="191" spans="1:89" x14ac:dyDescent="0.2">
      <c r="A191">
        <f t="shared" si="200"/>
        <v>7</v>
      </c>
      <c r="B191">
        <f t="shared" si="200"/>
        <v>0</v>
      </c>
      <c r="C191" s="6">
        <f t="shared" ca="1" si="200"/>
        <v>0</v>
      </c>
      <c r="D191" s="6">
        <f t="shared" si="200"/>
        <v>2</v>
      </c>
      <c r="E191" s="6">
        <f t="shared" si="200"/>
        <v>22</v>
      </c>
      <c r="F191" s="6">
        <f t="shared" si="201"/>
        <v>-4</v>
      </c>
      <c r="G191" s="6">
        <f t="shared" si="202"/>
        <v>10</v>
      </c>
      <c r="H191" s="6">
        <f t="shared" si="203"/>
        <v>-8.9967132877345009</v>
      </c>
      <c r="I191" s="6">
        <f t="shared" si="204"/>
        <v>5.9210767617302054</v>
      </c>
      <c r="J191" s="6">
        <f t="shared" si="205"/>
        <v>7.3553749986269157</v>
      </c>
      <c r="K191" s="6">
        <f t="shared" ca="1" si="206"/>
        <v>0</v>
      </c>
      <c r="L191" s="6">
        <f t="shared" ca="1" si="210"/>
        <v>0</v>
      </c>
      <c r="M191" s="6">
        <f t="shared" ca="1" si="211"/>
        <v>0</v>
      </c>
      <c r="N191" s="6">
        <f t="shared" ca="1" si="207"/>
        <v>0</v>
      </c>
      <c r="O191" s="6">
        <f t="shared" ca="1" si="208"/>
        <v>0</v>
      </c>
      <c r="P191" s="6">
        <f t="shared" ca="1" si="209"/>
        <v>0</v>
      </c>
      <c r="BC191">
        <v>3.2986722862692703</v>
      </c>
      <c r="BD191">
        <v>108.13306864290402</v>
      </c>
      <c r="BE191">
        <v>-47.972761659344179</v>
      </c>
      <c r="BF191" s="6">
        <f t="shared" si="172"/>
        <v>5.8656282397117128</v>
      </c>
      <c r="BG191" s="6">
        <f t="shared" si="173"/>
        <v>2.5669559534424424</v>
      </c>
      <c r="BH191" s="6">
        <f t="shared" si="174"/>
        <v>8.6002905591935352E-2</v>
      </c>
      <c r="BI191" s="6">
        <f t="shared" si="175"/>
        <v>8.6002905591935352E-2</v>
      </c>
      <c r="BJ191">
        <v>120.14785404767113</v>
      </c>
      <c r="BK191">
        <v>-53.303068510382417</v>
      </c>
      <c r="BV191" s="38"/>
      <c r="BW191" s="6">
        <f t="shared" si="113"/>
        <v>3.0717794835100101</v>
      </c>
      <c r="BX191" s="9">
        <f t="shared" ca="1" si="114"/>
        <v>-16.013589031015329</v>
      </c>
      <c r="BY191" s="9">
        <f t="shared" ca="1" si="115"/>
        <v>1.6707949522984933</v>
      </c>
      <c r="BZ191" s="9">
        <f t="shared" ca="1" si="116"/>
        <v>107.88209202580585</v>
      </c>
      <c r="CA191" s="6">
        <f t="shared" ca="1" si="117"/>
        <v>-39.627765399975225</v>
      </c>
      <c r="CB191" s="6">
        <f t="shared" ca="1" si="118"/>
        <v>-0.35202478744975857</v>
      </c>
      <c r="CC191" s="6">
        <f t="shared" ca="1" si="119"/>
        <v>-2.5885287205019702E-3</v>
      </c>
      <c r="CD191" s="9">
        <f t="shared" si="120"/>
        <v>95.682092025805844</v>
      </c>
      <c r="CE191" s="9">
        <f t="shared" si="121"/>
        <v>-35.427765399975222</v>
      </c>
      <c r="CF191" s="6">
        <f t="shared" si="122"/>
        <v>-0.35461331617026054</v>
      </c>
      <c r="CG191" s="6"/>
      <c r="CH191" s="6"/>
      <c r="CI191" s="6"/>
      <c r="CJ191" s="1"/>
      <c r="CK191" s="6"/>
    </row>
    <row r="192" spans="1:89" x14ac:dyDescent="0.2">
      <c r="A192">
        <f t="shared" si="200"/>
        <v>8</v>
      </c>
      <c r="B192">
        <f t="shared" si="200"/>
        <v>0</v>
      </c>
      <c r="C192" s="6">
        <f t="shared" ca="1" si="200"/>
        <v>0</v>
      </c>
      <c r="D192" s="6">
        <f t="shared" si="200"/>
        <v>10</v>
      </c>
      <c r="E192" s="6">
        <f t="shared" si="200"/>
        <v>22</v>
      </c>
      <c r="F192" s="6">
        <f t="shared" si="201"/>
        <v>4</v>
      </c>
      <c r="G192" s="6">
        <f t="shared" si="202"/>
        <v>10</v>
      </c>
      <c r="H192" s="6">
        <f t="shared" si="203"/>
        <v>-2.4313601313041522</v>
      </c>
      <c r="I192" s="6">
        <f t="shared" si="204"/>
        <v>10.492306129345668</v>
      </c>
      <c r="J192" s="6">
        <f t="shared" si="205"/>
        <v>2.7841456310114534</v>
      </c>
      <c r="K192" s="6">
        <f t="shared" ca="1" si="206"/>
        <v>0</v>
      </c>
      <c r="L192" s="6">
        <f t="shared" ca="1" si="210"/>
        <v>0</v>
      </c>
      <c r="M192" s="6">
        <f t="shared" ca="1" si="211"/>
        <v>0</v>
      </c>
      <c r="N192" s="6">
        <f t="shared" ca="1" si="207"/>
        <v>0</v>
      </c>
      <c r="O192" s="6">
        <f t="shared" ca="1" si="208"/>
        <v>0</v>
      </c>
      <c r="P192" s="6">
        <f t="shared" ca="1" si="209"/>
        <v>0</v>
      </c>
      <c r="BC192">
        <v>3.3161255787892134</v>
      </c>
      <c r="BD192">
        <v>108.17678503935271</v>
      </c>
      <c r="BE192">
        <v>-48.234356222935055</v>
      </c>
      <c r="BF192" s="6">
        <f t="shared" si="172"/>
        <v>5.8637590651005</v>
      </c>
      <c r="BG192" s="6">
        <f t="shared" si="173"/>
        <v>2.5476334863112866</v>
      </c>
      <c r="BH192" s="6">
        <f t="shared" si="174"/>
        <v>8.7872080203148073E-2</v>
      </c>
      <c r="BI192" s="6">
        <f t="shared" si="175"/>
        <v>8.7872080203148073E-2</v>
      </c>
      <c r="BJ192">
        <v>120.19642782150301</v>
      </c>
      <c r="BK192">
        <v>-53.593729136594504</v>
      </c>
      <c r="BV192" s="38"/>
      <c r="BW192" s="6">
        <f t="shared" si="113"/>
        <v>3.0892327760299532</v>
      </c>
      <c r="BX192" s="9">
        <f t="shared" ca="1" si="114"/>
        <v>-16.06180022087797</v>
      </c>
      <c r="BY192" s="9">
        <f t="shared" ca="1" si="115"/>
        <v>0.98590771032528579</v>
      </c>
      <c r="BZ192" s="9">
        <f t="shared" ca="1" si="116"/>
        <v>107.83388083594321</v>
      </c>
      <c r="CA192" s="6">
        <f t="shared" ca="1" si="117"/>
        <v>-40.312652641948432</v>
      </c>
      <c r="CB192" s="6">
        <f t="shared" ca="1" si="118"/>
        <v>-0.35775357809006242</v>
      </c>
      <c r="CC192" s="6">
        <f t="shared" ca="1" si="119"/>
        <v>-3.3064836611586546E-3</v>
      </c>
      <c r="CD192" s="9">
        <f t="shared" si="120"/>
        <v>95.633880835943202</v>
      </c>
      <c r="CE192" s="9">
        <f t="shared" si="121"/>
        <v>-36.112652641948429</v>
      </c>
      <c r="CF192" s="6">
        <f t="shared" si="122"/>
        <v>-0.36106006175122107</v>
      </c>
      <c r="CG192" s="6"/>
      <c r="CH192" s="6"/>
      <c r="CI192" s="6"/>
      <c r="CJ192" s="1"/>
      <c r="CK192" s="6"/>
    </row>
    <row r="193" spans="1:89" x14ac:dyDescent="0.2">
      <c r="A193">
        <f t="shared" si="200"/>
        <v>9</v>
      </c>
      <c r="B193">
        <f t="shared" si="200"/>
        <v>0</v>
      </c>
      <c r="C193" s="6">
        <f t="shared" ca="1" si="200"/>
        <v>0</v>
      </c>
      <c r="D193" s="6">
        <f t="shared" si="200"/>
        <v>2</v>
      </c>
      <c r="E193" s="6">
        <f t="shared" si="200"/>
        <v>2</v>
      </c>
      <c r="F193" s="6">
        <f t="shared" si="201"/>
        <v>-4</v>
      </c>
      <c r="G193" s="6">
        <f t="shared" si="202"/>
        <v>-10</v>
      </c>
      <c r="H193" s="6">
        <f t="shared" si="203"/>
        <v>2.4313601313041522</v>
      </c>
      <c r="I193" s="6">
        <f t="shared" si="204"/>
        <v>-10.492306129345668</v>
      </c>
      <c r="J193" s="6">
        <f t="shared" si="205"/>
        <v>23.76875788970279</v>
      </c>
      <c r="K193" s="6">
        <f t="shared" ca="1" si="206"/>
        <v>0</v>
      </c>
      <c r="L193" s="6">
        <f t="shared" ca="1" si="210"/>
        <v>0</v>
      </c>
      <c r="M193" s="6">
        <f t="shared" ca="1" si="211"/>
        <v>0</v>
      </c>
      <c r="N193" s="6">
        <f t="shared" ca="1" si="207"/>
        <v>0</v>
      </c>
      <c r="O193" s="6">
        <f t="shared" ca="1" si="208"/>
        <v>0</v>
      </c>
      <c r="P193" s="6">
        <f t="shared" ca="1" si="209"/>
        <v>0</v>
      </c>
      <c r="BC193">
        <v>3.3335788713091565</v>
      </c>
      <c r="BD193">
        <v>108.21857867019439</v>
      </c>
      <c r="BE193">
        <v>-48.460104574604877</v>
      </c>
      <c r="BF193" s="6">
        <f t="shared" si="172"/>
        <v>5.8621637549267307</v>
      </c>
      <c r="BG193" s="6">
        <f t="shared" si="173"/>
        <v>2.5285848836175742</v>
      </c>
      <c r="BH193" s="6">
        <f t="shared" si="174"/>
        <v>8.9467390376917422E-2</v>
      </c>
      <c r="BI193" s="6">
        <f t="shared" si="175"/>
        <v>8.9467390376917422E-2</v>
      </c>
      <c r="BJ193">
        <v>120.24286518910488</v>
      </c>
      <c r="BK193">
        <v>-53.844560638449863</v>
      </c>
      <c r="BV193" s="38"/>
      <c r="BW193" s="6">
        <f t="shared" si="113"/>
        <v>3.1066860685498963</v>
      </c>
      <c r="BX193" s="9">
        <f t="shared" ca="1" si="114"/>
        <v>-16.103816811400932</v>
      </c>
      <c r="BY193" s="9">
        <f t="shared" ca="1" si="115"/>
        <v>0.23466339170536088</v>
      </c>
      <c r="BZ193" s="9">
        <f t="shared" ca="1" si="116"/>
        <v>107.79186424542024</v>
      </c>
      <c r="CA193" s="6">
        <f t="shared" ca="1" si="117"/>
        <v>-41.063896960568357</v>
      </c>
      <c r="CB193" s="6">
        <f t="shared" ca="1" si="118"/>
        <v>-0.36398162697023112</v>
      </c>
      <c r="CC193" s="6">
        <f t="shared" ca="1" si="119"/>
        <v>-4.0831155380121609E-3</v>
      </c>
      <c r="CD193" s="9">
        <f t="shared" si="120"/>
        <v>95.59186424542024</v>
      </c>
      <c r="CE193" s="9">
        <f t="shared" si="121"/>
        <v>-36.863896960568354</v>
      </c>
      <c r="CF193" s="6">
        <f t="shared" si="122"/>
        <v>-0.36806474250824328</v>
      </c>
      <c r="CG193" s="6"/>
      <c r="CH193" s="6"/>
      <c r="CI193" s="6"/>
      <c r="CJ193" s="1"/>
      <c r="CK193" s="6"/>
    </row>
    <row r="194" spans="1:89" ht="16" thickBot="1" x14ac:dyDescent="0.25">
      <c r="A194">
        <f t="shared" si="200"/>
        <v>10</v>
      </c>
      <c r="B194">
        <f t="shared" si="200"/>
        <v>0</v>
      </c>
      <c r="C194" s="6">
        <f t="shared" ca="1" si="200"/>
        <v>0</v>
      </c>
      <c r="D194" s="6">
        <f t="shared" si="200"/>
        <v>10</v>
      </c>
      <c r="E194" s="6">
        <f t="shared" si="200"/>
        <v>2</v>
      </c>
      <c r="F194" s="6">
        <f t="shared" si="201"/>
        <v>4</v>
      </c>
      <c r="G194" s="6">
        <f t="shared" si="202"/>
        <v>-10</v>
      </c>
      <c r="H194" s="6">
        <f t="shared" si="203"/>
        <v>8.9967132877345009</v>
      </c>
      <c r="I194" s="6">
        <f t="shared" si="204"/>
        <v>-5.9210767617302054</v>
      </c>
      <c r="J194" s="6">
        <f t="shared" si="205"/>
        <v>19.197528522087325</v>
      </c>
      <c r="K194" s="11">
        <f t="shared" ca="1" si="206"/>
        <v>0</v>
      </c>
      <c r="L194" s="6">
        <f t="shared" ca="1" si="210"/>
        <v>0</v>
      </c>
      <c r="M194" s="6">
        <f t="shared" ca="1" si="211"/>
        <v>0</v>
      </c>
      <c r="N194" s="11">
        <f t="shared" ca="1" si="207"/>
        <v>0</v>
      </c>
      <c r="O194" s="11">
        <f t="shared" ca="1" si="208"/>
        <v>0</v>
      </c>
      <c r="P194" s="11">
        <f t="shared" ca="1" si="209"/>
        <v>0</v>
      </c>
      <c r="BC194">
        <v>3.3510321638290996</v>
      </c>
      <c r="BD194">
        <v>108.25873821050043</v>
      </c>
      <c r="BE194">
        <v>-48.657676551150118</v>
      </c>
      <c r="BF194" s="6">
        <f t="shared" si="172"/>
        <v>5.8607828103296296</v>
      </c>
      <c r="BG194" s="6">
        <f t="shared" si="173"/>
        <v>2.5097506465005299</v>
      </c>
      <c r="BH194" s="6">
        <f t="shared" si="174"/>
        <v>9.0848334974018563E-2</v>
      </c>
      <c r="BI194" s="6">
        <f t="shared" si="175"/>
        <v>9.0848334974018563E-2</v>
      </c>
      <c r="BJ194">
        <v>120.28748690055602</v>
      </c>
      <c r="BK194">
        <v>-54.064085056833463</v>
      </c>
      <c r="BV194" s="38"/>
      <c r="BW194" s="6">
        <f t="shared" si="113"/>
        <v>3.1241393610698394</v>
      </c>
      <c r="BX194" s="9">
        <f t="shared" ca="1" si="114"/>
        <v>-16.135206815355389</v>
      </c>
      <c r="BY194" s="9">
        <f t="shared" ca="1" si="115"/>
        <v>-0.56025216752097862</v>
      </c>
      <c r="BZ194" s="9">
        <f t="shared" ca="1" si="116"/>
        <v>107.76047424146579</v>
      </c>
      <c r="CA194" s="6">
        <f t="shared" ca="1" si="117"/>
        <v>-41.858812519794697</v>
      </c>
      <c r="CB194" s="6">
        <f t="shared" ca="1" si="118"/>
        <v>-0.37050400247595006</v>
      </c>
      <c r="CC194" s="6">
        <f t="shared" ca="1" si="119"/>
        <v>-4.8916187597379257E-3</v>
      </c>
      <c r="CD194" s="9">
        <f t="shared" si="120"/>
        <v>95.560474241465784</v>
      </c>
      <c r="CE194" s="9">
        <f t="shared" si="121"/>
        <v>-37.658812519794694</v>
      </c>
      <c r="CF194" s="6">
        <f t="shared" si="122"/>
        <v>-0.37539562123568798</v>
      </c>
      <c r="CG194" s="6"/>
      <c r="CH194" s="6"/>
      <c r="CI194" s="6"/>
      <c r="CJ194" s="1"/>
      <c r="CK194" s="6"/>
    </row>
    <row r="195" spans="1:89" ht="16" thickTop="1" x14ac:dyDescent="0.2">
      <c r="K195" s="13">
        <f ca="1">MIN(K185:K194)</f>
        <v>-2.1897547976143225E-2</v>
      </c>
      <c r="N195" s="6">
        <f ca="1">SUM(N185:N194)</f>
        <v>-189.60000000000002</v>
      </c>
      <c r="O195" s="6">
        <f ca="1">SUM(O185:O194)</f>
        <v>1725.404236304053</v>
      </c>
      <c r="P195" s="6">
        <f ca="1">SUM(P185:P194)</f>
        <v>508.24661469018014</v>
      </c>
      <c r="BC195">
        <v>3.3684854563490427</v>
      </c>
      <c r="BD195">
        <v>108.29749512524485</v>
      </c>
      <c r="BE195">
        <v>-48.832632968616224</v>
      </c>
      <c r="BF195" s="6">
        <f t="shared" ref="BF195:BF258" si="212">IF(BC195&lt;&gt;"",IF(AND(BD195=0,BE195=0),0,MOD(ATAN2(BD195,BE195),2*PI())),NA())</f>
        <v>5.8595732748771967</v>
      </c>
      <c r="BG195" s="6">
        <f t="shared" ref="BG195:BG258" si="213">ABS(BC195-BF195)</f>
        <v>2.491087818528154</v>
      </c>
      <c r="BH195" s="6">
        <f t="shared" ref="BH195:BH258" si="214">ATAN2(COS($U$13-BF195),SIN($U$13-BF195))</f>
        <v>9.2057870426451416E-2</v>
      </c>
      <c r="BI195" s="6">
        <f t="shared" ref="BI195:BI258" si="215">ABS(BH195)</f>
        <v>9.2057870426451416E-2</v>
      </c>
      <c r="BJ195">
        <v>120.33055013916095</v>
      </c>
      <c r="BK195">
        <v>-54.258481076240244</v>
      </c>
      <c r="BV195" s="38"/>
      <c r="BW195" s="6">
        <f t="shared" si="113"/>
        <v>3.1415926535897825</v>
      </c>
      <c r="BX195" s="9">
        <f t="shared" ca="1" si="114"/>
        <v>-16.151355520067128</v>
      </c>
      <c r="BY195" s="9">
        <f t="shared" ca="1" si="115"/>
        <v>-1.3614396477260868</v>
      </c>
      <c r="BZ195" s="9">
        <f t="shared" ca="1" si="116"/>
        <v>107.74432553675405</v>
      </c>
      <c r="CA195" s="6">
        <f t="shared" ca="1" si="117"/>
        <v>-42.659999999999805</v>
      </c>
      <c r="CB195" s="6">
        <f t="shared" ca="1" si="118"/>
        <v>-0.37699917181934767</v>
      </c>
      <c r="CC195" s="6">
        <f t="shared" ca="1" si="119"/>
        <v>-5.6912227558454931E-3</v>
      </c>
      <c r="CD195" s="9">
        <f t="shared" si="120"/>
        <v>95.544325536754044</v>
      </c>
      <c r="CE195" s="9">
        <f t="shared" si="121"/>
        <v>-38.459999999999802</v>
      </c>
      <c r="CF195" s="6">
        <f t="shared" si="122"/>
        <v>-0.38269039457519316</v>
      </c>
      <c r="CG195" s="6"/>
      <c r="CH195" s="6"/>
      <c r="CI195" s="6"/>
      <c r="CJ195" s="1"/>
      <c r="CK195" s="6"/>
    </row>
    <row r="196" spans="1:89" x14ac:dyDescent="0.2">
      <c r="A196" t="s">
        <v>190</v>
      </c>
      <c r="B196" s="9">
        <f ca="1">N195</f>
        <v>-189.60000000000002</v>
      </c>
      <c r="C196" t="s">
        <v>68</v>
      </c>
      <c r="BC196">
        <v>3.3859387488689858</v>
      </c>
      <c r="BD196">
        <v>108.33503887883771</v>
      </c>
      <c r="BE196">
        <v>-48.98911703560757</v>
      </c>
      <c r="BF196" s="6">
        <f t="shared" si="212"/>
        <v>5.8585032707854818</v>
      </c>
      <c r="BG196" s="6">
        <f t="shared" si="213"/>
        <v>2.472564521916496</v>
      </c>
      <c r="BH196" s="6">
        <f t="shared" si="214"/>
        <v>9.3127874518166273E-2</v>
      </c>
      <c r="BI196" s="6">
        <f t="shared" si="215"/>
        <v>9.3127874518166273E-2</v>
      </c>
      <c r="BJ196">
        <v>120.37226542093079</v>
      </c>
      <c r="BK196">
        <v>-54.432352261786185</v>
      </c>
      <c r="BV196" s="38"/>
      <c r="BW196" s="6">
        <f t="shared" si="113"/>
        <v>3.1590459461097256</v>
      </c>
      <c r="BX196" s="9">
        <f t="shared" ca="1" si="114"/>
        <v>-16.13520681536184</v>
      </c>
      <c r="BY196" s="9">
        <f t="shared" ca="1" si="115"/>
        <v>-2.1626271279308966</v>
      </c>
      <c r="BZ196" s="9">
        <f t="shared" ca="1" si="116"/>
        <v>107.76047424145933</v>
      </c>
      <c r="CA196" s="6">
        <f t="shared" ca="1" si="117"/>
        <v>-43.461187480204615</v>
      </c>
      <c r="CB196" s="6">
        <f t="shared" ca="1" si="118"/>
        <v>-0.38335904369959611</v>
      </c>
      <c r="CC196" s="6">
        <f t="shared" ca="1" si="119"/>
        <v>-6.4671395733531534E-3</v>
      </c>
      <c r="CD196" s="9">
        <f t="shared" si="120"/>
        <v>95.560474241459332</v>
      </c>
      <c r="CE196" s="9">
        <f t="shared" si="121"/>
        <v>-39.261187480204612</v>
      </c>
      <c r="CF196" s="6">
        <f t="shared" si="122"/>
        <v>-0.38982618327294927</v>
      </c>
      <c r="CG196" s="6"/>
      <c r="CH196" s="6"/>
      <c r="CI196" s="6"/>
      <c r="CJ196" s="1"/>
      <c r="CK196" s="6"/>
    </row>
    <row r="197" spans="1:89" x14ac:dyDescent="0.2">
      <c r="A197" t="s">
        <v>100</v>
      </c>
      <c r="B197" s="9">
        <f ca="1">O195</f>
        <v>1725.404236304053</v>
      </c>
      <c r="C197" t="s">
        <v>69</v>
      </c>
      <c r="BC197">
        <v>3.4033920413889289</v>
      </c>
      <c r="BD197">
        <v>108.37152735012832</v>
      </c>
      <c r="BE197">
        <v>-49.130287520707867</v>
      </c>
      <c r="BF197" s="6">
        <f t="shared" si="212"/>
        <v>5.8575485879770941</v>
      </c>
      <c r="BG197" s="6">
        <f t="shared" si="213"/>
        <v>2.4541565465881652</v>
      </c>
      <c r="BH197" s="6">
        <f t="shared" si="214"/>
        <v>9.4082557326554031E-2</v>
      </c>
      <c r="BI197" s="6">
        <f t="shared" si="215"/>
        <v>9.4082557326554031E-2</v>
      </c>
      <c r="BJ197">
        <v>120.41280816680924</v>
      </c>
      <c r="BK197">
        <v>-54.58920835634207</v>
      </c>
      <c r="BV197" s="38"/>
      <c r="BW197" s="6">
        <f t="shared" si="113"/>
        <v>3.1764992386296687</v>
      </c>
      <c r="BX197" s="9">
        <f t="shared" ca="1" si="114"/>
        <v>-16.103816811405324</v>
      </c>
      <c r="BY197" s="9">
        <f t="shared" ca="1" si="115"/>
        <v>-2.9575426871568737</v>
      </c>
      <c r="BZ197" s="9">
        <f t="shared" ca="1" si="116"/>
        <v>107.79186424541585</v>
      </c>
      <c r="CA197" s="6">
        <f t="shared" ca="1" si="117"/>
        <v>-44.256103039430592</v>
      </c>
      <c r="CB197" s="6">
        <f t="shared" ca="1" si="118"/>
        <v>-0.38958508418079707</v>
      </c>
      <c r="CC197" s="6">
        <f t="shared" ca="1" si="119"/>
        <v>-7.2202451425575909E-3</v>
      </c>
      <c r="CD197" s="9">
        <f t="shared" si="120"/>
        <v>95.591864245415849</v>
      </c>
      <c r="CE197" s="9">
        <f t="shared" si="121"/>
        <v>-40.056103039430589</v>
      </c>
      <c r="CF197" s="6">
        <f t="shared" si="122"/>
        <v>-0.39680532932335466</v>
      </c>
      <c r="CG197" s="6"/>
      <c r="CH197" s="6"/>
      <c r="CI197" s="6"/>
      <c r="CJ197" s="1"/>
      <c r="CK197" s="6"/>
    </row>
    <row r="198" spans="1:89" x14ac:dyDescent="0.2">
      <c r="A198" t="s">
        <v>101</v>
      </c>
      <c r="B198" s="9">
        <f ca="1">P195</f>
        <v>508.24661469018014</v>
      </c>
      <c r="C198" t="s">
        <v>69</v>
      </c>
      <c r="BC198">
        <v>3.420845333908872</v>
      </c>
      <c r="BD198">
        <v>108.40709415328529</v>
      </c>
      <c r="BE198">
        <v>-49.258600438733758</v>
      </c>
      <c r="BF198" s="6">
        <f t="shared" si="212"/>
        <v>5.8566904730611347</v>
      </c>
      <c r="BG198" s="6">
        <f t="shared" si="213"/>
        <v>2.4358451391522626</v>
      </c>
      <c r="BH198" s="6">
        <f t="shared" si="214"/>
        <v>9.4940672242513471E-2</v>
      </c>
      <c r="BI198" s="6">
        <f t="shared" si="215"/>
        <v>9.4940672242513471E-2</v>
      </c>
      <c r="BJ198">
        <v>120.45232683698364</v>
      </c>
      <c r="BK198">
        <v>-54.731778265259727</v>
      </c>
      <c r="BV198" s="38"/>
      <c r="BW198" s="6">
        <f t="shared" si="113"/>
        <v>3.1939525311496118</v>
      </c>
      <c r="BX198" s="9">
        <f t="shared" ca="1" si="114"/>
        <v>-16.061800220882262</v>
      </c>
      <c r="BY198" s="9">
        <f t="shared" ca="1" si="115"/>
        <v>-3.7087870057770331</v>
      </c>
      <c r="BZ198" s="9">
        <f t="shared" ca="1" si="116"/>
        <v>107.83388083593891</v>
      </c>
      <c r="CA198" s="6">
        <f t="shared" ca="1" si="117"/>
        <v>-45.007347358050751</v>
      </c>
      <c r="CB198" s="6">
        <f t="shared" ca="1" si="118"/>
        <v>-0.39539595038546643</v>
      </c>
      <c r="CC198" s="6">
        <f t="shared" ca="1" si="119"/>
        <v>-7.917007302124246E-3</v>
      </c>
      <c r="CD198" s="9">
        <f t="shared" si="120"/>
        <v>95.633880835938911</v>
      </c>
      <c r="CE198" s="9">
        <f t="shared" si="121"/>
        <v>-40.807347358050748</v>
      </c>
      <c r="CF198" s="6">
        <f t="shared" si="122"/>
        <v>-0.40331295768759068</v>
      </c>
      <c r="CG198" s="6"/>
      <c r="CH198" s="6"/>
      <c r="CI198" s="6"/>
      <c r="CJ198" s="1"/>
      <c r="CK198" s="6"/>
    </row>
    <row r="199" spans="1:89" x14ac:dyDescent="0.2">
      <c r="BC199">
        <v>3.4382986264288151</v>
      </c>
      <c r="BD199">
        <v>108.44185395179647</v>
      </c>
      <c r="BE199">
        <v>-49.375998119056263</v>
      </c>
      <c r="BF199" s="6">
        <f t="shared" si="212"/>
        <v>5.8559141497970471</v>
      </c>
      <c r="BG199" s="6">
        <f t="shared" si="213"/>
        <v>2.4176155233682319</v>
      </c>
      <c r="BH199" s="6">
        <f t="shared" si="214"/>
        <v>9.5716995506601066E-2</v>
      </c>
      <c r="BI199" s="6">
        <f t="shared" si="215"/>
        <v>9.5716995506601066E-2</v>
      </c>
      <c r="BJ199">
        <v>120.49094883532942</v>
      </c>
      <c r="BK199">
        <v>-54.862220132284733</v>
      </c>
      <c r="BV199" s="38"/>
      <c r="BW199" s="6">
        <f t="shared" si="113"/>
        <v>3.2114058236695548</v>
      </c>
      <c r="BX199" s="9">
        <f t="shared" ca="1" si="114"/>
        <v>-16.013589031020032</v>
      </c>
      <c r="BY199" s="9">
        <f t="shared" ca="1" si="115"/>
        <v>-4.3936742477503685</v>
      </c>
      <c r="BZ199" s="9">
        <f t="shared" ca="1" si="116"/>
        <v>107.88209202580114</v>
      </c>
      <c r="CA199" s="6">
        <f t="shared" ca="1" si="117"/>
        <v>-45.692234600024086</v>
      </c>
      <c r="CB199" s="6">
        <f t="shared" ca="1" si="118"/>
        <v>-0.40063221200748894</v>
      </c>
      <c r="CC199" s="6">
        <f t="shared" ca="1" si="119"/>
        <v>-8.5395108178535368E-3</v>
      </c>
      <c r="CD199" s="9">
        <f t="shared" si="120"/>
        <v>95.68209202580114</v>
      </c>
      <c r="CE199" s="9">
        <f t="shared" si="121"/>
        <v>-41.492234600024084</v>
      </c>
      <c r="CF199" s="6">
        <f t="shared" si="122"/>
        <v>-0.40917172282534248</v>
      </c>
      <c r="CG199" s="6"/>
      <c r="CH199" s="6"/>
      <c r="CI199" s="6"/>
      <c r="CJ199" s="1"/>
      <c r="CK199" s="6"/>
    </row>
    <row r="200" spans="1:89" x14ac:dyDescent="0.2">
      <c r="A200" t="s">
        <v>99</v>
      </c>
      <c r="B200" s="9">
        <f ca="1">B178+B196</f>
        <v>-166.66666666562014</v>
      </c>
      <c r="C200" t="s">
        <v>68</v>
      </c>
      <c r="BC200">
        <v>3.4557519189487582</v>
      </c>
      <c r="BD200">
        <v>108.47590638392228</v>
      </c>
      <c r="BE200">
        <v>-49.484039622116462</v>
      </c>
      <c r="BF200" s="6">
        <f t="shared" si="212"/>
        <v>5.8552078013745428</v>
      </c>
      <c r="BG200" s="6">
        <f t="shared" si="213"/>
        <v>2.3994558824257846</v>
      </c>
      <c r="BH200" s="6">
        <f t="shared" si="214"/>
        <v>9.6423343929105343E-2</v>
      </c>
      <c r="BI200" s="6">
        <f t="shared" si="215"/>
        <v>9.6423343929105343E-2</v>
      </c>
      <c r="BJ200">
        <v>120.52878487102475</v>
      </c>
      <c r="BK200">
        <v>-54.982266246796065</v>
      </c>
      <c r="BV200" s="38"/>
      <c r="BW200" s="6">
        <f t="shared" si="113"/>
        <v>3.2288591161894979</v>
      </c>
      <c r="BX200" s="9">
        <f t="shared" ca="1" si="114"/>
        <v>-15.961963168556153</v>
      </c>
      <c r="BY200" s="9">
        <f t="shared" ca="1" si="115"/>
        <v>-5.0055666439446753</v>
      </c>
      <c r="BZ200" s="9">
        <f t="shared" ca="1" si="116"/>
        <v>107.93371788826502</v>
      </c>
      <c r="CA200" s="6">
        <f t="shared" ca="1" si="117"/>
        <v>-46.304126996218393</v>
      </c>
      <c r="CB200" s="6">
        <f t="shared" ca="1" si="118"/>
        <v>-0.40525819679215425</v>
      </c>
      <c r="CC200" s="6">
        <f t="shared" ca="1" si="119"/>
        <v>-9.0849376316641806E-3</v>
      </c>
      <c r="CD200" s="9">
        <f t="shared" si="120"/>
        <v>95.733717888265019</v>
      </c>
      <c r="CE200" s="9">
        <f t="shared" si="121"/>
        <v>-42.10412699621839</v>
      </c>
      <c r="CF200" s="6">
        <f t="shared" si="122"/>
        <v>-0.41434313442381843</v>
      </c>
      <c r="CG200" s="6"/>
      <c r="CH200" s="6"/>
      <c r="CI200" s="6"/>
      <c r="CJ200" s="1"/>
      <c r="CK200" s="6"/>
    </row>
    <row r="201" spans="1:89" x14ac:dyDescent="0.2">
      <c r="A201" t="s">
        <v>100</v>
      </c>
      <c r="B201" s="9">
        <f ca="1">B197+B179</f>
        <v>1993.4878012122826</v>
      </c>
      <c r="C201" t="s">
        <v>69</v>
      </c>
      <c r="BC201">
        <v>3.4732052114687013</v>
      </c>
      <c r="BD201">
        <v>108.50933903424519</v>
      </c>
      <c r="BE201">
        <v>-49.583992857526333</v>
      </c>
      <c r="BF201" s="6">
        <f t="shared" si="212"/>
        <v>5.8545618534942063</v>
      </c>
      <c r="BG201" s="6">
        <f t="shared" si="213"/>
        <v>2.381356642025505</v>
      </c>
      <c r="BH201" s="6">
        <f t="shared" si="214"/>
        <v>9.7069291809441793E-2</v>
      </c>
      <c r="BI201" s="6">
        <f t="shared" si="215"/>
        <v>9.7069291809441793E-2</v>
      </c>
      <c r="BJ201">
        <v>120.56593226027243</v>
      </c>
      <c r="BK201">
        <v>-55.093325397251476</v>
      </c>
      <c r="BV201" s="38"/>
      <c r="BW201" s="6">
        <f t="shared" si="113"/>
        <v>3.246312408709441</v>
      </c>
      <c r="BX201" s="9">
        <f t="shared" ca="1" si="114"/>
        <v>-15.909149955171671</v>
      </c>
      <c r="BY201" s="9">
        <f t="shared" ca="1" si="115"/>
        <v>-5.5408555587068165</v>
      </c>
      <c r="BZ201" s="9">
        <f t="shared" ca="1" si="116"/>
        <v>107.9865311016495</v>
      </c>
      <c r="CA201" s="6">
        <f t="shared" ca="1" si="117"/>
        <v>-46.839415910980534</v>
      </c>
      <c r="CB201" s="6">
        <f t="shared" ca="1" si="118"/>
        <v>-0.4092605819741138</v>
      </c>
      <c r="CC201" s="6">
        <f t="shared" ca="1" si="119"/>
        <v>-9.5531309505808015E-3</v>
      </c>
      <c r="CD201" s="9">
        <f t="shared" si="120"/>
        <v>95.786531101649501</v>
      </c>
      <c r="CE201" s="9">
        <f t="shared" si="121"/>
        <v>-42.639415910980532</v>
      </c>
      <c r="CF201" s="6">
        <f t="shared" si="122"/>
        <v>-0.4188137129246946</v>
      </c>
      <c r="CG201" s="6"/>
      <c r="CH201" s="6"/>
      <c r="CI201" s="6"/>
      <c r="CJ201" s="1"/>
      <c r="CK201" s="6"/>
    </row>
    <row r="202" spans="1:89" x14ac:dyDescent="0.2">
      <c r="A202" t="s">
        <v>101</v>
      </c>
      <c r="B202" s="9">
        <f ca="1">B198+B180</f>
        <v>566.03644837245508</v>
      </c>
      <c r="C202" t="s">
        <v>69</v>
      </c>
      <c r="BC202">
        <v>3.4906585039886444</v>
      </c>
      <c r="BD202">
        <v>108.54222970705881</v>
      </c>
      <c r="BE202">
        <v>-49.676901026584297</v>
      </c>
      <c r="BF202" s="6">
        <f t="shared" si="212"/>
        <v>5.8539684585447134</v>
      </c>
      <c r="BG202" s="6">
        <f t="shared" si="213"/>
        <v>2.363309954556069</v>
      </c>
      <c r="BH202" s="6">
        <f t="shared" si="214"/>
        <v>9.7662686758934747E-2</v>
      </c>
      <c r="BI202" s="6">
        <f t="shared" si="215"/>
        <v>9.7662686758934747E-2</v>
      </c>
      <c r="BJ202">
        <v>120.60247745228756</v>
      </c>
      <c r="BK202">
        <v>-55.196556696204773</v>
      </c>
      <c r="BV202" s="38"/>
      <c r="BW202" s="6">
        <f t="shared" si="113"/>
        <v>3.2637657012293841</v>
      </c>
      <c r="BX202" s="9">
        <f t="shared" ca="1" si="114"/>
        <v>-15.85740620498278</v>
      </c>
      <c r="BY202" s="9">
        <f t="shared" ca="1" si="115"/>
        <v>-5.994447345908668</v>
      </c>
      <c r="BZ202" s="9">
        <f t="shared" ca="1" si="116"/>
        <v>108.03827485183839</v>
      </c>
      <c r="CA202" s="6">
        <f t="shared" ca="1" si="117"/>
        <v>-47.293007698182386</v>
      </c>
      <c r="CB202" s="6">
        <f t="shared" ca="1" si="118"/>
        <v>-0.41261445512295147</v>
      </c>
      <c r="CC202" s="6">
        <f t="shared" ca="1" si="119"/>
        <v>-9.9425349166314403E-3</v>
      </c>
      <c r="CD202" s="9">
        <f t="shared" si="120"/>
        <v>95.838274851838392</v>
      </c>
      <c r="CE202" s="9">
        <f t="shared" si="121"/>
        <v>-43.093007698182383</v>
      </c>
      <c r="CF202" s="6">
        <f t="shared" si="122"/>
        <v>-0.42255699003958291</v>
      </c>
      <c r="CG202" s="6"/>
      <c r="CH202" s="6"/>
      <c r="CI202" s="6"/>
      <c r="CJ202" s="1"/>
      <c r="CK202" s="6"/>
    </row>
    <row r="203" spans="1:89" x14ac:dyDescent="0.2">
      <c r="BC203">
        <v>3.5081117965085875</v>
      </c>
      <c r="BD203">
        <v>108.57464821571621</v>
      </c>
      <c r="BE203">
        <v>-49.763631434093547</v>
      </c>
      <c r="BF203" s="6">
        <f t="shared" si="212"/>
        <v>5.8534211176231743</v>
      </c>
      <c r="BG203" s="6">
        <f t="shared" si="213"/>
        <v>2.3453093211145868</v>
      </c>
      <c r="BH203" s="6">
        <f t="shared" si="214"/>
        <v>9.8210027680473821E-2</v>
      </c>
      <c r="BI203" s="6">
        <f t="shared" si="215"/>
        <v>9.8210027680473821E-2</v>
      </c>
      <c r="BJ203">
        <v>120.63849801746245</v>
      </c>
      <c r="BK203">
        <v>-55.292923815659492</v>
      </c>
      <c r="BV203" s="38"/>
      <c r="BW203" s="6">
        <f t="shared" si="113"/>
        <v>3.2812189937493272</v>
      </c>
      <c r="BX203" s="9">
        <f t="shared" ca="1" si="114"/>
        <v>-15.808620537275246</v>
      </c>
      <c r="BY203" s="9">
        <f t="shared" ca="1" si="115"/>
        <v>-6.3658278478583341</v>
      </c>
      <c r="BZ203" s="9">
        <f t="shared" ca="1" si="116"/>
        <v>108.08706051954593</v>
      </c>
      <c r="CA203" s="6">
        <f t="shared" ca="1" si="117"/>
        <v>-47.664388200132052</v>
      </c>
      <c r="CB203" s="6">
        <f t="shared" ca="1" si="118"/>
        <v>-0.41532883373514645</v>
      </c>
      <c r="CC203" s="6">
        <f t="shared" ca="1" si="119"/>
        <v>-1.0255460595141597E-2</v>
      </c>
      <c r="CD203" s="9">
        <f t="shared" si="120"/>
        <v>95.887060519545926</v>
      </c>
      <c r="CE203" s="9">
        <f t="shared" si="121"/>
        <v>-43.464388200132049</v>
      </c>
      <c r="CF203" s="6">
        <f t="shared" si="122"/>
        <v>-0.42558429433028805</v>
      </c>
      <c r="CG203" s="6"/>
      <c r="CH203" s="6"/>
      <c r="CI203" s="6"/>
      <c r="CJ203" s="1"/>
      <c r="CK203" s="6"/>
    </row>
    <row r="204" spans="1:89" x14ac:dyDescent="0.2">
      <c r="A204" s="8" t="s">
        <v>64</v>
      </c>
      <c r="B204">
        <f ca="1">((B201*COS(-1*B27))+(B202*SIN(-1*B27)))</f>
        <v>1959.4292329919222</v>
      </c>
      <c r="C204" t="s">
        <v>69</v>
      </c>
      <c r="BC204">
        <v>3.5255650890285306</v>
      </c>
      <c r="BD204">
        <v>108.60665779343157</v>
      </c>
      <c r="BE204">
        <v>-49.844911948719535</v>
      </c>
      <c r="BF204" s="6">
        <f t="shared" si="212"/>
        <v>5.8529143988419019</v>
      </c>
      <c r="BG204" s="6">
        <f t="shared" si="213"/>
        <v>2.3273493098133713</v>
      </c>
      <c r="BH204" s="6">
        <f t="shared" si="214"/>
        <v>9.8716746461746219E-2</v>
      </c>
      <c r="BI204" s="6">
        <f t="shared" si="215"/>
        <v>9.8716746461746219E-2</v>
      </c>
      <c r="BJ204">
        <v>120.67406421492396</v>
      </c>
      <c r="BK204">
        <v>-55.383235498577257</v>
      </c>
      <c r="BV204" s="38"/>
      <c r="BW204" s="6">
        <f t="shared" si="113"/>
        <v>3.2986722862692703</v>
      </c>
      <c r="BX204" s="9">
        <f t="shared" ca="1" si="114"/>
        <v>-15.762612413917154</v>
      </c>
      <c r="BY204" s="9">
        <f t="shared" ca="1" si="115"/>
        <v>-6.6742013070704616</v>
      </c>
      <c r="BZ204" s="9">
        <f t="shared" ca="1" si="116"/>
        <v>108.13306864290402</v>
      </c>
      <c r="CA204" s="6">
        <f t="shared" ca="1" si="117"/>
        <v>-47.972761659344179</v>
      </c>
      <c r="CB204" s="6">
        <f t="shared" ca="1" si="118"/>
        <v>-0.4175570674678738</v>
      </c>
      <c r="CC204" s="6">
        <f t="shared" ca="1" si="119"/>
        <v>-1.0510653327130526E-2</v>
      </c>
      <c r="CD204" s="9">
        <f t="shared" si="120"/>
        <v>95.933068642904018</v>
      </c>
      <c r="CE204" s="9">
        <f t="shared" si="121"/>
        <v>-43.772761659344177</v>
      </c>
      <c r="CF204" s="6">
        <f t="shared" si="122"/>
        <v>-0.42806772079500433</v>
      </c>
      <c r="CG204" s="6"/>
      <c r="CH204" s="6"/>
      <c r="CI204" s="6"/>
      <c r="CJ204" s="1"/>
      <c r="CK204" s="6"/>
    </row>
    <row r="205" spans="1:89" x14ac:dyDescent="0.2">
      <c r="A205" s="8" t="s">
        <v>65</v>
      </c>
      <c r="B205">
        <f ca="1">(-1*(B201)*SIN(-1*B27))+((B202)*COS(-1*B27))</f>
        <v>-674.55759973850456</v>
      </c>
      <c r="C205" t="s">
        <v>69</v>
      </c>
      <c r="BC205">
        <v>3.5430183815484737</v>
      </c>
      <c r="BD205">
        <v>108.63831622783165</v>
      </c>
      <c r="BE205">
        <v>-49.921358642141037</v>
      </c>
      <c r="BF205" s="6">
        <f t="shared" si="212"/>
        <v>5.852443724283888</v>
      </c>
      <c r="BG205" s="6">
        <f t="shared" si="213"/>
        <v>2.3094253427354143</v>
      </c>
      <c r="BH205" s="6">
        <f t="shared" si="214"/>
        <v>9.918742101976008E-2</v>
      </c>
      <c r="BI205" s="6">
        <f t="shared" si="215"/>
        <v>9.918742101976008E-2</v>
      </c>
      <c r="BJ205">
        <v>120.70924025314628</v>
      </c>
      <c r="BK205">
        <v>-55.468176269045593</v>
      </c>
      <c r="BV205" s="38"/>
      <c r="BW205" s="6">
        <f t="shared" si="113"/>
        <v>3.3161255787892134</v>
      </c>
      <c r="BX205" s="9">
        <f t="shared" ca="1" si="114"/>
        <v>-15.718896017468467</v>
      </c>
      <c r="BY205" s="9">
        <f t="shared" ca="1" si="115"/>
        <v>-6.9357958706613374</v>
      </c>
      <c r="BZ205" s="9">
        <f t="shared" ca="1" si="116"/>
        <v>108.17678503935271</v>
      </c>
      <c r="CA205" s="6">
        <f t="shared" ca="1" si="117"/>
        <v>-48.234356222935055</v>
      </c>
      <c r="CB205" s="6">
        <f t="shared" ca="1" si="118"/>
        <v>-0.4194262420790863</v>
      </c>
      <c r="CC205" s="6">
        <f t="shared" ca="1" si="119"/>
        <v>-1.0723405488084481E-2</v>
      </c>
      <c r="CD205" s="9">
        <f t="shared" si="120"/>
        <v>95.976785039352706</v>
      </c>
      <c r="CE205" s="9">
        <f t="shared" si="121"/>
        <v>-44.034356222935052</v>
      </c>
      <c r="CF205" s="6">
        <f t="shared" si="122"/>
        <v>-0.43014964756717078</v>
      </c>
      <c r="CG205" s="6"/>
      <c r="CH205" s="6"/>
      <c r="CI205" s="6"/>
      <c r="CJ205" s="1"/>
      <c r="CK205" s="6"/>
    </row>
    <row r="206" spans="1:89" x14ac:dyDescent="0.2">
      <c r="BC206">
        <v>3.5604716740684168</v>
      </c>
      <c r="BD206">
        <v>108.66967679463437</v>
      </c>
      <c r="BE206">
        <v>-49.993497020406949</v>
      </c>
      <c r="BF206" s="6">
        <f t="shared" si="212"/>
        <v>5.8520052067588075</v>
      </c>
      <c r="BG206" s="6">
        <f t="shared" si="213"/>
        <v>2.2915335326903907</v>
      </c>
      <c r="BH206" s="6">
        <f t="shared" si="214"/>
        <v>9.9625938544840587E-2</v>
      </c>
      <c r="BI206" s="6">
        <f t="shared" si="215"/>
        <v>9.9625938544840587E-2</v>
      </c>
      <c r="BJ206">
        <v>120.74408532737152</v>
      </c>
      <c r="BK206">
        <v>-55.548330022674385</v>
      </c>
      <c r="BV206" s="38"/>
      <c r="BW206" s="6">
        <f t="shared" si="113"/>
        <v>3.3335788713091565</v>
      </c>
      <c r="BX206" s="9">
        <f t="shared" ca="1" si="114"/>
        <v>-15.677102386626785</v>
      </c>
      <c r="BY206" s="9">
        <f t="shared" ca="1" si="115"/>
        <v>-7.1615442223311589</v>
      </c>
      <c r="BZ206" s="9">
        <f t="shared" ca="1" si="116"/>
        <v>108.21857867019439</v>
      </c>
      <c r="CA206" s="6">
        <f t="shared" ca="1" si="117"/>
        <v>-48.460104574604877</v>
      </c>
      <c r="CB206" s="6">
        <f t="shared" ca="1" si="118"/>
        <v>-0.42102155225285576</v>
      </c>
      <c r="CC206" s="6">
        <f t="shared" ca="1" si="119"/>
        <v>-1.0903919540657113E-2</v>
      </c>
      <c r="CD206" s="9">
        <f t="shared" si="120"/>
        <v>96.018578670194387</v>
      </c>
      <c r="CE206" s="9">
        <f t="shared" si="121"/>
        <v>-44.260104574604874</v>
      </c>
      <c r="CF206" s="6">
        <f t="shared" si="122"/>
        <v>-0.43192547179351287</v>
      </c>
      <c r="CG206" s="6"/>
      <c r="CH206" s="6"/>
      <c r="CI206" s="6"/>
      <c r="CJ206" s="1"/>
      <c r="CK206" s="6"/>
    </row>
    <row r="207" spans="1:89" x14ac:dyDescent="0.2">
      <c r="BC207">
        <v>3.5779249665883599</v>
      </c>
      <c r="BD207">
        <v>108.70078901666479</v>
      </c>
      <c r="BE207">
        <v>-50.061778537737403</v>
      </c>
      <c r="BF207" s="6">
        <f t="shared" si="212"/>
        <v>5.8515955230868206</v>
      </c>
      <c r="BG207" s="6">
        <f t="shared" si="213"/>
        <v>2.2736705564984607</v>
      </c>
      <c r="BH207" s="6">
        <f t="shared" si="214"/>
        <v>0.10003562221682749</v>
      </c>
      <c r="BI207" s="6">
        <f t="shared" si="215"/>
        <v>0.10003562221682749</v>
      </c>
      <c r="BJ207">
        <v>120.77865446296087</v>
      </c>
      <c r="BK207">
        <v>-55.624198375263781</v>
      </c>
      <c r="BV207" s="38"/>
      <c r="BW207" s="6">
        <f t="shared" si="113"/>
        <v>3.3510321638290996</v>
      </c>
      <c r="BX207" s="9">
        <f t="shared" ca="1" si="114"/>
        <v>-15.63694284632075</v>
      </c>
      <c r="BY207" s="9">
        <f t="shared" ca="1" si="115"/>
        <v>-7.3591161988764</v>
      </c>
      <c r="BZ207" s="9">
        <f t="shared" ca="1" si="116"/>
        <v>108.25873821050043</v>
      </c>
      <c r="CA207" s="6">
        <f t="shared" ca="1" si="117"/>
        <v>-48.657676551150118</v>
      </c>
      <c r="CB207" s="6">
        <f t="shared" ca="1" si="118"/>
        <v>-0.42240249684995673</v>
      </c>
      <c r="CC207" s="6">
        <f t="shared" ca="1" si="119"/>
        <v>-1.1059290685501655E-2</v>
      </c>
      <c r="CD207" s="9">
        <f t="shared" si="120"/>
        <v>96.058738210500422</v>
      </c>
      <c r="CE207" s="9">
        <f t="shared" si="121"/>
        <v>-44.457676551150115</v>
      </c>
      <c r="CF207" s="6">
        <f t="shared" si="122"/>
        <v>-0.43346178753545839</v>
      </c>
      <c r="CG207" s="6"/>
      <c r="CH207" s="6"/>
      <c r="CI207" s="6"/>
      <c r="CJ207" s="1"/>
      <c r="CK207" s="6"/>
    </row>
    <row r="208" spans="1:89" x14ac:dyDescent="0.2">
      <c r="BC208">
        <v>3.595378259108303</v>
      </c>
      <c r="BD208">
        <v>108.73169929837047</v>
      </c>
      <c r="BE208">
        <v>-50.126593581616582</v>
      </c>
      <c r="BF208" s="6">
        <f t="shared" si="212"/>
        <v>5.8512118146944481</v>
      </c>
      <c r="BG208" s="6">
        <f t="shared" si="213"/>
        <v>2.2558335555861451</v>
      </c>
      <c r="BH208" s="6">
        <f t="shared" si="214"/>
        <v>0.10041933060920005</v>
      </c>
      <c r="BI208" s="6">
        <f t="shared" si="215"/>
        <v>0.10041933060920005</v>
      </c>
      <c r="BJ208">
        <v>120.81299922041163</v>
      </c>
      <c r="BK208">
        <v>-55.696215090685087</v>
      </c>
      <c r="BV208" s="38"/>
      <c r="BW208" s="6">
        <f t="shared" ref="BW208:BW271" si="216">BC195</f>
        <v>3.3684854563490427</v>
      </c>
      <c r="BX208" s="9">
        <f t="shared" ref="BX208:BX271" ca="1" si="217">BD195-$BW$5</f>
        <v>-15.598185931576324</v>
      </c>
      <c r="BY208" s="9">
        <f t="shared" ref="BY208:BY271" ca="1" si="218">BE195-$BX$5</f>
        <v>-7.534072616342506</v>
      </c>
      <c r="BZ208" s="9">
        <f t="shared" ref="BZ208:BZ271" ca="1" si="219">BX208-$CE$5</f>
        <v>108.29749512524485</v>
      </c>
      <c r="CA208" s="6">
        <f t="shared" ref="CA208:CA271" ca="1" si="220">BY208-$CF$5</f>
        <v>-48.832632968616224</v>
      </c>
      <c r="CB208" s="6">
        <f t="shared" ref="CB208:CB271" ca="1" si="221">ATAN2(BZ208,CA208)</f>
        <v>-0.42361203230238942</v>
      </c>
      <c r="CC208" s="6">
        <f t="shared" ref="CC208:CC271" ca="1" si="222">ATAN2(COS(CF208-CB208),SIN(CF208-CB208))</f>
        <v>-1.119462208682509E-2</v>
      </c>
      <c r="CD208" s="9">
        <f t="shared" ref="CD208:CD271" si="223">BD195-$BW$6</f>
        <v>96.097495125244848</v>
      </c>
      <c r="CE208" s="9">
        <f t="shared" ref="CE208:CE271" si="224">BE195-$BX$6</f>
        <v>-44.632632968616221</v>
      </c>
      <c r="CF208" s="6">
        <f t="shared" ref="CF208:CF271" si="225">ATAN2(CD208,CE208)</f>
        <v>-0.43480665438921451</v>
      </c>
      <c r="CG208" s="6"/>
      <c r="CH208" s="6"/>
      <c r="CI208" s="6"/>
      <c r="CJ208" s="1"/>
      <c r="CK208" s="6"/>
    </row>
    <row r="209" spans="55:89" x14ac:dyDescent="0.2">
      <c r="BC209">
        <v>3.6128315516282461</v>
      </c>
      <c r="BD209">
        <v>108.76245147973715</v>
      </c>
      <c r="BE209">
        <v>-50.188281781764779</v>
      </c>
      <c r="BF209" s="6">
        <f t="shared" si="212"/>
        <v>5.8508516089481732</v>
      </c>
      <c r="BG209" s="6">
        <f t="shared" si="213"/>
        <v>2.2380200573199271</v>
      </c>
      <c r="BH209" s="6">
        <f t="shared" si="214"/>
        <v>0.10077953635547489</v>
      </c>
      <c r="BI209" s="6">
        <f t="shared" si="215"/>
        <v>0.10077953635547489</v>
      </c>
      <c r="BJ209">
        <v>120.84716831081906</v>
      </c>
      <c r="BK209">
        <v>-55.764757535294194</v>
      </c>
      <c r="BV209" s="38"/>
      <c r="BW209" s="6">
        <f t="shared" si="216"/>
        <v>3.3859387488689858</v>
      </c>
      <c r="BX209" s="9">
        <f t="shared" ca="1" si="217"/>
        <v>-15.560642177983468</v>
      </c>
      <c r="BY209" s="9">
        <f t="shared" ca="1" si="218"/>
        <v>-7.6905566833338526</v>
      </c>
      <c r="BZ209" s="9">
        <f t="shared" ca="1" si="219"/>
        <v>108.33503887883771</v>
      </c>
      <c r="CA209" s="6">
        <f t="shared" ca="1" si="220"/>
        <v>-48.98911703560757</v>
      </c>
      <c r="CB209" s="6">
        <f t="shared" ca="1" si="221"/>
        <v>-0.42468203639410473</v>
      </c>
      <c r="CC209" s="6">
        <f t="shared" ca="1" si="222"/>
        <v>-1.1313687773769789E-2</v>
      </c>
      <c r="CD209" s="9">
        <f t="shared" si="223"/>
        <v>96.135038878837705</v>
      </c>
      <c r="CE209" s="9">
        <f t="shared" si="224"/>
        <v>-44.789117035607568</v>
      </c>
      <c r="CF209" s="6">
        <f t="shared" si="225"/>
        <v>-0.43599572416787452</v>
      </c>
      <c r="CG209" s="6"/>
      <c r="CH209" s="6"/>
      <c r="CI209" s="6"/>
      <c r="CJ209" s="1"/>
      <c r="CK209" s="6"/>
    </row>
    <row r="210" spans="55:89" x14ac:dyDescent="0.2">
      <c r="BC210">
        <v>3.6302848441481892</v>
      </c>
      <c r="BD210">
        <v>108.79308728652045</v>
      </c>
      <c r="BE210">
        <v>-50.247140283183306</v>
      </c>
      <c r="BF210" s="6">
        <f t="shared" si="212"/>
        <v>5.8505127561041439</v>
      </c>
      <c r="BG210" s="6">
        <f t="shared" si="213"/>
        <v>2.2202279119559547</v>
      </c>
      <c r="BH210" s="6">
        <f t="shared" si="214"/>
        <v>0.10111838919950422</v>
      </c>
      <c r="BI210" s="6">
        <f t="shared" si="215"/>
        <v>0.10111838919950422</v>
      </c>
      <c r="BJ210">
        <v>120.88120809613383</v>
      </c>
      <c r="BK210">
        <v>-55.830155870203669</v>
      </c>
      <c r="BV210" s="38"/>
      <c r="BW210" s="6">
        <f t="shared" si="216"/>
        <v>3.4033920413889289</v>
      </c>
      <c r="BX210" s="9">
        <f t="shared" ca="1" si="217"/>
        <v>-15.524153706692857</v>
      </c>
      <c r="BY210" s="9">
        <f t="shared" ca="1" si="218"/>
        <v>-7.8317271684341492</v>
      </c>
      <c r="BZ210" s="9">
        <f t="shared" ca="1" si="219"/>
        <v>108.37152735012832</v>
      </c>
      <c r="CA210" s="6">
        <f t="shared" ca="1" si="220"/>
        <v>-49.130287520707867</v>
      </c>
      <c r="CB210" s="6">
        <f t="shared" ca="1" si="221"/>
        <v>-0.42563671920249174</v>
      </c>
      <c r="CC210" s="6">
        <f t="shared" ca="1" si="222"/>
        <v>-1.141934493074831E-2</v>
      </c>
      <c r="CD210" s="9">
        <f t="shared" si="223"/>
        <v>96.171527350128315</v>
      </c>
      <c r="CE210" s="9">
        <f t="shared" si="224"/>
        <v>-44.930287520707864</v>
      </c>
      <c r="CF210" s="6">
        <f t="shared" si="225"/>
        <v>-0.43705606413324005</v>
      </c>
      <c r="CG210" s="6"/>
      <c r="CH210" s="6"/>
      <c r="CI210" s="6"/>
      <c r="CJ210" s="1"/>
      <c r="CK210" s="6"/>
    </row>
    <row r="211" spans="55:89" x14ac:dyDescent="0.2">
      <c r="BC211">
        <v>3.6477381366681323</v>
      </c>
      <c r="BD211">
        <v>108.82364673811088</v>
      </c>
      <c r="BE211">
        <v>-50.303430431554347</v>
      </c>
      <c r="BF211" s="6">
        <f t="shared" si="212"/>
        <v>5.8501933785551969</v>
      </c>
      <c r="BG211" s="6">
        <f t="shared" si="213"/>
        <v>2.2024552418870647</v>
      </c>
      <c r="BH211" s="6">
        <f t="shared" si="214"/>
        <v>0.10143776674845117</v>
      </c>
      <c r="BI211" s="6">
        <f t="shared" si="215"/>
        <v>0.10143776674845117</v>
      </c>
      <c r="BJ211">
        <v>120.91516304234543</v>
      </c>
      <c r="BK211">
        <v>-55.892700479504825</v>
      </c>
      <c r="BV211" s="38"/>
      <c r="BW211" s="6">
        <f t="shared" si="216"/>
        <v>3.420845333908872</v>
      </c>
      <c r="BX211" s="9">
        <f t="shared" ca="1" si="217"/>
        <v>-15.488586903535889</v>
      </c>
      <c r="BY211" s="9">
        <f t="shared" ca="1" si="218"/>
        <v>-7.9600400864600402</v>
      </c>
      <c r="BZ211" s="9">
        <f t="shared" ca="1" si="219"/>
        <v>108.40709415328529</v>
      </c>
      <c r="CA211" s="6">
        <f t="shared" ca="1" si="220"/>
        <v>-49.258600438733758</v>
      </c>
      <c r="CB211" s="6">
        <f t="shared" ca="1" si="221"/>
        <v>-0.42649483411845129</v>
      </c>
      <c r="CC211" s="6">
        <f t="shared" ca="1" si="222"/>
        <v>-1.1513800252298147E-2</v>
      </c>
      <c r="CD211" s="9">
        <f t="shared" si="223"/>
        <v>96.207094153285283</v>
      </c>
      <c r="CE211" s="9">
        <f t="shared" si="224"/>
        <v>-45.058600438733755</v>
      </c>
      <c r="CF211" s="6">
        <f t="shared" si="225"/>
        <v>-0.43800863437074944</v>
      </c>
      <c r="CG211" s="6"/>
      <c r="CH211" s="6"/>
      <c r="CI211" s="6"/>
      <c r="CJ211" s="1"/>
      <c r="CK211" s="6"/>
    </row>
    <row r="212" spans="55:89" x14ac:dyDescent="0.2">
      <c r="BC212">
        <v>3.6651914291880754</v>
      </c>
      <c r="BD212">
        <v>108.85416850040176</v>
      </c>
      <c r="BE212">
        <v>-50.357383225051137</v>
      </c>
      <c r="BF212" s="6">
        <f t="shared" si="212"/>
        <v>5.8498918295487341</v>
      </c>
      <c r="BG212" s="6">
        <f t="shared" si="213"/>
        <v>2.1847004003606587</v>
      </c>
      <c r="BH212" s="6">
        <f t="shared" si="214"/>
        <v>0.10173931575491402</v>
      </c>
      <c r="BI212" s="6">
        <f t="shared" si="215"/>
        <v>0.10173931575491402</v>
      </c>
      <c r="BJ212">
        <v>120.9490761115575</v>
      </c>
      <c r="BK212">
        <v>-55.952648027834599</v>
      </c>
      <c r="BV212" s="38"/>
      <c r="BW212" s="6">
        <f t="shared" si="216"/>
        <v>3.4382986264288151</v>
      </c>
      <c r="BX212" s="9">
        <f t="shared" ca="1" si="217"/>
        <v>-15.4538271050247</v>
      </c>
      <c r="BY212" s="9">
        <f t="shared" ca="1" si="218"/>
        <v>-8.0774377667825448</v>
      </c>
      <c r="BZ212" s="9">
        <f t="shared" ca="1" si="219"/>
        <v>108.44185395179647</v>
      </c>
      <c r="CA212" s="6">
        <f t="shared" ca="1" si="220"/>
        <v>-49.375998119056263</v>
      </c>
      <c r="CB212" s="6">
        <f t="shared" ca="1" si="221"/>
        <v>-0.42727115738253879</v>
      </c>
      <c r="CC212" s="6">
        <f t="shared" ca="1" si="222"/>
        <v>-1.1598787631325935E-2</v>
      </c>
      <c r="CD212" s="9">
        <f t="shared" si="223"/>
        <v>96.241853951796472</v>
      </c>
      <c r="CE212" s="9">
        <f t="shared" si="224"/>
        <v>-45.17599811905626</v>
      </c>
      <c r="CF212" s="6">
        <f t="shared" si="225"/>
        <v>-0.43886994501386473</v>
      </c>
      <c r="CG212" s="6"/>
      <c r="CH212" s="6"/>
      <c r="CI212" s="6"/>
      <c r="CJ212" s="1"/>
      <c r="CK212" s="6"/>
    </row>
    <row r="213" spans="55:89" x14ac:dyDescent="0.2">
      <c r="BC213">
        <v>3.6826447217080185</v>
      </c>
      <c r="BD213">
        <v>108.88469020162033</v>
      </c>
      <c r="BE213">
        <v>-50.409203791627483</v>
      </c>
      <c r="BF213" s="6">
        <f t="shared" si="212"/>
        <v>5.8496066594019247</v>
      </c>
      <c r="BG213" s="6">
        <f t="shared" si="213"/>
        <v>2.1669619376939062</v>
      </c>
      <c r="BH213" s="6">
        <f t="shared" si="214"/>
        <v>0.10202448590172342</v>
      </c>
      <c r="BI213" s="6">
        <f t="shared" si="215"/>
        <v>0.10202448590172342</v>
      </c>
      <c r="BJ213">
        <v>120.98298911291147</v>
      </c>
      <c r="BK213">
        <v>-56.010226435141647</v>
      </c>
      <c r="BV213" s="38"/>
      <c r="BW213" s="6">
        <f t="shared" si="216"/>
        <v>3.4557519189487582</v>
      </c>
      <c r="BX213" s="9">
        <f t="shared" ca="1" si="217"/>
        <v>-15.419774672898896</v>
      </c>
      <c r="BY213" s="9">
        <f t="shared" ca="1" si="218"/>
        <v>-8.1854792698427445</v>
      </c>
      <c r="BZ213" s="9">
        <f t="shared" ca="1" si="219"/>
        <v>108.47590638392228</v>
      </c>
      <c r="CA213" s="6">
        <f t="shared" ca="1" si="220"/>
        <v>-49.484039622116462</v>
      </c>
      <c r="CB213" s="6">
        <f t="shared" ca="1" si="221"/>
        <v>-0.42797750580504368</v>
      </c>
      <c r="CC213" s="6">
        <f t="shared" ca="1" si="222"/>
        <v>-1.1675690042120157E-2</v>
      </c>
      <c r="CD213" s="9">
        <f t="shared" si="223"/>
        <v>96.275906383922276</v>
      </c>
      <c r="CE213" s="9">
        <f t="shared" si="224"/>
        <v>-45.28403962211646</v>
      </c>
      <c r="CF213" s="6">
        <f t="shared" si="225"/>
        <v>-0.43965319584716384</v>
      </c>
      <c r="CG213" s="6"/>
      <c r="CH213" s="6"/>
      <c r="CI213" s="6"/>
      <c r="CJ213" s="1"/>
      <c r="CK213" s="6"/>
    </row>
    <row r="214" spans="55:89" x14ac:dyDescent="0.2">
      <c r="BC214">
        <v>3.7000980142279616</v>
      </c>
      <c r="BD214">
        <v>108.91524871177481</v>
      </c>
      <c r="BE214">
        <v>-50.459075094207456</v>
      </c>
      <c r="BF214" s="6">
        <f t="shared" si="212"/>
        <v>5.8493365876281187</v>
      </c>
      <c r="BG214" s="6">
        <f t="shared" si="213"/>
        <v>2.1492385734001571</v>
      </c>
      <c r="BH214" s="6">
        <f t="shared" si="214"/>
        <v>0.10229455767552942</v>
      </c>
      <c r="BI214" s="6">
        <f t="shared" si="215"/>
        <v>0.10229455767552942</v>
      </c>
      <c r="BJ214">
        <v>121.01694301308312</v>
      </c>
      <c r="BK214">
        <v>-56.065638993563837</v>
      </c>
      <c r="BV214" s="38"/>
      <c r="BW214" s="6">
        <f t="shared" si="216"/>
        <v>3.4732052114687013</v>
      </c>
      <c r="BX214" s="9">
        <f t="shared" ca="1" si="217"/>
        <v>-15.386342022575988</v>
      </c>
      <c r="BY214" s="9">
        <f t="shared" ca="1" si="218"/>
        <v>-8.285432505252615</v>
      </c>
      <c r="BZ214" s="9">
        <f t="shared" ca="1" si="219"/>
        <v>108.50933903424519</v>
      </c>
      <c r="CA214" s="6">
        <f t="shared" ca="1" si="220"/>
        <v>-49.583992857526333</v>
      </c>
      <c r="CB214" s="6">
        <f t="shared" ca="1" si="221"/>
        <v>-0.42862345368537974</v>
      </c>
      <c r="CC214" s="6">
        <f t="shared" ca="1" si="222"/>
        <v>-1.1745625175876462E-2</v>
      </c>
      <c r="CD214" s="9">
        <f t="shared" si="223"/>
        <v>96.309339034245184</v>
      </c>
      <c r="CE214" s="9">
        <f t="shared" si="224"/>
        <v>-45.38399285752633</v>
      </c>
      <c r="CF214" s="6">
        <f t="shared" si="225"/>
        <v>-0.4403690788612562</v>
      </c>
      <c r="CG214" s="6"/>
      <c r="CH214" s="6"/>
      <c r="CI214" s="6"/>
      <c r="CJ214" s="1"/>
      <c r="CK214" s="6"/>
    </row>
    <row r="215" spans="55:89" x14ac:dyDescent="0.2">
      <c r="BC215">
        <v>3.7175513067479047</v>
      </c>
      <c r="BD215">
        <v>108.94588041828688</v>
      </c>
      <c r="BE215">
        <v>-50.507161008647209</v>
      </c>
      <c r="BF215" s="6">
        <f t="shared" si="212"/>
        <v>5.8490804799494924</v>
      </c>
      <c r="BG215" s="6">
        <f t="shared" si="213"/>
        <v>2.1315291732015877</v>
      </c>
      <c r="BH215" s="6">
        <f t="shared" si="214"/>
        <v>0.10255066535415569</v>
      </c>
      <c r="BI215" s="6">
        <f t="shared" si="215"/>
        <v>0.10255066535415569</v>
      </c>
      <c r="BJ215">
        <v>121.05097824254096</v>
      </c>
      <c r="BK215">
        <v>-56.119067787385788</v>
      </c>
      <c r="BV215" s="38"/>
      <c r="BW215" s="6">
        <f t="shared" si="216"/>
        <v>3.4906585039886444</v>
      </c>
      <c r="BX215" s="9">
        <f t="shared" ca="1" si="217"/>
        <v>-15.353451349762366</v>
      </c>
      <c r="BY215" s="9">
        <f t="shared" ca="1" si="218"/>
        <v>-8.3783406743105786</v>
      </c>
      <c r="BZ215" s="9">
        <f t="shared" ca="1" si="219"/>
        <v>108.54222970705881</v>
      </c>
      <c r="CA215" s="6">
        <f t="shared" ca="1" si="220"/>
        <v>-49.676901026584297</v>
      </c>
      <c r="CB215" s="6">
        <f t="shared" ca="1" si="221"/>
        <v>-0.42921684863487264</v>
      </c>
      <c r="CC215" s="6">
        <f t="shared" ca="1" si="222"/>
        <v>-1.1809506907743352E-2</v>
      </c>
      <c r="CD215" s="9">
        <f t="shared" si="223"/>
        <v>96.342229707058806</v>
      </c>
      <c r="CE215" s="9">
        <f t="shared" si="224"/>
        <v>-45.476901026584294</v>
      </c>
      <c r="CF215" s="6">
        <f t="shared" si="225"/>
        <v>-0.44102635554261599</v>
      </c>
      <c r="CG215" s="6"/>
      <c r="CH215" s="6"/>
      <c r="CI215" s="6"/>
      <c r="CJ215" s="1"/>
      <c r="CK215" s="6"/>
    </row>
    <row r="216" spans="55:89" x14ac:dyDescent="0.2">
      <c r="BC216">
        <v>3.7350045992678478</v>
      </c>
      <c r="BD216">
        <v>108.97662145344323</v>
      </c>
      <c r="BE216">
        <v>-50.553608911974969</v>
      </c>
      <c r="BF216" s="6">
        <f t="shared" si="212"/>
        <v>5.8488373289676865</v>
      </c>
      <c r="BG216" s="6">
        <f t="shared" si="213"/>
        <v>2.1138327296998387</v>
      </c>
      <c r="BH216" s="6">
        <f t="shared" si="214"/>
        <v>0.10279381633596163</v>
      </c>
      <c r="BI216" s="6">
        <f t="shared" si="215"/>
        <v>0.10279381633596163</v>
      </c>
      <c r="BJ216">
        <v>121.08513494827025</v>
      </c>
      <c r="BK216">
        <v>-56.170676568861076</v>
      </c>
      <c r="BV216" s="38"/>
      <c r="BW216" s="6">
        <f t="shared" si="216"/>
        <v>3.5081117965085875</v>
      </c>
      <c r="BX216" s="9">
        <f t="shared" ca="1" si="217"/>
        <v>-15.321032841104966</v>
      </c>
      <c r="BY216" s="9">
        <f t="shared" ca="1" si="218"/>
        <v>-8.4650710818198291</v>
      </c>
      <c r="BZ216" s="9">
        <f t="shared" ca="1" si="219"/>
        <v>108.57464821571621</v>
      </c>
      <c r="CA216" s="6">
        <f t="shared" ca="1" si="220"/>
        <v>-49.763631434093547</v>
      </c>
      <c r="CB216" s="6">
        <f t="shared" ca="1" si="221"/>
        <v>-0.42976418955641199</v>
      </c>
      <c r="CC216" s="6">
        <f t="shared" ca="1" si="222"/>
        <v>-1.1868090235085837E-2</v>
      </c>
      <c r="CD216" s="9">
        <f t="shared" si="223"/>
        <v>96.374648215716206</v>
      </c>
      <c r="CE216" s="9">
        <f t="shared" si="224"/>
        <v>-45.563631434093544</v>
      </c>
      <c r="CF216" s="6">
        <f t="shared" si="225"/>
        <v>-0.44163227979149783</v>
      </c>
      <c r="CG216" s="6"/>
      <c r="CH216" s="6"/>
      <c r="CI216" s="6"/>
      <c r="CJ216" s="1"/>
      <c r="CK216" s="6"/>
    </row>
    <row r="217" spans="55:89" x14ac:dyDescent="0.2">
      <c r="BC217">
        <v>3.7524578917877909</v>
      </c>
      <c r="BD217">
        <v>109.00750794526159</v>
      </c>
      <c r="BE217">
        <v>-50.598551851046651</v>
      </c>
      <c r="BF217" s="6">
        <f t="shared" si="212"/>
        <v>5.8486062381873039</v>
      </c>
      <c r="BG217" s="6">
        <f t="shared" si="213"/>
        <v>2.096148346399513</v>
      </c>
      <c r="BH217" s="6">
        <f t="shared" si="214"/>
        <v>0.10302490711634427</v>
      </c>
      <c r="BI217" s="6">
        <f t="shared" si="215"/>
        <v>0.10302490711634427</v>
      </c>
      <c r="BJ217">
        <v>121.11945327251289</v>
      </c>
      <c r="BK217">
        <v>-56.220613167829612</v>
      </c>
      <c r="BV217" s="38"/>
      <c r="BW217" s="6">
        <f t="shared" si="216"/>
        <v>3.5255650890285306</v>
      </c>
      <c r="BX217" s="9">
        <f t="shared" ca="1" si="217"/>
        <v>-15.289023263389609</v>
      </c>
      <c r="BY217" s="9">
        <f t="shared" ca="1" si="218"/>
        <v>-8.5463515964458168</v>
      </c>
      <c r="BZ217" s="9">
        <f t="shared" ca="1" si="219"/>
        <v>108.60665779343157</v>
      </c>
      <c r="CA217" s="6">
        <f t="shared" ca="1" si="220"/>
        <v>-49.844911948719535</v>
      </c>
      <c r="CB217" s="6">
        <f t="shared" ca="1" si="221"/>
        <v>-0.43027090833768428</v>
      </c>
      <c r="CC217" s="6">
        <f t="shared" ca="1" si="222"/>
        <v>-1.1922004697689559E-2</v>
      </c>
      <c r="CD217" s="9">
        <f t="shared" si="223"/>
        <v>96.406657793431563</v>
      </c>
      <c r="CE217" s="9">
        <f t="shared" si="224"/>
        <v>-45.644911948719532</v>
      </c>
      <c r="CF217" s="6">
        <f t="shared" si="225"/>
        <v>-0.44219291303537384</v>
      </c>
      <c r="CG217" s="6"/>
      <c r="CH217" s="6"/>
      <c r="CI217" s="6"/>
      <c r="CJ217" s="1"/>
      <c r="CK217" s="6"/>
    </row>
    <row r="218" spans="55:89" x14ac:dyDescent="0.2">
      <c r="BC218">
        <v>3.769911184307734</v>
      </c>
      <c r="BD218">
        <v>109.03857622696891</v>
      </c>
      <c r="BE218">
        <v>-50.642110390680152</v>
      </c>
      <c r="BF218" s="6">
        <f t="shared" si="212"/>
        <v>5.8483864083966512</v>
      </c>
      <c r="BG218" s="6">
        <f t="shared" si="213"/>
        <v>2.0784752240889173</v>
      </c>
      <c r="BH218" s="6">
        <f t="shared" si="214"/>
        <v>0.10324473690699686</v>
      </c>
      <c r="BI218" s="6">
        <f t="shared" si="215"/>
        <v>0.10324473690699686</v>
      </c>
      <c r="BJ218">
        <v>121.15397358552102</v>
      </c>
      <c r="BK218">
        <v>-56.269011545200165</v>
      </c>
      <c r="BV218" s="38"/>
      <c r="BW218" s="6">
        <f t="shared" si="216"/>
        <v>3.5430183815484737</v>
      </c>
      <c r="BX218" s="9">
        <f t="shared" ca="1" si="217"/>
        <v>-15.257364828989523</v>
      </c>
      <c r="BY218" s="9">
        <f t="shared" ca="1" si="218"/>
        <v>-8.622798289867319</v>
      </c>
      <c r="BZ218" s="9">
        <f t="shared" ca="1" si="219"/>
        <v>108.63831622783165</v>
      </c>
      <c r="CA218" s="6">
        <f t="shared" ca="1" si="220"/>
        <v>-49.921358642141037</v>
      </c>
      <c r="CB218" s="6">
        <f t="shared" ca="1" si="221"/>
        <v>-0.43074158289569842</v>
      </c>
      <c r="CC218" s="6">
        <f t="shared" ca="1" si="222"/>
        <v>-1.197177960246393E-2</v>
      </c>
      <c r="CD218" s="9">
        <f t="shared" si="223"/>
        <v>96.438316227831649</v>
      </c>
      <c r="CE218" s="9">
        <f t="shared" si="224"/>
        <v>-45.721358642141034</v>
      </c>
      <c r="CF218" s="6">
        <f t="shared" si="225"/>
        <v>-0.44271336249816234</v>
      </c>
      <c r="CG218" s="6"/>
      <c r="CH218" s="6"/>
      <c r="CI218" s="6"/>
      <c r="CJ218" s="1"/>
      <c r="CK218" s="6"/>
    </row>
    <row r="219" spans="55:89" x14ac:dyDescent="0.2">
      <c r="BC219">
        <v>3.7873644768276771</v>
      </c>
      <c r="BD219">
        <v>109.06986306236062</v>
      </c>
      <c r="BE219">
        <v>-50.68439418107625</v>
      </c>
      <c r="BF219" s="6">
        <f t="shared" si="212"/>
        <v>5.8481771262898103</v>
      </c>
      <c r="BG219" s="6">
        <f t="shared" si="213"/>
        <v>2.0608126494621333</v>
      </c>
      <c r="BH219" s="6">
        <f t="shared" si="214"/>
        <v>0.10345401901383777</v>
      </c>
      <c r="BI219" s="6">
        <f t="shared" si="215"/>
        <v>0.10345401901383777</v>
      </c>
      <c r="BJ219">
        <v>121.18873673595624</v>
      </c>
      <c r="BK219">
        <v>-56.315993534529163</v>
      </c>
      <c r="BV219" s="38"/>
      <c r="BW219" s="6">
        <f t="shared" si="216"/>
        <v>3.5604716740684168</v>
      </c>
      <c r="BX219" s="9">
        <f t="shared" ca="1" si="217"/>
        <v>-15.226004262186805</v>
      </c>
      <c r="BY219" s="9">
        <f t="shared" ca="1" si="218"/>
        <v>-8.6949366681332307</v>
      </c>
      <c r="BZ219" s="9">
        <f t="shared" ca="1" si="219"/>
        <v>108.66967679463437</v>
      </c>
      <c r="CA219" s="6">
        <f t="shared" ca="1" si="220"/>
        <v>-49.993497020406949</v>
      </c>
      <c r="CB219" s="6">
        <f t="shared" ca="1" si="221"/>
        <v>-0.43118010042077887</v>
      </c>
      <c r="CC219" s="6">
        <f t="shared" ca="1" si="222"/>
        <v>-1.2017863313590782E-2</v>
      </c>
      <c r="CD219" s="9">
        <f t="shared" si="223"/>
        <v>96.469676794634367</v>
      </c>
      <c r="CE219" s="9">
        <f t="shared" si="224"/>
        <v>-45.793497020406946</v>
      </c>
      <c r="CF219" s="6">
        <f t="shared" si="225"/>
        <v>-0.44319796373436965</v>
      </c>
      <c r="CG219" s="6"/>
      <c r="CH219" s="6"/>
      <c r="CI219" s="6"/>
      <c r="CJ219" s="1"/>
      <c r="CK219" s="6"/>
    </row>
    <row r="220" spans="55:89" x14ac:dyDescent="0.2">
      <c r="BC220">
        <v>3.8048177693476202</v>
      </c>
      <c r="BD220">
        <v>109.10140586635832</v>
      </c>
      <c r="BE220">
        <v>-50.725503300588855</v>
      </c>
      <c r="BF220" s="6">
        <f t="shared" si="212"/>
        <v>5.8479777548216054</v>
      </c>
      <c r="BG220" s="6">
        <f t="shared" si="213"/>
        <v>2.0431599854739853</v>
      </c>
      <c r="BH220" s="6">
        <f t="shared" si="214"/>
        <v>0.10365339048204268</v>
      </c>
      <c r="BI220" s="6">
        <f t="shared" si="215"/>
        <v>0.10365339048204268</v>
      </c>
      <c r="BJ220">
        <v>121.22378429595369</v>
      </c>
      <c r="BK220">
        <v>-56.361670333987618</v>
      </c>
      <c r="BV220" s="38"/>
      <c r="BW220" s="6">
        <f t="shared" si="216"/>
        <v>3.5779249665883599</v>
      </c>
      <c r="BX220" s="9">
        <f t="shared" ca="1" si="217"/>
        <v>-15.19489204015639</v>
      </c>
      <c r="BY220" s="9">
        <f t="shared" ca="1" si="218"/>
        <v>-8.7632181854636855</v>
      </c>
      <c r="BZ220" s="9">
        <f t="shared" ca="1" si="219"/>
        <v>108.70078901666479</v>
      </c>
      <c r="CA220" s="6">
        <f t="shared" ca="1" si="220"/>
        <v>-50.061778537737403</v>
      </c>
      <c r="CB220" s="6">
        <f t="shared" ca="1" si="221"/>
        <v>-0.43158978409276583</v>
      </c>
      <c r="CC220" s="6">
        <f t="shared" ca="1" si="222"/>
        <v>-1.20606381996754E-2</v>
      </c>
      <c r="CD220" s="9">
        <f t="shared" si="223"/>
        <v>96.500789016664783</v>
      </c>
      <c r="CE220" s="9">
        <f t="shared" si="224"/>
        <v>-45.861778537737401</v>
      </c>
      <c r="CF220" s="6">
        <f t="shared" si="225"/>
        <v>-0.44365042229244123</v>
      </c>
      <c r="CG220" s="6"/>
      <c r="CH220" s="6"/>
      <c r="CI220" s="6"/>
      <c r="CJ220" s="1"/>
      <c r="CK220" s="6"/>
    </row>
    <row r="221" spans="55:89" x14ac:dyDescent="0.2">
      <c r="BC221">
        <v>3.8222710618675633</v>
      </c>
      <c r="BD221">
        <v>109.1332429236448</v>
      </c>
      <c r="BE221">
        <v>-50.765529412394457</v>
      </c>
      <c r="BF221" s="6">
        <f t="shared" si="212"/>
        <v>5.8477877250044887</v>
      </c>
      <c r="BG221" s="6">
        <f t="shared" si="213"/>
        <v>2.0255166631369255</v>
      </c>
      <c r="BH221" s="6">
        <f t="shared" si="214"/>
        <v>0.10384342029915937</v>
      </c>
      <c r="BI221" s="6">
        <f t="shared" si="215"/>
        <v>0.10384342029915937</v>
      </c>
      <c r="BJ221">
        <v>121.25915880404978</v>
      </c>
      <c r="BK221">
        <v>-56.406143791549397</v>
      </c>
      <c r="BV221" s="38"/>
      <c r="BW221" s="6">
        <f t="shared" si="216"/>
        <v>3.595378259108303</v>
      </c>
      <c r="BX221" s="9">
        <f t="shared" ca="1" si="217"/>
        <v>-15.163981758450703</v>
      </c>
      <c r="BY221" s="9">
        <f t="shared" ca="1" si="218"/>
        <v>-8.8280332293428643</v>
      </c>
      <c r="BZ221" s="9">
        <f t="shared" ca="1" si="219"/>
        <v>108.73169929837047</v>
      </c>
      <c r="CA221" s="6">
        <f t="shared" ca="1" si="220"/>
        <v>-50.126593581616582</v>
      </c>
      <c r="CB221" s="6">
        <f t="shared" ca="1" si="221"/>
        <v>-0.43197349248513811</v>
      </c>
      <c r="CC221" s="6">
        <f t="shared" ca="1" si="222"/>
        <v>-1.2100432338197575E-2</v>
      </c>
      <c r="CD221" s="9">
        <f t="shared" si="223"/>
        <v>96.531699298370469</v>
      </c>
      <c r="CE221" s="9">
        <f t="shared" si="224"/>
        <v>-45.926593581616579</v>
      </c>
      <c r="CF221" s="6">
        <f t="shared" si="225"/>
        <v>-0.44407392482333569</v>
      </c>
      <c r="CG221" s="6"/>
      <c r="CH221" s="6"/>
      <c r="CI221" s="6"/>
      <c r="CJ221" s="1"/>
      <c r="CK221" s="6"/>
    </row>
    <row r="222" spans="55:89" x14ac:dyDescent="0.2">
      <c r="BC222">
        <v>3.8397243543875064</v>
      </c>
      <c r="BD222">
        <v>109.16541361811906</v>
      </c>
      <c r="BE222">
        <v>-50.804556762512782</v>
      </c>
      <c r="BF222" s="6">
        <f t="shared" si="212"/>
        <v>5.8476065289766579</v>
      </c>
      <c r="BG222" s="6">
        <f t="shared" si="213"/>
        <v>2.0078821745891515</v>
      </c>
      <c r="BH222" s="6">
        <f t="shared" si="214"/>
        <v>0.10402461632699023</v>
      </c>
      <c r="BI222" s="6">
        <f t="shared" si="215"/>
        <v>0.10402461632699023</v>
      </c>
      <c r="BJ222">
        <v>121.29490402013229</v>
      </c>
      <c r="BK222">
        <v>-56.449507513903086</v>
      </c>
      <c r="BV222" s="38"/>
      <c r="BW222" s="6">
        <f t="shared" si="216"/>
        <v>3.6128315516282461</v>
      </c>
      <c r="BX222" s="9">
        <f t="shared" ca="1" si="217"/>
        <v>-15.133229577084023</v>
      </c>
      <c r="BY222" s="9">
        <f t="shared" ca="1" si="218"/>
        <v>-8.8897214294910611</v>
      </c>
      <c r="BZ222" s="9">
        <f t="shared" ca="1" si="219"/>
        <v>108.76245147973715</v>
      </c>
      <c r="CA222" s="6">
        <f t="shared" ca="1" si="220"/>
        <v>-50.188281781764779</v>
      </c>
      <c r="CB222" s="6">
        <f t="shared" ca="1" si="221"/>
        <v>-0.43233369823141271</v>
      </c>
      <c r="CC222" s="6">
        <f t="shared" ca="1" si="222"/>
        <v>-1.2137528760222505E-2</v>
      </c>
      <c r="CD222" s="9">
        <f t="shared" si="223"/>
        <v>96.562451479737149</v>
      </c>
      <c r="CE222" s="9">
        <f t="shared" si="224"/>
        <v>-45.988281781764776</v>
      </c>
      <c r="CF222" s="6">
        <f t="shared" si="225"/>
        <v>-0.44447122699163522</v>
      </c>
      <c r="CG222" s="6"/>
      <c r="CH222" s="6"/>
      <c r="CI222" s="6"/>
      <c r="CJ222" s="1"/>
      <c r="CK222" s="6"/>
    </row>
    <row r="223" spans="55:89" x14ac:dyDescent="0.2">
      <c r="BC223">
        <v>3.8571776469074495</v>
      </c>
      <c r="BD223">
        <v>109.19795866666031</v>
      </c>
      <c r="BE223">
        <v>-50.842663048308587</v>
      </c>
      <c r="BF223" s="6">
        <f t="shared" si="212"/>
        <v>5.8474337140922268</v>
      </c>
      <c r="BG223" s="6">
        <f t="shared" si="213"/>
        <v>1.9902560671847773</v>
      </c>
      <c r="BH223" s="6">
        <f t="shared" si="214"/>
        <v>0.10419743121142133</v>
      </c>
      <c r="BI223" s="6">
        <f t="shared" si="215"/>
        <v>0.10419743121142133</v>
      </c>
      <c r="BJ223">
        <v>121.33106518517812</v>
      </c>
      <c r="BK223">
        <v>-56.491847831453981</v>
      </c>
      <c r="BV223" s="38"/>
      <c r="BW223" s="6">
        <f t="shared" si="216"/>
        <v>3.6302848441481892</v>
      </c>
      <c r="BX223" s="9">
        <f t="shared" ca="1" si="217"/>
        <v>-15.102593770300729</v>
      </c>
      <c r="BY223" s="9">
        <f t="shared" ca="1" si="218"/>
        <v>-8.9485799309095881</v>
      </c>
      <c r="BZ223" s="9">
        <f t="shared" ca="1" si="219"/>
        <v>108.79308728652045</v>
      </c>
      <c r="CA223" s="6">
        <f t="shared" ca="1" si="220"/>
        <v>-50.247140283183306</v>
      </c>
      <c r="CB223" s="6">
        <f t="shared" ca="1" si="221"/>
        <v>-0.43267255107544211</v>
      </c>
      <c r="CC223" s="6">
        <f t="shared" ca="1" si="222"/>
        <v>-1.2172172849524378E-2</v>
      </c>
      <c r="CD223" s="9">
        <f t="shared" si="223"/>
        <v>96.593087286520444</v>
      </c>
      <c r="CE223" s="9">
        <f t="shared" si="224"/>
        <v>-46.047140283183303</v>
      </c>
      <c r="CF223" s="6">
        <f t="shared" si="225"/>
        <v>-0.44484472392496649</v>
      </c>
      <c r="CG223" s="6"/>
      <c r="CH223" s="6"/>
      <c r="CI223" s="6"/>
      <c r="CJ223" s="1"/>
      <c r="CK223" s="6"/>
    </row>
    <row r="224" spans="55:89" x14ac:dyDescent="0.2">
      <c r="BC224">
        <v>3.8746309394273926</v>
      </c>
      <c r="BD224">
        <v>109.23092036706426</v>
      </c>
      <c r="BE224">
        <v>-50.879920175869188</v>
      </c>
      <c r="BF224" s="6">
        <f t="shared" si="212"/>
        <v>5.8472688779238231</v>
      </c>
      <c r="BG224" s="6">
        <f t="shared" si="213"/>
        <v>1.9726379384964305</v>
      </c>
      <c r="BH224" s="6">
        <f t="shared" si="214"/>
        <v>0.10436226737982501</v>
      </c>
      <c r="BI224" s="6">
        <f t="shared" si="215"/>
        <v>0.10436226737982501</v>
      </c>
      <c r="BJ224">
        <v>121.36768929673806</v>
      </c>
      <c r="BK224">
        <v>-56.533244639854651</v>
      </c>
      <c r="BV224" s="38"/>
      <c r="BW224" s="6">
        <f t="shared" si="216"/>
        <v>3.6477381366681323</v>
      </c>
      <c r="BX224" s="9">
        <f t="shared" ca="1" si="217"/>
        <v>-15.072034318710294</v>
      </c>
      <c r="BY224" s="9">
        <f t="shared" ca="1" si="218"/>
        <v>-9.0048700792806287</v>
      </c>
      <c r="BZ224" s="9">
        <f t="shared" ca="1" si="219"/>
        <v>108.82364673811088</v>
      </c>
      <c r="CA224" s="6">
        <f t="shared" ca="1" si="220"/>
        <v>-50.303430431554347</v>
      </c>
      <c r="CB224" s="6">
        <f t="shared" ca="1" si="221"/>
        <v>-0.43299192862438901</v>
      </c>
      <c r="CC224" s="6">
        <f t="shared" ca="1" si="222"/>
        <v>-1.2204578286573732E-2</v>
      </c>
      <c r="CD224" s="9">
        <f t="shared" si="223"/>
        <v>96.623646738110878</v>
      </c>
      <c r="CE224" s="9">
        <f t="shared" si="224"/>
        <v>-46.103430431554344</v>
      </c>
      <c r="CF224" s="6">
        <f t="shared" si="225"/>
        <v>-0.44519650691096274</v>
      </c>
      <c r="CG224" s="6"/>
      <c r="CH224" s="6"/>
      <c r="CI224" s="6"/>
      <c r="CJ224" s="1"/>
      <c r="CK224" s="6"/>
    </row>
    <row r="225" spans="55:89" x14ac:dyDescent="0.2">
      <c r="BC225">
        <v>3.8920842319473357</v>
      </c>
      <c r="BD225">
        <v>109.26434286630742</v>
      </c>
      <c r="BE225">
        <v>-50.916394922419272</v>
      </c>
      <c r="BF225" s="6">
        <f t="shared" si="212"/>
        <v>5.8471116640727843</v>
      </c>
      <c r="BG225" s="6">
        <f t="shared" si="213"/>
        <v>1.9550274321254486</v>
      </c>
      <c r="BH225" s="6">
        <f t="shared" si="214"/>
        <v>0.10451948123086385</v>
      </c>
      <c r="BI225" s="6">
        <f t="shared" si="215"/>
        <v>0.10451948123086385</v>
      </c>
      <c r="BJ225">
        <v>121.40482540700823</v>
      </c>
      <c r="BK225">
        <v>-56.573772136021411</v>
      </c>
      <c r="BV225" s="38"/>
      <c r="BW225" s="6">
        <f t="shared" si="216"/>
        <v>3.6651914291880754</v>
      </c>
      <c r="BX225" s="9">
        <f t="shared" ca="1" si="217"/>
        <v>-15.04151255641942</v>
      </c>
      <c r="BY225" s="9">
        <f t="shared" ca="1" si="218"/>
        <v>-9.0588228727774194</v>
      </c>
      <c r="BZ225" s="9">
        <f t="shared" ca="1" si="219"/>
        <v>108.85416850040176</v>
      </c>
      <c r="CA225" s="6">
        <f t="shared" ca="1" si="220"/>
        <v>-50.357383225051137</v>
      </c>
      <c r="CB225" s="6">
        <f t="shared" ca="1" si="221"/>
        <v>-0.43329347763085202</v>
      </c>
      <c r="CC225" s="6">
        <f t="shared" ca="1" si="222"/>
        <v>-1.223493187540803E-2</v>
      </c>
      <c r="CD225" s="9">
        <f t="shared" si="223"/>
        <v>96.654168500401752</v>
      </c>
      <c r="CE225" s="9">
        <f t="shared" si="224"/>
        <v>-46.157383225051134</v>
      </c>
      <c r="CF225" s="6">
        <f t="shared" si="225"/>
        <v>-0.44552840950626005</v>
      </c>
      <c r="CG225" s="6"/>
      <c r="CH225" s="6"/>
      <c r="CI225" s="6"/>
      <c r="CJ225" s="1"/>
      <c r="CK225" s="6"/>
    </row>
    <row r="226" spans="55:89" x14ac:dyDescent="0.2">
      <c r="BC226">
        <v>3.9095375244672788</v>
      </c>
      <c r="BD226">
        <v>109.29827244462375</v>
      </c>
      <c r="BE226">
        <v>-50.952149521451041</v>
      </c>
      <c r="BF226" s="6">
        <f t="shared" si="212"/>
        <v>5.8469617586341194</v>
      </c>
      <c r="BG226" s="6">
        <f t="shared" si="213"/>
        <v>1.9374242341668406</v>
      </c>
      <c r="BH226" s="6">
        <f t="shared" si="214"/>
        <v>0.10466938666952874</v>
      </c>
      <c r="BI226" s="6">
        <f t="shared" si="215"/>
        <v>0.10466938666952874</v>
      </c>
      <c r="BJ226">
        <v>121.44252493847083</v>
      </c>
      <c r="BK226">
        <v>-56.613499468278931</v>
      </c>
      <c r="BV226" s="38"/>
      <c r="BW226" s="6">
        <f t="shared" si="216"/>
        <v>3.6826447217080185</v>
      </c>
      <c r="BX226" s="9">
        <f t="shared" ca="1" si="217"/>
        <v>-15.010990855200845</v>
      </c>
      <c r="BY226" s="9">
        <f t="shared" ca="1" si="218"/>
        <v>-9.1106434393537654</v>
      </c>
      <c r="BZ226" s="9">
        <f t="shared" ca="1" si="219"/>
        <v>108.88469020162033</v>
      </c>
      <c r="CA226" s="6">
        <f t="shared" ca="1" si="220"/>
        <v>-50.409203791627483</v>
      </c>
      <c r="CB226" s="6">
        <f t="shared" ca="1" si="221"/>
        <v>-0.4335786477776612</v>
      </c>
      <c r="CC226" s="6">
        <f t="shared" ca="1" si="222"/>
        <v>-1.2263397486609207E-2</v>
      </c>
      <c r="CD226" s="9">
        <f t="shared" si="223"/>
        <v>96.684690201620327</v>
      </c>
      <c r="CE226" s="9">
        <f t="shared" si="224"/>
        <v>-46.20920379162748</v>
      </c>
      <c r="CF226" s="6">
        <f t="shared" si="225"/>
        <v>-0.4458420452642704</v>
      </c>
      <c r="CG226" s="6"/>
      <c r="CH226" s="6"/>
      <c r="CI226" s="6"/>
      <c r="CJ226" s="1"/>
      <c r="CK226" s="6"/>
    </row>
    <row r="227" spans="55:89" x14ac:dyDescent="0.2">
      <c r="BC227">
        <v>3.9269908169872219</v>
      </c>
      <c r="BD227">
        <v>109.33275781576326</v>
      </c>
      <c r="BE227">
        <v>-50.987242184337099</v>
      </c>
      <c r="BF227" s="6">
        <f t="shared" si="212"/>
        <v>5.8468188872106559</v>
      </c>
      <c r="BG227" s="6">
        <f t="shared" si="213"/>
        <v>1.919828070223434</v>
      </c>
      <c r="BH227" s="6">
        <f t="shared" si="214"/>
        <v>0.10481225809299222</v>
      </c>
      <c r="BI227" s="6">
        <f t="shared" si="215"/>
        <v>0.10481225809299222</v>
      </c>
      <c r="BJ227">
        <v>121.48084201751473</v>
      </c>
      <c r="BK227">
        <v>-56.652491315930106</v>
      </c>
      <c r="BV227" s="38"/>
      <c r="BW227" s="6">
        <f t="shared" si="216"/>
        <v>3.7000980142279616</v>
      </c>
      <c r="BX227" s="9">
        <f t="shared" ca="1" si="217"/>
        <v>-14.980432345046367</v>
      </c>
      <c r="BY227" s="9">
        <f t="shared" ca="1" si="218"/>
        <v>-9.1605147419337385</v>
      </c>
      <c r="BZ227" s="9">
        <f t="shared" ca="1" si="219"/>
        <v>108.91524871177481</v>
      </c>
      <c r="CA227" s="6">
        <f t="shared" ca="1" si="220"/>
        <v>-50.459075094207456</v>
      </c>
      <c r="CB227" s="6">
        <f t="shared" ca="1" si="221"/>
        <v>-0.43384871955146781</v>
      </c>
      <c r="CC227" s="6">
        <f t="shared" ca="1" si="222"/>
        <v>-1.2290119304870782E-2</v>
      </c>
      <c r="CD227" s="9">
        <f t="shared" si="223"/>
        <v>96.715248711774805</v>
      </c>
      <c r="CE227" s="9">
        <f t="shared" si="224"/>
        <v>-46.259075094207454</v>
      </c>
      <c r="CF227" s="6">
        <f t="shared" si="225"/>
        <v>-0.44613883885633859</v>
      </c>
      <c r="CG227" s="6"/>
      <c r="CH227" s="6"/>
      <c r="CI227" s="6"/>
      <c r="CJ227" s="1"/>
      <c r="CK227" s="6"/>
    </row>
    <row r="228" spans="55:89" x14ac:dyDescent="0.2">
      <c r="BC228">
        <v>3.944444109507165</v>
      </c>
      <c r="BD228">
        <v>109.3678504783426</v>
      </c>
      <c r="BE228">
        <v>-51.021727556151554</v>
      </c>
      <c r="BF228" s="6">
        <f t="shared" si="212"/>
        <v>5.8466828126128201</v>
      </c>
      <c r="BG228" s="6">
        <f t="shared" si="213"/>
        <v>1.9022387031056551</v>
      </c>
      <c r="BH228" s="6">
        <f t="shared" si="214"/>
        <v>0.10494833269082805</v>
      </c>
      <c r="BI228" s="6">
        <f t="shared" si="215"/>
        <v>0.10494833269082805</v>
      </c>
      <c r="BJ228">
        <v>121.51983386482512</v>
      </c>
      <c r="BK228">
        <v>-56.690808395723948</v>
      </c>
      <c r="BV228" s="38"/>
      <c r="BW228" s="6">
        <f t="shared" si="216"/>
        <v>3.7175513067479047</v>
      </c>
      <c r="BX228" s="9">
        <f t="shared" ca="1" si="217"/>
        <v>-14.949800638534299</v>
      </c>
      <c r="BY228" s="9">
        <f t="shared" ca="1" si="218"/>
        <v>-9.2086006563734912</v>
      </c>
      <c r="BZ228" s="9">
        <f t="shared" ca="1" si="219"/>
        <v>108.94588041828688</v>
      </c>
      <c r="CA228" s="6">
        <f t="shared" ca="1" si="220"/>
        <v>-50.507161008647209</v>
      </c>
      <c r="CB228" s="6">
        <f t="shared" ca="1" si="221"/>
        <v>-0.43410482723009414</v>
      </c>
      <c r="CC228" s="6">
        <f t="shared" ca="1" si="222"/>
        <v>-1.231522449983896E-2</v>
      </c>
      <c r="CD228" s="9">
        <f t="shared" si="223"/>
        <v>96.745880418286873</v>
      </c>
      <c r="CE228" s="9">
        <f t="shared" si="224"/>
        <v>-46.307161008647206</v>
      </c>
      <c r="CF228" s="6">
        <f t="shared" si="225"/>
        <v>-0.4464200517299331</v>
      </c>
      <c r="CG228" s="6"/>
      <c r="CH228" s="6"/>
      <c r="CI228" s="6"/>
      <c r="CJ228" s="1"/>
      <c r="CK228" s="6"/>
    </row>
    <row r="229" spans="55:89" x14ac:dyDescent="0.2">
      <c r="BC229">
        <v>3.9618974020271081</v>
      </c>
      <c r="BD229">
        <v>109.403605077721</v>
      </c>
      <c r="BE229">
        <v>-51.05565713314369</v>
      </c>
      <c r="BF229" s="6">
        <f t="shared" si="212"/>
        <v>5.846553332893051</v>
      </c>
      <c r="BG229" s="6">
        <f t="shared" si="213"/>
        <v>1.884655930865943</v>
      </c>
      <c r="BH229" s="6">
        <f t="shared" si="214"/>
        <v>0.1050778124105971</v>
      </c>
      <c r="BI229" s="6">
        <f t="shared" si="215"/>
        <v>0.1050778124105971</v>
      </c>
      <c r="BJ229">
        <v>121.55956119746777</v>
      </c>
      <c r="BK229">
        <v>-56.728507925715206</v>
      </c>
      <c r="BV229" s="38"/>
      <c r="BW229" s="6">
        <f t="shared" si="216"/>
        <v>3.7350045992678478</v>
      </c>
      <c r="BX229" s="9">
        <f t="shared" ca="1" si="217"/>
        <v>-14.919059603377946</v>
      </c>
      <c r="BY229" s="9">
        <f t="shared" ca="1" si="218"/>
        <v>-9.2550485597012511</v>
      </c>
      <c r="BZ229" s="9">
        <f t="shared" ca="1" si="219"/>
        <v>108.97662145344323</v>
      </c>
      <c r="CA229" s="6">
        <f t="shared" ca="1" si="220"/>
        <v>-50.553608911974969</v>
      </c>
      <c r="CB229" s="6">
        <f t="shared" ca="1" si="221"/>
        <v>-0.43434797821189974</v>
      </c>
      <c r="CC229" s="6">
        <f t="shared" ca="1" si="222"/>
        <v>-1.2338825470028736E-2</v>
      </c>
      <c r="CD229" s="9">
        <f t="shared" si="223"/>
        <v>96.776621453443227</v>
      </c>
      <c r="CE229" s="9">
        <f t="shared" si="224"/>
        <v>-46.353608911974966</v>
      </c>
      <c r="CF229" s="6">
        <f t="shared" si="225"/>
        <v>-0.44668680368192848</v>
      </c>
      <c r="CG229" s="6"/>
      <c r="CH229" s="6"/>
      <c r="CI229" s="6"/>
      <c r="CJ229" s="1"/>
      <c r="CK229" s="6"/>
    </row>
    <row r="230" spans="55:89" x14ac:dyDescent="0.2">
      <c r="BC230">
        <v>3.9793506945470511</v>
      </c>
      <c r="BD230">
        <v>109.44007982413898</v>
      </c>
      <c r="BE230">
        <v>-51.08907963302125</v>
      </c>
      <c r="BF230" s="6">
        <f t="shared" si="212"/>
        <v>5.8464302799392636</v>
      </c>
      <c r="BG230" s="6">
        <f t="shared" si="213"/>
        <v>1.8670795853922124</v>
      </c>
      <c r="BH230" s="6">
        <f t="shared" si="214"/>
        <v>0.10520086536438455</v>
      </c>
      <c r="BI230" s="6">
        <f t="shared" si="215"/>
        <v>0.10520086536438455</v>
      </c>
      <c r="BJ230">
        <v>121.60008869348775</v>
      </c>
      <c r="BK230">
        <v>-56.765644036690276</v>
      </c>
      <c r="BV230" s="38"/>
      <c r="BW230" s="6">
        <f t="shared" si="216"/>
        <v>3.7524578917877909</v>
      </c>
      <c r="BX230" s="9">
        <f t="shared" ca="1" si="217"/>
        <v>-14.888173111559581</v>
      </c>
      <c r="BY230" s="9">
        <f t="shared" ca="1" si="218"/>
        <v>-9.2999914987729326</v>
      </c>
      <c r="BZ230" s="9">
        <f t="shared" ca="1" si="219"/>
        <v>109.00750794526159</v>
      </c>
      <c r="CA230" s="6">
        <f t="shared" ca="1" si="220"/>
        <v>-50.598551851046651</v>
      </c>
      <c r="CB230" s="6">
        <f t="shared" ca="1" si="221"/>
        <v>-0.43457906899228221</v>
      </c>
      <c r="CC230" s="6">
        <f t="shared" ca="1" si="222"/>
        <v>-1.2361021689255791E-2</v>
      </c>
      <c r="CD230" s="9">
        <f t="shared" si="223"/>
        <v>96.807507945261591</v>
      </c>
      <c r="CE230" s="9">
        <f t="shared" si="224"/>
        <v>-46.398551851046648</v>
      </c>
      <c r="CF230" s="6">
        <f t="shared" si="225"/>
        <v>-0.446940090681538</v>
      </c>
      <c r="CG230" s="6"/>
      <c r="CH230" s="6"/>
      <c r="CI230" s="6"/>
      <c r="CJ230" s="1"/>
      <c r="CK230" s="6"/>
    </row>
    <row r="231" spans="55:89" x14ac:dyDescent="0.2">
      <c r="BC231">
        <v>3.9968039870669942</v>
      </c>
      <c r="BD231">
        <v>109.47733695152642</v>
      </c>
      <c r="BE231">
        <v>-51.122041333804113</v>
      </c>
      <c r="BF231" s="6">
        <f t="shared" si="212"/>
        <v>5.8463135184521668</v>
      </c>
      <c r="BG231" s="6">
        <f t="shared" si="213"/>
        <v>1.8495095313851726</v>
      </c>
      <c r="BH231" s="6">
        <f t="shared" si="214"/>
        <v>0.10531762685148129</v>
      </c>
      <c r="BI231" s="6">
        <f t="shared" si="215"/>
        <v>0.10531762685148129</v>
      </c>
      <c r="BJ231">
        <v>121.64148550169602</v>
      </c>
      <c r="BK231">
        <v>-56.802268148671232</v>
      </c>
      <c r="BV231" s="38"/>
      <c r="BW231" s="6">
        <f t="shared" si="216"/>
        <v>3.769911184307734</v>
      </c>
      <c r="BX231" s="9">
        <f t="shared" ca="1" si="217"/>
        <v>-14.857104829852261</v>
      </c>
      <c r="BY231" s="9">
        <f t="shared" ca="1" si="218"/>
        <v>-9.3435500384064341</v>
      </c>
      <c r="BZ231" s="9">
        <f t="shared" ca="1" si="219"/>
        <v>109.03857622696891</v>
      </c>
      <c r="CA231" s="6">
        <f t="shared" ca="1" si="220"/>
        <v>-50.642110390680152</v>
      </c>
      <c r="CB231" s="6">
        <f t="shared" ca="1" si="221"/>
        <v>-0.43479889878293482</v>
      </c>
      <c r="CC231" s="6">
        <f t="shared" ca="1" si="222"/>
        <v>-1.2381901279518437E-2</v>
      </c>
      <c r="CD231" s="9">
        <f t="shared" si="223"/>
        <v>96.838576226968911</v>
      </c>
      <c r="CE231" s="9">
        <f t="shared" si="224"/>
        <v>-46.442110390680149</v>
      </c>
      <c r="CF231" s="6">
        <f t="shared" si="225"/>
        <v>-0.44718080006245325</v>
      </c>
      <c r="CG231" s="6"/>
      <c r="CH231" s="6"/>
      <c r="CI231" s="6"/>
      <c r="CJ231" s="1"/>
      <c r="CK231" s="6"/>
    </row>
    <row r="232" spans="55:89" x14ac:dyDescent="0.2">
      <c r="BC232">
        <v>4.0142572795869373</v>
      </c>
      <c r="BD232">
        <v>109.51544323701879</v>
      </c>
      <c r="BE232">
        <v>-51.154586381957117</v>
      </c>
      <c r="BF232" s="6">
        <f t="shared" si="212"/>
        <v>5.8462029453692628</v>
      </c>
      <c r="BG232" s="6">
        <f t="shared" si="213"/>
        <v>1.8319456657823254</v>
      </c>
      <c r="BH232" s="6">
        <f t="shared" si="214"/>
        <v>0.10542819993438533</v>
      </c>
      <c r="BI232" s="6">
        <f t="shared" si="215"/>
        <v>0.10542819993438533</v>
      </c>
      <c r="BJ232">
        <v>121.68382581890975</v>
      </c>
      <c r="BK232">
        <v>-56.838429313285687</v>
      </c>
      <c r="BV232" s="38"/>
      <c r="BW232" s="6">
        <f t="shared" si="216"/>
        <v>3.7873644768276771</v>
      </c>
      <c r="BX232" s="9">
        <f t="shared" ca="1" si="217"/>
        <v>-14.82581799446055</v>
      </c>
      <c r="BY232" s="9">
        <f t="shared" ca="1" si="218"/>
        <v>-9.3858338288025323</v>
      </c>
      <c r="BZ232" s="9">
        <f t="shared" ca="1" si="219"/>
        <v>109.06986306236062</v>
      </c>
      <c r="CA232" s="6">
        <f t="shared" ca="1" si="220"/>
        <v>-50.68439418107625</v>
      </c>
      <c r="CB232" s="6">
        <f t="shared" ca="1" si="221"/>
        <v>-0.43500818088977572</v>
      </c>
      <c r="CC232" s="6">
        <f t="shared" ca="1" si="222"/>
        <v>-1.2401542318608294E-2</v>
      </c>
      <c r="CD232" s="9">
        <f t="shared" si="223"/>
        <v>96.869863062360622</v>
      </c>
      <c r="CE232" s="9">
        <f t="shared" si="224"/>
        <v>-46.484394181076247</v>
      </c>
      <c r="CF232" s="6">
        <f t="shared" si="225"/>
        <v>-0.44740972320838401</v>
      </c>
      <c r="CG232" s="6"/>
      <c r="CH232" s="6"/>
      <c r="CI232" s="6"/>
      <c r="CJ232" s="1"/>
      <c r="CK232" s="6"/>
    </row>
    <row r="233" spans="55:89" x14ac:dyDescent="0.2">
      <c r="BC233">
        <v>4.0317105721068804</v>
      </c>
      <c r="BD233">
        <v>109.55447058710631</v>
      </c>
      <c r="BE233">
        <v>-51.186757076359441</v>
      </c>
      <c r="BF233" s="6">
        <f t="shared" si="212"/>
        <v>5.8460984897049979</v>
      </c>
      <c r="BG233" s="6">
        <f t="shared" si="213"/>
        <v>1.8143879175981175</v>
      </c>
      <c r="BH233" s="6">
        <f t="shared" si="214"/>
        <v>0.10553265559865023</v>
      </c>
      <c r="BI233" s="6">
        <f t="shared" si="215"/>
        <v>0.10553265559865023</v>
      </c>
      <c r="BJ233">
        <v>121.72718954122922</v>
      </c>
      <c r="BK233">
        <v>-56.874174529288268</v>
      </c>
      <c r="BV233" s="38"/>
      <c r="BW233" s="6">
        <f t="shared" si="216"/>
        <v>3.8048177693476202</v>
      </c>
      <c r="BX233" s="9">
        <f t="shared" ca="1" si="217"/>
        <v>-14.794275190462855</v>
      </c>
      <c r="BY233" s="9">
        <f t="shared" ca="1" si="218"/>
        <v>-9.426942948315137</v>
      </c>
      <c r="BZ233" s="9">
        <f t="shared" ca="1" si="219"/>
        <v>109.10140586635832</v>
      </c>
      <c r="CA233" s="6">
        <f t="shared" ca="1" si="220"/>
        <v>-50.725503300588855</v>
      </c>
      <c r="CB233" s="6">
        <f t="shared" ca="1" si="221"/>
        <v>-0.43520755235798059</v>
      </c>
      <c r="CC233" s="6">
        <f t="shared" ca="1" si="222"/>
        <v>-1.2420013944488051E-2</v>
      </c>
      <c r="CD233" s="9">
        <f t="shared" si="223"/>
        <v>96.901405866358317</v>
      </c>
      <c r="CE233" s="9">
        <f t="shared" si="224"/>
        <v>-46.525503300588852</v>
      </c>
      <c r="CF233" s="6">
        <f t="shared" si="225"/>
        <v>-0.44762756630246864</v>
      </c>
      <c r="CG233" s="6"/>
      <c r="CH233" s="6"/>
      <c r="CI233" s="6"/>
      <c r="CJ233" s="1"/>
      <c r="CK233" s="6"/>
    </row>
    <row r="234" spans="55:89" x14ac:dyDescent="0.2">
      <c r="BC234">
        <v>4.0491638646268235</v>
      </c>
      <c r="BD234">
        <v>109.59449669913577</v>
      </c>
      <c r="BE234">
        <v>-51.218594133884586</v>
      </c>
      <c r="BF234" s="6">
        <f t="shared" si="212"/>
        <v>5.8460001127922219</v>
      </c>
      <c r="BG234" s="6">
        <f t="shared" si="213"/>
        <v>1.7968362481653983</v>
      </c>
      <c r="BH234" s="6">
        <f t="shared" si="214"/>
        <v>0.10563103251142626</v>
      </c>
      <c r="BI234" s="6">
        <f t="shared" si="215"/>
        <v>0.10563103251142626</v>
      </c>
      <c r="BJ234">
        <v>121.77166299903975</v>
      </c>
      <c r="BK234">
        <v>-56.909549037649541</v>
      </c>
      <c r="BV234" s="38"/>
      <c r="BW234" s="6">
        <f t="shared" si="216"/>
        <v>3.8222710618675633</v>
      </c>
      <c r="BX234" s="9">
        <f t="shared" ca="1" si="217"/>
        <v>-14.762438133176374</v>
      </c>
      <c r="BY234" s="9">
        <f t="shared" ca="1" si="218"/>
        <v>-9.4669690601207392</v>
      </c>
      <c r="BZ234" s="9">
        <f t="shared" ca="1" si="219"/>
        <v>109.1332429236448</v>
      </c>
      <c r="CA234" s="6">
        <f t="shared" ca="1" si="220"/>
        <v>-50.765529412394457</v>
      </c>
      <c r="CB234" s="6">
        <f t="shared" ca="1" si="221"/>
        <v>-0.43539758217509744</v>
      </c>
      <c r="CC234" s="6">
        <f t="shared" ca="1" si="222"/>
        <v>-1.2437377290489273E-2</v>
      </c>
      <c r="CD234" s="9">
        <f t="shared" si="223"/>
        <v>96.933242923644798</v>
      </c>
      <c r="CE234" s="9">
        <f t="shared" si="224"/>
        <v>-46.565529412394454</v>
      </c>
      <c r="CF234" s="6">
        <f t="shared" si="225"/>
        <v>-0.44783495946558671</v>
      </c>
      <c r="CG234" s="6"/>
      <c r="CH234" s="6"/>
      <c r="CI234" s="6"/>
      <c r="CJ234" s="1"/>
      <c r="CK234" s="6"/>
    </row>
    <row r="235" spans="55:89" x14ac:dyDescent="0.2">
      <c r="BC235">
        <v>4.0666171571467666</v>
      </c>
      <c r="BD235">
        <v>109.6356058190258</v>
      </c>
      <c r="BE235">
        <v>-51.25013693767611</v>
      </c>
      <c r="BF235" s="6">
        <f t="shared" si="212"/>
        <v>5.8459078089875947</v>
      </c>
      <c r="BG235" s="6">
        <f t="shared" si="213"/>
        <v>1.779290651840828</v>
      </c>
      <c r="BH235" s="6">
        <f t="shared" si="214"/>
        <v>0.10572333631605348</v>
      </c>
      <c r="BI235" s="6">
        <f t="shared" si="215"/>
        <v>0.10572333631605348</v>
      </c>
      <c r="BJ235">
        <v>121.81733979891754</v>
      </c>
      <c r="BK235">
        <v>-56.944596597417899</v>
      </c>
      <c r="BV235" s="38"/>
      <c r="BW235" s="6">
        <f t="shared" si="216"/>
        <v>3.8397243543875064</v>
      </c>
      <c r="BX235" s="9">
        <f t="shared" ca="1" si="217"/>
        <v>-14.730267438702114</v>
      </c>
      <c r="BY235" s="9">
        <f t="shared" ca="1" si="218"/>
        <v>-9.5059964102390637</v>
      </c>
      <c r="BZ235" s="9">
        <f t="shared" ca="1" si="219"/>
        <v>109.16541361811906</v>
      </c>
      <c r="CA235" s="6">
        <f t="shared" ca="1" si="220"/>
        <v>-50.804556762512782</v>
      </c>
      <c r="CB235" s="6">
        <f t="shared" ca="1" si="221"/>
        <v>-0.43557877820292806</v>
      </c>
      <c r="CC235" s="6">
        <f t="shared" ca="1" si="222"/>
        <v>-1.2453686270241959E-2</v>
      </c>
      <c r="CD235" s="9">
        <f t="shared" si="223"/>
        <v>96.965413618119058</v>
      </c>
      <c r="CE235" s="9">
        <f t="shared" si="224"/>
        <v>-46.604556762512779</v>
      </c>
      <c r="CF235" s="6">
        <f t="shared" si="225"/>
        <v>-0.44803246447317002</v>
      </c>
      <c r="CG235" s="6"/>
      <c r="CH235" s="6"/>
      <c r="CI235" s="6"/>
      <c r="CJ235" s="1"/>
      <c r="CK235" s="6"/>
    </row>
    <row r="236" spans="55:89" x14ac:dyDescent="0.2">
      <c r="BC236">
        <v>4.0840704496667097</v>
      </c>
      <c r="BD236">
        <v>109.67788960884822</v>
      </c>
      <c r="BE236">
        <v>-51.281423773263555</v>
      </c>
      <c r="BF236" s="6">
        <f t="shared" si="212"/>
        <v>5.8458216068476991</v>
      </c>
      <c r="BG236" s="6">
        <f t="shared" si="213"/>
        <v>1.7617511571809894</v>
      </c>
      <c r="BH236" s="6">
        <f t="shared" si="214"/>
        <v>0.105809538455949</v>
      </c>
      <c r="BI236" s="6">
        <f t="shared" si="215"/>
        <v>0.105809538455949</v>
      </c>
      <c r="BJ236">
        <v>121.86432178760913</v>
      </c>
      <c r="BK236">
        <v>-56.979359748070614</v>
      </c>
      <c r="BV236" s="38"/>
      <c r="BW236" s="6">
        <f t="shared" si="216"/>
        <v>3.8571776469074495</v>
      </c>
      <c r="BX236" s="9">
        <f t="shared" ca="1" si="217"/>
        <v>-14.697722390160862</v>
      </c>
      <c r="BY236" s="9">
        <f t="shared" ca="1" si="218"/>
        <v>-9.5441026960348694</v>
      </c>
      <c r="BZ236" s="9">
        <f t="shared" ca="1" si="219"/>
        <v>109.19795866666031</v>
      </c>
      <c r="CA236" s="6">
        <f t="shared" ca="1" si="220"/>
        <v>-50.842663048308587</v>
      </c>
      <c r="CB236" s="6">
        <f t="shared" ca="1" si="221"/>
        <v>-0.43575159308735917</v>
      </c>
      <c r="CC236" s="6">
        <f t="shared" ca="1" si="222"/>
        <v>-1.2468988242314573E-2</v>
      </c>
      <c r="CD236" s="9">
        <f t="shared" si="223"/>
        <v>96.99795866666031</v>
      </c>
      <c r="CE236" s="9">
        <f t="shared" si="224"/>
        <v>-46.642663048308584</v>
      </c>
      <c r="CF236" s="6">
        <f t="shared" si="225"/>
        <v>-0.44822058132967374</v>
      </c>
      <c r="CG236" s="6"/>
      <c r="CH236" s="6"/>
      <c r="CI236" s="6"/>
      <c r="CJ236" s="1"/>
      <c r="CK236" s="6"/>
    </row>
    <row r="237" spans="55:89" x14ac:dyDescent="0.2">
      <c r="BC237">
        <v>4.1015237421866528</v>
      </c>
      <c r="BD237">
        <v>109.7214481489368</v>
      </c>
      <c r="BE237">
        <v>-51.312492054195069</v>
      </c>
      <c r="BF237" s="6">
        <f t="shared" si="212"/>
        <v>5.8457415708467311</v>
      </c>
      <c r="BG237" s="6">
        <f t="shared" si="213"/>
        <v>1.7442178286600782</v>
      </c>
      <c r="BH237" s="6">
        <f t="shared" si="214"/>
        <v>0.10588957445691705</v>
      </c>
      <c r="BI237" s="6">
        <f t="shared" si="215"/>
        <v>0.10588957445691705</v>
      </c>
      <c r="BJ237">
        <v>121.91272016548533</v>
      </c>
      <c r="BK237">
        <v>-57.013880060216742</v>
      </c>
      <c r="BV237" s="38"/>
      <c r="BW237" s="6">
        <f t="shared" si="216"/>
        <v>3.8746309394273926</v>
      </c>
      <c r="BX237" s="9">
        <f t="shared" ca="1" si="217"/>
        <v>-14.664760689756918</v>
      </c>
      <c r="BY237" s="9">
        <f t="shared" ca="1" si="218"/>
        <v>-9.58135982359547</v>
      </c>
      <c r="BZ237" s="9">
        <f t="shared" ca="1" si="219"/>
        <v>109.23092036706426</v>
      </c>
      <c r="CA237" s="6">
        <f t="shared" ca="1" si="220"/>
        <v>-50.879920175869188</v>
      </c>
      <c r="CB237" s="6">
        <f t="shared" ca="1" si="221"/>
        <v>-0.43591642925576313</v>
      </c>
      <c r="CC237" s="6">
        <f t="shared" ca="1" si="222"/>
        <v>-1.2483324566517793E-2</v>
      </c>
      <c r="CD237" s="9">
        <f t="shared" si="223"/>
        <v>97.030920367064255</v>
      </c>
      <c r="CE237" s="9">
        <f t="shared" si="224"/>
        <v>-46.679920175869185</v>
      </c>
      <c r="CF237" s="6">
        <f t="shared" si="225"/>
        <v>-0.44839975382228092</v>
      </c>
      <c r="CG237" s="6"/>
      <c r="CH237" s="6"/>
      <c r="CI237" s="6"/>
      <c r="CJ237" s="1"/>
      <c r="CK237" s="6"/>
    </row>
    <row r="238" spans="55:89" x14ac:dyDescent="0.2">
      <c r="BC238">
        <v>4.1189770347065959</v>
      </c>
      <c r="BD238">
        <v>109.76639108783053</v>
      </c>
      <c r="BE238">
        <v>-51.343378545962366</v>
      </c>
      <c r="BF238" s="6">
        <f t="shared" si="212"/>
        <v>5.8456678036133596</v>
      </c>
      <c r="BG238" s="6">
        <f t="shared" si="213"/>
        <v>1.7266907689067637</v>
      </c>
      <c r="BH238" s="6">
        <f t="shared" si="214"/>
        <v>0.10596334169028854</v>
      </c>
      <c r="BI238" s="6">
        <f t="shared" si="215"/>
        <v>0.10596334169028854</v>
      </c>
      <c r="BJ238">
        <v>121.96265676425614</v>
      </c>
      <c r="BK238">
        <v>-57.048198384402625</v>
      </c>
      <c r="BV238" s="38"/>
      <c r="BW238" s="6">
        <f t="shared" si="216"/>
        <v>3.8920842319473357</v>
      </c>
      <c r="BX238" s="9">
        <f t="shared" ca="1" si="217"/>
        <v>-14.631338190513759</v>
      </c>
      <c r="BY238" s="9">
        <f t="shared" ca="1" si="218"/>
        <v>-9.6178345701455541</v>
      </c>
      <c r="BZ238" s="9">
        <f t="shared" ca="1" si="219"/>
        <v>109.26434286630742</v>
      </c>
      <c r="CA238" s="6">
        <f t="shared" ca="1" si="220"/>
        <v>-50.916394922419272</v>
      </c>
      <c r="CB238" s="6">
        <f t="shared" ca="1" si="221"/>
        <v>-0.43607364310680213</v>
      </c>
      <c r="CC238" s="6">
        <f t="shared" ca="1" si="222"/>
        <v>-1.249673106362692E-2</v>
      </c>
      <c r="CD238" s="9">
        <f t="shared" si="223"/>
        <v>97.064342866307413</v>
      </c>
      <c r="CE238" s="9">
        <f t="shared" si="224"/>
        <v>-46.716394922419269</v>
      </c>
      <c r="CF238" s="6">
        <f t="shared" si="225"/>
        <v>-0.44857037417042905</v>
      </c>
      <c r="CG238" s="6"/>
      <c r="CH238" s="6"/>
      <c r="CI238" s="6"/>
      <c r="CJ238" s="1"/>
      <c r="CK238" s="6"/>
    </row>
    <row r="239" spans="55:89" x14ac:dyDescent="0.2">
      <c r="BC239">
        <v>4.136430327226539</v>
      </c>
      <c r="BD239">
        <v>109.81283899107974</v>
      </c>
      <c r="BE239">
        <v>-51.374119582435419</v>
      </c>
      <c r="BF239" s="6">
        <f t="shared" si="212"/>
        <v>5.8456004489045092</v>
      </c>
      <c r="BG239" s="6">
        <f t="shared" si="213"/>
        <v>1.7091701216779702</v>
      </c>
      <c r="BH239" s="6">
        <f t="shared" si="214"/>
        <v>0.10603069639913885</v>
      </c>
      <c r="BI239" s="6">
        <f t="shared" si="215"/>
        <v>0.10603069639913885</v>
      </c>
      <c r="BJ239">
        <v>122.01426554564415</v>
      </c>
      <c r="BK239">
        <v>-57.082355091594906</v>
      </c>
      <c r="BV239" s="38"/>
      <c r="BW239" s="6">
        <f t="shared" si="216"/>
        <v>3.9095375244672788</v>
      </c>
      <c r="BX239" s="9">
        <f t="shared" ca="1" si="217"/>
        <v>-14.597408612197427</v>
      </c>
      <c r="BY239" s="9">
        <f t="shared" ca="1" si="218"/>
        <v>-9.653589169177323</v>
      </c>
      <c r="BZ239" s="9">
        <f t="shared" ca="1" si="219"/>
        <v>109.29827244462375</v>
      </c>
      <c r="CA239" s="6">
        <f t="shared" ca="1" si="220"/>
        <v>-50.952149521451041</v>
      </c>
      <c r="CB239" s="6">
        <f t="shared" ca="1" si="221"/>
        <v>-0.43622354854546669</v>
      </c>
      <c r="CC239" s="6">
        <f t="shared" ca="1" si="222"/>
        <v>-1.2509238396915643E-2</v>
      </c>
      <c r="CD239" s="9">
        <f t="shared" si="223"/>
        <v>97.098272444623746</v>
      </c>
      <c r="CE239" s="9">
        <f t="shared" si="224"/>
        <v>-46.752149521451038</v>
      </c>
      <c r="CF239" s="6">
        <f t="shared" si="225"/>
        <v>-0.44873278694238233</v>
      </c>
      <c r="CG239" s="6"/>
      <c r="CH239" s="6"/>
      <c r="CI239" s="6"/>
      <c r="CJ239" s="1"/>
      <c r="CK239" s="6"/>
    </row>
    <row r="240" spans="55:89" x14ac:dyDescent="0.2">
      <c r="BC240">
        <v>4.1538836197464821</v>
      </c>
      <c r="BD240">
        <v>109.86092490620618</v>
      </c>
      <c r="BE240">
        <v>-51.404751287687517</v>
      </c>
      <c r="BF240" s="6">
        <f t="shared" si="212"/>
        <v>5.8455396952753027</v>
      </c>
      <c r="BG240" s="6">
        <f t="shared" si="213"/>
        <v>1.6916560755288206</v>
      </c>
      <c r="BH240" s="6">
        <f t="shared" si="214"/>
        <v>0.10609145002834541</v>
      </c>
      <c r="BI240" s="6">
        <f t="shared" si="215"/>
        <v>0.10609145002834541</v>
      </c>
      <c r="BJ240">
        <v>122.06769434022908</v>
      </c>
      <c r="BK240">
        <v>-57.116390319652794</v>
      </c>
      <c r="BV240" s="38"/>
      <c r="BW240" s="6">
        <f t="shared" si="216"/>
        <v>3.9269908169872219</v>
      </c>
      <c r="BX240" s="9">
        <f t="shared" ca="1" si="217"/>
        <v>-14.562923241057916</v>
      </c>
      <c r="BY240" s="9">
        <f t="shared" ca="1" si="218"/>
        <v>-9.6886818320633807</v>
      </c>
      <c r="BZ240" s="9">
        <f t="shared" ca="1" si="219"/>
        <v>109.33275781576326</v>
      </c>
      <c r="CA240" s="6">
        <f t="shared" ca="1" si="220"/>
        <v>-50.987242184337099</v>
      </c>
      <c r="CB240" s="6">
        <f t="shared" ca="1" si="221"/>
        <v>-0.43636641996893011</v>
      </c>
      <c r="CC240" s="6">
        <f t="shared" ca="1" si="222"/>
        <v>-1.2520872387850657E-2</v>
      </c>
      <c r="CD240" s="9">
        <f t="shared" si="223"/>
        <v>97.132757815763256</v>
      </c>
      <c r="CE240" s="9">
        <f t="shared" si="224"/>
        <v>-46.787242184337096</v>
      </c>
      <c r="CF240" s="6">
        <f t="shared" si="225"/>
        <v>-0.44888729235678076</v>
      </c>
      <c r="CG240" s="6"/>
      <c r="CH240" s="6"/>
      <c r="CI240" s="6"/>
      <c r="CJ240" s="1"/>
      <c r="CK240" s="6"/>
    </row>
    <row r="241" spans="55:89" x14ac:dyDescent="0.2">
      <c r="BC241">
        <v>4.1713369122664252</v>
      </c>
      <c r="BD241">
        <v>109.91079620875469</v>
      </c>
      <c r="BE241">
        <v>-51.435309798687086</v>
      </c>
      <c r="BF241" s="6">
        <f t="shared" si="212"/>
        <v>5.8454857806999376</v>
      </c>
      <c r="BG241" s="6">
        <f t="shared" si="213"/>
        <v>1.6741488684335124</v>
      </c>
      <c r="BH241" s="6">
        <f t="shared" si="214"/>
        <v>0.10614536460371049</v>
      </c>
      <c r="BI241" s="6">
        <f t="shared" si="215"/>
        <v>0.10614536460371049</v>
      </c>
      <c r="BJ241">
        <v>122.12310689861631</v>
      </c>
      <c r="BK241">
        <v>-57.150344220763429</v>
      </c>
      <c r="BV241" s="38"/>
      <c r="BW241" s="6">
        <f t="shared" si="216"/>
        <v>3.944444109507165</v>
      </c>
      <c r="BX241" s="9">
        <f t="shared" ca="1" si="217"/>
        <v>-14.527830578478572</v>
      </c>
      <c r="BY241" s="9">
        <f t="shared" ca="1" si="218"/>
        <v>-9.7231672038778356</v>
      </c>
      <c r="BZ241" s="9">
        <f t="shared" ca="1" si="219"/>
        <v>109.3678504783426</v>
      </c>
      <c r="CA241" s="6">
        <f t="shared" ca="1" si="220"/>
        <v>-51.021727556151554</v>
      </c>
      <c r="CB241" s="6">
        <f t="shared" ca="1" si="221"/>
        <v>-0.43650249456676582</v>
      </c>
      <c r="CC241" s="6">
        <f t="shared" ca="1" si="222"/>
        <v>-1.2531654246606572E-2</v>
      </c>
      <c r="CD241" s="9">
        <f t="shared" si="223"/>
        <v>97.167850478342601</v>
      </c>
      <c r="CE241" s="9">
        <f t="shared" si="224"/>
        <v>-46.821727556151551</v>
      </c>
      <c r="CF241" s="6">
        <f t="shared" si="225"/>
        <v>-0.44903414881337239</v>
      </c>
      <c r="CG241" s="6"/>
      <c r="CH241" s="6"/>
      <c r="CI241" s="6"/>
      <c r="CJ241" s="1"/>
      <c r="CK241" s="6"/>
    </row>
    <row r="242" spans="55:89" x14ac:dyDescent="0.2">
      <c r="BC242">
        <v>4.1887902047863683</v>
      </c>
      <c r="BD242">
        <v>109.96261677541796</v>
      </c>
      <c r="BE242">
        <v>-51.465831498751179</v>
      </c>
      <c r="BF242" s="6">
        <f t="shared" si="212"/>
        <v>5.8454389982225869</v>
      </c>
      <c r="BG242" s="6">
        <f t="shared" si="213"/>
        <v>1.6566487934362186</v>
      </c>
      <c r="BH242" s="6">
        <f t="shared" si="214"/>
        <v>0.10619214708106117</v>
      </c>
      <c r="BI242" s="6">
        <f t="shared" si="215"/>
        <v>0.10619214708106117</v>
      </c>
      <c r="BJ242">
        <v>122.18068530601995</v>
      </c>
      <c r="BK242">
        <v>-57.184257220834638</v>
      </c>
      <c r="BV242" s="38"/>
      <c r="BW242" s="6">
        <f t="shared" si="216"/>
        <v>3.9618974020271081</v>
      </c>
      <c r="BX242" s="9">
        <f t="shared" ca="1" si="217"/>
        <v>-14.492075979100179</v>
      </c>
      <c r="BY242" s="9">
        <f t="shared" ca="1" si="218"/>
        <v>-9.757096780869972</v>
      </c>
      <c r="BZ242" s="9">
        <f t="shared" ca="1" si="219"/>
        <v>109.403605077721</v>
      </c>
      <c r="CA242" s="6">
        <f t="shared" ca="1" si="220"/>
        <v>-51.05565713314369</v>
      </c>
      <c r="CB242" s="6">
        <f t="shared" ca="1" si="221"/>
        <v>-0.43663197428653516</v>
      </c>
      <c r="CC242" s="6">
        <f t="shared" ca="1" si="222"/>
        <v>-1.2541600762467351E-2</v>
      </c>
      <c r="CD242" s="9">
        <f t="shared" si="223"/>
        <v>97.203605077720994</v>
      </c>
      <c r="CE242" s="9">
        <f t="shared" si="224"/>
        <v>-46.855657133143687</v>
      </c>
      <c r="CF242" s="6">
        <f t="shared" si="225"/>
        <v>-0.44917357504900252</v>
      </c>
      <c r="CG242" s="6"/>
      <c r="CH242" s="6"/>
      <c r="CI242" s="6"/>
      <c r="CJ242" s="1"/>
      <c r="CK242" s="6"/>
    </row>
    <row r="243" spans="55:89" x14ac:dyDescent="0.2">
      <c r="BC243">
        <v>4.2062434973063114</v>
      </c>
      <c r="BD243">
        <v>110.01656956827948</v>
      </c>
      <c r="BE243">
        <v>-51.496353261433597</v>
      </c>
      <c r="BF243" s="6">
        <f t="shared" si="212"/>
        <v>5.8453997029246034</v>
      </c>
      <c r="BG243" s="6">
        <f t="shared" si="213"/>
        <v>1.639156205618292</v>
      </c>
      <c r="BH243" s="6">
        <f t="shared" si="214"/>
        <v>0.10623144237904469</v>
      </c>
      <c r="BI243" s="6">
        <f t="shared" si="215"/>
        <v>0.10623144237904469</v>
      </c>
      <c r="BJ243">
        <v>122.24063285364386</v>
      </c>
      <c r="BK243">
        <v>-57.218170290481773</v>
      </c>
      <c r="BV243" s="38"/>
      <c r="BW243" s="6">
        <f t="shared" si="216"/>
        <v>3.9793506945470511</v>
      </c>
      <c r="BX243" s="9">
        <f t="shared" ca="1" si="217"/>
        <v>-14.455601232682199</v>
      </c>
      <c r="BY243" s="9">
        <f t="shared" ca="1" si="218"/>
        <v>-9.7905192807475316</v>
      </c>
      <c r="BZ243" s="9">
        <f t="shared" ca="1" si="219"/>
        <v>109.44007982413898</v>
      </c>
      <c r="CA243" s="6">
        <f t="shared" ca="1" si="220"/>
        <v>-51.08907963302125</v>
      </c>
      <c r="CB243" s="6">
        <f t="shared" ca="1" si="221"/>
        <v>-0.4367550272403225</v>
      </c>
      <c r="CC243" s="6">
        <f t="shared" ca="1" si="222"/>
        <v>-1.2550724423410653E-2</v>
      </c>
      <c r="CD243" s="9">
        <f t="shared" si="223"/>
        <v>97.240079824138974</v>
      </c>
      <c r="CE243" s="9">
        <f t="shared" si="224"/>
        <v>-46.889079633021247</v>
      </c>
      <c r="CF243" s="6">
        <f t="shared" si="225"/>
        <v>-0.44930575166373315</v>
      </c>
      <c r="CG243" s="6"/>
      <c r="CH243" s="6"/>
      <c r="CI243" s="6"/>
      <c r="CJ243" s="1"/>
      <c r="CK243" s="6"/>
    </row>
    <row r="244" spans="55:89" x14ac:dyDescent="0.2">
      <c r="BC244">
        <v>4.2236967898262545</v>
      </c>
      <c r="BD244">
        <v>110.07285971729002</v>
      </c>
      <c r="BE244">
        <v>-51.526912712922709</v>
      </c>
      <c r="BF244" s="6">
        <f t="shared" si="212"/>
        <v>5.8453683204393352</v>
      </c>
      <c r="BG244" s="6">
        <f t="shared" si="213"/>
        <v>1.6216715306130807</v>
      </c>
      <c r="BH244" s="6">
        <f t="shared" si="214"/>
        <v>0.10626282486431293</v>
      </c>
      <c r="BI244" s="6">
        <f t="shared" si="215"/>
        <v>0.10626282486431293</v>
      </c>
      <c r="BJ244">
        <v>122.30317746365557</v>
      </c>
      <c r="BK244">
        <v>-57.252125236580788</v>
      </c>
      <c r="BV244" s="38"/>
      <c r="BW244" s="6">
        <f t="shared" si="216"/>
        <v>3.9968039870669942</v>
      </c>
      <c r="BX244" s="9">
        <f t="shared" ca="1" si="217"/>
        <v>-14.41834410529475</v>
      </c>
      <c r="BY244" s="9">
        <f t="shared" ca="1" si="218"/>
        <v>-9.8234809815303947</v>
      </c>
      <c r="BZ244" s="9">
        <f t="shared" ca="1" si="219"/>
        <v>109.47733695152642</v>
      </c>
      <c r="CA244" s="6">
        <f t="shared" ca="1" si="220"/>
        <v>-51.122041333804113</v>
      </c>
      <c r="CB244" s="6">
        <f t="shared" ca="1" si="221"/>
        <v>-0.43687178872741905</v>
      </c>
      <c r="CC244" s="6">
        <f t="shared" ca="1" si="222"/>
        <v>-1.2559033486919169E-2</v>
      </c>
      <c r="CD244" s="9">
        <f t="shared" si="223"/>
        <v>97.277336951526422</v>
      </c>
      <c r="CE244" s="9">
        <f t="shared" si="224"/>
        <v>-46.92204133380411</v>
      </c>
      <c r="CF244" s="6">
        <f t="shared" si="225"/>
        <v>-0.44943082221433822</v>
      </c>
      <c r="CG244" s="6"/>
      <c r="CH244" s="6"/>
      <c r="CI244" s="6"/>
      <c r="CJ244" s="1"/>
      <c r="CK244" s="6"/>
    </row>
    <row r="245" spans="55:89" x14ac:dyDescent="0.2">
      <c r="BC245">
        <v>4.2411500823461976</v>
      </c>
      <c r="BD245">
        <v>110.13171821779289</v>
      </c>
      <c r="BE245">
        <v>-51.557548520210744</v>
      </c>
      <c r="BF245" s="6">
        <f t="shared" si="212"/>
        <v>5.84534535735175</v>
      </c>
      <c r="BG245" s="6">
        <f t="shared" si="213"/>
        <v>1.6041952750055524</v>
      </c>
      <c r="BH245" s="6">
        <f t="shared" si="214"/>
        <v>0.10628578795189814</v>
      </c>
      <c r="BI245" s="6">
        <f t="shared" si="215"/>
        <v>0.10628578795189814</v>
      </c>
      <c r="BJ245">
        <v>122.36857579754766</v>
      </c>
      <c r="BK245">
        <v>-57.28616502245638</v>
      </c>
      <c r="BV245" s="38"/>
      <c r="BW245" s="6">
        <f t="shared" si="216"/>
        <v>4.0142572795869373</v>
      </c>
      <c r="BX245" s="9">
        <f t="shared" ca="1" si="217"/>
        <v>-14.380237819802389</v>
      </c>
      <c r="BY245" s="9">
        <f t="shared" ca="1" si="218"/>
        <v>-9.8560260296833988</v>
      </c>
      <c r="BZ245" s="9">
        <f t="shared" ca="1" si="219"/>
        <v>109.51544323701879</v>
      </c>
      <c r="CA245" s="6">
        <f t="shared" ca="1" si="220"/>
        <v>-51.154586381957117</v>
      </c>
      <c r="CB245" s="6">
        <f t="shared" ca="1" si="221"/>
        <v>-0.43698236181032352</v>
      </c>
      <c r="CC245" s="6">
        <f t="shared" ca="1" si="222"/>
        <v>-1.256653199275265E-2</v>
      </c>
      <c r="CD245" s="9">
        <f t="shared" si="223"/>
        <v>97.315443237018783</v>
      </c>
      <c r="CE245" s="9">
        <f t="shared" si="224"/>
        <v>-46.954586381957114</v>
      </c>
      <c r="CF245" s="6">
        <f t="shared" si="225"/>
        <v>-0.44954889380307617</v>
      </c>
      <c r="CG245" s="6"/>
      <c r="CH245" s="6"/>
      <c r="CI245" s="6"/>
      <c r="CJ245" s="1"/>
      <c r="CK245" s="6"/>
    </row>
    <row r="246" spans="55:89" x14ac:dyDescent="0.2">
      <c r="BC246">
        <v>4.2586033748661407</v>
      </c>
      <c r="BD246">
        <v>110.19340641833278</v>
      </c>
      <c r="BE246">
        <v>-51.588300701358605</v>
      </c>
      <c r="BF246" s="6">
        <f t="shared" si="212"/>
        <v>5.8453314140999222</v>
      </c>
      <c r="BG246" s="6">
        <f t="shared" si="213"/>
        <v>1.5867280392337815</v>
      </c>
      <c r="BH246" s="6">
        <f t="shared" si="214"/>
        <v>0.10629973120372593</v>
      </c>
      <c r="BI246" s="6">
        <f t="shared" si="215"/>
        <v>0.10629973120372593</v>
      </c>
      <c r="BJ246">
        <v>122.43711824259198</v>
      </c>
      <c r="BK246">
        <v>-57.320334112620671</v>
      </c>
      <c r="BV246" s="38"/>
      <c r="BW246" s="6">
        <f t="shared" si="216"/>
        <v>4.0317105721068804</v>
      </c>
      <c r="BX246" s="9">
        <f t="shared" ca="1" si="217"/>
        <v>-14.341210469714866</v>
      </c>
      <c r="BY246" s="9">
        <f t="shared" ca="1" si="218"/>
        <v>-9.8881967240857236</v>
      </c>
      <c r="BZ246" s="9">
        <f t="shared" ca="1" si="219"/>
        <v>109.55447058710631</v>
      </c>
      <c r="CA246" s="6">
        <f t="shared" ca="1" si="220"/>
        <v>-51.186757076359441</v>
      </c>
      <c r="CB246" s="6">
        <f t="shared" ca="1" si="221"/>
        <v>-0.43708681747458794</v>
      </c>
      <c r="CC246" s="6">
        <f t="shared" ca="1" si="222"/>
        <v>-1.2573219720708906E-2</v>
      </c>
      <c r="CD246" s="9">
        <f t="shared" si="223"/>
        <v>97.354470587106306</v>
      </c>
      <c r="CE246" s="9">
        <f t="shared" si="224"/>
        <v>-46.986757076359439</v>
      </c>
      <c r="CF246" s="6">
        <f t="shared" si="225"/>
        <v>-0.44966003719529685</v>
      </c>
      <c r="CG246" s="6"/>
      <c r="CH246" s="6"/>
      <c r="CI246" s="6"/>
      <c r="CJ246" s="1"/>
      <c r="CK246" s="6"/>
    </row>
    <row r="247" spans="55:89" x14ac:dyDescent="0.2">
      <c r="BC247">
        <v>4.2760566673860838</v>
      </c>
      <c r="BD247">
        <v>110.25822146276579</v>
      </c>
      <c r="BE247">
        <v>-51.61921098368849</v>
      </c>
      <c r="BF247" s="6">
        <f t="shared" si="212"/>
        <v>5.8453272007289243</v>
      </c>
      <c r="BG247" s="6">
        <f t="shared" si="213"/>
        <v>1.5692705333428405</v>
      </c>
      <c r="BH247" s="6">
        <f t="shared" si="214"/>
        <v>0.10630394457472381</v>
      </c>
      <c r="BI247" s="6">
        <f t="shared" si="215"/>
        <v>0.10630394457472381</v>
      </c>
      <c r="BJ247">
        <v>122.50913495862865</v>
      </c>
      <c r="BK247">
        <v>-57.354678870764985</v>
      </c>
      <c r="BV247" s="38"/>
      <c r="BW247" s="6">
        <f t="shared" si="216"/>
        <v>4.0491638646268235</v>
      </c>
      <c r="BX247" s="9">
        <f t="shared" ca="1" si="217"/>
        <v>-14.301184357685401</v>
      </c>
      <c r="BY247" s="9">
        <f t="shared" ca="1" si="218"/>
        <v>-9.9200337816108686</v>
      </c>
      <c r="BZ247" s="9">
        <f t="shared" ca="1" si="219"/>
        <v>109.59449669913577</v>
      </c>
      <c r="CA247" s="6">
        <f t="shared" ca="1" si="220"/>
        <v>-51.218594133884586</v>
      </c>
      <c r="CB247" s="6">
        <f t="shared" ca="1" si="221"/>
        <v>-0.4371851943873642</v>
      </c>
      <c r="CC247" s="6">
        <f t="shared" ca="1" si="222"/>
        <v>-1.257909209430391E-2</v>
      </c>
      <c r="CD247" s="9">
        <f t="shared" si="223"/>
        <v>97.394496699135772</v>
      </c>
      <c r="CE247" s="9">
        <f t="shared" si="224"/>
        <v>-47.018594133884584</v>
      </c>
      <c r="CF247" s="6">
        <f t="shared" si="225"/>
        <v>-0.44976428648166811</v>
      </c>
      <c r="CG247" s="6"/>
      <c r="CH247" s="6"/>
      <c r="CI247" s="6"/>
      <c r="CJ247" s="1"/>
      <c r="CK247" s="6"/>
    </row>
    <row r="248" spans="55:89" x14ac:dyDescent="0.2">
      <c r="BC248">
        <v>4.2935099599060269</v>
      </c>
      <c r="BD248">
        <v>110.32650298031854</v>
      </c>
      <c r="BE248">
        <v>-51.650323204368163</v>
      </c>
      <c r="BF248" s="6">
        <f t="shared" si="212"/>
        <v>5.8453335565231672</v>
      </c>
      <c r="BG248" s="6">
        <f t="shared" si="213"/>
        <v>1.5518235966171403</v>
      </c>
      <c r="BH248" s="6">
        <f t="shared" si="214"/>
        <v>0.1062975887804809</v>
      </c>
      <c r="BI248" s="6">
        <f t="shared" si="215"/>
        <v>0.1062975887804809</v>
      </c>
      <c r="BJ248">
        <v>122.58500331146504</v>
      </c>
      <c r="BK248">
        <v>-57.389248004853513</v>
      </c>
      <c r="BV248" s="38"/>
      <c r="BW248" s="6">
        <f t="shared" si="216"/>
        <v>4.0666171571467666</v>
      </c>
      <c r="BX248" s="9">
        <f t="shared" ca="1" si="217"/>
        <v>-14.260075237795377</v>
      </c>
      <c r="BY248" s="9">
        <f t="shared" ca="1" si="218"/>
        <v>-9.9515765854023925</v>
      </c>
      <c r="BZ248" s="9">
        <f t="shared" ca="1" si="219"/>
        <v>109.6356058190258</v>
      </c>
      <c r="CA248" s="6">
        <f t="shared" ca="1" si="220"/>
        <v>-51.25013693767611</v>
      </c>
      <c r="CB248" s="6">
        <f t="shared" ca="1" si="221"/>
        <v>-0.43727749819199124</v>
      </c>
      <c r="CC248" s="6">
        <f t="shared" ca="1" si="222"/>
        <v>-1.2584140021086265E-2</v>
      </c>
      <c r="CD248" s="9">
        <f t="shared" si="223"/>
        <v>97.435605819025795</v>
      </c>
      <c r="CE248" s="9">
        <f t="shared" si="224"/>
        <v>-47.050136937676108</v>
      </c>
      <c r="CF248" s="6">
        <f t="shared" si="225"/>
        <v>-0.44986163821307751</v>
      </c>
      <c r="CG248" s="6"/>
      <c r="CH248" s="6"/>
      <c r="CI248" s="6"/>
      <c r="CJ248" s="1"/>
      <c r="CK248" s="6"/>
    </row>
    <row r="249" spans="55:89" x14ac:dyDescent="0.2">
      <c r="BC249">
        <v>4.31096325242597</v>
      </c>
      <c r="BD249">
        <v>110.39864135821233</v>
      </c>
      <c r="BE249">
        <v>-51.681683771600994</v>
      </c>
      <c r="BF249" s="6">
        <f t="shared" si="212"/>
        <v>5.8453514744941382</v>
      </c>
      <c r="BG249" s="6">
        <f t="shared" si="213"/>
        <v>1.5343882220681682</v>
      </c>
      <c r="BH249" s="6">
        <f t="shared" si="214"/>
        <v>0.10627967080950995</v>
      </c>
      <c r="BI249" s="6">
        <f t="shared" si="215"/>
        <v>0.10627967080950995</v>
      </c>
      <c r="BJ249">
        <v>122.66515706468036</v>
      </c>
      <c r="BK249">
        <v>-57.424093079556656</v>
      </c>
      <c r="BV249" s="38"/>
      <c r="BW249" s="6">
        <f t="shared" si="216"/>
        <v>4.0840704496667097</v>
      </c>
      <c r="BX249" s="9">
        <f t="shared" ca="1" si="217"/>
        <v>-14.217791447972957</v>
      </c>
      <c r="BY249" s="9">
        <f t="shared" ca="1" si="218"/>
        <v>-9.9828634209898368</v>
      </c>
      <c r="BZ249" s="9">
        <f t="shared" ca="1" si="219"/>
        <v>109.67788960884822</v>
      </c>
      <c r="CA249" s="6">
        <f t="shared" ca="1" si="220"/>
        <v>-51.281423773263555</v>
      </c>
      <c r="CB249" s="6">
        <f t="shared" ca="1" si="221"/>
        <v>-0.43736370033188737</v>
      </c>
      <c r="CC249" s="6">
        <f t="shared" ca="1" si="222"/>
        <v>-1.2588349667554899E-2</v>
      </c>
      <c r="CD249" s="9">
        <f t="shared" si="223"/>
        <v>97.477889608848216</v>
      </c>
      <c r="CE249" s="9">
        <f t="shared" si="224"/>
        <v>-47.081423773263552</v>
      </c>
      <c r="CF249" s="6">
        <f t="shared" si="225"/>
        <v>-0.44995204999944227</v>
      </c>
      <c r="CG249" s="6"/>
      <c r="CH249" s="6"/>
      <c r="CI249" s="6"/>
      <c r="CJ249" s="1"/>
      <c r="CK249" s="6"/>
    </row>
    <row r="250" spans="55:89" x14ac:dyDescent="0.2">
      <c r="BC250">
        <v>4.3284165449459131</v>
      </c>
      <c r="BD250">
        <v>110.47508805052306</v>
      </c>
      <c r="BE250">
        <v>-51.713342207362778</v>
      </c>
      <c r="BF250" s="6">
        <f t="shared" si="212"/>
        <v>5.8453821320743033</v>
      </c>
      <c r="BG250" s="6">
        <f t="shared" si="213"/>
        <v>1.5169655871283902</v>
      </c>
      <c r="BH250" s="6">
        <f t="shared" si="214"/>
        <v>0.10624901322934478</v>
      </c>
      <c r="BI250" s="6">
        <f t="shared" si="215"/>
        <v>0.10624901322934478</v>
      </c>
      <c r="BJ250">
        <v>122.75009783391451</v>
      </c>
      <c r="BK250">
        <v>-57.459269119291974</v>
      </c>
      <c r="BV250" s="38"/>
      <c r="BW250" s="6">
        <f t="shared" si="216"/>
        <v>4.1015237421866528</v>
      </c>
      <c r="BX250" s="9">
        <f t="shared" ca="1" si="217"/>
        <v>-14.174232907884374</v>
      </c>
      <c r="BY250" s="9">
        <f t="shared" ca="1" si="218"/>
        <v>-10.013931701921351</v>
      </c>
      <c r="BZ250" s="9">
        <f t="shared" ca="1" si="219"/>
        <v>109.7214481489368</v>
      </c>
      <c r="CA250" s="6">
        <f t="shared" ca="1" si="220"/>
        <v>-51.312492054195069</v>
      </c>
      <c r="CB250" s="6">
        <f t="shared" ca="1" si="221"/>
        <v>-0.43744373633285499</v>
      </c>
      <c r="CC250" s="6">
        <f t="shared" ca="1" si="222"/>
        <v>-1.2591702158127049E-2</v>
      </c>
      <c r="CD250" s="9">
        <f t="shared" si="223"/>
        <v>97.521448148936798</v>
      </c>
      <c r="CE250" s="9">
        <f t="shared" si="224"/>
        <v>-47.112492054195066</v>
      </c>
      <c r="CF250" s="6">
        <f t="shared" si="225"/>
        <v>-0.45003543849098204</v>
      </c>
      <c r="CG250" s="6"/>
      <c r="CH250" s="6"/>
      <c r="CI250" s="6"/>
      <c r="CJ250" s="1"/>
      <c r="CK250" s="6"/>
    </row>
    <row r="251" spans="55:89" x14ac:dyDescent="0.2">
      <c r="BC251">
        <v>4.3458698374658562</v>
      </c>
      <c r="BD251">
        <v>110.55636856639728</v>
      </c>
      <c r="BE251">
        <v>-51.745351783874945</v>
      </c>
      <c r="BF251" s="6">
        <f t="shared" si="212"/>
        <v>5.8454269300624633</v>
      </c>
      <c r="BG251" s="6">
        <f t="shared" si="213"/>
        <v>1.4995570925966071</v>
      </c>
      <c r="BH251" s="6">
        <f t="shared" si="214"/>
        <v>0.10620421524118485</v>
      </c>
      <c r="BI251" s="6">
        <f t="shared" si="215"/>
        <v>0.10620421524118485</v>
      </c>
      <c r="BJ251">
        <v>122.8404095182192</v>
      </c>
      <c r="BK251">
        <v>-57.494835315416601</v>
      </c>
      <c r="BV251" s="38"/>
      <c r="BW251" s="6">
        <f t="shared" si="216"/>
        <v>4.1189770347065959</v>
      </c>
      <c r="BX251" s="9">
        <f t="shared" ca="1" si="217"/>
        <v>-14.129289968990648</v>
      </c>
      <c r="BY251" s="9">
        <f t="shared" ca="1" si="218"/>
        <v>-10.044818193688648</v>
      </c>
      <c r="BZ251" s="9">
        <f t="shared" ca="1" si="219"/>
        <v>109.76639108783053</v>
      </c>
      <c r="CA251" s="6">
        <f t="shared" ca="1" si="220"/>
        <v>-51.343378545962366</v>
      </c>
      <c r="CB251" s="6">
        <f t="shared" ca="1" si="221"/>
        <v>-0.43751750356622693</v>
      </c>
      <c r="CC251" s="6">
        <f t="shared" ca="1" si="222"/>
        <v>-1.2594173199590164E-2</v>
      </c>
      <c r="CD251" s="9">
        <f t="shared" si="223"/>
        <v>97.566391087830524</v>
      </c>
      <c r="CE251" s="9">
        <f t="shared" si="224"/>
        <v>-47.143378545962364</v>
      </c>
      <c r="CF251" s="6">
        <f t="shared" si="225"/>
        <v>-0.45011167676581709</v>
      </c>
      <c r="CG251" s="6"/>
      <c r="CH251" s="6"/>
      <c r="CI251" s="6"/>
      <c r="CJ251" s="1"/>
      <c r="CK251" s="6"/>
    </row>
    <row r="252" spans="55:89" x14ac:dyDescent="0.2">
      <c r="BC252">
        <v>4.3633231299857993</v>
      </c>
      <c r="BD252">
        <v>110.64309897396956</v>
      </c>
      <c r="BE252">
        <v>-51.777770292546272</v>
      </c>
      <c r="BF252" s="6">
        <f t="shared" si="212"/>
        <v>5.8454875422966683</v>
      </c>
      <c r="BG252" s="6">
        <f t="shared" si="213"/>
        <v>1.482164412310869</v>
      </c>
      <c r="BH252" s="6">
        <f t="shared" si="214"/>
        <v>0.10614360300697978</v>
      </c>
      <c r="BI252" s="6">
        <f t="shared" si="215"/>
        <v>0.10614360300697978</v>
      </c>
      <c r="BJ252">
        <v>122.93677663774395</v>
      </c>
      <c r="BK252">
        <v>-57.530855880606964</v>
      </c>
      <c r="BV252" s="38"/>
      <c r="BW252" s="6">
        <f t="shared" si="216"/>
        <v>4.136430327226539</v>
      </c>
      <c r="BX252" s="9">
        <f t="shared" ca="1" si="217"/>
        <v>-14.082842065741431</v>
      </c>
      <c r="BY252" s="9">
        <f t="shared" ca="1" si="218"/>
        <v>-10.075559230161701</v>
      </c>
      <c r="BZ252" s="9">
        <f t="shared" ca="1" si="219"/>
        <v>109.81283899107974</v>
      </c>
      <c r="CA252" s="6">
        <f t="shared" ca="1" si="220"/>
        <v>-51.374119582435419</v>
      </c>
      <c r="CB252" s="6">
        <f t="shared" ca="1" si="221"/>
        <v>-0.43758485827507665</v>
      </c>
      <c r="CC252" s="6">
        <f t="shared" ca="1" si="222"/>
        <v>-1.2595732600917675E-2</v>
      </c>
      <c r="CD252" s="9">
        <f t="shared" si="223"/>
        <v>97.612838991079741</v>
      </c>
      <c r="CE252" s="9">
        <f t="shared" si="224"/>
        <v>-47.174119582435416</v>
      </c>
      <c r="CF252" s="6">
        <f t="shared" si="225"/>
        <v>-0.45018059087599432</v>
      </c>
      <c r="CG252" s="6"/>
      <c r="CH252" s="6"/>
      <c r="CI252" s="6"/>
      <c r="CJ252" s="1"/>
      <c r="CK252" s="6"/>
    </row>
    <row r="253" spans="55:89" x14ac:dyDescent="0.2">
      <c r="BC253">
        <v>4.3807764225057424</v>
      </c>
      <c r="BD253">
        <v>110.73600714240416</v>
      </c>
      <c r="BE253">
        <v>-51.810660965945345</v>
      </c>
      <c r="BF253" s="6">
        <f t="shared" si="212"/>
        <v>5.8455659799425073</v>
      </c>
      <c r="BG253" s="6">
        <f t="shared" si="213"/>
        <v>1.4647895574367649</v>
      </c>
      <c r="BH253" s="6">
        <f t="shared" si="214"/>
        <v>0.10606516536114086</v>
      </c>
      <c r="BI253" s="6">
        <f t="shared" si="215"/>
        <v>0.10606516536114086</v>
      </c>
      <c r="BJ253">
        <v>123.04000793600463</v>
      </c>
      <c r="BK253">
        <v>-57.567401073272606</v>
      </c>
      <c r="BV253" s="38"/>
      <c r="BW253" s="6">
        <f t="shared" si="216"/>
        <v>4.1538836197464821</v>
      </c>
      <c r="BX253" s="9">
        <f t="shared" ca="1" si="217"/>
        <v>-14.034756150614996</v>
      </c>
      <c r="BY253" s="9">
        <f t="shared" ca="1" si="218"/>
        <v>-10.1061909354138</v>
      </c>
      <c r="BZ253" s="9">
        <f t="shared" ca="1" si="219"/>
        <v>109.86092490620618</v>
      </c>
      <c r="CA253" s="6">
        <f t="shared" ca="1" si="220"/>
        <v>-51.404751287687517</v>
      </c>
      <c r="CB253" s="6">
        <f t="shared" ca="1" si="221"/>
        <v>-0.43764561190428358</v>
      </c>
      <c r="CC253" s="6">
        <f t="shared" ca="1" si="222"/>
        <v>-1.2596343691733958E-2</v>
      </c>
      <c r="CD253" s="9">
        <f t="shared" si="223"/>
        <v>97.660924906206176</v>
      </c>
      <c r="CE253" s="9">
        <f t="shared" si="224"/>
        <v>-47.204751287687515</v>
      </c>
      <c r="CF253" s="6">
        <f t="shared" si="225"/>
        <v>-0.45024195559601754</v>
      </c>
      <c r="CG253" s="6"/>
      <c r="CH253" s="6"/>
      <c r="CI253" s="6"/>
      <c r="CJ253" s="1"/>
      <c r="CK253" s="6"/>
    </row>
    <row r="254" spans="55:89" x14ac:dyDescent="0.2">
      <c r="BC254">
        <v>4.3982297150256855</v>
      </c>
      <c r="BD254">
        <v>110.8359603783107</v>
      </c>
      <c r="BE254">
        <v>-51.844093615743731</v>
      </c>
      <c r="BF254" s="6">
        <f t="shared" si="212"/>
        <v>5.8456646753776544</v>
      </c>
      <c r="BG254" s="6">
        <f t="shared" si="213"/>
        <v>1.4474349603519689</v>
      </c>
      <c r="BH254" s="6">
        <f t="shared" si="214"/>
        <v>0.10596646992599368</v>
      </c>
      <c r="BI254" s="6">
        <f t="shared" si="215"/>
        <v>0.10596646992599368</v>
      </c>
      <c r="BJ254">
        <v>123.15106708701188</v>
      </c>
      <c r="BK254">
        <v>-57.604548461937476</v>
      </c>
      <c r="BV254" s="38"/>
      <c r="BW254" s="6">
        <f t="shared" si="216"/>
        <v>4.1713369122664252</v>
      </c>
      <c r="BX254" s="9">
        <f t="shared" ca="1" si="217"/>
        <v>-13.984884848066486</v>
      </c>
      <c r="BY254" s="9">
        <f t="shared" ca="1" si="218"/>
        <v>-10.136749446413369</v>
      </c>
      <c r="BZ254" s="9">
        <f t="shared" ca="1" si="219"/>
        <v>109.91079620875469</v>
      </c>
      <c r="CA254" s="6">
        <f t="shared" ca="1" si="220"/>
        <v>-51.435309798687086</v>
      </c>
      <c r="CB254" s="6">
        <f t="shared" ca="1" si="221"/>
        <v>-0.43769952647964849</v>
      </c>
      <c r="CC254" s="6">
        <f t="shared" ca="1" si="222"/>
        <v>-1.2595962603814013E-2</v>
      </c>
      <c r="CD254" s="9">
        <f t="shared" si="223"/>
        <v>97.710796208754687</v>
      </c>
      <c r="CE254" s="9">
        <f t="shared" si="224"/>
        <v>-47.235309798687084</v>
      </c>
      <c r="CF254" s="6">
        <f t="shared" si="225"/>
        <v>-0.45029548908346251</v>
      </c>
      <c r="CG254" s="6"/>
      <c r="CH254" s="6"/>
      <c r="CI254" s="6"/>
      <c r="CJ254" s="1"/>
      <c r="CK254" s="6"/>
    </row>
    <row r="255" spans="55:89" x14ac:dyDescent="0.2">
      <c r="BC255">
        <v>4.4156830075456286</v>
      </c>
      <c r="BD255">
        <v>110.9440018804268</v>
      </c>
      <c r="BE255">
        <v>-51.878146049198754</v>
      </c>
      <c r="BF255" s="6">
        <f t="shared" si="212"/>
        <v>5.8457865931684774</v>
      </c>
      <c r="BG255" s="6">
        <f t="shared" si="213"/>
        <v>1.4301035856228488</v>
      </c>
      <c r="BH255" s="6">
        <f t="shared" si="214"/>
        <v>0.10584455213517074</v>
      </c>
      <c r="BI255" s="6">
        <f t="shared" si="215"/>
        <v>0.10584455213517074</v>
      </c>
      <c r="BJ255">
        <v>123.27111320047422</v>
      </c>
      <c r="BK255">
        <v>-57.642384499109724</v>
      </c>
      <c r="BV255" s="38"/>
      <c r="BW255" s="6">
        <f t="shared" si="216"/>
        <v>4.1887902047863683</v>
      </c>
      <c r="BX255" s="9">
        <f t="shared" ca="1" si="217"/>
        <v>-13.933064281403219</v>
      </c>
      <c r="BY255" s="9">
        <f t="shared" ca="1" si="218"/>
        <v>-10.167271146477461</v>
      </c>
      <c r="BZ255" s="9">
        <f t="shared" ca="1" si="219"/>
        <v>109.96261677541796</v>
      </c>
      <c r="CA255" s="6">
        <f t="shared" ca="1" si="220"/>
        <v>-51.465831498751179</v>
      </c>
      <c r="CB255" s="6">
        <f t="shared" ca="1" si="221"/>
        <v>-0.4377463089569994</v>
      </c>
      <c r="CC255" s="6">
        <f t="shared" ca="1" si="222"/>
        <v>-1.2594537402372706E-2</v>
      </c>
      <c r="CD255" s="9">
        <f t="shared" si="223"/>
        <v>97.762616775417953</v>
      </c>
      <c r="CE255" s="9">
        <f t="shared" si="224"/>
        <v>-47.265831498751176</v>
      </c>
      <c r="CF255" s="6">
        <f t="shared" si="225"/>
        <v>-0.4503408463593721</v>
      </c>
      <c r="CG255" s="6"/>
      <c r="CH255" s="6"/>
      <c r="CI255" s="6"/>
      <c r="CJ255" s="1"/>
      <c r="CK255" s="6"/>
    </row>
    <row r="256" spans="55:89" x14ac:dyDescent="0.2">
      <c r="BC256">
        <v>4.4331363000655717</v>
      </c>
      <c r="BD256">
        <v>111.06139956072165</v>
      </c>
      <c r="BE256">
        <v>-51.912905847515923</v>
      </c>
      <c r="BF256" s="6">
        <f t="shared" si="212"/>
        <v>5.8459353791377717</v>
      </c>
      <c r="BG256" s="6">
        <f t="shared" si="213"/>
        <v>1.4127990790722</v>
      </c>
      <c r="BH256" s="6">
        <f t="shared" si="214"/>
        <v>0.10569576616587639</v>
      </c>
      <c r="BI256" s="6">
        <f t="shared" si="215"/>
        <v>0.10569576616587639</v>
      </c>
      <c r="BJ256">
        <v>123.40155506746851</v>
      </c>
      <c r="BK256">
        <v>-57.681006497239913</v>
      </c>
      <c r="BV256" s="38"/>
      <c r="BW256" s="6">
        <f t="shared" si="216"/>
        <v>4.2062434973063114</v>
      </c>
      <c r="BX256" s="9">
        <f t="shared" ca="1" si="217"/>
        <v>-13.879111488541696</v>
      </c>
      <c r="BY256" s="9">
        <f t="shared" ca="1" si="218"/>
        <v>-10.19779290915988</v>
      </c>
      <c r="BZ256" s="9">
        <f t="shared" ca="1" si="219"/>
        <v>110.01656956827948</v>
      </c>
      <c r="CA256" s="6">
        <f t="shared" ca="1" si="220"/>
        <v>-51.496353261433597</v>
      </c>
      <c r="CB256" s="6">
        <f t="shared" ca="1" si="221"/>
        <v>-0.43778560425498264</v>
      </c>
      <c r="CC256" s="6">
        <f t="shared" ca="1" si="222"/>
        <v>-1.2592007026306307E-2</v>
      </c>
      <c r="CD256" s="9">
        <f t="shared" si="223"/>
        <v>97.816569568279476</v>
      </c>
      <c r="CE256" s="9">
        <f t="shared" si="224"/>
        <v>-47.296353261433595</v>
      </c>
      <c r="CF256" s="6">
        <f t="shared" si="225"/>
        <v>-0.45037761128128895</v>
      </c>
      <c r="CG256" s="6"/>
      <c r="CH256" s="6"/>
      <c r="CI256" s="6"/>
      <c r="CJ256" s="1"/>
      <c r="CK256" s="6"/>
    </row>
    <row r="257" spans="55:89" x14ac:dyDescent="0.2">
      <c r="BC257">
        <v>4.4505895925855148</v>
      </c>
      <c r="BD257">
        <v>111.18971247918478</v>
      </c>
      <c r="BE257">
        <v>-51.948472650127684</v>
      </c>
      <c r="BF257" s="6">
        <f t="shared" si="212"/>
        <v>5.8461155635710362</v>
      </c>
      <c r="BG257" s="6">
        <f t="shared" si="213"/>
        <v>1.3955259709855214</v>
      </c>
      <c r="BH257" s="6">
        <f t="shared" si="214"/>
        <v>0.10551558173261189</v>
      </c>
      <c r="BI257" s="6">
        <f t="shared" si="215"/>
        <v>0.10551558173261189</v>
      </c>
      <c r="BJ257">
        <v>123.54412497687197</v>
      </c>
      <c r="BK257">
        <v>-57.720525166808535</v>
      </c>
      <c r="BV257" s="38"/>
      <c r="BW257" s="6">
        <f t="shared" si="216"/>
        <v>4.2236967898262545</v>
      </c>
      <c r="BX257" s="9">
        <f t="shared" ca="1" si="217"/>
        <v>-13.82282133953116</v>
      </c>
      <c r="BY257" s="9">
        <f t="shared" ca="1" si="218"/>
        <v>-10.228352360648991</v>
      </c>
      <c r="BZ257" s="9">
        <f t="shared" ca="1" si="219"/>
        <v>110.07285971729002</v>
      </c>
      <c r="CA257" s="6">
        <f t="shared" ca="1" si="220"/>
        <v>-51.526912712922709</v>
      </c>
      <c r="CB257" s="6">
        <f t="shared" ca="1" si="221"/>
        <v>-0.43781698674025094</v>
      </c>
      <c r="CC257" s="6">
        <f t="shared" ca="1" si="222"/>
        <v>-1.2588300002843611E-2</v>
      </c>
      <c r="CD257" s="9">
        <f t="shared" si="223"/>
        <v>97.872859717290012</v>
      </c>
      <c r="CE257" s="9">
        <f t="shared" si="224"/>
        <v>-47.326912712922706</v>
      </c>
      <c r="CF257" s="6">
        <f t="shared" si="225"/>
        <v>-0.45040528674309455</v>
      </c>
      <c r="CG257" s="6"/>
      <c r="CH257" s="6"/>
      <c r="CI257" s="6"/>
      <c r="CJ257" s="1"/>
      <c r="CK257" s="6"/>
    </row>
    <row r="258" spans="55:89" x14ac:dyDescent="0.2">
      <c r="BC258">
        <v>4.4680428851054579</v>
      </c>
      <c r="BD258">
        <v>111.33088296425019</v>
      </c>
      <c r="BE258">
        <v>-51.984961121014344</v>
      </c>
      <c r="BF258" s="6">
        <f t="shared" si="212"/>
        <v>5.8463328435031654</v>
      </c>
      <c r="BG258" s="6">
        <f t="shared" si="213"/>
        <v>1.3782899583977075</v>
      </c>
      <c r="BH258" s="6">
        <f t="shared" si="214"/>
        <v>0.10529830180048273</v>
      </c>
      <c r="BI258" s="6">
        <f t="shared" si="215"/>
        <v>0.10529830180048273</v>
      </c>
      <c r="BJ258">
        <v>123.70098107138909</v>
      </c>
      <c r="BK258">
        <v>-57.761067912238161</v>
      </c>
      <c r="BV258" s="38"/>
      <c r="BW258" s="6">
        <f t="shared" si="216"/>
        <v>4.2411500823461976</v>
      </c>
      <c r="BX258" s="9">
        <f t="shared" ca="1" si="217"/>
        <v>-13.763962839028281</v>
      </c>
      <c r="BY258" s="9">
        <f t="shared" ca="1" si="218"/>
        <v>-10.258988167937027</v>
      </c>
      <c r="BZ258" s="9">
        <f t="shared" ca="1" si="219"/>
        <v>110.13171821779289</v>
      </c>
      <c r="CA258" s="6">
        <f t="shared" ca="1" si="220"/>
        <v>-51.557548520210744</v>
      </c>
      <c r="CB258" s="6">
        <f t="shared" ca="1" si="221"/>
        <v>-0.43783994982783625</v>
      </c>
      <c r="CC258" s="6">
        <f t="shared" ca="1" si="222"/>
        <v>-1.2583332887180942E-2</v>
      </c>
      <c r="CD258" s="9">
        <f t="shared" si="223"/>
        <v>97.931718217792891</v>
      </c>
      <c r="CE258" s="9">
        <f t="shared" si="224"/>
        <v>-47.357548520210742</v>
      </c>
      <c r="CF258" s="6">
        <f t="shared" si="225"/>
        <v>-0.45042328271501719</v>
      </c>
      <c r="CG258" s="6"/>
      <c r="CH258" s="6"/>
      <c r="CI258" s="6"/>
      <c r="CJ258" s="1"/>
      <c r="CK258" s="6"/>
    </row>
    <row r="259" spans="55:89" x14ac:dyDescent="0.2">
      <c r="BC259">
        <v>4.485496177625401</v>
      </c>
      <c r="BD259">
        <v>111.48736703130508</v>
      </c>
      <c r="BE259">
        <v>-52.022504875511743</v>
      </c>
      <c r="BF259" s="6">
        <f t="shared" ref="BF259:BF322" si="226">IF(BC259&lt;&gt;"",IF(AND(BD259=0,BE259=0),0,MOD(ATAN2(BD259,BE259),2*PI())),NA())</f>
        <v>5.8465944828670144</v>
      </c>
      <c r="BG259" s="6">
        <f t="shared" ref="BG259:BG322" si="227">ABS(BC259-BF259)</f>
        <v>1.3610983052416135</v>
      </c>
      <c r="BH259" s="6">
        <f t="shared" ref="BH259:BH322" si="228">ATAN2(COS($U$13-BF259),SIN($U$13-BF259))</f>
        <v>0.10503666243663368</v>
      </c>
      <c r="BI259" s="6">
        <f t="shared" ref="BI259:BI322" si="229">ABS(BH259)</f>
        <v>0.10503666243663368</v>
      </c>
      <c r="BJ259">
        <v>123.87485225700564</v>
      </c>
      <c r="BK259">
        <v>-57.802783195013049</v>
      </c>
      <c r="BV259" s="38"/>
      <c r="BW259" s="6">
        <f t="shared" si="216"/>
        <v>4.2586033748661407</v>
      </c>
      <c r="BX259" s="9">
        <f t="shared" ca="1" si="217"/>
        <v>-13.70227463848839</v>
      </c>
      <c r="BY259" s="9">
        <f t="shared" ca="1" si="218"/>
        <v>-10.289740349084887</v>
      </c>
      <c r="BZ259" s="9">
        <f t="shared" ca="1" si="219"/>
        <v>110.19340641833278</v>
      </c>
      <c r="CA259" s="6">
        <f t="shared" ca="1" si="220"/>
        <v>-51.588300701358605</v>
      </c>
      <c r="CB259" s="6">
        <f t="shared" ca="1" si="221"/>
        <v>-0.43785389307966371</v>
      </c>
      <c r="CC259" s="6">
        <f t="shared" ca="1" si="222"/>
        <v>-1.2577008340065754E-2</v>
      </c>
      <c r="CD259" s="9">
        <f t="shared" si="223"/>
        <v>97.993406418332782</v>
      </c>
      <c r="CE259" s="9">
        <f t="shared" si="224"/>
        <v>-47.388300701358602</v>
      </c>
      <c r="CF259" s="6">
        <f t="shared" si="225"/>
        <v>-0.45043090141972947</v>
      </c>
      <c r="CG259" s="6"/>
      <c r="CH259" s="6"/>
      <c r="CI259" s="6"/>
      <c r="CJ259" s="1"/>
      <c r="CK259" s="6"/>
    </row>
    <row r="260" spans="55:89" x14ac:dyDescent="0.2">
      <c r="BC260">
        <v>4.5029494701453441</v>
      </c>
      <c r="BD260">
        <v>111.66232344917073</v>
      </c>
      <c r="BE260">
        <v>-52.06126178910236</v>
      </c>
      <c r="BF260" s="6">
        <f t="shared" si="226"/>
        <v>5.8469098930029864</v>
      </c>
      <c r="BG260" s="6">
        <f t="shared" si="227"/>
        <v>1.3439604228576423</v>
      </c>
      <c r="BH260" s="6">
        <f t="shared" si="228"/>
        <v>0.10472125230066177</v>
      </c>
      <c r="BI260" s="6">
        <f t="shared" si="229"/>
        <v>0.10472125230066177</v>
      </c>
      <c r="BJ260">
        <v>124.06924827685636</v>
      </c>
      <c r="BK260">
        <v>-57.845846432335954</v>
      </c>
      <c r="BV260" s="38"/>
      <c r="BW260" s="6">
        <f t="shared" si="216"/>
        <v>4.2760566673860838</v>
      </c>
      <c r="BX260" s="9">
        <f t="shared" ca="1" si="217"/>
        <v>-13.637459594055386</v>
      </c>
      <c r="BY260" s="9">
        <f t="shared" ca="1" si="218"/>
        <v>-10.320650631414772</v>
      </c>
      <c r="BZ260" s="9">
        <f t="shared" ca="1" si="219"/>
        <v>110.25822146276579</v>
      </c>
      <c r="CA260" s="6">
        <f t="shared" ca="1" si="220"/>
        <v>-51.61921098368849</v>
      </c>
      <c r="CB260" s="6">
        <f t="shared" ca="1" si="221"/>
        <v>-0.43785810645066237</v>
      </c>
      <c r="CC260" s="6">
        <f t="shared" ca="1" si="222"/>
        <v>-1.2569212788744566E-2</v>
      </c>
      <c r="CD260" s="9">
        <f t="shared" si="223"/>
        <v>98.058221462765786</v>
      </c>
      <c r="CE260" s="9">
        <f t="shared" si="224"/>
        <v>-47.419210983688487</v>
      </c>
      <c r="CF260" s="6">
        <f t="shared" si="225"/>
        <v>-0.45042731923940693</v>
      </c>
      <c r="CG260" s="6"/>
      <c r="CH260" s="6"/>
      <c r="CI260" s="6"/>
      <c r="CJ260" s="1"/>
      <c r="CK260" s="6"/>
    </row>
    <row r="261" spans="55:89" x14ac:dyDescent="0.2">
      <c r="BC261">
        <v>4.5204027626652872</v>
      </c>
      <c r="BD261">
        <v>111.85989542554348</v>
      </c>
      <c r="BE261">
        <v>-52.101421329833094</v>
      </c>
      <c r="BF261" s="6">
        <f t="shared" si="226"/>
        <v>5.8472914978099837</v>
      </c>
      <c r="BG261" s="6">
        <f t="shared" si="227"/>
        <v>1.3268887351446965</v>
      </c>
      <c r="BH261" s="6">
        <f t="shared" si="228"/>
        <v>0.10433964749366442</v>
      </c>
      <c r="BI261" s="6">
        <f t="shared" si="229"/>
        <v>0.10433964749366442</v>
      </c>
      <c r="BJ261">
        <v>124.28877269504831</v>
      </c>
      <c r="BK261">
        <v>-57.890468144258989</v>
      </c>
      <c r="BV261" s="38"/>
      <c r="BW261" s="6">
        <f t="shared" si="216"/>
        <v>4.2935099599060269</v>
      </c>
      <c r="BX261" s="9">
        <f t="shared" ca="1" si="217"/>
        <v>-13.569178076502638</v>
      </c>
      <c r="BY261" s="9">
        <f t="shared" ca="1" si="218"/>
        <v>-10.351762852094446</v>
      </c>
      <c r="BZ261" s="9">
        <f t="shared" ca="1" si="219"/>
        <v>110.32650298031854</v>
      </c>
      <c r="CA261" s="6">
        <f t="shared" ca="1" si="220"/>
        <v>-51.650323204368163</v>
      </c>
      <c r="CB261" s="6">
        <f t="shared" ca="1" si="221"/>
        <v>-0.43785175065641857</v>
      </c>
      <c r="CC261" s="6">
        <f t="shared" ca="1" si="222"/>
        <v>-1.2559813526847929E-2</v>
      </c>
      <c r="CD261" s="9">
        <f t="shared" si="223"/>
        <v>98.126502980318534</v>
      </c>
      <c r="CE261" s="9">
        <f t="shared" si="224"/>
        <v>-47.450323204368161</v>
      </c>
      <c r="CF261" s="6">
        <f t="shared" si="225"/>
        <v>-0.4504115641832665</v>
      </c>
      <c r="CG261" s="6"/>
      <c r="CH261" s="6"/>
      <c r="CI261" s="6"/>
      <c r="CJ261" s="1"/>
      <c r="CK261" s="6"/>
    </row>
    <row r="262" spans="55:89" x14ac:dyDescent="0.2">
      <c r="BC262">
        <v>4.5378560551852303</v>
      </c>
      <c r="BD262">
        <v>112.08564377679016</v>
      </c>
      <c r="BE262">
        <v>-52.143214961403601</v>
      </c>
      <c r="BF262" s="6">
        <f t="shared" si="226"/>
        <v>5.8477560637143489</v>
      </c>
      <c r="BG262" s="6">
        <f t="shared" si="227"/>
        <v>1.3099000085291186</v>
      </c>
      <c r="BH262" s="6">
        <f t="shared" si="228"/>
        <v>0.10387508158929927</v>
      </c>
      <c r="BI262" s="6">
        <f t="shared" si="229"/>
        <v>0.10387508158929927</v>
      </c>
      <c r="BJ262">
        <v>124.53960419643352</v>
      </c>
      <c r="BK262">
        <v>-57.936905512670663</v>
      </c>
      <c r="BV262" s="38"/>
      <c r="BW262" s="6">
        <f t="shared" si="216"/>
        <v>4.31096325242597</v>
      </c>
      <c r="BX262" s="9">
        <f t="shared" ca="1" si="217"/>
        <v>-13.497039698608845</v>
      </c>
      <c r="BY262" s="9">
        <f t="shared" ca="1" si="218"/>
        <v>-10.383123419327276</v>
      </c>
      <c r="BZ262" s="9">
        <f t="shared" ca="1" si="219"/>
        <v>110.39864135821233</v>
      </c>
      <c r="CA262" s="6">
        <f t="shared" ca="1" si="220"/>
        <v>-51.681683771600994</v>
      </c>
      <c r="CB262" s="6">
        <f t="shared" ca="1" si="221"/>
        <v>-0.43783383268544823</v>
      </c>
      <c r="CC262" s="6">
        <f t="shared" ca="1" si="222"/>
        <v>-1.2548655111725149E-2</v>
      </c>
      <c r="CD262" s="9">
        <f t="shared" si="223"/>
        <v>98.198641358212328</v>
      </c>
      <c r="CE262" s="9">
        <f t="shared" si="224"/>
        <v>-47.481683771600991</v>
      </c>
      <c r="CF262" s="6">
        <f t="shared" si="225"/>
        <v>-0.45038248779717338</v>
      </c>
      <c r="CG262" s="6"/>
      <c r="CH262" s="6"/>
      <c r="CI262" s="6"/>
      <c r="CJ262" s="1"/>
      <c r="CK262" s="6"/>
    </row>
    <row r="263" spans="55:89" x14ac:dyDescent="0.2">
      <c r="BC263">
        <v>4.5553093477051734</v>
      </c>
      <c r="BD263">
        <v>112.34723834107383</v>
      </c>
      <c r="BE263">
        <v>-52.186931357493172</v>
      </c>
      <c r="BF263" s="6">
        <f t="shared" si="226"/>
        <v>5.8483268203768439</v>
      </c>
      <c r="BG263" s="6">
        <f t="shared" si="227"/>
        <v>1.2930174726716706</v>
      </c>
      <c r="BH263" s="6">
        <f t="shared" si="228"/>
        <v>0.10330432492680419</v>
      </c>
      <c r="BI263" s="6">
        <f t="shared" si="229"/>
        <v>0.10330432492680419</v>
      </c>
      <c r="BJ263">
        <v>124.83026482341536</v>
      </c>
      <c r="BK263">
        <v>-57.985479286103526</v>
      </c>
      <c r="BV263" s="38"/>
      <c r="BW263" s="6">
        <f t="shared" si="216"/>
        <v>4.3284165449459131</v>
      </c>
      <c r="BX263" s="9">
        <f t="shared" ca="1" si="217"/>
        <v>-13.42059300629812</v>
      </c>
      <c r="BY263" s="9">
        <f t="shared" ca="1" si="218"/>
        <v>-10.414781855089061</v>
      </c>
      <c r="BZ263" s="9">
        <f t="shared" ca="1" si="219"/>
        <v>110.47508805052306</v>
      </c>
      <c r="CA263" s="6">
        <f t="shared" ca="1" si="220"/>
        <v>-51.713342207362778</v>
      </c>
      <c r="CB263" s="6">
        <f t="shared" ca="1" si="221"/>
        <v>-0.43780317510528255</v>
      </c>
      <c r="CC263" s="6">
        <f t="shared" ca="1" si="222"/>
        <v>-1.253555486470509E-2</v>
      </c>
      <c r="CD263" s="9">
        <f t="shared" si="223"/>
        <v>98.275088050523053</v>
      </c>
      <c r="CE263" s="9">
        <f t="shared" si="224"/>
        <v>-47.513342207362776</v>
      </c>
      <c r="CF263" s="6">
        <f t="shared" si="225"/>
        <v>-0.45033872996998764</v>
      </c>
      <c r="CG263" s="6"/>
      <c r="CH263" s="6"/>
      <c r="CI263" s="6"/>
      <c r="CJ263" s="1"/>
      <c r="CK263" s="6"/>
    </row>
    <row r="264" spans="55:89" x14ac:dyDescent="0.2">
      <c r="BC264">
        <v>4.5727626402251165</v>
      </c>
      <c r="BD264">
        <v>112.65561179982302</v>
      </c>
      <c r="BE264">
        <v>-52.232939480707479</v>
      </c>
      <c r="BF264" s="6">
        <f t="shared" si="226"/>
        <v>5.8490369930595616</v>
      </c>
      <c r="BG264" s="6">
        <f t="shared" si="227"/>
        <v>1.2762743528344451</v>
      </c>
      <c r="BH264" s="6">
        <f t="shared" si="228"/>
        <v>0.10259415224408652</v>
      </c>
      <c r="BI264" s="6">
        <f t="shared" si="229"/>
        <v>0.10259415224408652</v>
      </c>
      <c r="BJ264">
        <v>125.17290199980336</v>
      </c>
      <c r="BK264">
        <v>-58.036599423008312</v>
      </c>
      <c r="BV264" s="38"/>
      <c r="BW264" s="6">
        <f t="shared" si="216"/>
        <v>4.3458698374658562</v>
      </c>
      <c r="BX264" s="9">
        <f t="shared" ca="1" si="217"/>
        <v>-13.339312490423893</v>
      </c>
      <c r="BY264" s="9">
        <f t="shared" ca="1" si="218"/>
        <v>-10.446791431601227</v>
      </c>
      <c r="BZ264" s="9">
        <f t="shared" ca="1" si="219"/>
        <v>110.55636856639728</v>
      </c>
      <c r="CA264" s="6">
        <f t="shared" ca="1" si="220"/>
        <v>-51.745351783874945</v>
      </c>
      <c r="CB264" s="6">
        <f t="shared" ca="1" si="221"/>
        <v>-0.43775837711712318</v>
      </c>
      <c r="CC264" s="6">
        <f t="shared" ca="1" si="222"/>
        <v>-1.2520297183905181E-2</v>
      </c>
      <c r="CD264" s="9">
        <f t="shared" si="223"/>
        <v>98.356368566397279</v>
      </c>
      <c r="CE264" s="9">
        <f t="shared" si="224"/>
        <v>-47.545351783874942</v>
      </c>
      <c r="CF264" s="6">
        <f t="shared" si="225"/>
        <v>-0.45027867430102836</v>
      </c>
      <c r="CG264" s="6"/>
      <c r="CH264" s="6"/>
      <c r="CI264" s="6"/>
      <c r="CJ264" s="1"/>
      <c r="CK264" s="6"/>
    </row>
    <row r="265" spans="55:89" x14ac:dyDescent="0.2">
      <c r="BC265">
        <v>4.5902159327450596</v>
      </c>
      <c r="BD265">
        <v>113.02699230145662</v>
      </c>
      <c r="BE265">
        <v>-52.281725147686238</v>
      </c>
      <c r="BF265" s="6">
        <f t="shared" si="226"/>
        <v>5.8499360071876083</v>
      </c>
      <c r="BG265" s="6">
        <f t="shared" si="227"/>
        <v>1.2597200744425487</v>
      </c>
      <c r="BH265" s="6">
        <f t="shared" si="228"/>
        <v>0.10169513811603981</v>
      </c>
      <c r="BI265" s="6">
        <f t="shared" si="229"/>
        <v>0.10169513811603981</v>
      </c>
      <c r="BJ265">
        <v>125.58554700161847</v>
      </c>
      <c r="BK265">
        <v>-58.090805719651371</v>
      </c>
      <c r="BV265" s="38"/>
      <c r="BW265" s="6">
        <f t="shared" si="216"/>
        <v>4.3633231299857993</v>
      </c>
      <c r="BX265" s="9">
        <f t="shared" ca="1" si="217"/>
        <v>-13.252582082851617</v>
      </c>
      <c r="BY265" s="9">
        <f t="shared" ca="1" si="218"/>
        <v>-10.479209940272554</v>
      </c>
      <c r="BZ265" s="9">
        <f t="shared" ca="1" si="219"/>
        <v>110.64309897396956</v>
      </c>
      <c r="CA265" s="6">
        <f t="shared" ca="1" si="220"/>
        <v>-51.777770292546272</v>
      </c>
      <c r="CB265" s="6">
        <f t="shared" ca="1" si="221"/>
        <v>-0.43769776488291773</v>
      </c>
      <c r="CC265" s="6">
        <f t="shared" ca="1" si="222"/>
        <v>-1.2502626314608245E-2</v>
      </c>
      <c r="CD265" s="9">
        <f t="shared" si="223"/>
        <v>98.443098973969555</v>
      </c>
      <c r="CE265" s="9">
        <f t="shared" si="224"/>
        <v>-47.577770292546269</v>
      </c>
      <c r="CF265" s="6">
        <f t="shared" si="225"/>
        <v>-0.45020039119752597</v>
      </c>
      <c r="CG265" s="6"/>
      <c r="CH265" s="6"/>
      <c r="CI265" s="6"/>
      <c r="CJ265" s="1"/>
      <c r="CK265" s="6"/>
    </row>
    <row r="266" spans="55:89" x14ac:dyDescent="0.2">
      <c r="BC266">
        <v>4.6076692252650027</v>
      </c>
      <c r="BD266">
        <v>113.48673390560805</v>
      </c>
      <c r="BE266">
        <v>-52.333952233703855</v>
      </c>
      <c r="BF266" s="6">
        <f t="shared" si="226"/>
        <v>5.8511011298102957</v>
      </c>
      <c r="BG266" s="6">
        <f t="shared" si="227"/>
        <v>1.2434319045452931</v>
      </c>
      <c r="BH266" s="6">
        <f t="shared" si="228"/>
        <v>0.10053001549335239</v>
      </c>
      <c r="BI266" s="6">
        <f t="shared" si="229"/>
        <v>0.10053001549335239</v>
      </c>
      <c r="BJ266">
        <v>126.09637100623117</v>
      </c>
      <c r="BK266">
        <v>-58.148835815226505</v>
      </c>
      <c r="BV266" s="38"/>
      <c r="BW266" s="6">
        <f t="shared" si="216"/>
        <v>4.3807764225057424</v>
      </c>
      <c r="BX266" s="9">
        <f t="shared" ca="1" si="217"/>
        <v>-13.159673914417013</v>
      </c>
      <c r="BY266" s="9">
        <f t="shared" ca="1" si="218"/>
        <v>-10.512100613671628</v>
      </c>
      <c r="BZ266" s="9">
        <f t="shared" ca="1" si="219"/>
        <v>110.73600714240416</v>
      </c>
      <c r="CA266" s="6">
        <f t="shared" ca="1" si="220"/>
        <v>-51.810660965945345</v>
      </c>
      <c r="CB266" s="6">
        <f t="shared" ca="1" si="221"/>
        <v>-0.43761932723707891</v>
      </c>
      <c r="CC266" s="6">
        <f t="shared" ca="1" si="222"/>
        <v>-1.248223702822121E-2</v>
      </c>
      <c r="CD266" s="9">
        <f t="shared" si="223"/>
        <v>98.536007142404159</v>
      </c>
      <c r="CE266" s="9">
        <f t="shared" si="224"/>
        <v>-47.610660965945343</v>
      </c>
      <c r="CF266" s="6">
        <f t="shared" si="225"/>
        <v>-0.45010156426530012</v>
      </c>
      <c r="CG266" s="6"/>
      <c r="CH266" s="6"/>
      <c r="CI266" s="6"/>
      <c r="CJ266" s="1"/>
      <c r="CK266" s="6"/>
    </row>
    <row r="267" spans="55:89" x14ac:dyDescent="0.2">
      <c r="BC267">
        <v>4.6251225177849458</v>
      </c>
      <c r="BD267">
        <v>114.07718743434334</v>
      </c>
      <c r="BE267">
        <v>-52.390572475251027</v>
      </c>
      <c r="BF267" s="6">
        <f t="shared" si="226"/>
        <v>5.8526612405786107</v>
      </c>
      <c r="BG267" s="6">
        <f t="shared" si="227"/>
        <v>1.2275387227936649</v>
      </c>
      <c r="BH267" s="6">
        <f t="shared" si="228"/>
        <v>9.8969904725037416E-2</v>
      </c>
      <c r="BI267" s="6">
        <f t="shared" si="229"/>
        <v>9.8969904725037416E-2</v>
      </c>
      <c r="BJ267">
        <v>126.75243048260371</v>
      </c>
      <c r="BK267">
        <v>-58.211747194723358</v>
      </c>
      <c r="BV267" s="38"/>
      <c r="BW267" s="6">
        <f t="shared" si="216"/>
        <v>4.3982297150256855</v>
      </c>
      <c r="BX267" s="9">
        <f t="shared" ca="1" si="217"/>
        <v>-13.059720678510473</v>
      </c>
      <c r="BY267" s="9">
        <f t="shared" ca="1" si="218"/>
        <v>-10.545533263470013</v>
      </c>
      <c r="BZ267" s="9">
        <f t="shared" ca="1" si="219"/>
        <v>110.8359603783107</v>
      </c>
      <c r="CA267" s="6">
        <f t="shared" ca="1" si="220"/>
        <v>-51.844093615743731</v>
      </c>
      <c r="CB267" s="6">
        <f t="shared" ca="1" si="221"/>
        <v>-0.43752063180193168</v>
      </c>
      <c r="CC267" s="6">
        <f t="shared" ca="1" si="222"/>
        <v>-1.2458762502059073E-2</v>
      </c>
      <c r="CD267" s="9">
        <f t="shared" si="223"/>
        <v>98.635960378310699</v>
      </c>
      <c r="CE267" s="9">
        <f t="shared" si="224"/>
        <v>-47.644093615743728</v>
      </c>
      <c r="CF267" s="6">
        <f t="shared" si="225"/>
        <v>-0.44997939430399075</v>
      </c>
      <c r="CG267" s="6"/>
      <c r="CH267" s="6"/>
      <c r="CI267" s="6"/>
      <c r="CJ267" s="1"/>
      <c r="CK267" s="6"/>
    </row>
    <row r="268" spans="55:89" x14ac:dyDescent="0.2">
      <c r="BC268">
        <v>4.6425758103048889</v>
      </c>
      <c r="BD268">
        <v>114.87585713988472</v>
      </c>
      <c r="BE268">
        <v>-52.453041535217181</v>
      </c>
      <c r="BF268" s="6">
        <f t="shared" si="226"/>
        <v>5.8548511692657108</v>
      </c>
      <c r="BG268" s="6">
        <f t="shared" si="227"/>
        <v>1.2122753589608219</v>
      </c>
      <c r="BH268" s="6">
        <f t="shared" si="228"/>
        <v>9.677997603793731E-2</v>
      </c>
      <c r="BI268" s="6">
        <f t="shared" si="229"/>
        <v>9.677997603793731E-2</v>
      </c>
      <c r="BJ268">
        <v>127.63984126653857</v>
      </c>
      <c r="BK268">
        <v>-58.281157261352419</v>
      </c>
      <c r="BV268" s="38"/>
      <c r="BW268" s="6">
        <f t="shared" si="216"/>
        <v>4.4156830075456286</v>
      </c>
      <c r="BX268" s="9">
        <f t="shared" ca="1" si="217"/>
        <v>-12.951679176394379</v>
      </c>
      <c r="BY268" s="9">
        <f t="shared" ca="1" si="218"/>
        <v>-10.579585696925037</v>
      </c>
      <c r="BZ268" s="9">
        <f t="shared" ca="1" si="219"/>
        <v>110.9440018804268</v>
      </c>
      <c r="CA268" s="6">
        <f t="shared" ca="1" si="220"/>
        <v>-51.878146049198754</v>
      </c>
      <c r="CB268" s="6">
        <f t="shared" ca="1" si="221"/>
        <v>-0.43739871401110897</v>
      </c>
      <c r="CC268" s="6">
        <f t="shared" ca="1" si="222"/>
        <v>-1.2431758343122377E-2</v>
      </c>
      <c r="CD268" s="9">
        <f t="shared" si="223"/>
        <v>98.744001880426794</v>
      </c>
      <c r="CE268" s="9">
        <f t="shared" si="224"/>
        <v>-47.678146049198752</v>
      </c>
      <c r="CF268" s="6">
        <f t="shared" si="225"/>
        <v>-0.44983047235423135</v>
      </c>
      <c r="CG268" s="6"/>
      <c r="CH268" s="6"/>
      <c r="CI268" s="6"/>
      <c r="CJ268" s="1"/>
      <c r="CK268" s="6"/>
    </row>
    <row r="269" spans="55:89" x14ac:dyDescent="0.2">
      <c r="BC269">
        <v>4.660029102824832</v>
      </c>
      <c r="BD269">
        <v>116.04475680869501</v>
      </c>
      <c r="BE269">
        <v>-52.523803026521158</v>
      </c>
      <c r="BF269" s="6">
        <f t="shared" si="226"/>
        <v>5.8581574050555973</v>
      </c>
      <c r="BG269" s="6">
        <f t="shared" si="227"/>
        <v>1.1981283022307654</v>
      </c>
      <c r="BH269" s="6">
        <f t="shared" si="228"/>
        <v>9.3473740248050788E-2</v>
      </c>
      <c r="BI269" s="6">
        <f t="shared" si="229"/>
        <v>9.3473740248050788E-2</v>
      </c>
      <c r="BJ269">
        <v>128.93861867632779</v>
      </c>
      <c r="BK269">
        <v>-58.359781140579059</v>
      </c>
      <c r="BV269" s="38"/>
      <c r="BW269" s="6">
        <f t="shared" si="216"/>
        <v>4.4331363000655717</v>
      </c>
      <c r="BX269" s="9">
        <f t="shared" ca="1" si="217"/>
        <v>-12.834281496099521</v>
      </c>
      <c r="BY269" s="9">
        <f t="shared" ca="1" si="218"/>
        <v>-10.614345495242205</v>
      </c>
      <c r="BZ269" s="9">
        <f t="shared" ca="1" si="219"/>
        <v>111.06139956072165</v>
      </c>
      <c r="CA269" s="6">
        <f t="shared" ca="1" si="220"/>
        <v>-51.912905847515923</v>
      </c>
      <c r="CB269" s="6">
        <f t="shared" ca="1" si="221"/>
        <v>-0.43724992804181473</v>
      </c>
      <c r="CC269" s="6">
        <f t="shared" ca="1" si="222"/>
        <v>-1.2400681211212905E-2</v>
      </c>
      <c r="CD269" s="9">
        <f t="shared" si="223"/>
        <v>98.861399560721651</v>
      </c>
      <c r="CE269" s="9">
        <f t="shared" si="224"/>
        <v>-47.71290584751592</v>
      </c>
      <c r="CF269" s="6">
        <f t="shared" si="225"/>
        <v>-0.44965060925302763</v>
      </c>
      <c r="CG269" s="6"/>
      <c r="CH269" s="6"/>
      <c r="CI269" s="6"/>
      <c r="CJ269" s="1"/>
      <c r="CK269" s="6"/>
    </row>
    <row r="270" spans="55:89" x14ac:dyDescent="0.2">
      <c r="BC270">
        <v>4.6774823953447751</v>
      </c>
      <c r="BD270">
        <v>118.00381540404253</v>
      </c>
      <c r="BE270">
        <v>-52.6076113605167</v>
      </c>
      <c r="BF270" s="6">
        <f t="shared" si="226"/>
        <v>5.8638189106332907</v>
      </c>
      <c r="BG270" s="6">
        <f t="shared" si="227"/>
        <v>1.1863365152885157</v>
      </c>
      <c r="BH270" s="6">
        <f t="shared" si="228"/>
        <v>8.7812234670357384E-2</v>
      </c>
      <c r="BI270" s="6">
        <f t="shared" si="229"/>
        <v>8.7812234670357384E-2</v>
      </c>
      <c r="BJ270">
        <v>131.11535044893614</v>
      </c>
      <c r="BK270">
        <v>-58.452901511685219</v>
      </c>
      <c r="BV270" s="38"/>
      <c r="BW270" s="6">
        <f t="shared" si="216"/>
        <v>4.4505895925855148</v>
      </c>
      <c r="BX270" s="9">
        <f t="shared" ca="1" si="217"/>
        <v>-12.705968577636398</v>
      </c>
      <c r="BY270" s="9">
        <f t="shared" ca="1" si="218"/>
        <v>-10.649912297853966</v>
      </c>
      <c r="BZ270" s="9">
        <f t="shared" ca="1" si="219"/>
        <v>111.18971247918478</v>
      </c>
      <c r="CA270" s="6">
        <f t="shared" ca="1" si="220"/>
        <v>-51.948472650127684</v>
      </c>
      <c r="CB270" s="6">
        <f t="shared" ca="1" si="221"/>
        <v>-0.43706974360854955</v>
      </c>
      <c r="CC270" s="6">
        <f t="shared" ca="1" si="222"/>
        <v>-1.2364859791336115E-2</v>
      </c>
      <c r="CD270" s="9">
        <f t="shared" si="223"/>
        <v>98.989712479184774</v>
      </c>
      <c r="CE270" s="9">
        <f t="shared" si="224"/>
        <v>-47.748472650127681</v>
      </c>
      <c r="CF270" s="6">
        <f t="shared" si="225"/>
        <v>-0.44943460339988567</v>
      </c>
      <c r="CG270" s="6"/>
      <c r="CH270" s="6"/>
      <c r="CI270" s="6"/>
      <c r="CJ270" s="1"/>
      <c r="CK270" s="6"/>
    </row>
    <row r="271" spans="55:89" x14ac:dyDescent="0.2">
      <c r="BC271">
        <v>4.6949356878647182</v>
      </c>
      <c r="BD271">
        <v>121.92341953730903</v>
      </c>
      <c r="BE271">
        <v>-52.709106782148517</v>
      </c>
      <c r="BF271" s="6">
        <f t="shared" si="226"/>
        <v>5.8751366349171148</v>
      </c>
      <c r="BG271" s="6">
        <f t="shared" si="227"/>
        <v>1.1802009470523966</v>
      </c>
      <c r="BH271" s="6">
        <f t="shared" si="228"/>
        <v>7.6494510386533321E-2</v>
      </c>
      <c r="BI271" s="6">
        <f t="shared" si="229"/>
        <v>7.6494510386533321E-2</v>
      </c>
      <c r="BJ271">
        <v>135.47046615256559</v>
      </c>
      <c r="BK271">
        <v>-58.565674202387243</v>
      </c>
      <c r="BV271" s="38"/>
      <c r="BW271" s="6">
        <f t="shared" si="216"/>
        <v>4.4680428851054579</v>
      </c>
      <c r="BX271" s="9">
        <f t="shared" ca="1" si="217"/>
        <v>-12.564798092570982</v>
      </c>
      <c r="BY271" s="9">
        <f t="shared" ca="1" si="218"/>
        <v>-10.686400768740626</v>
      </c>
      <c r="BZ271" s="9">
        <f t="shared" ca="1" si="219"/>
        <v>111.33088296425019</v>
      </c>
      <c r="CA271" s="6">
        <f t="shared" ca="1" si="220"/>
        <v>-51.984961121014344</v>
      </c>
      <c r="CB271" s="6">
        <f t="shared" ca="1" si="221"/>
        <v>-0.43685246367642094</v>
      </c>
      <c r="CC271" s="6">
        <f t="shared" ca="1" si="222"/>
        <v>-1.2323454637899189E-2</v>
      </c>
      <c r="CD271" s="9">
        <f t="shared" si="223"/>
        <v>99.130882964250191</v>
      </c>
      <c r="CE271" s="9">
        <f t="shared" si="224"/>
        <v>-47.784961121014341</v>
      </c>
      <c r="CF271" s="6">
        <f t="shared" si="225"/>
        <v>-0.44917591831432013</v>
      </c>
      <c r="CG271" s="6"/>
      <c r="CH271" s="6"/>
      <c r="CI271" s="6"/>
      <c r="CJ271" s="1"/>
      <c r="CK271" s="6"/>
    </row>
    <row r="272" spans="55:89" x14ac:dyDescent="0.2">
      <c r="BC272">
        <v>4.7123889803846613</v>
      </c>
      <c r="BD272">
        <v>127.97999999998912</v>
      </c>
      <c r="BE272">
        <v>-52.777837231704488</v>
      </c>
      <c r="BF272" s="6">
        <f t="shared" si="226"/>
        <v>5.8920426341529177</v>
      </c>
      <c r="BG272" s="6">
        <f t="shared" si="227"/>
        <v>1.1796536537682565</v>
      </c>
      <c r="BH272" s="6">
        <f t="shared" si="228"/>
        <v>5.9588511150730383E-2</v>
      </c>
      <c r="BI272" s="6">
        <f t="shared" si="229"/>
        <v>5.9588511150730383E-2</v>
      </c>
      <c r="BJ272">
        <v>142.19999999998791</v>
      </c>
      <c r="BK272">
        <v>-58.642041368560541</v>
      </c>
      <c r="BV272" s="38"/>
      <c r="BW272" s="6">
        <f t="shared" ref="BW272:BW335" si="230">BC259</f>
        <v>4.485496177625401</v>
      </c>
      <c r="BX272" s="9">
        <f t="shared" ref="BX272:BX335" ca="1" si="231">BD259-$BW$5</f>
        <v>-12.408314025516091</v>
      </c>
      <c r="BY272" s="9">
        <f t="shared" ref="BY272:BY335" ca="1" si="232">BE259-$BX$5</f>
        <v>-10.723944523238025</v>
      </c>
      <c r="BZ272" s="9">
        <f t="shared" ref="BZ272:BZ335" ca="1" si="233">BX272-$CE$5</f>
        <v>111.48736703130508</v>
      </c>
      <c r="CA272" s="6">
        <f t="shared" ref="CA272:CA335" ca="1" si="234">BY272-$CF$5</f>
        <v>-52.022504875511743</v>
      </c>
      <c r="CB272" s="6">
        <f t="shared" ref="CB272:CB335" ca="1" si="235">ATAN2(BZ272,CA272)</f>
        <v>-0.43659082431257196</v>
      </c>
      <c r="CC272" s="6">
        <f t="shared" ref="CC272:CC335" ca="1" si="236">ATAN2(COS(CF272-CB272),SIN(CF272-CB272))</f>
        <v>-1.227540150351869E-2</v>
      </c>
      <c r="CD272" s="9">
        <f t="shared" ref="CD272:CD335" si="237">BD259-$BW$6</f>
        <v>99.287367031305081</v>
      </c>
      <c r="CE272" s="9">
        <f t="shared" ref="CE272:CE335" si="238">BE259-$BX$6</f>
        <v>-47.82250487551174</v>
      </c>
      <c r="CF272" s="6">
        <f t="shared" ref="CF272:CF335" si="239">ATAN2(CD272,CE272)</f>
        <v>-0.44886622581609065</v>
      </c>
      <c r="CG272" s="6"/>
      <c r="CH272" s="6"/>
      <c r="CI272" s="6"/>
      <c r="CJ272" s="1"/>
      <c r="CK272" s="6"/>
    </row>
    <row r="273" spans="55:89" x14ac:dyDescent="0.2">
      <c r="BC273">
        <v>4.7298422729046044</v>
      </c>
      <c r="BD273">
        <v>134.03658046266909</v>
      </c>
      <c r="BE273">
        <v>-52.709106782092384</v>
      </c>
      <c r="BF273" s="6">
        <f t="shared" si="226"/>
        <v>5.908516435317746</v>
      </c>
      <c r="BG273" s="6">
        <f t="shared" si="227"/>
        <v>1.1786741624131416</v>
      </c>
      <c r="BH273" s="6">
        <f t="shared" si="228"/>
        <v>4.3114709985902173E-2</v>
      </c>
      <c r="BI273" s="6">
        <f t="shared" si="229"/>
        <v>4.3114709985902173E-2</v>
      </c>
      <c r="BJ273">
        <v>148.92953384741011</v>
      </c>
      <c r="BK273">
        <v>-58.565674202324871</v>
      </c>
      <c r="BV273" s="38"/>
      <c r="BW273" s="6">
        <f t="shared" si="230"/>
        <v>4.5029494701453441</v>
      </c>
      <c r="BX273" s="9">
        <f t="shared" ca="1" si="231"/>
        <v>-12.233357607650447</v>
      </c>
      <c r="BY273" s="9">
        <f t="shared" ca="1" si="232"/>
        <v>-10.762701436828642</v>
      </c>
      <c r="BZ273" s="9">
        <f t="shared" ca="1" si="233"/>
        <v>111.66232344917073</v>
      </c>
      <c r="CA273" s="6">
        <f t="shared" ca="1" si="234"/>
        <v>-52.06126178910236</v>
      </c>
      <c r="CB273" s="6">
        <f t="shared" ca="1" si="235"/>
        <v>-0.43627541417659998</v>
      </c>
      <c r="CC273" s="6">
        <f t="shared" ca="1" si="236"/>
        <v>-1.2219329510720189E-2</v>
      </c>
      <c r="CD273" s="9">
        <f t="shared" si="237"/>
        <v>99.462323449170725</v>
      </c>
      <c r="CE273" s="9">
        <f t="shared" si="238"/>
        <v>-47.861261789102358</v>
      </c>
      <c r="CF273" s="6">
        <f t="shared" si="239"/>
        <v>-0.44849474368732017</v>
      </c>
      <c r="CG273" s="6"/>
      <c r="CH273" s="6"/>
      <c r="CI273" s="6"/>
      <c r="CJ273" s="1"/>
      <c r="CK273" s="6"/>
    </row>
    <row r="274" spans="55:89" x14ac:dyDescent="0.2">
      <c r="BC274">
        <v>4.7472955654245474</v>
      </c>
      <c r="BD274">
        <v>137.95618459568311</v>
      </c>
      <c r="BE274">
        <v>-52.60761135995876</v>
      </c>
      <c r="BF274" s="6">
        <f t="shared" si="226"/>
        <v>5.9188716967897008</v>
      </c>
      <c r="BG274" s="6">
        <f t="shared" si="227"/>
        <v>1.1715761313651534</v>
      </c>
      <c r="BH274" s="6">
        <f t="shared" si="228"/>
        <v>3.2759448513947305E-2</v>
      </c>
      <c r="BI274" s="6">
        <f t="shared" si="229"/>
        <v>3.2759448513947305E-2</v>
      </c>
      <c r="BJ274">
        <v>153.28464955075901</v>
      </c>
      <c r="BK274">
        <v>-58.452901511065285</v>
      </c>
      <c r="BV274" s="38"/>
      <c r="BW274" s="6">
        <f t="shared" si="230"/>
        <v>4.5204027626652872</v>
      </c>
      <c r="BX274" s="9">
        <f t="shared" ca="1" si="231"/>
        <v>-12.03578563127769</v>
      </c>
      <c r="BY274" s="9">
        <f t="shared" ca="1" si="232"/>
        <v>-10.802860977559376</v>
      </c>
      <c r="BZ274" s="9">
        <f t="shared" ca="1" si="233"/>
        <v>111.85989542554348</v>
      </c>
      <c r="CA274" s="6">
        <f t="shared" ca="1" si="234"/>
        <v>-52.101421329833094</v>
      </c>
      <c r="CB274" s="6">
        <f t="shared" ca="1" si="235"/>
        <v>-0.43589380936960215</v>
      </c>
      <c r="CC274" s="6">
        <f t="shared" ca="1" si="236"/>
        <v>-1.2153439822983227E-2</v>
      </c>
      <c r="CD274" s="9">
        <f t="shared" si="237"/>
        <v>99.659895425543482</v>
      </c>
      <c r="CE274" s="9">
        <f t="shared" si="238"/>
        <v>-47.901421329833092</v>
      </c>
      <c r="CF274" s="6">
        <f t="shared" si="239"/>
        <v>-0.44804724919258537</v>
      </c>
      <c r="CG274" s="6"/>
      <c r="CH274" s="6"/>
      <c r="CI274" s="6"/>
      <c r="CJ274" s="1"/>
      <c r="CK274" s="6"/>
    </row>
    <row r="275" spans="55:89" x14ac:dyDescent="0.2">
      <c r="BC275">
        <v>4.7647488579444905</v>
      </c>
      <c r="BD275">
        <v>139.91524319109647</v>
      </c>
      <c r="BE275">
        <v>-52.523803026262364</v>
      </c>
      <c r="BF275" s="6">
        <f t="shared" si="226"/>
        <v>5.9240663739806916</v>
      </c>
      <c r="BG275" s="6">
        <f t="shared" si="227"/>
        <v>1.159317516036201</v>
      </c>
      <c r="BH275" s="6">
        <f t="shared" si="228"/>
        <v>2.7564771322956535E-2</v>
      </c>
      <c r="BI275" s="6">
        <f t="shared" si="229"/>
        <v>2.7564771322956535E-2</v>
      </c>
      <c r="BJ275">
        <v>155.46138132344052</v>
      </c>
      <c r="BK275">
        <v>-58.359781140291517</v>
      </c>
      <c r="BV275" s="38"/>
      <c r="BW275" s="6">
        <f t="shared" si="230"/>
        <v>4.5378560551852303</v>
      </c>
      <c r="BX275" s="9">
        <f t="shared" ca="1" si="231"/>
        <v>-11.810037280031011</v>
      </c>
      <c r="BY275" s="9">
        <f t="shared" ca="1" si="232"/>
        <v>-10.844654609129883</v>
      </c>
      <c r="BZ275" s="9">
        <f t="shared" ca="1" si="233"/>
        <v>112.08564377679016</v>
      </c>
      <c r="CA275" s="6">
        <f t="shared" ca="1" si="234"/>
        <v>-52.143214961403601</v>
      </c>
      <c r="CB275" s="6">
        <f t="shared" ca="1" si="235"/>
        <v>-0.43542924346523709</v>
      </c>
      <c r="CC275" s="6">
        <f t="shared" ca="1" si="236"/>
        <v>-1.2075320167807768E-2</v>
      </c>
      <c r="CD275" s="9">
        <f t="shared" si="237"/>
        <v>99.885643776790161</v>
      </c>
      <c r="CE275" s="9">
        <f t="shared" si="238"/>
        <v>-47.943214961403598</v>
      </c>
      <c r="CF275" s="6">
        <f t="shared" si="239"/>
        <v>-0.44750456363304486</v>
      </c>
      <c r="CG275" s="6"/>
      <c r="CH275" s="6"/>
      <c r="CI275" s="6"/>
      <c r="CJ275" s="1"/>
      <c r="CK275" s="6"/>
    </row>
    <row r="276" spans="55:89" x14ac:dyDescent="0.2">
      <c r="BC276">
        <v>4.7822021504644336</v>
      </c>
      <c r="BD276">
        <v>141.08414285942638</v>
      </c>
      <c r="BE276">
        <v>-52.453041534517247</v>
      </c>
      <c r="BF276" s="6">
        <f t="shared" si="226"/>
        <v>5.9272357843784027</v>
      </c>
      <c r="BG276" s="6">
        <f t="shared" si="227"/>
        <v>1.1450336339139691</v>
      </c>
      <c r="BH276" s="6">
        <f t="shared" si="228"/>
        <v>2.4395360925245413E-2</v>
      </c>
      <c r="BI276" s="6">
        <f t="shared" si="229"/>
        <v>2.4395360925245413E-2</v>
      </c>
      <c r="BJ276">
        <v>156.76015873269597</v>
      </c>
      <c r="BK276">
        <v>-58.281157260574716</v>
      </c>
      <c r="BV276" s="38"/>
      <c r="BW276" s="6">
        <f t="shared" si="230"/>
        <v>4.5553093477051734</v>
      </c>
      <c r="BX276" s="9">
        <f t="shared" ca="1" si="231"/>
        <v>-11.548442715747342</v>
      </c>
      <c r="BY276" s="9">
        <f t="shared" ca="1" si="232"/>
        <v>-10.888371005219454</v>
      </c>
      <c r="BZ276" s="9">
        <f t="shared" ca="1" si="233"/>
        <v>112.34723834107383</v>
      </c>
      <c r="CA276" s="6">
        <f t="shared" ca="1" si="234"/>
        <v>-52.186931357493172</v>
      </c>
      <c r="CB276" s="6">
        <f t="shared" ca="1" si="235"/>
        <v>-0.43485848680274203</v>
      </c>
      <c r="CC276" s="6">
        <f t="shared" ca="1" si="236"/>
        <v>-1.1981650905079301E-2</v>
      </c>
      <c r="CD276" s="9">
        <f t="shared" si="237"/>
        <v>100.14723834107383</v>
      </c>
      <c r="CE276" s="9">
        <f t="shared" si="238"/>
        <v>-47.98693135749317</v>
      </c>
      <c r="CF276" s="6">
        <f t="shared" si="239"/>
        <v>-0.44684013770782133</v>
      </c>
      <c r="CG276" s="6"/>
      <c r="CH276" s="6"/>
      <c r="CI276" s="6"/>
      <c r="CJ276" s="1"/>
      <c r="CK276" s="6"/>
    </row>
    <row r="277" spans="55:89" x14ac:dyDescent="0.2">
      <c r="BC277">
        <v>4.7996554429843767</v>
      </c>
      <c r="BD277">
        <v>141.88281256589545</v>
      </c>
      <c r="BE277">
        <v>-52.390572475467046</v>
      </c>
      <c r="BF277" s="6">
        <f t="shared" si="226"/>
        <v>5.9294631044225987</v>
      </c>
      <c r="BG277" s="6">
        <f t="shared" si="227"/>
        <v>1.129807661438222</v>
      </c>
      <c r="BH277" s="6">
        <f t="shared" si="228"/>
        <v>2.21680408810494E-2</v>
      </c>
      <c r="BI277" s="6">
        <f t="shared" si="229"/>
        <v>2.21680408810494E-2</v>
      </c>
      <c r="BJ277">
        <v>157.64756951766159</v>
      </c>
      <c r="BK277">
        <v>-58.21174719496338</v>
      </c>
      <c r="BV277" s="38"/>
      <c r="BW277" s="6">
        <f t="shared" si="230"/>
        <v>4.5727626402251165</v>
      </c>
      <c r="BX277" s="9">
        <f t="shared" ca="1" si="231"/>
        <v>-11.240069256998154</v>
      </c>
      <c r="BY277" s="9">
        <f t="shared" ca="1" si="232"/>
        <v>-10.934379128433761</v>
      </c>
      <c r="BZ277" s="9">
        <f t="shared" ca="1" si="233"/>
        <v>112.65561179982302</v>
      </c>
      <c r="CA277" s="6">
        <f t="shared" ca="1" si="234"/>
        <v>-52.232939480707479</v>
      </c>
      <c r="CB277" s="6">
        <f t="shared" ca="1" si="235"/>
        <v>-0.43414831412002503</v>
      </c>
      <c r="CC277" s="6">
        <f t="shared" ca="1" si="236"/>
        <v>-1.1867718818506456E-2</v>
      </c>
      <c r="CD277" s="9">
        <f t="shared" si="237"/>
        <v>100.45561179982302</v>
      </c>
      <c r="CE277" s="9">
        <f t="shared" si="238"/>
        <v>-48.032939480707476</v>
      </c>
      <c r="CF277" s="6">
        <f t="shared" si="239"/>
        <v>-0.44601603293853148</v>
      </c>
      <c r="CG277" s="6"/>
      <c r="CH277" s="6"/>
      <c r="CI277" s="6"/>
      <c r="CJ277" s="1"/>
      <c r="CK277" s="6"/>
    </row>
    <row r="278" spans="55:89" x14ac:dyDescent="0.2">
      <c r="BC278">
        <v>4.8171087355043198</v>
      </c>
      <c r="BD278">
        <v>142.47326609358072</v>
      </c>
      <c r="BE278">
        <v>-52.333952233041138</v>
      </c>
      <c r="BF278" s="6">
        <f t="shared" si="226"/>
        <v>5.931160572105175</v>
      </c>
      <c r="BG278" s="6">
        <f t="shared" si="227"/>
        <v>1.1140518366008552</v>
      </c>
      <c r="BH278" s="6">
        <f t="shared" si="228"/>
        <v>2.0470573198473115E-2</v>
      </c>
      <c r="BI278" s="6">
        <f t="shared" si="229"/>
        <v>2.0470573198473115E-2</v>
      </c>
      <c r="BJ278">
        <v>158.30362899286746</v>
      </c>
      <c r="BK278">
        <v>-58.148835814490155</v>
      </c>
      <c r="BV278" s="38"/>
      <c r="BW278" s="6">
        <f t="shared" si="230"/>
        <v>4.5902159327450596</v>
      </c>
      <c r="BX278" s="9">
        <f t="shared" ca="1" si="231"/>
        <v>-10.868688755364559</v>
      </c>
      <c r="BY278" s="9">
        <f t="shared" ca="1" si="232"/>
        <v>-10.98316479541252</v>
      </c>
      <c r="BZ278" s="9">
        <f t="shared" ca="1" si="233"/>
        <v>113.02699230145662</v>
      </c>
      <c r="CA278" s="6">
        <f t="shared" ca="1" si="234"/>
        <v>-52.281725147686238</v>
      </c>
      <c r="CB278" s="6">
        <f t="shared" ca="1" si="235"/>
        <v>-0.4332492999919782</v>
      </c>
      <c r="CC278" s="6">
        <f t="shared" ca="1" si="236"/>
        <v>-1.1726569825225019E-2</v>
      </c>
      <c r="CD278" s="9">
        <f t="shared" si="237"/>
        <v>100.82699230145661</v>
      </c>
      <c r="CE278" s="9">
        <f t="shared" si="238"/>
        <v>-48.081725147686235</v>
      </c>
      <c r="CF278" s="6">
        <f t="shared" si="239"/>
        <v>-0.44497586981720322</v>
      </c>
      <c r="CG278" s="6"/>
      <c r="CH278" s="6"/>
      <c r="CI278" s="6"/>
      <c r="CJ278" s="1"/>
      <c r="CK278" s="6"/>
    </row>
    <row r="279" spans="55:89" x14ac:dyDescent="0.2">
      <c r="BC279">
        <v>4.8345620280242629</v>
      </c>
      <c r="BD279">
        <v>142.93300769853442</v>
      </c>
      <c r="BE279">
        <v>-52.281725147680532</v>
      </c>
      <c r="BF279" s="6">
        <f t="shared" si="226"/>
        <v>5.9325242391803163</v>
      </c>
      <c r="BG279" s="6">
        <f t="shared" si="227"/>
        <v>1.0979622111560534</v>
      </c>
      <c r="BH279" s="6">
        <f t="shared" si="228"/>
        <v>1.9106906123331765E-2</v>
      </c>
      <c r="BI279" s="6">
        <f t="shared" si="229"/>
        <v>1.9106906123331765E-2</v>
      </c>
      <c r="BJ279">
        <v>158.81445299837159</v>
      </c>
      <c r="BK279">
        <v>-58.090805719645033</v>
      </c>
      <c r="BV279" s="38"/>
      <c r="BW279" s="6">
        <f t="shared" si="230"/>
        <v>4.6076692252650027</v>
      </c>
      <c r="BX279" s="9">
        <f t="shared" ca="1" si="231"/>
        <v>-10.408947151213127</v>
      </c>
      <c r="BY279" s="9">
        <f t="shared" ca="1" si="232"/>
        <v>-11.035391881430137</v>
      </c>
      <c r="BZ279" s="9">
        <f t="shared" ca="1" si="233"/>
        <v>113.48673390560805</v>
      </c>
      <c r="CA279" s="6">
        <f t="shared" ca="1" si="234"/>
        <v>-52.333952233703855</v>
      </c>
      <c r="CB279" s="6">
        <f t="shared" ca="1" si="235"/>
        <v>-0.43208417736929028</v>
      </c>
      <c r="CC279" s="6">
        <f t="shared" ca="1" si="236"/>
        <v>-1.1547433815517373E-2</v>
      </c>
      <c r="CD279" s="9">
        <f t="shared" si="237"/>
        <v>101.28673390560805</v>
      </c>
      <c r="CE279" s="9">
        <f t="shared" si="238"/>
        <v>-48.133952233703852</v>
      </c>
      <c r="CF279" s="6">
        <f t="shared" si="239"/>
        <v>-0.44363161118480765</v>
      </c>
      <c r="CG279" s="6"/>
      <c r="CH279" s="6"/>
      <c r="CI279" s="6"/>
      <c r="CJ279" s="1"/>
      <c r="CK279" s="6"/>
    </row>
    <row r="280" spans="55:89" x14ac:dyDescent="0.2">
      <c r="BC280">
        <v>4.852015320544206</v>
      </c>
      <c r="BD280">
        <v>143.30438819965349</v>
      </c>
      <c r="BE280">
        <v>-52.232939480328213</v>
      </c>
      <c r="BF280" s="6">
        <f t="shared" si="226"/>
        <v>5.9336610429253795</v>
      </c>
      <c r="BG280" s="6">
        <f t="shared" si="227"/>
        <v>1.0816457223811735</v>
      </c>
      <c r="BH280" s="6">
        <f t="shared" si="228"/>
        <v>1.7970102378268571E-2</v>
      </c>
      <c r="BI280" s="6">
        <f t="shared" si="229"/>
        <v>1.7970102378268571E-2</v>
      </c>
      <c r="BJ280">
        <v>159.22709799961498</v>
      </c>
      <c r="BK280">
        <v>-58.036599422586903</v>
      </c>
      <c r="BV280" s="38"/>
      <c r="BW280" s="6">
        <f t="shared" si="230"/>
        <v>4.6251225177849458</v>
      </c>
      <c r="BX280" s="9">
        <f t="shared" ca="1" si="231"/>
        <v>-9.8184936224778312</v>
      </c>
      <c r="BY280" s="9">
        <f t="shared" ca="1" si="232"/>
        <v>-11.092012122977309</v>
      </c>
      <c r="BZ280" s="9">
        <f t="shared" ca="1" si="233"/>
        <v>114.07718743434334</v>
      </c>
      <c r="CA280" s="6">
        <f t="shared" ca="1" si="234"/>
        <v>-52.390572475251027</v>
      </c>
      <c r="CB280" s="6">
        <f t="shared" ca="1" si="235"/>
        <v>-0.43052406660097509</v>
      </c>
      <c r="CC280" s="6">
        <f t="shared" ca="1" si="236"/>
        <v>-1.1312543652026441E-2</v>
      </c>
      <c r="CD280" s="9">
        <f t="shared" si="237"/>
        <v>101.87718743434334</v>
      </c>
      <c r="CE280" s="9">
        <f t="shared" si="238"/>
        <v>-48.190572475251024</v>
      </c>
      <c r="CF280" s="6">
        <f t="shared" si="239"/>
        <v>-0.44183661025300153</v>
      </c>
      <c r="CG280" s="6"/>
      <c r="CH280" s="6"/>
      <c r="CI280" s="6"/>
      <c r="CJ280" s="1"/>
      <c r="CK280" s="6"/>
    </row>
    <row r="281" spans="55:89" x14ac:dyDescent="0.2">
      <c r="BC281">
        <v>4.8694686130641491</v>
      </c>
      <c r="BD281">
        <v>143.61276165972239</v>
      </c>
      <c r="BE281">
        <v>-52.186931358047595</v>
      </c>
      <c r="BF281" s="6">
        <f t="shared" si="226"/>
        <v>5.9346350496510425</v>
      </c>
      <c r="BG281" s="6">
        <f t="shared" si="227"/>
        <v>1.0651664365868934</v>
      </c>
      <c r="BH281" s="6">
        <f t="shared" si="228"/>
        <v>1.6996095652605629E-2</v>
      </c>
      <c r="BI281" s="6">
        <f t="shared" si="229"/>
        <v>1.6996095652605629E-2</v>
      </c>
      <c r="BJ281">
        <v>159.56973517746931</v>
      </c>
      <c r="BK281">
        <v>-57.985479286719546</v>
      </c>
      <c r="BV281" s="38"/>
      <c r="BW281" s="6">
        <f t="shared" si="230"/>
        <v>4.6425758103048889</v>
      </c>
      <c r="BX281" s="9">
        <f t="shared" ca="1" si="231"/>
        <v>-9.0198239169364598</v>
      </c>
      <c r="BY281" s="9">
        <f t="shared" ca="1" si="232"/>
        <v>-11.154481182943464</v>
      </c>
      <c r="BZ281" s="9">
        <f t="shared" ca="1" si="233"/>
        <v>114.87585713988472</v>
      </c>
      <c r="CA281" s="6">
        <f t="shared" ca="1" si="234"/>
        <v>-52.453041535217181</v>
      </c>
      <c r="CB281" s="6">
        <f t="shared" ca="1" si="235"/>
        <v>-0.42833413791387548</v>
      </c>
      <c r="CC281" s="6">
        <f t="shared" ca="1" si="236"/>
        <v>-1.0989963216398502E-2</v>
      </c>
      <c r="CD281" s="9">
        <f t="shared" si="237"/>
        <v>102.67585713988471</v>
      </c>
      <c r="CE281" s="9">
        <f t="shared" si="238"/>
        <v>-48.253041535217179</v>
      </c>
      <c r="CF281" s="6">
        <f t="shared" si="239"/>
        <v>-0.43932410113027398</v>
      </c>
      <c r="CG281" s="6"/>
      <c r="CH281" s="6"/>
      <c r="CI281" s="6"/>
      <c r="CJ281" s="1"/>
      <c r="CK281" s="6"/>
    </row>
    <row r="282" spans="55:89" x14ac:dyDescent="0.2">
      <c r="BC282">
        <v>4.8869219055840922</v>
      </c>
      <c r="BD282">
        <v>143.87435622247889</v>
      </c>
      <c r="BE282">
        <v>-52.143214960914044</v>
      </c>
      <c r="BF282" s="6">
        <f t="shared" si="226"/>
        <v>5.9354873660552618</v>
      </c>
      <c r="BG282" s="6">
        <f t="shared" si="227"/>
        <v>1.0485654604711696</v>
      </c>
      <c r="BH282" s="6">
        <f t="shared" si="228"/>
        <v>1.6143779248386281E-2</v>
      </c>
      <c r="BI282" s="6">
        <f t="shared" si="229"/>
        <v>1.6143779248386281E-2</v>
      </c>
      <c r="BJ282">
        <v>159.86039580275431</v>
      </c>
      <c r="BK282">
        <v>-57.936905512126714</v>
      </c>
      <c r="BV282" s="38"/>
      <c r="BW282" s="6">
        <f t="shared" si="230"/>
        <v>4.660029102824832</v>
      </c>
      <c r="BX282" s="9">
        <f t="shared" ca="1" si="231"/>
        <v>-7.8509242481261623</v>
      </c>
      <c r="BY282" s="9">
        <f t="shared" ca="1" si="232"/>
        <v>-11.22524267424744</v>
      </c>
      <c r="BZ282" s="9">
        <f t="shared" ca="1" si="233"/>
        <v>116.04475680869501</v>
      </c>
      <c r="CA282" s="6">
        <f t="shared" ca="1" si="234"/>
        <v>-52.523803026521158</v>
      </c>
      <c r="CB282" s="6">
        <f t="shared" ca="1" si="235"/>
        <v>-0.42502790212398861</v>
      </c>
      <c r="CC282" s="6">
        <f t="shared" ca="1" si="236"/>
        <v>-1.0514701398283088E-2</v>
      </c>
      <c r="CD282" s="9">
        <f t="shared" si="237"/>
        <v>103.84475680869501</v>
      </c>
      <c r="CE282" s="9">
        <f t="shared" si="238"/>
        <v>-48.323803026521155</v>
      </c>
      <c r="CF282" s="6">
        <f t="shared" si="239"/>
        <v>-0.4355426035222717</v>
      </c>
      <c r="CG282" s="6"/>
      <c r="CH282" s="6"/>
      <c r="CI282" s="6"/>
      <c r="CJ282" s="1"/>
      <c r="CK282" s="6"/>
    </row>
    <row r="283" spans="55:89" x14ac:dyDescent="0.2">
      <c r="BC283">
        <v>4.9043751981040353</v>
      </c>
      <c r="BD283">
        <v>144.10010457482636</v>
      </c>
      <c r="BE283">
        <v>-52.101421330073805</v>
      </c>
      <c r="BF283" s="6">
        <f t="shared" si="226"/>
        <v>5.93624578810996</v>
      </c>
      <c r="BG283" s="6">
        <f t="shared" si="227"/>
        <v>1.0318705900059246</v>
      </c>
      <c r="BH283" s="6">
        <f t="shared" si="228"/>
        <v>1.5385357193688163E-2</v>
      </c>
      <c r="BI283" s="6">
        <f t="shared" si="229"/>
        <v>1.5385357193688163E-2</v>
      </c>
      <c r="BJ283">
        <v>160.11122730536263</v>
      </c>
      <c r="BK283">
        <v>-57.890468144526452</v>
      </c>
      <c r="BV283" s="38"/>
      <c r="BW283" s="6">
        <f t="shared" si="230"/>
        <v>4.6774823953447751</v>
      </c>
      <c r="BX283" s="9">
        <f t="shared" ca="1" si="231"/>
        <v>-5.8918656527786482</v>
      </c>
      <c r="BY283" s="9">
        <f t="shared" ca="1" si="232"/>
        <v>-11.309051008242982</v>
      </c>
      <c r="BZ283" s="9">
        <f t="shared" ca="1" si="233"/>
        <v>118.00381540404253</v>
      </c>
      <c r="CA283" s="6">
        <f t="shared" ca="1" si="234"/>
        <v>-52.6076113605167</v>
      </c>
      <c r="CB283" s="6">
        <f t="shared" ca="1" si="235"/>
        <v>-0.41936639654629554</v>
      </c>
      <c r="CC283" s="6">
        <f t="shared" ca="1" si="236"/>
        <v>-9.7254896062397567E-3</v>
      </c>
      <c r="CD283" s="9">
        <f t="shared" si="237"/>
        <v>105.80381540404252</v>
      </c>
      <c r="CE283" s="9">
        <f t="shared" si="238"/>
        <v>-48.407611360516697</v>
      </c>
      <c r="CF283" s="6">
        <f t="shared" si="239"/>
        <v>-0.4290918861525353</v>
      </c>
      <c r="CG283" s="6"/>
      <c r="CH283" s="6"/>
      <c r="CI283" s="6"/>
      <c r="CJ283" s="1"/>
      <c r="CK283" s="6"/>
    </row>
    <row r="284" spans="55:89" x14ac:dyDescent="0.2">
      <c r="BC284">
        <v>4.9218284906239784</v>
      </c>
      <c r="BD284">
        <v>144.29767655128302</v>
      </c>
      <c r="BE284">
        <v>-52.061261789389441</v>
      </c>
      <c r="BF284" s="6">
        <f t="shared" si="226"/>
        <v>5.9369299081441484</v>
      </c>
      <c r="BG284" s="6">
        <f t="shared" si="227"/>
        <v>1.01510141752017</v>
      </c>
      <c r="BH284" s="6">
        <f t="shared" si="228"/>
        <v>1.4701237159499671E-2</v>
      </c>
      <c r="BI284" s="6">
        <f t="shared" si="229"/>
        <v>1.4701237159499671E-2</v>
      </c>
      <c r="BJ284">
        <v>160.33075172364781</v>
      </c>
      <c r="BK284">
        <v>-57.84584643265493</v>
      </c>
      <c r="BV284" s="38"/>
      <c r="BW284" s="6">
        <f t="shared" si="230"/>
        <v>4.6949356878647182</v>
      </c>
      <c r="BX284" s="9">
        <f t="shared" ca="1" si="231"/>
        <v>-1.9722615195121449</v>
      </c>
      <c r="BY284" s="9">
        <f t="shared" ca="1" si="232"/>
        <v>-11.410546429874799</v>
      </c>
      <c r="BZ284" s="9">
        <f t="shared" ca="1" si="233"/>
        <v>121.92341953730903</v>
      </c>
      <c r="CA284" s="6">
        <f t="shared" ca="1" si="234"/>
        <v>-52.709106782148517</v>
      </c>
      <c r="CB284" s="6">
        <f t="shared" ca="1" si="235"/>
        <v>-0.4080486722624711</v>
      </c>
      <c r="CC284" s="6">
        <f t="shared" ca="1" si="236"/>
        <v>-8.2191428801046684E-3</v>
      </c>
      <c r="CD284" s="9">
        <f t="shared" si="237"/>
        <v>109.72341953730903</v>
      </c>
      <c r="CE284" s="9">
        <f t="shared" si="238"/>
        <v>-48.509106782148514</v>
      </c>
      <c r="CF284" s="6">
        <f t="shared" si="239"/>
        <v>-0.41626781514257577</v>
      </c>
      <c r="CG284" s="6"/>
      <c r="CH284" s="6"/>
      <c r="CI284" s="6"/>
      <c r="CJ284" s="1"/>
      <c r="CK284" s="6"/>
    </row>
    <row r="285" spans="55:89" x14ac:dyDescent="0.2">
      <c r="BC285">
        <v>4.9392817831439215</v>
      </c>
      <c r="BD285">
        <v>144.47263296841561</v>
      </c>
      <c r="BE285">
        <v>-52.022504875340161</v>
      </c>
      <c r="BF285" s="6">
        <f t="shared" si="226"/>
        <v>5.9375540099860107</v>
      </c>
      <c r="BG285" s="6">
        <f t="shared" si="227"/>
        <v>0.99827222684208916</v>
      </c>
      <c r="BH285" s="6">
        <f t="shared" si="228"/>
        <v>1.4077135317637435E-2</v>
      </c>
      <c r="BI285" s="6">
        <f t="shared" si="229"/>
        <v>1.4077135317637435E-2</v>
      </c>
      <c r="BJ285">
        <v>160.525147742684</v>
      </c>
      <c r="BK285">
        <v>-57.802783194822396</v>
      </c>
      <c r="BV285" s="38"/>
      <c r="BW285" s="6">
        <f t="shared" si="230"/>
        <v>4.7123889803846613</v>
      </c>
      <c r="BX285" s="9">
        <f t="shared" ca="1" si="231"/>
        <v>4.0843189431679434</v>
      </c>
      <c r="BY285" s="9">
        <f t="shared" ca="1" si="232"/>
        <v>-11.47927687943077</v>
      </c>
      <c r="BZ285" s="9">
        <f t="shared" ca="1" si="233"/>
        <v>127.97999999998912</v>
      </c>
      <c r="CA285" s="6">
        <f t="shared" ca="1" si="234"/>
        <v>-52.777837231704488</v>
      </c>
      <c r="CB285" s="6">
        <f t="shared" ca="1" si="235"/>
        <v>-0.39114267302666833</v>
      </c>
      <c r="CC285" s="6">
        <f t="shared" ca="1" si="236"/>
        <v>-6.1199066690549855E-3</v>
      </c>
      <c r="CD285" s="9">
        <f t="shared" si="237"/>
        <v>115.77999999998912</v>
      </c>
      <c r="CE285" s="9">
        <f t="shared" si="238"/>
        <v>-48.577837231704486</v>
      </c>
      <c r="CF285" s="6">
        <f t="shared" si="239"/>
        <v>-0.39726257969572332</v>
      </c>
      <c r="CG285" s="6"/>
      <c r="CH285" s="6"/>
      <c r="CI285" s="6"/>
      <c r="CJ285" s="1"/>
      <c r="CK285" s="6"/>
    </row>
    <row r="286" spans="55:89" x14ac:dyDescent="0.2">
      <c r="BC286">
        <v>4.9567350756638646</v>
      </c>
      <c r="BD286">
        <v>144.62911703530378</v>
      </c>
      <c r="BE286">
        <v>-51.984961120745844</v>
      </c>
      <c r="BF286" s="6">
        <f t="shared" si="226"/>
        <v>5.9381288031075812</v>
      </c>
      <c r="BG286" s="6">
        <f t="shared" si="227"/>
        <v>0.98139372744371656</v>
      </c>
      <c r="BH286" s="6">
        <f t="shared" si="228"/>
        <v>1.3502342196066939E-2</v>
      </c>
      <c r="BI286" s="6">
        <f t="shared" si="229"/>
        <v>1.3502342196066939E-2</v>
      </c>
      <c r="BJ286">
        <v>160.69901892811529</v>
      </c>
      <c r="BK286">
        <v>-57.761067911939826</v>
      </c>
      <c r="BV286" s="38"/>
      <c r="BW286" s="6">
        <f t="shared" si="230"/>
        <v>4.7298422729046044</v>
      </c>
      <c r="BX286" s="9">
        <f t="shared" ca="1" si="231"/>
        <v>10.140899405847918</v>
      </c>
      <c r="BY286" s="9">
        <f t="shared" ca="1" si="232"/>
        <v>-11.410546429818666</v>
      </c>
      <c r="BZ286" s="9">
        <f t="shared" ca="1" si="233"/>
        <v>134.03658046266909</v>
      </c>
      <c r="CA286" s="6">
        <f t="shared" ca="1" si="234"/>
        <v>-52.709106782092384</v>
      </c>
      <c r="CB286" s="6">
        <f t="shared" ca="1" si="235"/>
        <v>-0.37466887186184034</v>
      </c>
      <c r="CC286" s="6">
        <f t="shared" ca="1" si="236"/>
        <v>-4.2407560650756793E-3</v>
      </c>
      <c r="CD286" s="9">
        <f t="shared" si="237"/>
        <v>121.83658046266909</v>
      </c>
      <c r="CE286" s="9">
        <f t="shared" si="238"/>
        <v>-48.509106782092381</v>
      </c>
      <c r="CF286" s="6">
        <f t="shared" si="239"/>
        <v>-0.37890962792691602</v>
      </c>
      <c r="CG286" s="6"/>
      <c r="CH286" s="6"/>
      <c r="CI286" s="6"/>
      <c r="CJ286" s="1"/>
      <c r="CK286" s="6"/>
    </row>
    <row r="287" spans="55:89" x14ac:dyDescent="0.2">
      <c r="BC287">
        <v>4.9741883681838077</v>
      </c>
      <c r="BD287">
        <v>144.77028752119236</v>
      </c>
      <c r="BE287">
        <v>-51.948472650350553</v>
      </c>
      <c r="BF287" s="6">
        <f t="shared" si="226"/>
        <v>5.9386625093874397</v>
      </c>
      <c r="BG287" s="6">
        <f t="shared" si="227"/>
        <v>0.96447414120363195</v>
      </c>
      <c r="BH287" s="6">
        <f t="shared" si="228"/>
        <v>1.2968635916208449E-2</v>
      </c>
      <c r="BI287" s="6">
        <f t="shared" si="229"/>
        <v>1.2968635916208449E-2</v>
      </c>
      <c r="BJ287">
        <v>160.85587502354707</v>
      </c>
      <c r="BK287">
        <v>-57.720525167056167</v>
      </c>
      <c r="BV287" s="38"/>
      <c r="BW287" s="6">
        <f t="shared" si="230"/>
        <v>4.7472955654245474</v>
      </c>
      <c r="BX287" s="9">
        <f t="shared" ca="1" si="231"/>
        <v>14.060503538861937</v>
      </c>
      <c r="BY287" s="9">
        <f t="shared" ca="1" si="232"/>
        <v>-11.309051007685042</v>
      </c>
      <c r="BZ287" s="9">
        <f t="shared" ca="1" si="233"/>
        <v>137.95618459568311</v>
      </c>
      <c r="CA287" s="6">
        <f t="shared" ca="1" si="234"/>
        <v>-52.60761135995876</v>
      </c>
      <c r="CB287" s="6">
        <f t="shared" ca="1" si="235"/>
        <v>-0.36431361038988558</v>
      </c>
      <c r="CC287" s="6">
        <f t="shared" ca="1" si="236"/>
        <v>-3.1362282202986864E-3</v>
      </c>
      <c r="CD287" s="9">
        <f t="shared" si="237"/>
        <v>125.75618459568311</v>
      </c>
      <c r="CE287" s="9">
        <f t="shared" si="238"/>
        <v>-48.407611359958757</v>
      </c>
      <c r="CF287" s="6">
        <f t="shared" si="239"/>
        <v>-0.36744983861018427</v>
      </c>
      <c r="CG287" s="6"/>
      <c r="CH287" s="6"/>
      <c r="CI287" s="6"/>
      <c r="CJ287" s="1"/>
      <c r="CK287" s="6"/>
    </row>
    <row r="288" spans="55:89" x14ac:dyDescent="0.2">
      <c r="BC288">
        <v>4.9916416607037508</v>
      </c>
      <c r="BD288">
        <v>144.89860043902058</v>
      </c>
      <c r="BE288">
        <v>-51.912905847367</v>
      </c>
      <c r="BF288" s="6">
        <f t="shared" si="226"/>
        <v>5.9391615704302456</v>
      </c>
      <c r="BG288" s="6">
        <f t="shared" si="227"/>
        <v>0.9475199097264948</v>
      </c>
      <c r="BH288" s="6">
        <f t="shared" si="228"/>
        <v>1.24695748734025E-2</v>
      </c>
      <c r="BI288" s="6">
        <f t="shared" si="229"/>
        <v>1.24695748734025E-2</v>
      </c>
      <c r="BJ288">
        <v>160.99844493224509</v>
      </c>
      <c r="BK288">
        <v>-57.681006497074442</v>
      </c>
      <c r="BV288" s="38"/>
      <c r="BW288" s="6">
        <f t="shared" si="230"/>
        <v>4.7647488579444905</v>
      </c>
      <c r="BX288" s="9">
        <f t="shared" ca="1" si="231"/>
        <v>16.01956213427529</v>
      </c>
      <c r="BY288" s="9">
        <f t="shared" ca="1" si="232"/>
        <v>-11.225242673988646</v>
      </c>
      <c r="BZ288" s="9">
        <f t="shared" ca="1" si="233"/>
        <v>139.91524319109647</v>
      </c>
      <c r="CA288" s="6">
        <f t="shared" ca="1" si="234"/>
        <v>-52.523803026262364</v>
      </c>
      <c r="CB288" s="6">
        <f t="shared" ca="1" si="235"/>
        <v>-0.35911893319889454</v>
      </c>
      <c r="CC288" s="6">
        <f t="shared" ca="1" si="236"/>
        <v>-2.6042563550355831E-3</v>
      </c>
      <c r="CD288" s="9">
        <f t="shared" si="237"/>
        <v>127.71524319109646</v>
      </c>
      <c r="CE288" s="9">
        <f t="shared" si="238"/>
        <v>-48.323803026262361</v>
      </c>
      <c r="CF288" s="6">
        <f t="shared" si="239"/>
        <v>-0.36172318955393012</v>
      </c>
      <c r="CG288" s="6"/>
      <c r="CH288" s="6"/>
      <c r="CI288" s="6"/>
      <c r="CJ288" s="1"/>
      <c r="CK288" s="6"/>
    </row>
    <row r="289" spans="55:89" x14ac:dyDescent="0.2">
      <c r="BC289">
        <v>5.0090949532236939</v>
      </c>
      <c r="BD289">
        <v>145.01599811957325</v>
      </c>
      <c r="BE289">
        <v>-51.87814604919901</v>
      </c>
      <c r="BF289" s="6">
        <f t="shared" si="226"/>
        <v>5.9396311229693666</v>
      </c>
      <c r="BG289" s="6">
        <f t="shared" si="227"/>
        <v>0.93053616974567266</v>
      </c>
      <c r="BH289" s="6">
        <f t="shared" si="228"/>
        <v>1.2000022334281546E-2</v>
      </c>
      <c r="BI289" s="6">
        <f t="shared" si="229"/>
        <v>1.2000022334281546E-2</v>
      </c>
      <c r="BJ289">
        <v>161.12888679952584</v>
      </c>
      <c r="BK289">
        <v>-57.642384499110008</v>
      </c>
      <c r="BV289" s="38"/>
      <c r="BW289" s="6">
        <f t="shared" si="230"/>
        <v>4.7822021504644336</v>
      </c>
      <c r="BX289" s="9">
        <f t="shared" ca="1" si="231"/>
        <v>17.188461802605204</v>
      </c>
      <c r="BY289" s="9">
        <f t="shared" ca="1" si="232"/>
        <v>-11.154481182243529</v>
      </c>
      <c r="BZ289" s="9">
        <f t="shared" ca="1" si="233"/>
        <v>141.08414285942638</v>
      </c>
      <c r="CA289" s="6">
        <f t="shared" ca="1" si="234"/>
        <v>-52.453041534517247</v>
      </c>
      <c r="CB289" s="6">
        <f t="shared" ca="1" si="235"/>
        <v>-0.35594952280118386</v>
      </c>
      <c r="CC289" s="6">
        <f t="shared" ca="1" si="236"/>
        <v>-2.2869758364328363E-3</v>
      </c>
      <c r="CD289" s="9">
        <f t="shared" si="237"/>
        <v>128.88414285942639</v>
      </c>
      <c r="CE289" s="9">
        <f t="shared" si="238"/>
        <v>-48.253041534517244</v>
      </c>
      <c r="CF289" s="6">
        <f t="shared" si="239"/>
        <v>-0.3582364986376167</v>
      </c>
      <c r="CG289" s="6"/>
      <c r="CH289" s="6"/>
      <c r="CI289" s="6"/>
      <c r="CJ289" s="1"/>
      <c r="CK289" s="6"/>
    </row>
    <row r="290" spans="55:89" x14ac:dyDescent="0.2">
      <c r="BC290">
        <v>5.026548245743637</v>
      </c>
      <c r="BD290">
        <v>145.12403962168946</v>
      </c>
      <c r="BE290">
        <v>-51.844093615743937</v>
      </c>
      <c r="BF290" s="6">
        <f t="shared" si="226"/>
        <v>5.9400753273834077</v>
      </c>
      <c r="BG290" s="6">
        <f t="shared" si="227"/>
        <v>0.9135270816397707</v>
      </c>
      <c r="BH290" s="6">
        <f t="shared" si="228"/>
        <v>1.1555817920240408E-2</v>
      </c>
      <c r="BI290" s="6">
        <f t="shared" si="229"/>
        <v>1.1555817920240408E-2</v>
      </c>
      <c r="BJ290">
        <v>161.24893291298829</v>
      </c>
      <c r="BK290">
        <v>-57.604548461937704</v>
      </c>
      <c r="BV290" s="38"/>
      <c r="BW290" s="6">
        <f t="shared" si="230"/>
        <v>4.7996554429843767</v>
      </c>
      <c r="BX290" s="9">
        <f t="shared" ca="1" si="231"/>
        <v>17.987131509074274</v>
      </c>
      <c r="BY290" s="9">
        <f t="shared" ca="1" si="232"/>
        <v>-11.092012123193328</v>
      </c>
      <c r="BZ290" s="9">
        <f t="shared" ca="1" si="233"/>
        <v>141.88281256589545</v>
      </c>
      <c r="CA290" s="6">
        <f t="shared" ca="1" si="234"/>
        <v>-52.390572475467046</v>
      </c>
      <c r="CB290" s="6">
        <f t="shared" ca="1" si="235"/>
        <v>-0.35372220275698757</v>
      </c>
      <c r="CC290" s="6">
        <f t="shared" ca="1" si="236"/>
        <v>-2.0672953942629801E-3</v>
      </c>
      <c r="CD290" s="9">
        <f t="shared" si="237"/>
        <v>129.68281256589546</v>
      </c>
      <c r="CE290" s="9">
        <f t="shared" si="238"/>
        <v>-48.190572475467043</v>
      </c>
      <c r="CF290" s="6">
        <f t="shared" si="239"/>
        <v>-0.35578949815125055</v>
      </c>
      <c r="CG290" s="6"/>
      <c r="CH290" s="6"/>
      <c r="CI290" s="6"/>
      <c r="CJ290" s="1"/>
      <c r="CK290" s="6"/>
    </row>
    <row r="291" spans="55:89" x14ac:dyDescent="0.2">
      <c r="BC291">
        <v>5.0440015382635801</v>
      </c>
      <c r="BD291">
        <v>145.2239928575959</v>
      </c>
      <c r="BE291">
        <v>-51.810660965945509</v>
      </c>
      <c r="BF291" s="6">
        <f t="shared" si="226"/>
        <v>5.9404976002312653</v>
      </c>
      <c r="BG291" s="6">
        <f t="shared" si="227"/>
        <v>0.89649606196768516</v>
      </c>
      <c r="BH291" s="6">
        <f t="shared" si="228"/>
        <v>1.1133545072382844E-2</v>
      </c>
      <c r="BI291" s="6">
        <f t="shared" si="229"/>
        <v>1.1133545072382844E-2</v>
      </c>
      <c r="BJ291">
        <v>161.35999206399543</v>
      </c>
      <c r="BK291">
        <v>-57.567401073272784</v>
      </c>
      <c r="BV291" s="38"/>
      <c r="BW291" s="6">
        <f t="shared" si="230"/>
        <v>4.8171087355043198</v>
      </c>
      <c r="BX291" s="9">
        <f t="shared" ca="1" si="231"/>
        <v>18.577585036759544</v>
      </c>
      <c r="BY291" s="9">
        <f t="shared" ca="1" si="232"/>
        <v>-11.035391880767421</v>
      </c>
      <c r="BZ291" s="9">
        <f t="shared" ca="1" si="233"/>
        <v>142.47326609358072</v>
      </c>
      <c r="CA291" s="6">
        <f t="shared" ca="1" si="234"/>
        <v>-52.333952233041138</v>
      </c>
      <c r="CB291" s="6">
        <f t="shared" ca="1" si="235"/>
        <v>-0.3520247350744114</v>
      </c>
      <c r="CC291" s="6">
        <f t="shared" ca="1" si="236"/>
        <v>-1.9016796306111639E-3</v>
      </c>
      <c r="CD291" s="9">
        <f t="shared" si="237"/>
        <v>130.27326609358073</v>
      </c>
      <c r="CE291" s="9">
        <f t="shared" si="238"/>
        <v>-48.133952233041136</v>
      </c>
      <c r="CF291" s="6">
        <f t="shared" si="239"/>
        <v>-0.35392641470502256</v>
      </c>
      <c r="CG291" s="6"/>
      <c r="CH291" s="6"/>
      <c r="CI291" s="6"/>
      <c r="CJ291" s="1"/>
      <c r="CK291" s="6"/>
    </row>
    <row r="292" spans="55:89" x14ac:dyDescent="0.2">
      <c r="BC292">
        <v>5.0614548307835232</v>
      </c>
      <c r="BD292">
        <v>145.31690102603068</v>
      </c>
      <c r="BE292">
        <v>-51.777770292546585</v>
      </c>
      <c r="BF292" s="6">
        <f t="shared" si="226"/>
        <v>5.9409007824025553</v>
      </c>
      <c r="BG292" s="6">
        <f t="shared" si="227"/>
        <v>0.87944595161903205</v>
      </c>
      <c r="BH292" s="6">
        <f t="shared" si="228"/>
        <v>1.073036290109286E-2</v>
      </c>
      <c r="BI292" s="6">
        <f t="shared" si="229"/>
        <v>1.073036290109286E-2</v>
      </c>
      <c r="BJ292">
        <v>161.46322336225631</v>
      </c>
      <c r="BK292">
        <v>-57.530855880607312</v>
      </c>
      <c r="BV292" s="38"/>
      <c r="BW292" s="6">
        <f t="shared" si="230"/>
        <v>4.8345620280242629</v>
      </c>
      <c r="BX292" s="9">
        <f t="shared" ca="1" si="231"/>
        <v>19.03732664171325</v>
      </c>
      <c r="BY292" s="9">
        <f t="shared" ca="1" si="232"/>
        <v>-10.983164795406815</v>
      </c>
      <c r="BZ292" s="9">
        <f t="shared" ca="1" si="233"/>
        <v>142.93300769853442</v>
      </c>
      <c r="CA292" s="6">
        <f t="shared" ca="1" si="234"/>
        <v>-52.281725147680532</v>
      </c>
      <c r="CB292" s="6">
        <f t="shared" ca="1" si="235"/>
        <v>-0.35066106799926994</v>
      </c>
      <c r="CC292" s="6">
        <f t="shared" ca="1" si="236"/>
        <v>-1.7697465767074758E-3</v>
      </c>
      <c r="CD292" s="9">
        <f t="shared" si="237"/>
        <v>130.73300769853444</v>
      </c>
      <c r="CE292" s="9">
        <f t="shared" si="238"/>
        <v>-48.08172514768053</v>
      </c>
      <c r="CF292" s="6">
        <f t="shared" si="239"/>
        <v>-0.35243081457597741</v>
      </c>
      <c r="CG292" s="6"/>
      <c r="CH292" s="6"/>
      <c r="CI292" s="6"/>
      <c r="CJ292" s="1"/>
      <c r="CK292" s="6"/>
    </row>
    <row r="293" spans="55:89" x14ac:dyDescent="0.2">
      <c r="BC293">
        <v>5.0789081233034663</v>
      </c>
      <c r="BD293">
        <v>145.40363143360264</v>
      </c>
      <c r="BE293">
        <v>-51.745351783875002</v>
      </c>
      <c r="BF293" s="6">
        <f t="shared" si="226"/>
        <v>5.9412872629946909</v>
      </c>
      <c r="BG293" s="6">
        <f t="shared" si="227"/>
        <v>0.86237913969122459</v>
      </c>
      <c r="BH293" s="6">
        <f t="shared" si="228"/>
        <v>1.0343882308957221E-2</v>
      </c>
      <c r="BI293" s="6">
        <f t="shared" si="229"/>
        <v>1.0343882308957221E-2</v>
      </c>
      <c r="BJ293">
        <v>161.5595904817807</v>
      </c>
      <c r="BK293">
        <v>-57.494835315416665</v>
      </c>
      <c r="BV293" s="38"/>
      <c r="BW293" s="6">
        <f t="shared" si="230"/>
        <v>4.852015320544206</v>
      </c>
      <c r="BX293" s="9">
        <f t="shared" ca="1" si="231"/>
        <v>19.408707142832313</v>
      </c>
      <c r="BY293" s="9">
        <f t="shared" ca="1" si="232"/>
        <v>-10.934379128054495</v>
      </c>
      <c r="BZ293" s="9">
        <f t="shared" ca="1" si="233"/>
        <v>143.30438819965349</v>
      </c>
      <c r="CA293" s="6">
        <f t="shared" ca="1" si="234"/>
        <v>-52.232939480328213</v>
      </c>
      <c r="CB293" s="6">
        <f t="shared" ca="1" si="235"/>
        <v>-0.34952426425420674</v>
      </c>
      <c r="CC293" s="6">
        <f t="shared" ca="1" si="236"/>
        <v>-1.660507934830191E-3</v>
      </c>
      <c r="CD293" s="9">
        <f t="shared" si="237"/>
        <v>131.1043881996535</v>
      </c>
      <c r="CE293" s="9">
        <f t="shared" si="238"/>
        <v>-48.03293948032821</v>
      </c>
      <c r="CF293" s="6">
        <f t="shared" si="239"/>
        <v>-0.35118477218903693</v>
      </c>
      <c r="CG293" s="6"/>
      <c r="CH293" s="6"/>
      <c r="CI293" s="6"/>
      <c r="CJ293" s="1"/>
      <c r="CK293" s="6"/>
    </row>
    <row r="294" spans="55:89" x14ac:dyDescent="0.2">
      <c r="BC294">
        <v>5.0963614158234094</v>
      </c>
      <c r="BD294">
        <v>145.48491194947704</v>
      </c>
      <c r="BE294">
        <v>-51.713342207363098</v>
      </c>
      <c r="BF294" s="6">
        <f t="shared" si="226"/>
        <v>5.9416590721497524</v>
      </c>
      <c r="BG294" s="6">
        <f t="shared" si="227"/>
        <v>0.84529765632634302</v>
      </c>
      <c r="BH294" s="6">
        <f t="shared" si="228"/>
        <v>9.9720731538956997E-3</v>
      </c>
      <c r="BI294" s="6">
        <f t="shared" si="229"/>
        <v>9.9720731538956997E-3</v>
      </c>
      <c r="BJ294">
        <v>161.64990216608558</v>
      </c>
      <c r="BK294">
        <v>-57.45926911929233</v>
      </c>
      <c r="BV294" s="38"/>
      <c r="BW294" s="6">
        <f t="shared" si="230"/>
        <v>4.8694686130641491</v>
      </c>
      <c r="BX294" s="9">
        <f t="shared" ca="1" si="231"/>
        <v>19.71708060290122</v>
      </c>
      <c r="BY294" s="9">
        <f t="shared" ca="1" si="232"/>
        <v>-10.888371005773877</v>
      </c>
      <c r="BZ294" s="9">
        <f t="shared" ca="1" si="233"/>
        <v>143.61276165972239</v>
      </c>
      <c r="CA294" s="6">
        <f t="shared" ca="1" si="234"/>
        <v>-52.186931358047595</v>
      </c>
      <c r="CB294" s="6">
        <f t="shared" ca="1" si="235"/>
        <v>-0.34855025752854385</v>
      </c>
      <c r="CC294" s="6">
        <f t="shared" ca="1" si="236"/>
        <v>-1.5674410093960978E-3</v>
      </c>
      <c r="CD294" s="9">
        <f t="shared" si="237"/>
        <v>131.41276165972241</v>
      </c>
      <c r="CE294" s="9">
        <f t="shared" si="238"/>
        <v>-47.986931358047592</v>
      </c>
      <c r="CF294" s="6">
        <f t="shared" si="239"/>
        <v>-0.35011769853793995</v>
      </c>
      <c r="CG294" s="6"/>
      <c r="CH294" s="6"/>
      <c r="CI294" s="6"/>
      <c r="CJ294" s="1"/>
      <c r="CK294" s="6"/>
    </row>
    <row r="295" spans="55:89" x14ac:dyDescent="0.2">
      <c r="BC295">
        <v>5.1138147083433525</v>
      </c>
      <c r="BD295">
        <v>145.56135864178765</v>
      </c>
      <c r="BE295">
        <v>-51.68168377160103</v>
      </c>
      <c r="BF295" s="6">
        <f t="shared" si="226"/>
        <v>5.9420179516819811</v>
      </c>
      <c r="BG295" s="6">
        <f t="shared" si="227"/>
        <v>0.8282032433386286</v>
      </c>
      <c r="BH295" s="6">
        <f t="shared" si="228"/>
        <v>9.6131936216670155E-3</v>
      </c>
      <c r="BI295" s="6">
        <f t="shared" si="229"/>
        <v>9.6131936216670155E-3</v>
      </c>
      <c r="BJ295">
        <v>161.73484293531962</v>
      </c>
      <c r="BK295">
        <v>-57.424093079556698</v>
      </c>
      <c r="BV295" s="38"/>
      <c r="BW295" s="6">
        <f t="shared" si="230"/>
        <v>4.8869219055840922</v>
      </c>
      <c r="BX295" s="9">
        <f t="shared" ca="1" si="231"/>
        <v>19.97867516565772</v>
      </c>
      <c r="BY295" s="9">
        <f t="shared" ca="1" si="232"/>
        <v>-10.844654608640326</v>
      </c>
      <c r="BZ295" s="9">
        <f t="shared" ca="1" si="233"/>
        <v>143.87435622247889</v>
      </c>
      <c r="CA295" s="6">
        <f t="shared" ca="1" si="234"/>
        <v>-52.143214960914044</v>
      </c>
      <c r="CB295" s="6">
        <f t="shared" ca="1" si="235"/>
        <v>-0.34769794112432473</v>
      </c>
      <c r="CC295" s="6">
        <f t="shared" ca="1" si="236"/>
        <v>-1.4863922078683367E-3</v>
      </c>
      <c r="CD295" s="9">
        <f t="shared" si="237"/>
        <v>131.67435622247891</v>
      </c>
      <c r="CE295" s="9">
        <f t="shared" si="238"/>
        <v>-47.943214960914041</v>
      </c>
      <c r="CF295" s="6">
        <f t="shared" si="239"/>
        <v>-0.34918433333219306</v>
      </c>
      <c r="CG295" s="6"/>
      <c r="CH295" s="6"/>
      <c r="CI295" s="6"/>
      <c r="CJ295" s="1"/>
      <c r="CK295" s="6"/>
    </row>
    <row r="296" spans="55:89" x14ac:dyDescent="0.2">
      <c r="BC296">
        <v>5.1312680008632956</v>
      </c>
      <c r="BD296">
        <v>145.63349701968136</v>
      </c>
      <c r="BE296">
        <v>-51.650323204368334</v>
      </c>
      <c r="BF296" s="6">
        <f t="shared" si="226"/>
        <v>5.9423654095486285</v>
      </c>
      <c r="BG296" s="6">
        <f t="shared" si="227"/>
        <v>0.81109740868533287</v>
      </c>
      <c r="BH296" s="6">
        <f t="shared" si="228"/>
        <v>9.2657357550196551E-3</v>
      </c>
      <c r="BI296" s="6">
        <f t="shared" si="229"/>
        <v>9.2657357550196551E-3</v>
      </c>
      <c r="BJ296">
        <v>161.81499668853485</v>
      </c>
      <c r="BK296">
        <v>-57.389248004853705</v>
      </c>
      <c r="BV296" s="38"/>
      <c r="BW296" s="6">
        <f t="shared" si="230"/>
        <v>4.9043751981040353</v>
      </c>
      <c r="BX296" s="9">
        <f t="shared" ca="1" si="231"/>
        <v>20.204423518005186</v>
      </c>
      <c r="BY296" s="9">
        <f t="shared" ca="1" si="232"/>
        <v>-10.802860977800087</v>
      </c>
      <c r="BZ296" s="9">
        <f t="shared" ca="1" si="233"/>
        <v>144.10010457482636</v>
      </c>
      <c r="CA296" s="6">
        <f t="shared" ca="1" si="234"/>
        <v>-52.101421330073805</v>
      </c>
      <c r="CB296" s="6">
        <f t="shared" ca="1" si="235"/>
        <v>-0.34693951906962639</v>
      </c>
      <c r="CC296" s="6">
        <f t="shared" ca="1" si="236"/>
        <v>-1.4145707980282027E-3</v>
      </c>
      <c r="CD296" s="9">
        <f t="shared" si="237"/>
        <v>131.90010457482637</v>
      </c>
      <c r="CE296" s="9">
        <f t="shared" si="238"/>
        <v>-47.901421330073802</v>
      </c>
      <c r="CF296" s="6">
        <f t="shared" si="239"/>
        <v>-0.34835408986765459</v>
      </c>
      <c r="CG296" s="6"/>
      <c r="CH296" s="6"/>
      <c r="CI296" s="6"/>
      <c r="CJ296" s="1"/>
      <c r="CK296" s="6"/>
    </row>
    <row r="297" spans="55:89" x14ac:dyDescent="0.2">
      <c r="BC297">
        <v>5.1487212933832387</v>
      </c>
      <c r="BD297">
        <v>145.70177853723402</v>
      </c>
      <c r="BE297">
        <v>-51.619210983688539</v>
      </c>
      <c r="BF297" s="6">
        <f t="shared" si="226"/>
        <v>5.942702762419362</v>
      </c>
      <c r="BG297" s="6">
        <f t="shared" si="227"/>
        <v>0.79398146903612332</v>
      </c>
      <c r="BH297" s="6">
        <f t="shared" si="228"/>
        <v>8.9283828842861013E-3</v>
      </c>
      <c r="BI297" s="6">
        <f t="shared" si="229"/>
        <v>8.9283828842861013E-3</v>
      </c>
      <c r="BJ297">
        <v>161.89086504137114</v>
      </c>
      <c r="BK297">
        <v>-57.354678870765042</v>
      </c>
      <c r="BV297" s="38"/>
      <c r="BW297" s="6">
        <f t="shared" si="230"/>
        <v>4.9218284906239784</v>
      </c>
      <c r="BX297" s="9">
        <f t="shared" ca="1" si="231"/>
        <v>20.401995494461843</v>
      </c>
      <c r="BY297" s="9">
        <f t="shared" ca="1" si="232"/>
        <v>-10.762701437115723</v>
      </c>
      <c r="BZ297" s="9">
        <f t="shared" ca="1" si="233"/>
        <v>144.29767655128302</v>
      </c>
      <c r="CA297" s="6">
        <f t="shared" ca="1" si="234"/>
        <v>-52.061261789389441</v>
      </c>
      <c r="CB297" s="6">
        <f t="shared" ca="1" si="235"/>
        <v>-0.34625539903543812</v>
      </c>
      <c r="CC297" s="6">
        <f t="shared" ca="1" si="236"/>
        <v>-1.3500205183900049E-3</v>
      </c>
      <c r="CD297" s="9">
        <f t="shared" si="237"/>
        <v>132.09767655128303</v>
      </c>
      <c r="CE297" s="9">
        <f t="shared" si="238"/>
        <v>-47.861261789389438</v>
      </c>
      <c r="CF297" s="6">
        <f t="shared" si="239"/>
        <v>-0.34760541955382812</v>
      </c>
      <c r="CG297" s="6"/>
      <c r="CH297" s="6"/>
      <c r="CI297" s="6"/>
      <c r="CJ297" s="1"/>
      <c r="CK297" s="6"/>
    </row>
    <row r="298" spans="55:89" x14ac:dyDescent="0.2">
      <c r="BC298">
        <v>5.1661745859031818</v>
      </c>
      <c r="BD298">
        <v>145.76659358166702</v>
      </c>
      <c r="BE298">
        <v>-51.58830070135857</v>
      </c>
      <c r="BF298" s="6">
        <f t="shared" si="226"/>
        <v>5.9430311693121398</v>
      </c>
      <c r="BG298" s="6">
        <f t="shared" si="227"/>
        <v>0.77685658340895802</v>
      </c>
      <c r="BH298" s="6">
        <f t="shared" si="228"/>
        <v>8.5999759915083036E-3</v>
      </c>
      <c r="BI298" s="6">
        <f t="shared" si="229"/>
        <v>8.5999759915083036E-3</v>
      </c>
      <c r="BJ298">
        <v>161.96288175740781</v>
      </c>
      <c r="BK298">
        <v>-57.320334112620628</v>
      </c>
      <c r="BV298" s="38"/>
      <c r="BW298" s="6">
        <f t="shared" si="230"/>
        <v>4.9392817831439215</v>
      </c>
      <c r="BX298" s="9">
        <f t="shared" ca="1" si="231"/>
        <v>20.576951911594435</v>
      </c>
      <c r="BY298" s="9">
        <f t="shared" ca="1" si="232"/>
        <v>-10.723944523066443</v>
      </c>
      <c r="BZ298" s="9">
        <f t="shared" ca="1" si="233"/>
        <v>144.47263296841561</v>
      </c>
      <c r="CA298" s="6">
        <f t="shared" ca="1" si="234"/>
        <v>-52.022504875340161</v>
      </c>
      <c r="CB298" s="6">
        <f t="shared" ca="1" si="235"/>
        <v>-0.34563129719357583</v>
      </c>
      <c r="CC298" s="6">
        <f t="shared" ca="1" si="236"/>
        <v>-1.2913220468554476E-3</v>
      </c>
      <c r="CD298" s="9">
        <f t="shared" si="237"/>
        <v>132.27263296841562</v>
      </c>
      <c r="CE298" s="9">
        <f t="shared" si="238"/>
        <v>-47.822504875340158</v>
      </c>
      <c r="CF298" s="6">
        <f t="shared" si="239"/>
        <v>-0.34692261924043127</v>
      </c>
      <c r="CG298" s="6"/>
      <c r="CH298" s="6"/>
      <c r="CI298" s="6"/>
      <c r="CJ298" s="1"/>
      <c r="CK298" s="6"/>
    </row>
    <row r="299" spans="55:89" x14ac:dyDescent="0.2">
      <c r="BC299">
        <v>5.1836278784231249</v>
      </c>
      <c r="BD299">
        <v>145.82828178220697</v>
      </c>
      <c r="BE299">
        <v>-51.557548520210872</v>
      </c>
      <c r="BF299" s="6">
        <f t="shared" si="226"/>
        <v>5.9433516584793065</v>
      </c>
      <c r="BG299" s="6">
        <f t="shared" si="227"/>
        <v>0.75972378005618157</v>
      </c>
      <c r="BH299" s="6">
        <f t="shared" si="228"/>
        <v>8.2794868243416531E-3</v>
      </c>
      <c r="BI299" s="6">
        <f t="shared" si="229"/>
        <v>8.2794868243416531E-3</v>
      </c>
      <c r="BJ299">
        <v>162.0314242024522</v>
      </c>
      <c r="BK299">
        <v>-57.286165022456522</v>
      </c>
      <c r="BV299" s="38"/>
      <c r="BW299" s="6">
        <f t="shared" si="230"/>
        <v>4.9567350756638646</v>
      </c>
      <c r="BX299" s="9">
        <f t="shared" ca="1" si="231"/>
        <v>20.733435978482603</v>
      </c>
      <c r="BY299" s="9">
        <f t="shared" ca="1" si="232"/>
        <v>-10.686400768472126</v>
      </c>
      <c r="BZ299" s="9">
        <f t="shared" ca="1" si="233"/>
        <v>144.62911703530378</v>
      </c>
      <c r="CA299" s="6">
        <f t="shared" ca="1" si="234"/>
        <v>-51.984961120745844</v>
      </c>
      <c r="CB299" s="6">
        <f t="shared" ca="1" si="235"/>
        <v>-0.34505650407200533</v>
      </c>
      <c r="CC299" s="6">
        <f t="shared" ca="1" si="236"/>
        <v>-1.2374158169334295E-3</v>
      </c>
      <c r="CD299" s="9">
        <f t="shared" si="237"/>
        <v>132.42911703530379</v>
      </c>
      <c r="CE299" s="9">
        <f t="shared" si="238"/>
        <v>-47.784961120745841</v>
      </c>
      <c r="CF299" s="6">
        <f t="shared" si="239"/>
        <v>-0.34629391988893876</v>
      </c>
      <c r="CG299" s="6"/>
      <c r="CH299" s="6"/>
      <c r="CI299" s="6"/>
      <c r="CJ299" s="1"/>
      <c r="CK299" s="6"/>
    </row>
    <row r="300" spans="55:89" x14ac:dyDescent="0.2">
      <c r="BC300">
        <v>5.201081170943068</v>
      </c>
      <c r="BD300">
        <v>145.88714028270962</v>
      </c>
      <c r="BE300">
        <v>-51.526912712922737</v>
      </c>
      <c r="BF300" s="6">
        <f t="shared" si="226"/>
        <v>5.943665149107404</v>
      </c>
      <c r="BG300" s="6">
        <f t="shared" si="227"/>
        <v>0.74258397816433597</v>
      </c>
      <c r="BH300" s="6">
        <f t="shared" si="228"/>
        <v>7.9659961962441628E-3</v>
      </c>
      <c r="BI300" s="6">
        <f t="shared" si="229"/>
        <v>7.9659961962441628E-3</v>
      </c>
      <c r="BJ300">
        <v>162.09682253634404</v>
      </c>
      <c r="BK300">
        <v>-57.252125236580817</v>
      </c>
      <c r="BV300" s="38"/>
      <c r="BW300" s="6">
        <f t="shared" si="230"/>
        <v>4.9741883681838077</v>
      </c>
      <c r="BX300" s="9">
        <f t="shared" ca="1" si="231"/>
        <v>20.874606464371183</v>
      </c>
      <c r="BY300" s="9">
        <f t="shared" ca="1" si="232"/>
        <v>-10.649912298076835</v>
      </c>
      <c r="BZ300" s="9">
        <f t="shared" ca="1" si="233"/>
        <v>144.77028752119236</v>
      </c>
      <c r="CA300" s="6">
        <f t="shared" ca="1" si="234"/>
        <v>-51.948472650350553</v>
      </c>
      <c r="CB300" s="6">
        <f t="shared" ca="1" si="235"/>
        <v>-0.34452279779214667</v>
      </c>
      <c r="CC300" s="6">
        <f t="shared" ca="1" si="236"/>
        <v>-1.1874915443756404E-3</v>
      </c>
      <c r="CD300" s="9">
        <f t="shared" si="237"/>
        <v>132.57028752119237</v>
      </c>
      <c r="CE300" s="9">
        <f t="shared" si="238"/>
        <v>-47.74847265035055</v>
      </c>
      <c r="CF300" s="6">
        <f t="shared" si="239"/>
        <v>-0.34571028933652231</v>
      </c>
      <c r="CG300" s="6"/>
      <c r="CH300" s="6"/>
      <c r="CI300" s="6"/>
      <c r="CJ300" s="1"/>
      <c r="CK300" s="6"/>
    </row>
    <row r="301" spans="55:89" x14ac:dyDescent="0.2">
      <c r="BC301">
        <v>5.2185344634630111</v>
      </c>
      <c r="BD301">
        <v>145.94343043172009</v>
      </c>
      <c r="BE301">
        <v>-51.496353261433363</v>
      </c>
      <c r="BF301" s="6">
        <f t="shared" si="226"/>
        <v>5.9439724690102027</v>
      </c>
      <c r="BG301" s="6">
        <f t="shared" si="227"/>
        <v>0.72543800554719162</v>
      </c>
      <c r="BH301" s="6">
        <f t="shared" si="228"/>
        <v>7.6586762934454091E-3</v>
      </c>
      <c r="BI301" s="6">
        <f t="shared" si="229"/>
        <v>7.6586762934454091E-3</v>
      </c>
      <c r="BJ301">
        <v>162.15936714635566</v>
      </c>
      <c r="BK301">
        <v>-57.21817029048151</v>
      </c>
      <c r="BV301" s="38"/>
      <c r="BW301" s="6">
        <f t="shared" si="230"/>
        <v>4.9916416607037508</v>
      </c>
      <c r="BX301" s="9">
        <f t="shared" ca="1" si="231"/>
        <v>21.002919382199408</v>
      </c>
      <c r="BY301" s="9">
        <f t="shared" ca="1" si="232"/>
        <v>-10.614345495093282</v>
      </c>
      <c r="BZ301" s="9">
        <f t="shared" ca="1" si="233"/>
        <v>144.89860043902058</v>
      </c>
      <c r="CA301" s="6">
        <f t="shared" ca="1" si="234"/>
        <v>-51.912905847367</v>
      </c>
      <c r="CB301" s="6">
        <f t="shared" ca="1" si="235"/>
        <v>-0.34402373674934056</v>
      </c>
      <c r="CC301" s="6">
        <f t="shared" ca="1" si="236"/>
        <v>-1.1409166509539492E-3</v>
      </c>
      <c r="CD301" s="9">
        <f t="shared" si="237"/>
        <v>132.69860043902059</v>
      </c>
      <c r="CE301" s="9">
        <f t="shared" si="238"/>
        <v>-47.712905847366997</v>
      </c>
      <c r="CF301" s="6">
        <f t="shared" si="239"/>
        <v>-0.34516465340029451</v>
      </c>
      <c r="CG301" s="6"/>
      <c r="CH301" s="6"/>
      <c r="CI301" s="6"/>
      <c r="CJ301" s="1"/>
      <c r="CK301" s="6"/>
    </row>
    <row r="302" spans="55:89" x14ac:dyDescent="0.2">
      <c r="BC302">
        <v>5.2359877559829542</v>
      </c>
      <c r="BD302">
        <v>145.9973832245818</v>
      </c>
      <c r="BE302">
        <v>-51.465831498751307</v>
      </c>
      <c r="BF302" s="6">
        <f t="shared" si="226"/>
        <v>5.9442743692012927</v>
      </c>
      <c r="BG302" s="6">
        <f t="shared" si="227"/>
        <v>0.70828661321833852</v>
      </c>
      <c r="BH302" s="6">
        <f t="shared" si="228"/>
        <v>7.3567761023554112E-3</v>
      </c>
      <c r="BI302" s="6">
        <f t="shared" si="229"/>
        <v>7.3567761023554112E-3</v>
      </c>
      <c r="BJ302">
        <v>162.21931469397978</v>
      </c>
      <c r="BK302">
        <v>-57.18425722083478</v>
      </c>
      <c r="BV302" s="38"/>
      <c r="BW302" s="6">
        <f t="shared" si="230"/>
        <v>5.0090949532236939</v>
      </c>
      <c r="BX302" s="9">
        <f t="shared" ca="1" si="231"/>
        <v>21.120317062752079</v>
      </c>
      <c r="BY302" s="9">
        <f t="shared" ca="1" si="232"/>
        <v>-10.579585696925292</v>
      </c>
      <c r="BZ302" s="9">
        <f t="shared" ca="1" si="233"/>
        <v>145.01599811957325</v>
      </c>
      <c r="CA302" s="6">
        <f t="shared" ca="1" si="234"/>
        <v>-51.87814604919901</v>
      </c>
      <c r="CB302" s="6">
        <f t="shared" ca="1" si="235"/>
        <v>-0.34355418421021994</v>
      </c>
      <c r="CC302" s="6">
        <f t="shared" ca="1" si="236"/>
        <v>-1.0971883523492876E-3</v>
      </c>
      <c r="CD302" s="9">
        <f t="shared" si="237"/>
        <v>132.81599811957327</v>
      </c>
      <c r="CE302" s="9">
        <f t="shared" si="238"/>
        <v>-47.678146049199007</v>
      </c>
      <c r="CF302" s="6">
        <f t="shared" si="239"/>
        <v>-0.34465137256256922</v>
      </c>
      <c r="CG302" s="6"/>
      <c r="CH302" s="6"/>
      <c r="CI302" s="6"/>
      <c r="CJ302" s="1"/>
      <c r="CK302" s="6"/>
    </row>
    <row r="303" spans="55:89" x14ac:dyDescent="0.2">
      <c r="BC303">
        <v>5.2534410485028973</v>
      </c>
      <c r="BD303">
        <v>146.04920379124476</v>
      </c>
      <c r="BE303">
        <v>-51.435309798686887</v>
      </c>
      <c r="BF303" s="6">
        <f t="shared" si="226"/>
        <v>5.9445715359851246</v>
      </c>
      <c r="BG303" s="6">
        <f t="shared" si="227"/>
        <v>0.69113048748222727</v>
      </c>
      <c r="BH303" s="6">
        <f t="shared" si="228"/>
        <v>7.0596093185235631E-3</v>
      </c>
      <c r="BI303" s="6">
        <f t="shared" si="229"/>
        <v>7.0596093185235631E-3</v>
      </c>
      <c r="BJ303">
        <v>162.27689310138308</v>
      </c>
      <c r="BK303">
        <v>-57.150344220763209</v>
      </c>
      <c r="BV303" s="38"/>
      <c r="BW303" s="6">
        <f t="shared" si="230"/>
        <v>5.026548245743637</v>
      </c>
      <c r="BX303" s="9">
        <f t="shared" ca="1" si="231"/>
        <v>21.228358564868287</v>
      </c>
      <c r="BY303" s="9">
        <f t="shared" ca="1" si="232"/>
        <v>-10.545533263470219</v>
      </c>
      <c r="BZ303" s="9">
        <f t="shared" ca="1" si="233"/>
        <v>145.12403962168946</v>
      </c>
      <c r="CA303" s="6">
        <f t="shared" ca="1" si="234"/>
        <v>-51.844093615743937</v>
      </c>
      <c r="CB303" s="6">
        <f t="shared" ca="1" si="235"/>
        <v>-0.34310997979617885</v>
      </c>
      <c r="CC303" s="6">
        <f t="shared" ca="1" si="236"/>
        <v>-1.0559006718792729E-3</v>
      </c>
      <c r="CD303" s="9">
        <f t="shared" si="237"/>
        <v>132.92403962168947</v>
      </c>
      <c r="CE303" s="9">
        <f t="shared" si="238"/>
        <v>-47.644093615743934</v>
      </c>
      <c r="CF303" s="6">
        <f t="shared" si="239"/>
        <v>-0.34416588046805813</v>
      </c>
      <c r="CG303" s="6"/>
      <c r="CH303" s="6"/>
      <c r="CI303" s="6"/>
      <c r="CJ303" s="1"/>
      <c r="CK303" s="6"/>
    </row>
    <row r="304" spans="55:89" x14ac:dyDescent="0.2">
      <c r="BC304">
        <v>5.2708943410228404</v>
      </c>
      <c r="BD304">
        <v>146.09907509379326</v>
      </c>
      <c r="BE304">
        <v>-51.40475128768734</v>
      </c>
      <c r="BF304" s="6">
        <f t="shared" si="226"/>
        <v>5.9448646011072022</v>
      </c>
      <c r="BG304" s="6">
        <f t="shared" si="227"/>
        <v>0.67397026008436178</v>
      </c>
      <c r="BH304" s="6">
        <f t="shared" si="228"/>
        <v>6.7665441964459561E-3</v>
      </c>
      <c r="BI304" s="6">
        <f t="shared" si="229"/>
        <v>6.7665441964459561E-3</v>
      </c>
      <c r="BJ304">
        <v>162.3323056597703</v>
      </c>
      <c r="BK304">
        <v>-57.116390319652595</v>
      </c>
      <c r="BV304" s="38"/>
      <c r="BW304" s="6">
        <f t="shared" si="230"/>
        <v>5.0440015382635801</v>
      </c>
      <c r="BX304" s="9">
        <f t="shared" ca="1" si="231"/>
        <v>21.328311800774728</v>
      </c>
      <c r="BY304" s="9">
        <f t="shared" ca="1" si="232"/>
        <v>-10.512100613671791</v>
      </c>
      <c r="BZ304" s="9">
        <f t="shared" ca="1" si="233"/>
        <v>145.2239928575959</v>
      </c>
      <c r="CA304" s="6">
        <f t="shared" ca="1" si="234"/>
        <v>-51.810660965945509</v>
      </c>
      <c r="CB304" s="6">
        <f t="shared" ca="1" si="235"/>
        <v>-0.34268770694832135</v>
      </c>
      <c r="CC304" s="6">
        <f t="shared" ca="1" si="236"/>
        <v>-1.0167211702569732E-3</v>
      </c>
      <c r="CD304" s="9">
        <f t="shared" si="237"/>
        <v>133.02399285759591</v>
      </c>
      <c r="CE304" s="9">
        <f t="shared" si="238"/>
        <v>-47.610660965945506</v>
      </c>
      <c r="CF304" s="6">
        <f t="shared" si="239"/>
        <v>-0.34370442811857832</v>
      </c>
      <c r="CG304" s="6"/>
      <c r="CH304" s="6"/>
      <c r="CI304" s="6"/>
      <c r="CJ304" s="1"/>
      <c r="CK304" s="6"/>
    </row>
    <row r="305" spans="55:89" x14ac:dyDescent="0.2">
      <c r="BC305">
        <v>5.2883476335427835</v>
      </c>
      <c r="BD305">
        <v>146.14716100891988</v>
      </c>
      <c r="BE305">
        <v>-51.37411958243549</v>
      </c>
      <c r="BF305" s="6">
        <f t="shared" si="226"/>
        <v>5.9451541503410734</v>
      </c>
      <c r="BG305" s="6">
        <f t="shared" si="227"/>
        <v>0.65680651679828994</v>
      </c>
      <c r="BH305" s="6">
        <f t="shared" si="228"/>
        <v>6.4769949625747003E-3</v>
      </c>
      <c r="BI305" s="6">
        <f t="shared" si="229"/>
        <v>6.4769949625747003E-3</v>
      </c>
      <c r="BJ305">
        <v>162.38573445435543</v>
      </c>
      <c r="BK305">
        <v>-57.082355091594991</v>
      </c>
      <c r="BV305" s="38"/>
      <c r="BW305" s="6">
        <f t="shared" si="230"/>
        <v>5.0614548307835232</v>
      </c>
      <c r="BX305" s="9">
        <f t="shared" ca="1" si="231"/>
        <v>21.421219969209503</v>
      </c>
      <c r="BY305" s="9">
        <f t="shared" ca="1" si="232"/>
        <v>-10.479209940272867</v>
      </c>
      <c r="BZ305" s="9">
        <f t="shared" ca="1" si="233"/>
        <v>145.31690102603068</v>
      </c>
      <c r="CA305" s="6">
        <f t="shared" ca="1" si="234"/>
        <v>-51.777770292546585</v>
      </c>
      <c r="CB305" s="6">
        <f t="shared" ca="1" si="235"/>
        <v>-0.34228452477703131</v>
      </c>
      <c r="CC305" s="6">
        <f t="shared" ca="1" si="236"/>
        <v>-9.7937417095145252E-4</v>
      </c>
      <c r="CD305" s="9">
        <f t="shared" si="237"/>
        <v>133.11690102603069</v>
      </c>
      <c r="CE305" s="9">
        <f t="shared" si="238"/>
        <v>-47.577770292546582</v>
      </c>
      <c r="CF305" s="6">
        <f t="shared" si="239"/>
        <v>-0.34326389894798276</v>
      </c>
      <c r="CG305" s="6"/>
      <c r="CH305" s="6"/>
      <c r="CI305" s="6"/>
      <c r="CJ305" s="1"/>
      <c r="CK305" s="6"/>
    </row>
    <row r="306" spans="55:89" x14ac:dyDescent="0.2">
      <c r="BC306">
        <v>5.3058009260627266</v>
      </c>
      <c r="BD306">
        <v>146.19360891216863</v>
      </c>
      <c r="BE306">
        <v>-51.343378545962004</v>
      </c>
      <c r="BF306" s="6">
        <f t="shared" si="226"/>
        <v>5.9454407308250676</v>
      </c>
      <c r="BG306" s="6">
        <f t="shared" si="227"/>
        <v>0.63963980476234106</v>
      </c>
      <c r="BH306" s="6">
        <f t="shared" si="228"/>
        <v>6.190414478580486E-3</v>
      </c>
      <c r="BI306" s="6">
        <f t="shared" si="229"/>
        <v>6.190414478580486E-3</v>
      </c>
      <c r="BJ306">
        <v>162.43734323574293</v>
      </c>
      <c r="BK306">
        <v>-57.048198384402227</v>
      </c>
      <c r="BV306" s="38"/>
      <c r="BW306" s="6">
        <f t="shared" si="230"/>
        <v>5.0789081233034663</v>
      </c>
      <c r="BX306" s="9">
        <f t="shared" ca="1" si="231"/>
        <v>21.507950376781466</v>
      </c>
      <c r="BY306" s="9">
        <f t="shared" ca="1" si="232"/>
        <v>-10.446791431601284</v>
      </c>
      <c r="BZ306" s="9">
        <f t="shared" ca="1" si="233"/>
        <v>145.40363143360264</v>
      </c>
      <c r="CA306" s="6">
        <f t="shared" ca="1" si="234"/>
        <v>-51.745351783875002</v>
      </c>
      <c r="CB306" s="6">
        <f t="shared" ca="1" si="235"/>
        <v>-0.34189804418489533</v>
      </c>
      <c r="CC306" s="6">
        <f t="shared" ca="1" si="236"/>
        <v>-9.4362843760481541E-4</v>
      </c>
      <c r="CD306" s="9">
        <f t="shared" si="237"/>
        <v>133.20363143360265</v>
      </c>
      <c r="CE306" s="9">
        <f t="shared" si="238"/>
        <v>-47.545351783874999</v>
      </c>
      <c r="CF306" s="6">
        <f t="shared" si="239"/>
        <v>-0.34284167262250015</v>
      </c>
      <c r="CG306" s="6"/>
      <c r="CH306" s="6"/>
      <c r="CI306" s="6"/>
      <c r="CJ306" s="1"/>
      <c r="CK306" s="6"/>
    </row>
    <row r="307" spans="55:89" x14ac:dyDescent="0.2">
      <c r="BC307">
        <v>5.3232542185826697</v>
      </c>
      <c r="BD307">
        <v>146.23855185106262</v>
      </c>
      <c r="BE307">
        <v>-51.31249205419487</v>
      </c>
      <c r="BF307" s="6">
        <f t="shared" si="226"/>
        <v>5.9457248573988482</v>
      </c>
      <c r="BG307" s="6">
        <f t="shared" si="227"/>
        <v>0.62247063881617848</v>
      </c>
      <c r="BH307" s="6">
        <f t="shared" si="228"/>
        <v>5.9062879047999672E-3</v>
      </c>
      <c r="BI307" s="6">
        <f t="shared" si="229"/>
        <v>5.9062879047999672E-3</v>
      </c>
      <c r="BJ307">
        <v>162.48727983451403</v>
      </c>
      <c r="BK307">
        <v>-57.013880060216522</v>
      </c>
      <c r="BV307" s="38"/>
      <c r="BW307" s="6">
        <f t="shared" si="230"/>
        <v>5.0963614158234094</v>
      </c>
      <c r="BX307" s="9">
        <f t="shared" ca="1" si="231"/>
        <v>21.589230892655863</v>
      </c>
      <c r="BY307" s="9">
        <f t="shared" ca="1" si="232"/>
        <v>-10.41478185508938</v>
      </c>
      <c r="BZ307" s="9">
        <f t="shared" ca="1" si="233"/>
        <v>145.48491194947704</v>
      </c>
      <c r="CA307" s="6">
        <f t="shared" ca="1" si="234"/>
        <v>-51.713342207363098</v>
      </c>
      <c r="CB307" s="6">
        <f t="shared" ca="1" si="235"/>
        <v>-0.34152623502983337</v>
      </c>
      <c r="CC307" s="6">
        <f t="shared" ca="1" si="236"/>
        <v>-9.0928796418449087E-4</v>
      </c>
      <c r="CD307" s="9">
        <f t="shared" si="237"/>
        <v>133.28491194947705</v>
      </c>
      <c r="CE307" s="9">
        <f t="shared" si="238"/>
        <v>-47.513342207363095</v>
      </c>
      <c r="CF307" s="6">
        <f t="shared" si="239"/>
        <v>-0.34243552299401786</v>
      </c>
      <c r="CG307" s="6"/>
      <c r="CH307" s="6"/>
      <c r="CI307" s="6"/>
      <c r="CJ307" s="1"/>
      <c r="CK307" s="6"/>
    </row>
    <row r="308" spans="55:89" x14ac:dyDescent="0.2">
      <c r="BC308">
        <v>5.3407075111026128</v>
      </c>
      <c r="BD308">
        <v>146.28211039115098</v>
      </c>
      <c r="BE308">
        <v>-51.281423773263221</v>
      </c>
      <c r="BF308" s="6">
        <f t="shared" si="226"/>
        <v>5.9460070181289364</v>
      </c>
      <c r="BG308" s="6">
        <f t="shared" si="227"/>
        <v>0.60529950702632362</v>
      </c>
      <c r="BH308" s="6">
        <f t="shared" si="228"/>
        <v>5.6241271747117247E-3</v>
      </c>
      <c r="BI308" s="6">
        <f t="shared" si="229"/>
        <v>5.6241271747117247E-3</v>
      </c>
      <c r="BJ308">
        <v>162.53567821238997</v>
      </c>
      <c r="BK308">
        <v>-56.979359748070245</v>
      </c>
      <c r="BV308" s="38"/>
      <c r="BW308" s="6">
        <f t="shared" si="230"/>
        <v>5.1138147083433525</v>
      </c>
      <c r="BX308" s="9">
        <f t="shared" ca="1" si="231"/>
        <v>21.665677584966474</v>
      </c>
      <c r="BY308" s="9">
        <f t="shared" ca="1" si="232"/>
        <v>-10.383123419327312</v>
      </c>
      <c r="BZ308" s="9">
        <f t="shared" ca="1" si="233"/>
        <v>145.56135864178765</v>
      </c>
      <c r="CA308" s="6">
        <f t="shared" ca="1" si="234"/>
        <v>-51.68168377160103</v>
      </c>
      <c r="CB308" s="6">
        <f t="shared" ca="1" si="235"/>
        <v>-0.34116735549760524</v>
      </c>
      <c r="CC308" s="6">
        <f t="shared" ca="1" si="236"/>
        <v>-8.76184986079942E-4</v>
      </c>
      <c r="CD308" s="9">
        <f t="shared" si="237"/>
        <v>133.36135864178766</v>
      </c>
      <c r="CE308" s="9">
        <f t="shared" si="238"/>
        <v>-47.481683771601027</v>
      </c>
      <c r="CF308" s="6">
        <f t="shared" si="239"/>
        <v>-0.34204354048368518</v>
      </c>
      <c r="CG308" s="6"/>
      <c r="CH308" s="6"/>
      <c r="CI308" s="6"/>
      <c r="CJ308" s="1"/>
      <c r="CK308" s="6"/>
    </row>
    <row r="309" spans="55:89" x14ac:dyDescent="0.2">
      <c r="BC309">
        <v>5.3581608036225559</v>
      </c>
      <c r="BD309">
        <v>146.3243941809738</v>
      </c>
      <c r="BE309">
        <v>-51.250136937676096</v>
      </c>
      <c r="BF309" s="6">
        <f t="shared" si="226"/>
        <v>5.9462876791905757</v>
      </c>
      <c r="BG309" s="6">
        <f t="shared" si="227"/>
        <v>0.58812687556801979</v>
      </c>
      <c r="BH309" s="6">
        <f t="shared" si="228"/>
        <v>5.3434661130724592E-3</v>
      </c>
      <c r="BI309" s="6">
        <f t="shared" si="229"/>
        <v>5.3434661130724592E-3</v>
      </c>
      <c r="BJ309">
        <v>162.58266020108201</v>
      </c>
      <c r="BK309">
        <v>-56.944596597417885</v>
      </c>
      <c r="BV309" s="38"/>
      <c r="BW309" s="6">
        <f t="shared" si="230"/>
        <v>5.1312680008632956</v>
      </c>
      <c r="BX309" s="9">
        <f t="shared" ca="1" si="231"/>
        <v>21.737815962860182</v>
      </c>
      <c r="BY309" s="9">
        <f t="shared" ca="1" si="232"/>
        <v>-10.351762852094616</v>
      </c>
      <c r="BZ309" s="9">
        <f t="shared" ca="1" si="233"/>
        <v>145.63349701968136</v>
      </c>
      <c r="CA309" s="6">
        <f t="shared" ca="1" si="234"/>
        <v>-51.650323204368334</v>
      </c>
      <c r="CB309" s="6">
        <f t="shared" ca="1" si="235"/>
        <v>-0.3408198976309576</v>
      </c>
      <c r="CC309" s="6">
        <f t="shared" ca="1" si="236"/>
        <v>-8.4417460271818401E-4</v>
      </c>
      <c r="CD309" s="9">
        <f t="shared" si="237"/>
        <v>133.43349701968137</v>
      </c>
      <c r="CE309" s="9">
        <f t="shared" si="238"/>
        <v>-47.450323204368331</v>
      </c>
      <c r="CF309" s="6">
        <f t="shared" si="239"/>
        <v>-0.34166407223367579</v>
      </c>
      <c r="CG309" s="6"/>
      <c r="CH309" s="6"/>
      <c r="CI309" s="6"/>
      <c r="CJ309" s="1"/>
      <c r="CK309" s="6"/>
    </row>
    <row r="310" spans="55:89" x14ac:dyDescent="0.2">
      <c r="BC310">
        <v>5.375614096142499</v>
      </c>
      <c r="BD310">
        <v>146.36550330086371</v>
      </c>
      <c r="BE310">
        <v>-51.218594133884501</v>
      </c>
      <c r="BF310" s="6">
        <f t="shared" si="226"/>
        <v>5.9465672892242667</v>
      </c>
      <c r="BG310" s="6">
        <f t="shared" si="227"/>
        <v>0.57095319308176773</v>
      </c>
      <c r="BH310" s="6">
        <f t="shared" si="228"/>
        <v>5.0638560793814244E-3</v>
      </c>
      <c r="BI310" s="6">
        <f t="shared" si="229"/>
        <v>5.0638560793814244E-3</v>
      </c>
      <c r="BJ310">
        <v>162.62833700095968</v>
      </c>
      <c r="BK310">
        <v>-56.909549037649441</v>
      </c>
      <c r="BV310" s="38"/>
      <c r="BW310" s="6">
        <f t="shared" si="230"/>
        <v>5.1487212933832387</v>
      </c>
      <c r="BX310" s="9">
        <f t="shared" ca="1" si="231"/>
        <v>21.806097480412845</v>
      </c>
      <c r="BY310" s="9">
        <f t="shared" ca="1" si="232"/>
        <v>-10.320650631414821</v>
      </c>
      <c r="BZ310" s="9">
        <f t="shared" ca="1" si="233"/>
        <v>145.70177853723402</v>
      </c>
      <c r="CA310" s="6">
        <f t="shared" ca="1" si="234"/>
        <v>-51.619210983688539</v>
      </c>
      <c r="CB310" s="6">
        <f t="shared" ca="1" si="235"/>
        <v>-0.3404825447602246</v>
      </c>
      <c r="CC310" s="6">
        <f t="shared" ca="1" si="236"/>
        <v>-8.1313058490839463E-4</v>
      </c>
      <c r="CD310" s="9">
        <f t="shared" si="237"/>
        <v>133.50177853723403</v>
      </c>
      <c r="CE310" s="9">
        <f t="shared" si="238"/>
        <v>-47.419210983688536</v>
      </c>
      <c r="CF310" s="6">
        <f t="shared" si="239"/>
        <v>-0.341295675345133</v>
      </c>
      <c r="CG310" s="6"/>
      <c r="CH310" s="6"/>
      <c r="CI310" s="6"/>
      <c r="CJ310" s="1"/>
      <c r="CK310" s="6"/>
    </row>
    <row r="311" spans="55:89" x14ac:dyDescent="0.2">
      <c r="BC311">
        <v>5.3930673886624421</v>
      </c>
      <c r="BD311">
        <v>146.40552941289317</v>
      </c>
      <c r="BE311">
        <v>-51.186757076359406</v>
      </c>
      <c r="BF311" s="6">
        <f t="shared" si="226"/>
        <v>5.946846283287913</v>
      </c>
      <c r="BG311" s="6">
        <f t="shared" si="227"/>
        <v>0.55377889462547092</v>
      </c>
      <c r="BH311" s="6">
        <f t="shared" si="228"/>
        <v>4.7848620157351371E-3</v>
      </c>
      <c r="BI311" s="6">
        <f t="shared" si="229"/>
        <v>4.7848620157351371E-3</v>
      </c>
      <c r="BJ311">
        <v>162.67281045877019</v>
      </c>
      <c r="BK311">
        <v>-56.874174529288226</v>
      </c>
      <c r="BV311" s="38"/>
      <c r="BW311" s="6">
        <f t="shared" si="230"/>
        <v>5.1661745859031818</v>
      </c>
      <c r="BX311" s="9">
        <f t="shared" ca="1" si="231"/>
        <v>21.870912524845849</v>
      </c>
      <c r="BY311" s="9">
        <f t="shared" ca="1" si="232"/>
        <v>-10.289740349084852</v>
      </c>
      <c r="BZ311" s="9">
        <f t="shared" ca="1" si="233"/>
        <v>145.76659358166702</v>
      </c>
      <c r="CA311" s="6">
        <f t="shared" ca="1" si="234"/>
        <v>-51.58830070135857</v>
      </c>
      <c r="CB311" s="6">
        <f t="shared" ca="1" si="235"/>
        <v>-0.3401541378674463</v>
      </c>
      <c r="CC311" s="6">
        <f t="shared" ca="1" si="236"/>
        <v>-7.829420691503608E-4</v>
      </c>
      <c r="CD311" s="9">
        <f t="shared" si="237"/>
        <v>133.56659358166704</v>
      </c>
      <c r="CE311" s="9">
        <f t="shared" si="238"/>
        <v>-47.388300701358567</v>
      </c>
      <c r="CF311" s="6">
        <f t="shared" si="239"/>
        <v>-0.34093707993659667</v>
      </c>
      <c r="CG311" s="6"/>
      <c r="CH311" s="6"/>
      <c r="CI311" s="6"/>
      <c r="CJ311" s="1"/>
      <c r="CK311" s="6"/>
    </row>
    <row r="312" spans="55:89" x14ac:dyDescent="0.2">
      <c r="BC312">
        <v>5.4105206811823852</v>
      </c>
      <c r="BD312">
        <v>146.44455676298068</v>
      </c>
      <c r="BE312">
        <v>-51.154586381957039</v>
      </c>
      <c r="BF312" s="6">
        <f t="shared" si="226"/>
        <v>5.9471250864828695</v>
      </c>
      <c r="BG312" s="6">
        <f t="shared" si="227"/>
        <v>0.53660440530048437</v>
      </c>
      <c r="BH312" s="6">
        <f t="shared" si="228"/>
        <v>4.5060588207785903E-3</v>
      </c>
      <c r="BI312" s="6">
        <f t="shared" si="229"/>
        <v>4.5060588207785903E-3</v>
      </c>
      <c r="BJ312">
        <v>162.71617418108966</v>
      </c>
      <c r="BK312">
        <v>-56.838429313285594</v>
      </c>
      <c r="BV312" s="38"/>
      <c r="BW312" s="6">
        <f t="shared" si="230"/>
        <v>5.1836278784231249</v>
      </c>
      <c r="BX312" s="9">
        <f t="shared" ca="1" si="231"/>
        <v>21.932600725385797</v>
      </c>
      <c r="BY312" s="9">
        <f t="shared" ca="1" si="232"/>
        <v>-10.258988167937154</v>
      </c>
      <c r="BZ312" s="9">
        <f t="shared" ca="1" si="233"/>
        <v>145.82828178220697</v>
      </c>
      <c r="CA312" s="6">
        <f t="shared" ca="1" si="234"/>
        <v>-51.557548520210872</v>
      </c>
      <c r="CB312" s="6">
        <f t="shared" ca="1" si="235"/>
        <v>-0.33983364870027932</v>
      </c>
      <c r="CC312" s="6">
        <f t="shared" ca="1" si="236"/>
        <v>-7.5351092103703721E-4</v>
      </c>
      <c r="CD312" s="9">
        <f t="shared" si="237"/>
        <v>133.62828178220698</v>
      </c>
      <c r="CE312" s="9">
        <f t="shared" si="238"/>
        <v>-47.357548520210869</v>
      </c>
      <c r="CF312" s="6">
        <f t="shared" si="239"/>
        <v>-0.34058715962131636</v>
      </c>
      <c r="CG312" s="6"/>
      <c r="CH312" s="6"/>
      <c r="CI312" s="6"/>
      <c r="CJ312" s="1"/>
      <c r="CK312" s="6"/>
    </row>
    <row r="313" spans="55:89" x14ac:dyDescent="0.2">
      <c r="BC313">
        <v>5.4279739737023283</v>
      </c>
      <c r="BD313">
        <v>146.482663048473</v>
      </c>
      <c r="BE313">
        <v>-51.122041333803956</v>
      </c>
      <c r="BF313" s="6">
        <f t="shared" si="226"/>
        <v>5.9474041173393335</v>
      </c>
      <c r="BG313" s="6">
        <f t="shared" si="227"/>
        <v>0.51943014363700524</v>
      </c>
      <c r="BH313" s="6">
        <f t="shared" si="228"/>
        <v>4.2270279643146225E-3</v>
      </c>
      <c r="BI313" s="6">
        <f t="shared" si="229"/>
        <v>4.2270279643146225E-3</v>
      </c>
      <c r="BJ313">
        <v>162.75851449830333</v>
      </c>
      <c r="BK313">
        <v>-56.802268148671061</v>
      </c>
      <c r="BV313" s="38"/>
      <c r="BW313" s="6">
        <f t="shared" si="230"/>
        <v>5.201081170943068</v>
      </c>
      <c r="BX313" s="9">
        <f t="shared" ca="1" si="231"/>
        <v>21.991459225888448</v>
      </c>
      <c r="BY313" s="9">
        <f t="shared" ca="1" si="232"/>
        <v>-10.228352360649019</v>
      </c>
      <c r="BZ313" s="9">
        <f t="shared" ca="1" si="233"/>
        <v>145.88714028270962</v>
      </c>
      <c r="CA313" s="6">
        <f t="shared" ca="1" si="234"/>
        <v>-51.526912712922737</v>
      </c>
      <c r="CB313" s="6">
        <f t="shared" ca="1" si="235"/>
        <v>-0.33952015807218217</v>
      </c>
      <c r="CC313" s="6">
        <f t="shared" ca="1" si="236"/>
        <v>-7.2474961159624263E-4</v>
      </c>
      <c r="CD313" s="9">
        <f t="shared" si="237"/>
        <v>133.68714028270963</v>
      </c>
      <c r="CE313" s="9">
        <f t="shared" si="238"/>
        <v>-47.326912712922734</v>
      </c>
      <c r="CF313" s="6">
        <f t="shared" si="239"/>
        <v>-0.34024490768377841</v>
      </c>
      <c r="CG313" s="6"/>
      <c r="CH313" s="6"/>
      <c r="CI313" s="6"/>
      <c r="CJ313" s="1"/>
      <c r="CK313" s="6"/>
    </row>
    <row r="314" spans="55:89" x14ac:dyDescent="0.2">
      <c r="BC314">
        <v>5.4454272662222714</v>
      </c>
      <c r="BD314">
        <v>146.51992017586051</v>
      </c>
      <c r="BE314">
        <v>-51.089079633021228</v>
      </c>
      <c r="BF314" s="6">
        <f t="shared" si="226"/>
        <v>5.9476837910268792</v>
      </c>
      <c r="BG314" s="6">
        <f t="shared" si="227"/>
        <v>0.50225652480460781</v>
      </c>
      <c r="BH314" s="6">
        <f t="shared" si="228"/>
        <v>3.9473542767689551E-3</v>
      </c>
      <c r="BI314" s="6">
        <f t="shared" si="229"/>
        <v>3.9473542767689551E-3</v>
      </c>
      <c r="BJ314">
        <v>162.79991130651166</v>
      </c>
      <c r="BK314">
        <v>-56.765644036690254</v>
      </c>
      <c r="BV314" s="38"/>
      <c r="BW314" s="6">
        <f t="shared" si="230"/>
        <v>5.2185344634630111</v>
      </c>
      <c r="BX314" s="9">
        <f t="shared" ca="1" si="231"/>
        <v>22.047749374898913</v>
      </c>
      <c r="BY314" s="9">
        <f t="shared" ca="1" si="232"/>
        <v>-10.197792909159645</v>
      </c>
      <c r="BZ314" s="9">
        <f t="shared" ca="1" si="233"/>
        <v>145.94343043172009</v>
      </c>
      <c r="CA314" s="6">
        <f t="shared" ca="1" si="234"/>
        <v>-51.496353261433363</v>
      </c>
      <c r="CB314" s="6">
        <f t="shared" ca="1" si="235"/>
        <v>-0.33921283816938314</v>
      </c>
      <c r="CC314" s="6">
        <f t="shared" ca="1" si="236"/>
        <v>-6.9657948934892522E-4</v>
      </c>
      <c r="CD314" s="9">
        <f t="shared" si="237"/>
        <v>133.7434304317201</v>
      </c>
      <c r="CE314" s="9">
        <f t="shared" si="238"/>
        <v>-47.29635326143336</v>
      </c>
      <c r="CF314" s="6">
        <f t="shared" si="239"/>
        <v>-0.33990941765873206</v>
      </c>
      <c r="CG314" s="6"/>
      <c r="CH314" s="6"/>
      <c r="CI314" s="6"/>
      <c r="CJ314" s="1"/>
      <c r="CK314" s="6"/>
    </row>
    <row r="315" spans="55:89" x14ac:dyDescent="0.2">
      <c r="BC315">
        <v>5.4628805587422145</v>
      </c>
      <c r="BD315">
        <v>146.55639492227849</v>
      </c>
      <c r="BE315">
        <v>-51.055657133143718</v>
      </c>
      <c r="BF315" s="6">
        <f t="shared" si="226"/>
        <v>5.9479645224530486</v>
      </c>
      <c r="BG315" s="6">
        <f t="shared" si="227"/>
        <v>0.48508396371083418</v>
      </c>
      <c r="BH315" s="6">
        <f t="shared" si="228"/>
        <v>3.6666228505994884E-3</v>
      </c>
      <c r="BI315" s="6">
        <f t="shared" si="229"/>
        <v>3.6666228505994884E-3</v>
      </c>
      <c r="BJ315">
        <v>162.84043880253165</v>
      </c>
      <c r="BK315">
        <v>-56.728507925715242</v>
      </c>
      <c r="BV315" s="38"/>
      <c r="BW315" s="6">
        <f t="shared" si="230"/>
        <v>5.2359877559829542</v>
      </c>
      <c r="BX315" s="9">
        <f t="shared" ca="1" si="231"/>
        <v>22.101702167760621</v>
      </c>
      <c r="BY315" s="9">
        <f t="shared" ca="1" si="232"/>
        <v>-10.167271146477589</v>
      </c>
      <c r="BZ315" s="9">
        <f t="shared" ca="1" si="233"/>
        <v>145.9973832245818</v>
      </c>
      <c r="CA315" s="6">
        <f t="shared" ca="1" si="234"/>
        <v>-51.465831498751307</v>
      </c>
      <c r="CB315" s="6">
        <f t="shared" ca="1" si="235"/>
        <v>-0.33891093797829347</v>
      </c>
      <c r="CC315" s="6">
        <f t="shared" ca="1" si="236"/>
        <v>-6.6892936019846694E-4</v>
      </c>
      <c r="CD315" s="9">
        <f t="shared" si="237"/>
        <v>133.79738322458181</v>
      </c>
      <c r="CE315" s="9">
        <f t="shared" si="238"/>
        <v>-47.265831498751304</v>
      </c>
      <c r="CF315" s="6">
        <f t="shared" si="239"/>
        <v>-0.33957986733849194</v>
      </c>
      <c r="CG315" s="6"/>
      <c r="CH315" s="6"/>
      <c r="CI315" s="6"/>
      <c r="CJ315" s="1"/>
      <c r="CK315" s="6"/>
    </row>
    <row r="316" spans="55:89" x14ac:dyDescent="0.2">
      <c r="BC316">
        <v>5.4803338512621576</v>
      </c>
      <c r="BD316">
        <v>146.59214952165686</v>
      </c>
      <c r="BE316">
        <v>-51.02172755615149</v>
      </c>
      <c r="BF316" s="6">
        <f t="shared" si="226"/>
        <v>5.9482467293030261</v>
      </c>
      <c r="BG316" s="6">
        <f t="shared" si="227"/>
        <v>0.46791287804086856</v>
      </c>
      <c r="BH316" s="6">
        <f t="shared" si="228"/>
        <v>3.3844160006220041E-3</v>
      </c>
      <c r="BI316" s="6">
        <f t="shared" si="229"/>
        <v>3.3844160006220041E-3</v>
      </c>
      <c r="BJ316">
        <v>162.88016613517428</v>
      </c>
      <c r="BK316">
        <v>-56.690808395723877</v>
      </c>
      <c r="BV316" s="38"/>
      <c r="BW316" s="6">
        <f t="shared" si="230"/>
        <v>5.2534410485028973</v>
      </c>
      <c r="BX316" s="9">
        <f t="shared" ca="1" si="231"/>
        <v>22.153522734423589</v>
      </c>
      <c r="BY316" s="9">
        <f t="shared" ca="1" si="232"/>
        <v>-10.13674944641317</v>
      </c>
      <c r="BZ316" s="9">
        <f t="shared" ca="1" si="233"/>
        <v>146.04920379124476</v>
      </c>
      <c r="CA316" s="6">
        <f t="shared" ca="1" si="234"/>
        <v>-51.435309798686887</v>
      </c>
      <c r="CB316" s="6">
        <f t="shared" ca="1" si="235"/>
        <v>-0.33861377119446151</v>
      </c>
      <c r="CC316" s="6">
        <f t="shared" ca="1" si="236"/>
        <v>-6.4173431143432769E-4</v>
      </c>
      <c r="CD316" s="9">
        <f t="shared" si="237"/>
        <v>133.84920379124478</v>
      </c>
      <c r="CE316" s="9">
        <f t="shared" si="238"/>
        <v>-47.235309798686885</v>
      </c>
      <c r="CF316" s="6">
        <f t="shared" si="239"/>
        <v>-0.33925550550589584</v>
      </c>
      <c r="CG316" s="6"/>
      <c r="CH316" s="6"/>
      <c r="CI316" s="6"/>
      <c r="CJ316" s="1"/>
      <c r="CK316" s="6"/>
    </row>
    <row r="317" spans="55:89" x14ac:dyDescent="0.2">
      <c r="BC317">
        <v>5.4977871437821006</v>
      </c>
      <c r="BD317">
        <v>146.627242184236</v>
      </c>
      <c r="BE317">
        <v>-50.987242184336928</v>
      </c>
      <c r="BF317" s="6">
        <f t="shared" si="226"/>
        <v>5.948530835075811</v>
      </c>
      <c r="BG317" s="6">
        <f t="shared" si="227"/>
        <v>0.45074369129371039</v>
      </c>
      <c r="BH317" s="6">
        <f t="shared" si="228"/>
        <v>3.1003102278370775E-3</v>
      </c>
      <c r="BI317" s="6">
        <f t="shared" si="229"/>
        <v>3.1003102278370775E-3</v>
      </c>
      <c r="BJ317">
        <v>162.91915798248445</v>
      </c>
      <c r="BK317">
        <v>-56.652491315929922</v>
      </c>
      <c r="BV317" s="38"/>
      <c r="BW317" s="6">
        <f t="shared" si="230"/>
        <v>5.2708943410228404</v>
      </c>
      <c r="BX317" s="9">
        <f t="shared" ca="1" si="231"/>
        <v>22.203394036972085</v>
      </c>
      <c r="BY317" s="9">
        <f t="shared" ca="1" si="232"/>
        <v>-10.106190935413622</v>
      </c>
      <c r="BZ317" s="9">
        <f t="shared" ca="1" si="233"/>
        <v>146.09907509379326</v>
      </c>
      <c r="CA317" s="6">
        <f t="shared" ca="1" si="234"/>
        <v>-51.40475128768734</v>
      </c>
      <c r="CB317" s="6">
        <f t="shared" ca="1" si="235"/>
        <v>-0.33832070607238429</v>
      </c>
      <c r="CC317" s="6">
        <f t="shared" ca="1" si="236"/>
        <v>-6.1493472680629324E-4</v>
      </c>
      <c r="CD317" s="9">
        <f t="shared" si="237"/>
        <v>133.89907509379327</v>
      </c>
      <c r="CE317" s="9">
        <f t="shared" si="238"/>
        <v>-47.204751287687337</v>
      </c>
      <c r="CF317" s="6">
        <f t="shared" si="239"/>
        <v>-0.33893564079919059</v>
      </c>
      <c r="CG317" s="6"/>
      <c r="CH317" s="6"/>
      <c r="CI317" s="6"/>
      <c r="CJ317" s="1"/>
      <c r="CK317" s="6"/>
    </row>
    <row r="318" spans="55:89" x14ac:dyDescent="0.2">
      <c r="BC318">
        <v>5.5152404363020437</v>
      </c>
      <c r="BD318">
        <v>146.66172755537531</v>
      </c>
      <c r="BE318">
        <v>-50.952149521450707</v>
      </c>
      <c r="BF318" s="6">
        <f t="shared" si="226"/>
        <v>5.9488172721708992</v>
      </c>
      <c r="BG318" s="6">
        <f t="shared" si="227"/>
        <v>0.43357683586885543</v>
      </c>
      <c r="BH318" s="6">
        <f t="shared" si="228"/>
        <v>2.8138731327489452E-3</v>
      </c>
      <c r="BI318" s="6">
        <f t="shared" si="229"/>
        <v>2.8138731327489452E-3</v>
      </c>
      <c r="BJ318">
        <v>162.95747506152813</v>
      </c>
      <c r="BK318">
        <v>-56.613499468278562</v>
      </c>
      <c r="BV318" s="38"/>
      <c r="BW318" s="6">
        <f t="shared" si="230"/>
        <v>5.2883476335427835</v>
      </c>
      <c r="BX318" s="9">
        <f t="shared" ca="1" si="231"/>
        <v>22.251479952098705</v>
      </c>
      <c r="BY318" s="9">
        <f t="shared" ca="1" si="232"/>
        <v>-10.075559230161772</v>
      </c>
      <c r="BZ318" s="9">
        <f t="shared" ca="1" si="233"/>
        <v>146.14716100891988</v>
      </c>
      <c r="CA318" s="6">
        <f t="shared" ca="1" si="234"/>
        <v>-51.37411958243549</v>
      </c>
      <c r="CB318" s="6">
        <f t="shared" ca="1" si="235"/>
        <v>-0.33803115683851265</v>
      </c>
      <c r="CC318" s="6">
        <f t="shared" ca="1" si="236"/>
        <v>-5.8847545512447097E-4</v>
      </c>
      <c r="CD318" s="9">
        <f t="shared" si="237"/>
        <v>133.94716100891989</v>
      </c>
      <c r="CE318" s="9">
        <f t="shared" si="238"/>
        <v>-47.174119582435488</v>
      </c>
      <c r="CF318" s="6">
        <f t="shared" si="239"/>
        <v>-0.33861963229363712</v>
      </c>
      <c r="CG318" s="6"/>
      <c r="CH318" s="6"/>
      <c r="CI318" s="6"/>
      <c r="CJ318" s="1"/>
      <c r="CK318" s="6"/>
    </row>
    <row r="319" spans="55:89" x14ac:dyDescent="0.2">
      <c r="BC319">
        <v>5.5326937288219868</v>
      </c>
      <c r="BD319">
        <v>146.69565713369141</v>
      </c>
      <c r="BE319">
        <v>-50.91639492241891</v>
      </c>
      <c r="BF319" s="6">
        <f t="shared" si="226"/>
        <v>5.9491064850735125</v>
      </c>
      <c r="BG319" s="6">
        <f t="shared" si="227"/>
        <v>0.41641275625152563</v>
      </c>
      <c r="BH319" s="6">
        <f t="shared" si="228"/>
        <v>2.5246602301356447E-3</v>
      </c>
      <c r="BI319" s="6">
        <f t="shared" si="229"/>
        <v>2.5246602301356447E-3</v>
      </c>
      <c r="BJ319">
        <v>162.99517459299045</v>
      </c>
      <c r="BK319">
        <v>-56.573772136021006</v>
      </c>
      <c r="BV319" s="38"/>
      <c r="BW319" s="6">
        <f t="shared" si="230"/>
        <v>5.3058009260627266</v>
      </c>
      <c r="BX319" s="9">
        <f t="shared" ca="1" si="231"/>
        <v>22.297927855347453</v>
      </c>
      <c r="BY319" s="9">
        <f t="shared" ca="1" si="232"/>
        <v>-10.044818193688286</v>
      </c>
      <c r="BZ319" s="9">
        <f t="shared" ca="1" si="233"/>
        <v>146.19360891216863</v>
      </c>
      <c r="CA319" s="6">
        <f t="shared" ca="1" si="234"/>
        <v>-51.343378545962004</v>
      </c>
      <c r="CB319" s="6">
        <f t="shared" ca="1" si="235"/>
        <v>-0.33774457635451882</v>
      </c>
      <c r="CC319" s="6">
        <f t="shared" ca="1" si="236"/>
        <v>-5.6230510159216429E-4</v>
      </c>
      <c r="CD319" s="9">
        <f t="shared" si="237"/>
        <v>133.99360891216864</v>
      </c>
      <c r="CE319" s="9">
        <f t="shared" si="238"/>
        <v>-47.143378545962001</v>
      </c>
      <c r="CF319" s="6">
        <f t="shared" si="239"/>
        <v>-0.33830688145611099</v>
      </c>
      <c r="CG319" s="6"/>
      <c r="CH319" s="6"/>
      <c r="CI319" s="6"/>
      <c r="CJ319" s="1"/>
      <c r="CK319" s="6"/>
    </row>
    <row r="320" spans="55:89" x14ac:dyDescent="0.2">
      <c r="BC320">
        <v>5.5501470213419299</v>
      </c>
      <c r="BD320">
        <v>146.72907963293494</v>
      </c>
      <c r="BE320">
        <v>-50.879920175869032</v>
      </c>
      <c r="BF320" s="6">
        <f t="shared" si="226"/>
        <v>5.9493989337024731</v>
      </c>
      <c r="BG320" s="6">
        <f t="shared" si="227"/>
        <v>0.39925191236054314</v>
      </c>
      <c r="BH320" s="6">
        <f t="shared" si="228"/>
        <v>2.2322116011750381E-3</v>
      </c>
      <c r="BI320" s="6">
        <f t="shared" si="229"/>
        <v>2.2322116011750381E-3</v>
      </c>
      <c r="BJ320">
        <v>163.03231070326103</v>
      </c>
      <c r="BK320">
        <v>-56.53324463985448</v>
      </c>
      <c r="BV320" s="38"/>
      <c r="BW320" s="6">
        <f t="shared" si="230"/>
        <v>5.3232542185826697</v>
      </c>
      <c r="BX320" s="9">
        <f t="shared" ca="1" si="231"/>
        <v>22.342870794241449</v>
      </c>
      <c r="BY320" s="9">
        <f t="shared" ca="1" si="232"/>
        <v>-10.013931701921152</v>
      </c>
      <c r="BZ320" s="9">
        <f t="shared" ca="1" si="233"/>
        <v>146.23855185106262</v>
      </c>
      <c r="CA320" s="6">
        <f t="shared" ca="1" si="234"/>
        <v>-51.31249205419487</v>
      </c>
      <c r="CB320" s="6">
        <f t="shared" ca="1" si="235"/>
        <v>-0.33746044978073814</v>
      </c>
      <c r="CC320" s="6">
        <f t="shared" ca="1" si="236"/>
        <v>-5.3637541735107597E-4</v>
      </c>
      <c r="CD320" s="9">
        <f t="shared" si="237"/>
        <v>134.03855185106264</v>
      </c>
      <c r="CE320" s="9">
        <f t="shared" si="238"/>
        <v>-47.112492054194867</v>
      </c>
      <c r="CF320" s="6">
        <f t="shared" si="239"/>
        <v>-0.33799682519808921</v>
      </c>
      <c r="CG320" s="6"/>
      <c r="CH320" s="6"/>
      <c r="CI320" s="6"/>
      <c r="CJ320" s="1"/>
      <c r="CK320" s="6"/>
    </row>
    <row r="321" spans="55:89" x14ac:dyDescent="0.2">
      <c r="BC321">
        <v>5.567600313861873</v>
      </c>
      <c r="BD321">
        <v>146.76204133333894</v>
      </c>
      <c r="BE321">
        <v>-50.842663048308481</v>
      </c>
      <c r="BF321" s="6">
        <f t="shared" si="226"/>
        <v>5.9496950969645859</v>
      </c>
      <c r="BG321" s="6">
        <f t="shared" si="227"/>
        <v>0.38209478310271283</v>
      </c>
      <c r="BH321" s="6">
        <f t="shared" si="228"/>
        <v>1.9360483390622463E-3</v>
      </c>
      <c r="BI321" s="6">
        <f t="shared" si="229"/>
        <v>1.9360483390622463E-3</v>
      </c>
      <c r="BJ321">
        <v>163.06893481482103</v>
      </c>
      <c r="BK321">
        <v>-56.491847831453867</v>
      </c>
      <c r="BV321" s="38"/>
      <c r="BW321" s="6">
        <f t="shared" si="230"/>
        <v>5.3407075111026128</v>
      </c>
      <c r="BX321" s="9">
        <f t="shared" ca="1" si="231"/>
        <v>22.386429334329804</v>
      </c>
      <c r="BY321" s="9">
        <f t="shared" ca="1" si="232"/>
        <v>-9.9828634209895029</v>
      </c>
      <c r="BZ321" s="9">
        <f t="shared" ca="1" si="233"/>
        <v>146.28211039115098</v>
      </c>
      <c r="CA321" s="6">
        <f t="shared" ca="1" si="234"/>
        <v>-51.281423773263221</v>
      </c>
      <c r="CB321" s="6">
        <f t="shared" ca="1" si="235"/>
        <v>-0.33717828905065012</v>
      </c>
      <c r="CC321" s="6">
        <f t="shared" ca="1" si="236"/>
        <v>-5.1064076858176044E-4</v>
      </c>
      <c r="CD321" s="9">
        <f t="shared" si="237"/>
        <v>134.08211039115099</v>
      </c>
      <c r="CE321" s="9">
        <f t="shared" si="238"/>
        <v>-47.081423773263218</v>
      </c>
      <c r="CF321" s="6">
        <f t="shared" si="239"/>
        <v>-0.33768892981923188</v>
      </c>
      <c r="CG321" s="6"/>
      <c r="CH321" s="6"/>
      <c r="CI321" s="6"/>
      <c r="CJ321" s="1"/>
      <c r="CK321" s="6"/>
    </row>
    <row r="322" spans="55:89" x14ac:dyDescent="0.2">
      <c r="BC322">
        <v>5.5850536063818161</v>
      </c>
      <c r="BD322">
        <v>146.79458638188007</v>
      </c>
      <c r="BE322">
        <v>-50.804556762512711</v>
      </c>
      <c r="BF322" s="6">
        <f t="shared" si="226"/>
        <v>5.9499954765977279</v>
      </c>
      <c r="BG322" s="6">
        <f t="shared" si="227"/>
        <v>0.36494187021591173</v>
      </c>
      <c r="BH322" s="6">
        <f t="shared" si="228"/>
        <v>1.6356687059202457E-3</v>
      </c>
      <c r="BI322" s="6">
        <f t="shared" si="229"/>
        <v>1.6356687059202457E-3</v>
      </c>
      <c r="BJ322">
        <v>163.10509597986675</v>
      </c>
      <c r="BK322">
        <v>-56.449507513903008</v>
      </c>
      <c r="BV322" s="38"/>
      <c r="BW322" s="6">
        <f t="shared" si="230"/>
        <v>5.3581608036225559</v>
      </c>
      <c r="BX322" s="9">
        <f t="shared" ca="1" si="231"/>
        <v>22.428713124152623</v>
      </c>
      <c r="BY322" s="9">
        <f t="shared" ca="1" si="232"/>
        <v>-9.9515765854023783</v>
      </c>
      <c r="BZ322" s="9">
        <f t="shared" ca="1" si="233"/>
        <v>146.3243941809738</v>
      </c>
      <c r="CA322" s="6">
        <f t="shared" ca="1" si="234"/>
        <v>-51.250136937676096</v>
      </c>
      <c r="CB322" s="6">
        <f t="shared" ca="1" si="235"/>
        <v>-0.33689762798901018</v>
      </c>
      <c r="CC322" s="6">
        <f t="shared" ca="1" si="236"/>
        <v>-4.8505766889711538E-4</v>
      </c>
      <c r="CD322" s="9">
        <f t="shared" si="237"/>
        <v>134.12439418097381</v>
      </c>
      <c r="CE322" s="9">
        <f t="shared" si="238"/>
        <v>-47.050136937676093</v>
      </c>
      <c r="CF322" s="6">
        <f t="shared" si="239"/>
        <v>-0.3373826856579073</v>
      </c>
      <c r="CG322" s="6"/>
      <c r="CH322" s="6"/>
      <c r="CI322" s="6"/>
      <c r="CJ322" s="1"/>
      <c r="CK322" s="6"/>
    </row>
    <row r="323" spans="55:89" x14ac:dyDescent="0.2">
      <c r="BC323">
        <v>5.6025068989017592</v>
      </c>
      <c r="BD323">
        <v>146.82675707635377</v>
      </c>
      <c r="BE323">
        <v>-50.765529412394081</v>
      </c>
      <c r="BF323" s="6">
        <f t="shared" ref="BF323:BF362" si="240">IF(BC323&lt;&gt;"",IF(AND(BD323=0,BE323=0),0,MOD(ATAN2(BD323,BE323),2*PI())),NA())</f>
        <v>5.9503006013634563</v>
      </c>
      <c r="BG323" s="6">
        <f t="shared" ref="BG323:BG362" si="241">ABS(BC323-BF323)</f>
        <v>0.34779370246169705</v>
      </c>
      <c r="BH323" s="6">
        <f t="shared" ref="BH323:BH362" si="242">ATAN2(COS($U$13-BF323),SIN($U$13-BF323))</f>
        <v>1.3305439401918306E-3</v>
      </c>
      <c r="BI323" s="6">
        <f t="shared" ref="BI323:BI362" si="243">ABS(BH323)</f>
        <v>1.3305439401918306E-3</v>
      </c>
      <c r="BJ323">
        <v>163.14084119594864</v>
      </c>
      <c r="BK323">
        <v>-56.406143791548978</v>
      </c>
      <c r="BV323" s="38"/>
      <c r="BW323" s="6">
        <f t="shared" si="230"/>
        <v>5.375614096142499</v>
      </c>
      <c r="BX323" s="9">
        <f t="shared" ca="1" si="231"/>
        <v>22.469822244042533</v>
      </c>
      <c r="BY323" s="9">
        <f t="shared" ca="1" si="232"/>
        <v>-9.9200337816107833</v>
      </c>
      <c r="BZ323" s="9">
        <f t="shared" ca="1" si="233"/>
        <v>146.36550330086371</v>
      </c>
      <c r="CA323" s="6">
        <f t="shared" ca="1" si="234"/>
        <v>-51.218594133884501</v>
      </c>
      <c r="CB323" s="6">
        <f t="shared" ca="1" si="235"/>
        <v>-0.33661801795531926</v>
      </c>
      <c r="CC323" s="6">
        <f t="shared" ca="1" si="236"/>
        <v>-4.5958436332355079E-4</v>
      </c>
      <c r="CD323" s="9">
        <f t="shared" si="237"/>
        <v>134.16550330086372</v>
      </c>
      <c r="CE323" s="9">
        <f t="shared" si="238"/>
        <v>-47.018594133884498</v>
      </c>
      <c r="CF323" s="6">
        <f t="shared" si="239"/>
        <v>-0.33707760231864281</v>
      </c>
      <c r="CG323" s="6"/>
      <c r="CH323" s="6"/>
      <c r="CI323" s="6"/>
      <c r="CJ323" s="1"/>
      <c r="CK323" s="6"/>
    </row>
    <row r="324" spans="55:89" x14ac:dyDescent="0.2">
      <c r="BC324">
        <v>5.6199601914217023</v>
      </c>
      <c r="BD324">
        <v>146.85859413364079</v>
      </c>
      <c r="BE324">
        <v>-50.725503300588777</v>
      </c>
      <c r="BF324" s="6">
        <f t="shared" si="240"/>
        <v>5.9506110316744376</v>
      </c>
      <c r="BG324" s="6">
        <f t="shared" si="241"/>
        <v>0.33065084025273528</v>
      </c>
      <c r="BH324" s="6">
        <f t="shared" si="242"/>
        <v>1.0201136292105062E-3</v>
      </c>
      <c r="BI324" s="6">
        <f t="shared" si="243"/>
        <v>1.0201136292105062E-3</v>
      </c>
      <c r="BJ324">
        <v>163.17621570404532</v>
      </c>
      <c r="BK324">
        <v>-56.361670333987526</v>
      </c>
      <c r="BV324" s="38"/>
      <c r="BW324" s="6">
        <f t="shared" si="230"/>
        <v>5.3930673886624421</v>
      </c>
      <c r="BX324" s="9">
        <f t="shared" ca="1" si="231"/>
        <v>22.509848356071998</v>
      </c>
      <c r="BY324" s="9">
        <f t="shared" ca="1" si="232"/>
        <v>-9.8881967240856881</v>
      </c>
      <c r="BZ324" s="9">
        <f t="shared" ca="1" si="233"/>
        <v>146.40552941289317</v>
      </c>
      <c r="CA324" s="6">
        <f t="shared" ca="1" si="234"/>
        <v>-51.186757076359406</v>
      </c>
      <c r="CB324" s="6">
        <f t="shared" ca="1" si="235"/>
        <v>-0.33633902389167325</v>
      </c>
      <c r="CC324" s="6">
        <f t="shared" ca="1" si="236"/>
        <v>-4.3418045226917284E-4</v>
      </c>
      <c r="CD324" s="9">
        <f t="shared" si="237"/>
        <v>134.20552941289318</v>
      </c>
      <c r="CE324" s="9">
        <f t="shared" si="238"/>
        <v>-46.986757076359403</v>
      </c>
      <c r="CF324" s="6">
        <f t="shared" si="239"/>
        <v>-0.33677320434394242</v>
      </c>
      <c r="CG324" s="6"/>
      <c r="CH324" s="6"/>
      <c r="CI324" s="6"/>
      <c r="CJ324" s="1"/>
      <c r="CK324" s="6"/>
    </row>
    <row r="325" spans="55:89" x14ac:dyDescent="0.2">
      <c r="BC325">
        <v>5.6374134839416454</v>
      </c>
      <c r="BD325">
        <v>146.89013693763823</v>
      </c>
      <c r="BE325">
        <v>-50.684394181075994</v>
      </c>
      <c r="BF325" s="6">
        <f t="shared" si="240"/>
        <v>5.9509273647556276</v>
      </c>
      <c r="BG325" s="6">
        <f t="shared" si="241"/>
        <v>0.31351388081398213</v>
      </c>
      <c r="BH325" s="6">
        <f t="shared" si="242"/>
        <v>7.0378054802056056E-4</v>
      </c>
      <c r="BI325" s="6">
        <f t="shared" si="243"/>
        <v>7.0378054802056056E-4</v>
      </c>
      <c r="BJ325">
        <v>163.21126326404249</v>
      </c>
      <c r="BK325">
        <v>-56.315993534528879</v>
      </c>
      <c r="BV325" s="38"/>
      <c r="BW325" s="6">
        <f t="shared" si="230"/>
        <v>5.4105206811823852</v>
      </c>
      <c r="BX325" s="9">
        <f t="shared" ca="1" si="231"/>
        <v>22.548875706159507</v>
      </c>
      <c r="BY325" s="9">
        <f t="shared" ca="1" si="232"/>
        <v>-9.8560260296833206</v>
      </c>
      <c r="BZ325" s="9">
        <f t="shared" ca="1" si="233"/>
        <v>146.44455676298068</v>
      </c>
      <c r="CA325" s="6">
        <f t="shared" ca="1" si="234"/>
        <v>-51.154586381957039</v>
      </c>
      <c r="CB325" s="6">
        <f t="shared" ca="1" si="235"/>
        <v>-0.33606022069671643</v>
      </c>
      <c r="CC325" s="6">
        <f t="shared" ca="1" si="236"/>
        <v>-4.0880654772884606E-4</v>
      </c>
      <c r="CD325" s="9">
        <f t="shared" si="237"/>
        <v>134.24455676298069</v>
      </c>
      <c r="CE325" s="9">
        <f t="shared" si="238"/>
        <v>-46.954586381957036</v>
      </c>
      <c r="CF325" s="6">
        <f t="shared" si="239"/>
        <v>-0.33646902724444527</v>
      </c>
      <c r="CG325" s="6"/>
      <c r="CH325" s="6"/>
      <c r="CI325" s="6"/>
      <c r="CJ325" s="1"/>
      <c r="CK325" s="6"/>
    </row>
    <row r="326" spans="55:89" x14ac:dyDescent="0.2">
      <c r="BC326">
        <v>5.6548667764615885</v>
      </c>
      <c r="BD326">
        <v>146.92142377302989</v>
      </c>
      <c r="BE326">
        <v>-50.642110390679903</v>
      </c>
      <c r="BF326" s="6">
        <f t="shared" si="240"/>
        <v>5.9512502404514009</v>
      </c>
      <c r="BG326" s="6">
        <f t="shared" si="241"/>
        <v>0.29638346398981241</v>
      </c>
      <c r="BH326" s="6">
        <f t="shared" si="242"/>
        <v>3.8090485224717702E-4</v>
      </c>
      <c r="BI326" s="6">
        <f t="shared" si="243"/>
        <v>3.8090485224717702E-4</v>
      </c>
      <c r="BJ326">
        <v>163.24602641447765</v>
      </c>
      <c r="BK326">
        <v>-56.269011545199888</v>
      </c>
      <c r="BV326" s="38"/>
      <c r="BW326" s="6">
        <f t="shared" si="230"/>
        <v>5.4279739737023283</v>
      </c>
      <c r="BX326" s="9">
        <f t="shared" ca="1" si="231"/>
        <v>22.586981991651825</v>
      </c>
      <c r="BY326" s="9">
        <f t="shared" ca="1" si="232"/>
        <v>-9.8234809815302384</v>
      </c>
      <c r="BZ326" s="9">
        <f t="shared" ca="1" si="233"/>
        <v>146.482663048473</v>
      </c>
      <c r="CA326" s="6">
        <f t="shared" ca="1" si="234"/>
        <v>-51.122041333803956</v>
      </c>
      <c r="CB326" s="6">
        <f t="shared" ca="1" si="235"/>
        <v>-0.33578118984025274</v>
      </c>
      <c r="CC326" s="6">
        <f t="shared" ca="1" si="236"/>
        <v>-3.8342395356522063E-4</v>
      </c>
      <c r="CD326" s="9">
        <f t="shared" si="237"/>
        <v>134.28266304847301</v>
      </c>
      <c r="CE326" s="9">
        <f t="shared" si="238"/>
        <v>-46.922041333803953</v>
      </c>
      <c r="CF326" s="6">
        <f t="shared" si="239"/>
        <v>-0.33616461379381796</v>
      </c>
      <c r="CG326" s="6"/>
      <c r="CH326" s="6"/>
      <c r="CI326" s="6"/>
      <c r="CJ326" s="1"/>
      <c r="CK326" s="6"/>
    </row>
    <row r="327" spans="55:89" x14ac:dyDescent="0.2">
      <c r="BC327">
        <v>5.6723200689815316</v>
      </c>
      <c r="BD327">
        <v>146.95249205473715</v>
      </c>
      <c r="BE327">
        <v>-50.598551851046345</v>
      </c>
      <c r="BF327" s="6">
        <f t="shared" si="240"/>
        <v>5.9515803478123157</v>
      </c>
      <c r="BG327" s="6">
        <f t="shared" si="241"/>
        <v>0.27926027883078408</v>
      </c>
      <c r="BH327" s="6">
        <f t="shared" si="242"/>
        <v>5.0797491332410516E-5</v>
      </c>
      <c r="BI327" s="6">
        <f t="shared" si="243"/>
        <v>5.0797491332410516E-5</v>
      </c>
      <c r="BJ327">
        <v>163.28054672748573</v>
      </c>
      <c r="BK327">
        <v>-56.220613167829271</v>
      </c>
      <c r="BV327" s="38"/>
      <c r="BW327" s="6">
        <f t="shared" si="230"/>
        <v>5.4454272662222714</v>
      </c>
      <c r="BX327" s="9">
        <f t="shared" ca="1" si="231"/>
        <v>22.624239119039331</v>
      </c>
      <c r="BY327" s="9">
        <f t="shared" ca="1" si="232"/>
        <v>-9.7905192807475103</v>
      </c>
      <c r="BZ327" s="9">
        <f t="shared" ca="1" si="233"/>
        <v>146.51992017586051</v>
      </c>
      <c r="CA327" s="6">
        <f t="shared" ca="1" si="234"/>
        <v>-51.089079633021228</v>
      </c>
      <c r="CB327" s="6">
        <f t="shared" ca="1" si="235"/>
        <v>-0.33550151615270746</v>
      </c>
      <c r="CC327" s="6">
        <f t="shared" ca="1" si="236"/>
        <v>-3.5799436350875125E-4</v>
      </c>
      <c r="CD327" s="9">
        <f t="shared" si="237"/>
        <v>134.31992017586052</v>
      </c>
      <c r="CE327" s="9">
        <f t="shared" si="238"/>
        <v>-46.889079633021225</v>
      </c>
      <c r="CF327" s="6">
        <f t="shared" si="239"/>
        <v>-0.33585951051621621</v>
      </c>
      <c r="CG327" s="6"/>
      <c r="CH327" s="6"/>
      <c r="CI327" s="6"/>
      <c r="CJ327" s="1"/>
      <c r="CK327" s="6"/>
    </row>
    <row r="328" spans="55:89" x14ac:dyDescent="0.2">
      <c r="BC328">
        <v>5.6897733615014747</v>
      </c>
      <c r="BD328">
        <v>146.9833785465554</v>
      </c>
      <c r="BE328">
        <v>-50.553608911974621</v>
      </c>
      <c r="BF328" s="6">
        <f t="shared" si="240"/>
        <v>5.9519184326261794</v>
      </c>
      <c r="BG328" s="6">
        <f t="shared" si="241"/>
        <v>0.26214507112470464</v>
      </c>
      <c r="BH328" s="6">
        <f t="shared" si="242"/>
        <v>-2.8728732253124894E-4</v>
      </c>
      <c r="BI328" s="6">
        <f t="shared" si="243"/>
        <v>2.8728732253124894E-4</v>
      </c>
      <c r="BJ328">
        <v>163.31486505172822</v>
      </c>
      <c r="BK328">
        <v>-56.170676568860685</v>
      </c>
      <c r="BV328" s="38"/>
      <c r="BW328" s="6">
        <f t="shared" si="230"/>
        <v>5.4628805587422145</v>
      </c>
      <c r="BX328" s="9">
        <f t="shared" ca="1" si="231"/>
        <v>22.660713865457311</v>
      </c>
      <c r="BY328" s="9">
        <f t="shared" ca="1" si="232"/>
        <v>-9.7570967808700004</v>
      </c>
      <c r="BZ328" s="9">
        <f t="shared" ca="1" si="233"/>
        <v>146.55639492227849</v>
      </c>
      <c r="CA328" s="6">
        <f t="shared" ca="1" si="234"/>
        <v>-51.055657133143718</v>
      </c>
      <c r="CB328" s="6">
        <f t="shared" ca="1" si="235"/>
        <v>-0.33522078472653799</v>
      </c>
      <c r="CC328" s="6">
        <f t="shared" ca="1" si="236"/>
        <v>-3.3247957087789715E-4</v>
      </c>
      <c r="CD328" s="9">
        <f t="shared" si="237"/>
        <v>134.3563949222785</v>
      </c>
      <c r="CE328" s="9">
        <f t="shared" si="238"/>
        <v>-46.855657133143715</v>
      </c>
      <c r="CF328" s="6">
        <f t="shared" si="239"/>
        <v>-0.33555326429741589</v>
      </c>
      <c r="CG328" s="6"/>
      <c r="CH328" s="6"/>
      <c r="CI328" s="6"/>
      <c r="CJ328" s="1"/>
      <c r="CK328" s="6"/>
    </row>
    <row r="329" spans="55:89" x14ac:dyDescent="0.2">
      <c r="BC329">
        <v>5.7072266540214178</v>
      </c>
      <c r="BD329">
        <v>147.01411958171204</v>
      </c>
      <c r="BE329">
        <v>-50.507161008647053</v>
      </c>
      <c r="BF329" s="6">
        <f t="shared" si="240"/>
        <v>5.9522653060885808</v>
      </c>
      <c r="BG329" s="6">
        <f t="shared" si="241"/>
        <v>0.24503865206716302</v>
      </c>
      <c r="BH329" s="6">
        <f t="shared" si="242"/>
        <v>-6.3416078493272465E-4</v>
      </c>
      <c r="BI329" s="6">
        <f t="shared" si="243"/>
        <v>6.3416078493272465E-4</v>
      </c>
      <c r="BJ329">
        <v>163.34902175745782</v>
      </c>
      <c r="BK329">
        <v>-56.11906778738561</v>
      </c>
      <c r="BV329" s="38"/>
      <c r="BW329" s="6">
        <f t="shared" si="230"/>
        <v>5.4803338512621576</v>
      </c>
      <c r="BX329" s="9">
        <f t="shared" ca="1" si="231"/>
        <v>22.696468464835689</v>
      </c>
      <c r="BY329" s="9">
        <f t="shared" ca="1" si="232"/>
        <v>-9.7231672038777717</v>
      </c>
      <c r="BZ329" s="9">
        <f t="shared" ca="1" si="233"/>
        <v>146.59214952165686</v>
      </c>
      <c r="CA329" s="6">
        <f t="shared" ca="1" si="234"/>
        <v>-51.02172755615149</v>
      </c>
      <c r="CB329" s="6">
        <f t="shared" ca="1" si="235"/>
        <v>-0.33493857787656056</v>
      </c>
      <c r="CC329" s="6">
        <f t="shared" ca="1" si="236"/>
        <v>-3.0684118494134221E-4</v>
      </c>
      <c r="CD329" s="9">
        <f t="shared" si="237"/>
        <v>134.39214952165688</v>
      </c>
      <c r="CE329" s="9">
        <f t="shared" si="238"/>
        <v>-46.821727556151487</v>
      </c>
      <c r="CF329" s="6">
        <f t="shared" si="239"/>
        <v>-0.3352454190615019</v>
      </c>
      <c r="CG329" s="6"/>
      <c r="CH329" s="6"/>
      <c r="CI329" s="6"/>
      <c r="CJ329" s="1"/>
      <c r="CK329" s="6"/>
    </row>
    <row r="330" spans="55:89" x14ac:dyDescent="0.2">
      <c r="BC330">
        <v>5.7246799465413609</v>
      </c>
      <c r="BD330">
        <v>147.04475128822369</v>
      </c>
      <c r="BE330">
        <v>-50.459075094207037</v>
      </c>
      <c r="BF330" s="6">
        <f t="shared" si="240"/>
        <v>5.9526218548550425</v>
      </c>
      <c r="BG330" s="6">
        <f t="shared" si="241"/>
        <v>0.22794190831368155</v>
      </c>
      <c r="BH330" s="6">
        <f t="shared" si="242"/>
        <v>-9.9070955139435313E-4</v>
      </c>
      <c r="BI330" s="6">
        <f t="shared" si="243"/>
        <v>9.9070955139435313E-4</v>
      </c>
      <c r="BJ330">
        <v>163.38305698691522</v>
      </c>
      <c r="BK330">
        <v>-56.065638993563375</v>
      </c>
      <c r="BV330" s="38"/>
      <c r="BW330" s="6">
        <f t="shared" si="230"/>
        <v>5.4977871437821006</v>
      </c>
      <c r="BX330" s="9">
        <f t="shared" ca="1" si="231"/>
        <v>22.731561127414821</v>
      </c>
      <c r="BY330" s="9">
        <f t="shared" ca="1" si="232"/>
        <v>-9.6886818320632102</v>
      </c>
      <c r="BZ330" s="9">
        <f t="shared" ca="1" si="233"/>
        <v>146.627242184236</v>
      </c>
      <c r="CA330" s="6">
        <f t="shared" ca="1" si="234"/>
        <v>-50.987242184336928</v>
      </c>
      <c r="CB330" s="6">
        <f t="shared" ca="1" si="235"/>
        <v>-0.33465447210377558</v>
      </c>
      <c r="CC330" s="6">
        <f t="shared" ca="1" si="236"/>
        <v>-2.8104034870385375E-4</v>
      </c>
      <c r="CD330" s="9">
        <f t="shared" si="237"/>
        <v>134.42724218423601</v>
      </c>
      <c r="CE330" s="9">
        <f t="shared" si="238"/>
        <v>-46.787242184336925</v>
      </c>
      <c r="CF330" s="6">
        <f t="shared" si="239"/>
        <v>-0.33493551245247943</v>
      </c>
      <c r="CG330" s="6"/>
      <c r="CH330" s="6"/>
      <c r="CI330" s="6"/>
      <c r="CJ330" s="1"/>
      <c r="CK330" s="6"/>
    </row>
    <row r="331" spans="55:89" x14ac:dyDescent="0.2">
      <c r="BC331">
        <v>5.742133239061304</v>
      </c>
      <c r="BD331">
        <v>147.07530979837864</v>
      </c>
      <c r="BE331">
        <v>-50.409203791627256</v>
      </c>
      <c r="BF331" s="6">
        <f t="shared" si="240"/>
        <v>5.9529890527748135</v>
      </c>
      <c r="BG331" s="6">
        <f t="shared" si="241"/>
        <v>0.21085581371350948</v>
      </c>
      <c r="BH331" s="6">
        <f t="shared" si="242"/>
        <v>-1.357907471165376E-3</v>
      </c>
      <c r="BI331" s="6">
        <f t="shared" si="243"/>
        <v>1.357907471165376E-3</v>
      </c>
      <c r="BJ331">
        <v>163.41701088708737</v>
      </c>
      <c r="BK331">
        <v>-56.010226435141391</v>
      </c>
      <c r="BV331" s="38"/>
      <c r="BW331" s="6">
        <f t="shared" si="230"/>
        <v>5.5152404363020437</v>
      </c>
      <c r="BX331" s="9">
        <f t="shared" ca="1" si="231"/>
        <v>22.766046498554132</v>
      </c>
      <c r="BY331" s="9">
        <f t="shared" ca="1" si="232"/>
        <v>-9.6535891691769891</v>
      </c>
      <c r="BZ331" s="9">
        <f t="shared" ca="1" si="233"/>
        <v>146.66172755537531</v>
      </c>
      <c r="CA331" s="6">
        <f t="shared" ca="1" si="234"/>
        <v>-50.952149521450707</v>
      </c>
      <c r="CB331" s="6">
        <f t="shared" ca="1" si="235"/>
        <v>-0.33436803500868728</v>
      </c>
      <c r="CC331" s="6">
        <f t="shared" ca="1" si="236"/>
        <v>-2.5503745305183173E-4</v>
      </c>
      <c r="CD331" s="9">
        <f t="shared" si="237"/>
        <v>134.46172755537532</v>
      </c>
      <c r="CE331" s="9">
        <f t="shared" si="238"/>
        <v>-46.752149521450704</v>
      </c>
      <c r="CF331" s="6">
        <f t="shared" si="239"/>
        <v>-0.33462307246173911</v>
      </c>
      <c r="CG331" s="6"/>
      <c r="CH331" s="6"/>
      <c r="CI331" s="6"/>
      <c r="CJ331" s="1"/>
      <c r="CK331" s="6"/>
    </row>
    <row r="332" spans="55:89" x14ac:dyDescent="0.2">
      <c r="BC332">
        <v>5.7595865315812471</v>
      </c>
      <c r="BD332">
        <v>147.10583149959689</v>
      </c>
      <c r="BE332">
        <v>-50.357383225050896</v>
      </c>
      <c r="BF332" s="6">
        <f t="shared" si="240"/>
        <v>5.9533679746708374</v>
      </c>
      <c r="BG332" s="6">
        <f t="shared" si="241"/>
        <v>0.19378144308959033</v>
      </c>
      <c r="BH332" s="6">
        <f t="shared" si="242"/>
        <v>-1.73682936718933E-3</v>
      </c>
      <c r="BI332" s="6">
        <f t="shared" si="243"/>
        <v>1.73682936718933E-3</v>
      </c>
      <c r="BJ332">
        <v>163.450923888441</v>
      </c>
      <c r="BK332">
        <v>-55.952648027834329</v>
      </c>
      <c r="BV332" s="38"/>
      <c r="BW332" s="6">
        <f t="shared" si="230"/>
        <v>5.5326937288219868</v>
      </c>
      <c r="BX332" s="9">
        <f t="shared" ca="1" si="231"/>
        <v>22.799976076870237</v>
      </c>
      <c r="BY332" s="9">
        <f t="shared" ca="1" si="232"/>
        <v>-9.6178345701451917</v>
      </c>
      <c r="BZ332" s="9">
        <f t="shared" ca="1" si="233"/>
        <v>146.69565713369141</v>
      </c>
      <c r="CA332" s="6">
        <f t="shared" ca="1" si="234"/>
        <v>-50.91639492241891</v>
      </c>
      <c r="CB332" s="6">
        <f t="shared" ca="1" si="235"/>
        <v>-0.33407882210607381</v>
      </c>
      <c r="CC332" s="6">
        <f t="shared" ca="1" si="236"/>
        <v>-2.2879184273616462E-4</v>
      </c>
      <c r="CD332" s="9">
        <f t="shared" si="237"/>
        <v>134.49565713369142</v>
      </c>
      <c r="CE332" s="9">
        <f t="shared" si="238"/>
        <v>-46.716394922418907</v>
      </c>
      <c r="CF332" s="6">
        <f t="shared" si="239"/>
        <v>-0.33430761394880998</v>
      </c>
      <c r="CG332" s="6"/>
      <c r="CH332" s="6"/>
      <c r="CI332" s="6"/>
      <c r="CJ332" s="1"/>
      <c r="CK332" s="6"/>
    </row>
    <row r="333" spans="55:89" x14ac:dyDescent="0.2">
      <c r="BC333">
        <v>5.7770398241011902</v>
      </c>
      <c r="BD333">
        <v>147.13635326188739</v>
      </c>
      <c r="BE333">
        <v>-50.303430431553899</v>
      </c>
      <c r="BF333" s="6">
        <f t="shared" si="240"/>
        <v>5.9537598126366964</v>
      </c>
      <c r="BG333" s="6">
        <f t="shared" si="241"/>
        <v>0.17671998853550619</v>
      </c>
      <c r="BH333" s="6">
        <f t="shared" si="242"/>
        <v>-2.1286673330482841E-3</v>
      </c>
      <c r="BI333" s="6">
        <f t="shared" si="243"/>
        <v>2.1286673330482841E-3</v>
      </c>
      <c r="BJ333">
        <v>163.48483695765265</v>
      </c>
      <c r="BK333">
        <v>-55.892700479504327</v>
      </c>
      <c r="BV333" s="38"/>
      <c r="BW333" s="6">
        <f t="shared" si="230"/>
        <v>5.5501470213419299</v>
      </c>
      <c r="BX333" s="9">
        <f t="shared" ca="1" si="231"/>
        <v>22.833398576113765</v>
      </c>
      <c r="BY333" s="9">
        <f t="shared" ca="1" si="232"/>
        <v>-9.5813598235953137</v>
      </c>
      <c r="BZ333" s="9">
        <f t="shared" ca="1" si="233"/>
        <v>146.72907963293494</v>
      </c>
      <c r="CA333" s="6">
        <f t="shared" ca="1" si="234"/>
        <v>-50.879920175869032</v>
      </c>
      <c r="CB333" s="6">
        <f t="shared" ca="1" si="235"/>
        <v>-0.33378637347711354</v>
      </c>
      <c r="CC333" s="6">
        <f t="shared" ca="1" si="236"/>
        <v>-2.0226150830121581E-4</v>
      </c>
      <c r="CD333" s="9">
        <f t="shared" si="237"/>
        <v>134.52907963293495</v>
      </c>
      <c r="CE333" s="9">
        <f t="shared" si="238"/>
        <v>-46.679920175869029</v>
      </c>
      <c r="CF333" s="6">
        <f t="shared" si="239"/>
        <v>-0.33398863498541476</v>
      </c>
      <c r="CG333" s="6"/>
      <c r="CH333" s="6"/>
      <c r="CI333" s="6"/>
      <c r="CJ333" s="1"/>
      <c r="CK333" s="6"/>
    </row>
    <row r="334" spans="55:89" x14ac:dyDescent="0.2">
      <c r="BC334">
        <v>5.7944931166211333</v>
      </c>
      <c r="BD334">
        <v>147.16691271347779</v>
      </c>
      <c r="BE334">
        <v>-50.247140283182844</v>
      </c>
      <c r="BF334" s="6">
        <f t="shared" si="240"/>
        <v>5.9541658954312293</v>
      </c>
      <c r="BG334" s="6">
        <f t="shared" si="241"/>
        <v>0.15967277881009601</v>
      </c>
      <c r="BH334" s="6">
        <f t="shared" si="242"/>
        <v>-2.5347501275811979E-3</v>
      </c>
      <c r="BI334" s="6">
        <f t="shared" si="243"/>
        <v>2.5347501275811979E-3</v>
      </c>
      <c r="BJ334">
        <v>163.51879190386421</v>
      </c>
      <c r="BK334">
        <v>-55.830155870203157</v>
      </c>
      <c r="BV334" s="38"/>
      <c r="BW334" s="6">
        <f t="shared" si="230"/>
        <v>5.567600313861873</v>
      </c>
      <c r="BX334" s="9">
        <f t="shared" ca="1" si="231"/>
        <v>22.866360276517767</v>
      </c>
      <c r="BY334" s="9">
        <f t="shared" ca="1" si="232"/>
        <v>-9.5441026960347628</v>
      </c>
      <c r="BZ334" s="9">
        <f t="shared" ca="1" si="233"/>
        <v>146.76204133333894</v>
      </c>
      <c r="CA334" s="6">
        <f t="shared" ca="1" si="234"/>
        <v>-50.842663048308481</v>
      </c>
      <c r="CB334" s="6">
        <f t="shared" ca="1" si="235"/>
        <v>-0.33349021021500069</v>
      </c>
      <c r="CC334" s="6">
        <f t="shared" ca="1" si="236"/>
        <v>-1.754027598021568E-4</v>
      </c>
      <c r="CD334" s="9">
        <f t="shared" si="237"/>
        <v>134.56204133333895</v>
      </c>
      <c r="CE334" s="9">
        <f t="shared" si="238"/>
        <v>-46.642663048308478</v>
      </c>
      <c r="CF334" s="6">
        <f t="shared" si="239"/>
        <v>-0.33366561297480285</v>
      </c>
      <c r="CG334" s="6"/>
      <c r="CH334" s="6"/>
      <c r="CI334" s="6"/>
      <c r="CJ334" s="1"/>
      <c r="CK334" s="6"/>
    </row>
    <row r="335" spans="55:89" x14ac:dyDescent="0.2">
      <c r="BC335">
        <v>5.8119464091410764</v>
      </c>
      <c r="BD335">
        <v>147.19754852026153</v>
      </c>
      <c r="BE335">
        <v>-50.188281781764559</v>
      </c>
      <c r="BF335" s="6">
        <f t="shared" si="240"/>
        <v>5.9545877117209294</v>
      </c>
      <c r="BG335" s="6">
        <f t="shared" si="241"/>
        <v>0.14264130257985297</v>
      </c>
      <c r="BH335" s="6">
        <f t="shared" si="242"/>
        <v>-2.9565664172812585E-3</v>
      </c>
      <c r="BI335" s="6">
        <f t="shared" si="243"/>
        <v>2.9565664172812585E-3</v>
      </c>
      <c r="BJ335">
        <v>163.55283168917947</v>
      </c>
      <c r="BK335">
        <v>-55.764757535293953</v>
      </c>
      <c r="BV335" s="38"/>
      <c r="BW335" s="6">
        <f t="shared" si="230"/>
        <v>5.5850536063818161</v>
      </c>
      <c r="BX335" s="9">
        <f t="shared" ca="1" si="231"/>
        <v>22.898905325058891</v>
      </c>
      <c r="BY335" s="9">
        <f t="shared" ca="1" si="232"/>
        <v>-9.5059964102389927</v>
      </c>
      <c r="BZ335" s="9">
        <f t="shared" ca="1" si="233"/>
        <v>146.79458638188007</v>
      </c>
      <c r="CA335" s="6">
        <f t="shared" ca="1" si="234"/>
        <v>-50.804556762512711</v>
      </c>
      <c r="CB335" s="6">
        <f t="shared" ca="1" si="235"/>
        <v>-0.33318983058185864</v>
      </c>
      <c r="CC335" s="6">
        <f t="shared" ca="1" si="236"/>
        <v>-1.4816987485322122E-4</v>
      </c>
      <c r="CD335" s="9">
        <f t="shared" si="237"/>
        <v>134.59458638188008</v>
      </c>
      <c r="CE335" s="9">
        <f t="shared" si="238"/>
        <v>-46.604556762512708</v>
      </c>
      <c r="CF335" s="6">
        <f t="shared" si="239"/>
        <v>-0.33333800045671186</v>
      </c>
      <c r="CG335" s="6"/>
      <c r="CH335" s="6"/>
      <c r="CI335" s="6"/>
      <c r="CJ335" s="1"/>
      <c r="CK335" s="6"/>
    </row>
    <row r="336" spans="55:89" x14ac:dyDescent="0.2">
      <c r="BC336">
        <v>5.8293997016610195</v>
      </c>
      <c r="BD336">
        <v>147.22830070162806</v>
      </c>
      <c r="BE336">
        <v>-50.126593581616397</v>
      </c>
      <c r="BF336" s="6">
        <f t="shared" si="240"/>
        <v>5.9550269381275465</v>
      </c>
      <c r="BG336" s="6">
        <f t="shared" si="241"/>
        <v>0.12562723646652696</v>
      </c>
      <c r="BH336" s="6">
        <f t="shared" si="242"/>
        <v>-3.3957928238983475E-3</v>
      </c>
      <c r="BI336" s="6">
        <f t="shared" si="243"/>
        <v>3.3957928238983475E-3</v>
      </c>
      <c r="BJ336">
        <v>163.58700077958673</v>
      </c>
      <c r="BK336">
        <v>-55.696215090684888</v>
      </c>
      <c r="BV336" s="38"/>
      <c r="BW336" s="6">
        <f t="shared" ref="BW336:BW375" si="244">BC323</f>
        <v>5.6025068989017592</v>
      </c>
      <c r="BX336" s="9">
        <f t="shared" ref="BX336:BX375" ca="1" si="245">BD323-$BW$5</f>
        <v>22.931076019532597</v>
      </c>
      <c r="BY336" s="9">
        <f t="shared" ref="BY336:BY375" ca="1" si="246">BE323-$BX$5</f>
        <v>-9.4669690601203627</v>
      </c>
      <c r="BZ336" s="9">
        <f t="shared" ref="BZ336:BZ375" ca="1" si="247">BX336-$CE$5</f>
        <v>146.82675707635377</v>
      </c>
      <c r="CA336" s="6">
        <f t="shared" ref="CA336:CA375" ca="1" si="248">BY336-$CF$5</f>
        <v>-50.765529412394081</v>
      </c>
      <c r="CB336" s="6">
        <f t="shared" ref="CB336:CB375" ca="1" si="249">ATAN2(BZ336,CA336)</f>
        <v>-0.33288470581613022</v>
      </c>
      <c r="CC336" s="6">
        <f t="shared" ref="CC336:CC375" ca="1" si="250">ATAN2(COS(CF336-CB336),SIN(CF336-CB336))</f>
        <v>-1.2051471534696433E-4</v>
      </c>
      <c r="CD336" s="9">
        <f t="shared" ref="CD336:CD375" si="251">BD323-$BW$6</f>
        <v>134.62675707635378</v>
      </c>
      <c r="CE336" s="9">
        <f t="shared" ref="CE336:CE375" si="252">BE323-$BX$6</f>
        <v>-46.565529412394078</v>
      </c>
      <c r="CF336" s="6">
        <f t="shared" ref="CF336:CF375" si="253">ATAN2(CD336,CE336)</f>
        <v>-0.33300522053147719</v>
      </c>
      <c r="CG336" s="6"/>
      <c r="CH336" s="6"/>
      <c r="CI336" s="6"/>
      <c r="CJ336" s="1"/>
      <c r="CK336" s="6"/>
    </row>
    <row r="337" spans="55:89" x14ac:dyDescent="0.2">
      <c r="BC337">
        <v>5.8468529941809626</v>
      </c>
      <c r="BD337">
        <v>147.25921098333322</v>
      </c>
      <c r="BE337">
        <v>-50.061778537737062</v>
      </c>
      <c r="BF337" s="6">
        <f t="shared" si="240"/>
        <v>5.9554854733248392</v>
      </c>
      <c r="BG337" s="6">
        <f t="shared" si="241"/>
        <v>0.10863247914387664</v>
      </c>
      <c r="BH337" s="6">
        <f t="shared" si="242"/>
        <v>-3.8543280211911224E-3</v>
      </c>
      <c r="BI337" s="6">
        <f t="shared" si="243"/>
        <v>3.8543280211911224E-3</v>
      </c>
      <c r="BJ337">
        <v>163.62134553703692</v>
      </c>
      <c r="BK337">
        <v>-55.624198375263404</v>
      </c>
      <c r="BV337" s="38"/>
      <c r="BW337" s="6">
        <f t="shared" si="244"/>
        <v>5.6199601914217023</v>
      </c>
      <c r="BX337" s="9">
        <f t="shared" ca="1" si="245"/>
        <v>22.962913076819618</v>
      </c>
      <c r="BY337" s="9">
        <f t="shared" ca="1" si="246"/>
        <v>-9.4269429483150589</v>
      </c>
      <c r="BZ337" s="9">
        <f t="shared" ca="1" si="247"/>
        <v>146.85859413364079</v>
      </c>
      <c r="CA337" s="6">
        <f t="shared" ca="1" si="248"/>
        <v>-50.725503300588777</v>
      </c>
      <c r="CB337" s="6">
        <f t="shared" ca="1" si="249"/>
        <v>-0.33257427550514845</v>
      </c>
      <c r="CC337" s="6">
        <f t="shared" ca="1" si="250"/>
        <v>-9.2386305049374506E-5</v>
      </c>
      <c r="CD337" s="9">
        <f t="shared" si="251"/>
        <v>134.6585941336408</v>
      </c>
      <c r="CE337" s="9">
        <f t="shared" si="252"/>
        <v>-46.525503300588774</v>
      </c>
      <c r="CF337" s="6">
        <f t="shared" si="253"/>
        <v>-0.33266666181019783</v>
      </c>
      <c r="CG337" s="6"/>
      <c r="CH337" s="6"/>
      <c r="CI337" s="6"/>
      <c r="CJ337" s="1"/>
      <c r="CK337" s="6"/>
    </row>
    <row r="338" spans="55:89" x14ac:dyDescent="0.2">
      <c r="BC338">
        <v>5.8643062867009057</v>
      </c>
      <c r="BD338">
        <v>147.29032320536362</v>
      </c>
      <c r="BE338">
        <v>-49.993497020406586</v>
      </c>
      <c r="BF338" s="6">
        <f t="shared" si="240"/>
        <v>5.9559654798131305</v>
      </c>
      <c r="BG338" s="6">
        <f t="shared" si="241"/>
        <v>9.1659193112224813E-2</v>
      </c>
      <c r="BH338" s="6">
        <f t="shared" si="242"/>
        <v>-4.334334509482396E-3</v>
      </c>
      <c r="BI338" s="6">
        <f t="shared" si="243"/>
        <v>4.334334509482396E-3</v>
      </c>
      <c r="BJ338">
        <v>163.65591467262624</v>
      </c>
      <c r="BK338">
        <v>-55.54833002267398</v>
      </c>
      <c r="BV338" s="38"/>
      <c r="BW338" s="6">
        <f t="shared" si="244"/>
        <v>5.6374134839416454</v>
      </c>
      <c r="BX338" s="9">
        <f t="shared" ca="1" si="245"/>
        <v>22.994455880817057</v>
      </c>
      <c r="BY338" s="9">
        <f t="shared" ca="1" si="246"/>
        <v>-9.3858338288022765</v>
      </c>
      <c r="BZ338" s="9">
        <f t="shared" ca="1" si="247"/>
        <v>146.89013693763823</v>
      </c>
      <c r="CA338" s="6">
        <f t="shared" ca="1" si="248"/>
        <v>-50.684394181075994</v>
      </c>
      <c r="CB338" s="6">
        <f t="shared" ca="1" si="249"/>
        <v>-0.33225794242395851</v>
      </c>
      <c r="CC338" s="6">
        <f t="shared" ca="1" si="250"/>
        <v>-6.3730359035008011E-5</v>
      </c>
      <c r="CD338" s="9">
        <f t="shared" si="251"/>
        <v>134.69013693763824</v>
      </c>
      <c r="CE338" s="9">
        <f t="shared" si="252"/>
        <v>-46.484394181075992</v>
      </c>
      <c r="CF338" s="6">
        <f t="shared" si="253"/>
        <v>-0.33232167278299352</v>
      </c>
      <c r="CG338" s="6"/>
      <c r="CH338" s="6"/>
      <c r="CI338" s="6"/>
      <c r="CJ338" s="1"/>
      <c r="CK338" s="6"/>
    </row>
    <row r="339" spans="55:89" x14ac:dyDescent="0.2">
      <c r="BC339">
        <v>5.8817595792208488</v>
      </c>
      <c r="BD339">
        <v>147.32168377216615</v>
      </c>
      <c r="BE339">
        <v>-49.921358642140618</v>
      </c>
      <c r="BF339" s="6">
        <f t="shared" si="240"/>
        <v>5.956469435520888</v>
      </c>
      <c r="BG339" s="6">
        <f t="shared" si="241"/>
        <v>7.4709856300039235E-2</v>
      </c>
      <c r="BH339" s="6">
        <f t="shared" si="242"/>
        <v>-4.8382902172399156E-3</v>
      </c>
      <c r="BI339" s="6">
        <f t="shared" si="243"/>
        <v>4.8382902172399156E-3</v>
      </c>
      <c r="BJ339">
        <v>163.69075974685128</v>
      </c>
      <c r="BK339">
        <v>-55.468176269045131</v>
      </c>
      <c r="BV339" s="38"/>
      <c r="BW339" s="6">
        <f t="shared" si="244"/>
        <v>5.6548667764615885</v>
      </c>
      <c r="BX339" s="9">
        <f t="shared" ca="1" si="245"/>
        <v>23.025742716208711</v>
      </c>
      <c r="BY339" s="9">
        <f t="shared" ca="1" si="246"/>
        <v>-9.3435500384061854</v>
      </c>
      <c r="BZ339" s="9">
        <f t="shared" ca="1" si="247"/>
        <v>146.92142377302989</v>
      </c>
      <c r="CA339" s="6">
        <f t="shared" ca="1" si="248"/>
        <v>-50.642110390679903</v>
      </c>
      <c r="CB339" s="6">
        <f t="shared" ca="1" si="249"/>
        <v>-0.33193506672818507</v>
      </c>
      <c r="CC339" s="6">
        <f t="shared" ca="1" si="250"/>
        <v>-3.4488754706463176E-5</v>
      </c>
      <c r="CD339" s="9">
        <f t="shared" si="251"/>
        <v>134.7214237730299</v>
      </c>
      <c r="CE339" s="9">
        <f t="shared" si="252"/>
        <v>-46.4421103906799</v>
      </c>
      <c r="CF339" s="6">
        <f t="shared" si="253"/>
        <v>-0.33196955548289153</v>
      </c>
      <c r="CG339" s="6"/>
      <c r="CH339" s="6"/>
      <c r="CI339" s="6"/>
      <c r="CJ339" s="1"/>
      <c r="CK339" s="6"/>
    </row>
    <row r="340" spans="55:89" x14ac:dyDescent="0.2">
      <c r="BC340">
        <v>5.8992128717407919</v>
      </c>
      <c r="BD340">
        <v>147.35334220656614</v>
      </c>
      <c r="BE340">
        <v>-49.844911948719165</v>
      </c>
      <c r="BF340" s="6">
        <f t="shared" si="240"/>
        <v>5.9570001981173908</v>
      </c>
      <c r="BG340" s="6">
        <f t="shared" si="241"/>
        <v>5.7787326376598891E-2</v>
      </c>
      <c r="BH340" s="6">
        <f t="shared" si="242"/>
        <v>-5.3690528137426696E-3</v>
      </c>
      <c r="BI340" s="6">
        <f t="shared" si="243"/>
        <v>5.3690528137426696E-3</v>
      </c>
      <c r="BJ340">
        <v>163.72593578507349</v>
      </c>
      <c r="BK340">
        <v>-55.383235498576852</v>
      </c>
      <c r="BV340" s="38"/>
      <c r="BW340" s="6">
        <f t="shared" si="244"/>
        <v>5.6723200689815316</v>
      </c>
      <c r="BX340" s="9">
        <f t="shared" ca="1" si="245"/>
        <v>23.056810997915974</v>
      </c>
      <c r="BY340" s="9">
        <f t="shared" ca="1" si="246"/>
        <v>-9.2999914987726271</v>
      </c>
      <c r="BZ340" s="9">
        <f t="shared" ca="1" si="247"/>
        <v>146.95249205473715</v>
      </c>
      <c r="CA340" s="6">
        <f t="shared" ca="1" si="248"/>
        <v>-50.598551851046345</v>
      </c>
      <c r="CB340" s="6">
        <f t="shared" ca="1" si="249"/>
        <v>-0.33160495936727069</v>
      </c>
      <c r="CC340" s="6">
        <f t="shared" ca="1" si="250"/>
        <v>-4.5989321962869312E-6</v>
      </c>
      <c r="CD340" s="9">
        <f t="shared" si="251"/>
        <v>134.75249205473716</v>
      </c>
      <c r="CE340" s="9">
        <f t="shared" si="252"/>
        <v>-46.398551851046342</v>
      </c>
      <c r="CF340" s="6">
        <f t="shared" si="253"/>
        <v>-0.33160955829946698</v>
      </c>
      <c r="CG340" s="6"/>
      <c r="CH340" s="6"/>
      <c r="CI340" s="6"/>
      <c r="CJ340" s="1"/>
      <c r="CK340" s="6"/>
    </row>
    <row r="341" spans="55:89" x14ac:dyDescent="0.2">
      <c r="BC341">
        <v>5.916666164260735</v>
      </c>
      <c r="BD341">
        <v>147.38535178428174</v>
      </c>
      <c r="BE341">
        <v>-49.76363143409327</v>
      </c>
      <c r="BF341" s="6">
        <f t="shared" si="240"/>
        <v>5.9575610859261463</v>
      </c>
      <c r="BG341" s="6">
        <f t="shared" si="241"/>
        <v>4.089492166541131E-2</v>
      </c>
      <c r="BH341" s="6">
        <f t="shared" si="242"/>
        <v>-5.9299406224981865E-3</v>
      </c>
      <c r="BI341" s="6">
        <f t="shared" si="243"/>
        <v>5.9299406224981865E-3</v>
      </c>
      <c r="BJ341">
        <v>163.76150198253526</v>
      </c>
      <c r="BK341">
        <v>-55.292923815659186</v>
      </c>
      <c r="BV341" s="38"/>
      <c r="BW341" s="6">
        <f t="shared" si="244"/>
        <v>5.6897733615014747</v>
      </c>
      <c r="BX341" s="9">
        <f t="shared" ca="1" si="245"/>
        <v>23.087697489734225</v>
      </c>
      <c r="BY341" s="9">
        <f t="shared" ca="1" si="246"/>
        <v>-9.2550485597009029</v>
      </c>
      <c r="BZ341" s="9">
        <f t="shared" ca="1" si="247"/>
        <v>146.9833785465554</v>
      </c>
      <c r="CA341" s="6">
        <f t="shared" ca="1" si="248"/>
        <v>-50.553608911974621</v>
      </c>
      <c r="CB341" s="6">
        <f t="shared" ca="1" si="249"/>
        <v>-0.3312668745534067</v>
      </c>
      <c r="CC341" s="6">
        <f t="shared" ca="1" si="250"/>
        <v>2.6006790864341326E-5</v>
      </c>
      <c r="CD341" s="9">
        <f t="shared" si="251"/>
        <v>134.78337854655541</v>
      </c>
      <c r="CE341" s="9">
        <f t="shared" si="252"/>
        <v>-46.353608911974618</v>
      </c>
      <c r="CF341" s="6">
        <f t="shared" si="253"/>
        <v>-0.33124086776254236</v>
      </c>
      <c r="CG341" s="6"/>
      <c r="CH341" s="6"/>
      <c r="CI341" s="6"/>
      <c r="CJ341" s="1"/>
      <c r="CK341" s="6"/>
    </row>
    <row r="342" spans="55:89" x14ac:dyDescent="0.2">
      <c r="BC342">
        <v>5.9341194567806781</v>
      </c>
      <c r="BD342">
        <v>147.41777029293874</v>
      </c>
      <c r="BE342">
        <v>-49.676901026583884</v>
      </c>
      <c r="BF342" s="6">
        <f t="shared" si="240"/>
        <v>5.9581559807784767</v>
      </c>
      <c r="BG342" s="6">
        <f t="shared" si="241"/>
        <v>2.4036523997798653E-2</v>
      </c>
      <c r="BH342" s="6">
        <f t="shared" si="242"/>
        <v>-6.5248354748286275E-3</v>
      </c>
      <c r="BI342" s="6">
        <f t="shared" si="243"/>
        <v>6.5248354748286275E-3</v>
      </c>
      <c r="BJ342">
        <v>163.79752254770972</v>
      </c>
      <c r="BK342">
        <v>-55.196556696204311</v>
      </c>
      <c r="BV342" s="38"/>
      <c r="BW342" s="6">
        <f t="shared" si="244"/>
        <v>5.7072266540214178</v>
      </c>
      <c r="BX342" s="9">
        <f t="shared" ca="1" si="245"/>
        <v>23.118438524890863</v>
      </c>
      <c r="BY342" s="9">
        <f t="shared" ca="1" si="246"/>
        <v>-9.2086006563733349</v>
      </c>
      <c r="BZ342" s="9">
        <f t="shared" ca="1" si="247"/>
        <v>147.01411958171204</v>
      </c>
      <c r="CA342" s="6">
        <f t="shared" ca="1" si="248"/>
        <v>-50.507161008647053</v>
      </c>
      <c r="CB342" s="6">
        <f t="shared" ca="1" si="249"/>
        <v>-0.33092000109100567</v>
      </c>
      <c r="CC342" s="6">
        <f t="shared" ca="1" si="250"/>
        <v>5.7402008008688998E-5</v>
      </c>
      <c r="CD342" s="9">
        <f t="shared" si="251"/>
        <v>134.81411958171205</v>
      </c>
      <c r="CE342" s="9">
        <f t="shared" si="252"/>
        <v>-46.30716100864705</v>
      </c>
      <c r="CF342" s="6">
        <f t="shared" si="253"/>
        <v>-0.33086259908299698</v>
      </c>
      <c r="CG342" s="6"/>
      <c r="CH342" s="6"/>
      <c r="CI342" s="6"/>
      <c r="CJ342" s="1"/>
      <c r="CK342" s="6"/>
    </row>
    <row r="343" spans="55:89" x14ac:dyDescent="0.2">
      <c r="BC343">
        <v>5.9515727493006212</v>
      </c>
      <c r="BD343">
        <v>147.45066096575169</v>
      </c>
      <c r="BE343">
        <v>-49.5839928575258</v>
      </c>
      <c r="BF343" s="6">
        <f t="shared" si="240"/>
        <v>5.9587894602334961</v>
      </c>
      <c r="BG343" s="6">
        <f t="shared" si="241"/>
        <v>7.2167109328749035E-3</v>
      </c>
      <c r="BH343" s="6">
        <f t="shared" si="242"/>
        <v>-7.1583149298479753E-3</v>
      </c>
      <c r="BI343" s="6">
        <f t="shared" si="243"/>
        <v>7.1583149298479753E-3</v>
      </c>
      <c r="BJ343">
        <v>163.83406773972411</v>
      </c>
      <c r="BK343">
        <v>-55.093325397250887</v>
      </c>
      <c r="BV343" s="38"/>
      <c r="BW343" s="6">
        <f t="shared" si="244"/>
        <v>5.7246799465413609</v>
      </c>
      <c r="BX343" s="9">
        <f t="shared" ca="1" si="245"/>
        <v>23.149070231402519</v>
      </c>
      <c r="BY343" s="9">
        <f t="shared" ca="1" si="246"/>
        <v>-9.1605147419333193</v>
      </c>
      <c r="BZ343" s="9">
        <f t="shared" ca="1" si="247"/>
        <v>147.04475128822369</v>
      </c>
      <c r="CA343" s="6">
        <f t="shared" ca="1" si="248"/>
        <v>-50.459075094207037</v>
      </c>
      <c r="CB343" s="6">
        <f t="shared" ca="1" si="249"/>
        <v>-0.33056345232454404</v>
      </c>
      <c r="CC343" s="6">
        <f t="shared" ca="1" si="250"/>
        <v>8.9667138104931876E-5</v>
      </c>
      <c r="CD343" s="9">
        <f t="shared" si="251"/>
        <v>134.8447512882237</v>
      </c>
      <c r="CE343" s="9">
        <f t="shared" si="252"/>
        <v>-46.259075094207034</v>
      </c>
      <c r="CF343" s="6">
        <f t="shared" si="253"/>
        <v>-0.33047378518643911</v>
      </c>
      <c r="CG343" s="6"/>
      <c r="CH343" s="6"/>
      <c r="CI343" s="6"/>
      <c r="CJ343" s="1"/>
      <c r="CK343" s="6"/>
    </row>
    <row r="344" spans="55:89" x14ac:dyDescent="0.2">
      <c r="BC344">
        <v>5.9690260418205643</v>
      </c>
      <c r="BD344">
        <v>147.48409361607506</v>
      </c>
      <c r="BE344">
        <v>-49.484039622116093</v>
      </c>
      <c r="BF344" s="6">
        <f t="shared" si="240"/>
        <v>5.9594669696359412</v>
      </c>
      <c r="BG344" s="6">
        <f t="shared" si="241"/>
        <v>9.5590721846230409E-3</v>
      </c>
      <c r="BH344" s="6">
        <f t="shared" si="242"/>
        <v>-7.8358243322931287E-3</v>
      </c>
      <c r="BI344" s="6">
        <f t="shared" si="243"/>
        <v>7.8358243322931287E-3</v>
      </c>
      <c r="BJ344">
        <v>163.8712151289723</v>
      </c>
      <c r="BK344">
        <v>-54.98226624679566</v>
      </c>
      <c r="BV344" s="38"/>
      <c r="BW344" s="6">
        <f t="shared" si="244"/>
        <v>5.742133239061304</v>
      </c>
      <c r="BX344" s="9">
        <f t="shared" ca="1" si="245"/>
        <v>23.179628741557465</v>
      </c>
      <c r="BY344" s="9">
        <f t="shared" ca="1" si="246"/>
        <v>-9.110643439353538</v>
      </c>
      <c r="BZ344" s="9">
        <f t="shared" ca="1" si="247"/>
        <v>147.07530979837864</v>
      </c>
      <c r="CA344" s="6">
        <f t="shared" ca="1" si="248"/>
        <v>-50.409203791627256</v>
      </c>
      <c r="CB344" s="6">
        <f t="shared" ca="1" si="249"/>
        <v>-0.33019625440477268</v>
      </c>
      <c r="CC344" s="6">
        <f t="shared" ca="1" si="250"/>
        <v>1.2289049239988528E-4</v>
      </c>
      <c r="CD344" s="9">
        <f t="shared" si="251"/>
        <v>134.87530979837865</v>
      </c>
      <c r="CE344" s="9">
        <f t="shared" si="252"/>
        <v>-46.209203791627253</v>
      </c>
      <c r="CF344" s="6">
        <f t="shared" si="253"/>
        <v>-0.3300733639123728</v>
      </c>
      <c r="CG344" s="6"/>
      <c r="CH344" s="6"/>
      <c r="CI344" s="6"/>
      <c r="CJ344" s="1"/>
      <c r="CK344" s="6"/>
    </row>
    <row r="345" spans="55:89" x14ac:dyDescent="0.2">
      <c r="BC345">
        <v>5.9864793343405074</v>
      </c>
      <c r="BD345">
        <v>147.51814604820112</v>
      </c>
      <c r="BE345">
        <v>-49.375998119056035</v>
      </c>
      <c r="BF345" s="6">
        <f t="shared" si="240"/>
        <v>5.9601950490533255</v>
      </c>
      <c r="BG345" s="6">
        <f t="shared" si="241"/>
        <v>2.6284285287181852E-2</v>
      </c>
      <c r="BH345" s="6">
        <f t="shared" si="242"/>
        <v>-8.5639037496774133E-3</v>
      </c>
      <c r="BI345" s="6">
        <f t="shared" si="243"/>
        <v>8.5639037496774133E-3</v>
      </c>
      <c r="BJ345">
        <v>163.90905116466791</v>
      </c>
      <c r="BK345">
        <v>-54.862220132284484</v>
      </c>
      <c r="BV345" s="38"/>
      <c r="BW345" s="6">
        <f t="shared" si="244"/>
        <v>5.7595865315812471</v>
      </c>
      <c r="BX345" s="9">
        <f t="shared" ca="1" si="245"/>
        <v>23.210150442775713</v>
      </c>
      <c r="BY345" s="9">
        <f t="shared" ca="1" si="246"/>
        <v>-9.0588228727771778</v>
      </c>
      <c r="BZ345" s="9">
        <f t="shared" ca="1" si="247"/>
        <v>147.10583149959689</v>
      </c>
      <c r="CA345" s="6">
        <f t="shared" ca="1" si="248"/>
        <v>-50.357383225050896</v>
      </c>
      <c r="CB345" s="6">
        <f t="shared" ca="1" si="249"/>
        <v>-0.3298173325087484</v>
      </c>
      <c r="CC345" s="6">
        <f t="shared" ca="1" si="250"/>
        <v>1.5716952765970629E-4</v>
      </c>
      <c r="CD345" s="9">
        <f t="shared" si="251"/>
        <v>134.9058314995969</v>
      </c>
      <c r="CE345" s="9">
        <f t="shared" si="252"/>
        <v>-46.157383225050893</v>
      </c>
      <c r="CF345" s="6">
        <f t="shared" si="253"/>
        <v>-0.32966016298108869</v>
      </c>
      <c r="CG345" s="6"/>
      <c r="CH345" s="6"/>
      <c r="CI345" s="6"/>
      <c r="CJ345" s="1"/>
      <c r="CK345" s="6"/>
    </row>
    <row r="346" spans="55:89" x14ac:dyDescent="0.2">
      <c r="BC346">
        <v>6.0039326268604505</v>
      </c>
      <c r="BD346">
        <v>147.55290584671144</v>
      </c>
      <c r="BE346">
        <v>-49.258600438733353</v>
      </c>
      <c r="BF346" s="6">
        <f t="shared" si="240"/>
        <v>5.9609816370944175</v>
      </c>
      <c r="BG346" s="6">
        <f t="shared" si="241"/>
        <v>4.2950989766032954E-2</v>
      </c>
      <c r="BH346" s="6">
        <f t="shared" si="242"/>
        <v>-9.350491790769409E-3</v>
      </c>
      <c r="BI346" s="6">
        <f t="shared" si="243"/>
        <v>9.350491790769409E-3</v>
      </c>
      <c r="BJ346">
        <v>163.94767316301269</v>
      </c>
      <c r="BK346">
        <v>-54.73177826525928</v>
      </c>
      <c r="BV346" s="38"/>
      <c r="BW346" s="6">
        <f t="shared" si="244"/>
        <v>5.7770398241011902</v>
      </c>
      <c r="BX346" s="9">
        <f t="shared" ca="1" si="245"/>
        <v>23.240672205066218</v>
      </c>
      <c r="BY346" s="9">
        <f t="shared" ca="1" si="246"/>
        <v>-9.004870079280181</v>
      </c>
      <c r="BZ346" s="9">
        <f t="shared" ca="1" si="247"/>
        <v>147.13635326188739</v>
      </c>
      <c r="CA346" s="6">
        <f t="shared" ca="1" si="248"/>
        <v>-50.303430431553899</v>
      </c>
      <c r="CB346" s="6">
        <f t="shared" ca="1" si="249"/>
        <v>-0.32942549454288994</v>
      </c>
      <c r="CC346" s="6">
        <f t="shared" ca="1" si="250"/>
        <v>1.9261232838468922E-4</v>
      </c>
      <c r="CD346" s="9">
        <f t="shared" si="251"/>
        <v>134.9363532618874</v>
      </c>
      <c r="CE346" s="9">
        <f t="shared" si="252"/>
        <v>-46.103430431553896</v>
      </c>
      <c r="CF346" s="6">
        <f t="shared" si="253"/>
        <v>-0.32923288221450525</v>
      </c>
      <c r="CG346" s="6"/>
      <c r="CH346" s="6"/>
      <c r="CI346" s="6"/>
      <c r="CJ346" s="1"/>
      <c r="CK346" s="6"/>
    </row>
    <row r="347" spans="55:89" x14ac:dyDescent="0.2">
      <c r="BC347">
        <v>6.0213859193803936</v>
      </c>
      <c r="BD347">
        <v>147.58847264986807</v>
      </c>
      <c r="BE347">
        <v>-49.130287520707469</v>
      </c>
      <c r="BF347" s="6">
        <f t="shared" si="240"/>
        <v>5.9618364844405241</v>
      </c>
      <c r="BG347" s="6">
        <f t="shared" si="241"/>
        <v>5.9549434939869528E-2</v>
      </c>
      <c r="BH347" s="6">
        <f t="shared" si="242"/>
        <v>-1.0205339136875935E-2</v>
      </c>
      <c r="BI347" s="6">
        <f t="shared" si="243"/>
        <v>1.0205339136875935E-2</v>
      </c>
      <c r="BJ347">
        <v>163.98719183318673</v>
      </c>
      <c r="BK347">
        <v>-54.589208356341629</v>
      </c>
      <c r="BV347" s="38"/>
      <c r="BW347" s="6">
        <f t="shared" si="244"/>
        <v>5.7944931166211333</v>
      </c>
      <c r="BX347" s="9">
        <f t="shared" ca="1" si="245"/>
        <v>23.27123165665661</v>
      </c>
      <c r="BY347" s="9">
        <f t="shared" ca="1" si="246"/>
        <v>-8.9485799309091263</v>
      </c>
      <c r="BZ347" s="9">
        <f t="shared" ca="1" si="247"/>
        <v>147.16691271347779</v>
      </c>
      <c r="CA347" s="6">
        <f t="shared" ca="1" si="248"/>
        <v>-50.247140283182844</v>
      </c>
      <c r="CB347" s="6">
        <f t="shared" ca="1" si="249"/>
        <v>-0.32901941174835664</v>
      </c>
      <c r="CC347" s="6">
        <f t="shared" ca="1" si="250"/>
        <v>2.2933937103702953E-4</v>
      </c>
      <c r="CD347" s="9">
        <f t="shared" si="251"/>
        <v>134.9669127134778</v>
      </c>
      <c r="CE347" s="9">
        <f t="shared" si="252"/>
        <v>-46.047140283182841</v>
      </c>
      <c r="CF347" s="6">
        <f t="shared" si="253"/>
        <v>-0.32879007237731961</v>
      </c>
      <c r="CG347" s="6"/>
      <c r="CH347" s="6"/>
      <c r="CI347" s="6"/>
      <c r="CJ347" s="1"/>
      <c r="CK347" s="6"/>
    </row>
    <row r="348" spans="55:89" x14ac:dyDescent="0.2">
      <c r="BC348">
        <v>6.0388392119003367</v>
      </c>
      <c r="BD348">
        <v>147.62496112115841</v>
      </c>
      <c r="BE348">
        <v>-48.989117035607187</v>
      </c>
      <c r="BF348" s="6">
        <f t="shared" si="240"/>
        <v>5.9627717272758467</v>
      </c>
      <c r="BG348" s="6">
        <f t="shared" si="241"/>
        <v>7.6067484624489978E-2</v>
      </c>
      <c r="BH348" s="6">
        <f t="shared" si="242"/>
        <v>-1.1140581972198582E-2</v>
      </c>
      <c r="BI348" s="6">
        <f t="shared" si="243"/>
        <v>1.1140581972198582E-2</v>
      </c>
      <c r="BJ348">
        <v>164.02773457906488</v>
      </c>
      <c r="BK348">
        <v>-54.432352261785759</v>
      </c>
      <c r="BV348" s="38"/>
      <c r="BW348" s="6">
        <f t="shared" si="244"/>
        <v>5.8119464091410764</v>
      </c>
      <c r="BX348" s="9">
        <f t="shared" ca="1" si="245"/>
        <v>23.30186746344036</v>
      </c>
      <c r="BY348" s="9">
        <f t="shared" ca="1" si="246"/>
        <v>-8.8897214294908409</v>
      </c>
      <c r="BZ348" s="9">
        <f t="shared" ca="1" si="247"/>
        <v>147.19754852026153</v>
      </c>
      <c r="CA348" s="6">
        <f t="shared" ca="1" si="248"/>
        <v>-50.188281781764559</v>
      </c>
      <c r="CB348" s="6">
        <f t="shared" ca="1" si="249"/>
        <v>-0.32859759545865663</v>
      </c>
      <c r="CC348" s="6">
        <f t="shared" ca="1" si="250"/>
        <v>2.6748563878042919E-4</v>
      </c>
      <c r="CD348" s="9">
        <f t="shared" si="251"/>
        <v>134.99754852026155</v>
      </c>
      <c r="CE348" s="9">
        <f t="shared" si="252"/>
        <v>-45.988281781764556</v>
      </c>
      <c r="CF348" s="6">
        <f t="shared" si="253"/>
        <v>-0.3283301098198762</v>
      </c>
      <c r="CG348" s="6"/>
      <c r="CH348" s="6"/>
      <c r="CI348" s="6"/>
      <c r="CJ348" s="1"/>
      <c r="CK348" s="6"/>
    </row>
    <row r="349" spans="55:89" x14ac:dyDescent="0.2">
      <c r="BC349">
        <v>6.0562925044202798</v>
      </c>
      <c r="BD349">
        <v>147.66250487475051</v>
      </c>
      <c r="BE349">
        <v>-48.832632968615719</v>
      </c>
      <c r="BF349" s="6">
        <f t="shared" si="240"/>
        <v>5.963802699272911</v>
      </c>
      <c r="BG349" s="6">
        <f t="shared" si="241"/>
        <v>9.248980514736882E-2</v>
      </c>
      <c r="BH349" s="6">
        <f t="shared" si="242"/>
        <v>-1.2171553969262838E-2</v>
      </c>
      <c r="BI349" s="6">
        <f t="shared" si="243"/>
        <v>1.2171553969262838E-2</v>
      </c>
      <c r="BJ349">
        <v>164.06944986083388</v>
      </c>
      <c r="BK349">
        <v>-54.25848107623969</v>
      </c>
      <c r="BV349" s="38"/>
      <c r="BW349" s="6">
        <f t="shared" si="244"/>
        <v>5.8293997016610195</v>
      </c>
      <c r="BX349" s="9">
        <f t="shared" ca="1" si="245"/>
        <v>23.332619644806883</v>
      </c>
      <c r="BY349" s="9">
        <f t="shared" ca="1" si="246"/>
        <v>-8.8280332293426795</v>
      </c>
      <c r="BZ349" s="9">
        <f t="shared" ca="1" si="247"/>
        <v>147.22830070162806</v>
      </c>
      <c r="CA349" s="6">
        <f t="shared" ca="1" si="248"/>
        <v>-50.126593581616397</v>
      </c>
      <c r="CB349" s="6">
        <f t="shared" ca="1" si="249"/>
        <v>-0.32815836905203999</v>
      </c>
      <c r="CC349" s="6">
        <f t="shared" ca="1" si="250"/>
        <v>3.0720317412769038E-4</v>
      </c>
      <c r="CD349" s="9">
        <f t="shared" si="251"/>
        <v>135.02830070162807</v>
      </c>
      <c r="CE349" s="9">
        <f t="shared" si="252"/>
        <v>-45.926593581616395</v>
      </c>
      <c r="CF349" s="6">
        <f t="shared" si="253"/>
        <v>-0.3278511658779123</v>
      </c>
      <c r="CG349" s="6"/>
      <c r="CH349" s="6"/>
      <c r="CI349" s="6"/>
      <c r="CJ349" s="1"/>
      <c r="CK349" s="6"/>
    </row>
    <row r="350" spans="55:89" x14ac:dyDescent="0.2">
      <c r="BC350">
        <v>6.0737457969402229</v>
      </c>
      <c r="BD350">
        <v>147.70126178949599</v>
      </c>
      <c r="BE350">
        <v>-48.65767655115004</v>
      </c>
      <c r="BF350" s="6">
        <f t="shared" si="240"/>
        <v>5.9649491091424975</v>
      </c>
      <c r="BG350" s="6">
        <f t="shared" si="241"/>
        <v>0.10879668779772533</v>
      </c>
      <c r="BH350" s="6">
        <f t="shared" si="242"/>
        <v>-1.3317963838849421E-2</v>
      </c>
      <c r="BI350" s="6">
        <f t="shared" si="243"/>
        <v>1.3317963838849421E-2</v>
      </c>
      <c r="BJ350">
        <v>164.11251309943998</v>
      </c>
      <c r="BK350">
        <v>-54.064085056833378</v>
      </c>
      <c r="BV350" s="38"/>
      <c r="BW350" s="6">
        <f t="shared" si="244"/>
        <v>5.8468529941809626</v>
      </c>
      <c r="BX350" s="9">
        <f t="shared" ca="1" si="245"/>
        <v>23.363529926512044</v>
      </c>
      <c r="BY350" s="9">
        <f t="shared" ca="1" si="246"/>
        <v>-8.7632181854633444</v>
      </c>
      <c r="BZ350" s="9">
        <f t="shared" ca="1" si="247"/>
        <v>147.25921098333322</v>
      </c>
      <c r="CA350" s="6">
        <f t="shared" ca="1" si="248"/>
        <v>-50.061778537737062</v>
      </c>
      <c r="CB350" s="6">
        <f t="shared" ca="1" si="249"/>
        <v>-0.32769983385474677</v>
      </c>
      <c r="CC350" s="6">
        <f t="shared" ca="1" si="250"/>
        <v>3.4866418312273773E-4</v>
      </c>
      <c r="CD350" s="9">
        <f t="shared" si="251"/>
        <v>135.05921098333323</v>
      </c>
      <c r="CE350" s="9">
        <f t="shared" si="252"/>
        <v>-45.861778537737059</v>
      </c>
      <c r="CF350" s="6">
        <f t="shared" si="253"/>
        <v>-0.32735116967162403</v>
      </c>
      <c r="CG350" s="6"/>
      <c r="CH350" s="6"/>
      <c r="CI350" s="6"/>
      <c r="CJ350" s="1"/>
      <c r="CK350" s="6"/>
    </row>
    <row r="351" spans="55:89" x14ac:dyDescent="0.2">
      <c r="BC351">
        <v>6.091199089460166</v>
      </c>
      <c r="BD351">
        <v>147.74142132980069</v>
      </c>
      <c r="BE351">
        <v>-48.460104574604649</v>
      </c>
      <c r="BF351" s="6">
        <f t="shared" si="240"/>
        <v>5.9662367957360463</v>
      </c>
      <c r="BG351" s="6">
        <f t="shared" si="241"/>
        <v>0.12496229372411971</v>
      </c>
      <c r="BH351" s="6">
        <f t="shared" si="242"/>
        <v>-1.4605650432398143E-2</v>
      </c>
      <c r="BI351" s="6">
        <f t="shared" si="243"/>
        <v>1.4605650432398143E-2</v>
      </c>
      <c r="BJ351">
        <v>164.15713481088966</v>
      </c>
      <c r="BK351">
        <v>-53.844560638449607</v>
      </c>
      <c r="BV351" s="38"/>
      <c r="BW351" s="6">
        <f t="shared" si="244"/>
        <v>5.8643062867009057</v>
      </c>
      <c r="BX351" s="9">
        <f t="shared" ca="1" si="245"/>
        <v>23.394642148542445</v>
      </c>
      <c r="BY351" s="9">
        <f t="shared" ca="1" si="246"/>
        <v>-8.6949366681328684</v>
      </c>
      <c r="BZ351" s="9">
        <f t="shared" ca="1" si="247"/>
        <v>147.29032320536362</v>
      </c>
      <c r="CA351" s="6">
        <f t="shared" ca="1" si="248"/>
        <v>-49.993497020406586</v>
      </c>
      <c r="CB351" s="6">
        <f t="shared" ca="1" si="249"/>
        <v>-0.3272198273664555</v>
      </c>
      <c r="CC351" s="6">
        <f t="shared" ca="1" si="250"/>
        <v>3.9206483985765317E-4</v>
      </c>
      <c r="CD351" s="9">
        <f t="shared" si="251"/>
        <v>135.09032320536363</v>
      </c>
      <c r="CE351" s="9">
        <f t="shared" si="252"/>
        <v>-45.793497020406583</v>
      </c>
      <c r="CF351" s="6">
        <f t="shared" si="253"/>
        <v>-0.32682776252659784</v>
      </c>
      <c r="CG351" s="6"/>
      <c r="CH351" s="6"/>
      <c r="CI351" s="6"/>
      <c r="CJ351" s="1"/>
      <c r="CK351" s="6"/>
    </row>
    <row r="352" spans="55:89" x14ac:dyDescent="0.2">
      <c r="BC352">
        <v>6.1086523819801091</v>
      </c>
      <c r="BD352">
        <v>147.78321496064234</v>
      </c>
      <c r="BE352">
        <v>-48.23435622293502</v>
      </c>
      <c r="BF352" s="6">
        <f t="shared" si="240"/>
        <v>5.9677004285927806</v>
      </c>
      <c r="BG352" s="6">
        <f t="shared" si="241"/>
        <v>0.14095195338732847</v>
      </c>
      <c r="BH352" s="6">
        <f t="shared" si="242"/>
        <v>-1.6069283289132485E-2</v>
      </c>
      <c r="BI352" s="6">
        <f t="shared" si="243"/>
        <v>1.6069283289132485E-2</v>
      </c>
      <c r="BJ352">
        <v>164.2035721784915</v>
      </c>
      <c r="BK352">
        <v>-53.593729136594462</v>
      </c>
      <c r="BV352" s="38"/>
      <c r="BW352" s="6">
        <f t="shared" si="244"/>
        <v>5.8817595792208488</v>
      </c>
      <c r="BX352" s="9">
        <f t="shared" ca="1" si="245"/>
        <v>23.426002715344978</v>
      </c>
      <c r="BY352" s="9">
        <f t="shared" ca="1" si="246"/>
        <v>-8.6227982898668998</v>
      </c>
      <c r="BZ352" s="9">
        <f t="shared" ca="1" si="247"/>
        <v>147.32168377216615</v>
      </c>
      <c r="CA352" s="6">
        <f t="shared" ca="1" si="248"/>
        <v>-49.921358642140618</v>
      </c>
      <c r="CB352" s="6">
        <f t="shared" ca="1" si="249"/>
        <v>-0.32671587165869792</v>
      </c>
      <c r="CC352" s="6">
        <f t="shared" ca="1" si="250"/>
        <v>4.3762998788104973E-4</v>
      </c>
      <c r="CD352" s="9">
        <f t="shared" si="251"/>
        <v>135.12168377216616</v>
      </c>
      <c r="CE352" s="9">
        <f t="shared" si="252"/>
        <v>-45.721358642140615</v>
      </c>
      <c r="CF352" s="6">
        <f t="shared" si="253"/>
        <v>-0.32627824167081687</v>
      </c>
      <c r="CG352" s="6"/>
      <c r="CH352" s="6"/>
      <c r="CI352" s="6"/>
      <c r="CJ352" s="1"/>
      <c r="CK352" s="6"/>
    </row>
    <row r="353" spans="55:89" x14ac:dyDescent="0.2">
      <c r="BC353">
        <v>6.1261056745000522</v>
      </c>
      <c r="BD353">
        <v>147.82693135708919</v>
      </c>
      <c r="BE353">
        <v>-47.972761659344059</v>
      </c>
      <c r="BF353" s="6">
        <f t="shared" si="240"/>
        <v>5.9693878216419236</v>
      </c>
      <c r="BG353" s="6">
        <f t="shared" si="241"/>
        <v>0.15671785285812856</v>
      </c>
      <c r="BH353" s="6">
        <f t="shared" si="242"/>
        <v>-1.775667633827549E-2</v>
      </c>
      <c r="BI353" s="6">
        <f t="shared" si="243"/>
        <v>1.775667633827549E-2</v>
      </c>
      <c r="BJ353">
        <v>164.25214595232131</v>
      </c>
      <c r="BK353">
        <v>-53.303068510382289</v>
      </c>
      <c r="BV353" s="38"/>
      <c r="BW353" s="6">
        <f t="shared" si="244"/>
        <v>5.8992128717407919</v>
      </c>
      <c r="BX353" s="9">
        <f t="shared" ca="1" si="245"/>
        <v>23.457661149744965</v>
      </c>
      <c r="BY353" s="9">
        <f t="shared" ca="1" si="246"/>
        <v>-8.5463515964454473</v>
      </c>
      <c r="BZ353" s="9">
        <f t="shared" ca="1" si="247"/>
        <v>147.35334220656614</v>
      </c>
      <c r="CA353" s="6">
        <f t="shared" ca="1" si="248"/>
        <v>-49.844911948719165</v>
      </c>
      <c r="CB353" s="6">
        <f t="shared" ca="1" si="249"/>
        <v>-0.3261851090621955</v>
      </c>
      <c r="CC353" s="6">
        <f t="shared" ca="1" si="250"/>
        <v>4.8561900216720355E-4</v>
      </c>
      <c r="CD353" s="9">
        <f t="shared" si="251"/>
        <v>135.15334220656615</v>
      </c>
      <c r="CE353" s="9">
        <f t="shared" si="252"/>
        <v>-45.644911948719162</v>
      </c>
      <c r="CF353" s="6">
        <f t="shared" si="253"/>
        <v>-0.3256994900600283</v>
      </c>
      <c r="CG353" s="6"/>
      <c r="CH353" s="6"/>
      <c r="CI353" s="6"/>
      <c r="CJ353" s="1"/>
      <c r="CK353" s="6"/>
    </row>
    <row r="354" spans="55:89" x14ac:dyDescent="0.2">
      <c r="BC354">
        <v>6.1435589670199953</v>
      </c>
      <c r="BD354">
        <v>147.87293948044785</v>
      </c>
      <c r="BE354">
        <v>-47.664388200132535</v>
      </c>
      <c r="BF354" s="6">
        <f t="shared" si="240"/>
        <v>5.9713671387184686</v>
      </c>
      <c r="BG354" s="6">
        <f t="shared" si="241"/>
        <v>0.17219182830152668</v>
      </c>
      <c r="BH354" s="6">
        <f t="shared" si="242"/>
        <v>-1.9735993414820466E-2</v>
      </c>
      <c r="BI354" s="6">
        <f t="shared" si="243"/>
        <v>1.9735993414820466E-2</v>
      </c>
      <c r="BJ354">
        <v>164.30326608938651</v>
      </c>
      <c r="BK354">
        <v>-52.960431333480592</v>
      </c>
      <c r="BV354" s="38"/>
      <c r="BW354" s="6">
        <f t="shared" si="244"/>
        <v>5.916666164260735</v>
      </c>
      <c r="BX354" s="9">
        <f t="shared" ca="1" si="245"/>
        <v>23.489670727460563</v>
      </c>
      <c r="BY354" s="9">
        <f t="shared" ca="1" si="246"/>
        <v>-8.465071081819552</v>
      </c>
      <c r="BZ354" s="9">
        <f t="shared" ca="1" si="247"/>
        <v>147.38535178428174</v>
      </c>
      <c r="CA354" s="6">
        <f t="shared" ca="1" si="248"/>
        <v>-49.76363143409327</v>
      </c>
      <c r="CB354" s="6">
        <f t="shared" ca="1" si="249"/>
        <v>-0.32562422125343959</v>
      </c>
      <c r="CC354" s="6">
        <f t="shared" ca="1" si="250"/>
        <v>5.3633316772316864E-4</v>
      </c>
      <c r="CD354" s="9">
        <f t="shared" si="251"/>
        <v>135.18535178428175</v>
      </c>
      <c r="CE354" s="9">
        <f t="shared" si="252"/>
        <v>-45.563631434093267</v>
      </c>
      <c r="CF354" s="6">
        <f t="shared" si="253"/>
        <v>-0.32508788808571643</v>
      </c>
      <c r="CG354" s="6"/>
      <c r="CH354" s="6"/>
      <c r="CI354" s="6"/>
      <c r="CJ354" s="1"/>
      <c r="CK354" s="6"/>
    </row>
    <row r="355" spans="55:89" x14ac:dyDescent="0.2">
      <c r="BC355">
        <v>6.1610122595399384</v>
      </c>
      <c r="BD355">
        <v>147.92172514815269</v>
      </c>
      <c r="BE355">
        <v>-47.293007698182805</v>
      </c>
      <c r="BF355" s="6">
        <f t="shared" si="240"/>
        <v>5.9737396023591121</v>
      </c>
      <c r="BG355" s="6">
        <f t="shared" si="241"/>
        <v>0.18727265718082631</v>
      </c>
      <c r="BH355" s="6">
        <f t="shared" si="242"/>
        <v>-2.2108457055463937E-2</v>
      </c>
      <c r="BI355" s="6">
        <f t="shared" si="243"/>
        <v>2.2108457055463937E-2</v>
      </c>
      <c r="BJ355">
        <v>164.35747238683632</v>
      </c>
      <c r="BK355">
        <v>-52.547786331314228</v>
      </c>
      <c r="BV355" s="38"/>
      <c r="BW355" s="6">
        <f t="shared" si="244"/>
        <v>5.9341194567806781</v>
      </c>
      <c r="BX355" s="9">
        <f t="shared" ca="1" si="245"/>
        <v>23.522089236117566</v>
      </c>
      <c r="BY355" s="9">
        <f t="shared" ca="1" si="246"/>
        <v>-8.3783406743101665</v>
      </c>
      <c r="BZ355" s="9">
        <f t="shared" ca="1" si="247"/>
        <v>147.41777029293874</v>
      </c>
      <c r="CA355" s="6">
        <f t="shared" ca="1" si="248"/>
        <v>-49.676901026583884</v>
      </c>
      <c r="CB355" s="6">
        <f t="shared" ca="1" si="249"/>
        <v>-0.32502932640110932</v>
      </c>
      <c r="CC355" s="6">
        <f t="shared" ca="1" si="250"/>
        <v>5.9012506371658446E-4</v>
      </c>
      <c r="CD355" s="9">
        <f t="shared" si="251"/>
        <v>135.21777029293875</v>
      </c>
      <c r="CE355" s="9">
        <f t="shared" si="252"/>
        <v>-45.476901026583882</v>
      </c>
      <c r="CF355" s="6">
        <f t="shared" si="253"/>
        <v>-0.32443920133739274</v>
      </c>
      <c r="CG355" s="6"/>
      <c r="CH355" s="6"/>
      <c r="CI355" s="6"/>
      <c r="CJ355" s="1"/>
      <c r="CK355" s="6"/>
    </row>
    <row r="356" spans="55:89" x14ac:dyDescent="0.2">
      <c r="BC356">
        <v>6.1784655520598815</v>
      </c>
      <c r="BD356">
        <v>147.97346889834159</v>
      </c>
      <c r="BE356">
        <v>-46.839415910981778</v>
      </c>
      <c r="BF356" s="6">
        <f t="shared" si="240"/>
        <v>5.9766247651189994</v>
      </c>
      <c r="BG356" s="6">
        <f t="shared" si="241"/>
        <v>0.20184078694088203</v>
      </c>
      <c r="BH356" s="6">
        <f t="shared" si="242"/>
        <v>-2.4993619815351309E-2</v>
      </c>
      <c r="BI356" s="6">
        <f t="shared" si="243"/>
        <v>2.4993619815351309E-2</v>
      </c>
      <c r="BJ356">
        <v>164.41496544260175</v>
      </c>
      <c r="BK356">
        <v>-52.043795456646421</v>
      </c>
      <c r="BV356" s="38"/>
      <c r="BW356" s="6">
        <f t="shared" si="244"/>
        <v>5.9515727493006212</v>
      </c>
      <c r="BX356" s="9">
        <f t="shared" ca="1" si="245"/>
        <v>23.55497990893052</v>
      </c>
      <c r="BY356" s="9">
        <f t="shared" ca="1" si="246"/>
        <v>-8.2854325052520821</v>
      </c>
      <c r="BZ356" s="9">
        <f t="shared" ca="1" si="247"/>
        <v>147.45066096575169</v>
      </c>
      <c r="CA356" s="6">
        <f t="shared" ca="1" si="248"/>
        <v>-49.5839928575258</v>
      </c>
      <c r="CB356" s="6">
        <f t="shared" ca="1" si="249"/>
        <v>-0.32439584694608997</v>
      </c>
      <c r="CC356" s="6">
        <f t="shared" ca="1" si="250"/>
        <v>6.4741063345852268E-4</v>
      </c>
      <c r="CD356" s="9">
        <f t="shared" si="251"/>
        <v>135.25066096575171</v>
      </c>
      <c r="CE356" s="9">
        <f t="shared" si="252"/>
        <v>-45.383992857525797</v>
      </c>
      <c r="CF356" s="6">
        <f t="shared" si="253"/>
        <v>-0.32374843631263145</v>
      </c>
      <c r="CG356" s="6"/>
      <c r="CH356" s="6"/>
      <c r="CI356" s="6"/>
      <c r="CJ356" s="1"/>
      <c r="CK356" s="6"/>
    </row>
    <row r="357" spans="55:89" x14ac:dyDescent="0.2">
      <c r="BC357">
        <v>6.1959188445798246</v>
      </c>
      <c r="BD357">
        <v>148.02628211172461</v>
      </c>
      <c r="BE357">
        <v>-46.304126996219814</v>
      </c>
      <c r="BF357" s="6">
        <f t="shared" si="240"/>
        <v>5.9800178857315611</v>
      </c>
      <c r="BG357" s="6">
        <f t="shared" si="241"/>
        <v>0.21590095884826344</v>
      </c>
      <c r="BH357" s="6">
        <f t="shared" si="242"/>
        <v>-2.8386740427913004E-2</v>
      </c>
      <c r="BI357" s="6">
        <f t="shared" si="243"/>
        <v>2.8386740427913004E-2</v>
      </c>
      <c r="BJ357">
        <v>164.47364679080513</v>
      </c>
      <c r="BK357">
        <v>-51.449029995799791</v>
      </c>
      <c r="BV357" s="38"/>
      <c r="BW357" s="6">
        <f t="shared" si="244"/>
        <v>5.9690260418205643</v>
      </c>
      <c r="BX357" s="9">
        <f t="shared" ca="1" si="245"/>
        <v>23.588412559253882</v>
      </c>
      <c r="BY357" s="9">
        <f t="shared" ca="1" si="246"/>
        <v>-8.1854792698423751</v>
      </c>
      <c r="BZ357" s="9">
        <f t="shared" ca="1" si="247"/>
        <v>147.48409361607506</v>
      </c>
      <c r="CA357" s="6">
        <f t="shared" ca="1" si="248"/>
        <v>-49.484039622116093</v>
      </c>
      <c r="CB357" s="6">
        <f t="shared" ca="1" si="249"/>
        <v>-0.32371833754364471</v>
      </c>
      <c r="CC357" s="6">
        <f t="shared" ca="1" si="250"/>
        <v>7.0868490035258535E-4</v>
      </c>
      <c r="CD357" s="9">
        <f t="shared" si="251"/>
        <v>135.28409361607507</v>
      </c>
      <c r="CE357" s="9">
        <f t="shared" si="252"/>
        <v>-45.28403962211609</v>
      </c>
      <c r="CF357" s="6">
        <f t="shared" si="253"/>
        <v>-0.32300965264329212</v>
      </c>
      <c r="CG357" s="6"/>
      <c r="CH357" s="6"/>
      <c r="CI357" s="6"/>
      <c r="CJ357" s="1"/>
      <c r="CK357" s="6"/>
    </row>
    <row r="358" spans="55:89" x14ac:dyDescent="0.2">
      <c r="BC358">
        <v>6.2133721370997677</v>
      </c>
      <c r="BD358">
        <v>148.07790797418963</v>
      </c>
      <c r="BE358">
        <v>-45.692234600026218</v>
      </c>
      <c r="BF358" s="6">
        <f t="shared" si="240"/>
        <v>5.9838858099990597</v>
      </c>
      <c r="BG358" s="6">
        <f t="shared" si="241"/>
        <v>0.22948632710070793</v>
      </c>
      <c r="BH358" s="6">
        <f t="shared" si="242"/>
        <v>-3.2254664695411613E-2</v>
      </c>
      <c r="BI358" s="6">
        <f t="shared" si="243"/>
        <v>3.2254664695411613E-2</v>
      </c>
      <c r="BJ358">
        <v>164.5310088602107</v>
      </c>
      <c r="BK358">
        <v>-50.769149555584683</v>
      </c>
      <c r="BV358" s="38"/>
      <c r="BW358" s="6">
        <f t="shared" si="244"/>
        <v>5.9864793343405074</v>
      </c>
      <c r="BX358" s="9">
        <f t="shared" ca="1" si="245"/>
        <v>23.622464991379942</v>
      </c>
      <c r="BY358" s="9">
        <f t="shared" ca="1" si="246"/>
        <v>-8.0774377667823174</v>
      </c>
      <c r="BZ358" s="9">
        <f t="shared" ca="1" si="247"/>
        <v>147.51814604820112</v>
      </c>
      <c r="CA358" s="6">
        <f t="shared" ca="1" si="248"/>
        <v>-49.375998119056035</v>
      </c>
      <c r="CB358" s="6">
        <f t="shared" ca="1" si="249"/>
        <v>-0.32299025812626031</v>
      </c>
      <c r="CC358" s="6">
        <f t="shared" ca="1" si="250"/>
        <v>7.7454270973731376E-4</v>
      </c>
      <c r="CD358" s="9">
        <f t="shared" si="251"/>
        <v>135.31814604820113</v>
      </c>
      <c r="CE358" s="9">
        <f t="shared" si="252"/>
        <v>-45.175998119056032</v>
      </c>
      <c r="CF358" s="6">
        <f t="shared" si="253"/>
        <v>-0.322215715416523</v>
      </c>
      <c r="CG358" s="6"/>
      <c r="CH358" s="6"/>
      <c r="CI358" s="6"/>
      <c r="CJ358" s="1"/>
      <c r="CK358" s="6"/>
    </row>
    <row r="359" spans="55:89" x14ac:dyDescent="0.2">
      <c r="BC359">
        <v>6.2308254296197108</v>
      </c>
      <c r="BD359">
        <v>148.12611916404796</v>
      </c>
      <c r="BE359">
        <v>-45.007347358052918</v>
      </c>
      <c r="BF359" s="6">
        <f t="shared" si="240"/>
        <v>5.9882049393575176</v>
      </c>
      <c r="BG359" s="6">
        <f t="shared" si="241"/>
        <v>0.24262049026219312</v>
      </c>
      <c r="BH359" s="6">
        <f t="shared" si="242"/>
        <v>-3.6573794053869513E-2</v>
      </c>
      <c r="BI359" s="6">
        <f t="shared" si="243"/>
        <v>3.6573794053869513E-2</v>
      </c>
      <c r="BJ359">
        <v>164.58457684894219</v>
      </c>
      <c r="BK359">
        <v>-50.008163731169908</v>
      </c>
      <c r="BV359" s="38"/>
      <c r="BW359" s="6">
        <f t="shared" si="244"/>
        <v>6.0039326268604505</v>
      </c>
      <c r="BX359" s="9">
        <f t="shared" ca="1" si="245"/>
        <v>23.657224789890265</v>
      </c>
      <c r="BY359" s="9">
        <f t="shared" ca="1" si="246"/>
        <v>-7.9600400864596352</v>
      </c>
      <c r="BZ359" s="9">
        <f t="shared" ca="1" si="247"/>
        <v>147.55290584671144</v>
      </c>
      <c r="CA359" s="6">
        <f t="shared" ca="1" si="248"/>
        <v>-49.258600438733353</v>
      </c>
      <c r="CB359" s="6">
        <f t="shared" ca="1" si="249"/>
        <v>-0.32220367008516876</v>
      </c>
      <c r="CC359" s="6">
        <f t="shared" ca="1" si="250"/>
        <v>8.457065165753952E-4</v>
      </c>
      <c r="CD359" s="9">
        <f t="shared" si="251"/>
        <v>135.35290584671145</v>
      </c>
      <c r="CE359" s="9">
        <f t="shared" si="252"/>
        <v>-45.05860043873335</v>
      </c>
      <c r="CF359" s="6">
        <f t="shared" si="253"/>
        <v>-0.32135796356859336</v>
      </c>
      <c r="CG359" s="6"/>
      <c r="CH359" s="6"/>
      <c r="CI359" s="6"/>
      <c r="CJ359" s="1"/>
      <c r="CK359" s="6"/>
    </row>
    <row r="360" spans="55:89" x14ac:dyDescent="0.2">
      <c r="BC360">
        <v>6.2482787221396539</v>
      </c>
      <c r="BD360">
        <v>148.16813575457175</v>
      </c>
      <c r="BE360">
        <v>-44.256103039433341</v>
      </c>
      <c r="BF360" s="6">
        <f t="shared" si="240"/>
        <v>5.9929322516419079</v>
      </c>
      <c r="BG360" s="6">
        <f t="shared" si="241"/>
        <v>0.25534647049774595</v>
      </c>
      <c r="BH360" s="6">
        <f t="shared" si="242"/>
        <v>-4.1301106338259785E-2</v>
      </c>
      <c r="BI360" s="6">
        <f t="shared" si="243"/>
        <v>4.1301106338259785E-2</v>
      </c>
      <c r="BJ360">
        <v>164.63126194952417</v>
      </c>
      <c r="BK360">
        <v>-49.173447821592603</v>
      </c>
      <c r="BV360" s="38"/>
      <c r="BW360" s="6">
        <f t="shared" si="244"/>
        <v>6.0213859193803936</v>
      </c>
      <c r="BX360" s="9">
        <f t="shared" ca="1" si="245"/>
        <v>23.692791593046891</v>
      </c>
      <c r="BY360" s="9">
        <f t="shared" ca="1" si="246"/>
        <v>-7.8317271684337513</v>
      </c>
      <c r="BZ360" s="9">
        <f t="shared" ca="1" si="247"/>
        <v>147.58847264986807</v>
      </c>
      <c r="CA360" s="6">
        <f t="shared" ca="1" si="248"/>
        <v>-49.130287520707469</v>
      </c>
      <c r="CB360" s="6">
        <f t="shared" ca="1" si="249"/>
        <v>-0.32134882273906235</v>
      </c>
      <c r="CC360" s="6">
        <f t="shared" ca="1" si="250"/>
        <v>9.230642357969665E-4</v>
      </c>
      <c r="CD360" s="9">
        <f t="shared" si="251"/>
        <v>135.38847264986808</v>
      </c>
      <c r="CE360" s="9">
        <f t="shared" si="252"/>
        <v>-44.930287520707466</v>
      </c>
      <c r="CF360" s="6">
        <f t="shared" si="253"/>
        <v>-0.32042575850326538</v>
      </c>
      <c r="CG360" s="6"/>
      <c r="CH360" s="6"/>
      <c r="CI360" s="6"/>
      <c r="CJ360" s="1"/>
      <c r="CK360" s="6"/>
    </row>
    <row r="361" spans="55:89" x14ac:dyDescent="0.2">
      <c r="BC361">
        <v>6.2657320146595969</v>
      </c>
      <c r="BD361">
        <v>148.19952575852602</v>
      </c>
      <c r="BE361">
        <v>-43.461187480207414</v>
      </c>
      <c r="BF361" s="6">
        <f t="shared" si="240"/>
        <v>5.9979222028237453</v>
      </c>
      <c r="BG361" s="6">
        <f t="shared" si="241"/>
        <v>0.26780981183585162</v>
      </c>
      <c r="BH361" s="6">
        <f t="shared" si="242"/>
        <v>-4.6291057520097212E-2</v>
      </c>
      <c r="BI361" s="6">
        <f t="shared" si="243"/>
        <v>4.6291057520097212E-2</v>
      </c>
      <c r="BJ361">
        <v>164.66613973169558</v>
      </c>
      <c r="BK361">
        <v>-48.290208311341573</v>
      </c>
      <c r="BV361" s="38"/>
      <c r="BW361" s="6">
        <f t="shared" si="244"/>
        <v>6.0388392119003367</v>
      </c>
      <c r="BX361" s="9">
        <f t="shared" ca="1" si="245"/>
        <v>23.729280064337232</v>
      </c>
      <c r="BY361" s="9">
        <f t="shared" ca="1" si="246"/>
        <v>-7.6905566833334689</v>
      </c>
      <c r="BZ361" s="9">
        <f t="shared" ca="1" si="247"/>
        <v>147.62496112115841</v>
      </c>
      <c r="CA361" s="6">
        <f t="shared" ca="1" si="248"/>
        <v>-48.989117035607187</v>
      </c>
      <c r="CB361" s="6">
        <f t="shared" ca="1" si="249"/>
        <v>-0.32041357990373953</v>
      </c>
      <c r="CC361" s="6">
        <f t="shared" ca="1" si="250"/>
        <v>1.0077217703651775E-3</v>
      </c>
      <c r="CD361" s="9">
        <f t="shared" si="251"/>
        <v>135.42496112115842</v>
      </c>
      <c r="CE361" s="9">
        <f t="shared" si="252"/>
        <v>-44.789117035607184</v>
      </c>
      <c r="CF361" s="6">
        <f t="shared" si="253"/>
        <v>-0.31940585813337435</v>
      </c>
      <c r="CG361" s="6"/>
      <c r="CH361" s="6"/>
      <c r="CI361" s="6"/>
      <c r="CJ361" s="1"/>
      <c r="CK361" s="6"/>
    </row>
    <row r="362" spans="55:89" x14ac:dyDescent="0.2">
      <c r="BC362">
        <v>6.28318530717954</v>
      </c>
      <c r="BD362">
        <v>148.21567446323854</v>
      </c>
      <c r="BE362">
        <v>-42.660000000002043</v>
      </c>
      <c r="BF362" s="6">
        <f t="shared" si="240"/>
        <v>6.002936422695119</v>
      </c>
      <c r="BG362" s="6">
        <f t="shared" si="241"/>
        <v>0.28024888448442109</v>
      </c>
      <c r="BH362" s="6">
        <f t="shared" si="242"/>
        <v>-5.1305277391470838E-2</v>
      </c>
      <c r="BI362" s="6">
        <f t="shared" si="243"/>
        <v>5.1305277391470838E-2</v>
      </c>
      <c r="BJ362">
        <v>164.68408273693171</v>
      </c>
      <c r="BK362">
        <v>-47.400000000002272</v>
      </c>
      <c r="BV362" s="38"/>
      <c r="BW362" s="6">
        <f t="shared" si="244"/>
        <v>6.0562925044202798</v>
      </c>
      <c r="BX362" s="9">
        <f t="shared" ca="1" si="245"/>
        <v>23.766823817929335</v>
      </c>
      <c r="BY362" s="9">
        <f t="shared" ca="1" si="246"/>
        <v>-7.5340726163420015</v>
      </c>
      <c r="BZ362" s="9">
        <f t="shared" ca="1" si="247"/>
        <v>147.66250487475051</v>
      </c>
      <c r="CA362" s="6">
        <f t="shared" ca="1" si="248"/>
        <v>-48.832632968615719</v>
      </c>
      <c r="CB362" s="6">
        <f t="shared" ca="1" si="249"/>
        <v>-0.31938260790667483</v>
      </c>
      <c r="CC362" s="6">
        <f t="shared" ca="1" si="250"/>
        <v>1.1010774572473014E-3</v>
      </c>
      <c r="CD362" s="9">
        <f t="shared" si="251"/>
        <v>135.46250487475052</v>
      </c>
      <c r="CE362" s="9">
        <f t="shared" si="252"/>
        <v>-44.632632968615717</v>
      </c>
      <c r="CF362" s="6">
        <f t="shared" si="253"/>
        <v>-0.31828153044942753</v>
      </c>
      <c r="CG362" s="6"/>
      <c r="CH362" s="6"/>
      <c r="CI362" s="6"/>
      <c r="CJ362" s="1"/>
      <c r="CK362" s="6"/>
    </row>
    <row r="363" spans="55:89" x14ac:dyDescent="0.2">
      <c r="BC363" s="6"/>
      <c r="BD363" s="6"/>
      <c r="BE363" s="6"/>
      <c r="BF363" s="6"/>
      <c r="BG363" s="6"/>
      <c r="BH363" s="6"/>
      <c r="BI363" s="6"/>
      <c r="BW363" s="6">
        <f t="shared" si="244"/>
        <v>6.0737457969402229</v>
      </c>
      <c r="BX363" s="9">
        <f t="shared" ca="1" si="245"/>
        <v>23.805580732674812</v>
      </c>
      <c r="BY363" s="9">
        <f t="shared" ca="1" si="246"/>
        <v>-7.3591161988763218</v>
      </c>
      <c r="BZ363" s="9">
        <f t="shared" ca="1" si="247"/>
        <v>147.70126178949599</v>
      </c>
      <c r="CA363" s="6">
        <f t="shared" ca="1" si="248"/>
        <v>-48.65767655115004</v>
      </c>
      <c r="CB363" s="6">
        <f t="shared" ca="1" si="249"/>
        <v>-0.31823619803708836</v>
      </c>
      <c r="CC363" s="6">
        <f t="shared" ca="1" si="250"/>
        <v>1.2049301338094009E-3</v>
      </c>
      <c r="CD363" s="9">
        <f t="shared" si="251"/>
        <v>135.501261789496</v>
      </c>
      <c r="CE363" s="9">
        <f t="shared" si="252"/>
        <v>-44.457676551150037</v>
      </c>
      <c r="CF363" s="6">
        <f t="shared" si="253"/>
        <v>-0.31703126790327896</v>
      </c>
      <c r="CG363" s="6"/>
      <c r="CH363" s="6"/>
      <c r="CI363" s="6"/>
      <c r="CJ363" s="1"/>
      <c r="CK363" s="6"/>
    </row>
    <row r="364" spans="55:89" x14ac:dyDescent="0.2">
      <c r="BC364" s="6"/>
      <c r="BD364" s="6"/>
      <c r="BE364" s="6"/>
      <c r="BF364" s="6"/>
      <c r="BG364" s="6"/>
      <c r="BH364" s="6"/>
      <c r="BI364" s="6"/>
      <c r="BW364" s="6">
        <f t="shared" si="244"/>
        <v>6.091199089460166</v>
      </c>
      <c r="BX364" s="9">
        <f t="shared" ca="1" si="245"/>
        <v>23.845740272979512</v>
      </c>
      <c r="BY364" s="9">
        <f t="shared" ca="1" si="246"/>
        <v>-7.1615442223309316</v>
      </c>
      <c r="BZ364" s="9">
        <f t="shared" ca="1" si="247"/>
        <v>147.74142132980069</v>
      </c>
      <c r="CA364" s="6">
        <f t="shared" ca="1" si="248"/>
        <v>-48.460104574604649</v>
      </c>
      <c r="CB364" s="6">
        <f t="shared" ca="1" si="249"/>
        <v>-0.31694851144353953</v>
      </c>
      <c r="CC364" s="6">
        <f t="shared" ca="1" si="250"/>
        <v>1.3216403790816122E-3</v>
      </c>
      <c r="CD364" s="9">
        <f t="shared" si="251"/>
        <v>135.5414213298007</v>
      </c>
      <c r="CE364" s="9">
        <f t="shared" si="252"/>
        <v>-44.260104574604647</v>
      </c>
      <c r="CF364" s="6">
        <f t="shared" si="253"/>
        <v>-0.31562687106445791</v>
      </c>
      <c r="CG364" s="6"/>
      <c r="CH364" s="6"/>
      <c r="CI364" s="6"/>
      <c r="CJ364" s="1"/>
      <c r="CK364" s="6"/>
    </row>
    <row r="365" spans="55:89" x14ac:dyDescent="0.2">
      <c r="BW365" s="6">
        <f t="shared" si="244"/>
        <v>6.1086523819801091</v>
      </c>
      <c r="BX365" s="9">
        <f t="shared" ca="1" si="245"/>
        <v>23.887533903821165</v>
      </c>
      <c r="BY365" s="9">
        <f t="shared" ca="1" si="246"/>
        <v>-6.9357958706613019</v>
      </c>
      <c r="BZ365" s="9">
        <f t="shared" ca="1" si="247"/>
        <v>147.78321496064234</v>
      </c>
      <c r="CA365" s="6">
        <f t="shared" ca="1" si="248"/>
        <v>-48.23435622293502</v>
      </c>
      <c r="CB365" s="6">
        <f t="shared" ca="1" si="249"/>
        <v>-0.31548487858680535</v>
      </c>
      <c r="CC365" s="6">
        <f t="shared" ca="1" si="250"/>
        <v>1.4543789059532353E-3</v>
      </c>
      <c r="CD365" s="9">
        <f t="shared" si="251"/>
        <v>135.58321496064235</v>
      </c>
      <c r="CE365" s="9">
        <f t="shared" si="252"/>
        <v>-44.034356222935017</v>
      </c>
      <c r="CF365" s="6">
        <f t="shared" si="253"/>
        <v>-0.31403049968085212</v>
      </c>
      <c r="CG365" s="6"/>
      <c r="CH365" s="6"/>
      <c r="CI365" s="6"/>
      <c r="CJ365" s="1"/>
      <c r="CK365" s="6"/>
    </row>
    <row r="366" spans="55:89" x14ac:dyDescent="0.2">
      <c r="BW366" s="6">
        <f t="shared" si="244"/>
        <v>6.1261056745000522</v>
      </c>
      <c r="BX366" s="9">
        <f t="shared" ca="1" si="245"/>
        <v>23.931250300268019</v>
      </c>
      <c r="BY366" s="9">
        <f t="shared" ca="1" si="246"/>
        <v>-6.6742013070703408</v>
      </c>
      <c r="BZ366" s="9">
        <f t="shared" ca="1" si="247"/>
        <v>147.82693135708919</v>
      </c>
      <c r="CA366" s="6">
        <f t="shared" ca="1" si="248"/>
        <v>-47.972761659344059</v>
      </c>
      <c r="CB366" s="6">
        <f t="shared" ca="1" si="249"/>
        <v>-0.31379748553766301</v>
      </c>
      <c r="CC366" s="6">
        <f t="shared" ca="1" si="250"/>
        <v>1.6075238541840009E-3</v>
      </c>
      <c r="CD366" s="9">
        <f t="shared" si="251"/>
        <v>135.62693135708921</v>
      </c>
      <c r="CE366" s="9">
        <f t="shared" si="252"/>
        <v>-43.772761659344056</v>
      </c>
      <c r="CF366" s="6">
        <f t="shared" si="253"/>
        <v>-0.31218996168347901</v>
      </c>
      <c r="CG366" s="6"/>
      <c r="CH366" s="6"/>
      <c r="CI366" s="6"/>
      <c r="CJ366" s="1"/>
      <c r="CK366" s="6"/>
    </row>
    <row r="367" spans="55:89" x14ac:dyDescent="0.2">
      <c r="BW367" s="6">
        <f t="shared" si="244"/>
        <v>6.1435589670199953</v>
      </c>
      <c r="BX367" s="9">
        <f t="shared" ca="1" si="245"/>
        <v>23.977258423626679</v>
      </c>
      <c r="BY367" s="9">
        <f t="shared" ca="1" si="246"/>
        <v>-6.3658278478588173</v>
      </c>
      <c r="BZ367" s="9">
        <f t="shared" ca="1" si="247"/>
        <v>147.87293948044785</v>
      </c>
      <c r="CA367" s="6">
        <f t="shared" ca="1" si="248"/>
        <v>-47.664388200132535</v>
      </c>
      <c r="CB367" s="6">
        <f t="shared" ca="1" si="249"/>
        <v>-0.31181816846111721</v>
      </c>
      <c r="CC367" s="6">
        <f t="shared" ca="1" si="250"/>
        <v>1.7873254131589025E-3</v>
      </c>
      <c r="CD367" s="9">
        <f t="shared" si="251"/>
        <v>135.67293948044787</v>
      </c>
      <c r="CE367" s="9">
        <f t="shared" si="252"/>
        <v>-43.464388200132532</v>
      </c>
      <c r="CF367" s="6">
        <f t="shared" si="253"/>
        <v>-0.3100308430479583</v>
      </c>
      <c r="CG367" s="6"/>
      <c r="CH367" s="6"/>
      <c r="CI367" s="6"/>
      <c r="CJ367" s="1"/>
      <c r="CK367" s="6"/>
    </row>
    <row r="368" spans="55:89" x14ac:dyDescent="0.2">
      <c r="BW368" s="6">
        <f t="shared" si="244"/>
        <v>6.1610122595399384</v>
      </c>
      <c r="BX368" s="9">
        <f t="shared" ca="1" si="245"/>
        <v>24.026044091331514</v>
      </c>
      <c r="BY368" s="9">
        <f t="shared" ca="1" si="246"/>
        <v>-5.9944473459090872</v>
      </c>
      <c r="BZ368" s="9">
        <f t="shared" ca="1" si="247"/>
        <v>147.92172514815269</v>
      </c>
      <c r="CA368" s="6">
        <f t="shared" ca="1" si="248"/>
        <v>-47.293007698182805</v>
      </c>
      <c r="CB368" s="6">
        <f t="shared" ca="1" si="249"/>
        <v>-0.30944570482047401</v>
      </c>
      <c r="CC368" s="6">
        <f t="shared" ca="1" si="250"/>
        <v>2.0030800641434028E-3</v>
      </c>
      <c r="CD368" s="9">
        <f t="shared" si="251"/>
        <v>135.7217251481527</v>
      </c>
      <c r="CE368" s="9">
        <f t="shared" si="252"/>
        <v>-43.093007698182802</v>
      </c>
      <c r="CF368" s="6">
        <f t="shared" si="253"/>
        <v>-0.30744262475633061</v>
      </c>
      <c r="CG368" s="6"/>
      <c r="CH368" s="6"/>
      <c r="CI368" s="6"/>
      <c r="CJ368" s="1"/>
      <c r="CK368" s="6"/>
    </row>
    <row r="369" spans="75:89" x14ac:dyDescent="0.2">
      <c r="BW369" s="6">
        <f t="shared" si="244"/>
        <v>6.1784655520598815</v>
      </c>
      <c r="BX369" s="9">
        <f t="shared" ca="1" si="245"/>
        <v>24.077787841520419</v>
      </c>
      <c r="BY369" s="9">
        <f t="shared" ca="1" si="246"/>
        <v>-5.5408555587080599</v>
      </c>
      <c r="BZ369" s="9">
        <f t="shared" ca="1" si="247"/>
        <v>147.97346889834159</v>
      </c>
      <c r="CA369" s="6">
        <f t="shared" ca="1" si="248"/>
        <v>-46.839415910981778</v>
      </c>
      <c r="CB369" s="6">
        <f t="shared" ca="1" si="249"/>
        <v>-0.30656054206058653</v>
      </c>
      <c r="CC369" s="6">
        <f t="shared" ca="1" si="250"/>
        <v>2.2658201850023207E-3</v>
      </c>
      <c r="CD369" s="9">
        <f t="shared" si="251"/>
        <v>135.7734688983416</v>
      </c>
      <c r="CE369" s="9">
        <f t="shared" si="252"/>
        <v>-42.639415910981775</v>
      </c>
      <c r="CF369" s="6">
        <f t="shared" si="253"/>
        <v>-0.30429472187558421</v>
      </c>
      <c r="CG369" s="6"/>
      <c r="CH369" s="6"/>
      <c r="CI369" s="6"/>
      <c r="CJ369" s="1"/>
      <c r="CK369" s="6"/>
    </row>
    <row r="370" spans="75:89" x14ac:dyDescent="0.2">
      <c r="BW370" s="6">
        <f t="shared" si="244"/>
        <v>6.1959188445798246</v>
      </c>
      <c r="BX370" s="9">
        <f t="shared" ca="1" si="245"/>
        <v>24.130601054903437</v>
      </c>
      <c r="BY370" s="9">
        <f t="shared" ca="1" si="246"/>
        <v>-5.0055666439460964</v>
      </c>
      <c r="BZ370" s="9">
        <f t="shared" ca="1" si="247"/>
        <v>148.02628211172461</v>
      </c>
      <c r="CA370" s="6">
        <f t="shared" ca="1" si="248"/>
        <v>-46.304126996219814</v>
      </c>
      <c r="CB370" s="6">
        <f t="shared" ca="1" si="249"/>
        <v>-0.30316742144802539</v>
      </c>
      <c r="CC370" s="6">
        <f t="shared" ca="1" si="250"/>
        <v>2.5753225900543848E-3</v>
      </c>
      <c r="CD370" s="9">
        <f t="shared" si="251"/>
        <v>135.82628211172462</v>
      </c>
      <c r="CE370" s="9">
        <f t="shared" si="252"/>
        <v>-42.104126996219811</v>
      </c>
      <c r="CF370" s="6">
        <f t="shared" si="253"/>
        <v>-0.300592098857971</v>
      </c>
      <c r="CG370" s="6"/>
      <c r="CH370" s="6"/>
      <c r="CI370" s="6"/>
      <c r="CJ370" s="1"/>
      <c r="CK370" s="6"/>
    </row>
    <row r="371" spans="75:89" x14ac:dyDescent="0.2">
      <c r="BW371" s="6">
        <f t="shared" si="244"/>
        <v>6.2133721370997677</v>
      </c>
      <c r="BX371" s="9">
        <f t="shared" ca="1" si="245"/>
        <v>24.182226917368453</v>
      </c>
      <c r="BY371" s="9">
        <f t="shared" ca="1" si="246"/>
        <v>-4.3936742477525002</v>
      </c>
      <c r="BZ371" s="9">
        <f t="shared" ca="1" si="247"/>
        <v>148.07790797418963</v>
      </c>
      <c r="CA371" s="6">
        <f t="shared" ca="1" si="248"/>
        <v>-45.692234600026218</v>
      </c>
      <c r="CB371" s="6">
        <f t="shared" ca="1" si="249"/>
        <v>-0.29929949718052673</v>
      </c>
      <c r="CC371" s="6">
        <f t="shared" ca="1" si="250"/>
        <v>2.9288075445257911E-3</v>
      </c>
      <c r="CD371" s="9">
        <f t="shared" si="251"/>
        <v>135.87790797418964</v>
      </c>
      <c r="CE371" s="9">
        <f t="shared" si="252"/>
        <v>-41.492234600026215</v>
      </c>
      <c r="CF371" s="6">
        <f t="shared" si="253"/>
        <v>-0.29637068963600094</v>
      </c>
      <c r="CG371" s="6"/>
      <c r="CH371" s="6"/>
      <c r="CI371" s="6"/>
      <c r="CJ371" s="1"/>
      <c r="CK371" s="6"/>
    </row>
    <row r="372" spans="75:89" x14ac:dyDescent="0.2">
      <c r="BW372" s="6">
        <f t="shared" si="244"/>
        <v>6.2308254296197108</v>
      </c>
      <c r="BX372" s="9">
        <f t="shared" ca="1" si="245"/>
        <v>24.230438107226789</v>
      </c>
      <c r="BY372" s="9">
        <f t="shared" ca="1" si="246"/>
        <v>-3.7087870057792003</v>
      </c>
      <c r="BZ372" s="9">
        <f t="shared" ca="1" si="247"/>
        <v>148.12611916404796</v>
      </c>
      <c r="CA372" s="6">
        <f t="shared" ca="1" si="248"/>
        <v>-45.007347358052918</v>
      </c>
      <c r="CB372" s="6">
        <f t="shared" ca="1" si="249"/>
        <v>-0.29498036782206855</v>
      </c>
      <c r="CC372" s="6">
        <f t="shared" ca="1" si="250"/>
        <v>3.3243971115441973E-3</v>
      </c>
      <c r="CD372" s="9">
        <f t="shared" si="251"/>
        <v>135.92611916404798</v>
      </c>
      <c r="CE372" s="9">
        <f t="shared" si="252"/>
        <v>-40.807347358052915</v>
      </c>
      <c r="CF372" s="6">
        <f t="shared" si="253"/>
        <v>-0.29165597071052435</v>
      </c>
      <c r="CG372" s="6"/>
      <c r="CH372" s="6"/>
      <c r="CI372" s="6"/>
      <c r="CJ372" s="1"/>
      <c r="CK372" s="6"/>
    </row>
    <row r="373" spans="75:89" x14ac:dyDescent="0.2">
      <c r="BW373" s="6">
        <f t="shared" si="244"/>
        <v>6.2482787221396539</v>
      </c>
      <c r="BX373" s="9">
        <f t="shared" ca="1" si="245"/>
        <v>24.272454697750575</v>
      </c>
      <c r="BY373" s="9">
        <f t="shared" ca="1" si="246"/>
        <v>-2.9575426871596235</v>
      </c>
      <c r="BZ373" s="9">
        <f t="shared" ca="1" si="247"/>
        <v>148.16813575457175</v>
      </c>
      <c r="CA373" s="6">
        <f t="shared" ca="1" si="248"/>
        <v>-44.256103039433341</v>
      </c>
      <c r="CB373" s="6">
        <f t="shared" ca="1" si="249"/>
        <v>-0.290253055537678</v>
      </c>
      <c r="CC373" s="6">
        <f t="shared" ca="1" si="250"/>
        <v>3.7584655063541139E-3</v>
      </c>
      <c r="CD373" s="9">
        <f t="shared" si="251"/>
        <v>135.96813575457176</v>
      </c>
      <c r="CE373" s="9">
        <f t="shared" si="252"/>
        <v>-40.056103039433339</v>
      </c>
      <c r="CF373" s="6">
        <f t="shared" si="253"/>
        <v>-0.28649459003132388</v>
      </c>
      <c r="CG373" s="6"/>
      <c r="CH373" s="6"/>
      <c r="CI373" s="6"/>
      <c r="CJ373" s="1"/>
      <c r="CK373" s="6"/>
    </row>
    <row r="374" spans="75:89" x14ac:dyDescent="0.2">
      <c r="BW374" s="6">
        <f t="shared" si="244"/>
        <v>6.2657320146595969</v>
      </c>
      <c r="BX374" s="9">
        <f t="shared" ca="1" si="245"/>
        <v>24.303844701704847</v>
      </c>
      <c r="BY374" s="9">
        <f t="shared" ca="1" si="246"/>
        <v>-2.1626271279336962</v>
      </c>
      <c r="BZ374" s="9">
        <f t="shared" ca="1" si="247"/>
        <v>148.19952575852602</v>
      </c>
      <c r="CA374" s="6">
        <f t="shared" ca="1" si="248"/>
        <v>-43.461187480207414</v>
      </c>
      <c r="CB374" s="6">
        <f t="shared" ca="1" si="249"/>
        <v>-0.2852631043558409</v>
      </c>
      <c r="CC374" s="6">
        <f t="shared" ca="1" si="250"/>
        <v>4.217980605233429E-3</v>
      </c>
      <c r="CD374" s="9">
        <f t="shared" si="251"/>
        <v>135.99952575852603</v>
      </c>
      <c r="CE374" s="9">
        <f t="shared" si="252"/>
        <v>-39.261187480207411</v>
      </c>
      <c r="CF374" s="6">
        <f t="shared" si="253"/>
        <v>-0.28104512375060747</v>
      </c>
      <c r="CG374" s="6"/>
      <c r="CH374" s="6"/>
      <c r="CI374" s="6"/>
      <c r="CJ374" s="1"/>
      <c r="CK374" s="6"/>
    </row>
    <row r="375" spans="75:89" x14ac:dyDescent="0.2">
      <c r="BW375" s="6">
        <f t="shared" si="244"/>
        <v>6.28318530717954</v>
      </c>
      <c r="BX375" s="9">
        <f t="shared" ca="1" si="245"/>
        <v>24.319993406417368</v>
      </c>
      <c r="BY375" s="9">
        <f t="shared" ca="1" si="246"/>
        <v>-1.361439647728325</v>
      </c>
      <c r="BZ375" s="9">
        <f t="shared" ca="1" si="247"/>
        <v>148.21567446323854</v>
      </c>
      <c r="CA375" s="6">
        <f t="shared" ca="1" si="248"/>
        <v>-42.660000000002043</v>
      </c>
      <c r="CB375" s="6">
        <f t="shared" ca="1" si="249"/>
        <v>-0.2802488844844675</v>
      </c>
      <c r="CC375" s="6">
        <f t="shared" ca="1" si="250"/>
        <v>4.6812572893122914E-3</v>
      </c>
      <c r="CD375" s="9">
        <f t="shared" si="251"/>
        <v>136.01567446323855</v>
      </c>
      <c r="CE375" s="9">
        <f t="shared" si="252"/>
        <v>-38.46000000000204</v>
      </c>
      <c r="CF375" s="6">
        <f t="shared" si="253"/>
        <v>-0.27556762719515521</v>
      </c>
      <c r="CG375" s="6"/>
      <c r="CH375" s="6"/>
      <c r="CI375" s="6"/>
      <c r="CJ375" s="1"/>
      <c r="CK375" s="6"/>
    </row>
    <row r="376" spans="75:89" x14ac:dyDescent="0.2">
      <c r="BW376" s="6"/>
    </row>
    <row r="377" spans="75:89" x14ac:dyDescent="0.2">
      <c r="BW377" s="6"/>
    </row>
    <row r="378" spans="75:89" x14ac:dyDescent="0.2">
      <c r="BW378" s="6"/>
    </row>
  </sheetData>
  <phoneticPr fontId="3" type="noConversion"/>
  <dataValidations disablePrompts="1" count="4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50800</xdr:colOff>
                    <xdr:row>3</xdr:row>
                    <xdr:rowOff>12700</xdr:rowOff>
                  </from>
                  <to>
                    <xdr:col>9</xdr:col>
                    <xdr:colOff>190500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63500</xdr:colOff>
                    <xdr:row>8</xdr:row>
                    <xdr:rowOff>25400</xdr:rowOff>
                  </from>
                  <to>
                    <xdr:col>9</xdr:col>
                    <xdr:colOff>203200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292100</xdr:colOff>
                    <xdr:row>24</xdr:row>
                    <xdr:rowOff>88900</xdr:rowOff>
                  </from>
                  <to>
                    <xdr:col>20</xdr:col>
                    <xdr:colOff>800100</xdr:colOff>
                    <xdr:row>27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292100</xdr:colOff>
                    <xdr:row>2</xdr:row>
                    <xdr:rowOff>88900</xdr:rowOff>
                  </from>
                  <to>
                    <xdr:col>31</xdr:col>
                    <xdr:colOff>177800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</cp:lastModifiedBy>
  <dcterms:created xsi:type="dcterms:W3CDTF">2020-11-07T15:23:03Z</dcterms:created>
  <dcterms:modified xsi:type="dcterms:W3CDTF">2020-11-15T19:18:46Z</dcterms:modified>
</cp:coreProperties>
</file>