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128359" documentId="114_{4C9766C2-934B-FE43-8898-95272A9847CE}" xr6:coauthVersionLast="45" xr6:coauthVersionMax="45" xr10:uidLastSave="{5D715CD7-FE11-4828-BBB7-04AFACDC2DB6}"/>
  <bookViews>
    <workbookView xWindow="615" yWindow="330" windowWidth="25350" windowHeight="16815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I2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K194" i="1" s="1"/>
  <c r="M194" i="1" s="1"/>
  <c r="C112" i="1"/>
  <c r="J112" i="1" s="1"/>
  <c r="L112" i="1" s="1"/>
  <c r="C193" i="1"/>
  <c r="K193" i="1" s="1"/>
  <c r="M193" i="1" s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N194" i="1"/>
  <c r="P194" i="1" s="1"/>
  <c r="N193" i="1"/>
  <c r="O193" i="1" s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O194" i="1" l="1"/>
  <c r="P193" i="1"/>
  <c r="F108" i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L193" i="1" l="1"/>
  <c r="L194" i="1"/>
  <c r="B151" i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B127" i="1" l="1"/>
  <c r="Z15" i="1"/>
  <c r="F127" i="1"/>
  <c r="F126" i="1"/>
  <c r="C117" i="1"/>
  <c r="AB15" i="1" s="1"/>
  <c r="B125" i="1"/>
  <c r="C116" i="1"/>
  <c r="AA15" i="1" s="1"/>
  <c r="F125" i="1"/>
  <c r="B120" i="1"/>
  <c r="B119" i="1"/>
  <c r="B126" i="1"/>
  <c r="B131" i="1" l="1"/>
  <c r="B132" i="1" s="1"/>
  <c r="BW5" i="1" s="1"/>
  <c r="BW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16" i="1" l="1"/>
  <c r="CE16" i="1" s="1"/>
  <c r="BX20" i="1"/>
  <c r="CE20" i="1" s="1"/>
  <c r="BX24" i="1"/>
  <c r="BX28" i="1"/>
  <c r="BX32" i="1"/>
  <c r="CE32" i="1" s="1"/>
  <c r="BX36" i="1"/>
  <c r="CE36" i="1" s="1"/>
  <c r="BX40" i="1"/>
  <c r="CE40" i="1" s="1"/>
  <c r="BX44" i="1"/>
  <c r="CE44" i="1" s="1"/>
  <c r="BX48" i="1"/>
  <c r="CE48" i="1" s="1"/>
  <c r="BX52" i="1"/>
  <c r="CE52" i="1" s="1"/>
  <c r="BX56" i="1"/>
  <c r="BX60" i="1"/>
  <c r="BX64" i="1"/>
  <c r="CE64" i="1" s="1"/>
  <c r="BX68" i="1"/>
  <c r="CE68" i="1" s="1"/>
  <c r="BX72" i="1"/>
  <c r="CE72" i="1" s="1"/>
  <c r="BX76" i="1"/>
  <c r="CE76" i="1" s="1"/>
  <c r="BX80" i="1"/>
  <c r="CE80" i="1" s="1"/>
  <c r="BX84" i="1"/>
  <c r="CE84" i="1" s="1"/>
  <c r="BX88" i="1"/>
  <c r="CE88" i="1" s="1"/>
  <c r="BX92" i="1"/>
  <c r="CE92" i="1" s="1"/>
  <c r="BX96" i="1"/>
  <c r="CE96" i="1" s="1"/>
  <c r="BX100" i="1"/>
  <c r="CE100" i="1" s="1"/>
  <c r="BX104" i="1"/>
  <c r="CE104" i="1" s="1"/>
  <c r="BX108" i="1"/>
  <c r="CE108" i="1" s="1"/>
  <c r="BX112" i="1"/>
  <c r="CE112" i="1" s="1"/>
  <c r="BX116" i="1"/>
  <c r="CE116" i="1" s="1"/>
  <c r="BX120" i="1"/>
  <c r="CE120" i="1" s="1"/>
  <c r="BX124" i="1"/>
  <c r="CE124" i="1" s="1"/>
  <c r="BX128" i="1"/>
  <c r="CE128" i="1" s="1"/>
  <c r="BX132" i="1"/>
  <c r="CE132" i="1" s="1"/>
  <c r="BX136" i="1"/>
  <c r="CE136" i="1" s="1"/>
  <c r="BX140" i="1"/>
  <c r="CE140" i="1" s="1"/>
  <c r="BX144" i="1"/>
  <c r="CE144" i="1" s="1"/>
  <c r="BX148" i="1"/>
  <c r="CE148" i="1" s="1"/>
  <c r="BX152" i="1"/>
  <c r="CE152" i="1" s="1"/>
  <c r="BX156" i="1"/>
  <c r="CE156" i="1" s="1"/>
  <c r="BX160" i="1"/>
  <c r="CE160" i="1" s="1"/>
  <c r="BX164" i="1"/>
  <c r="CE164" i="1" s="1"/>
  <c r="BX168" i="1"/>
  <c r="CE168" i="1" s="1"/>
  <c r="BX172" i="1"/>
  <c r="CE172" i="1" s="1"/>
  <c r="BX176" i="1"/>
  <c r="CE176" i="1" s="1"/>
  <c r="BX180" i="1"/>
  <c r="CE180" i="1" s="1"/>
  <c r="BX184" i="1"/>
  <c r="BX188" i="1"/>
  <c r="CE188" i="1" s="1"/>
  <c r="BX192" i="1"/>
  <c r="CE192" i="1" s="1"/>
  <c r="BX196" i="1"/>
  <c r="CE196" i="1" s="1"/>
  <c r="BX200" i="1"/>
  <c r="CE200" i="1" s="1"/>
  <c r="BX204" i="1"/>
  <c r="CE204" i="1" s="1"/>
  <c r="BX208" i="1"/>
  <c r="CE208" i="1" s="1"/>
  <c r="BX212" i="1"/>
  <c r="CE212" i="1" s="1"/>
  <c r="BX216" i="1"/>
  <c r="CE216" i="1" s="1"/>
  <c r="BX220" i="1"/>
  <c r="CE220" i="1" s="1"/>
  <c r="BX224" i="1"/>
  <c r="CE224" i="1" s="1"/>
  <c r="BX228" i="1"/>
  <c r="CE228" i="1" s="1"/>
  <c r="BX232" i="1"/>
  <c r="CE232" i="1" s="1"/>
  <c r="BX236" i="1"/>
  <c r="CE236" i="1" s="1"/>
  <c r="BX240" i="1"/>
  <c r="CE240" i="1" s="1"/>
  <c r="BX244" i="1"/>
  <c r="CE244" i="1" s="1"/>
  <c r="BX248" i="1"/>
  <c r="CE248" i="1" s="1"/>
  <c r="BX252" i="1"/>
  <c r="CE252" i="1" s="1"/>
  <c r="BX256" i="1"/>
  <c r="CE256" i="1" s="1"/>
  <c r="BX260" i="1"/>
  <c r="CE260" i="1" s="1"/>
  <c r="BX264" i="1"/>
  <c r="CE264" i="1" s="1"/>
  <c r="BX268" i="1"/>
  <c r="CE268" i="1" s="1"/>
  <c r="BX272" i="1"/>
  <c r="CE272" i="1" s="1"/>
  <c r="BX276" i="1"/>
  <c r="CE276" i="1" s="1"/>
  <c r="BX280" i="1"/>
  <c r="BX284" i="1"/>
  <c r="CE284" i="1" s="1"/>
  <c r="BX288" i="1"/>
  <c r="CE288" i="1" s="1"/>
  <c r="BX292" i="1"/>
  <c r="CE292" i="1" s="1"/>
  <c r="BX296" i="1"/>
  <c r="CE296" i="1" s="1"/>
  <c r="BX300" i="1"/>
  <c r="CE300" i="1" s="1"/>
  <c r="BX304" i="1"/>
  <c r="CE304" i="1" s="1"/>
  <c r="BX308" i="1"/>
  <c r="CE308" i="1" s="1"/>
  <c r="BX312" i="1"/>
  <c r="CE312" i="1" s="1"/>
  <c r="BX316" i="1"/>
  <c r="CE316" i="1" s="1"/>
  <c r="BX320" i="1"/>
  <c r="CE320" i="1" s="1"/>
  <c r="BX324" i="1"/>
  <c r="CE324" i="1" s="1"/>
  <c r="BX328" i="1"/>
  <c r="CE328" i="1" s="1"/>
  <c r="BX332" i="1"/>
  <c r="CE332" i="1" s="1"/>
  <c r="BX336" i="1"/>
  <c r="CE336" i="1" s="1"/>
  <c r="BX340" i="1"/>
  <c r="CE340" i="1" s="1"/>
  <c r="BX344" i="1"/>
  <c r="CE344" i="1" s="1"/>
  <c r="BX348" i="1"/>
  <c r="BX352" i="1"/>
  <c r="CE352" i="1" s="1"/>
  <c r="BX17" i="1"/>
  <c r="CE17" i="1" s="1"/>
  <c r="BX21" i="1"/>
  <c r="CE21" i="1" s="1"/>
  <c r="BX25" i="1"/>
  <c r="CE25" i="1" s="1"/>
  <c r="BX29" i="1"/>
  <c r="CE29" i="1" s="1"/>
  <c r="BX33" i="1"/>
  <c r="CE33" i="1" s="1"/>
  <c r="BX37" i="1"/>
  <c r="CE37" i="1" s="1"/>
  <c r="BX41" i="1"/>
  <c r="CE41" i="1" s="1"/>
  <c r="BX45" i="1"/>
  <c r="CE45" i="1" s="1"/>
  <c r="BX49" i="1"/>
  <c r="CE49" i="1" s="1"/>
  <c r="BX53" i="1"/>
  <c r="CE53" i="1" s="1"/>
  <c r="BX57" i="1"/>
  <c r="CE57" i="1" s="1"/>
  <c r="BX61" i="1"/>
  <c r="CE61" i="1" s="1"/>
  <c r="BX65" i="1"/>
  <c r="CE65" i="1" s="1"/>
  <c r="BX69" i="1"/>
  <c r="BX73" i="1"/>
  <c r="CE73" i="1" s="1"/>
  <c r="BX77" i="1"/>
  <c r="CE77" i="1" s="1"/>
  <c r="BX81" i="1"/>
  <c r="CE81" i="1" s="1"/>
  <c r="BX85" i="1"/>
  <c r="CE85" i="1" s="1"/>
  <c r="BX89" i="1"/>
  <c r="CE89" i="1" s="1"/>
  <c r="BX93" i="1"/>
  <c r="CE93" i="1" s="1"/>
  <c r="BX97" i="1"/>
  <c r="CE97" i="1" s="1"/>
  <c r="BX101" i="1"/>
  <c r="CE101" i="1" s="1"/>
  <c r="BX105" i="1"/>
  <c r="CE105" i="1" s="1"/>
  <c r="BX109" i="1"/>
  <c r="CE109" i="1" s="1"/>
  <c r="BX113" i="1"/>
  <c r="CE113" i="1" s="1"/>
  <c r="BX117" i="1"/>
  <c r="CE117" i="1" s="1"/>
  <c r="BX121" i="1"/>
  <c r="CE121" i="1" s="1"/>
  <c r="BX125" i="1"/>
  <c r="CE125" i="1" s="1"/>
  <c r="BX129" i="1"/>
  <c r="CE129" i="1" s="1"/>
  <c r="BX133" i="1"/>
  <c r="CE133" i="1" s="1"/>
  <c r="BX137" i="1"/>
  <c r="BX141" i="1"/>
  <c r="CE141" i="1" s="1"/>
  <c r="BX145" i="1"/>
  <c r="CE145" i="1" s="1"/>
  <c r="BX149" i="1"/>
  <c r="CE149" i="1" s="1"/>
  <c r="BX153" i="1"/>
  <c r="CE153" i="1" s="1"/>
  <c r="BX157" i="1"/>
  <c r="CE157" i="1" s="1"/>
  <c r="BX161" i="1"/>
  <c r="CE161" i="1" s="1"/>
  <c r="BX165" i="1"/>
  <c r="CE165" i="1" s="1"/>
  <c r="BX169" i="1"/>
  <c r="CE169" i="1" s="1"/>
  <c r="BX173" i="1"/>
  <c r="CE173" i="1" s="1"/>
  <c r="BX177" i="1"/>
  <c r="CE177" i="1" s="1"/>
  <c r="BX181" i="1"/>
  <c r="CE181" i="1" s="1"/>
  <c r="BX185" i="1"/>
  <c r="CE185" i="1" s="1"/>
  <c r="BX189" i="1"/>
  <c r="CE189" i="1" s="1"/>
  <c r="BX193" i="1"/>
  <c r="CE193" i="1" s="1"/>
  <c r="BX197" i="1"/>
  <c r="CE197" i="1" s="1"/>
  <c r="BX201" i="1"/>
  <c r="CE201" i="1" s="1"/>
  <c r="BX205" i="1"/>
  <c r="CE205" i="1" s="1"/>
  <c r="BX209" i="1"/>
  <c r="CE209" i="1" s="1"/>
  <c r="BX213" i="1"/>
  <c r="CE213" i="1" s="1"/>
  <c r="BX217" i="1"/>
  <c r="CE217" i="1" s="1"/>
  <c r="BX221" i="1"/>
  <c r="CE221" i="1" s="1"/>
  <c r="BX225" i="1"/>
  <c r="CE225" i="1" s="1"/>
  <c r="BX229" i="1"/>
  <c r="CE229" i="1" s="1"/>
  <c r="BX233" i="1"/>
  <c r="CE233" i="1" s="1"/>
  <c r="BX237" i="1"/>
  <c r="CE237" i="1" s="1"/>
  <c r="BX241" i="1"/>
  <c r="CE241" i="1" s="1"/>
  <c r="BX245" i="1"/>
  <c r="CE245" i="1" s="1"/>
  <c r="BX249" i="1"/>
  <c r="CE249" i="1" s="1"/>
  <c r="BX253" i="1"/>
  <c r="CE253" i="1" s="1"/>
  <c r="BX257" i="1"/>
  <c r="CE257" i="1" s="1"/>
  <c r="BX261" i="1"/>
  <c r="CE261" i="1" s="1"/>
  <c r="BX265" i="1"/>
  <c r="CE265" i="1" s="1"/>
  <c r="BX269" i="1"/>
  <c r="CE269" i="1" s="1"/>
  <c r="BX273" i="1"/>
  <c r="CE273" i="1" s="1"/>
  <c r="BX277" i="1"/>
  <c r="CE277" i="1" s="1"/>
  <c r="BX281" i="1"/>
  <c r="CE281" i="1" s="1"/>
  <c r="BX285" i="1"/>
  <c r="CE285" i="1" s="1"/>
  <c r="BX289" i="1"/>
  <c r="CE289" i="1" s="1"/>
  <c r="BX293" i="1"/>
  <c r="CE293" i="1" s="1"/>
  <c r="BX297" i="1"/>
  <c r="CE297" i="1" s="1"/>
  <c r="BX301" i="1"/>
  <c r="CE301" i="1" s="1"/>
  <c r="BX305" i="1"/>
  <c r="CE305" i="1" s="1"/>
  <c r="BX309" i="1"/>
  <c r="CE309" i="1" s="1"/>
  <c r="BX313" i="1"/>
  <c r="CE313" i="1" s="1"/>
  <c r="BX317" i="1"/>
  <c r="CE317" i="1" s="1"/>
  <c r="BX321" i="1"/>
  <c r="CE321" i="1" s="1"/>
  <c r="BX325" i="1"/>
  <c r="CE325" i="1" s="1"/>
  <c r="BX329" i="1"/>
  <c r="CE329" i="1" s="1"/>
  <c r="BX333" i="1"/>
  <c r="CE333" i="1" s="1"/>
  <c r="BX337" i="1"/>
  <c r="CE337" i="1" s="1"/>
  <c r="BX341" i="1"/>
  <c r="CE341" i="1" s="1"/>
  <c r="BX345" i="1"/>
  <c r="CE345" i="1" s="1"/>
  <c r="BX349" i="1"/>
  <c r="CE349" i="1" s="1"/>
  <c r="BX18" i="1"/>
  <c r="CE18" i="1" s="1"/>
  <c r="BX22" i="1"/>
  <c r="CE22" i="1" s="1"/>
  <c r="BX26" i="1"/>
  <c r="CE26" i="1" s="1"/>
  <c r="BX30" i="1"/>
  <c r="CE30" i="1" s="1"/>
  <c r="BX34" i="1"/>
  <c r="CE34" i="1" s="1"/>
  <c r="BX38" i="1"/>
  <c r="CE38" i="1" s="1"/>
  <c r="BX42" i="1"/>
  <c r="CE42" i="1" s="1"/>
  <c r="BX46" i="1"/>
  <c r="CE46" i="1" s="1"/>
  <c r="BX50" i="1"/>
  <c r="CE50" i="1" s="1"/>
  <c r="BX54" i="1"/>
  <c r="CE54" i="1" s="1"/>
  <c r="BX58" i="1"/>
  <c r="CE58" i="1" s="1"/>
  <c r="BX62" i="1"/>
  <c r="CE62" i="1" s="1"/>
  <c r="BX66" i="1"/>
  <c r="CE66" i="1" s="1"/>
  <c r="BX70" i="1"/>
  <c r="CE70" i="1" s="1"/>
  <c r="BX74" i="1"/>
  <c r="CE74" i="1" s="1"/>
  <c r="BX78" i="1"/>
  <c r="CE78" i="1" s="1"/>
  <c r="BX82" i="1"/>
  <c r="CE82" i="1" s="1"/>
  <c r="BX86" i="1"/>
  <c r="CE86" i="1" s="1"/>
  <c r="BX90" i="1"/>
  <c r="CE90" i="1" s="1"/>
  <c r="BX94" i="1"/>
  <c r="CE94" i="1" s="1"/>
  <c r="BX98" i="1"/>
  <c r="CE98" i="1" s="1"/>
  <c r="BX102" i="1"/>
  <c r="CE102" i="1" s="1"/>
  <c r="BX106" i="1"/>
  <c r="CE106" i="1" s="1"/>
  <c r="BX110" i="1"/>
  <c r="CE110" i="1" s="1"/>
  <c r="BX114" i="1"/>
  <c r="CE114" i="1" s="1"/>
  <c r="BX118" i="1"/>
  <c r="CE118" i="1" s="1"/>
  <c r="BX122" i="1"/>
  <c r="CE122" i="1" s="1"/>
  <c r="BX126" i="1"/>
  <c r="CE126" i="1" s="1"/>
  <c r="BX130" i="1"/>
  <c r="CE130" i="1" s="1"/>
  <c r="BX134" i="1"/>
  <c r="CE134" i="1" s="1"/>
  <c r="BX138" i="1"/>
  <c r="CE138" i="1" s="1"/>
  <c r="BX142" i="1"/>
  <c r="CE142" i="1" s="1"/>
  <c r="BX146" i="1"/>
  <c r="CE146" i="1" s="1"/>
  <c r="BX150" i="1"/>
  <c r="CE150" i="1" s="1"/>
  <c r="BX154" i="1"/>
  <c r="CE154" i="1" s="1"/>
  <c r="BX158" i="1"/>
  <c r="CE158" i="1" s="1"/>
  <c r="BX162" i="1"/>
  <c r="CE162" i="1" s="1"/>
  <c r="BX166" i="1"/>
  <c r="CE166" i="1" s="1"/>
  <c r="BX170" i="1"/>
  <c r="BX174" i="1"/>
  <c r="CE174" i="1" s="1"/>
  <c r="BX178" i="1"/>
  <c r="CE178" i="1" s="1"/>
  <c r="BX182" i="1"/>
  <c r="CE182" i="1" s="1"/>
  <c r="BX186" i="1"/>
  <c r="CE186" i="1" s="1"/>
  <c r="BX190" i="1"/>
  <c r="CE190" i="1" s="1"/>
  <c r="BX194" i="1"/>
  <c r="CE194" i="1" s="1"/>
  <c r="BX198" i="1"/>
  <c r="CE198" i="1" s="1"/>
  <c r="BX202" i="1"/>
  <c r="CE202" i="1" s="1"/>
  <c r="BX206" i="1"/>
  <c r="CE206" i="1" s="1"/>
  <c r="BX210" i="1"/>
  <c r="CE210" i="1" s="1"/>
  <c r="BX214" i="1"/>
  <c r="CE214" i="1" s="1"/>
  <c r="BX218" i="1"/>
  <c r="CE218" i="1" s="1"/>
  <c r="BX222" i="1"/>
  <c r="CE222" i="1" s="1"/>
  <c r="BX226" i="1"/>
  <c r="CE226" i="1" s="1"/>
  <c r="BX230" i="1"/>
  <c r="CE230" i="1" s="1"/>
  <c r="BX234" i="1"/>
  <c r="CE234" i="1" s="1"/>
  <c r="BX238" i="1"/>
  <c r="CE238" i="1" s="1"/>
  <c r="BX242" i="1"/>
  <c r="CE242" i="1" s="1"/>
  <c r="BX246" i="1"/>
  <c r="CE246" i="1" s="1"/>
  <c r="BX250" i="1"/>
  <c r="CE250" i="1" s="1"/>
  <c r="BX254" i="1"/>
  <c r="CE254" i="1" s="1"/>
  <c r="BX258" i="1"/>
  <c r="CE258" i="1" s="1"/>
  <c r="BX262" i="1"/>
  <c r="CE262" i="1" s="1"/>
  <c r="BX266" i="1"/>
  <c r="CE266" i="1" s="1"/>
  <c r="BX270" i="1"/>
  <c r="CE270" i="1" s="1"/>
  <c r="BX274" i="1"/>
  <c r="CE274" i="1" s="1"/>
  <c r="BX278" i="1"/>
  <c r="CE278" i="1" s="1"/>
  <c r="BX282" i="1"/>
  <c r="CE282" i="1" s="1"/>
  <c r="BX286" i="1"/>
  <c r="CE286" i="1" s="1"/>
  <c r="BX290" i="1"/>
  <c r="CE290" i="1" s="1"/>
  <c r="BX294" i="1"/>
  <c r="CE294" i="1" s="1"/>
  <c r="BX298" i="1"/>
  <c r="CE298" i="1" s="1"/>
  <c r="BX302" i="1"/>
  <c r="CE302" i="1" s="1"/>
  <c r="BX306" i="1"/>
  <c r="CE306" i="1" s="1"/>
  <c r="BX310" i="1"/>
  <c r="CE310" i="1" s="1"/>
  <c r="BX314" i="1"/>
  <c r="CE314" i="1" s="1"/>
  <c r="BX318" i="1"/>
  <c r="CE318" i="1" s="1"/>
  <c r="BX322" i="1"/>
  <c r="CE322" i="1" s="1"/>
  <c r="BX326" i="1"/>
  <c r="CE326" i="1" s="1"/>
  <c r="BX330" i="1"/>
  <c r="CE330" i="1" s="1"/>
  <c r="BX334" i="1"/>
  <c r="CE334" i="1" s="1"/>
  <c r="BX338" i="1"/>
  <c r="CE338" i="1" s="1"/>
  <c r="BX342" i="1"/>
  <c r="CE342" i="1" s="1"/>
  <c r="BX346" i="1"/>
  <c r="CE346" i="1" s="1"/>
  <c r="BX350" i="1"/>
  <c r="CE350" i="1" s="1"/>
  <c r="BX354" i="1"/>
  <c r="CE354" i="1" s="1"/>
  <c r="BX19" i="1"/>
  <c r="CE19" i="1" s="1"/>
  <c r="BX51" i="1"/>
  <c r="CE51" i="1" s="1"/>
  <c r="BX83" i="1"/>
  <c r="CE83" i="1" s="1"/>
  <c r="BX115" i="1"/>
  <c r="CE115" i="1" s="1"/>
  <c r="BX147" i="1"/>
  <c r="CE147" i="1" s="1"/>
  <c r="BX179" i="1"/>
  <c r="CE179" i="1" s="1"/>
  <c r="BX211" i="1"/>
  <c r="CE211" i="1" s="1"/>
  <c r="BX243" i="1"/>
  <c r="CE243" i="1" s="1"/>
  <c r="BX275" i="1"/>
  <c r="CE275" i="1" s="1"/>
  <c r="BX307" i="1"/>
  <c r="CE307" i="1" s="1"/>
  <c r="BX339" i="1"/>
  <c r="CE339" i="1" s="1"/>
  <c r="BX23" i="1"/>
  <c r="CE23" i="1" s="1"/>
  <c r="BX55" i="1"/>
  <c r="CE55" i="1" s="1"/>
  <c r="BX87" i="1"/>
  <c r="CE87" i="1" s="1"/>
  <c r="BX119" i="1"/>
  <c r="CE119" i="1" s="1"/>
  <c r="BX151" i="1"/>
  <c r="CE151" i="1" s="1"/>
  <c r="BX183" i="1"/>
  <c r="CE183" i="1" s="1"/>
  <c r="BX215" i="1"/>
  <c r="CE215" i="1" s="1"/>
  <c r="BX247" i="1"/>
  <c r="CE247" i="1" s="1"/>
  <c r="BX279" i="1"/>
  <c r="CE279" i="1" s="1"/>
  <c r="BX311" i="1"/>
  <c r="CE311" i="1" s="1"/>
  <c r="BX343" i="1"/>
  <c r="CE343" i="1" s="1"/>
  <c r="BX357" i="1"/>
  <c r="CE357" i="1" s="1"/>
  <c r="BX361" i="1"/>
  <c r="CE361" i="1" s="1"/>
  <c r="BX365" i="1"/>
  <c r="CE365" i="1" s="1"/>
  <c r="BX369" i="1"/>
  <c r="CE369" i="1" s="1"/>
  <c r="BX373" i="1"/>
  <c r="CE373" i="1" s="1"/>
  <c r="BX47" i="1"/>
  <c r="CE47" i="1" s="1"/>
  <c r="BX368" i="1"/>
  <c r="CE368" i="1" s="1"/>
  <c r="BX27" i="1"/>
  <c r="CE27" i="1" s="1"/>
  <c r="BX59" i="1"/>
  <c r="CE59" i="1" s="1"/>
  <c r="BX91" i="1"/>
  <c r="CE91" i="1" s="1"/>
  <c r="BX123" i="1"/>
  <c r="CE123" i="1" s="1"/>
  <c r="BX155" i="1"/>
  <c r="CE155" i="1" s="1"/>
  <c r="BX187" i="1"/>
  <c r="CE187" i="1" s="1"/>
  <c r="BX219" i="1"/>
  <c r="CE219" i="1" s="1"/>
  <c r="BX251" i="1"/>
  <c r="CE251" i="1" s="1"/>
  <c r="BX283" i="1"/>
  <c r="CE283" i="1" s="1"/>
  <c r="BX315" i="1"/>
  <c r="CE315" i="1" s="1"/>
  <c r="BX347" i="1"/>
  <c r="CE347" i="1" s="1"/>
  <c r="BX111" i="1"/>
  <c r="CE111" i="1" s="1"/>
  <c r="BX364" i="1"/>
  <c r="CE364" i="1" s="1"/>
  <c r="BX31" i="1"/>
  <c r="CE31" i="1" s="1"/>
  <c r="BX63" i="1"/>
  <c r="CE63" i="1" s="1"/>
  <c r="BX95" i="1"/>
  <c r="CE95" i="1" s="1"/>
  <c r="BX127" i="1"/>
  <c r="CE127" i="1" s="1"/>
  <c r="BX159" i="1"/>
  <c r="CE159" i="1" s="1"/>
  <c r="BX191" i="1"/>
  <c r="CE191" i="1" s="1"/>
  <c r="BX223" i="1"/>
  <c r="CE223" i="1" s="1"/>
  <c r="BX255" i="1"/>
  <c r="CE255" i="1" s="1"/>
  <c r="BX287" i="1"/>
  <c r="CE287" i="1" s="1"/>
  <c r="BX319" i="1"/>
  <c r="CE319" i="1" s="1"/>
  <c r="BX351" i="1"/>
  <c r="CE351" i="1" s="1"/>
  <c r="BX358" i="1"/>
  <c r="CE358" i="1" s="1"/>
  <c r="BX362" i="1"/>
  <c r="CE362" i="1" s="1"/>
  <c r="BX366" i="1"/>
  <c r="CE366" i="1" s="1"/>
  <c r="BX370" i="1"/>
  <c r="CE370" i="1" s="1"/>
  <c r="BX374" i="1"/>
  <c r="CE374" i="1" s="1"/>
  <c r="BX79" i="1"/>
  <c r="CE79" i="1" s="1"/>
  <c r="BX360" i="1"/>
  <c r="CE360" i="1" s="1"/>
  <c r="BX35" i="1"/>
  <c r="CE35" i="1" s="1"/>
  <c r="BX67" i="1"/>
  <c r="CE67" i="1" s="1"/>
  <c r="BX99" i="1"/>
  <c r="CE99" i="1" s="1"/>
  <c r="BX131" i="1"/>
  <c r="CE131" i="1" s="1"/>
  <c r="BX163" i="1"/>
  <c r="CE163" i="1" s="1"/>
  <c r="BX195" i="1"/>
  <c r="CE195" i="1" s="1"/>
  <c r="BX227" i="1"/>
  <c r="CE227" i="1" s="1"/>
  <c r="BX259" i="1"/>
  <c r="CE259" i="1" s="1"/>
  <c r="BX291" i="1"/>
  <c r="CE291" i="1" s="1"/>
  <c r="BX323" i="1"/>
  <c r="CE323" i="1" s="1"/>
  <c r="BX353" i="1"/>
  <c r="CE353" i="1" s="1"/>
  <c r="BX39" i="1"/>
  <c r="CE39" i="1" s="1"/>
  <c r="BX71" i="1"/>
  <c r="CE71" i="1" s="1"/>
  <c r="BX103" i="1"/>
  <c r="CE103" i="1" s="1"/>
  <c r="BX135" i="1"/>
  <c r="CE135" i="1" s="1"/>
  <c r="BX167" i="1"/>
  <c r="CE167" i="1" s="1"/>
  <c r="BX199" i="1"/>
  <c r="CE199" i="1" s="1"/>
  <c r="BX231" i="1"/>
  <c r="CE231" i="1" s="1"/>
  <c r="BX263" i="1"/>
  <c r="CE263" i="1" s="1"/>
  <c r="BX295" i="1"/>
  <c r="CE295" i="1" s="1"/>
  <c r="BX327" i="1"/>
  <c r="CE327" i="1" s="1"/>
  <c r="BX355" i="1"/>
  <c r="CE355" i="1" s="1"/>
  <c r="BX359" i="1"/>
  <c r="CE359" i="1" s="1"/>
  <c r="BX363" i="1"/>
  <c r="CE363" i="1" s="1"/>
  <c r="BX367" i="1"/>
  <c r="CE367" i="1" s="1"/>
  <c r="BX371" i="1"/>
  <c r="CE371" i="1" s="1"/>
  <c r="BX375" i="1"/>
  <c r="CE375" i="1" s="1"/>
  <c r="BX143" i="1"/>
  <c r="CE143" i="1" s="1"/>
  <c r="BX239" i="1"/>
  <c r="CE239" i="1" s="1"/>
  <c r="BX271" i="1"/>
  <c r="CE271" i="1" s="1"/>
  <c r="BX335" i="1"/>
  <c r="CE335" i="1" s="1"/>
  <c r="BX372" i="1"/>
  <c r="CE372" i="1" s="1"/>
  <c r="BX43" i="1"/>
  <c r="CE43" i="1" s="1"/>
  <c r="BX75" i="1"/>
  <c r="CE75" i="1" s="1"/>
  <c r="BX107" i="1"/>
  <c r="CE107" i="1" s="1"/>
  <c r="BX139" i="1"/>
  <c r="CE139" i="1" s="1"/>
  <c r="BX171" i="1"/>
  <c r="CE171" i="1" s="1"/>
  <c r="BX203" i="1"/>
  <c r="CE203" i="1" s="1"/>
  <c r="BX235" i="1"/>
  <c r="CE235" i="1" s="1"/>
  <c r="BX267" i="1"/>
  <c r="CE267" i="1" s="1"/>
  <c r="BX299" i="1"/>
  <c r="CE299" i="1" s="1"/>
  <c r="BX331" i="1"/>
  <c r="CE331" i="1" s="1"/>
  <c r="BX175" i="1"/>
  <c r="CE175" i="1" s="1"/>
  <c r="BX207" i="1"/>
  <c r="CE207" i="1" s="1"/>
  <c r="BX303" i="1"/>
  <c r="CE303" i="1" s="1"/>
  <c r="BX356" i="1"/>
  <c r="CE356" i="1" s="1"/>
  <c r="B133" i="1"/>
  <c r="BX5" i="1" s="1"/>
  <c r="BY15" i="1" s="1"/>
  <c r="CF15" i="1" s="1"/>
  <c r="CE24" i="1"/>
  <c r="CE56" i="1"/>
  <c r="CE184" i="1"/>
  <c r="CE280" i="1"/>
  <c r="CE60" i="1"/>
  <c r="CE137" i="1"/>
  <c r="CE28" i="1"/>
  <c r="CE348" i="1"/>
  <c r="CE69" i="1"/>
  <c r="BX15" i="1"/>
  <c r="CE1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BX9" i="1" l="1"/>
  <c r="BW10" i="1" s="1"/>
  <c r="BW11" i="1" s="1"/>
  <c r="BY16" i="1"/>
  <c r="CF16" i="1" s="1"/>
  <c r="CG16" i="1" s="1"/>
  <c r="CH16" i="1" s="1"/>
  <c r="BY20" i="1"/>
  <c r="CF20" i="1" s="1"/>
  <c r="BY24" i="1"/>
  <c r="BY28" i="1"/>
  <c r="CF28" i="1" s="1"/>
  <c r="CG28" i="1" s="1"/>
  <c r="CH28" i="1" s="1"/>
  <c r="BY32" i="1"/>
  <c r="CF32" i="1" s="1"/>
  <c r="CG32" i="1" s="1"/>
  <c r="CI32" i="1" s="1"/>
  <c r="BY36" i="1"/>
  <c r="CF36" i="1" s="1"/>
  <c r="CG36" i="1" s="1"/>
  <c r="CI36" i="1" s="1"/>
  <c r="BY40" i="1"/>
  <c r="CF40" i="1" s="1"/>
  <c r="CG40" i="1" s="1"/>
  <c r="CH40" i="1" s="1"/>
  <c r="BY44" i="1"/>
  <c r="CF44" i="1" s="1"/>
  <c r="CG44" i="1" s="1"/>
  <c r="CH44" i="1" s="1"/>
  <c r="BY48" i="1"/>
  <c r="CF48" i="1" s="1"/>
  <c r="CG48" i="1" s="1"/>
  <c r="CH48" i="1" s="1"/>
  <c r="BY52" i="1"/>
  <c r="BY56" i="1"/>
  <c r="BY60" i="1"/>
  <c r="CF60" i="1" s="1"/>
  <c r="CG60" i="1" s="1"/>
  <c r="CH60" i="1" s="1"/>
  <c r="BY64" i="1"/>
  <c r="CF64" i="1" s="1"/>
  <c r="CG64" i="1" s="1"/>
  <c r="CH64" i="1" s="1"/>
  <c r="BY68" i="1"/>
  <c r="CF68" i="1" s="1"/>
  <c r="BY72" i="1"/>
  <c r="CF72" i="1" s="1"/>
  <c r="CG72" i="1" s="1"/>
  <c r="CH72" i="1" s="1"/>
  <c r="BY76" i="1"/>
  <c r="CF76" i="1" s="1"/>
  <c r="BY80" i="1"/>
  <c r="CF80" i="1" s="1"/>
  <c r="CG80" i="1" s="1"/>
  <c r="CH80" i="1" s="1"/>
  <c r="BY84" i="1"/>
  <c r="CF84" i="1" s="1"/>
  <c r="BY88" i="1"/>
  <c r="BY92" i="1"/>
  <c r="CF92" i="1" s="1"/>
  <c r="CG92" i="1" s="1"/>
  <c r="CH92" i="1" s="1"/>
  <c r="BY96" i="1"/>
  <c r="CF96" i="1" s="1"/>
  <c r="CG96" i="1" s="1"/>
  <c r="CH96" i="1" s="1"/>
  <c r="BY100" i="1"/>
  <c r="CF100" i="1" s="1"/>
  <c r="CG100" i="1" s="1"/>
  <c r="CH100" i="1" s="1"/>
  <c r="BY104" i="1"/>
  <c r="CF104" i="1" s="1"/>
  <c r="BY108" i="1"/>
  <c r="CF108" i="1" s="1"/>
  <c r="CG108" i="1" s="1"/>
  <c r="CH108" i="1" s="1"/>
  <c r="BY112" i="1"/>
  <c r="CF112" i="1" s="1"/>
  <c r="CG112" i="1" s="1"/>
  <c r="CI112" i="1" s="1"/>
  <c r="BY116" i="1"/>
  <c r="BY120" i="1"/>
  <c r="BY124" i="1"/>
  <c r="CF124" i="1" s="1"/>
  <c r="CG124" i="1" s="1"/>
  <c r="CH124" i="1" s="1"/>
  <c r="BY128" i="1"/>
  <c r="CF128" i="1" s="1"/>
  <c r="BY132" i="1"/>
  <c r="CF132" i="1" s="1"/>
  <c r="CG132" i="1" s="1"/>
  <c r="CH132" i="1" s="1"/>
  <c r="BY136" i="1"/>
  <c r="CF136" i="1" s="1"/>
  <c r="BY140" i="1"/>
  <c r="CF140" i="1" s="1"/>
  <c r="CG140" i="1" s="1"/>
  <c r="CI140" i="1" s="1"/>
  <c r="BY144" i="1"/>
  <c r="CF144" i="1" s="1"/>
  <c r="BY148" i="1"/>
  <c r="CF148" i="1" s="1"/>
  <c r="CG148" i="1" s="1"/>
  <c r="CH148" i="1" s="1"/>
  <c r="BY152" i="1"/>
  <c r="BY156" i="1"/>
  <c r="CF156" i="1" s="1"/>
  <c r="CG156" i="1" s="1"/>
  <c r="CH156" i="1" s="1"/>
  <c r="BY160" i="1"/>
  <c r="CF160" i="1" s="1"/>
  <c r="CG160" i="1" s="1"/>
  <c r="CH160" i="1" s="1"/>
  <c r="BY164" i="1"/>
  <c r="CF164" i="1" s="1"/>
  <c r="CG164" i="1" s="1"/>
  <c r="CI164" i="1" s="1"/>
  <c r="BY168" i="1"/>
  <c r="CF168" i="1" s="1"/>
  <c r="BY172" i="1"/>
  <c r="BY176" i="1"/>
  <c r="CF176" i="1" s="1"/>
  <c r="CG176" i="1" s="1"/>
  <c r="CH176" i="1" s="1"/>
  <c r="BY180" i="1"/>
  <c r="CF180" i="1" s="1"/>
  <c r="CG180" i="1" s="1"/>
  <c r="CI180" i="1" s="1"/>
  <c r="BY184" i="1"/>
  <c r="BY188" i="1"/>
  <c r="CF188" i="1" s="1"/>
  <c r="CG188" i="1" s="1"/>
  <c r="CH188" i="1" s="1"/>
  <c r="BY192" i="1"/>
  <c r="CF192" i="1" s="1"/>
  <c r="BY196" i="1"/>
  <c r="CF196" i="1" s="1"/>
  <c r="BY200" i="1"/>
  <c r="CF200" i="1" s="1"/>
  <c r="CG200" i="1" s="1"/>
  <c r="CH200" i="1" s="1"/>
  <c r="BY204" i="1"/>
  <c r="CF204" i="1" s="1"/>
  <c r="BY208" i="1"/>
  <c r="CF208" i="1" s="1"/>
  <c r="BY212" i="1"/>
  <c r="CF212" i="1" s="1"/>
  <c r="CG212" i="1" s="1"/>
  <c r="CH212" i="1" s="1"/>
  <c r="BY216" i="1"/>
  <c r="BY220" i="1"/>
  <c r="CF220" i="1" s="1"/>
  <c r="CG220" i="1" s="1"/>
  <c r="CH220" i="1" s="1"/>
  <c r="BY224" i="1"/>
  <c r="CF224" i="1" s="1"/>
  <c r="CG224" i="1" s="1"/>
  <c r="CH224" i="1" s="1"/>
  <c r="BY228" i="1"/>
  <c r="CF228" i="1" s="1"/>
  <c r="BY232" i="1"/>
  <c r="CF232" i="1" s="1"/>
  <c r="BY236" i="1"/>
  <c r="CF236" i="1" s="1"/>
  <c r="CG236" i="1" s="1"/>
  <c r="BY240" i="1"/>
  <c r="CF240" i="1" s="1"/>
  <c r="CG240" i="1" s="1"/>
  <c r="CI240" i="1" s="1"/>
  <c r="BY244" i="1"/>
  <c r="CF244" i="1" s="1"/>
  <c r="CG244" i="1" s="1"/>
  <c r="BY248" i="1"/>
  <c r="BY252" i="1"/>
  <c r="CF252" i="1" s="1"/>
  <c r="BY256" i="1"/>
  <c r="CF256" i="1" s="1"/>
  <c r="BY260" i="1"/>
  <c r="CF260" i="1" s="1"/>
  <c r="BY264" i="1"/>
  <c r="CF264" i="1" s="1"/>
  <c r="BY268" i="1"/>
  <c r="CF268" i="1" s="1"/>
  <c r="CG268" i="1" s="1"/>
  <c r="CH268" i="1" s="1"/>
  <c r="BY272" i="1"/>
  <c r="CF272" i="1" s="1"/>
  <c r="CG272" i="1" s="1"/>
  <c r="CH272" i="1" s="1"/>
  <c r="BY276" i="1"/>
  <c r="CF276" i="1" s="1"/>
  <c r="CG276" i="1" s="1"/>
  <c r="CI276" i="1" s="1"/>
  <c r="BY280" i="1"/>
  <c r="BY284" i="1"/>
  <c r="CF284" i="1" s="1"/>
  <c r="BY288" i="1"/>
  <c r="CF288" i="1" s="1"/>
  <c r="BY292" i="1"/>
  <c r="CF292" i="1" s="1"/>
  <c r="CG292" i="1" s="1"/>
  <c r="BY296" i="1"/>
  <c r="CF296" i="1" s="1"/>
  <c r="BY300" i="1"/>
  <c r="CF300" i="1" s="1"/>
  <c r="BY304" i="1"/>
  <c r="CF304" i="1" s="1"/>
  <c r="CG304" i="1" s="1"/>
  <c r="BY308" i="1"/>
  <c r="BY312" i="1"/>
  <c r="CF312" i="1" s="1"/>
  <c r="CG312" i="1" s="1"/>
  <c r="CH312" i="1" s="1"/>
  <c r="BY316" i="1"/>
  <c r="CF316" i="1" s="1"/>
  <c r="BY320" i="1"/>
  <c r="CF320" i="1" s="1"/>
  <c r="BY324" i="1"/>
  <c r="CF324" i="1" s="1"/>
  <c r="BY328" i="1"/>
  <c r="CF328" i="1" s="1"/>
  <c r="BY332" i="1"/>
  <c r="CF332" i="1" s="1"/>
  <c r="CG332" i="1" s="1"/>
  <c r="CH332" i="1" s="1"/>
  <c r="BY336" i="1"/>
  <c r="CF336" i="1" s="1"/>
  <c r="BY340" i="1"/>
  <c r="CF340" i="1" s="1"/>
  <c r="CG340" i="1" s="1"/>
  <c r="CH340" i="1" s="1"/>
  <c r="BY344" i="1"/>
  <c r="CF344" i="1" s="1"/>
  <c r="CG344" i="1" s="1"/>
  <c r="CH344" i="1" s="1"/>
  <c r="BY348" i="1"/>
  <c r="CF348" i="1" s="1"/>
  <c r="BY352" i="1"/>
  <c r="CF352" i="1" s="1"/>
  <c r="CG352" i="1" s="1"/>
  <c r="CI352" i="1" s="1"/>
  <c r="BY17" i="1"/>
  <c r="CF17" i="1" s="1"/>
  <c r="CG17" i="1" s="1"/>
  <c r="CH17" i="1" s="1"/>
  <c r="BY21" i="1"/>
  <c r="CF21" i="1" s="1"/>
  <c r="BY25" i="1"/>
  <c r="CF25" i="1" s="1"/>
  <c r="CG25" i="1" s="1"/>
  <c r="CH25" i="1" s="1"/>
  <c r="BY29" i="1"/>
  <c r="CF29" i="1" s="1"/>
  <c r="BY33" i="1"/>
  <c r="CF33" i="1" s="1"/>
  <c r="BY37" i="1"/>
  <c r="CF37" i="1" s="1"/>
  <c r="BY41" i="1"/>
  <c r="CF41" i="1" s="1"/>
  <c r="CG41" i="1" s="1"/>
  <c r="CH41" i="1" s="1"/>
  <c r="BY45" i="1"/>
  <c r="CF45" i="1" s="1"/>
  <c r="BY49" i="1"/>
  <c r="CF49" i="1" s="1"/>
  <c r="BY53" i="1"/>
  <c r="CF53" i="1" s="1"/>
  <c r="CG53" i="1" s="1"/>
  <c r="CH53" i="1" s="1"/>
  <c r="BY57" i="1"/>
  <c r="CF57" i="1" s="1"/>
  <c r="BY61" i="1"/>
  <c r="CF61" i="1" s="1"/>
  <c r="BY65" i="1"/>
  <c r="CF65" i="1" s="1"/>
  <c r="CG65" i="1" s="1"/>
  <c r="CH65" i="1" s="1"/>
  <c r="BY69" i="1"/>
  <c r="CF69" i="1" s="1"/>
  <c r="CG69" i="1" s="1"/>
  <c r="CI69" i="1" s="1"/>
  <c r="BY73" i="1"/>
  <c r="CF73" i="1" s="1"/>
  <c r="CG73" i="1" s="1"/>
  <c r="CI73" i="1" s="1"/>
  <c r="BY77" i="1"/>
  <c r="CF77" i="1" s="1"/>
  <c r="BY81" i="1"/>
  <c r="CF81" i="1" s="1"/>
  <c r="CG81" i="1" s="1"/>
  <c r="BY85" i="1"/>
  <c r="CF85" i="1" s="1"/>
  <c r="CG85" i="1" s="1"/>
  <c r="CH85" i="1" s="1"/>
  <c r="BY89" i="1"/>
  <c r="CF89" i="1" s="1"/>
  <c r="BY93" i="1"/>
  <c r="CF93" i="1" s="1"/>
  <c r="CG93" i="1" s="1"/>
  <c r="CH93" i="1" s="1"/>
  <c r="BY97" i="1"/>
  <c r="CF97" i="1" s="1"/>
  <c r="CG97" i="1" s="1"/>
  <c r="CH97" i="1" s="1"/>
  <c r="BY101" i="1"/>
  <c r="CF101" i="1" s="1"/>
  <c r="CG101" i="1" s="1"/>
  <c r="CH101" i="1" s="1"/>
  <c r="BY105" i="1"/>
  <c r="CF105" i="1" s="1"/>
  <c r="CG105" i="1" s="1"/>
  <c r="CH105" i="1" s="1"/>
  <c r="BY109" i="1"/>
  <c r="CF109" i="1" s="1"/>
  <c r="BY113" i="1"/>
  <c r="CF113" i="1" s="1"/>
  <c r="CG113" i="1" s="1"/>
  <c r="CH113" i="1" s="1"/>
  <c r="BY117" i="1"/>
  <c r="CF117" i="1" s="1"/>
  <c r="CG117" i="1" s="1"/>
  <c r="CH117" i="1" s="1"/>
  <c r="BY121" i="1"/>
  <c r="CF121" i="1" s="1"/>
  <c r="CG121" i="1" s="1"/>
  <c r="BY125" i="1"/>
  <c r="CF125" i="1" s="1"/>
  <c r="CG125" i="1" s="1"/>
  <c r="CI125" i="1" s="1"/>
  <c r="BY129" i="1"/>
  <c r="CF129" i="1" s="1"/>
  <c r="CG129" i="1" s="1"/>
  <c r="CH129" i="1" s="1"/>
  <c r="BY133" i="1"/>
  <c r="BY137" i="1"/>
  <c r="CF137" i="1" s="1"/>
  <c r="CG137" i="1" s="1"/>
  <c r="CH137" i="1" s="1"/>
  <c r="BY141" i="1"/>
  <c r="CF141" i="1" s="1"/>
  <c r="CG141" i="1" s="1"/>
  <c r="CH141" i="1" s="1"/>
  <c r="BY145" i="1"/>
  <c r="CF145" i="1" s="1"/>
  <c r="CG145" i="1" s="1"/>
  <c r="CH145" i="1" s="1"/>
  <c r="BY149" i="1"/>
  <c r="CF149" i="1" s="1"/>
  <c r="CG149" i="1" s="1"/>
  <c r="CH149" i="1" s="1"/>
  <c r="BY153" i="1"/>
  <c r="CF153" i="1" s="1"/>
  <c r="CG153" i="1" s="1"/>
  <c r="CH153" i="1" s="1"/>
  <c r="BY157" i="1"/>
  <c r="CF157" i="1" s="1"/>
  <c r="BY161" i="1"/>
  <c r="CF161" i="1" s="1"/>
  <c r="CG161" i="1" s="1"/>
  <c r="CH161" i="1" s="1"/>
  <c r="BY165" i="1"/>
  <c r="CF165" i="1" s="1"/>
  <c r="CG165" i="1" s="1"/>
  <c r="CH165" i="1" s="1"/>
  <c r="BY169" i="1"/>
  <c r="CF169" i="1" s="1"/>
  <c r="BY173" i="1"/>
  <c r="CF173" i="1" s="1"/>
  <c r="CG173" i="1" s="1"/>
  <c r="CI173" i="1" s="1"/>
  <c r="BY177" i="1"/>
  <c r="CF177" i="1" s="1"/>
  <c r="CG177" i="1" s="1"/>
  <c r="CH177" i="1" s="1"/>
  <c r="BY181" i="1"/>
  <c r="CF181" i="1" s="1"/>
  <c r="CG181" i="1" s="1"/>
  <c r="CH181" i="1" s="1"/>
  <c r="BY185" i="1"/>
  <c r="CF185" i="1" s="1"/>
  <c r="CG185" i="1" s="1"/>
  <c r="CH185" i="1" s="1"/>
  <c r="BY189" i="1"/>
  <c r="CF189" i="1" s="1"/>
  <c r="CG189" i="1" s="1"/>
  <c r="BY193" i="1"/>
  <c r="CF193" i="1" s="1"/>
  <c r="CG193" i="1" s="1"/>
  <c r="CH193" i="1" s="1"/>
  <c r="BY197" i="1"/>
  <c r="BY201" i="1"/>
  <c r="CF201" i="1" s="1"/>
  <c r="CG201" i="1" s="1"/>
  <c r="CH201" i="1" s="1"/>
  <c r="BY205" i="1"/>
  <c r="CF205" i="1" s="1"/>
  <c r="CG205" i="1" s="1"/>
  <c r="CH205" i="1" s="1"/>
  <c r="BY209" i="1"/>
  <c r="CF209" i="1" s="1"/>
  <c r="CG209" i="1" s="1"/>
  <c r="CH209" i="1" s="1"/>
  <c r="BY213" i="1"/>
  <c r="CF213" i="1" s="1"/>
  <c r="CG213" i="1" s="1"/>
  <c r="CH213" i="1" s="1"/>
  <c r="BY217" i="1"/>
  <c r="CF217" i="1" s="1"/>
  <c r="CG217" i="1" s="1"/>
  <c r="CH217" i="1" s="1"/>
  <c r="BY221" i="1"/>
  <c r="CF221" i="1" s="1"/>
  <c r="BY225" i="1"/>
  <c r="CF225" i="1" s="1"/>
  <c r="CG225" i="1" s="1"/>
  <c r="CH225" i="1" s="1"/>
  <c r="BY229" i="1"/>
  <c r="CF229" i="1" s="1"/>
  <c r="CG229" i="1" s="1"/>
  <c r="CH229" i="1" s="1"/>
  <c r="BY233" i="1"/>
  <c r="CF233" i="1" s="1"/>
  <c r="CG233" i="1" s="1"/>
  <c r="CH233" i="1" s="1"/>
  <c r="BY237" i="1"/>
  <c r="CF237" i="1" s="1"/>
  <c r="CG237" i="1" s="1"/>
  <c r="CH237" i="1" s="1"/>
  <c r="BY241" i="1"/>
  <c r="CF241" i="1" s="1"/>
  <c r="BY245" i="1"/>
  <c r="CF245" i="1" s="1"/>
  <c r="CG245" i="1" s="1"/>
  <c r="CH245" i="1" s="1"/>
  <c r="BY249" i="1"/>
  <c r="CF249" i="1" s="1"/>
  <c r="CG249" i="1" s="1"/>
  <c r="CI249" i="1" s="1"/>
  <c r="BY253" i="1"/>
  <c r="CF253" i="1" s="1"/>
  <c r="CG253" i="1" s="1"/>
  <c r="CH253" i="1" s="1"/>
  <c r="BY257" i="1"/>
  <c r="CF257" i="1" s="1"/>
  <c r="CG257" i="1" s="1"/>
  <c r="CH257" i="1" s="1"/>
  <c r="BY261" i="1"/>
  <c r="CF261" i="1" s="1"/>
  <c r="CG261" i="1" s="1"/>
  <c r="CI261" i="1" s="1"/>
  <c r="BY265" i="1"/>
  <c r="CF265" i="1" s="1"/>
  <c r="CG265" i="1" s="1"/>
  <c r="CI265" i="1" s="1"/>
  <c r="BY269" i="1"/>
  <c r="CF269" i="1" s="1"/>
  <c r="CG269" i="1" s="1"/>
  <c r="CH269" i="1" s="1"/>
  <c r="BY273" i="1"/>
  <c r="CF273" i="1" s="1"/>
  <c r="CG273" i="1" s="1"/>
  <c r="CI273" i="1" s="1"/>
  <c r="BY277" i="1"/>
  <c r="CF277" i="1" s="1"/>
  <c r="CG277" i="1" s="1"/>
  <c r="CH277" i="1" s="1"/>
  <c r="BY281" i="1"/>
  <c r="CF281" i="1" s="1"/>
  <c r="BY285" i="1"/>
  <c r="CF285" i="1" s="1"/>
  <c r="BY289" i="1"/>
  <c r="CF289" i="1" s="1"/>
  <c r="BY293" i="1"/>
  <c r="CF293" i="1" s="1"/>
  <c r="CG293" i="1" s="1"/>
  <c r="CH293" i="1" s="1"/>
  <c r="BY297" i="1"/>
  <c r="CF297" i="1" s="1"/>
  <c r="CG297" i="1" s="1"/>
  <c r="CH297" i="1" s="1"/>
  <c r="BY301" i="1"/>
  <c r="CF301" i="1" s="1"/>
  <c r="CG301" i="1" s="1"/>
  <c r="CH301" i="1" s="1"/>
  <c r="BY305" i="1"/>
  <c r="CF305" i="1" s="1"/>
  <c r="CG305" i="1" s="1"/>
  <c r="CH305" i="1" s="1"/>
  <c r="BY309" i="1"/>
  <c r="CF309" i="1" s="1"/>
  <c r="BY313" i="1"/>
  <c r="CF313" i="1" s="1"/>
  <c r="CG313" i="1" s="1"/>
  <c r="BY317" i="1"/>
  <c r="CF317" i="1" s="1"/>
  <c r="CG317" i="1" s="1"/>
  <c r="CH317" i="1" s="1"/>
  <c r="BY321" i="1"/>
  <c r="CF321" i="1" s="1"/>
  <c r="BY325" i="1"/>
  <c r="CF325" i="1" s="1"/>
  <c r="CG325" i="1" s="1"/>
  <c r="CH325" i="1" s="1"/>
  <c r="BY329" i="1"/>
  <c r="CF329" i="1" s="1"/>
  <c r="CG329" i="1" s="1"/>
  <c r="CH329" i="1" s="1"/>
  <c r="BY333" i="1"/>
  <c r="CF333" i="1" s="1"/>
  <c r="CG333" i="1" s="1"/>
  <c r="CH333" i="1" s="1"/>
  <c r="BY337" i="1"/>
  <c r="CF337" i="1" s="1"/>
  <c r="BY341" i="1"/>
  <c r="CF341" i="1" s="1"/>
  <c r="CG341" i="1" s="1"/>
  <c r="CH341" i="1" s="1"/>
  <c r="BY345" i="1"/>
  <c r="CF345" i="1" s="1"/>
  <c r="BY349" i="1"/>
  <c r="CF349" i="1" s="1"/>
  <c r="CG349" i="1" s="1"/>
  <c r="CI349" i="1" s="1"/>
  <c r="BY353" i="1"/>
  <c r="CF353" i="1" s="1"/>
  <c r="BY18" i="1"/>
  <c r="CF18" i="1" s="1"/>
  <c r="CG18" i="1" s="1"/>
  <c r="BY22" i="1"/>
  <c r="CF22" i="1" s="1"/>
  <c r="CG22" i="1" s="1"/>
  <c r="CH22" i="1" s="1"/>
  <c r="BY26" i="1"/>
  <c r="CF26" i="1" s="1"/>
  <c r="BY30" i="1"/>
  <c r="CF30" i="1" s="1"/>
  <c r="CG30" i="1" s="1"/>
  <c r="CH30" i="1" s="1"/>
  <c r="BY34" i="1"/>
  <c r="CF34" i="1" s="1"/>
  <c r="BY38" i="1"/>
  <c r="CF38" i="1" s="1"/>
  <c r="BY42" i="1"/>
  <c r="CF42" i="1" s="1"/>
  <c r="CG42" i="1" s="1"/>
  <c r="CH42" i="1" s="1"/>
  <c r="BY46" i="1"/>
  <c r="CF46" i="1" s="1"/>
  <c r="BY50" i="1"/>
  <c r="CF50" i="1" s="1"/>
  <c r="CG50" i="1" s="1"/>
  <c r="CI50" i="1" s="1"/>
  <c r="BY54" i="1"/>
  <c r="CF54" i="1" s="1"/>
  <c r="CG54" i="1" s="1"/>
  <c r="CH54" i="1" s="1"/>
  <c r="BY58" i="1"/>
  <c r="CF58" i="1" s="1"/>
  <c r="CG58" i="1" s="1"/>
  <c r="BY62" i="1"/>
  <c r="CF62" i="1" s="1"/>
  <c r="CG62" i="1" s="1"/>
  <c r="CH62" i="1" s="1"/>
  <c r="BY66" i="1"/>
  <c r="CF66" i="1" s="1"/>
  <c r="CG66" i="1" s="1"/>
  <c r="CH66" i="1" s="1"/>
  <c r="BY70" i="1"/>
  <c r="CF70" i="1" s="1"/>
  <c r="CG70" i="1" s="1"/>
  <c r="CI70" i="1" s="1"/>
  <c r="BY74" i="1"/>
  <c r="CF74" i="1" s="1"/>
  <c r="CG74" i="1" s="1"/>
  <c r="CI74" i="1" s="1"/>
  <c r="BY78" i="1"/>
  <c r="CF78" i="1" s="1"/>
  <c r="BY82" i="1"/>
  <c r="CF82" i="1" s="1"/>
  <c r="CG82" i="1" s="1"/>
  <c r="BY86" i="1"/>
  <c r="CF86" i="1" s="1"/>
  <c r="CG86" i="1" s="1"/>
  <c r="CH86" i="1" s="1"/>
  <c r="BY90" i="1"/>
  <c r="CF90" i="1" s="1"/>
  <c r="CG90" i="1" s="1"/>
  <c r="CH90" i="1" s="1"/>
  <c r="BY94" i="1"/>
  <c r="CF94" i="1" s="1"/>
  <c r="CG94" i="1" s="1"/>
  <c r="CH94" i="1" s="1"/>
  <c r="BY98" i="1"/>
  <c r="CF98" i="1" s="1"/>
  <c r="CG98" i="1" s="1"/>
  <c r="CH98" i="1" s="1"/>
  <c r="BY102" i="1"/>
  <c r="CF102" i="1" s="1"/>
  <c r="CG102" i="1" s="1"/>
  <c r="CH102" i="1" s="1"/>
  <c r="BY106" i="1"/>
  <c r="CF106" i="1" s="1"/>
  <c r="CG106" i="1" s="1"/>
  <c r="CH106" i="1" s="1"/>
  <c r="BY110" i="1"/>
  <c r="CF110" i="1" s="1"/>
  <c r="CG110" i="1" s="1"/>
  <c r="CH110" i="1" s="1"/>
  <c r="BY114" i="1"/>
  <c r="CF114" i="1" s="1"/>
  <c r="CG114" i="1" s="1"/>
  <c r="CI114" i="1" s="1"/>
  <c r="BY118" i="1"/>
  <c r="CF118" i="1" s="1"/>
  <c r="BY122" i="1"/>
  <c r="CF122" i="1" s="1"/>
  <c r="CG122" i="1" s="1"/>
  <c r="CI122" i="1" s="1"/>
  <c r="BY126" i="1"/>
  <c r="CF126" i="1" s="1"/>
  <c r="BY130" i="1"/>
  <c r="CF130" i="1" s="1"/>
  <c r="CG130" i="1" s="1"/>
  <c r="CH130" i="1" s="1"/>
  <c r="BY134" i="1"/>
  <c r="CF134" i="1" s="1"/>
  <c r="CG134" i="1" s="1"/>
  <c r="CH134" i="1" s="1"/>
  <c r="BY138" i="1"/>
  <c r="CF138" i="1" s="1"/>
  <c r="CG138" i="1" s="1"/>
  <c r="CH138" i="1" s="1"/>
  <c r="BY142" i="1"/>
  <c r="CF142" i="1" s="1"/>
  <c r="CG142" i="1" s="1"/>
  <c r="CI142" i="1" s="1"/>
  <c r="BY146" i="1"/>
  <c r="CF146" i="1" s="1"/>
  <c r="CG146" i="1" s="1"/>
  <c r="BY150" i="1"/>
  <c r="CF150" i="1" s="1"/>
  <c r="CG150" i="1" s="1"/>
  <c r="CH150" i="1" s="1"/>
  <c r="BY154" i="1"/>
  <c r="CF154" i="1" s="1"/>
  <c r="CG154" i="1" s="1"/>
  <c r="CH154" i="1" s="1"/>
  <c r="BY158" i="1"/>
  <c r="CF158" i="1" s="1"/>
  <c r="CG158" i="1" s="1"/>
  <c r="CH158" i="1" s="1"/>
  <c r="BY162" i="1"/>
  <c r="CF162" i="1" s="1"/>
  <c r="BY166" i="1"/>
  <c r="CF166" i="1" s="1"/>
  <c r="CG166" i="1" s="1"/>
  <c r="CI166" i="1" s="1"/>
  <c r="BY170" i="1"/>
  <c r="BY174" i="1"/>
  <c r="CF174" i="1" s="1"/>
  <c r="CG174" i="1" s="1"/>
  <c r="BY178" i="1"/>
  <c r="CF178" i="1" s="1"/>
  <c r="CG178" i="1" s="1"/>
  <c r="BY182" i="1"/>
  <c r="CF182" i="1" s="1"/>
  <c r="BY186" i="1"/>
  <c r="CF186" i="1" s="1"/>
  <c r="CG186" i="1" s="1"/>
  <c r="CH186" i="1" s="1"/>
  <c r="BY190" i="1"/>
  <c r="CF190" i="1" s="1"/>
  <c r="BY194" i="1"/>
  <c r="CF194" i="1" s="1"/>
  <c r="BY198" i="1"/>
  <c r="CF198" i="1" s="1"/>
  <c r="CG198" i="1" s="1"/>
  <c r="BY202" i="1"/>
  <c r="CF202" i="1" s="1"/>
  <c r="CG202" i="1" s="1"/>
  <c r="CH202" i="1" s="1"/>
  <c r="BY206" i="1"/>
  <c r="CF206" i="1" s="1"/>
  <c r="CG206" i="1" s="1"/>
  <c r="CI206" i="1" s="1"/>
  <c r="BY210" i="1"/>
  <c r="CF210" i="1" s="1"/>
  <c r="CG210" i="1" s="1"/>
  <c r="BY214" i="1"/>
  <c r="CF214" i="1" s="1"/>
  <c r="BY218" i="1"/>
  <c r="CF218" i="1" s="1"/>
  <c r="CG218" i="1" s="1"/>
  <c r="CH218" i="1" s="1"/>
  <c r="BY222" i="1"/>
  <c r="CF222" i="1" s="1"/>
  <c r="CG222" i="1" s="1"/>
  <c r="CH222" i="1" s="1"/>
  <c r="BY226" i="1"/>
  <c r="CF226" i="1" s="1"/>
  <c r="CG226" i="1" s="1"/>
  <c r="CH226" i="1" s="1"/>
  <c r="BY230" i="1"/>
  <c r="CF230" i="1" s="1"/>
  <c r="CG230" i="1" s="1"/>
  <c r="CH230" i="1" s="1"/>
  <c r="BY234" i="1"/>
  <c r="CF234" i="1" s="1"/>
  <c r="BY238" i="1"/>
  <c r="CF238" i="1" s="1"/>
  <c r="BY242" i="1"/>
  <c r="CF242" i="1" s="1"/>
  <c r="CG242" i="1" s="1"/>
  <c r="CH242" i="1" s="1"/>
  <c r="BY246" i="1"/>
  <c r="CF246" i="1" s="1"/>
  <c r="BY250" i="1"/>
  <c r="CF250" i="1" s="1"/>
  <c r="CG250" i="1" s="1"/>
  <c r="BY254" i="1"/>
  <c r="CF254" i="1" s="1"/>
  <c r="CG254" i="1" s="1"/>
  <c r="CH254" i="1" s="1"/>
  <c r="BY258" i="1"/>
  <c r="CF258" i="1" s="1"/>
  <c r="CG258" i="1" s="1"/>
  <c r="CH258" i="1" s="1"/>
  <c r="BY262" i="1"/>
  <c r="CF262" i="1" s="1"/>
  <c r="CG262" i="1" s="1"/>
  <c r="CH262" i="1" s="1"/>
  <c r="BY266" i="1"/>
  <c r="CF266" i="1" s="1"/>
  <c r="CG266" i="1" s="1"/>
  <c r="CI266" i="1" s="1"/>
  <c r="BY270" i="1"/>
  <c r="CF270" i="1" s="1"/>
  <c r="CG270" i="1" s="1"/>
  <c r="CH270" i="1" s="1"/>
  <c r="BY274" i="1"/>
  <c r="CF274" i="1" s="1"/>
  <c r="CG274" i="1" s="1"/>
  <c r="BY278" i="1"/>
  <c r="CF278" i="1" s="1"/>
  <c r="CG278" i="1" s="1"/>
  <c r="CH278" i="1" s="1"/>
  <c r="BY282" i="1"/>
  <c r="CF282" i="1" s="1"/>
  <c r="CG282" i="1" s="1"/>
  <c r="CH282" i="1" s="1"/>
  <c r="BY286" i="1"/>
  <c r="CF286" i="1" s="1"/>
  <c r="CG286" i="1" s="1"/>
  <c r="CH286" i="1" s="1"/>
  <c r="BY290" i="1"/>
  <c r="CF290" i="1" s="1"/>
  <c r="CG290" i="1" s="1"/>
  <c r="CH290" i="1" s="1"/>
  <c r="BY294" i="1"/>
  <c r="CF294" i="1" s="1"/>
  <c r="BY298" i="1"/>
  <c r="CF298" i="1" s="1"/>
  <c r="CG298" i="1" s="1"/>
  <c r="CH298" i="1" s="1"/>
  <c r="BY302" i="1"/>
  <c r="CF302" i="1" s="1"/>
  <c r="BY306" i="1"/>
  <c r="CF306" i="1" s="1"/>
  <c r="CG306" i="1" s="1"/>
  <c r="CI306" i="1" s="1"/>
  <c r="BY310" i="1"/>
  <c r="CF310" i="1" s="1"/>
  <c r="CG310" i="1" s="1"/>
  <c r="BY314" i="1"/>
  <c r="CF314" i="1" s="1"/>
  <c r="CG314" i="1" s="1"/>
  <c r="CI314" i="1" s="1"/>
  <c r="BY318" i="1"/>
  <c r="CF318" i="1" s="1"/>
  <c r="CG318" i="1" s="1"/>
  <c r="CI318" i="1" s="1"/>
  <c r="BY322" i="1"/>
  <c r="CF322" i="1" s="1"/>
  <c r="CG322" i="1" s="1"/>
  <c r="CH322" i="1" s="1"/>
  <c r="BY326" i="1"/>
  <c r="CF326" i="1" s="1"/>
  <c r="BY330" i="1"/>
  <c r="CF330" i="1" s="1"/>
  <c r="CG330" i="1" s="1"/>
  <c r="CI330" i="1" s="1"/>
  <c r="BY334" i="1"/>
  <c r="CF334" i="1" s="1"/>
  <c r="CG334" i="1" s="1"/>
  <c r="CH334" i="1" s="1"/>
  <c r="BY338" i="1"/>
  <c r="CF338" i="1" s="1"/>
  <c r="CG338" i="1" s="1"/>
  <c r="CH338" i="1" s="1"/>
  <c r="BY342" i="1"/>
  <c r="CF342" i="1" s="1"/>
  <c r="CG342" i="1" s="1"/>
  <c r="CH342" i="1" s="1"/>
  <c r="BY346" i="1"/>
  <c r="CF346" i="1" s="1"/>
  <c r="BY350" i="1"/>
  <c r="CF350" i="1" s="1"/>
  <c r="CG350" i="1" s="1"/>
  <c r="CH350" i="1" s="1"/>
  <c r="BY354" i="1"/>
  <c r="CF354" i="1" s="1"/>
  <c r="CG354" i="1" s="1"/>
  <c r="CH354" i="1" s="1"/>
  <c r="BY19" i="1"/>
  <c r="CF19" i="1" s="1"/>
  <c r="CG19" i="1" s="1"/>
  <c r="CI19" i="1" s="1"/>
  <c r="BY23" i="1"/>
  <c r="CF23" i="1" s="1"/>
  <c r="CG23" i="1" s="1"/>
  <c r="CH23" i="1" s="1"/>
  <c r="BY27" i="1"/>
  <c r="CF27" i="1" s="1"/>
  <c r="BY31" i="1"/>
  <c r="CF31" i="1" s="1"/>
  <c r="CG31" i="1" s="1"/>
  <c r="CI31" i="1" s="1"/>
  <c r="BY35" i="1"/>
  <c r="CF35" i="1" s="1"/>
  <c r="CG35" i="1" s="1"/>
  <c r="CH35" i="1" s="1"/>
  <c r="BY39" i="1"/>
  <c r="CF39" i="1" s="1"/>
  <c r="CG39" i="1" s="1"/>
  <c r="CH39" i="1" s="1"/>
  <c r="BY43" i="1"/>
  <c r="CF43" i="1" s="1"/>
  <c r="CG43" i="1" s="1"/>
  <c r="CH43" i="1" s="1"/>
  <c r="BY47" i="1"/>
  <c r="CF47" i="1" s="1"/>
  <c r="CG47" i="1" s="1"/>
  <c r="CH47" i="1" s="1"/>
  <c r="BY51" i="1"/>
  <c r="CF51" i="1" s="1"/>
  <c r="CG51" i="1" s="1"/>
  <c r="CH51" i="1" s="1"/>
  <c r="BY55" i="1"/>
  <c r="CF55" i="1" s="1"/>
  <c r="BY59" i="1"/>
  <c r="CF59" i="1" s="1"/>
  <c r="CG59" i="1" s="1"/>
  <c r="CH59" i="1" s="1"/>
  <c r="BY63" i="1"/>
  <c r="CF63" i="1" s="1"/>
  <c r="BY67" i="1"/>
  <c r="CF67" i="1" s="1"/>
  <c r="CG67" i="1" s="1"/>
  <c r="CH67" i="1" s="1"/>
  <c r="BY71" i="1"/>
  <c r="CF71" i="1" s="1"/>
  <c r="BY75" i="1"/>
  <c r="CF75" i="1" s="1"/>
  <c r="CG75" i="1" s="1"/>
  <c r="CH75" i="1" s="1"/>
  <c r="BY79" i="1"/>
  <c r="CF79" i="1" s="1"/>
  <c r="CG79" i="1" s="1"/>
  <c r="CH79" i="1" s="1"/>
  <c r="BY83" i="1"/>
  <c r="CF83" i="1" s="1"/>
  <c r="CG83" i="1" s="1"/>
  <c r="CH83" i="1" s="1"/>
  <c r="BY87" i="1"/>
  <c r="CF87" i="1" s="1"/>
  <c r="CG87" i="1" s="1"/>
  <c r="CI87" i="1" s="1"/>
  <c r="BY91" i="1"/>
  <c r="CF91" i="1" s="1"/>
  <c r="BY95" i="1"/>
  <c r="CF95" i="1" s="1"/>
  <c r="CG95" i="1" s="1"/>
  <c r="CI95" i="1" s="1"/>
  <c r="BY99" i="1"/>
  <c r="CF99" i="1" s="1"/>
  <c r="BY103" i="1"/>
  <c r="CF103" i="1" s="1"/>
  <c r="CG103" i="1" s="1"/>
  <c r="CI103" i="1" s="1"/>
  <c r="BY107" i="1"/>
  <c r="CF107" i="1" s="1"/>
  <c r="CG107" i="1" s="1"/>
  <c r="CH107" i="1" s="1"/>
  <c r="BY111" i="1"/>
  <c r="CF111" i="1" s="1"/>
  <c r="BY115" i="1"/>
  <c r="CF115" i="1" s="1"/>
  <c r="CG115" i="1" s="1"/>
  <c r="BY119" i="1"/>
  <c r="CF119" i="1" s="1"/>
  <c r="BY123" i="1"/>
  <c r="CF123" i="1" s="1"/>
  <c r="CG123" i="1" s="1"/>
  <c r="CH123" i="1" s="1"/>
  <c r="BY127" i="1"/>
  <c r="CF127" i="1" s="1"/>
  <c r="CG127" i="1" s="1"/>
  <c r="CH127" i="1" s="1"/>
  <c r="BY131" i="1"/>
  <c r="CF131" i="1" s="1"/>
  <c r="BY135" i="1"/>
  <c r="CF135" i="1" s="1"/>
  <c r="CG135" i="1" s="1"/>
  <c r="BY139" i="1"/>
  <c r="CF139" i="1" s="1"/>
  <c r="BY143" i="1"/>
  <c r="CF143" i="1" s="1"/>
  <c r="CG143" i="1" s="1"/>
  <c r="CH143" i="1" s="1"/>
  <c r="BY147" i="1"/>
  <c r="CF147" i="1" s="1"/>
  <c r="BY151" i="1"/>
  <c r="CF151" i="1" s="1"/>
  <c r="CG151" i="1" s="1"/>
  <c r="CH151" i="1" s="1"/>
  <c r="BY155" i="1"/>
  <c r="CF155" i="1" s="1"/>
  <c r="CG155" i="1" s="1"/>
  <c r="CH155" i="1" s="1"/>
  <c r="BY159" i="1"/>
  <c r="CF159" i="1" s="1"/>
  <c r="BY163" i="1"/>
  <c r="CF163" i="1" s="1"/>
  <c r="BY167" i="1"/>
  <c r="CF167" i="1" s="1"/>
  <c r="CG167" i="1" s="1"/>
  <c r="CH167" i="1" s="1"/>
  <c r="BY171" i="1"/>
  <c r="CF171" i="1" s="1"/>
  <c r="CG171" i="1" s="1"/>
  <c r="CH171" i="1" s="1"/>
  <c r="BY175" i="1"/>
  <c r="CF175" i="1" s="1"/>
  <c r="BY179" i="1"/>
  <c r="CF179" i="1" s="1"/>
  <c r="CG179" i="1" s="1"/>
  <c r="BY183" i="1"/>
  <c r="CF183" i="1" s="1"/>
  <c r="BY187" i="1"/>
  <c r="CF187" i="1" s="1"/>
  <c r="CG187" i="1" s="1"/>
  <c r="CH187" i="1" s="1"/>
  <c r="BY191" i="1"/>
  <c r="CF191" i="1" s="1"/>
  <c r="BY195" i="1"/>
  <c r="CF195" i="1" s="1"/>
  <c r="BY199" i="1"/>
  <c r="CF199" i="1" s="1"/>
  <c r="BY203" i="1"/>
  <c r="CF203" i="1" s="1"/>
  <c r="CG203" i="1" s="1"/>
  <c r="CI203" i="1" s="1"/>
  <c r="BY207" i="1"/>
  <c r="CF207" i="1" s="1"/>
  <c r="CG207" i="1" s="1"/>
  <c r="CI207" i="1" s="1"/>
  <c r="BY211" i="1"/>
  <c r="CF211" i="1" s="1"/>
  <c r="BY215" i="1"/>
  <c r="CF215" i="1" s="1"/>
  <c r="BY219" i="1"/>
  <c r="CF219" i="1" s="1"/>
  <c r="CG219" i="1" s="1"/>
  <c r="CH219" i="1" s="1"/>
  <c r="BY223" i="1"/>
  <c r="CF223" i="1" s="1"/>
  <c r="CG223" i="1" s="1"/>
  <c r="CH223" i="1" s="1"/>
  <c r="BY227" i="1"/>
  <c r="CF227" i="1" s="1"/>
  <c r="BY231" i="1"/>
  <c r="CF231" i="1" s="1"/>
  <c r="BY235" i="1"/>
  <c r="CF235" i="1" s="1"/>
  <c r="CG235" i="1" s="1"/>
  <c r="CH235" i="1" s="1"/>
  <c r="BY239" i="1"/>
  <c r="CF239" i="1" s="1"/>
  <c r="BY243" i="1"/>
  <c r="CF243" i="1" s="1"/>
  <c r="CG243" i="1" s="1"/>
  <c r="BY247" i="1"/>
  <c r="CF247" i="1" s="1"/>
  <c r="CG247" i="1" s="1"/>
  <c r="CH247" i="1" s="1"/>
  <c r="BY251" i="1"/>
  <c r="CF251" i="1" s="1"/>
  <c r="CG251" i="1" s="1"/>
  <c r="CH251" i="1" s="1"/>
  <c r="BY255" i="1"/>
  <c r="CF255" i="1" s="1"/>
  <c r="CG255" i="1" s="1"/>
  <c r="CH255" i="1" s="1"/>
  <c r="BY259" i="1"/>
  <c r="CF259" i="1" s="1"/>
  <c r="CG259" i="1" s="1"/>
  <c r="CH259" i="1" s="1"/>
  <c r="BY263" i="1"/>
  <c r="CF263" i="1" s="1"/>
  <c r="CG263" i="1" s="1"/>
  <c r="CI263" i="1" s="1"/>
  <c r="BY267" i="1"/>
  <c r="CF267" i="1" s="1"/>
  <c r="CG267" i="1" s="1"/>
  <c r="CH267" i="1" s="1"/>
  <c r="BY271" i="1"/>
  <c r="CF271" i="1" s="1"/>
  <c r="CG271" i="1" s="1"/>
  <c r="CH271" i="1" s="1"/>
  <c r="BY275" i="1"/>
  <c r="CF275" i="1" s="1"/>
  <c r="CG275" i="1" s="1"/>
  <c r="CH275" i="1" s="1"/>
  <c r="BY279" i="1"/>
  <c r="CF279" i="1" s="1"/>
  <c r="CG279" i="1" s="1"/>
  <c r="BY283" i="1"/>
  <c r="CF283" i="1" s="1"/>
  <c r="CG283" i="1" s="1"/>
  <c r="CH283" i="1" s="1"/>
  <c r="BY287" i="1"/>
  <c r="CF287" i="1" s="1"/>
  <c r="BY291" i="1"/>
  <c r="CF291" i="1" s="1"/>
  <c r="CG291" i="1" s="1"/>
  <c r="CH291" i="1" s="1"/>
  <c r="BY295" i="1"/>
  <c r="CF295" i="1" s="1"/>
  <c r="CG295" i="1" s="1"/>
  <c r="CH295" i="1" s="1"/>
  <c r="BY299" i="1"/>
  <c r="CF299" i="1" s="1"/>
  <c r="CG299" i="1" s="1"/>
  <c r="CH299" i="1" s="1"/>
  <c r="BY303" i="1"/>
  <c r="CF303" i="1" s="1"/>
  <c r="CG303" i="1" s="1"/>
  <c r="BY307" i="1"/>
  <c r="CF307" i="1" s="1"/>
  <c r="CG307" i="1" s="1"/>
  <c r="BY311" i="1"/>
  <c r="CF311" i="1" s="1"/>
  <c r="CG311" i="1" s="1"/>
  <c r="BY315" i="1"/>
  <c r="CF315" i="1" s="1"/>
  <c r="BY319" i="1"/>
  <c r="CF319" i="1" s="1"/>
  <c r="CG319" i="1" s="1"/>
  <c r="CH319" i="1" s="1"/>
  <c r="BY323" i="1"/>
  <c r="CF323" i="1" s="1"/>
  <c r="CG323" i="1" s="1"/>
  <c r="CH323" i="1" s="1"/>
  <c r="BY327" i="1"/>
  <c r="CF327" i="1" s="1"/>
  <c r="BY331" i="1"/>
  <c r="CF331" i="1" s="1"/>
  <c r="BY335" i="1"/>
  <c r="CF335" i="1" s="1"/>
  <c r="CG335" i="1" s="1"/>
  <c r="CH335" i="1" s="1"/>
  <c r="BY339" i="1"/>
  <c r="CF339" i="1" s="1"/>
  <c r="BY343" i="1"/>
  <c r="CF343" i="1" s="1"/>
  <c r="BY347" i="1"/>
  <c r="CF347" i="1" s="1"/>
  <c r="BY351" i="1"/>
  <c r="CF351" i="1" s="1"/>
  <c r="CG351" i="1" s="1"/>
  <c r="CH351" i="1" s="1"/>
  <c r="BY356" i="1"/>
  <c r="CF356" i="1" s="1"/>
  <c r="BY360" i="1"/>
  <c r="CF360" i="1" s="1"/>
  <c r="BY364" i="1"/>
  <c r="CF364" i="1" s="1"/>
  <c r="CG364" i="1" s="1"/>
  <c r="CH364" i="1" s="1"/>
  <c r="BY368" i="1"/>
  <c r="CF368" i="1" s="1"/>
  <c r="CG368" i="1" s="1"/>
  <c r="CI368" i="1" s="1"/>
  <c r="BY372" i="1"/>
  <c r="CF372" i="1" s="1"/>
  <c r="BY357" i="1"/>
  <c r="CF357" i="1" s="1"/>
  <c r="CG357" i="1" s="1"/>
  <c r="CH357" i="1" s="1"/>
  <c r="BY361" i="1"/>
  <c r="CF361" i="1" s="1"/>
  <c r="CG361" i="1" s="1"/>
  <c r="CI361" i="1" s="1"/>
  <c r="BY365" i="1"/>
  <c r="CF365" i="1" s="1"/>
  <c r="CG365" i="1" s="1"/>
  <c r="CH365" i="1" s="1"/>
  <c r="BY369" i="1"/>
  <c r="CF369" i="1" s="1"/>
  <c r="CG369" i="1" s="1"/>
  <c r="CH369" i="1" s="1"/>
  <c r="BY373" i="1"/>
  <c r="CF373" i="1" s="1"/>
  <c r="BY358" i="1"/>
  <c r="CF358" i="1" s="1"/>
  <c r="CG358" i="1" s="1"/>
  <c r="CH358" i="1" s="1"/>
  <c r="BY362" i="1"/>
  <c r="CF362" i="1" s="1"/>
  <c r="BY366" i="1"/>
  <c r="CF366" i="1" s="1"/>
  <c r="CG366" i="1" s="1"/>
  <c r="CH366" i="1" s="1"/>
  <c r="BY370" i="1"/>
  <c r="CF370" i="1" s="1"/>
  <c r="BY374" i="1"/>
  <c r="CF374" i="1" s="1"/>
  <c r="BY355" i="1"/>
  <c r="CF355" i="1" s="1"/>
  <c r="CG355" i="1" s="1"/>
  <c r="CH355" i="1" s="1"/>
  <c r="BY359" i="1"/>
  <c r="CF359" i="1" s="1"/>
  <c r="CG359" i="1" s="1"/>
  <c r="CI359" i="1" s="1"/>
  <c r="BY363" i="1"/>
  <c r="CF363" i="1" s="1"/>
  <c r="CG363" i="1" s="1"/>
  <c r="CH363" i="1" s="1"/>
  <c r="BY367" i="1"/>
  <c r="CF367" i="1" s="1"/>
  <c r="CG367" i="1" s="1"/>
  <c r="CH367" i="1" s="1"/>
  <c r="BY371" i="1"/>
  <c r="CF371" i="1" s="1"/>
  <c r="CG371" i="1" s="1"/>
  <c r="CH371" i="1" s="1"/>
  <c r="BY375" i="1"/>
  <c r="CF375" i="1" s="1"/>
  <c r="CG375" i="1" s="1"/>
  <c r="CI375" i="1" s="1"/>
  <c r="CF133" i="1"/>
  <c r="CG133" i="1" s="1"/>
  <c r="CH133" i="1" s="1"/>
  <c r="CF116" i="1"/>
  <c r="CG116" i="1" s="1"/>
  <c r="CI116" i="1" s="1"/>
  <c r="CF197" i="1"/>
  <c r="CF308" i="1"/>
  <c r="CG308" i="1" s="1"/>
  <c r="CH308" i="1" s="1"/>
  <c r="CF52" i="1"/>
  <c r="CG52" i="1" s="1"/>
  <c r="CI52" i="1" s="1"/>
  <c r="CF172" i="1"/>
  <c r="CG172" i="1" s="1"/>
  <c r="CH172" i="1" s="1"/>
  <c r="CF216" i="1"/>
  <c r="CG216" i="1" s="1"/>
  <c r="CF280" i="1"/>
  <c r="CF56" i="1"/>
  <c r="CG56" i="1" s="1"/>
  <c r="CF248" i="1"/>
  <c r="CG248" i="1" s="1"/>
  <c r="CF184" i="1"/>
  <c r="CG184" i="1" s="1"/>
  <c r="CF120" i="1"/>
  <c r="CG120" i="1" s="1"/>
  <c r="CI120" i="1" s="1"/>
  <c r="CF24" i="1"/>
  <c r="CG24" i="1" s="1"/>
  <c r="CI24" i="1" s="1"/>
  <c r="CF152" i="1"/>
  <c r="CG152" i="1" s="1"/>
  <c r="CH152" i="1" s="1"/>
  <c r="CF88" i="1"/>
  <c r="CG88" i="1" s="1"/>
  <c r="CH88" i="1" s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CG15" i="1"/>
  <c r="CI15" i="1" s="1"/>
  <c r="BZ15" i="1"/>
  <c r="CA1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BZ38" i="1" l="1"/>
  <c r="CA38" i="1" s="1"/>
  <c r="BZ227" i="1"/>
  <c r="CB227" i="1" s="1"/>
  <c r="BZ214" i="1"/>
  <c r="CA214" i="1" s="1"/>
  <c r="BZ215" i="1"/>
  <c r="CB215" i="1" s="1"/>
  <c r="BZ190" i="1"/>
  <c r="CB190" i="1" s="1"/>
  <c r="BZ355" i="1"/>
  <c r="CA355" i="1" s="1"/>
  <c r="BZ46" i="1"/>
  <c r="CA46" i="1" s="1"/>
  <c r="BZ35" i="1"/>
  <c r="CB35" i="1" s="1"/>
  <c r="BZ291" i="1"/>
  <c r="CB291" i="1" s="1"/>
  <c r="BZ354" i="1"/>
  <c r="CB354" i="1" s="1"/>
  <c r="BZ210" i="1"/>
  <c r="CA210" i="1" s="1"/>
  <c r="BZ342" i="1"/>
  <c r="CB342" i="1" s="1"/>
  <c r="BZ220" i="1"/>
  <c r="CA220" i="1" s="1"/>
  <c r="BZ49" i="1"/>
  <c r="CA49" i="1" s="1"/>
  <c r="BZ244" i="1"/>
  <c r="CB244" i="1" s="1"/>
  <c r="BZ146" i="1"/>
  <c r="CA146" i="1" s="1"/>
  <c r="BZ261" i="1"/>
  <c r="CB261" i="1" s="1"/>
  <c r="BZ311" i="1"/>
  <c r="CA311" i="1" s="1"/>
  <c r="BZ223" i="1"/>
  <c r="CB223" i="1" s="1"/>
  <c r="BZ286" i="1"/>
  <c r="CA286" i="1" s="1"/>
  <c r="BZ165" i="1"/>
  <c r="CA165" i="1" s="1"/>
  <c r="BZ277" i="1"/>
  <c r="CB277" i="1" s="1"/>
  <c r="BZ353" i="1"/>
  <c r="CB353" i="1" s="1"/>
  <c r="BZ211" i="1"/>
  <c r="CB211" i="1" s="1"/>
  <c r="BZ345" i="1"/>
  <c r="CB345" i="1" s="1"/>
  <c r="BZ369" i="1"/>
  <c r="CA369" i="1" s="1"/>
  <c r="BZ31" i="1"/>
  <c r="CA31" i="1" s="1"/>
  <c r="BZ346" i="1"/>
  <c r="CA346" i="1" s="1"/>
  <c r="BZ68" i="1"/>
  <c r="CA68" i="1" s="1"/>
  <c r="BZ181" i="1"/>
  <c r="CA181" i="1" s="1"/>
  <c r="BZ58" i="1"/>
  <c r="CA58" i="1" s="1"/>
  <c r="BZ132" i="1"/>
  <c r="CA132" i="1" s="1"/>
  <c r="BZ236" i="1"/>
  <c r="CB236" i="1" s="1"/>
  <c r="BZ373" i="1"/>
  <c r="CA373" i="1" s="1"/>
  <c r="BZ243" i="1"/>
  <c r="CB243" i="1" s="1"/>
  <c r="BZ219" i="1"/>
  <c r="CA219" i="1" s="1"/>
  <c r="BZ103" i="1"/>
  <c r="CB103" i="1" s="1"/>
  <c r="BZ229" i="1"/>
  <c r="CB229" i="1" s="1"/>
  <c r="BZ159" i="1"/>
  <c r="CA159" i="1" s="1"/>
  <c r="BZ50" i="1"/>
  <c r="CB50" i="1" s="1"/>
  <c r="BZ326" i="1"/>
  <c r="CA326" i="1" s="1"/>
  <c r="BZ239" i="1"/>
  <c r="CB239" i="1" s="1"/>
  <c r="BZ158" i="1"/>
  <c r="CA158" i="1" s="1"/>
  <c r="BZ241" i="1"/>
  <c r="CB241" i="1" s="1"/>
  <c r="BZ118" i="1"/>
  <c r="CA118" i="1" s="1"/>
  <c r="BZ124" i="1"/>
  <c r="CA124" i="1" s="1"/>
  <c r="BZ285" i="1"/>
  <c r="CA285" i="1" s="1"/>
  <c r="BZ313" i="1"/>
  <c r="CA313" i="1" s="1"/>
  <c r="BZ126" i="1"/>
  <c r="CA126" i="1" s="1"/>
  <c r="BZ180" i="1"/>
  <c r="CA180" i="1" s="1"/>
  <c r="BZ27" i="1"/>
  <c r="CA27" i="1" s="1"/>
  <c r="BZ115" i="1"/>
  <c r="CA115" i="1" s="1"/>
  <c r="BZ122" i="1"/>
  <c r="CB122" i="1" s="1"/>
  <c r="BZ329" i="1"/>
  <c r="CB329" i="1" s="1"/>
  <c r="BZ302" i="1"/>
  <c r="CB302" i="1" s="1"/>
  <c r="BZ66" i="1"/>
  <c r="CB66" i="1" s="1"/>
  <c r="BZ143" i="1"/>
  <c r="CB143" i="1" s="1"/>
  <c r="BZ316" i="1"/>
  <c r="CA316" i="1" s="1"/>
  <c r="BZ299" i="1"/>
  <c r="CB299" i="1" s="1"/>
  <c r="BZ195" i="1"/>
  <c r="CA195" i="1" s="1"/>
  <c r="BZ125" i="1"/>
  <c r="CA125" i="1" s="1"/>
  <c r="BZ356" i="1"/>
  <c r="CB356" i="1" s="1"/>
  <c r="BZ101" i="1"/>
  <c r="CB101" i="1" s="1"/>
  <c r="BZ111" i="1"/>
  <c r="CB111" i="1" s="1"/>
  <c r="BZ303" i="1"/>
  <c r="CB303" i="1" s="1"/>
  <c r="BZ53" i="1"/>
  <c r="CA53" i="1" s="1"/>
  <c r="BZ62" i="1"/>
  <c r="CB62" i="1" s="1"/>
  <c r="BZ338" i="1"/>
  <c r="CA338" i="1" s="1"/>
  <c r="BZ337" i="1"/>
  <c r="CA337" i="1" s="1"/>
  <c r="BZ322" i="1"/>
  <c r="CB322" i="1" s="1"/>
  <c r="BZ270" i="1"/>
  <c r="CB270" i="1" s="1"/>
  <c r="BZ140" i="1"/>
  <c r="CB140" i="1" s="1"/>
  <c r="BZ148" i="1"/>
  <c r="CA148" i="1" s="1"/>
  <c r="BZ306" i="1"/>
  <c r="CA306" i="1" s="1"/>
  <c r="BZ156" i="1"/>
  <c r="CA156" i="1" s="1"/>
  <c r="BZ254" i="1"/>
  <c r="CA254" i="1" s="1"/>
  <c r="BZ39" i="1"/>
  <c r="CA39" i="1" s="1"/>
  <c r="BZ54" i="1"/>
  <c r="CA54" i="1" s="1"/>
  <c r="BZ169" i="1"/>
  <c r="CB169" i="1" s="1"/>
  <c r="BZ367" i="1"/>
  <c r="CB367" i="1" s="1"/>
  <c r="BZ361" i="1"/>
  <c r="CB361" i="1" s="1"/>
  <c r="BZ279" i="1"/>
  <c r="CA279" i="1" s="1"/>
  <c r="BZ332" i="1"/>
  <c r="CA332" i="1" s="1"/>
  <c r="BZ331" i="1"/>
  <c r="CB331" i="1" s="1"/>
  <c r="BZ226" i="1"/>
  <c r="CA226" i="1" s="1"/>
  <c r="BZ273" i="1"/>
  <c r="CB273" i="1" s="1"/>
  <c r="BZ83" i="1"/>
  <c r="CA83" i="1" s="1"/>
  <c r="BZ182" i="1"/>
  <c r="CA182" i="1" s="1"/>
  <c r="BZ197" i="1"/>
  <c r="CA197" i="1" s="1"/>
  <c r="BZ246" i="1"/>
  <c r="CB246" i="1" s="1"/>
  <c r="BZ102" i="1"/>
  <c r="CB102" i="1" s="1"/>
  <c r="BZ212" i="1"/>
  <c r="CB212" i="1" s="1"/>
  <c r="BZ366" i="1"/>
  <c r="CB366" i="1" s="1"/>
  <c r="BZ157" i="1"/>
  <c r="CB157" i="1" s="1"/>
  <c r="BZ282" i="1"/>
  <c r="CB282" i="1" s="1"/>
  <c r="BZ22" i="1"/>
  <c r="CB22" i="1" s="1"/>
  <c r="BZ266" i="1"/>
  <c r="CB266" i="1" s="1"/>
  <c r="BZ52" i="1"/>
  <c r="CA52" i="1" s="1"/>
  <c r="BZ305" i="1"/>
  <c r="CB305" i="1" s="1"/>
  <c r="BZ307" i="1"/>
  <c r="CA307" i="1" s="1"/>
  <c r="BZ20" i="1"/>
  <c r="CB20" i="1" s="1"/>
  <c r="BZ250" i="1"/>
  <c r="CB250" i="1" s="1"/>
  <c r="BZ26" i="1"/>
  <c r="CB26" i="1" s="1"/>
  <c r="BZ209" i="1"/>
  <c r="CA209" i="1" s="1"/>
  <c r="BZ173" i="1"/>
  <c r="CB173" i="1" s="1"/>
  <c r="BZ147" i="1"/>
  <c r="CB147" i="1" s="1"/>
  <c r="BZ222" i="1"/>
  <c r="CB222" i="1" s="1"/>
  <c r="BZ47" i="1"/>
  <c r="CA47" i="1" s="1"/>
  <c r="BZ63" i="1"/>
  <c r="CB63" i="1" s="1"/>
  <c r="BZ374" i="1"/>
  <c r="CA374" i="1" s="1"/>
  <c r="BZ235" i="1"/>
  <c r="CA235" i="1" s="1"/>
  <c r="BZ370" i="1"/>
  <c r="CA370" i="1" s="1"/>
  <c r="BZ99" i="1"/>
  <c r="CB99" i="1" s="1"/>
  <c r="BZ127" i="1"/>
  <c r="CA127" i="1" s="1"/>
  <c r="BZ300" i="1"/>
  <c r="CB300" i="1" s="1"/>
  <c r="BZ131" i="1"/>
  <c r="CA131" i="1" s="1"/>
  <c r="BZ364" i="1"/>
  <c r="CA364" i="1" s="1"/>
  <c r="BZ174" i="1"/>
  <c r="CA174" i="1" s="1"/>
  <c r="BZ70" i="1"/>
  <c r="CB70" i="1" s="1"/>
  <c r="BZ191" i="1"/>
  <c r="CB191" i="1" s="1"/>
  <c r="BZ51" i="1"/>
  <c r="CB51" i="1" s="1"/>
  <c r="BZ84" i="1"/>
  <c r="CB84" i="1" s="1"/>
  <c r="BZ333" i="1"/>
  <c r="CB333" i="1" s="1"/>
  <c r="BZ151" i="1"/>
  <c r="CB151" i="1" s="1"/>
  <c r="BZ135" i="1"/>
  <c r="CB135" i="1" s="1"/>
  <c r="BZ268" i="1"/>
  <c r="CB268" i="1" s="1"/>
  <c r="BZ245" i="1"/>
  <c r="CB245" i="1" s="1"/>
  <c r="BZ130" i="1"/>
  <c r="CA130" i="1" s="1"/>
  <c r="BZ324" i="1"/>
  <c r="CA324" i="1" s="1"/>
  <c r="BZ295" i="1"/>
  <c r="CB295" i="1" s="1"/>
  <c r="BZ155" i="1"/>
  <c r="CB155" i="1" s="1"/>
  <c r="BZ359" i="1"/>
  <c r="CB359" i="1" s="1"/>
  <c r="BZ205" i="1"/>
  <c r="CB205" i="1" s="1"/>
  <c r="BZ133" i="1"/>
  <c r="CB133" i="1" s="1"/>
  <c r="BZ60" i="1"/>
  <c r="CA60" i="1" s="1"/>
  <c r="BZ85" i="1"/>
  <c r="CA85" i="1" s="1"/>
  <c r="BZ263" i="1"/>
  <c r="CB263" i="1" s="1"/>
  <c r="BZ260" i="1"/>
  <c r="CB260" i="1" s="1"/>
  <c r="BZ339" i="1"/>
  <c r="CA339" i="1" s="1"/>
  <c r="BZ75" i="1"/>
  <c r="CA75" i="1" s="1"/>
  <c r="BZ71" i="1"/>
  <c r="CB71" i="1" s="1"/>
  <c r="BZ344" i="1"/>
  <c r="CA344" i="1" s="1"/>
  <c r="BZ349" i="1"/>
  <c r="CB349" i="1" s="1"/>
  <c r="BZ188" i="1"/>
  <c r="CB188" i="1" s="1"/>
  <c r="BZ45" i="1"/>
  <c r="CA45" i="1" s="1"/>
  <c r="BZ271" i="1"/>
  <c r="CB271" i="1" s="1"/>
  <c r="BZ274" i="1"/>
  <c r="CA274" i="1" s="1"/>
  <c r="BZ154" i="1"/>
  <c r="CB154" i="1" s="1"/>
  <c r="BZ55" i="1"/>
  <c r="CA55" i="1" s="1"/>
  <c r="BZ269" i="1"/>
  <c r="CB269" i="1" s="1"/>
  <c r="BZ69" i="1"/>
  <c r="CB69" i="1" s="1"/>
  <c r="BZ116" i="1"/>
  <c r="CB116" i="1" s="1"/>
  <c r="BZ59" i="1"/>
  <c r="CB59" i="1" s="1"/>
  <c r="BZ281" i="1"/>
  <c r="CA281" i="1" s="1"/>
  <c r="BZ365" i="1"/>
  <c r="CA365" i="1" s="1"/>
  <c r="BZ206" i="1"/>
  <c r="CA206" i="1" s="1"/>
  <c r="BZ183" i="1"/>
  <c r="CA183" i="1" s="1"/>
  <c r="BZ372" i="1"/>
  <c r="CB372" i="1" s="1"/>
  <c r="BZ65" i="1"/>
  <c r="CA65" i="1" s="1"/>
  <c r="BZ323" i="1"/>
  <c r="CA323" i="1" s="1"/>
  <c r="BZ328" i="1"/>
  <c r="CA328" i="1" s="1"/>
  <c r="BZ228" i="1"/>
  <c r="CB228" i="1" s="1"/>
  <c r="BZ317" i="1"/>
  <c r="CA317" i="1" s="1"/>
  <c r="BZ213" i="1"/>
  <c r="CB213" i="1" s="1"/>
  <c r="BZ255" i="1"/>
  <c r="CB255" i="1" s="1"/>
  <c r="BZ179" i="1"/>
  <c r="CB179" i="1" s="1"/>
  <c r="BZ100" i="1"/>
  <c r="CB100" i="1" s="1"/>
  <c r="BZ186" i="1"/>
  <c r="CA186" i="1" s="1"/>
  <c r="BZ175" i="1"/>
  <c r="CA175" i="1" s="1"/>
  <c r="BZ259" i="1"/>
  <c r="CA259" i="1" s="1"/>
  <c r="BZ202" i="1"/>
  <c r="CA202" i="1" s="1"/>
  <c r="BZ77" i="1"/>
  <c r="CB77" i="1" s="1"/>
  <c r="BZ275" i="1"/>
  <c r="CA275" i="1" s="1"/>
  <c r="BZ86" i="1"/>
  <c r="CA86" i="1" s="1"/>
  <c r="BZ363" i="1"/>
  <c r="CB363" i="1" s="1"/>
  <c r="BZ166" i="1"/>
  <c r="CA166" i="1" s="1"/>
  <c r="BZ137" i="1"/>
  <c r="CA137" i="1" s="1"/>
  <c r="BZ341" i="1"/>
  <c r="CA341" i="1" s="1"/>
  <c r="BZ90" i="1"/>
  <c r="CA90" i="1" s="1"/>
  <c r="BZ301" i="1"/>
  <c r="CB301" i="1" s="1"/>
  <c r="BZ253" i="1"/>
  <c r="CB253" i="1" s="1"/>
  <c r="BZ292" i="1"/>
  <c r="CA292" i="1" s="1"/>
  <c r="BZ91" i="1"/>
  <c r="CA91" i="1" s="1"/>
  <c r="BZ74" i="1"/>
  <c r="CB74" i="1" s="1"/>
  <c r="BZ294" i="1"/>
  <c r="CB294" i="1" s="1"/>
  <c r="BZ28" i="1"/>
  <c r="CA28" i="1" s="1"/>
  <c r="BZ93" i="1"/>
  <c r="CA93" i="1" s="1"/>
  <c r="BZ284" i="1"/>
  <c r="CB284" i="1" s="1"/>
  <c r="BZ23" i="1"/>
  <c r="CB23" i="1" s="1"/>
  <c r="BZ371" i="1"/>
  <c r="CA371" i="1" s="1"/>
  <c r="BZ92" i="1"/>
  <c r="CA92" i="1" s="1"/>
  <c r="BZ167" i="1"/>
  <c r="CB167" i="1" s="1"/>
  <c r="BZ163" i="1"/>
  <c r="CB163" i="1" s="1"/>
  <c r="BZ230" i="1"/>
  <c r="CA230" i="1" s="1"/>
  <c r="BZ327" i="1"/>
  <c r="CB327" i="1" s="1"/>
  <c r="BZ221" i="1"/>
  <c r="CB221" i="1" s="1"/>
  <c r="BZ265" i="1"/>
  <c r="CB265" i="1" s="1"/>
  <c r="BZ29" i="1"/>
  <c r="CB29" i="1" s="1"/>
  <c r="BZ172" i="1"/>
  <c r="CA172" i="1" s="1"/>
  <c r="BZ256" i="1"/>
  <c r="CB256" i="1" s="1"/>
  <c r="BZ194" i="1"/>
  <c r="CB194" i="1" s="1"/>
  <c r="BZ310" i="1"/>
  <c r="CA310" i="1" s="1"/>
  <c r="BZ315" i="1"/>
  <c r="CA315" i="1" s="1"/>
  <c r="BZ67" i="1"/>
  <c r="CA67" i="1" s="1"/>
  <c r="BZ336" i="1"/>
  <c r="CB336" i="1" s="1"/>
  <c r="BZ87" i="1"/>
  <c r="CA87" i="1" s="1"/>
  <c r="BZ171" i="1"/>
  <c r="CA171" i="1" s="1"/>
  <c r="BZ37" i="1"/>
  <c r="CB37" i="1" s="1"/>
  <c r="BZ287" i="1"/>
  <c r="CA287" i="1" s="1"/>
  <c r="BZ178" i="1"/>
  <c r="CA178" i="1" s="1"/>
  <c r="BZ343" i="1"/>
  <c r="CA343" i="1" s="1"/>
  <c r="BZ61" i="1"/>
  <c r="CB61" i="1" s="1"/>
  <c r="BZ375" i="1"/>
  <c r="CB375" i="1" s="1"/>
  <c r="BZ79" i="1"/>
  <c r="CB79" i="1" s="1"/>
  <c r="BZ290" i="1"/>
  <c r="CB290" i="1" s="1"/>
  <c r="BZ335" i="1"/>
  <c r="CB335" i="1" s="1"/>
  <c r="BZ204" i="1"/>
  <c r="CB204" i="1" s="1"/>
  <c r="BZ238" i="1"/>
  <c r="CB238" i="1" s="1"/>
  <c r="BZ189" i="1"/>
  <c r="CA189" i="1" s="1"/>
  <c r="BZ139" i="1"/>
  <c r="CB139" i="1" s="1"/>
  <c r="BZ193" i="1"/>
  <c r="CB193" i="1" s="1"/>
  <c r="BZ350" i="1"/>
  <c r="CA350" i="1" s="1"/>
  <c r="BZ21" i="1"/>
  <c r="CB21" i="1" s="1"/>
  <c r="BZ78" i="1"/>
  <c r="CA78" i="1" s="1"/>
  <c r="BZ150" i="1"/>
  <c r="CA150" i="1" s="1"/>
  <c r="BZ30" i="1"/>
  <c r="CA30" i="1" s="1"/>
  <c r="BZ242" i="1"/>
  <c r="CB242" i="1" s="1"/>
  <c r="BZ95" i="1"/>
  <c r="CA95" i="1" s="1"/>
  <c r="BZ258" i="1"/>
  <c r="CA258" i="1" s="1"/>
  <c r="BZ113" i="1"/>
  <c r="CA113" i="1" s="1"/>
  <c r="BZ142" i="1"/>
  <c r="CA142" i="1" s="1"/>
  <c r="BZ201" i="1"/>
  <c r="CB201" i="1" s="1"/>
  <c r="BZ149" i="1"/>
  <c r="CA149" i="1" s="1"/>
  <c r="BZ340" i="1"/>
  <c r="CA340" i="1" s="1"/>
  <c r="BZ36" i="1"/>
  <c r="CB36" i="1" s="1"/>
  <c r="BZ129" i="1"/>
  <c r="CB129" i="1" s="1"/>
  <c r="BZ109" i="1"/>
  <c r="CB109" i="1" s="1"/>
  <c r="BZ196" i="1"/>
  <c r="CA196" i="1" s="1"/>
  <c r="BZ123" i="1"/>
  <c r="CB123" i="1" s="1"/>
  <c r="BZ18" i="1"/>
  <c r="CA18" i="1" s="1"/>
  <c r="BZ330" i="1"/>
  <c r="CA330" i="1" s="1"/>
  <c r="BZ357" i="1"/>
  <c r="CA357" i="1" s="1"/>
  <c r="BZ321" i="1"/>
  <c r="CA321" i="1" s="1"/>
  <c r="BZ334" i="1"/>
  <c r="CB334" i="1" s="1"/>
  <c r="BZ110" i="1"/>
  <c r="CA110" i="1" s="1"/>
  <c r="BZ348" i="1"/>
  <c r="CA348" i="1" s="1"/>
  <c r="BZ43" i="1"/>
  <c r="CA43" i="1" s="1"/>
  <c r="BZ318" i="1"/>
  <c r="CB318" i="1" s="1"/>
  <c r="BZ325" i="1"/>
  <c r="CB325" i="1" s="1"/>
  <c r="BZ283" i="1"/>
  <c r="CB283" i="1" s="1"/>
  <c r="BZ358" i="1"/>
  <c r="CB358" i="1" s="1"/>
  <c r="BZ138" i="1"/>
  <c r="CA138" i="1" s="1"/>
  <c r="BZ203" i="1"/>
  <c r="CB203" i="1" s="1"/>
  <c r="BZ207" i="1"/>
  <c r="CB207" i="1" s="1"/>
  <c r="BZ94" i="1"/>
  <c r="CA94" i="1" s="1"/>
  <c r="BZ314" i="1"/>
  <c r="CB314" i="1" s="1"/>
  <c r="BZ108" i="1"/>
  <c r="CB108" i="1" s="1"/>
  <c r="BZ262" i="1"/>
  <c r="CB262" i="1" s="1"/>
  <c r="BZ164" i="1"/>
  <c r="CB164" i="1" s="1"/>
  <c r="BZ187" i="1"/>
  <c r="CB187" i="1" s="1"/>
  <c r="BZ247" i="1"/>
  <c r="CA247" i="1" s="1"/>
  <c r="BZ141" i="1"/>
  <c r="CA141" i="1" s="1"/>
  <c r="BZ347" i="1"/>
  <c r="CA347" i="1" s="1"/>
  <c r="BZ199" i="1"/>
  <c r="CA199" i="1" s="1"/>
  <c r="BZ76" i="1"/>
  <c r="CA76" i="1" s="1"/>
  <c r="BZ276" i="1"/>
  <c r="CA276" i="1" s="1"/>
  <c r="BZ134" i="1"/>
  <c r="CB134" i="1" s="1"/>
  <c r="BZ278" i="1"/>
  <c r="CB278" i="1" s="1"/>
  <c r="BZ308" i="1"/>
  <c r="CB308" i="1" s="1"/>
  <c r="BZ41" i="1"/>
  <c r="CB41" i="1" s="1"/>
  <c r="BZ231" i="1"/>
  <c r="CA231" i="1" s="1"/>
  <c r="BZ82" i="1"/>
  <c r="CA82" i="1" s="1"/>
  <c r="BZ351" i="1"/>
  <c r="CA351" i="1" s="1"/>
  <c r="BZ237" i="1"/>
  <c r="CA237" i="1" s="1"/>
  <c r="BZ252" i="1"/>
  <c r="CB252" i="1" s="1"/>
  <c r="BZ44" i="1"/>
  <c r="CA44" i="1" s="1"/>
  <c r="BZ251" i="1"/>
  <c r="CA251" i="1" s="1"/>
  <c r="BZ218" i="1"/>
  <c r="CA218" i="1" s="1"/>
  <c r="BZ208" i="1"/>
  <c r="CB208" i="1" s="1"/>
  <c r="BZ114" i="1"/>
  <c r="CA114" i="1" s="1"/>
  <c r="BZ119" i="1"/>
  <c r="CA119" i="1" s="1"/>
  <c r="BZ319" i="1"/>
  <c r="CB319" i="1" s="1"/>
  <c r="BZ198" i="1"/>
  <c r="CB198" i="1" s="1"/>
  <c r="BZ267" i="1"/>
  <c r="CB267" i="1" s="1"/>
  <c r="BZ19" i="1"/>
  <c r="CA19" i="1" s="1"/>
  <c r="BZ309" i="1"/>
  <c r="CA309" i="1" s="1"/>
  <c r="BZ107" i="1"/>
  <c r="CB107" i="1" s="1"/>
  <c r="BZ117" i="1"/>
  <c r="CA117" i="1" s="1"/>
  <c r="BZ293" i="1"/>
  <c r="CB293" i="1" s="1"/>
  <c r="BZ106" i="1"/>
  <c r="CA106" i="1" s="1"/>
  <c r="BZ312" i="1"/>
  <c r="CA312" i="1" s="1"/>
  <c r="BZ217" i="1"/>
  <c r="CB217" i="1" s="1"/>
  <c r="BZ216" i="1"/>
  <c r="CB216" i="1" s="1"/>
  <c r="BZ136" i="1"/>
  <c r="CA136" i="1" s="1"/>
  <c r="BZ272" i="1"/>
  <c r="CB272" i="1" s="1"/>
  <c r="BZ192" i="1"/>
  <c r="CA192" i="1" s="1"/>
  <c r="BZ289" i="1"/>
  <c r="CB289" i="1" s="1"/>
  <c r="BZ176" i="1"/>
  <c r="CB176" i="1" s="1"/>
  <c r="BZ249" i="1"/>
  <c r="CA249" i="1" s="1"/>
  <c r="BZ25" i="1"/>
  <c r="CB25" i="1" s="1"/>
  <c r="BZ96" i="1"/>
  <c r="CA96" i="1" s="1"/>
  <c r="BZ144" i="1"/>
  <c r="CA144" i="1" s="1"/>
  <c r="BZ177" i="1"/>
  <c r="CA177" i="1" s="1"/>
  <c r="BZ73" i="1"/>
  <c r="CB73" i="1" s="1"/>
  <c r="BZ297" i="1"/>
  <c r="CA297" i="1" s="1"/>
  <c r="BZ233" i="1"/>
  <c r="CB233" i="1" s="1"/>
  <c r="BZ298" i="1"/>
  <c r="CB298" i="1" s="1"/>
  <c r="BZ105" i="1"/>
  <c r="CB105" i="1" s="1"/>
  <c r="BZ57" i="1"/>
  <c r="CB57" i="1" s="1"/>
  <c r="BZ360" i="1"/>
  <c r="CA360" i="1" s="1"/>
  <c r="BZ33" i="1"/>
  <c r="CA33" i="1" s="1"/>
  <c r="BZ161" i="1"/>
  <c r="CB161" i="1" s="1"/>
  <c r="BZ225" i="1"/>
  <c r="CA225" i="1" s="1"/>
  <c r="BZ234" i="1"/>
  <c r="CB234" i="1" s="1"/>
  <c r="BZ64" i="1"/>
  <c r="CB64" i="1" s="1"/>
  <c r="BZ257" i="1"/>
  <c r="CA257" i="1" s="1"/>
  <c r="BZ362" i="1"/>
  <c r="CA362" i="1" s="1"/>
  <c r="BZ48" i="1"/>
  <c r="CB48" i="1" s="1"/>
  <c r="BZ145" i="1"/>
  <c r="CA145" i="1" s="1"/>
  <c r="BZ121" i="1"/>
  <c r="CB121" i="1" s="1"/>
  <c r="BZ152" i="1"/>
  <c r="CB152" i="1" s="1"/>
  <c r="BZ32" i="1"/>
  <c r="CA32" i="1" s="1"/>
  <c r="BZ42" i="1"/>
  <c r="CA42" i="1" s="1"/>
  <c r="BZ320" i="1"/>
  <c r="CB320" i="1" s="1"/>
  <c r="BZ89" i="1"/>
  <c r="CB89" i="1" s="1"/>
  <c r="BZ264" i="1"/>
  <c r="CA264" i="1" s="1"/>
  <c r="BZ153" i="1"/>
  <c r="CA153" i="1" s="1"/>
  <c r="BZ162" i="1"/>
  <c r="CB162" i="1" s="1"/>
  <c r="BZ280" i="1"/>
  <c r="CA280" i="1" s="1"/>
  <c r="BZ97" i="1"/>
  <c r="CB97" i="1" s="1"/>
  <c r="BZ368" i="1"/>
  <c r="CA368" i="1" s="1"/>
  <c r="BZ34" i="1"/>
  <c r="CB34" i="1" s="1"/>
  <c r="BZ98" i="1"/>
  <c r="CB98" i="1" s="1"/>
  <c r="BZ200" i="1"/>
  <c r="CA200" i="1" s="1"/>
  <c r="BZ17" i="1"/>
  <c r="CB17" i="1" s="1"/>
  <c r="BZ81" i="1"/>
  <c r="CB81" i="1" s="1"/>
  <c r="BZ56" i="1"/>
  <c r="CB56" i="1" s="1"/>
  <c r="BZ112" i="1"/>
  <c r="CB112" i="1" s="1"/>
  <c r="BZ16" i="1"/>
  <c r="CA16" i="1" s="1"/>
  <c r="BZ128" i="1"/>
  <c r="CB128" i="1" s="1"/>
  <c r="BZ185" i="1"/>
  <c r="CA185" i="1" s="1"/>
  <c r="BZ248" i="1"/>
  <c r="CA248" i="1" s="1"/>
  <c r="BZ296" i="1"/>
  <c r="CA296" i="1" s="1"/>
  <c r="BZ88" i="1"/>
  <c r="CB88" i="1" s="1"/>
  <c r="BZ184" i="1"/>
  <c r="CA184" i="1" s="1"/>
  <c r="BZ80" i="1"/>
  <c r="CA80" i="1" s="1"/>
  <c r="BZ232" i="1"/>
  <c r="CA232" i="1" s="1"/>
  <c r="BZ120" i="1"/>
  <c r="CB120" i="1" s="1"/>
  <c r="BZ352" i="1"/>
  <c r="CB352" i="1" s="1"/>
  <c r="BZ168" i="1"/>
  <c r="CB168" i="1" s="1"/>
  <c r="BZ288" i="1"/>
  <c r="CB288" i="1" s="1"/>
  <c r="BZ40" i="1"/>
  <c r="CA40" i="1" s="1"/>
  <c r="BZ304" i="1"/>
  <c r="CA304" i="1" s="1"/>
  <c r="BZ72" i="1"/>
  <c r="CB72" i="1" s="1"/>
  <c r="BZ104" i="1"/>
  <c r="CB104" i="1" s="1"/>
  <c r="BZ224" i="1"/>
  <c r="CB224" i="1" s="1"/>
  <c r="BZ240" i="1"/>
  <c r="CB240" i="1" s="1"/>
  <c r="BZ24" i="1"/>
  <c r="CA24" i="1" s="1"/>
  <c r="BZ160" i="1"/>
  <c r="CA160" i="1" s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CH112" i="1"/>
  <c r="CJ112" i="1" s="1"/>
  <c r="CK112" i="1" s="1"/>
  <c r="CI305" i="1"/>
  <c r="CJ305" i="1" s="1"/>
  <c r="CK305" i="1" s="1"/>
  <c r="CH24" i="1"/>
  <c r="CJ24" i="1" s="1"/>
  <c r="CK24" i="1" s="1"/>
  <c r="CH164" i="1"/>
  <c r="CJ164" i="1" s="1"/>
  <c r="CK164" i="1" s="1"/>
  <c r="CI117" i="1"/>
  <c r="CJ117" i="1" s="1"/>
  <c r="CK117" i="1" s="1"/>
  <c r="CH173" i="1"/>
  <c r="CJ173" i="1" s="1"/>
  <c r="CK173" i="1" s="1"/>
  <c r="CH87" i="1"/>
  <c r="CJ87" i="1" s="1"/>
  <c r="CK87" i="1" s="1"/>
  <c r="CI186" i="1"/>
  <c r="CJ186" i="1" s="1"/>
  <c r="CK186" i="1" s="1"/>
  <c r="CI176" i="1"/>
  <c r="CJ176" i="1" s="1"/>
  <c r="CK176" i="1" s="1"/>
  <c r="CH261" i="1"/>
  <c r="CJ261" i="1" s="1"/>
  <c r="CK261" i="1" s="1"/>
  <c r="CH125" i="1"/>
  <c r="CJ125" i="1" s="1"/>
  <c r="CK125" i="1" s="1"/>
  <c r="CI371" i="1"/>
  <c r="CJ371" i="1" s="1"/>
  <c r="CK371" i="1" s="1"/>
  <c r="CH103" i="1"/>
  <c r="CJ103" i="1" s="1"/>
  <c r="CK103" i="1" s="1"/>
  <c r="CH306" i="1"/>
  <c r="CJ306" i="1" s="1"/>
  <c r="CK306" i="1" s="1"/>
  <c r="CH50" i="1"/>
  <c r="CJ50" i="1" s="1"/>
  <c r="CK50" i="1" s="1"/>
  <c r="CI335" i="1"/>
  <c r="CJ335" i="1" s="1"/>
  <c r="CK335" i="1" s="1"/>
  <c r="CH249" i="1"/>
  <c r="CJ249" i="1" s="1"/>
  <c r="CK249" i="1" s="1"/>
  <c r="CH73" i="1"/>
  <c r="CJ73" i="1" s="1"/>
  <c r="CK73" i="1" s="1"/>
  <c r="CH314" i="1"/>
  <c r="CJ314" i="1" s="1"/>
  <c r="CK314" i="1" s="1"/>
  <c r="CH166" i="1"/>
  <c r="CJ166" i="1" s="1"/>
  <c r="CK166" i="1" s="1"/>
  <c r="CI152" i="1"/>
  <c r="CJ152" i="1" s="1"/>
  <c r="CK152" i="1" s="1"/>
  <c r="CH266" i="1"/>
  <c r="CJ266" i="1" s="1"/>
  <c r="CK266" i="1" s="1"/>
  <c r="CH74" i="1"/>
  <c r="CJ74" i="1" s="1"/>
  <c r="CK74" i="1" s="1"/>
  <c r="CH359" i="1"/>
  <c r="CJ359" i="1" s="1"/>
  <c r="CK359" i="1" s="1"/>
  <c r="CI248" i="1"/>
  <c r="CH248" i="1"/>
  <c r="CH244" i="1"/>
  <c r="CI244" i="1"/>
  <c r="CI274" i="1"/>
  <c r="CH274" i="1"/>
  <c r="CI311" i="1"/>
  <c r="CH311" i="1"/>
  <c r="CI253" i="1"/>
  <c r="CJ253" i="1" s="1"/>
  <c r="CK253" i="1" s="1"/>
  <c r="CI113" i="1"/>
  <c r="CJ113" i="1" s="1"/>
  <c r="CK113" i="1" s="1"/>
  <c r="CH375" i="1"/>
  <c r="CJ375" i="1" s="1"/>
  <c r="CK375" i="1" s="1"/>
  <c r="CG139" i="1"/>
  <c r="CH139" i="1" s="1"/>
  <c r="CH330" i="1"/>
  <c r="CJ330" i="1" s="1"/>
  <c r="CK330" i="1" s="1"/>
  <c r="CI245" i="1"/>
  <c r="CJ245" i="1" s="1"/>
  <c r="CK245" i="1" s="1"/>
  <c r="CH114" i="1"/>
  <c r="CJ114" i="1" s="1"/>
  <c r="CK114" i="1" s="1"/>
  <c r="CH368" i="1"/>
  <c r="CJ368" i="1" s="1"/>
  <c r="CK368" i="1" s="1"/>
  <c r="CH276" i="1"/>
  <c r="CJ276" i="1" s="1"/>
  <c r="CK276" i="1" s="1"/>
  <c r="CH32" i="1"/>
  <c r="CJ32" i="1" s="1"/>
  <c r="CK32" i="1" s="1"/>
  <c r="CH207" i="1"/>
  <c r="CJ207" i="1" s="1"/>
  <c r="CK207" i="1" s="1"/>
  <c r="CI16" i="1"/>
  <c r="CJ16" i="1" s="1"/>
  <c r="CK16" i="1" s="1"/>
  <c r="CH240" i="1"/>
  <c r="CJ240" i="1" s="1"/>
  <c r="CK240" i="1" s="1"/>
  <c r="CI94" i="1"/>
  <c r="CJ94" i="1" s="1"/>
  <c r="CK94" i="1" s="1"/>
  <c r="CI138" i="1"/>
  <c r="CJ138" i="1" s="1"/>
  <c r="CK138" i="1" s="1"/>
  <c r="CI75" i="1"/>
  <c r="CJ75" i="1" s="1"/>
  <c r="CK75" i="1" s="1"/>
  <c r="CI133" i="1"/>
  <c r="CJ133" i="1" s="1"/>
  <c r="CK133" i="1" s="1"/>
  <c r="CH265" i="1"/>
  <c r="CJ265" i="1" s="1"/>
  <c r="CK265" i="1" s="1"/>
  <c r="CH70" i="1"/>
  <c r="CJ70" i="1" s="1"/>
  <c r="CK70" i="1" s="1"/>
  <c r="CG356" i="1"/>
  <c r="CH356" i="1" s="1"/>
  <c r="CI242" i="1"/>
  <c r="CJ242" i="1" s="1"/>
  <c r="CK242" i="1" s="1"/>
  <c r="CI364" i="1"/>
  <c r="CJ364" i="1" s="1"/>
  <c r="CK364" i="1" s="1"/>
  <c r="CI178" i="1"/>
  <c r="CH178" i="1"/>
  <c r="CH292" i="1"/>
  <c r="CI292" i="1"/>
  <c r="CH58" i="1"/>
  <c r="CI58" i="1"/>
  <c r="CH115" i="1"/>
  <c r="CI115" i="1"/>
  <c r="CI181" i="1"/>
  <c r="CJ181" i="1" s="1"/>
  <c r="CK181" i="1" s="1"/>
  <c r="CI342" i="1"/>
  <c r="CJ342" i="1" s="1"/>
  <c r="CK342" i="1" s="1"/>
  <c r="CI237" i="1"/>
  <c r="CJ237" i="1" s="1"/>
  <c r="CK237" i="1" s="1"/>
  <c r="CG331" i="1"/>
  <c r="CH331" i="1" s="1"/>
  <c r="CI17" i="1"/>
  <c r="CJ17" i="1" s="1"/>
  <c r="CK17" i="1" s="1"/>
  <c r="CG204" i="1"/>
  <c r="CH204" i="1" s="1"/>
  <c r="CI185" i="1"/>
  <c r="CJ185" i="1" s="1"/>
  <c r="CK185" i="1" s="1"/>
  <c r="CI270" i="1"/>
  <c r="CJ270" i="1" s="1"/>
  <c r="CK270" i="1" s="1"/>
  <c r="CH206" i="1"/>
  <c r="CJ206" i="1" s="1"/>
  <c r="CK206" i="1" s="1"/>
  <c r="CH95" i="1"/>
  <c r="CJ95" i="1" s="1"/>
  <c r="CK95" i="1" s="1"/>
  <c r="CG20" i="1"/>
  <c r="CI20" i="1" s="1"/>
  <c r="CI51" i="1"/>
  <c r="CJ51" i="1" s="1"/>
  <c r="CK51" i="1" s="1"/>
  <c r="CI267" i="1"/>
  <c r="CJ267" i="1" s="1"/>
  <c r="CK267" i="1" s="1"/>
  <c r="CH361" i="1"/>
  <c r="CJ361" i="1" s="1"/>
  <c r="CK361" i="1" s="1"/>
  <c r="CI145" i="1"/>
  <c r="CJ145" i="1" s="1"/>
  <c r="CK145" i="1" s="1"/>
  <c r="CI177" i="1"/>
  <c r="CJ177" i="1" s="1"/>
  <c r="CK177" i="1" s="1"/>
  <c r="CG370" i="1"/>
  <c r="CH370" i="1" s="1"/>
  <c r="CG76" i="1"/>
  <c r="CH76" i="1" s="1"/>
  <c r="CH52" i="1"/>
  <c r="CJ52" i="1" s="1"/>
  <c r="CK52" i="1" s="1"/>
  <c r="CI319" i="1"/>
  <c r="CJ319" i="1" s="1"/>
  <c r="CK319" i="1" s="1"/>
  <c r="CH116" i="1"/>
  <c r="CJ116" i="1" s="1"/>
  <c r="CK116" i="1" s="1"/>
  <c r="CH142" i="1"/>
  <c r="CJ142" i="1" s="1"/>
  <c r="CK142" i="1" s="1"/>
  <c r="CH203" i="1"/>
  <c r="CJ203" i="1" s="1"/>
  <c r="CK203" i="1" s="1"/>
  <c r="CI47" i="1"/>
  <c r="CJ47" i="1" s="1"/>
  <c r="CK47" i="1" s="1"/>
  <c r="CI22" i="1"/>
  <c r="CJ22" i="1" s="1"/>
  <c r="CK22" i="1" s="1"/>
  <c r="CH140" i="1"/>
  <c r="CJ140" i="1" s="1"/>
  <c r="CK140" i="1" s="1"/>
  <c r="CI338" i="1"/>
  <c r="CJ338" i="1" s="1"/>
  <c r="CK338" i="1" s="1"/>
  <c r="CI224" i="1"/>
  <c r="CJ224" i="1" s="1"/>
  <c r="CK224" i="1" s="1"/>
  <c r="CI277" i="1"/>
  <c r="CJ277" i="1" s="1"/>
  <c r="CK277" i="1" s="1"/>
  <c r="CG55" i="1"/>
  <c r="CH55" i="1" s="1"/>
  <c r="CG169" i="1"/>
  <c r="CH169" i="1" s="1"/>
  <c r="CG190" i="1"/>
  <c r="CH190" i="1" s="1"/>
  <c r="CG296" i="1"/>
  <c r="CH296" i="1" s="1"/>
  <c r="CG128" i="1"/>
  <c r="CH128" i="1" s="1"/>
  <c r="CG238" i="1"/>
  <c r="CH238" i="1" s="1"/>
  <c r="CG241" i="1"/>
  <c r="CH241" i="1" s="1"/>
  <c r="CG131" i="1"/>
  <c r="CH131" i="1" s="1"/>
  <c r="CG26" i="1"/>
  <c r="CH26" i="1" s="1"/>
  <c r="CH263" i="1"/>
  <c r="CJ263" i="1" s="1"/>
  <c r="CK263" i="1" s="1"/>
  <c r="CG57" i="1"/>
  <c r="CH57" i="1" s="1"/>
  <c r="CG136" i="1"/>
  <c r="CH136" i="1" s="1"/>
  <c r="CG347" i="1"/>
  <c r="CH347" i="1" s="1"/>
  <c r="CG119" i="1"/>
  <c r="CH119" i="1" s="1"/>
  <c r="CG199" i="1"/>
  <c r="CH199" i="1" s="1"/>
  <c r="CH243" i="1"/>
  <c r="CI243" i="1"/>
  <c r="CH303" i="1"/>
  <c r="CI303" i="1"/>
  <c r="CI216" i="1"/>
  <c r="CH216" i="1"/>
  <c r="CH184" i="1"/>
  <c r="CI184" i="1"/>
  <c r="CI200" i="1"/>
  <c r="CJ200" i="1" s="1"/>
  <c r="CK200" i="1" s="1"/>
  <c r="CG34" i="1"/>
  <c r="CH34" i="1" s="1"/>
  <c r="CG37" i="1"/>
  <c r="CH37" i="1" s="1"/>
  <c r="CG191" i="1"/>
  <c r="CH191" i="1" s="1"/>
  <c r="CG287" i="1"/>
  <c r="CH287" i="1" s="1"/>
  <c r="CI189" i="1"/>
  <c r="CH189" i="1"/>
  <c r="CG111" i="1"/>
  <c r="CH111" i="1" s="1"/>
  <c r="CH146" i="1"/>
  <c r="CI146" i="1"/>
  <c r="CI325" i="1"/>
  <c r="CJ325" i="1" s="1"/>
  <c r="CK325" i="1" s="1"/>
  <c r="CI174" i="1"/>
  <c r="CH174" i="1"/>
  <c r="CG71" i="1"/>
  <c r="CH71" i="1" s="1"/>
  <c r="CI130" i="1"/>
  <c r="CJ130" i="1" s="1"/>
  <c r="CK130" i="1" s="1"/>
  <c r="CG281" i="1"/>
  <c r="CH281" i="1" s="1"/>
  <c r="CG288" i="1"/>
  <c r="CH288" i="1" s="1"/>
  <c r="CI107" i="1"/>
  <c r="CJ107" i="1" s="1"/>
  <c r="CK107" i="1" s="1"/>
  <c r="CI198" i="1"/>
  <c r="CH198" i="1"/>
  <c r="CI85" i="1"/>
  <c r="CJ85" i="1" s="1"/>
  <c r="CK85" i="1" s="1"/>
  <c r="CG182" i="1"/>
  <c r="CH182" i="1" s="1"/>
  <c r="CG343" i="1"/>
  <c r="CH343" i="1" s="1"/>
  <c r="CG300" i="1"/>
  <c r="CH300" i="1" s="1"/>
  <c r="CI210" i="1"/>
  <c r="CH210" i="1"/>
  <c r="CI312" i="1"/>
  <c r="CJ312" i="1" s="1"/>
  <c r="CK312" i="1" s="1"/>
  <c r="CG147" i="1"/>
  <c r="CH147" i="1" s="1"/>
  <c r="CG197" i="1"/>
  <c r="CH197" i="1" s="1"/>
  <c r="CG246" i="1"/>
  <c r="CH246" i="1" s="1"/>
  <c r="CI299" i="1"/>
  <c r="CJ299" i="1" s="1"/>
  <c r="CK299" i="1" s="1"/>
  <c r="CI156" i="1"/>
  <c r="CJ156" i="1" s="1"/>
  <c r="CK156" i="1" s="1"/>
  <c r="CG362" i="1"/>
  <c r="CH362" i="1" s="1"/>
  <c r="CG328" i="1"/>
  <c r="CH328" i="1" s="1"/>
  <c r="CG162" i="1"/>
  <c r="CH162" i="1" s="1"/>
  <c r="CG316" i="1"/>
  <c r="CH316" i="1" s="1"/>
  <c r="CG345" i="1"/>
  <c r="CH345" i="1" s="1"/>
  <c r="CG337" i="1"/>
  <c r="CH337" i="1" s="1"/>
  <c r="CI279" i="1"/>
  <c r="CH279" i="1"/>
  <c r="CG118" i="1"/>
  <c r="CH118" i="1" s="1"/>
  <c r="CG336" i="1"/>
  <c r="CH336" i="1" s="1"/>
  <c r="CI35" i="1"/>
  <c r="CJ35" i="1" s="1"/>
  <c r="CK35" i="1" s="1"/>
  <c r="CI332" i="1"/>
  <c r="CJ332" i="1" s="1"/>
  <c r="CK332" i="1" s="1"/>
  <c r="CH81" i="1"/>
  <c r="CI81" i="1"/>
  <c r="CG228" i="1"/>
  <c r="CH228" i="1" s="1"/>
  <c r="CG327" i="1"/>
  <c r="CH327" i="1" s="1"/>
  <c r="CG104" i="1"/>
  <c r="CH104" i="1" s="1"/>
  <c r="CI257" i="1"/>
  <c r="CJ257" i="1" s="1"/>
  <c r="CK257" i="1" s="1"/>
  <c r="CI172" i="1"/>
  <c r="CJ172" i="1" s="1"/>
  <c r="CK172" i="1" s="1"/>
  <c r="CG315" i="1"/>
  <c r="CH315" i="1" s="1"/>
  <c r="CI179" i="1"/>
  <c r="CH179" i="1"/>
  <c r="CG348" i="1"/>
  <c r="CH348" i="1" s="1"/>
  <c r="CH310" i="1"/>
  <c r="CI310" i="1"/>
  <c r="CI365" i="1"/>
  <c r="CJ365" i="1" s="1"/>
  <c r="CK365" i="1" s="1"/>
  <c r="CG221" i="1"/>
  <c r="CH221" i="1" s="1"/>
  <c r="CG326" i="1"/>
  <c r="CH326" i="1" s="1"/>
  <c r="CH313" i="1"/>
  <c r="CI313" i="1"/>
  <c r="CH121" i="1"/>
  <c r="CI121" i="1"/>
  <c r="CH304" i="1"/>
  <c r="CI304" i="1"/>
  <c r="CG89" i="1"/>
  <c r="CH89" i="1" s="1"/>
  <c r="CI282" i="1"/>
  <c r="CJ282" i="1" s="1"/>
  <c r="CK282" i="1" s="1"/>
  <c r="CG211" i="1"/>
  <c r="CH211" i="1" s="1"/>
  <c r="CG126" i="1"/>
  <c r="CH126" i="1" s="1"/>
  <c r="CG353" i="1"/>
  <c r="CH353" i="1" s="1"/>
  <c r="CG192" i="1"/>
  <c r="CH192" i="1" s="1"/>
  <c r="CH307" i="1"/>
  <c r="CI307" i="1"/>
  <c r="CI344" i="1"/>
  <c r="CJ344" i="1" s="1"/>
  <c r="CK344" i="1" s="1"/>
  <c r="CI222" i="1"/>
  <c r="CJ222" i="1" s="1"/>
  <c r="CK222" i="1" s="1"/>
  <c r="CI205" i="1"/>
  <c r="CJ205" i="1" s="1"/>
  <c r="CK205" i="1" s="1"/>
  <c r="CG159" i="1"/>
  <c r="CH159" i="1" s="1"/>
  <c r="CG33" i="1"/>
  <c r="CH33" i="1" s="1"/>
  <c r="CI226" i="1"/>
  <c r="CJ226" i="1" s="1"/>
  <c r="CK226" i="1" s="1"/>
  <c r="CG91" i="1"/>
  <c r="CH91" i="1" s="1"/>
  <c r="CG77" i="1"/>
  <c r="CH77" i="1" s="1"/>
  <c r="CG175" i="1"/>
  <c r="CH175" i="1" s="1"/>
  <c r="CI132" i="1"/>
  <c r="CJ132" i="1" s="1"/>
  <c r="CK132" i="1" s="1"/>
  <c r="CG289" i="1"/>
  <c r="CH289" i="1" s="1"/>
  <c r="CI150" i="1"/>
  <c r="CJ150" i="1" s="1"/>
  <c r="CK150" i="1" s="1"/>
  <c r="CG46" i="1"/>
  <c r="CH46" i="1" s="1"/>
  <c r="CI23" i="1"/>
  <c r="CJ23" i="1" s="1"/>
  <c r="CK23" i="1" s="1"/>
  <c r="CG109" i="1"/>
  <c r="CH109" i="1" s="1"/>
  <c r="CI56" i="1"/>
  <c r="CH56" i="1"/>
  <c r="CG339" i="1"/>
  <c r="CH339" i="1" s="1"/>
  <c r="CI135" i="1"/>
  <c r="CH135" i="1"/>
  <c r="CI43" i="1"/>
  <c r="CJ43" i="1" s="1"/>
  <c r="CK43" i="1" s="1"/>
  <c r="CG227" i="1"/>
  <c r="CH227" i="1" s="1"/>
  <c r="CG38" i="1"/>
  <c r="CH38" i="1" s="1"/>
  <c r="CG68" i="1"/>
  <c r="CH68" i="1" s="1"/>
  <c r="CI18" i="1"/>
  <c r="CH18" i="1"/>
  <c r="CI153" i="1"/>
  <c r="CJ153" i="1" s="1"/>
  <c r="CK153" i="1" s="1"/>
  <c r="CH318" i="1"/>
  <c r="CJ318" i="1" s="1"/>
  <c r="CK318" i="1" s="1"/>
  <c r="CG49" i="1"/>
  <c r="CH49" i="1" s="1"/>
  <c r="CI255" i="1"/>
  <c r="CJ255" i="1" s="1"/>
  <c r="CK255" i="1" s="1"/>
  <c r="CG346" i="1"/>
  <c r="CH346" i="1" s="1"/>
  <c r="CG252" i="1"/>
  <c r="CH252" i="1" s="1"/>
  <c r="CH82" i="1"/>
  <c r="CI82" i="1"/>
  <c r="CH236" i="1"/>
  <c r="CI236" i="1"/>
  <c r="CG284" i="1"/>
  <c r="CH284" i="1" s="1"/>
  <c r="CI250" i="1"/>
  <c r="CH250" i="1"/>
  <c r="CG84" i="1"/>
  <c r="CH84" i="1" s="1"/>
  <c r="CG260" i="1"/>
  <c r="CH260" i="1" s="1"/>
  <c r="CI167" i="1"/>
  <c r="CJ167" i="1" s="1"/>
  <c r="CK167" i="1" s="1"/>
  <c r="CG27" i="1"/>
  <c r="CH27" i="1" s="1"/>
  <c r="CG294" i="1"/>
  <c r="CH294" i="1" s="1"/>
  <c r="CI41" i="1"/>
  <c r="CJ41" i="1" s="1"/>
  <c r="CK41" i="1" s="1"/>
  <c r="CI93" i="1"/>
  <c r="CJ93" i="1" s="1"/>
  <c r="CK93" i="1" s="1"/>
  <c r="CI171" i="1"/>
  <c r="CJ171" i="1" s="1"/>
  <c r="CK171" i="1" s="1"/>
  <c r="CG168" i="1"/>
  <c r="CH168" i="1" s="1"/>
  <c r="CI351" i="1"/>
  <c r="CJ351" i="1" s="1"/>
  <c r="CK351" i="1" s="1"/>
  <c r="CI64" i="1"/>
  <c r="CJ64" i="1" s="1"/>
  <c r="CK64" i="1" s="1"/>
  <c r="CI217" i="1"/>
  <c r="CJ217" i="1" s="1"/>
  <c r="CK217" i="1" s="1"/>
  <c r="CI92" i="1"/>
  <c r="CJ92" i="1" s="1"/>
  <c r="CK92" i="1" s="1"/>
  <c r="CI275" i="1"/>
  <c r="CJ275" i="1" s="1"/>
  <c r="CK275" i="1" s="1"/>
  <c r="CI341" i="1"/>
  <c r="CJ341" i="1" s="1"/>
  <c r="CK341" i="1" s="1"/>
  <c r="CI230" i="1"/>
  <c r="CJ230" i="1" s="1"/>
  <c r="CK230" i="1" s="1"/>
  <c r="CI96" i="1"/>
  <c r="CJ96" i="1" s="1"/>
  <c r="CK96" i="1" s="1"/>
  <c r="CI98" i="1"/>
  <c r="CJ98" i="1" s="1"/>
  <c r="CK98" i="1" s="1"/>
  <c r="CI212" i="1"/>
  <c r="CJ212" i="1" s="1"/>
  <c r="CK212" i="1" s="1"/>
  <c r="CI366" i="1"/>
  <c r="CJ366" i="1" s="1"/>
  <c r="CK366" i="1" s="1"/>
  <c r="CG264" i="1"/>
  <c r="CH264" i="1" s="1"/>
  <c r="CG374" i="1"/>
  <c r="CH374" i="1" s="1"/>
  <c r="CI160" i="1"/>
  <c r="CJ160" i="1" s="1"/>
  <c r="CK160" i="1" s="1"/>
  <c r="CG157" i="1"/>
  <c r="CH157" i="1" s="1"/>
  <c r="CI105" i="1"/>
  <c r="CJ105" i="1" s="1"/>
  <c r="CK105" i="1" s="1"/>
  <c r="CI298" i="1"/>
  <c r="CJ298" i="1" s="1"/>
  <c r="CK298" i="1" s="1"/>
  <c r="CI229" i="1"/>
  <c r="CJ229" i="1" s="1"/>
  <c r="CK229" i="1" s="1"/>
  <c r="CI367" i="1"/>
  <c r="CJ367" i="1" s="1"/>
  <c r="CK367" i="1" s="1"/>
  <c r="CI363" i="1"/>
  <c r="CJ363" i="1" s="1"/>
  <c r="CK363" i="1" s="1"/>
  <c r="CH69" i="1"/>
  <c r="CJ69" i="1" s="1"/>
  <c r="CK69" i="1" s="1"/>
  <c r="CI66" i="1"/>
  <c r="CJ66" i="1" s="1"/>
  <c r="CK66" i="1" s="1"/>
  <c r="CI101" i="1"/>
  <c r="CJ101" i="1" s="1"/>
  <c r="CK101" i="1" s="1"/>
  <c r="CI148" i="1"/>
  <c r="CJ148" i="1" s="1"/>
  <c r="CK148" i="1" s="1"/>
  <c r="CI143" i="1"/>
  <c r="CJ143" i="1" s="1"/>
  <c r="CK143" i="1" s="1"/>
  <c r="CG232" i="1"/>
  <c r="CH232" i="1" s="1"/>
  <c r="CG163" i="1"/>
  <c r="CH163" i="1" s="1"/>
  <c r="CH180" i="1"/>
  <c r="CJ180" i="1" s="1"/>
  <c r="CK180" i="1" s="1"/>
  <c r="CI202" i="1"/>
  <c r="CJ202" i="1" s="1"/>
  <c r="CK202" i="1" s="1"/>
  <c r="CI67" i="1"/>
  <c r="CJ67" i="1" s="1"/>
  <c r="CK67" i="1" s="1"/>
  <c r="CI124" i="1"/>
  <c r="CJ124" i="1" s="1"/>
  <c r="CK124" i="1" s="1"/>
  <c r="CI269" i="1"/>
  <c r="CJ269" i="1" s="1"/>
  <c r="CK269" i="1" s="1"/>
  <c r="CI137" i="1"/>
  <c r="CJ137" i="1" s="1"/>
  <c r="CK137" i="1" s="1"/>
  <c r="CI209" i="1"/>
  <c r="CJ209" i="1" s="1"/>
  <c r="CK209" i="1" s="1"/>
  <c r="CI90" i="1"/>
  <c r="CJ90" i="1" s="1"/>
  <c r="CK90" i="1" s="1"/>
  <c r="CI141" i="1"/>
  <c r="CJ141" i="1" s="1"/>
  <c r="CK141" i="1" s="1"/>
  <c r="CI358" i="1"/>
  <c r="CJ358" i="1" s="1"/>
  <c r="CK358" i="1" s="1"/>
  <c r="CI334" i="1"/>
  <c r="CJ334" i="1" s="1"/>
  <c r="CK334" i="1" s="1"/>
  <c r="CG256" i="1"/>
  <c r="CH256" i="1" s="1"/>
  <c r="CH349" i="1"/>
  <c r="CJ349" i="1" s="1"/>
  <c r="CK349" i="1" s="1"/>
  <c r="CH31" i="1"/>
  <c r="CJ31" i="1" s="1"/>
  <c r="CK31" i="1" s="1"/>
  <c r="CI88" i="1"/>
  <c r="CJ88" i="1" s="1"/>
  <c r="CK88" i="1" s="1"/>
  <c r="CI293" i="1"/>
  <c r="CJ293" i="1" s="1"/>
  <c r="CK293" i="1" s="1"/>
  <c r="CI86" i="1"/>
  <c r="CJ86" i="1" s="1"/>
  <c r="CK86" i="1" s="1"/>
  <c r="CH122" i="1"/>
  <c r="CJ122" i="1" s="1"/>
  <c r="CK122" i="1" s="1"/>
  <c r="CG99" i="1"/>
  <c r="CH99" i="1" s="1"/>
  <c r="CI97" i="1"/>
  <c r="CJ97" i="1" s="1"/>
  <c r="CK97" i="1" s="1"/>
  <c r="CI290" i="1"/>
  <c r="CJ290" i="1" s="1"/>
  <c r="CK290" i="1" s="1"/>
  <c r="CI155" i="1"/>
  <c r="CJ155" i="1" s="1"/>
  <c r="CK155" i="1" s="1"/>
  <c r="CI213" i="1"/>
  <c r="CJ213" i="1" s="1"/>
  <c r="CK213" i="1" s="1"/>
  <c r="CI317" i="1"/>
  <c r="CJ317" i="1" s="1"/>
  <c r="CK317" i="1" s="1"/>
  <c r="CG234" i="1"/>
  <c r="CH234" i="1" s="1"/>
  <c r="CI235" i="1"/>
  <c r="CJ235" i="1" s="1"/>
  <c r="CK235" i="1" s="1"/>
  <c r="CH352" i="1"/>
  <c r="CJ352" i="1" s="1"/>
  <c r="CK352" i="1" s="1"/>
  <c r="CG45" i="1"/>
  <c r="CH45" i="1" s="1"/>
  <c r="CH120" i="1"/>
  <c r="CJ120" i="1" s="1"/>
  <c r="CK120" i="1" s="1"/>
  <c r="CI297" i="1"/>
  <c r="CJ297" i="1" s="1"/>
  <c r="CK297" i="1" s="1"/>
  <c r="CI268" i="1"/>
  <c r="CJ268" i="1" s="1"/>
  <c r="CK268" i="1" s="1"/>
  <c r="CI355" i="1"/>
  <c r="CJ355" i="1" s="1"/>
  <c r="CK355" i="1" s="1"/>
  <c r="CI286" i="1"/>
  <c r="CJ286" i="1" s="1"/>
  <c r="CK286" i="1" s="1"/>
  <c r="CG144" i="1"/>
  <c r="CH144" i="1" s="1"/>
  <c r="CH273" i="1"/>
  <c r="CJ273" i="1" s="1"/>
  <c r="CK273" i="1" s="1"/>
  <c r="CI295" i="1"/>
  <c r="CJ295" i="1" s="1"/>
  <c r="CK295" i="1" s="1"/>
  <c r="CG183" i="1"/>
  <c r="CH183" i="1" s="1"/>
  <c r="CI65" i="1"/>
  <c r="CJ65" i="1" s="1"/>
  <c r="CK65" i="1" s="1"/>
  <c r="CI258" i="1"/>
  <c r="CJ258" i="1" s="1"/>
  <c r="CK258" i="1" s="1"/>
  <c r="CI123" i="1"/>
  <c r="CJ123" i="1" s="1"/>
  <c r="CK123" i="1" s="1"/>
  <c r="CI149" i="1"/>
  <c r="CJ149" i="1" s="1"/>
  <c r="CK149" i="1" s="1"/>
  <c r="CI350" i="1"/>
  <c r="CJ350" i="1" s="1"/>
  <c r="CK350" i="1" s="1"/>
  <c r="CI48" i="1"/>
  <c r="CJ48" i="1" s="1"/>
  <c r="CK48" i="1" s="1"/>
  <c r="CI201" i="1"/>
  <c r="CJ201" i="1" s="1"/>
  <c r="CK201" i="1" s="1"/>
  <c r="CI60" i="1"/>
  <c r="CJ60" i="1" s="1"/>
  <c r="CK60" i="1" s="1"/>
  <c r="CI259" i="1"/>
  <c r="CJ259" i="1" s="1"/>
  <c r="CK259" i="1" s="1"/>
  <c r="CI301" i="1"/>
  <c r="CJ301" i="1" s="1"/>
  <c r="CK301" i="1" s="1"/>
  <c r="CH19" i="1"/>
  <c r="CJ19" i="1" s="1"/>
  <c r="CK19" i="1" s="1"/>
  <c r="CG78" i="1"/>
  <c r="CH78" i="1" s="1"/>
  <c r="CI233" i="1"/>
  <c r="CJ233" i="1" s="1"/>
  <c r="CK233" i="1" s="1"/>
  <c r="CI59" i="1"/>
  <c r="CJ59" i="1" s="1"/>
  <c r="CK59" i="1" s="1"/>
  <c r="CI62" i="1"/>
  <c r="CJ62" i="1" s="1"/>
  <c r="CK62" i="1" s="1"/>
  <c r="CI154" i="1"/>
  <c r="CJ154" i="1" s="1"/>
  <c r="CK154" i="1" s="1"/>
  <c r="CI308" i="1"/>
  <c r="CJ308" i="1" s="1"/>
  <c r="CK308" i="1" s="1"/>
  <c r="CG321" i="1"/>
  <c r="CH321" i="1" s="1"/>
  <c r="CG195" i="1"/>
  <c r="CH195" i="1" s="1"/>
  <c r="CG214" i="1"/>
  <c r="CH214" i="1" s="1"/>
  <c r="CI161" i="1"/>
  <c r="CJ161" i="1" s="1"/>
  <c r="CK161" i="1" s="1"/>
  <c r="CI354" i="1"/>
  <c r="CJ354" i="1" s="1"/>
  <c r="CK354" i="1" s="1"/>
  <c r="CI219" i="1"/>
  <c r="CJ219" i="1" s="1"/>
  <c r="CK219" i="1" s="1"/>
  <c r="CI158" i="1"/>
  <c r="CJ158" i="1" s="1"/>
  <c r="CK158" i="1" s="1"/>
  <c r="CI369" i="1"/>
  <c r="CJ369" i="1" s="1"/>
  <c r="CK369" i="1" s="1"/>
  <c r="CG239" i="1"/>
  <c r="CH239" i="1" s="1"/>
  <c r="CI42" i="1"/>
  <c r="CJ42" i="1" s="1"/>
  <c r="CK42" i="1" s="1"/>
  <c r="CI53" i="1"/>
  <c r="CJ53" i="1" s="1"/>
  <c r="CK53" i="1" s="1"/>
  <c r="CI100" i="1"/>
  <c r="CJ100" i="1" s="1"/>
  <c r="CK100" i="1" s="1"/>
  <c r="CI223" i="1"/>
  <c r="CJ223" i="1" s="1"/>
  <c r="CK223" i="1" s="1"/>
  <c r="CI333" i="1"/>
  <c r="CJ333" i="1" s="1"/>
  <c r="CK333" i="1" s="1"/>
  <c r="CG208" i="1"/>
  <c r="CH208" i="1" s="1"/>
  <c r="CI110" i="1"/>
  <c r="CJ110" i="1" s="1"/>
  <c r="CK110" i="1" s="1"/>
  <c r="CI129" i="1"/>
  <c r="CJ129" i="1" s="1"/>
  <c r="CK129" i="1" s="1"/>
  <c r="CI322" i="1"/>
  <c r="CJ322" i="1" s="1"/>
  <c r="CK322" i="1" s="1"/>
  <c r="CI187" i="1"/>
  <c r="CJ187" i="1" s="1"/>
  <c r="CK187" i="1" s="1"/>
  <c r="CI30" i="1"/>
  <c r="CJ30" i="1" s="1"/>
  <c r="CK30" i="1" s="1"/>
  <c r="CI247" i="1"/>
  <c r="CJ247" i="1" s="1"/>
  <c r="CK247" i="1" s="1"/>
  <c r="CG63" i="1"/>
  <c r="CH63" i="1" s="1"/>
  <c r="CI188" i="1"/>
  <c r="CJ188" i="1" s="1"/>
  <c r="CK188" i="1" s="1"/>
  <c r="CI323" i="1"/>
  <c r="CJ323" i="1" s="1"/>
  <c r="CK323" i="1" s="1"/>
  <c r="CI271" i="1"/>
  <c r="CJ271" i="1" s="1"/>
  <c r="CK271" i="1" s="1"/>
  <c r="CG231" i="1"/>
  <c r="CH231" i="1" s="1"/>
  <c r="CI80" i="1"/>
  <c r="CJ80" i="1" s="1"/>
  <c r="CK80" i="1" s="1"/>
  <c r="CI291" i="1"/>
  <c r="CJ291" i="1" s="1"/>
  <c r="CK291" i="1" s="1"/>
  <c r="CI254" i="1"/>
  <c r="CJ254" i="1" s="1"/>
  <c r="CK254" i="1" s="1"/>
  <c r="CI25" i="1"/>
  <c r="CJ25" i="1" s="1"/>
  <c r="CK25" i="1" s="1"/>
  <c r="CI218" i="1"/>
  <c r="CJ218" i="1" s="1"/>
  <c r="CK218" i="1" s="1"/>
  <c r="CI83" i="1"/>
  <c r="CJ83" i="1" s="1"/>
  <c r="CK83" i="1" s="1"/>
  <c r="CI79" i="1"/>
  <c r="CJ79" i="1" s="1"/>
  <c r="CK79" i="1" s="1"/>
  <c r="CG320" i="1"/>
  <c r="CH320" i="1" s="1"/>
  <c r="CI151" i="1"/>
  <c r="CJ151" i="1" s="1"/>
  <c r="CK151" i="1" s="1"/>
  <c r="CG285" i="1"/>
  <c r="CH285" i="1" s="1"/>
  <c r="CI72" i="1"/>
  <c r="CJ72" i="1" s="1"/>
  <c r="CK72" i="1" s="1"/>
  <c r="CI225" i="1"/>
  <c r="CJ225" i="1" s="1"/>
  <c r="CK225" i="1" s="1"/>
  <c r="CI108" i="1"/>
  <c r="CJ108" i="1" s="1"/>
  <c r="CK108" i="1" s="1"/>
  <c r="CI283" i="1"/>
  <c r="CJ283" i="1" s="1"/>
  <c r="CK283" i="1" s="1"/>
  <c r="CI357" i="1"/>
  <c r="CJ357" i="1" s="1"/>
  <c r="CK357" i="1" s="1"/>
  <c r="CI262" i="1"/>
  <c r="CJ262" i="1" s="1"/>
  <c r="CK262" i="1" s="1"/>
  <c r="CG196" i="1"/>
  <c r="CH196" i="1" s="1"/>
  <c r="CG309" i="1"/>
  <c r="CH309" i="1" s="1"/>
  <c r="CG61" i="1"/>
  <c r="CH61" i="1" s="1"/>
  <c r="CG280" i="1"/>
  <c r="CH280" i="1" s="1"/>
  <c r="CI28" i="1"/>
  <c r="CJ28" i="1" s="1"/>
  <c r="CK28" i="1" s="1"/>
  <c r="CG194" i="1"/>
  <c r="CH194" i="1" s="1"/>
  <c r="CI272" i="1"/>
  <c r="CJ272" i="1" s="1"/>
  <c r="CK272" i="1" s="1"/>
  <c r="CI106" i="1"/>
  <c r="CJ106" i="1" s="1"/>
  <c r="CK106" i="1" s="1"/>
  <c r="CI165" i="1"/>
  <c r="CJ165" i="1" s="1"/>
  <c r="CK165" i="1" s="1"/>
  <c r="CI220" i="1"/>
  <c r="CJ220" i="1" s="1"/>
  <c r="CK220" i="1" s="1"/>
  <c r="CI39" i="1"/>
  <c r="CJ39" i="1" s="1"/>
  <c r="CK39" i="1" s="1"/>
  <c r="CI54" i="1"/>
  <c r="CJ54" i="1" s="1"/>
  <c r="CK54" i="1" s="1"/>
  <c r="CI102" i="1"/>
  <c r="CJ102" i="1" s="1"/>
  <c r="CK102" i="1" s="1"/>
  <c r="CG372" i="1"/>
  <c r="CH372" i="1" s="1"/>
  <c r="CI40" i="1"/>
  <c r="CJ40" i="1" s="1"/>
  <c r="CK40" i="1" s="1"/>
  <c r="CI193" i="1"/>
  <c r="CJ193" i="1" s="1"/>
  <c r="CK193" i="1" s="1"/>
  <c r="CI44" i="1"/>
  <c r="CJ44" i="1" s="1"/>
  <c r="CK44" i="1" s="1"/>
  <c r="CI251" i="1"/>
  <c r="CJ251" i="1" s="1"/>
  <c r="CK251" i="1" s="1"/>
  <c r="CI278" i="1"/>
  <c r="CJ278" i="1" s="1"/>
  <c r="CK278" i="1" s="1"/>
  <c r="CI134" i="1"/>
  <c r="CJ134" i="1" s="1"/>
  <c r="CK134" i="1" s="1"/>
  <c r="CG360" i="1"/>
  <c r="CH360" i="1" s="1"/>
  <c r="CH36" i="1"/>
  <c r="CJ36" i="1" s="1"/>
  <c r="CK36" i="1" s="1"/>
  <c r="CG324" i="1"/>
  <c r="CH324" i="1" s="1"/>
  <c r="CG373" i="1"/>
  <c r="CH373" i="1" s="1"/>
  <c r="CG215" i="1"/>
  <c r="CH215" i="1" s="1"/>
  <c r="CI329" i="1"/>
  <c r="CJ329" i="1" s="1"/>
  <c r="CK329" i="1" s="1"/>
  <c r="CI340" i="1"/>
  <c r="CJ340" i="1" s="1"/>
  <c r="CK340" i="1" s="1"/>
  <c r="CG29" i="1"/>
  <c r="CH29" i="1" s="1"/>
  <c r="CI127" i="1"/>
  <c r="CJ127" i="1" s="1"/>
  <c r="CK127" i="1" s="1"/>
  <c r="CG302" i="1"/>
  <c r="CH302" i="1" s="1"/>
  <c r="CH15" i="1"/>
  <c r="CJ15" i="1" s="1"/>
  <c r="CK15" i="1" s="1"/>
  <c r="CB214" i="1"/>
  <c r="CC214" i="1" s="1"/>
  <c r="CB15" i="1"/>
  <c r="CC15" i="1" s="1"/>
  <c r="BX11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CA190" i="1" l="1"/>
  <c r="CC190" i="1" s="1"/>
  <c r="CA215" i="1"/>
  <c r="CC215" i="1" s="1"/>
  <c r="CA227" i="1"/>
  <c r="CC227" i="1" s="1"/>
  <c r="CB38" i="1"/>
  <c r="CC38" i="1" s="1"/>
  <c r="CB355" i="1"/>
  <c r="CC355" i="1" s="1"/>
  <c r="CB46" i="1"/>
  <c r="CC46" i="1" s="1"/>
  <c r="CB210" i="1"/>
  <c r="CC210" i="1" s="1"/>
  <c r="CA342" i="1"/>
  <c r="CC342" i="1" s="1"/>
  <c r="CA35" i="1"/>
  <c r="CC35" i="1" s="1"/>
  <c r="CB220" i="1"/>
  <c r="CC220" i="1" s="1"/>
  <c r="CB132" i="1"/>
  <c r="CC132" i="1" s="1"/>
  <c r="CA291" i="1"/>
  <c r="CC291" i="1" s="1"/>
  <c r="CA354" i="1"/>
  <c r="CC354" i="1" s="1"/>
  <c r="CA244" i="1"/>
  <c r="CC244" i="1" s="1"/>
  <c r="CB159" i="1"/>
  <c r="CC159" i="1" s="1"/>
  <c r="CB58" i="1"/>
  <c r="CC58" i="1" s="1"/>
  <c r="CA353" i="1"/>
  <c r="CC353" i="1" s="1"/>
  <c r="CB285" i="1"/>
  <c r="CC285" i="1" s="1"/>
  <c r="CB126" i="1"/>
  <c r="CC126" i="1" s="1"/>
  <c r="CA277" i="1"/>
  <c r="CC277" i="1" s="1"/>
  <c r="CB124" i="1"/>
  <c r="CC124" i="1" s="1"/>
  <c r="CA229" i="1"/>
  <c r="CC229" i="1" s="1"/>
  <c r="CB181" i="1"/>
  <c r="CC181" i="1" s="1"/>
  <c r="CB49" i="1"/>
  <c r="CC49" i="1" s="1"/>
  <c r="CA345" i="1"/>
  <c r="CC345" i="1" s="1"/>
  <c r="CA261" i="1"/>
  <c r="CC261" i="1" s="1"/>
  <c r="CB53" i="1"/>
  <c r="CC53" i="1" s="1"/>
  <c r="CB306" i="1"/>
  <c r="CC306" i="1" s="1"/>
  <c r="CB311" i="1"/>
  <c r="CC311" i="1" s="1"/>
  <c r="CB180" i="1"/>
  <c r="CC180" i="1" s="1"/>
  <c r="CA239" i="1"/>
  <c r="CC239" i="1" s="1"/>
  <c r="CB316" i="1"/>
  <c r="CC316" i="1" s="1"/>
  <c r="CB373" i="1"/>
  <c r="CC373" i="1" s="1"/>
  <c r="CB369" i="1"/>
  <c r="CC369" i="1" s="1"/>
  <c r="CB146" i="1"/>
  <c r="CC146" i="1" s="1"/>
  <c r="CA241" i="1"/>
  <c r="CC241" i="1" s="1"/>
  <c r="CA243" i="1"/>
  <c r="CC243" i="1" s="1"/>
  <c r="CA223" i="1"/>
  <c r="CC223" i="1" s="1"/>
  <c r="CB158" i="1"/>
  <c r="CC158" i="1" s="1"/>
  <c r="CB156" i="1"/>
  <c r="CC156" i="1" s="1"/>
  <c r="CB31" i="1"/>
  <c r="CC31" i="1" s="1"/>
  <c r="CB343" i="1"/>
  <c r="CC343" i="1" s="1"/>
  <c r="CB332" i="1"/>
  <c r="CC332" i="1" s="1"/>
  <c r="CB27" i="1"/>
  <c r="CC27" i="1" s="1"/>
  <c r="CA299" i="1"/>
  <c r="CC299" i="1" s="1"/>
  <c r="CA62" i="1"/>
  <c r="CC62" i="1" s="1"/>
  <c r="CB313" i="1"/>
  <c r="CC313" i="1" s="1"/>
  <c r="CA211" i="1"/>
  <c r="CC211" i="1" s="1"/>
  <c r="CA50" i="1"/>
  <c r="CC50" i="1" s="1"/>
  <c r="CB165" i="1"/>
  <c r="CC165" i="1" s="1"/>
  <c r="CB286" i="1"/>
  <c r="CC286" i="1" s="1"/>
  <c r="CB346" i="1"/>
  <c r="CC346" i="1" s="1"/>
  <c r="CB219" i="1"/>
  <c r="CC219" i="1" s="1"/>
  <c r="CB68" i="1"/>
  <c r="CC68" i="1" s="1"/>
  <c r="CB148" i="1"/>
  <c r="CC148" i="1" s="1"/>
  <c r="CA236" i="1"/>
  <c r="CC236" i="1" s="1"/>
  <c r="CB326" i="1"/>
  <c r="CC326" i="1" s="1"/>
  <c r="CA303" i="1"/>
  <c r="CC303" i="1" s="1"/>
  <c r="CA143" i="1"/>
  <c r="CC143" i="1" s="1"/>
  <c r="CB118" i="1"/>
  <c r="CC118" i="1" s="1"/>
  <c r="CA103" i="1"/>
  <c r="CC103" i="1" s="1"/>
  <c r="CB195" i="1"/>
  <c r="CC195" i="1" s="1"/>
  <c r="CB254" i="1"/>
  <c r="CC254" i="1" s="1"/>
  <c r="CB131" i="1"/>
  <c r="CC131" i="1" s="1"/>
  <c r="CB115" i="1"/>
  <c r="CC115" i="1" s="1"/>
  <c r="CB338" i="1"/>
  <c r="CC338" i="1" s="1"/>
  <c r="CB337" i="1"/>
  <c r="CC337" i="1" s="1"/>
  <c r="CA122" i="1"/>
  <c r="CC122" i="1" s="1"/>
  <c r="CB125" i="1"/>
  <c r="CC125" i="1" s="1"/>
  <c r="CB226" i="1"/>
  <c r="CC226" i="1" s="1"/>
  <c r="CB39" i="1"/>
  <c r="CC39" i="1" s="1"/>
  <c r="CB130" i="1"/>
  <c r="CC130" i="1" s="1"/>
  <c r="CB209" i="1"/>
  <c r="CC209" i="1" s="1"/>
  <c r="CA22" i="1"/>
  <c r="CC22" i="1" s="1"/>
  <c r="CA66" i="1"/>
  <c r="CC66" i="1" s="1"/>
  <c r="CA191" i="1"/>
  <c r="CC191" i="1" s="1"/>
  <c r="CA367" i="1"/>
  <c r="CC367" i="1" s="1"/>
  <c r="CA111" i="1"/>
  <c r="CC111" i="1" s="1"/>
  <c r="CA140" i="1"/>
  <c r="CC140" i="1" s="1"/>
  <c r="CB182" i="1"/>
  <c r="CC182" i="1" s="1"/>
  <c r="CA250" i="1"/>
  <c r="CC250" i="1" s="1"/>
  <c r="CA79" i="1"/>
  <c r="CC79" i="1" s="1"/>
  <c r="CA270" i="1"/>
  <c r="CC270" i="1" s="1"/>
  <c r="CA169" i="1"/>
  <c r="CC169" i="1" s="1"/>
  <c r="CB113" i="1"/>
  <c r="CC113" i="1" s="1"/>
  <c r="CA273" i="1"/>
  <c r="CC273" i="1" s="1"/>
  <c r="CA207" i="1"/>
  <c r="CC207" i="1" s="1"/>
  <c r="CB218" i="1"/>
  <c r="CC218" i="1" s="1"/>
  <c r="CA269" i="1"/>
  <c r="CC269" i="1" s="1"/>
  <c r="CB83" i="1"/>
  <c r="CC83" i="1" s="1"/>
  <c r="CA133" i="1"/>
  <c r="CC133" i="1" s="1"/>
  <c r="CA329" i="1"/>
  <c r="CC329" i="1" s="1"/>
  <c r="CB350" i="1"/>
  <c r="CC350" i="1" s="1"/>
  <c r="CA302" i="1"/>
  <c r="CC302" i="1" s="1"/>
  <c r="CB144" i="1"/>
  <c r="CC144" i="1" s="1"/>
  <c r="CA29" i="1"/>
  <c r="CC29" i="1" s="1"/>
  <c r="CB87" i="1"/>
  <c r="CC87" i="1" s="1"/>
  <c r="CB86" i="1"/>
  <c r="CC86" i="1" s="1"/>
  <c r="CA282" i="1"/>
  <c r="CC282" i="1" s="1"/>
  <c r="CB344" i="1"/>
  <c r="CC344" i="1" s="1"/>
  <c r="CA101" i="1"/>
  <c r="CC101" i="1" s="1"/>
  <c r="CA372" i="1"/>
  <c r="CC372" i="1" s="1"/>
  <c r="CB371" i="1"/>
  <c r="CC371" i="1" s="1"/>
  <c r="CB54" i="1"/>
  <c r="CC54" i="1" s="1"/>
  <c r="CB136" i="1"/>
  <c r="CC136" i="1" s="1"/>
  <c r="CA322" i="1"/>
  <c r="CC322" i="1" s="1"/>
  <c r="CA157" i="1"/>
  <c r="CC157" i="1" s="1"/>
  <c r="CB196" i="1"/>
  <c r="CC196" i="1" s="1"/>
  <c r="CB309" i="1"/>
  <c r="CC309" i="1" s="1"/>
  <c r="CB292" i="1"/>
  <c r="CC292" i="1" s="1"/>
  <c r="CA41" i="1"/>
  <c r="CC41" i="1" s="1"/>
  <c r="CB348" i="1"/>
  <c r="CC348" i="1" s="1"/>
  <c r="CA268" i="1"/>
  <c r="CC268" i="1" s="1"/>
  <c r="CA179" i="1"/>
  <c r="CC179" i="1" s="1"/>
  <c r="CB374" i="1"/>
  <c r="CC374" i="1" s="1"/>
  <c r="CB141" i="1"/>
  <c r="CC141" i="1" s="1"/>
  <c r="CA356" i="1"/>
  <c r="CC356" i="1" s="1"/>
  <c r="CB174" i="1"/>
  <c r="CC174" i="1" s="1"/>
  <c r="CA173" i="1"/>
  <c r="CC173" i="1" s="1"/>
  <c r="CB279" i="1"/>
  <c r="CC279" i="1" s="1"/>
  <c r="CB197" i="1"/>
  <c r="CC197" i="1" s="1"/>
  <c r="CA361" i="1"/>
  <c r="CC361" i="1" s="1"/>
  <c r="CA266" i="1"/>
  <c r="CC266" i="1" s="1"/>
  <c r="CA99" i="1"/>
  <c r="CC99" i="1" s="1"/>
  <c r="CB206" i="1"/>
  <c r="CC206" i="1" s="1"/>
  <c r="CA284" i="1"/>
  <c r="CC284" i="1" s="1"/>
  <c r="CB75" i="1"/>
  <c r="CC75" i="1" s="1"/>
  <c r="CA151" i="1"/>
  <c r="CC151" i="1" s="1"/>
  <c r="CB307" i="1"/>
  <c r="CC307" i="1" s="1"/>
  <c r="CA301" i="1"/>
  <c r="CC301" i="1" s="1"/>
  <c r="CA331" i="1"/>
  <c r="CC331" i="1" s="1"/>
  <c r="CA212" i="1"/>
  <c r="CC212" i="1" s="1"/>
  <c r="CB47" i="1"/>
  <c r="CC47" i="1" s="1"/>
  <c r="CA221" i="1"/>
  <c r="CC221" i="1" s="1"/>
  <c r="CA77" i="1"/>
  <c r="CC77" i="1" s="1"/>
  <c r="CA213" i="1"/>
  <c r="CC213" i="1" s="1"/>
  <c r="CA154" i="1"/>
  <c r="CC154" i="1" s="1"/>
  <c r="CA359" i="1"/>
  <c r="CC359" i="1" s="1"/>
  <c r="CB370" i="1"/>
  <c r="CC370" i="1" s="1"/>
  <c r="CA147" i="1"/>
  <c r="CC147" i="1" s="1"/>
  <c r="CA102" i="1"/>
  <c r="CC102" i="1" s="1"/>
  <c r="CA238" i="1"/>
  <c r="CC238" i="1" s="1"/>
  <c r="CA84" i="1"/>
  <c r="CC84" i="1" s="1"/>
  <c r="CA295" i="1"/>
  <c r="CC295" i="1" s="1"/>
  <c r="CB259" i="1"/>
  <c r="CC259" i="1" s="1"/>
  <c r="CB178" i="1"/>
  <c r="CC178" i="1" s="1"/>
  <c r="CB127" i="1"/>
  <c r="CC127" i="1" s="1"/>
  <c r="CA246" i="1"/>
  <c r="CC246" i="1" s="1"/>
  <c r="CB52" i="1"/>
  <c r="CC52" i="1" s="1"/>
  <c r="CB230" i="1"/>
  <c r="CC230" i="1" s="1"/>
  <c r="CB281" i="1"/>
  <c r="CC281" i="1" s="1"/>
  <c r="CB341" i="1"/>
  <c r="CC341" i="1" s="1"/>
  <c r="CA333" i="1"/>
  <c r="CC333" i="1" s="1"/>
  <c r="CA222" i="1"/>
  <c r="CC222" i="1" s="1"/>
  <c r="CA300" i="1"/>
  <c r="CC300" i="1" s="1"/>
  <c r="CA155" i="1"/>
  <c r="CC155" i="1" s="1"/>
  <c r="CA305" i="1"/>
  <c r="CC305" i="1" s="1"/>
  <c r="CB339" i="1"/>
  <c r="CC339" i="1" s="1"/>
  <c r="CA255" i="1"/>
  <c r="CC255" i="1" s="1"/>
  <c r="CB364" i="1"/>
  <c r="CC364" i="1" s="1"/>
  <c r="CA366" i="1"/>
  <c r="CC366" i="1" s="1"/>
  <c r="CB235" i="1"/>
  <c r="CC235" i="1" s="1"/>
  <c r="CA26" i="1"/>
  <c r="CC26" i="1" s="1"/>
  <c r="CA70" i="1"/>
  <c r="CC70" i="1" s="1"/>
  <c r="CB110" i="1"/>
  <c r="CC110" i="1" s="1"/>
  <c r="CB274" i="1"/>
  <c r="CC274" i="1" s="1"/>
  <c r="CB90" i="1"/>
  <c r="CC90" i="1" s="1"/>
  <c r="CA327" i="1"/>
  <c r="CC327" i="1" s="1"/>
  <c r="CB202" i="1"/>
  <c r="CC202" i="1" s="1"/>
  <c r="CB317" i="1"/>
  <c r="CC317" i="1" s="1"/>
  <c r="CB365" i="1"/>
  <c r="CC365" i="1" s="1"/>
  <c r="CB93" i="1"/>
  <c r="CC93" i="1" s="1"/>
  <c r="CA135" i="1"/>
  <c r="CC135" i="1" s="1"/>
  <c r="CB258" i="1"/>
  <c r="CC258" i="1" s="1"/>
  <c r="CA253" i="1"/>
  <c r="CC253" i="1" s="1"/>
  <c r="CB96" i="1"/>
  <c r="CC96" i="1" s="1"/>
  <c r="CA23" i="1"/>
  <c r="CC23" i="1" s="1"/>
  <c r="CA63" i="1"/>
  <c r="CC63" i="1" s="1"/>
  <c r="CA205" i="1"/>
  <c r="CC205" i="1" s="1"/>
  <c r="CA336" i="1"/>
  <c r="CC336" i="1" s="1"/>
  <c r="CA109" i="1"/>
  <c r="CC109" i="1" s="1"/>
  <c r="CA265" i="1"/>
  <c r="CC265" i="1" s="1"/>
  <c r="CA375" i="1"/>
  <c r="CC375" i="1" s="1"/>
  <c r="CA203" i="1"/>
  <c r="CC203" i="1" s="1"/>
  <c r="CA20" i="1"/>
  <c r="CC20" i="1" s="1"/>
  <c r="CB55" i="1"/>
  <c r="CC55" i="1" s="1"/>
  <c r="CB183" i="1"/>
  <c r="CC183" i="1" s="1"/>
  <c r="CA71" i="1"/>
  <c r="CC71" i="1" s="1"/>
  <c r="CB247" i="1"/>
  <c r="CC247" i="1" s="1"/>
  <c r="CA193" i="1"/>
  <c r="CC193" i="1" s="1"/>
  <c r="CB275" i="1"/>
  <c r="CC275" i="1" s="1"/>
  <c r="CB324" i="1"/>
  <c r="CC324" i="1" s="1"/>
  <c r="CA51" i="1"/>
  <c r="CC51" i="1" s="1"/>
  <c r="CA245" i="1"/>
  <c r="CC245" i="1" s="1"/>
  <c r="CB65" i="1"/>
  <c r="CC65" i="1" s="1"/>
  <c r="CA363" i="1"/>
  <c r="CC363" i="1" s="1"/>
  <c r="CA100" i="1"/>
  <c r="CC100" i="1" s="1"/>
  <c r="CB91" i="1"/>
  <c r="CC91" i="1" s="1"/>
  <c r="CA21" i="1"/>
  <c r="CC21" i="1" s="1"/>
  <c r="CA123" i="1"/>
  <c r="CC123" i="1" s="1"/>
  <c r="CA349" i="1"/>
  <c r="CC349" i="1" s="1"/>
  <c r="CA69" i="1"/>
  <c r="CC69" i="1" s="1"/>
  <c r="CB60" i="1"/>
  <c r="CC60" i="1" s="1"/>
  <c r="CB172" i="1"/>
  <c r="CC172" i="1" s="1"/>
  <c r="CB92" i="1"/>
  <c r="CC92" i="1" s="1"/>
  <c r="CA116" i="1"/>
  <c r="CC116" i="1" s="1"/>
  <c r="CB166" i="1"/>
  <c r="CC166" i="1" s="1"/>
  <c r="CA188" i="1"/>
  <c r="CC188" i="1" s="1"/>
  <c r="CB323" i="1"/>
  <c r="CC323" i="1" s="1"/>
  <c r="CB186" i="1"/>
  <c r="CC186" i="1" s="1"/>
  <c r="CB85" i="1"/>
  <c r="CC85" i="1" s="1"/>
  <c r="CA228" i="1"/>
  <c r="CC228" i="1" s="1"/>
  <c r="CB30" i="1"/>
  <c r="CC30" i="1" s="1"/>
  <c r="CB28" i="1"/>
  <c r="CC28" i="1" s="1"/>
  <c r="CA271" i="1"/>
  <c r="CC271" i="1" s="1"/>
  <c r="CA260" i="1"/>
  <c r="CC260" i="1" s="1"/>
  <c r="CB310" i="1"/>
  <c r="CC310" i="1" s="1"/>
  <c r="CB175" i="1"/>
  <c r="CC175" i="1" s="1"/>
  <c r="CB150" i="1"/>
  <c r="CC150" i="1" s="1"/>
  <c r="CB287" i="1"/>
  <c r="CC287" i="1" s="1"/>
  <c r="CA194" i="1"/>
  <c r="CC194" i="1" s="1"/>
  <c r="CA204" i="1"/>
  <c r="CC204" i="1" s="1"/>
  <c r="CA59" i="1"/>
  <c r="CC59" i="1" s="1"/>
  <c r="CA163" i="1"/>
  <c r="CC163" i="1" s="1"/>
  <c r="CB137" i="1"/>
  <c r="CC137" i="1" s="1"/>
  <c r="CA263" i="1"/>
  <c r="CC263" i="1" s="1"/>
  <c r="CB45" i="1"/>
  <c r="CC45" i="1" s="1"/>
  <c r="CA294" i="1"/>
  <c r="CC294" i="1" s="1"/>
  <c r="CB328" i="1"/>
  <c r="CC328" i="1" s="1"/>
  <c r="CA37" i="1"/>
  <c r="CC37" i="1" s="1"/>
  <c r="CA318" i="1"/>
  <c r="CC318" i="1" s="1"/>
  <c r="CA74" i="1"/>
  <c r="CC74" i="1" s="1"/>
  <c r="CA167" i="1"/>
  <c r="CC167" i="1" s="1"/>
  <c r="CA335" i="1"/>
  <c r="CC335" i="1" s="1"/>
  <c r="CA256" i="1"/>
  <c r="CC256" i="1" s="1"/>
  <c r="CB78" i="1"/>
  <c r="CC78" i="1" s="1"/>
  <c r="CB312" i="1"/>
  <c r="CC312" i="1" s="1"/>
  <c r="CB321" i="1"/>
  <c r="CC321" i="1" s="1"/>
  <c r="CA358" i="1"/>
  <c r="CC358" i="1" s="1"/>
  <c r="CB189" i="1"/>
  <c r="CC189" i="1" s="1"/>
  <c r="CA252" i="1"/>
  <c r="CC252" i="1" s="1"/>
  <c r="CA242" i="1"/>
  <c r="CC242" i="1" s="1"/>
  <c r="CA164" i="1"/>
  <c r="CC164" i="1" s="1"/>
  <c r="CA134" i="1"/>
  <c r="CC134" i="1" s="1"/>
  <c r="CA36" i="1"/>
  <c r="CC36" i="1" s="1"/>
  <c r="CA198" i="1"/>
  <c r="CC198" i="1" s="1"/>
  <c r="CB315" i="1"/>
  <c r="CC315" i="1" s="1"/>
  <c r="CB95" i="1"/>
  <c r="CC95" i="1" s="1"/>
  <c r="CB138" i="1"/>
  <c r="CC138" i="1" s="1"/>
  <c r="CA139" i="1"/>
  <c r="CC139" i="1" s="1"/>
  <c r="CA334" i="1"/>
  <c r="CC334" i="1" s="1"/>
  <c r="CB67" i="1"/>
  <c r="CC67" i="1" s="1"/>
  <c r="CA129" i="1"/>
  <c r="CC129" i="1" s="1"/>
  <c r="CA187" i="1"/>
  <c r="CC187" i="1" s="1"/>
  <c r="CA278" i="1"/>
  <c r="CC278" i="1" s="1"/>
  <c r="CA267" i="1"/>
  <c r="CC267" i="1" s="1"/>
  <c r="CB44" i="1"/>
  <c r="CC44" i="1" s="1"/>
  <c r="CA61" i="1"/>
  <c r="CC61" i="1" s="1"/>
  <c r="CB142" i="1"/>
  <c r="CC142" i="1" s="1"/>
  <c r="CA290" i="1"/>
  <c r="CC290" i="1" s="1"/>
  <c r="CA217" i="1"/>
  <c r="CC217" i="1" s="1"/>
  <c r="CB171" i="1"/>
  <c r="CC171" i="1" s="1"/>
  <c r="CB76" i="1"/>
  <c r="CC76" i="1" s="1"/>
  <c r="CB199" i="1"/>
  <c r="CC199" i="1" s="1"/>
  <c r="CA314" i="1"/>
  <c r="CC314" i="1" s="1"/>
  <c r="CB82" i="1"/>
  <c r="CC82" i="1" s="1"/>
  <c r="CB114" i="1"/>
  <c r="CC114" i="1" s="1"/>
  <c r="CA201" i="1"/>
  <c r="CC201" i="1" s="1"/>
  <c r="CB18" i="1"/>
  <c r="CC18" i="1" s="1"/>
  <c r="CB117" i="1"/>
  <c r="CC117" i="1" s="1"/>
  <c r="CB340" i="1"/>
  <c r="CC340" i="1" s="1"/>
  <c r="CA262" i="1"/>
  <c r="CC262" i="1" s="1"/>
  <c r="CA283" i="1"/>
  <c r="CC283" i="1" s="1"/>
  <c r="CB276" i="1"/>
  <c r="CC276" i="1" s="1"/>
  <c r="CB330" i="1"/>
  <c r="CC330" i="1" s="1"/>
  <c r="CA108" i="1"/>
  <c r="CC108" i="1" s="1"/>
  <c r="CA325" i="1"/>
  <c r="CC325" i="1" s="1"/>
  <c r="CA293" i="1"/>
  <c r="CC293" i="1" s="1"/>
  <c r="CB119" i="1"/>
  <c r="CC119" i="1" s="1"/>
  <c r="CB351" i="1"/>
  <c r="CC351" i="1" s="1"/>
  <c r="CB149" i="1"/>
  <c r="CC149" i="1" s="1"/>
  <c r="CB357" i="1"/>
  <c r="CC357" i="1" s="1"/>
  <c r="CB153" i="1"/>
  <c r="CC153" i="1" s="1"/>
  <c r="CA107" i="1"/>
  <c r="CC107" i="1" s="1"/>
  <c r="CB43" i="1"/>
  <c r="CC43" i="1" s="1"/>
  <c r="CA208" i="1"/>
  <c r="CC208" i="1" s="1"/>
  <c r="CA272" i="1"/>
  <c r="CC272" i="1" s="1"/>
  <c r="CB177" i="1"/>
  <c r="CC177" i="1" s="1"/>
  <c r="CB94" i="1"/>
  <c r="CC94" i="1" s="1"/>
  <c r="CB347" i="1"/>
  <c r="CC347" i="1" s="1"/>
  <c r="CB231" i="1"/>
  <c r="CC231" i="1" s="1"/>
  <c r="CA308" i="1"/>
  <c r="CC308" i="1" s="1"/>
  <c r="CB19" i="1"/>
  <c r="CC19" i="1" s="1"/>
  <c r="CA216" i="1"/>
  <c r="CC216" i="1" s="1"/>
  <c r="CB251" i="1"/>
  <c r="CC251" i="1" s="1"/>
  <c r="CB106" i="1"/>
  <c r="CC106" i="1" s="1"/>
  <c r="CA319" i="1"/>
  <c r="CC319" i="1" s="1"/>
  <c r="CB237" i="1"/>
  <c r="CC237" i="1" s="1"/>
  <c r="CA73" i="1"/>
  <c r="CC73" i="1" s="1"/>
  <c r="CA162" i="1"/>
  <c r="CC162" i="1" s="1"/>
  <c r="CA121" i="1"/>
  <c r="CC121" i="1" s="1"/>
  <c r="CA161" i="1"/>
  <c r="CC161" i="1" s="1"/>
  <c r="CB192" i="1"/>
  <c r="CC192" i="1" s="1"/>
  <c r="CB297" i="1"/>
  <c r="CC297" i="1" s="1"/>
  <c r="CA233" i="1"/>
  <c r="CC233" i="1" s="1"/>
  <c r="CA234" i="1"/>
  <c r="CC234" i="1" s="1"/>
  <c r="CA176" i="1"/>
  <c r="CC176" i="1" s="1"/>
  <c r="CB225" i="1"/>
  <c r="CC225" i="1" s="1"/>
  <c r="CA289" i="1"/>
  <c r="CC289" i="1" s="1"/>
  <c r="CA298" i="1"/>
  <c r="CC298" i="1" s="1"/>
  <c r="CB249" i="1"/>
  <c r="CC249" i="1" s="1"/>
  <c r="CA25" i="1"/>
  <c r="CC25" i="1" s="1"/>
  <c r="CA105" i="1"/>
  <c r="CC105" i="1" s="1"/>
  <c r="CB33" i="1"/>
  <c r="CC33" i="1" s="1"/>
  <c r="CB145" i="1"/>
  <c r="CC145" i="1" s="1"/>
  <c r="CB360" i="1"/>
  <c r="CC360" i="1" s="1"/>
  <c r="CB264" i="1"/>
  <c r="CC264" i="1" s="1"/>
  <c r="CA57" i="1"/>
  <c r="CC57" i="1" s="1"/>
  <c r="CA48" i="1"/>
  <c r="CC48" i="1" s="1"/>
  <c r="CA64" i="1"/>
  <c r="CC64" i="1" s="1"/>
  <c r="CA34" i="1"/>
  <c r="CC34" i="1" s="1"/>
  <c r="CA320" i="1"/>
  <c r="CC320" i="1" s="1"/>
  <c r="CB257" i="1"/>
  <c r="CC257" i="1" s="1"/>
  <c r="CB362" i="1"/>
  <c r="CC362" i="1" s="1"/>
  <c r="CA89" i="1"/>
  <c r="CC89" i="1" s="1"/>
  <c r="CB32" i="1"/>
  <c r="CC32" i="1" s="1"/>
  <c r="CB280" i="1"/>
  <c r="CC280" i="1" s="1"/>
  <c r="CA152" i="1"/>
  <c r="CC152" i="1" s="1"/>
  <c r="CB42" i="1"/>
  <c r="CC42" i="1" s="1"/>
  <c r="CB80" i="1"/>
  <c r="CC80" i="1" s="1"/>
  <c r="CA112" i="1"/>
  <c r="CC112" i="1" s="1"/>
  <c r="CA72" i="1"/>
  <c r="CC72" i="1" s="1"/>
  <c r="CA97" i="1"/>
  <c r="CC97" i="1" s="1"/>
  <c r="CB368" i="1"/>
  <c r="CC368" i="1" s="1"/>
  <c r="CA98" i="1"/>
  <c r="CC98" i="1" s="1"/>
  <c r="CB185" i="1"/>
  <c r="CC185" i="1" s="1"/>
  <c r="CA17" i="1"/>
  <c r="CC17" i="1" s="1"/>
  <c r="CB200" i="1"/>
  <c r="CC200" i="1" s="1"/>
  <c r="CB248" i="1"/>
  <c r="CC248" i="1" s="1"/>
  <c r="CA56" i="1"/>
  <c r="CC56" i="1" s="1"/>
  <c r="CA81" i="1"/>
  <c r="CC81" i="1" s="1"/>
  <c r="CA128" i="1"/>
  <c r="CC128" i="1" s="1"/>
  <c r="CB232" i="1"/>
  <c r="CC232" i="1" s="1"/>
  <c r="CB16" i="1"/>
  <c r="CC16" i="1" s="1"/>
  <c r="CB184" i="1"/>
  <c r="CC184" i="1" s="1"/>
  <c r="CA88" i="1"/>
  <c r="CC88" i="1" s="1"/>
  <c r="CB296" i="1"/>
  <c r="CC296" i="1" s="1"/>
  <c r="CA352" i="1"/>
  <c r="CC352" i="1" s="1"/>
  <c r="CA168" i="1"/>
  <c r="CC168" i="1" s="1"/>
  <c r="CA240" i="1"/>
  <c r="CC240" i="1" s="1"/>
  <c r="CB304" i="1"/>
  <c r="CC304" i="1" s="1"/>
  <c r="CA120" i="1"/>
  <c r="CC120" i="1" s="1"/>
  <c r="CA288" i="1"/>
  <c r="CC288" i="1" s="1"/>
  <c r="CB24" i="1"/>
  <c r="CC24" i="1" s="1"/>
  <c r="CB160" i="1"/>
  <c r="CC160" i="1" s="1"/>
  <c r="CB40" i="1"/>
  <c r="CC40" i="1" s="1"/>
  <c r="CA104" i="1"/>
  <c r="CC104" i="1" s="1"/>
  <c r="CA224" i="1"/>
  <c r="CC224" i="1" s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J186" i="1"/>
  <c r="K186" i="1" s="1"/>
  <c r="J194" i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CJ244" i="1"/>
  <c r="CK244" i="1" s="1"/>
  <c r="CJ250" i="1"/>
  <c r="CK250" i="1" s="1"/>
  <c r="CJ179" i="1"/>
  <c r="CK179" i="1" s="1"/>
  <c r="CJ248" i="1"/>
  <c r="CK248" i="1" s="1"/>
  <c r="CJ311" i="1"/>
  <c r="CK311" i="1" s="1"/>
  <c r="CJ274" i="1"/>
  <c r="CK274" i="1" s="1"/>
  <c r="CJ178" i="1"/>
  <c r="CK178" i="1" s="1"/>
  <c r="CJ189" i="1"/>
  <c r="CK189" i="1" s="1"/>
  <c r="CJ292" i="1"/>
  <c r="CK292" i="1" s="1"/>
  <c r="CI356" i="1"/>
  <c r="CJ356" i="1" s="1"/>
  <c r="CK356" i="1" s="1"/>
  <c r="CJ121" i="1"/>
  <c r="CK121" i="1" s="1"/>
  <c r="CJ115" i="1"/>
  <c r="CK115" i="1" s="1"/>
  <c r="CI260" i="1"/>
  <c r="CJ260" i="1" s="1"/>
  <c r="CK260" i="1" s="1"/>
  <c r="CJ216" i="1"/>
  <c r="CK216" i="1" s="1"/>
  <c r="CI294" i="1"/>
  <c r="CJ294" i="1" s="1"/>
  <c r="CK294" i="1" s="1"/>
  <c r="CI78" i="1"/>
  <c r="CJ78" i="1" s="1"/>
  <c r="CK78" i="1" s="1"/>
  <c r="CI281" i="1"/>
  <c r="CJ281" i="1" s="1"/>
  <c r="CK281" i="1" s="1"/>
  <c r="CI370" i="1"/>
  <c r="CJ370" i="1" s="1"/>
  <c r="CK370" i="1" s="1"/>
  <c r="CI337" i="1"/>
  <c r="CJ337" i="1" s="1"/>
  <c r="CK337" i="1" s="1"/>
  <c r="CI372" i="1"/>
  <c r="CJ372" i="1" s="1"/>
  <c r="CK372" i="1" s="1"/>
  <c r="CI302" i="1"/>
  <c r="CJ302" i="1" s="1"/>
  <c r="CK302" i="1" s="1"/>
  <c r="CI343" i="1"/>
  <c r="CJ343" i="1" s="1"/>
  <c r="CK343" i="1" s="1"/>
  <c r="CI227" i="1"/>
  <c r="CJ227" i="1" s="1"/>
  <c r="CK227" i="1" s="1"/>
  <c r="CI128" i="1"/>
  <c r="CJ128" i="1" s="1"/>
  <c r="CK128" i="1" s="1"/>
  <c r="CJ58" i="1"/>
  <c r="CK58" i="1" s="1"/>
  <c r="CI204" i="1"/>
  <c r="CJ204" i="1" s="1"/>
  <c r="CK204" i="1" s="1"/>
  <c r="CI126" i="1"/>
  <c r="CJ126" i="1" s="1"/>
  <c r="CK126" i="1" s="1"/>
  <c r="CI109" i="1"/>
  <c r="CJ109" i="1" s="1"/>
  <c r="CK109" i="1" s="1"/>
  <c r="CI256" i="1"/>
  <c r="CJ256" i="1" s="1"/>
  <c r="CK256" i="1" s="1"/>
  <c r="CI45" i="1"/>
  <c r="CJ45" i="1" s="1"/>
  <c r="CK45" i="1" s="1"/>
  <c r="CI315" i="1"/>
  <c r="CJ315" i="1" s="1"/>
  <c r="CK315" i="1" s="1"/>
  <c r="CI147" i="1"/>
  <c r="CJ147" i="1" s="1"/>
  <c r="CK147" i="1" s="1"/>
  <c r="CI139" i="1"/>
  <c r="CJ139" i="1" s="1"/>
  <c r="CK139" i="1" s="1"/>
  <c r="CI68" i="1"/>
  <c r="CJ68" i="1" s="1"/>
  <c r="CK68" i="1" s="1"/>
  <c r="CJ243" i="1"/>
  <c r="CK243" i="1" s="1"/>
  <c r="CI175" i="1"/>
  <c r="CJ175" i="1" s="1"/>
  <c r="CK175" i="1" s="1"/>
  <c r="CJ313" i="1"/>
  <c r="CK313" i="1" s="1"/>
  <c r="CI144" i="1"/>
  <c r="CJ144" i="1" s="1"/>
  <c r="CK144" i="1" s="1"/>
  <c r="CI29" i="1"/>
  <c r="CJ29" i="1" s="1"/>
  <c r="CK29" i="1" s="1"/>
  <c r="CI163" i="1"/>
  <c r="CJ163" i="1" s="1"/>
  <c r="CK163" i="1" s="1"/>
  <c r="CI374" i="1"/>
  <c r="CJ374" i="1" s="1"/>
  <c r="CK374" i="1" s="1"/>
  <c r="CI214" i="1"/>
  <c r="CJ214" i="1" s="1"/>
  <c r="CK214" i="1" s="1"/>
  <c r="CI27" i="1"/>
  <c r="CJ27" i="1" s="1"/>
  <c r="CK27" i="1" s="1"/>
  <c r="CI246" i="1"/>
  <c r="CJ246" i="1" s="1"/>
  <c r="CK246" i="1" s="1"/>
  <c r="CJ198" i="1"/>
  <c r="CK198" i="1" s="1"/>
  <c r="CJ174" i="1"/>
  <c r="CK174" i="1" s="1"/>
  <c r="CJ146" i="1"/>
  <c r="CK146" i="1" s="1"/>
  <c r="CI84" i="1"/>
  <c r="CJ84" i="1" s="1"/>
  <c r="CK84" i="1" s="1"/>
  <c r="CI241" i="1"/>
  <c r="CJ241" i="1" s="1"/>
  <c r="CK241" i="1" s="1"/>
  <c r="CI157" i="1"/>
  <c r="CJ157" i="1" s="1"/>
  <c r="CK157" i="1" s="1"/>
  <c r="CJ236" i="1"/>
  <c r="CK236" i="1" s="1"/>
  <c r="CJ18" i="1"/>
  <c r="CK18" i="1" s="1"/>
  <c r="CJ304" i="1"/>
  <c r="CK304" i="1" s="1"/>
  <c r="CI221" i="1"/>
  <c r="CJ221" i="1" s="1"/>
  <c r="CK221" i="1" s="1"/>
  <c r="CI119" i="1"/>
  <c r="CJ119" i="1" s="1"/>
  <c r="CK119" i="1" s="1"/>
  <c r="CI238" i="1"/>
  <c r="CJ238" i="1" s="1"/>
  <c r="CK238" i="1" s="1"/>
  <c r="CI287" i="1"/>
  <c r="CJ287" i="1" s="1"/>
  <c r="CK287" i="1" s="1"/>
  <c r="CI195" i="1"/>
  <c r="CJ195" i="1" s="1"/>
  <c r="CK195" i="1" s="1"/>
  <c r="CI232" i="1"/>
  <c r="CJ232" i="1" s="1"/>
  <c r="CK232" i="1" s="1"/>
  <c r="CI49" i="1"/>
  <c r="CJ49" i="1" s="1"/>
  <c r="CK49" i="1" s="1"/>
  <c r="CI327" i="1"/>
  <c r="CJ327" i="1" s="1"/>
  <c r="CK327" i="1" s="1"/>
  <c r="CI34" i="1"/>
  <c r="CJ34" i="1" s="1"/>
  <c r="CK34" i="1" s="1"/>
  <c r="CI76" i="1"/>
  <c r="CJ76" i="1" s="1"/>
  <c r="CK76" i="1" s="1"/>
  <c r="CI345" i="1"/>
  <c r="CJ345" i="1" s="1"/>
  <c r="CK345" i="1" s="1"/>
  <c r="CI296" i="1"/>
  <c r="CJ296" i="1" s="1"/>
  <c r="CK296" i="1" s="1"/>
  <c r="CI183" i="1"/>
  <c r="CJ183" i="1" s="1"/>
  <c r="CK183" i="1" s="1"/>
  <c r="CI239" i="1"/>
  <c r="CJ239" i="1" s="1"/>
  <c r="CK239" i="1" s="1"/>
  <c r="CJ135" i="1"/>
  <c r="CK135" i="1" s="1"/>
  <c r="CI331" i="1"/>
  <c r="CJ331" i="1" s="1"/>
  <c r="CK331" i="1" s="1"/>
  <c r="CI208" i="1"/>
  <c r="CJ208" i="1" s="1"/>
  <c r="CK208" i="1" s="1"/>
  <c r="CI320" i="1"/>
  <c r="CJ320" i="1" s="1"/>
  <c r="CK320" i="1" s="1"/>
  <c r="CI196" i="1"/>
  <c r="CJ196" i="1" s="1"/>
  <c r="CK196" i="1" s="1"/>
  <c r="CJ307" i="1"/>
  <c r="CK307" i="1" s="1"/>
  <c r="CI211" i="1"/>
  <c r="CJ211" i="1" s="1"/>
  <c r="CK211" i="1" s="1"/>
  <c r="CI326" i="1"/>
  <c r="CJ326" i="1" s="1"/>
  <c r="CK326" i="1" s="1"/>
  <c r="CJ310" i="1"/>
  <c r="CK310" i="1" s="1"/>
  <c r="CI118" i="1"/>
  <c r="CJ118" i="1" s="1"/>
  <c r="CK118" i="1" s="1"/>
  <c r="CI197" i="1"/>
  <c r="CJ197" i="1" s="1"/>
  <c r="CK197" i="1" s="1"/>
  <c r="CI182" i="1"/>
  <c r="CJ182" i="1" s="1"/>
  <c r="CK182" i="1" s="1"/>
  <c r="CI111" i="1"/>
  <c r="CJ111" i="1" s="1"/>
  <c r="CK111" i="1" s="1"/>
  <c r="CI199" i="1"/>
  <c r="CJ199" i="1" s="1"/>
  <c r="CK199" i="1" s="1"/>
  <c r="CI136" i="1"/>
  <c r="CJ136" i="1" s="1"/>
  <c r="CK136" i="1" s="1"/>
  <c r="CI131" i="1"/>
  <c r="CJ131" i="1" s="1"/>
  <c r="CK131" i="1" s="1"/>
  <c r="CI228" i="1"/>
  <c r="CJ228" i="1" s="1"/>
  <c r="CK228" i="1" s="1"/>
  <c r="CI280" i="1"/>
  <c r="CJ280" i="1" s="1"/>
  <c r="CK280" i="1" s="1"/>
  <c r="CI360" i="1"/>
  <c r="CJ360" i="1" s="1"/>
  <c r="CK360" i="1" s="1"/>
  <c r="CI63" i="1"/>
  <c r="CJ63" i="1" s="1"/>
  <c r="CK63" i="1" s="1"/>
  <c r="CJ82" i="1"/>
  <c r="CK82" i="1" s="1"/>
  <c r="CI33" i="1"/>
  <c r="CJ33" i="1" s="1"/>
  <c r="CK33" i="1" s="1"/>
  <c r="CJ279" i="1"/>
  <c r="CK279" i="1" s="1"/>
  <c r="CI316" i="1"/>
  <c r="CJ316" i="1" s="1"/>
  <c r="CK316" i="1" s="1"/>
  <c r="CI300" i="1"/>
  <c r="CJ300" i="1" s="1"/>
  <c r="CK300" i="1" s="1"/>
  <c r="CI71" i="1"/>
  <c r="CJ71" i="1" s="1"/>
  <c r="CK71" i="1" s="1"/>
  <c r="CI191" i="1"/>
  <c r="CJ191" i="1" s="1"/>
  <c r="CK191" i="1" s="1"/>
  <c r="CJ184" i="1"/>
  <c r="CK184" i="1" s="1"/>
  <c r="CI348" i="1"/>
  <c r="CJ348" i="1" s="1"/>
  <c r="CK348" i="1" s="1"/>
  <c r="CI190" i="1"/>
  <c r="CJ190" i="1" s="1"/>
  <c r="CK190" i="1" s="1"/>
  <c r="CI55" i="1"/>
  <c r="CJ55" i="1" s="1"/>
  <c r="CK55" i="1" s="1"/>
  <c r="CI38" i="1"/>
  <c r="CJ38" i="1" s="1"/>
  <c r="CK38" i="1" s="1"/>
  <c r="CI89" i="1"/>
  <c r="CJ89" i="1" s="1"/>
  <c r="CK89" i="1" s="1"/>
  <c r="CI104" i="1"/>
  <c r="CJ104" i="1" s="1"/>
  <c r="CK104" i="1" s="1"/>
  <c r="CI362" i="1"/>
  <c r="CJ362" i="1" s="1"/>
  <c r="CK362" i="1" s="1"/>
  <c r="CJ303" i="1"/>
  <c r="CK303" i="1" s="1"/>
  <c r="CI169" i="1"/>
  <c r="CJ169" i="1" s="1"/>
  <c r="CK169" i="1" s="1"/>
  <c r="CI61" i="1"/>
  <c r="CJ61" i="1" s="1"/>
  <c r="CK61" i="1" s="1"/>
  <c r="CH20" i="1"/>
  <c r="CJ20" i="1" s="1"/>
  <c r="CK20" i="1" s="1"/>
  <c r="CI215" i="1"/>
  <c r="CJ215" i="1" s="1"/>
  <c r="CK215" i="1" s="1"/>
  <c r="CI373" i="1"/>
  <c r="CJ373" i="1" s="1"/>
  <c r="CK373" i="1" s="1"/>
  <c r="CI264" i="1"/>
  <c r="CJ264" i="1" s="1"/>
  <c r="CK264" i="1" s="1"/>
  <c r="CI168" i="1"/>
  <c r="CJ168" i="1" s="1"/>
  <c r="CK168" i="1" s="1"/>
  <c r="CI99" i="1"/>
  <c r="CJ99" i="1" s="1"/>
  <c r="CK99" i="1" s="1"/>
  <c r="CJ56" i="1"/>
  <c r="CK56" i="1" s="1"/>
  <c r="CI77" i="1"/>
  <c r="CJ77" i="1" s="1"/>
  <c r="CK77" i="1" s="1"/>
  <c r="CI353" i="1"/>
  <c r="CJ353" i="1" s="1"/>
  <c r="CK353" i="1" s="1"/>
  <c r="CJ81" i="1"/>
  <c r="CK81" i="1" s="1"/>
  <c r="CI336" i="1"/>
  <c r="CJ336" i="1" s="1"/>
  <c r="CK336" i="1" s="1"/>
  <c r="CI162" i="1"/>
  <c r="CJ162" i="1" s="1"/>
  <c r="CK162" i="1" s="1"/>
  <c r="CI288" i="1"/>
  <c r="CJ288" i="1" s="1"/>
  <c r="CK288" i="1" s="1"/>
  <c r="CI37" i="1"/>
  <c r="CJ37" i="1" s="1"/>
  <c r="CK37" i="1" s="1"/>
  <c r="CI347" i="1"/>
  <c r="CJ347" i="1" s="1"/>
  <c r="CK347" i="1" s="1"/>
  <c r="CI57" i="1"/>
  <c r="CJ57" i="1" s="1"/>
  <c r="CK57" i="1" s="1"/>
  <c r="CI26" i="1"/>
  <c r="CJ26" i="1" s="1"/>
  <c r="CK26" i="1" s="1"/>
  <c r="CI284" i="1"/>
  <c r="CJ284" i="1" s="1"/>
  <c r="CK284" i="1" s="1"/>
  <c r="CI159" i="1"/>
  <c r="CJ159" i="1" s="1"/>
  <c r="CK159" i="1" s="1"/>
  <c r="CI309" i="1"/>
  <c r="CJ309" i="1" s="1"/>
  <c r="CK309" i="1" s="1"/>
  <c r="CI194" i="1"/>
  <c r="CJ194" i="1" s="1"/>
  <c r="CK194" i="1" s="1"/>
  <c r="CI231" i="1"/>
  <c r="CJ231" i="1" s="1"/>
  <c r="CK231" i="1" s="1"/>
  <c r="CI234" i="1"/>
  <c r="CJ234" i="1" s="1"/>
  <c r="CK234" i="1" s="1"/>
  <c r="CI252" i="1"/>
  <c r="CJ252" i="1" s="1"/>
  <c r="CK252" i="1" s="1"/>
  <c r="CI192" i="1"/>
  <c r="CJ192" i="1" s="1"/>
  <c r="CK192" i="1" s="1"/>
  <c r="BZ11" i="1"/>
  <c r="CI324" i="1"/>
  <c r="CJ324" i="1" s="1"/>
  <c r="CK324" i="1" s="1"/>
  <c r="CI321" i="1"/>
  <c r="CJ321" i="1" s="1"/>
  <c r="CK321" i="1" s="1"/>
  <c r="CI346" i="1"/>
  <c r="CJ346" i="1" s="1"/>
  <c r="CK346" i="1" s="1"/>
  <c r="CI339" i="1"/>
  <c r="CJ339" i="1" s="1"/>
  <c r="CK339" i="1" s="1"/>
  <c r="CI285" i="1"/>
  <c r="CJ285" i="1" s="1"/>
  <c r="CK285" i="1" s="1"/>
  <c r="CI91" i="1"/>
  <c r="CJ91" i="1" s="1"/>
  <c r="CK91" i="1" s="1"/>
  <c r="CI46" i="1"/>
  <c r="CJ46" i="1" s="1"/>
  <c r="CK46" i="1" s="1"/>
  <c r="CI328" i="1"/>
  <c r="CJ328" i="1" s="1"/>
  <c r="CK328" i="1" s="1"/>
  <c r="CJ210" i="1"/>
  <c r="CK210" i="1" s="1"/>
  <c r="CI289" i="1"/>
  <c r="CJ289" i="1" s="1"/>
  <c r="CK289" i="1" s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CD371" i="1" l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CF170" i="1" s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CD329" i="1"/>
  <c r="CD122" i="1"/>
  <c r="CD84" i="1"/>
  <c r="CD41" i="1"/>
  <c r="CD173" i="1"/>
  <c r="CD225" i="1"/>
  <c r="CD298" i="1"/>
  <c r="CD268" i="1"/>
  <c r="CD348" i="1"/>
  <c r="CD38" i="1"/>
  <c r="CD161" i="1"/>
  <c r="CD49" i="1"/>
  <c r="CD156" i="1"/>
  <c r="CD271" i="1"/>
  <c r="CD75" i="1"/>
  <c r="CD304" i="1"/>
  <c r="CD243" i="1"/>
  <c r="CD278" i="1"/>
  <c r="CD310" i="1"/>
  <c r="CD181" i="1"/>
  <c r="CD367" i="1"/>
  <c r="CD323" i="1"/>
  <c r="CD335" i="1"/>
  <c r="CD130" i="1"/>
  <c r="CD256" i="1"/>
  <c r="CD35" i="1"/>
  <c r="CD57" i="1"/>
  <c r="CD152" i="1"/>
  <c r="CD234" i="1"/>
  <c r="CD246" i="1"/>
  <c r="CD93" i="1"/>
  <c r="CD118" i="1"/>
  <c r="CD90" i="1"/>
  <c r="CD189" i="1"/>
  <c r="CD242" i="1"/>
  <c r="CD37" i="1"/>
  <c r="CD214" i="1"/>
  <c r="CD203" i="1"/>
  <c r="CD27" i="1"/>
  <c r="CD344" i="1"/>
  <c r="CD111" i="1"/>
  <c r="CD355" i="1"/>
  <c r="CD273" i="1"/>
  <c r="CD106" i="1"/>
  <c r="CD19" i="1"/>
  <c r="CD164" i="1"/>
  <c r="CD168" i="1"/>
  <c r="CD277" i="1"/>
  <c r="CD109" i="1"/>
  <c r="CD31" i="1"/>
  <c r="CD308" i="1"/>
  <c r="CD279" i="1"/>
  <c r="CD218" i="1"/>
  <c r="CD129" i="1"/>
  <c r="CD43" i="1"/>
  <c r="CD208" i="1"/>
  <c r="CD124" i="1"/>
  <c r="CD125" i="1"/>
  <c r="CD107" i="1"/>
  <c r="CD288" i="1"/>
  <c r="CD316" i="1"/>
  <c r="CD281" i="1"/>
  <c r="CD69" i="1"/>
  <c r="CD305" i="1"/>
  <c r="CD374" i="1"/>
  <c r="CD158" i="1"/>
  <c r="CD172" i="1"/>
  <c r="CD59" i="1"/>
  <c r="CD62" i="1"/>
  <c r="CD78" i="1"/>
  <c r="CD88" i="1"/>
  <c r="CD21" i="1"/>
  <c r="CD322" i="1"/>
  <c r="CD134" i="1"/>
  <c r="CD336" i="1"/>
  <c r="CD110" i="1"/>
  <c r="CD104" i="1"/>
  <c r="CD362" i="1"/>
  <c r="CD300" i="1"/>
  <c r="CD96" i="1"/>
  <c r="CD159" i="1"/>
  <c r="CD115" i="1"/>
  <c r="CD224" i="1"/>
  <c r="CD221" i="1"/>
  <c r="CD199" i="1"/>
  <c r="CD283" i="1"/>
  <c r="CD368" i="1"/>
  <c r="CD253" i="1"/>
  <c r="CD274" i="1"/>
  <c r="CD22" i="1"/>
  <c r="CD366" i="1"/>
  <c r="CD195" i="1"/>
  <c r="CD349" i="1"/>
  <c r="CD80" i="1"/>
  <c r="CD77" i="1"/>
  <c r="CD276" i="1"/>
  <c r="CD265" i="1"/>
  <c r="CD270" i="1"/>
  <c r="CD100" i="1"/>
  <c r="CD266" i="1"/>
  <c r="CD103" i="1"/>
  <c r="CD257" i="1"/>
  <c r="CD302" i="1"/>
  <c r="CD66" i="1"/>
  <c r="CD141" i="1"/>
  <c r="CD196" i="1"/>
  <c r="CD244" i="1"/>
  <c r="CD249" i="1"/>
  <c r="CD23" i="1"/>
  <c r="CD169" i="1"/>
  <c r="CD120" i="1"/>
  <c r="CD54" i="1"/>
  <c r="CD99" i="1"/>
  <c r="CD30" i="1"/>
  <c r="CD188" i="1"/>
  <c r="CD354" i="1"/>
  <c r="CD338" i="1"/>
  <c r="CD327" i="1"/>
  <c r="CD60" i="1"/>
  <c r="CD140" i="1"/>
  <c r="CD44" i="1"/>
  <c r="CD254" i="1"/>
  <c r="CD136" i="1"/>
  <c r="CD45" i="1"/>
  <c r="CD194" i="1"/>
  <c r="CD146" i="1"/>
  <c r="CD223" i="1"/>
  <c r="CD359" i="1"/>
  <c r="CD258" i="1"/>
  <c r="CD166" i="1"/>
  <c r="CD313" i="1"/>
  <c r="CD193" i="1"/>
  <c r="CD236" i="1"/>
  <c r="CD95" i="1"/>
  <c r="CD83" i="1"/>
  <c r="CD334" i="1"/>
  <c r="CD212" i="1"/>
  <c r="CD358" i="1"/>
  <c r="CD64" i="1"/>
  <c r="CD286" i="1"/>
  <c r="CD232" i="1"/>
  <c r="CD220" i="1"/>
  <c r="CD247" i="1"/>
  <c r="CD339" i="1"/>
  <c r="CD113" i="1"/>
  <c r="CD34" i="1"/>
  <c r="CD306" i="1"/>
  <c r="CD187" i="1"/>
  <c r="CD363" i="1"/>
  <c r="CD209" i="1"/>
  <c r="CD296" i="1"/>
  <c r="CD299" i="1"/>
  <c r="CD263" i="1"/>
  <c r="CD101" i="1"/>
  <c r="CD331" i="1"/>
  <c r="CD370" i="1"/>
  <c r="CD245" i="1"/>
  <c r="CD36" i="1"/>
  <c r="CD342" i="1"/>
  <c r="CD267" i="1"/>
  <c r="CD18" i="1"/>
  <c r="CD227" i="1"/>
  <c r="CD82" i="1"/>
  <c r="CD324" i="1"/>
  <c r="CD190" i="1"/>
  <c r="CD56" i="1"/>
  <c r="CD235" i="1"/>
  <c r="CD176" i="1"/>
  <c r="CD29" i="1"/>
  <c r="CD280" i="1"/>
  <c r="CD295" i="1"/>
  <c r="CD198" i="1"/>
  <c r="CD76" i="1"/>
  <c r="CD301" i="1"/>
  <c r="CD330" i="1"/>
  <c r="CD79" i="1"/>
  <c r="CD191" i="1"/>
  <c r="CD369" i="1"/>
  <c r="CD26" i="1"/>
  <c r="CD121" i="1"/>
  <c r="CD284" i="1"/>
  <c r="CD117" i="1"/>
  <c r="CD309" i="1"/>
  <c r="CD289" i="1"/>
  <c r="CD262" i="1"/>
  <c r="CD182" i="1"/>
  <c r="CD226" i="1"/>
  <c r="CD294" i="1"/>
  <c r="CD153" i="1"/>
  <c r="CD61" i="1"/>
  <c r="CD184" i="1"/>
  <c r="CD353" i="1"/>
  <c r="CD312" i="1"/>
  <c r="CD230" i="1"/>
  <c r="CD356" i="1"/>
  <c r="CD200" i="1"/>
  <c r="CD157" i="1"/>
  <c r="CD346" i="1"/>
  <c r="CD285" i="1"/>
  <c r="CD201" i="1"/>
  <c r="CD28" i="1"/>
  <c r="CD183" i="1"/>
  <c r="CD345" i="1"/>
  <c r="CD132" i="1"/>
  <c r="CD292" i="1"/>
  <c r="CD248" i="1"/>
  <c r="CD231" i="1"/>
  <c r="CD55" i="1"/>
  <c r="CD86" i="1"/>
  <c r="CD332" i="1"/>
  <c r="CD98" i="1"/>
  <c r="CD147" i="1"/>
  <c r="CD58" i="1"/>
  <c r="CD150" i="1"/>
  <c r="CD333" i="1"/>
  <c r="CD85" i="1"/>
  <c r="CD264" i="1"/>
  <c r="CD255" i="1"/>
  <c r="CD259" i="1"/>
  <c r="CD219" i="1"/>
  <c r="CD148" i="1"/>
  <c r="CD24" i="1"/>
  <c r="CD241" i="1"/>
  <c r="CD51" i="1"/>
  <c r="CD202" i="1"/>
  <c r="CD50" i="1"/>
  <c r="CD215" i="1"/>
  <c r="CD142" i="1"/>
  <c r="CD361" i="1"/>
  <c r="CD233" i="1"/>
  <c r="CD81" i="1"/>
  <c r="CD293" i="1"/>
  <c r="CD39" i="1"/>
  <c r="CD108" i="1"/>
  <c r="CD216" i="1"/>
  <c r="CD347" i="1"/>
  <c r="CD185" i="1"/>
  <c r="CD341" i="1"/>
  <c r="CD213" i="1"/>
  <c r="CD92" i="1"/>
  <c r="CD319" i="1"/>
  <c r="CD261" i="1"/>
  <c r="CD52" i="1"/>
  <c r="CD290" i="1"/>
  <c r="CD228" i="1"/>
  <c r="CD137" i="1"/>
  <c r="CD154" i="1"/>
  <c r="CD119" i="1"/>
  <c r="CD175" i="1"/>
  <c r="CD112" i="1"/>
  <c r="CD149" i="1"/>
  <c r="CD179" i="1"/>
  <c r="CD162" i="1"/>
  <c r="CD315" i="1"/>
  <c r="CD73" i="1"/>
  <c r="CD171" i="1"/>
  <c r="CD314" i="1"/>
  <c r="CD352" i="1"/>
  <c r="CD145" i="1"/>
  <c r="CD365" i="1"/>
  <c r="CD311" i="1"/>
  <c r="CD205" i="1"/>
  <c r="CD351" i="1"/>
  <c r="CD68" i="1"/>
  <c r="CD127" i="1"/>
  <c r="CD16" i="1"/>
  <c r="CD210" i="1"/>
  <c r="CD135" i="1"/>
  <c r="CD282" i="1"/>
  <c r="CD72" i="1"/>
  <c r="CD180" i="1"/>
  <c r="CD25" i="1"/>
  <c r="CD357" i="1"/>
  <c r="CD206" i="1"/>
  <c r="CD217" i="1"/>
  <c r="CD126" i="1"/>
  <c r="CD317" i="1"/>
  <c r="CD143" i="1"/>
  <c r="CD372" i="1"/>
  <c r="CD163" i="1"/>
  <c r="CD128" i="1"/>
  <c r="CD48" i="1"/>
  <c r="CD155" i="1"/>
  <c r="CD192" i="1"/>
  <c r="CD197" i="1"/>
  <c r="CD97" i="1"/>
  <c r="CD320" i="1"/>
  <c r="CD15" i="1"/>
  <c r="CD89" i="1"/>
  <c r="CD207" i="1"/>
  <c r="CD328" i="1"/>
  <c r="CD114" i="1"/>
  <c r="CD17" i="1"/>
  <c r="CD123" i="1"/>
  <c r="CD364" i="1"/>
  <c r="CD272" i="1"/>
  <c r="CD53" i="1"/>
  <c r="CD178" i="1"/>
  <c r="CD204" i="1"/>
  <c r="CD238" i="1"/>
  <c r="CD251" i="1"/>
  <c r="CD343" i="1"/>
  <c r="CD326" i="1"/>
  <c r="CD303" i="1"/>
  <c r="CD321" i="1"/>
  <c r="CD71" i="1"/>
  <c r="CD297" i="1"/>
  <c r="CD287" i="1"/>
  <c r="CD260" i="1"/>
  <c r="CD237" i="1"/>
  <c r="CD250" i="1"/>
  <c r="CD229" i="1"/>
  <c r="CD177" i="1"/>
  <c r="CD105" i="1"/>
  <c r="CD102" i="1"/>
  <c r="CD337" i="1"/>
  <c r="CD275" i="1"/>
  <c r="CD222" i="1"/>
  <c r="CD167" i="1"/>
  <c r="CD144" i="1"/>
  <c r="CD46" i="1"/>
  <c r="CD174" i="1"/>
  <c r="CD87" i="1"/>
  <c r="CD67" i="1"/>
  <c r="CD291" i="1"/>
  <c r="CD151" i="1"/>
  <c r="CD42" i="1"/>
  <c r="CD269" i="1"/>
  <c r="CD91" i="1"/>
  <c r="CD373" i="1"/>
  <c r="CD360" i="1"/>
  <c r="CD74" i="1"/>
  <c r="CD47" i="1"/>
  <c r="CD252" i="1"/>
  <c r="CD186" i="1"/>
  <c r="CD307" i="1"/>
  <c r="CD20" i="1"/>
  <c r="CD318" i="1"/>
  <c r="CD139" i="1"/>
  <c r="CD165" i="1"/>
  <c r="CD70" i="1"/>
  <c r="CD240" i="1"/>
  <c r="CD325" i="1"/>
  <c r="CD375" i="1"/>
  <c r="CD138" i="1"/>
  <c r="CD211" i="1"/>
  <c r="CD340" i="1"/>
  <c r="CD239" i="1"/>
  <c r="CD65" i="1"/>
  <c r="CD32" i="1"/>
  <c r="CD131" i="1"/>
  <c r="CD94" i="1"/>
  <c r="CD33" i="1"/>
  <c r="CD116" i="1"/>
  <c r="CD160" i="1"/>
  <c r="CD40" i="1"/>
  <c r="CD350" i="1"/>
  <c r="CD133" i="1"/>
  <c r="CD63" i="1"/>
  <c r="CG21" i="1"/>
  <c r="CH21" i="1" s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P191" i="1" l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CI21" i="1"/>
  <c r="CJ21" i="1" s="1"/>
  <c r="CK21" i="1" s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I171" i="1" l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N171" i="1" l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AU159" i="1" l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W4" i="1" s="1"/>
  <c r="AW158" i="1"/>
  <c r="O158" i="1" s="1"/>
  <c r="AW164" i="1"/>
  <c r="O164" i="1" s="1"/>
  <c r="BZ170" i="1"/>
  <c r="CB170" i="1" s="1"/>
  <c r="CE170" i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AB7" i="1" l="1"/>
  <c r="CA170" i="1"/>
  <c r="CC170" i="1" s="1"/>
  <c r="CD170" i="1" s="1"/>
  <c r="O165" i="1"/>
  <c r="B180" i="1" s="1"/>
  <c r="B202" i="1" s="1"/>
  <c r="N165" i="1"/>
  <c r="B179" i="1" s="1"/>
  <c r="B201" i="1" s="1"/>
  <c r="CG170" i="1"/>
  <c r="CI170" i="1" s="1"/>
  <c r="B83" i="1"/>
  <c r="CH170" i="1" l="1"/>
  <c r="CJ170" i="1" s="1"/>
  <c r="CK170" i="1" s="1"/>
  <c r="B205" i="1"/>
  <c r="U6" i="1" s="1"/>
  <c r="B204" i="1"/>
  <c r="U5" i="1" s="1"/>
  <c r="U8" i="1" l="1"/>
  <c r="AA7" i="1" s="1"/>
  <c r="U7" i="1"/>
  <c r="W7" i="1" s="1"/>
  <c r="AA9" i="1"/>
  <c r="AB9" i="1"/>
  <c r="W6" i="1"/>
  <c r="U18" i="1"/>
  <c r="U19" i="1" s="1"/>
  <c r="U21" i="1" s="1"/>
  <c r="X8" i="1" l="1"/>
  <c r="X7" i="1"/>
  <c r="V19" i="1"/>
  <c r="V21" i="1" s="1"/>
  <c r="W19" i="1"/>
  <c r="W21" i="1" s="1"/>
  <c r="AC9" i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<sst xmlns="http://schemas.openxmlformats.org/spreadsheetml/2006/main" count="351" uniqueCount="204">
  <si>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</si>
  <si>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</si>
  <si>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</si>
  <si>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</si>
  <si>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</si>
  <si>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</si>
  <si>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</si>
  <si>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</si>
  <si>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</si>
  <si>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</si>
  <si>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</si>
  <si>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</si>
  <si>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</si>
  <si>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</si>
  <si>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</si>
  <si>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</si>
  <si>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</si>
  <si>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</si>
  <si>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</si>
  <si>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</si>
  <si>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</si>
  <si>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</si>
  <si>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</si>
  <si>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</si>
  <si>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</si>
  <si>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</si>
  <si>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</si>
  <si>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</si>
  <si>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</si>
  <si>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</si>
  <si>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</si>
  <si>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</si>
  <si>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</si>
  <si>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</si>
  <si>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</si>
  <si>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</si>
  <si>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</si>
  <si>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</si>
  <si>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</si>
  <si>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</si>
  <si>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</si>
  <si>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</si>
  <si>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</si>
  <si>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</si>
  <si>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</si>
  <si>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</si>
  <si>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</si>
  <si>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</si>
  <si>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</si>
  <si>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</si>
  <si>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</si>
  <si>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</si>
  <si>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</si>
  <si>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</si>
  <si>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</si>
  <si>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</si>
  <si>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</si>
  <si>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</si>
  <si>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</si>
  <si>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</si>
  <si>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</si>
  <si>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</si>
  <si>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</si>
  <si>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</si>
  <si>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</si>
  <si>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</si>
  <si>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</si>
  <si>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</si>
  <si>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</si>
  <si>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</si>
  <si>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</si>
  <si>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</si>
  <si>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</si>
  <si>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</si>
  <si>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</si>
  <si>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</si>
  <si>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</si>
  <si>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</si>
  <si>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</si>
  <si>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</si>
  <si>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</si>
  <si>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</si>
  <si>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</si>
  <si>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</si>
  <si>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</si>
  <si>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</si>
  <si>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</si>
  <si>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</si>
  <si>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</si>
  <si>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</si>
  <si>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</si>
  <si>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</si>
  <si>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</si>
  <si>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</si>
  <si>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</si>
  <si>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</si>
  <si>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</si>
  <si>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</si>
  <si>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</si>
  <si>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</si>
  <si>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</si>
  <si>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</si>
  <si>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</si>
  <si>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</si>
  <si>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</si>
  <si>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</si>
  <si>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</si>
  <si>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</si>
  <si>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</si>
  <si>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</si>
  <si>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</si>
  <si>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</si>
  <si>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</si>
  <si>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</si>
  <si>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</si>
  <si>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</si>
  <si>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</si>
  <si>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</si>
  <si>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</si>
  <si>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</si>
  <si>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</si>
  <si>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</si>
  <si>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</si>
  <si>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</si>
  <si>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</si>
  <si>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</si>
  <si>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</si>
  <si>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</si>
  <si>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</si>
  <si>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</si>
  <si>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</si>
  <si>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</si>
  <si>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</si>
  <si>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</si>
  <si>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</si>
  <si>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</si>
  <si>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</si>
  <si>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</si>
  <si>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</si>
  <si>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</si>
  <si>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</si>
  <si>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</si>
  <si>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</si>
  <si>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</si>
  <si>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</si>
  <si>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</si>
  <si>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</si>
  <si>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</si>
  <si>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</si>
  <si>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</si>
  <si>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2D Vector Between User Load and New Center Point - moving from load to point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</si>
  <si>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</si>
  <si>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</si>
  <si>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</si>
  <si>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</si>
  <si>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</si>
  <si>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</si>
  <si>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</si>
  <si>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</si>
  <si>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</si>
  <si>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</si>
  <si>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</si>
  <si>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</si>
  <si>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</si>
  <si>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</si>
  <si>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</si>
  <si>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</si>
  <si>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</si>
  <si>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</si>
  <si>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</si>
  <si>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</si>
  <si>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</si>
  <si>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</si>
  <si>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</si>
  <si>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</si>
  <si>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</si>
  <si>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</si>
  <si>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</si>
  <si>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</si>
  <si>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</si>
  <si>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</si>
  <si>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</si>
  <si>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</si>
  <si>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</si>
  <si>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</si>
  <si>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</si>
  <si>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</si>
  <si>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</si>
  <si>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</si>
  <si>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</si>
  <si>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</si>
  <si>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</si>
  <si>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</si>
  <si>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</si>
  <si>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</si>
  <si>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</si>
  <si>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</si>
  <si>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</si>
  <si>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</si>
  <si>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PCA_Parabolic</t>
  </si>
  <si>
    <t>Max</t>
  </si>
  <si>
    <t>Min</t>
  </si>
  <si>
    <t>GU</t>
  </si>
  <si>
    <t>|GU|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</si>
</sst>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3.9391283201088765</c:v>
                </c:pt>
                <c:pt idx="1">
                  <c:v>4.5536753558410581E-2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-2.1648756982446056</c:v>
                </c:pt>
                <c:pt idx="1">
                  <c:v>25.016730122210959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-2.2667522178688895</c:v>
                </c:pt>
                <c:pt idx="1">
                  <c:v>24.914853602586675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0.96773965122981664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6.7559006349139796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-11.027972763528604</c:v>
                </c:pt>
                <c:pt idx="1">
                  <c:v>-12.729527944049432</c:v>
                </c:pt>
                <c:pt idx="2">
                  <c:v>3.1088058610025913</c:v>
                </c:pt>
                <c:pt idx="3">
                  <c:v>3.1088058610025913</c:v>
                </c:pt>
                <c:pt idx="4">
                  <c:v>11.027972763528604</c:v>
                </c:pt>
                <c:pt idx="5">
                  <c:v>12.729527944049432</c:v>
                </c:pt>
                <c:pt idx="6">
                  <c:v>4.8103610415234206</c:v>
                </c:pt>
                <c:pt idx="7">
                  <c:v>4.8103610415234206</c:v>
                </c:pt>
                <c:pt idx="8">
                  <c:v>-11.027972763528604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7.6409303574153373</c:v>
                </c:pt>
                <c:pt idx="1">
                  <c:v>-4.2378199963736805</c:v>
                </c:pt>
                <c:pt idx="2">
                  <c:v>-6.5065602370681184</c:v>
                </c:pt>
                <c:pt idx="3">
                  <c:v>-6.5065602370681184</c:v>
                </c:pt>
                <c:pt idx="4">
                  <c:v>-7.6409303574153373</c:v>
                </c:pt>
                <c:pt idx="5">
                  <c:v>4.2378199963736805</c:v>
                </c:pt>
                <c:pt idx="6">
                  <c:v>5.3721901167208994</c:v>
                </c:pt>
                <c:pt idx="7">
                  <c:v>5.3721901167208994</c:v>
                </c:pt>
                <c:pt idx="8">
                  <c:v>7.6409303574153373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-9.3317735679839053</c:v>
                </c:pt>
                <c:pt idx="1">
                  <c:v>-7.3519818423524024</c:v>
                </c:pt>
                <c:pt idx="2">
                  <c:v>-9.6153660980707105</c:v>
                </c:pt>
                <c:pt idx="3">
                  <c:v>-7.6355743724392067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5.3775461016970301</c:v>
                </c:pt>
                <c:pt idx="1">
                  <c:v>5.0939535716102249</c:v>
                </c:pt>
                <c:pt idx="2">
                  <c:v>3.3977543760655271</c:v>
                </c:pt>
                <c:pt idx="3">
                  <c:v>3.1141618459787219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-13.729527944049432</c:v>
                </c:pt>
                <c:pt idx="1">
                  <c:v>13.729527944049432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4.0485748185335133</c:v>
                </c:pt>
                <c:pt idx="1">
                  <c:v>4.0485748185335133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-13.729527944049432</c:v>
                </c:pt>
                <c:pt idx="1">
                  <c:v>13.729527944049432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4.7670459263098781</c:v>
                </c:pt>
                <c:pt idx="1">
                  <c:v>4.7670459263098781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-11.027972763528604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9.0349415007583698</c:v>
                </c:pt>
                <c:pt idx="6">
                  <c:v>4.8103610415234206</c:v>
                </c:pt>
                <c:pt idx="7">
                  <c:v>4.8103610415234206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7.6409303574153373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4.7670459263098781</c:v>
                </c:pt>
                <c:pt idx="6">
                  <c:v>5.3721901167208994</c:v>
                </c:pt>
                <c:pt idx="7">
                  <c:v>5.3721901167208994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-11.439638367764983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4.8103610415234206</c:v>
                </c:pt>
                <c:pt idx="6">
                  <c:v>4.8103610415234206</c:v>
                </c:pt>
                <c:pt idx="7">
                  <c:v>-11.027972763528604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4.7670459263098781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5.3721901167208994</c:v>
                </c:pt>
                <c:pt idx="6">
                  <c:v>5.3721901167208994</c:v>
                </c:pt>
                <c:pt idx="7">
                  <c:v>7.6409303574153373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14.142135623730951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53.896899204056126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85.000000000906084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14.142135623730951</c:v>
                </c:pt>
                <c:pt idx="1">
                  <c:v>53.896899204056126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85</c:v>
                </c:pt>
                <c:pt idx="1">
                  <c:v>85.000000000906084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321.59462430293439</c:v>
                </c:pt>
                <c:pt idx="1">
                  <c:v>321.48509880847843</c:v>
                </c:pt>
                <c:pt idx="2">
                  <c:v>321.35959713654779</c:v>
                </c:pt>
                <c:pt idx="3">
                  <c:v>321.21799897789538</c:v>
                </c:pt>
                <c:pt idx="4">
                  <c:v>321.06014455879944</c:v>
                </c:pt>
                <c:pt idx="5">
                  <c:v>320.88583397684596</c:v>
                </c:pt>
                <c:pt idx="6">
                  <c:v>320.69482633261089</c:v>
                </c:pt>
                <c:pt idx="7">
                  <c:v>320.486838637093</c:v>
                </c:pt>
                <c:pt idx="8">
                  <c:v>320.26154449424598</c:v>
                </c:pt>
                <c:pt idx="9">
                  <c:v>320.01857254018199</c:v>
                </c:pt>
                <c:pt idx="10">
                  <c:v>316.38410155181941</c:v>
                </c:pt>
                <c:pt idx="11">
                  <c:v>312.84650295864282</c:v>
                </c:pt>
                <c:pt idx="12">
                  <c:v>309.40884580186821</c:v>
                </c:pt>
                <c:pt idx="13">
                  <c:v>306.0631024817834</c:v>
                </c:pt>
                <c:pt idx="14">
                  <c:v>302.80187594498676</c:v>
                </c:pt>
                <c:pt idx="15">
                  <c:v>299.61856463550015</c:v>
                </c:pt>
                <c:pt idx="16">
                  <c:v>296.50746837669806</c:v>
                </c:pt>
                <c:pt idx="17">
                  <c:v>293.46355701412284</c:v>
                </c:pt>
                <c:pt idx="18">
                  <c:v>290.48228444029621</c:v>
                </c:pt>
                <c:pt idx="19">
                  <c:v>287.55946774940622</c:v>
                </c:pt>
                <c:pt idx="20">
                  <c:v>284.69120662968038</c:v>
                </c:pt>
                <c:pt idx="21">
                  <c:v>281.8738280430685</c:v>
                </c:pt>
                <c:pt idx="22">
                  <c:v>279.10384703736401</c:v>
                </c:pt>
                <c:pt idx="23">
                  <c:v>276.37793799523456</c:v>
                </c:pt>
                <c:pt idx="24">
                  <c:v>273.69291270272379</c:v>
                </c:pt>
                <c:pt idx="25">
                  <c:v>271.04570293095748</c:v>
                </c:pt>
                <c:pt idx="26">
                  <c:v>268.43334602895959</c:v>
                </c:pt>
                <c:pt idx="27">
                  <c:v>265.85297254611498</c:v>
                </c:pt>
                <c:pt idx="28">
                  <c:v>263.30179523258164</c:v>
                </c:pt>
                <c:pt idx="29">
                  <c:v>260.77709898512222</c:v>
                </c:pt>
                <c:pt idx="30">
                  <c:v>258.27623143781699</c:v>
                </c:pt>
                <c:pt idx="31">
                  <c:v>255.79659399962929</c:v>
                </c:pt>
                <c:pt idx="32">
                  <c:v>252.86529568795436</c:v>
                </c:pt>
                <c:pt idx="33">
                  <c:v>249.84395006185872</c:v>
                </c:pt>
                <c:pt idx="34">
                  <c:v>246.83311503225522</c:v>
                </c:pt>
                <c:pt idx="35">
                  <c:v>243.83145121395285</c:v>
                </c:pt>
                <c:pt idx="36">
                  <c:v>240.83757837403365</c:v>
                </c:pt>
                <c:pt idx="37">
                  <c:v>237.85007735733674</c:v>
                </c:pt>
                <c:pt idx="38">
                  <c:v>234.62029333565053</c:v>
                </c:pt>
                <c:pt idx="39">
                  <c:v>231.3012263375862</c:v>
                </c:pt>
                <c:pt idx="40">
                  <c:v>227.66214503399914</c:v>
                </c:pt>
                <c:pt idx="41">
                  <c:v>223.88321065052079</c:v>
                </c:pt>
                <c:pt idx="42">
                  <c:v>220.08952715177276</c:v>
                </c:pt>
                <c:pt idx="43">
                  <c:v>216.281311878916</c:v>
                </c:pt>
                <c:pt idx="44">
                  <c:v>212.45894553828916</c:v>
                </c:pt>
                <c:pt idx="45">
                  <c:v>208.62301977422351</c:v>
                </c:pt>
                <c:pt idx="46">
                  <c:v>204.77439675797302</c:v>
                </c:pt>
                <c:pt idx="47">
                  <c:v>200.91428437080944</c:v>
                </c:pt>
                <c:pt idx="48">
                  <c:v>197.04433179040527</c:v>
                </c:pt>
                <c:pt idx="49">
                  <c:v>193.16675200966975</c:v>
                </c:pt>
                <c:pt idx="50">
                  <c:v>188.99833848462137</c:v>
                </c:pt>
                <c:pt idx="51">
                  <c:v>184.82711485414885</c:v>
                </c:pt>
                <c:pt idx="52">
                  <c:v>181.26547089969958</c:v>
                </c:pt>
                <c:pt idx="53">
                  <c:v>177.84312012672189</c:v>
                </c:pt>
                <c:pt idx="54">
                  <c:v>174.4162559008571</c:v>
                </c:pt>
                <c:pt idx="55">
                  <c:v>170.99940656074281</c:v>
                </c:pt>
                <c:pt idx="56">
                  <c:v>167.60174969532099</c:v>
                </c:pt>
                <c:pt idx="57">
                  <c:v>164.22055722659761</c:v>
                </c:pt>
                <c:pt idx="58">
                  <c:v>160.85212303866408</c:v>
                </c:pt>
                <c:pt idx="59">
                  <c:v>157.49272647045564</c:v>
                </c:pt>
                <c:pt idx="60">
                  <c:v>154.13860423249739</c:v>
                </c:pt>
                <c:pt idx="61">
                  <c:v>150.78591937701623</c:v>
                </c:pt>
                <c:pt idx="62">
                  <c:v>147.4307262705658</c:v>
                </c:pt>
                <c:pt idx="63">
                  <c:v>144.06893022465124</c:v>
                </c:pt>
                <c:pt idx="64">
                  <c:v>140.69624003708049</c:v>
                </c:pt>
                <c:pt idx="65">
                  <c:v>137.3081111185295</c:v>
                </c:pt>
                <c:pt idx="66">
                  <c:v>133.89967608089313</c:v>
                </c:pt>
                <c:pt idx="67">
                  <c:v>130.46565851829416</c:v>
                </c:pt>
                <c:pt idx="68">
                  <c:v>127.00026405055638</c:v>
                </c:pt>
                <c:pt idx="69">
                  <c:v>123.49704028322662</c:v>
                </c:pt>
                <c:pt idx="70">
                  <c:v>119.94869372060739</c:v>
                </c:pt>
                <c:pt idx="71">
                  <c:v>116.34684622454351</c:v>
                </c:pt>
                <c:pt idx="72">
                  <c:v>112.68170518532038</c:v>
                </c:pt>
                <c:pt idx="73">
                  <c:v>108.94160834280294</c:v>
                </c:pt>
                <c:pt idx="74">
                  <c:v>105.1123829011393</c:v>
                </c:pt>
                <c:pt idx="75">
                  <c:v>101.18002702346496</c:v>
                </c:pt>
                <c:pt idx="76">
                  <c:v>97.142422495569818</c:v>
                </c:pt>
                <c:pt idx="77">
                  <c:v>93.000324837165252</c:v>
                </c:pt>
                <c:pt idx="78">
                  <c:v>88.753902254271622</c:v>
                </c:pt>
                <c:pt idx="79">
                  <c:v>84.402846304765049</c:v>
                </c:pt>
                <c:pt idx="80">
                  <c:v>79.946498375482221</c:v>
                </c:pt>
                <c:pt idx="81">
                  <c:v>75.384009913557975</c:v>
                </c:pt>
                <c:pt idx="82">
                  <c:v>70.714564989895891</c:v>
                </c:pt>
                <c:pt idx="83">
                  <c:v>65.937714748049174</c:v>
                </c:pt>
                <c:pt idx="84">
                  <c:v>61.083299903119823</c:v>
                </c:pt>
                <c:pt idx="85">
                  <c:v>56.125062577878595</c:v>
                </c:pt>
                <c:pt idx="86">
                  <c:v>51.117333336140845</c:v>
                </c:pt>
                <c:pt idx="87">
                  <c:v>46.049701191548408</c:v>
                </c:pt>
                <c:pt idx="88">
                  <c:v>40.919958660131712</c:v>
                </c:pt>
                <c:pt idx="89">
                  <c:v>35.738112082415618</c:v>
                </c:pt>
                <c:pt idx="90">
                  <c:v>30.489309906991981</c:v>
                </c:pt>
                <c:pt idx="91">
                  <c:v>20.367119944535101</c:v>
                </c:pt>
                <c:pt idx="92">
                  <c:v>10.461128788507319</c:v>
                </c:pt>
                <c:pt idx="93">
                  <c:v>0.79495675521119613</c:v>
                </c:pt>
                <c:pt idx="94">
                  <c:v>-8.4290504996670244</c:v>
                </c:pt>
                <c:pt idx="95">
                  <c:v>-16.978791843483499</c:v>
                </c:pt>
                <c:pt idx="96">
                  <c:v>-24.70317876926174</c:v>
                </c:pt>
                <c:pt idx="97">
                  <c:v>-31.506972054333222</c:v>
                </c:pt>
                <c:pt idx="98">
                  <c:v>-37.319468238540459</c:v>
                </c:pt>
                <c:pt idx="99">
                  <c:v>-42.06956399403569</c:v>
                </c:pt>
                <c:pt idx="100">
                  <c:v>-45.797444812626118</c:v>
                </c:pt>
                <c:pt idx="101">
                  <c:v>-48.76761225319197</c:v>
                </c:pt>
                <c:pt idx="102">
                  <c:v>-51.184102986836429</c:v>
                </c:pt>
                <c:pt idx="103">
                  <c:v>-53.185100400432205</c:v>
                </c:pt>
                <c:pt idx="104">
                  <c:v>-54.867258282034726</c:v>
                </c:pt>
                <c:pt idx="105">
                  <c:v>-56.30004861144031</c:v>
                </c:pt>
                <c:pt idx="106">
                  <c:v>-57.534583544552298</c:v>
                </c:pt>
                <c:pt idx="107">
                  <c:v>-58.598288459052682</c:v>
                </c:pt>
                <c:pt idx="108">
                  <c:v>-59.526202960978978</c:v>
                </c:pt>
                <c:pt idx="109">
                  <c:v>-60.349042194301454</c:v>
                </c:pt>
                <c:pt idx="110">
                  <c:v>-61.084180740033688</c:v>
                </c:pt>
                <c:pt idx="111">
                  <c:v>-61.745478651288614</c:v>
                </c:pt>
                <c:pt idx="112">
                  <c:v>-62.344117093598662</c:v>
                </c:pt>
                <c:pt idx="113">
                  <c:v>-62.88920861091529</c:v>
                </c:pt>
                <c:pt idx="114">
                  <c:v>-63.388249466685082</c:v>
                </c:pt>
                <c:pt idx="115">
                  <c:v>-63.847459503704563</c:v>
                </c:pt>
                <c:pt idx="116">
                  <c:v>-64.272040656303247</c:v>
                </c:pt>
                <c:pt idx="117">
                  <c:v>-64.666375839346671</c:v>
                </c:pt>
                <c:pt idx="118">
                  <c:v>-65.034183568211844</c:v>
                </c:pt>
                <c:pt idx="119">
                  <c:v>-65.37863932464856</c:v>
                </c:pt>
                <c:pt idx="120">
                  <c:v>-65.702471691486792</c:v>
                </c:pt>
                <c:pt idx="121">
                  <c:v>-66.008039138059829</c:v>
                </c:pt>
                <c:pt idx="122">
                  <c:v>-66.297391839280351</c:v>
                </c:pt>
                <c:pt idx="123">
                  <c:v>-66.572321814164454</c:v>
                </c:pt>
                <c:pt idx="124">
                  <c:v>-66.834403887975554</c:v>
                </c:pt>
                <c:pt idx="125">
                  <c:v>-67.085029374167192</c:v>
                </c:pt>
                <c:pt idx="126">
                  <c:v>-67.325433962974884</c:v>
                </c:pt>
                <c:pt idx="127">
                  <c:v>-67.556720959242213</c:v>
                </c:pt>
                <c:pt idx="128">
                  <c:v>-67.779880760172546</c:v>
                </c:pt>
                <c:pt idx="129">
                  <c:v>-67.995807301656555</c:v>
                </c:pt>
                <c:pt idx="130">
                  <c:v>-68.205312023135534</c:v>
                </c:pt>
                <c:pt idx="131">
                  <c:v>-68.40913580655436</c:v>
                </c:pt>
                <c:pt idx="132">
                  <c:v>-68.607959272731321</c:v>
                </c:pt>
                <c:pt idx="133">
                  <c:v>-68.802411706404328</c:v>
                </c:pt>
                <c:pt idx="134">
                  <c:v>-68.993078881127985</c:v>
                </c:pt>
                <c:pt idx="135">
                  <c:v>-69.180509973815631</c:v>
                </c:pt>
                <c:pt idx="136">
                  <c:v>-69.36522373401327</c:v>
                </c:pt>
                <c:pt idx="137">
                  <c:v>-69.547714081950403</c:v>
                </c:pt>
                <c:pt idx="138">
                  <c:v>-69.728455217176148</c:v>
                </c:pt>
                <c:pt idx="139">
                  <c:v>-69.907906390764211</c:v>
                </c:pt>
                <c:pt idx="140">
                  <c:v>-70.08651641359657</c:v>
                </c:pt>
                <c:pt idx="141">
                  <c:v>-70.264728007289776</c:v>
                </c:pt>
                <c:pt idx="142">
                  <c:v>-70.44298207076703</c:v>
                </c:pt>
                <c:pt idx="143">
                  <c:v>-70.621721973861852</c:v>
                </c:pt>
                <c:pt idx="144">
                  <c:v>-70.80139794045968</c:v>
                </c:pt>
                <c:pt idx="145">
                  <c:v>-70.982471638845979</c:v>
                </c:pt>
                <c:pt idx="146">
                  <c:v>-71.165421060086217</c:v>
                </c:pt>
                <c:pt idx="147">
                  <c:v>-71.350745827984852</c:v>
                </c:pt>
                <c:pt idx="148">
                  <c:v>-71.538973050538473</c:v>
                </c:pt>
                <c:pt idx="149">
                  <c:v>-71.730663886304427</c:v>
                </c:pt>
                <c:pt idx="150">
                  <c:v>-71.926421015424836</c:v>
                </c:pt>
                <c:pt idx="151">
                  <c:v>-72.126897251902449</c:v>
                </c:pt>
                <c:pt idx="152">
                  <c:v>-72.332805584460431</c:v>
                </c:pt>
                <c:pt idx="153">
                  <c:v>-72.544931026521454</c:v>
                </c:pt>
                <c:pt idx="154">
                  <c:v>-72.764144719879354</c:v>
                </c:pt>
                <c:pt idx="155">
                  <c:v>-72.991420929878217</c:v>
                </c:pt>
                <c:pt idx="156">
                  <c:v>-73.227857452755373</c:v>
                </c:pt>
                <c:pt idx="157">
                  <c:v>-73.474135909484048</c:v>
                </c:pt>
                <c:pt idx="158">
                  <c:v>-73.729330551737618</c:v>
                </c:pt>
                <c:pt idx="159">
                  <c:v>-73.992328491602535</c:v>
                </c:pt>
                <c:pt idx="160">
                  <c:v>-74.262144000784602</c:v>
                </c:pt>
                <c:pt idx="161">
                  <c:v>-74.537885707930215</c:v>
                </c:pt>
                <c:pt idx="162">
                  <c:v>-74.818727371993447</c:v>
                </c:pt>
                <c:pt idx="163">
                  <c:v>-75.103880992490133</c:v>
                </c:pt>
                <c:pt idx="164">
                  <c:v>-75.393329383905439</c:v>
                </c:pt>
                <c:pt idx="165">
                  <c:v>-75.693234151588356</c:v>
                </c:pt>
                <c:pt idx="166">
                  <c:v>-75.995415300578372</c:v>
                </c:pt>
                <c:pt idx="167">
                  <c:v>-76.298950088901776</c:v>
                </c:pt>
                <c:pt idx="168">
                  <c:v>-76.602821069742291</c:v>
                </c:pt>
                <c:pt idx="169">
                  <c:v>-76.905887518468788</c:v>
                </c:pt>
                <c:pt idx="170">
                  <c:v>-77.206858036805514</c:v>
                </c:pt>
                <c:pt idx="171">
                  <c:v>-77.504268527028643</c:v>
                </c:pt>
                <c:pt idx="172">
                  <c:v>-77.796475168332989</c:v>
                </c:pt>
                <c:pt idx="173">
                  <c:v>-78.081684574174034</c:v>
                </c:pt>
                <c:pt idx="174">
                  <c:v>-78.358074782213535</c:v>
                </c:pt>
                <c:pt idx="175">
                  <c:v>-78.624148315089712</c:v>
                </c:pt>
                <c:pt idx="176">
                  <c:v>-78.879419485293852</c:v>
                </c:pt>
                <c:pt idx="177">
                  <c:v>-79.124084511970466</c:v>
                </c:pt>
                <c:pt idx="178">
                  <c:v>-79.35836155053704</c:v>
                </c:pt>
                <c:pt idx="179">
                  <c:v>-79.582450033902958</c:v>
                </c:pt>
                <c:pt idx="180">
                  <c:v>-79.796532593169047</c:v>
                </c:pt>
                <c:pt idx="181">
                  <c:v>-79.564564406537684</c:v>
                </c:pt>
                <c:pt idx="182">
                  <c:v>-79.339685424366763</c:v>
                </c:pt>
                <c:pt idx="183">
                  <c:v>-79.119108784456117</c:v>
                </c:pt>
                <c:pt idx="184">
                  <c:v>-78.900518253028494</c:v>
                </c:pt>
                <c:pt idx="185">
                  <c:v>-78.681958691487893</c:v>
                </c:pt>
                <c:pt idx="186">
                  <c:v>-78.46175378972471</c:v>
                </c:pt>
                <c:pt idx="187">
                  <c:v>-78.23851476890087</c:v>
                </c:pt>
                <c:pt idx="188">
                  <c:v>-78.011469155277183</c:v>
                </c:pt>
                <c:pt idx="189">
                  <c:v>-77.780341312045067</c:v>
                </c:pt>
                <c:pt idx="190">
                  <c:v>-77.545033101547574</c:v>
                </c:pt>
                <c:pt idx="191">
                  <c:v>-77.305487872506603</c:v>
                </c:pt>
                <c:pt idx="192">
                  <c:v>-77.06163830089038</c:v>
                </c:pt>
                <c:pt idx="193">
                  <c:v>-76.813388210080944</c:v>
                </c:pt>
                <c:pt idx="194">
                  <c:v>-76.560608360085638</c:v>
                </c:pt>
                <c:pt idx="195">
                  <c:v>-76.303137776745046</c:v>
                </c:pt>
                <c:pt idx="196">
                  <c:v>-76.040786955351763</c:v>
                </c:pt>
                <c:pt idx="197">
                  <c:v>-75.773341377981311</c:v>
                </c:pt>
                <c:pt idx="198">
                  <c:v>-75.500564704448905</c:v>
                </c:pt>
                <c:pt idx="199">
                  <c:v>-75.222201437075938</c:v>
                </c:pt>
                <c:pt idx="200">
                  <c:v>-74.937979030322396</c:v>
                </c:pt>
                <c:pt idx="201">
                  <c:v>-74.647609493354707</c:v>
                </c:pt>
                <c:pt idx="202">
                  <c:v>-74.350790579455818</c:v>
                </c:pt>
                <c:pt idx="203">
                  <c:v>-74.047206650587185</c:v>
                </c:pt>
                <c:pt idx="204">
                  <c:v>-73.736529284925936</c:v>
                </c:pt>
                <c:pt idx="205">
                  <c:v>-73.418417726852695</c:v>
                </c:pt>
                <c:pt idx="206">
                  <c:v>-73.092519228328399</c:v>
                </c:pt>
                <c:pt idx="207">
                  <c:v>-72.758469370604828</c:v>
                </c:pt>
                <c:pt idx="208">
                  <c:v>-72.415892413059467</c:v>
                </c:pt>
                <c:pt idx="209">
                  <c:v>-72.064401749802627</c:v>
                </c:pt>
                <c:pt idx="210">
                  <c:v>-71.703600541268742</c:v>
                </c:pt>
                <c:pt idx="211">
                  <c:v>-71.333082606928244</c:v>
                </c:pt>
                <c:pt idx="212">
                  <c:v>-70.952433666182728</c:v>
                </c:pt>
                <c:pt idx="213">
                  <c:v>-70.558542047426016</c:v>
                </c:pt>
                <c:pt idx="214">
                  <c:v>-70.150910138560519</c:v>
                </c:pt>
                <c:pt idx="215">
                  <c:v>-69.731535879428122</c:v>
                </c:pt>
                <c:pt idx="216">
                  <c:v>-69.299955218816237</c:v>
                </c:pt>
                <c:pt idx="217">
                  <c:v>-68.855707509903382</c:v>
                </c:pt>
                <c:pt idx="218">
                  <c:v>-68.398341555709607</c:v>
                </c:pt>
                <c:pt idx="219">
                  <c:v>-67.927397602238102</c:v>
                </c:pt>
                <c:pt idx="220">
                  <c:v>-67.441999584351848</c:v>
                </c:pt>
                <c:pt idx="221">
                  <c:v>-66.940872321082452</c:v>
                </c:pt>
                <c:pt idx="222">
                  <c:v>-66.422647905883608</c:v>
                </c:pt>
                <c:pt idx="223">
                  <c:v>-65.885862994185871</c:v>
                </c:pt>
                <c:pt idx="224">
                  <c:v>-65.328944867444051</c:v>
                </c:pt>
                <c:pt idx="225">
                  <c:v>-64.750195981991737</c:v>
                </c:pt>
                <c:pt idx="226">
                  <c:v>-64.147776709085761</c:v>
                </c:pt>
                <c:pt idx="227">
                  <c:v>-63.519685871826596</c:v>
                </c:pt>
                <c:pt idx="228">
                  <c:v>-62.863738711932534</c:v>
                </c:pt>
                <c:pt idx="229">
                  <c:v>-62.177541747030659</c:v>
                </c:pt>
                <c:pt idx="230">
                  <c:v>-61.458463962231583</c:v>
                </c:pt>
                <c:pt idx="231">
                  <c:v>-60.703603620935802</c:v>
                </c:pt>
                <c:pt idx="232">
                  <c:v>-59.90974982977103</c:v>
                </c:pt>
                <c:pt idx="233">
                  <c:v>-59.073337845993493</c:v>
                </c:pt>
                <c:pt idx="234">
                  <c:v>-58.190396832546469</c:v>
                </c:pt>
                <c:pt idx="235">
                  <c:v>-57.256488519770102</c:v>
                </c:pt>
                <c:pt idx="236">
                  <c:v>-56.266634822018545</c:v>
                </c:pt>
                <c:pt idx="237">
                  <c:v>-55.215232016403164</c:v>
                </c:pt>
                <c:pt idx="238">
                  <c:v>-54.0950015863856</c:v>
                </c:pt>
                <c:pt idx="239">
                  <c:v>-52.888351563141846</c:v>
                </c:pt>
                <c:pt idx="240">
                  <c:v>-51.596985803935723</c:v>
                </c:pt>
                <c:pt idx="241">
                  <c:v>-50.211346732905042</c:v>
                </c:pt>
                <c:pt idx="242">
                  <c:v>-48.720446289098568</c:v>
                </c:pt>
                <c:pt idx="243">
                  <c:v>-47.111590275450567</c:v>
                </c:pt>
                <c:pt idx="244">
                  <c:v>-45.370037279329935</c:v>
                </c:pt>
                <c:pt idx="245">
                  <c:v>-43.478573438316531</c:v>
                </c:pt>
                <c:pt idx="246">
                  <c:v>-41.41697792252571</c:v>
                </c:pt>
                <c:pt idx="247">
                  <c:v>-39.161345118015802</c:v>
                </c:pt>
                <c:pt idx="248">
                  <c:v>-36.683216910425287</c:v>
                </c:pt>
                <c:pt idx="249">
                  <c:v>-33.948460362277565</c:v>
                </c:pt>
                <c:pt idx="250">
                  <c:v>-30.915799754911411</c:v>
                </c:pt>
                <c:pt idx="251">
                  <c:v>-27.53487295208361</c:v>
                </c:pt>
                <c:pt idx="252">
                  <c:v>-23.743623223614925</c:v>
                </c:pt>
                <c:pt idx="253">
                  <c:v>-19.464747270434138</c:v>
                </c:pt>
                <c:pt idx="254">
                  <c:v>-14.620443888643681</c:v>
                </c:pt>
                <c:pt idx="255">
                  <c:v>-9.2179637752277106</c:v>
                </c:pt>
                <c:pt idx="256">
                  <c:v>-3.2894798013750073</c:v>
                </c:pt>
                <c:pt idx="257">
                  <c:v>3.1386169303067826</c:v>
                </c:pt>
                <c:pt idx="258">
                  <c:v>10.043400968832678</c:v>
                </c:pt>
                <c:pt idx="259">
                  <c:v>17.802605903006693</c:v>
                </c:pt>
                <c:pt idx="260">
                  <c:v>26.000186999455948</c:v>
                </c:pt>
                <c:pt idx="261">
                  <c:v>34.22202182157065</c:v>
                </c:pt>
                <c:pt idx="262">
                  <c:v>42.68735143610504</c:v>
                </c:pt>
                <c:pt idx="263">
                  <c:v>51.900394938556346</c:v>
                </c:pt>
                <c:pt idx="264">
                  <c:v>61.905656160437871</c:v>
                </c:pt>
                <c:pt idx="265">
                  <c:v>72.73337434885326</c:v>
                </c:pt>
                <c:pt idx="266">
                  <c:v>84.393020319689512</c:v>
                </c:pt>
                <c:pt idx="267">
                  <c:v>94.959054917290132</c:v>
                </c:pt>
                <c:pt idx="268">
                  <c:v>105.65677748540119</c:v>
                </c:pt>
                <c:pt idx="269">
                  <c:v>117.93956302593406</c:v>
                </c:pt>
                <c:pt idx="270">
                  <c:v>127.9799999999895</c:v>
                </c:pt>
                <c:pt idx="271">
                  <c:v>134.26612309568009</c:v>
                </c:pt>
                <c:pt idx="272">
                  <c:v>136.60013776694521</c:v>
                </c:pt>
                <c:pt idx="273">
                  <c:v>139.23747025517244</c:v>
                </c:pt>
                <c:pt idx="274">
                  <c:v>142.11202004996915</c:v>
                </c:pt>
                <c:pt idx="275">
                  <c:v>145.16734920044371</c:v>
                </c:pt>
                <c:pt idx="276">
                  <c:v>148.34915273320269</c:v>
                </c:pt>
                <c:pt idx="277">
                  <c:v>151.61577659568411</c:v>
                </c:pt>
                <c:pt idx="278">
                  <c:v>154.93699163148489</c:v>
                </c:pt>
                <c:pt idx="279">
                  <c:v>158.29064011484121</c:v>
                </c:pt>
                <c:pt idx="280">
                  <c:v>161.66012542589107</c:v>
                </c:pt>
                <c:pt idx="281">
                  <c:v>165.03269510361503</c:v>
                </c:pt>
                <c:pt idx="282">
                  <c:v>168.39826050450364</c:v>
                </c:pt>
                <c:pt idx="283">
                  <c:v>171.74856456166142</c:v>
                </c:pt>
                <c:pt idx="284">
                  <c:v>175.07657549703239</c:v>
                </c:pt>
                <c:pt idx="285">
                  <c:v>178.25679767281184</c:v>
                </c:pt>
                <c:pt idx="286">
                  <c:v>181.37074358602837</c:v>
                </c:pt>
                <c:pt idx="287">
                  <c:v>184.46187085377184</c:v>
                </c:pt>
                <c:pt idx="288">
                  <c:v>187.52413556235561</c:v>
                </c:pt>
                <c:pt idx="289">
                  <c:v>190.55129624097671</c:v>
                </c:pt>
                <c:pt idx="290">
                  <c:v>193.53668654635067</c:v>
                </c:pt>
                <c:pt idx="291">
                  <c:v>196.47296937295982</c:v>
                </c:pt>
                <c:pt idx="292">
                  <c:v>199.35185642963171</c:v>
                </c:pt>
                <c:pt idx="293">
                  <c:v>202.16748201964296</c:v>
                </c:pt>
                <c:pt idx="294">
                  <c:v>204.92806420446865</c:v>
                </c:pt>
                <c:pt idx="295">
                  <c:v>207.64423849621497</c:v>
                </c:pt>
                <c:pt idx="296">
                  <c:v>210.32519554955587</c:v>
                </c:pt>
                <c:pt idx="297">
                  <c:v>212.97898492600225</c:v>
                </c:pt>
                <c:pt idx="298">
                  <c:v>215.61275118726905</c:v>
                </c:pt>
                <c:pt idx="299">
                  <c:v>218.23291976350919</c:v>
                </c:pt>
                <c:pt idx="300">
                  <c:v>220.84534520286499</c:v>
                </c:pt>
                <c:pt idx="301">
                  <c:v>223.45543099593471</c:v>
                </c:pt>
                <c:pt idx="302">
                  <c:v>225.93674512436075</c:v>
                </c:pt>
                <c:pt idx="303">
                  <c:v>228.32451042246623</c:v>
                </c:pt>
                <c:pt idx="304">
                  <c:v>230.68407100913009</c:v>
                </c:pt>
                <c:pt idx="305">
                  <c:v>233.01161789129145</c:v>
                </c:pt>
                <c:pt idx="306">
                  <c:v>235.30527563703885</c:v>
                </c:pt>
                <c:pt idx="307">
                  <c:v>237.56451115828526</c:v>
                </c:pt>
                <c:pt idx="308">
                  <c:v>239.78972282127742</c:v>
                </c:pt>
                <c:pt idx="309">
                  <c:v>241.98195216025422</c:v>
                </c:pt>
                <c:pt idx="310">
                  <c:v>244.14268019020489</c:v>
                </c:pt>
                <c:pt idx="311">
                  <c:v>246.27368283571766</c:v>
                </c:pt>
                <c:pt idx="312">
                  <c:v>248.37692811695842</c:v>
                </c:pt>
                <c:pt idx="313">
                  <c:v>250.45450310141044</c:v>
                </c:pt>
                <c:pt idx="314">
                  <c:v>252.50856223644033</c:v>
                </c:pt>
                <c:pt idx="315">
                  <c:v>254.54129113760214</c:v>
                </c:pt>
                <c:pt idx="316">
                  <c:v>256.55488160480752</c:v>
                </c:pt>
                <c:pt idx="317">
                  <c:v>258.55151482582903</c:v>
                </c:pt>
                <c:pt idx="318">
                  <c:v>260.53335056427784</c:v>
                </c:pt>
                <c:pt idx="319">
                  <c:v>262.50252072588415</c:v>
                </c:pt>
                <c:pt idx="320">
                  <c:v>264.46112612664183</c:v>
                </c:pt>
                <c:pt idx="321">
                  <c:v>266.41123559626908</c:v>
                </c:pt>
                <c:pt idx="322">
                  <c:v>268.35488677701409</c:v>
                </c:pt>
                <c:pt idx="323">
                  <c:v>270.29408814391883</c:v>
                </c:pt>
                <c:pt idx="324">
                  <c:v>272.23082189426219</c:v>
                </c:pt>
                <c:pt idx="325">
                  <c:v>274.16704744525612</c:v>
                </c:pt>
                <c:pt idx="326">
                  <c:v>276.10470534584823</c:v>
                </c:pt>
                <c:pt idx="327">
                  <c:v>278.0457214591454</c:v>
                </c:pt>
                <c:pt idx="328">
                  <c:v>279.9920113116284</c:v>
                </c:pt>
                <c:pt idx="329">
                  <c:v>281.94548453417792</c:v>
                </c:pt>
                <c:pt idx="330">
                  <c:v>283.90804934626476</c:v>
                </c:pt>
                <c:pt idx="331">
                  <c:v>285.88161705473101</c:v>
                </c:pt>
                <c:pt idx="332">
                  <c:v>287.86810656426644</c:v>
                </c:pt>
                <c:pt idx="333">
                  <c:v>289.86944891842802</c:v>
                </c:pt>
                <c:pt idx="334">
                  <c:v>291.88759192369946</c:v>
                </c:pt>
                <c:pt idx="335">
                  <c:v>293.92450495642123</c:v>
                </c:pt>
                <c:pt idx="336">
                  <c:v>295.98218410979695</c:v>
                </c:pt>
                <c:pt idx="337">
                  <c:v>298.06265794543339</c:v>
                </c:pt>
                <c:pt idx="338">
                  <c:v>300.16799424729044</c:v>
                </c:pt>
                <c:pt idx="339">
                  <c:v>302.30030840722196</c:v>
                </c:pt>
                <c:pt idx="340">
                  <c:v>304.4617744077504</c:v>
                </c:pt>
                <c:pt idx="341">
                  <c:v>306.65463990099403</c:v>
                </c:pt>
                <c:pt idx="342">
                  <c:v>308.88124771440312</c:v>
                </c:pt>
                <c:pt idx="343">
                  <c:v>311.14406743908864</c:v>
                </c:pt>
                <c:pt idx="344">
                  <c:v>313.44574289154758</c:v>
                </c:pt>
                <c:pt idx="345">
                  <c:v>315.78916474076954</c:v>
                </c:pt>
                <c:pt idx="346">
                  <c:v>318.17758346360699</c:v>
                </c:pt>
                <c:pt idx="347">
                  <c:v>318.86079640242394</c:v>
                </c:pt>
                <c:pt idx="348">
                  <c:v>319.17916174457184</c:v>
                </c:pt>
                <c:pt idx="349">
                  <c:v>319.47787377769674</c:v>
                </c:pt>
                <c:pt idx="350">
                  <c:v>319.75750463382303</c:v>
                </c:pt>
                <c:pt idx="351">
                  <c:v>320.01857254017779</c:v>
                </c:pt>
                <c:pt idx="352">
                  <c:v>320.26154449424166</c:v>
                </c:pt>
                <c:pt idx="353">
                  <c:v>320.48683863708902</c:v>
                </c:pt>
                <c:pt idx="354">
                  <c:v>320.69482633260697</c:v>
                </c:pt>
                <c:pt idx="355">
                  <c:v>320.88583397684181</c:v>
                </c:pt>
                <c:pt idx="356">
                  <c:v>321.06014455879563</c:v>
                </c:pt>
                <c:pt idx="357">
                  <c:v>321.2179989778914</c:v>
                </c:pt>
                <c:pt idx="358">
                  <c:v>321.35959713654364</c:v>
                </c:pt>
                <c:pt idx="359">
                  <c:v>321.48509880847411</c:v>
                </c:pt>
                <c:pt idx="360">
                  <c:v>321.59462430293019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-42.660000000000018</c:v>
                </c:pt>
                <c:pt idx="1">
                  <c:v>-41.858812519794817</c:v>
                </c:pt>
                <c:pt idx="2">
                  <c:v>-41.057136680328803</c:v>
                </c:pt>
                <c:pt idx="3">
                  <c:v>-40.254482930908395</c:v>
                </c:pt>
                <c:pt idx="4">
                  <c:v>-39.450359331792853</c:v>
                </c:pt>
                <c:pt idx="5">
                  <c:v>-38.644270344160105</c:v>
                </c:pt>
                <c:pt idx="6">
                  <c:v>-37.835715601305459</c:v>
                </c:pt>
                <c:pt idx="7">
                  <c:v>-37.024188654556689</c:v>
                </c:pt>
                <c:pt idx="8">
                  <c:v>-36.209175687160254</c:v>
                </c:pt>
                <c:pt idx="9">
                  <c:v>-35.390154189103804</c:v>
                </c:pt>
                <c:pt idx="10">
                  <c:v>-34.144759690980692</c:v>
                </c:pt>
                <c:pt idx="11">
                  <c:v>-32.928122504268899</c:v>
                </c:pt>
                <c:pt idx="12">
                  <c:v>-31.739248898162813</c:v>
                </c:pt>
                <c:pt idx="13">
                  <c:v>-30.57582665640065</c:v>
                </c:pt>
                <c:pt idx="14">
                  <c:v>-29.435719360893813</c:v>
                </c:pt>
                <c:pt idx="15">
                  <c:v>-28.317052630128831</c:v>
                </c:pt>
                <c:pt idx="16">
                  <c:v>-27.218264969687446</c:v>
                </c:pt>
                <c:pt idx="17">
                  <c:v>-26.138006288526526</c:v>
                </c:pt>
                <c:pt idx="18">
                  <c:v>-25.075062435135596</c:v>
                </c:pt>
                <c:pt idx="19">
                  <c:v>-24.028310779746644</c:v>
                </c:pt>
                <c:pt idx="20">
                  <c:v>-22.9966935801191</c:v>
                </c:pt>
                <c:pt idx="21">
                  <c:v>-21.979201702780735</c:v>
                </c:pt>
                <c:pt idx="22">
                  <c:v>-20.974864445886254</c:v>
                </c:pt>
                <c:pt idx="23">
                  <c:v>-19.982742986344814</c:v>
                </c:pt>
                <c:pt idx="24">
                  <c:v>-19.00192598085783</c:v>
                </c:pt>
                <c:pt idx="25">
                  <c:v>-18.031526447463339</c:v>
                </c:pt>
                <c:pt idx="26">
                  <c:v>-17.070679401202739</c:v>
                </c:pt>
                <c:pt idx="27">
                  <c:v>-16.118539929499068</c:v>
                </c:pt>
                <c:pt idx="28">
                  <c:v>-15.174281519611803</c:v>
                </c:pt>
                <c:pt idx="29">
                  <c:v>-14.237094530757485</c:v>
                </c:pt>
                <c:pt idx="30">
                  <c:v>-13.306184747474662</c:v>
                </c:pt>
                <c:pt idx="31">
                  <c:v>-12.380771985978528</c:v>
                </c:pt>
                <c:pt idx="32">
                  <c:v>-11.234631503074368</c:v>
                </c:pt>
                <c:pt idx="33">
                  <c:v>-10.04589404611505</c:v>
                </c:pt>
                <c:pt idx="34">
                  <c:v>-8.8633858962388974</c:v>
                </c:pt>
                <c:pt idx="35">
                  <c:v>-7.6866652196067351</c:v>
                </c:pt>
                <c:pt idx="36">
                  <c:v>-6.5152911103640392</c:v>
                </c:pt>
                <c:pt idx="37">
                  <c:v>-5.34882619074435</c:v>
                </c:pt>
                <c:pt idx="38">
                  <c:v>-4.150314985263698</c:v>
                </c:pt>
                <c:pt idx="39">
                  <c:v>-2.9418770138928445</c:v>
                </c:pt>
                <c:pt idx="40">
                  <c:v>-1.6191998996947214</c:v>
                </c:pt>
                <c:pt idx="41">
                  <c:v>-0.2517997951128722</c:v>
                </c:pt>
                <c:pt idx="42">
                  <c:v>1.1132087747470656</c:v>
                </c:pt>
                <c:pt idx="43">
                  <c:v>2.4753191939726786</c:v>
                </c:pt>
                <c:pt idx="44">
                  <c:v>3.8339071926649675</c:v>
                </c:pt>
                <c:pt idx="45">
                  <c:v>5.1882055776791018</c:v>
                </c:pt>
                <c:pt idx="46">
                  <c:v>6.5372732480426254</c:v>
                </c:pt>
                <c:pt idx="47">
                  <c:v>7.879956914230327</c:v>
                </c:pt>
                <c:pt idx="48">
                  <c:v>9.2148434251210034</c:v>
                </c:pt>
                <c:pt idx="49">
                  <c:v>10.540199892391072</c:v>
                </c:pt>
                <c:pt idx="50">
                  <c:v>11.870802809472599</c:v>
                </c:pt>
                <c:pt idx="51">
                  <c:v>13.185341282831649</c:v>
                </c:pt>
                <c:pt idx="52">
                  <c:v>14.487367188553151</c:v>
                </c:pt>
                <c:pt idx="53">
                  <c:v>15.772856465435746</c:v>
                </c:pt>
                <c:pt idx="54">
                  <c:v>17.033447604183952</c:v>
                </c:pt>
                <c:pt idx="55">
                  <c:v>18.26015330831893</c:v>
                </c:pt>
                <c:pt idx="56">
                  <c:v>19.447545204683127</c:v>
                </c:pt>
                <c:pt idx="57">
                  <c:v>20.597360414896983</c:v>
                </c:pt>
                <c:pt idx="58">
                  <c:v>21.711790345594462</c:v>
                </c:pt>
                <c:pt idx="59">
                  <c:v>22.792901025255631</c:v>
                </c:pt>
                <c:pt idx="60">
                  <c:v>23.842649669137256</c:v>
                </c:pt>
                <c:pt idx="61">
                  <c:v>24.862900882311774</c:v>
                </c:pt>
                <c:pt idx="62">
                  <c:v>25.855442871538727</c:v>
                </c:pt>
                <c:pt idx="63">
                  <c:v>26.822004082665984</c:v>
                </c:pt>
                <c:pt idx="64">
                  <c:v>27.764270744256773</c:v>
                </c:pt>
                <c:pt idx="65">
                  <c:v>28.6839059135281</c:v>
                </c:pt>
                <c:pt idx="66">
                  <c:v>29.582570759675736</c:v>
                </c:pt>
                <c:pt idx="67">
                  <c:v>30.461949028277871</c:v>
                </c:pt>
                <c:pt idx="68">
                  <c:v>31.323775933766143</c:v>
                </c:pt>
                <c:pt idx="69">
                  <c:v>32.169873136906929</c:v>
                </c:pt>
                <c:pt idx="70">
                  <c:v>33.002192083757038</c:v>
                </c:pt>
                <c:pt idx="71">
                  <c:v>33.822868847120873</c:v>
                </c:pt>
                <c:pt idx="72">
                  <c:v>34.634294929370995</c:v>
                </c:pt>
                <c:pt idx="73">
                  <c:v>35.439210428847211</c:v>
                </c:pt>
                <c:pt idx="74">
                  <c:v>36.240828957917678</c:v>
                </c:pt>
                <c:pt idx="75">
                  <c:v>37.041860320671546</c:v>
                </c:pt>
                <c:pt idx="76">
                  <c:v>37.840950875032505</c:v>
                </c:pt>
                <c:pt idx="77">
                  <c:v>38.636062337731971</c:v>
                </c:pt>
                <c:pt idx="78">
                  <c:v>39.425643804834692</c:v>
                </c:pt>
                <c:pt idx="79">
                  <c:v>40.208593949940948</c:v>
                </c:pt>
                <c:pt idx="80">
                  <c:v>40.98422796188391</c:v>
                </c:pt>
                <c:pt idx="81">
                  <c:v>41.752238727730031</c:v>
                </c:pt>
                <c:pt idx="82">
                  <c:v>42.512634006392865</c:v>
                </c:pt>
                <c:pt idx="83">
                  <c:v>43.265616537100342</c:v>
                </c:pt>
                <c:pt idx="84">
                  <c:v>44.005503771018468</c:v>
                </c:pt>
                <c:pt idx="85">
                  <c:v>44.736935837698603</c:v>
                </c:pt>
                <c:pt idx="86">
                  <c:v>45.451321198409758</c:v>
                </c:pt>
                <c:pt idx="87">
                  <c:v>46.146206203399494</c:v>
                </c:pt>
                <c:pt idx="88">
                  <c:v>46.81884033870427</c:v>
                </c:pt>
                <c:pt idx="89">
                  <c:v>47.478073507846545</c:v>
                </c:pt>
                <c:pt idx="90">
                  <c:v>48.153893507010309</c:v>
                </c:pt>
                <c:pt idx="91">
                  <c:v>47.04830987774011</c:v>
                </c:pt>
                <c:pt idx="92">
                  <c:v>45.841718229790864</c:v>
                </c:pt>
                <c:pt idx="93">
                  <c:v>44.544432246483595</c:v>
                </c:pt>
                <c:pt idx="94">
                  <c:v>43.20020013632076</c:v>
                </c:pt>
                <c:pt idx="95">
                  <c:v>41.86362187258672</c:v>
                </c:pt>
                <c:pt idx="96">
                  <c:v>40.576377270649047</c:v>
                </c:pt>
                <c:pt idx="97">
                  <c:v>39.369251798025509</c:v>
                </c:pt>
                <c:pt idx="98">
                  <c:v>38.267412660830722</c:v>
                </c:pt>
                <c:pt idx="99">
                  <c:v>37.295312287182433</c:v>
                </c:pt>
                <c:pt idx="100">
                  <c:v>36.461662810171006</c:v>
                </c:pt>
                <c:pt idx="101">
                  <c:v>35.739380862108156</c:v>
                </c:pt>
                <c:pt idx="102">
                  <c:v>35.104710188584377</c:v>
                </c:pt>
                <c:pt idx="103">
                  <c:v>34.540331289247604</c:v>
                </c:pt>
                <c:pt idx="104">
                  <c:v>34.033279399736571</c:v>
                </c:pt>
                <c:pt idx="105">
                  <c:v>33.573630111437645</c:v>
                </c:pt>
                <c:pt idx="106">
                  <c:v>33.153638986858851</c:v>
                </c:pt>
                <c:pt idx="107">
                  <c:v>32.772873809394383</c:v>
                </c:pt>
                <c:pt idx="108">
                  <c:v>32.423843113121983</c:v>
                </c:pt>
                <c:pt idx="109">
                  <c:v>32.098316908380227</c:v>
                </c:pt>
                <c:pt idx="110">
                  <c:v>31.793105735944625</c:v>
                </c:pt>
                <c:pt idx="111">
                  <c:v>31.50554401282271</c:v>
                </c:pt>
                <c:pt idx="112">
                  <c:v>31.233381749678955</c:v>
                </c:pt>
                <c:pt idx="113">
                  <c:v>30.974702093049686</c:v>
                </c:pt>
                <c:pt idx="114">
                  <c:v>30.727857682775404</c:v>
                </c:pt>
                <c:pt idx="115">
                  <c:v>30.49142092969533</c:v>
                </c:pt>
                <c:pt idx="116">
                  <c:v>30.264144719309812</c:v>
                </c:pt>
                <c:pt idx="117">
                  <c:v>30.044931025787552</c:v>
                </c:pt>
                <c:pt idx="118">
                  <c:v>29.832805585000013</c:v>
                </c:pt>
                <c:pt idx="119">
                  <c:v>29.626897251812956</c:v>
                </c:pt>
                <c:pt idx="120">
                  <c:v>29.426421015524717</c:v>
                </c:pt>
                <c:pt idx="121">
                  <c:v>29.230663886213403</c:v>
                </c:pt>
                <c:pt idx="122">
                  <c:v>29.038973050653681</c:v>
                </c:pt>
                <c:pt idx="123">
                  <c:v>28.850745827913762</c:v>
                </c:pt>
                <c:pt idx="124">
                  <c:v>28.665421059804217</c:v>
                </c:pt>
                <c:pt idx="125">
                  <c:v>28.482471638578676</c:v>
                </c:pt>
                <c:pt idx="126">
                  <c:v>28.301397940895107</c:v>
                </c:pt>
                <c:pt idx="127">
                  <c:v>28.121721973920327</c:v>
                </c:pt>
                <c:pt idx="128">
                  <c:v>27.942982070829252</c:v>
                </c:pt>
                <c:pt idx="129">
                  <c:v>27.764728006912961</c:v>
                </c:pt>
                <c:pt idx="130">
                  <c:v>27.586516413993973</c:v>
                </c:pt>
                <c:pt idx="131">
                  <c:v>27.407906390331139</c:v>
                </c:pt>
                <c:pt idx="132">
                  <c:v>27.228455216984553</c:v>
                </c:pt>
                <c:pt idx="133">
                  <c:v>27.047714082100505</c:v>
                </c:pt>
                <c:pt idx="134">
                  <c:v>26.865223734504085</c:v>
                </c:pt>
                <c:pt idx="135">
                  <c:v>26.680509973605986</c:v>
                </c:pt>
                <c:pt idx="136">
                  <c:v>26.493078881424609</c:v>
                </c:pt>
                <c:pt idx="137">
                  <c:v>26.302411706126367</c:v>
                </c:pt>
                <c:pt idx="138">
                  <c:v>26.107959272416529</c:v>
                </c:pt>
                <c:pt idx="139">
                  <c:v>25.909135806676915</c:v>
                </c:pt>
                <c:pt idx="140">
                  <c:v>25.705312022816308</c:v>
                </c:pt>
                <c:pt idx="141">
                  <c:v>25.495807302344659</c:v>
                </c:pt>
                <c:pt idx="142">
                  <c:v>25.279880760353148</c:v>
                </c:pt>
                <c:pt idx="143">
                  <c:v>25.056720959203904</c:v>
                </c:pt>
                <c:pt idx="144">
                  <c:v>24.825433963166002</c:v>
                </c:pt>
                <c:pt idx="145">
                  <c:v>24.585029374153063</c:v>
                </c:pt>
                <c:pt idx="146">
                  <c:v>24.334403888187076</c:v>
                </c:pt>
                <c:pt idx="147">
                  <c:v>24.072321814474861</c:v>
                </c:pt>
                <c:pt idx="148">
                  <c:v>23.797391839151235</c:v>
                </c:pt>
                <c:pt idx="149">
                  <c:v>23.508039138144028</c:v>
                </c:pt>
                <c:pt idx="150">
                  <c:v>23.202471691398131</c:v>
                </c:pt>
                <c:pt idx="151">
                  <c:v>22.878639324723789</c:v>
                </c:pt>
                <c:pt idx="152">
                  <c:v>22.534183568299021</c:v>
                </c:pt>
                <c:pt idx="153">
                  <c:v>22.166375839798594</c:v>
                </c:pt>
                <c:pt idx="154">
                  <c:v>21.77204065629174</c:v>
                </c:pt>
                <c:pt idx="155">
                  <c:v>21.347459503987643</c:v>
                </c:pt>
                <c:pt idx="156">
                  <c:v>20.888250131683694</c:v>
                </c:pt>
                <c:pt idx="157">
                  <c:v>20.390883280545161</c:v>
                </c:pt>
                <c:pt idx="158">
                  <c:v>19.856384051569506</c:v>
                </c:pt>
                <c:pt idx="159">
                  <c:v>19.286465128957389</c:v>
                </c:pt>
                <c:pt idx="160">
                  <c:v>18.682592836532375</c:v>
                </c:pt>
                <c:pt idx="161">
                  <c:v>18.046041333299065</c:v>
                </c:pt>
                <c:pt idx="162">
                  <c:v>17.377942096640485</c:v>
                </c:pt>
                <c:pt idx="163">
                  <c:v>16.679331027977227</c:v>
                </c:pt>
                <c:pt idx="164">
                  <c:v>15.949823116873164</c:v>
                </c:pt>
                <c:pt idx="165">
                  <c:v>15.177630062710367</c:v>
                </c:pt>
                <c:pt idx="166">
                  <c:v>14.376919570228054</c:v>
                </c:pt>
                <c:pt idx="167">
                  <c:v>13.548877919580757</c:v>
                </c:pt>
                <c:pt idx="168">
                  <c:v>12.694868283979316</c:v>
                </c:pt>
                <c:pt idx="169">
                  <c:v>11.816503299073343</c:v>
                </c:pt>
                <c:pt idx="170">
                  <c:v>10.915724562344788</c:v>
                </c:pt>
                <c:pt idx="171">
                  <c:v>9.9948845151514689</c:v>
                </c:pt>
                <c:pt idx="172">
                  <c:v>9.0568160466692511</c:v>
                </c:pt>
                <c:pt idx="173">
                  <c:v>8.1048477385966819</c:v>
                </c:pt>
                <c:pt idx="174">
                  <c:v>7.1426417971291283</c:v>
                </c:pt>
                <c:pt idx="175">
                  <c:v>6.1734630207446539</c:v>
                </c:pt>
                <c:pt idx="176">
                  <c:v>5.198363845366103</c:v>
                </c:pt>
                <c:pt idx="177">
                  <c:v>4.2166768695712484</c:v>
                </c:pt>
                <c:pt idx="178">
                  <c:v>3.2276028535427677</c:v>
                </c:pt>
                <c:pt idx="179">
                  <c:v>2.2303154407200632</c:v>
                </c:pt>
                <c:pt idx="180">
                  <c:v>1.2239573585557593</c:v>
                </c:pt>
                <c:pt idx="181">
                  <c:v>0.45740384261383737</c:v>
                </c:pt>
                <c:pt idx="182">
                  <c:v>-0.29869383682839434</c:v>
                </c:pt>
                <c:pt idx="183">
                  <c:v>-1.0459737636214157</c:v>
                </c:pt>
                <c:pt idx="184">
                  <c:v>-1.7858660106583191</c:v>
                </c:pt>
                <c:pt idx="185">
                  <c:v>-2.5196369784775046</c:v>
                </c:pt>
                <c:pt idx="186">
                  <c:v>-3.2484230910231719</c:v>
                </c:pt>
                <c:pt idx="187">
                  <c:v>-3.9731675621418714</c:v>
                </c:pt>
                <c:pt idx="188">
                  <c:v>-4.694219508105725</c:v>
                </c:pt>
                <c:pt idx="189">
                  <c:v>-5.4115518383941659</c:v>
                </c:pt>
                <c:pt idx="190">
                  <c:v>-6.1251176470781177</c:v>
                </c:pt>
                <c:pt idx="191">
                  <c:v>-6.8349429792837393</c:v>
                </c:pt>
                <c:pt idx="192">
                  <c:v>-7.5411354648699644</c:v>
                </c:pt>
                <c:pt idx="193">
                  <c:v>-8.2438718137868889</c:v>
                </c:pt>
                <c:pt idx="194">
                  <c:v>-8.9433822030177765</c:v>
                </c:pt>
                <c:pt idx="195">
                  <c:v>-9.6399364713508469</c:v>
                </c:pt>
                <c:pt idx="196">
                  <c:v>-10.333833072295636</c:v>
                </c:pt>
                <c:pt idx="197">
                  <c:v>-11.025390571787646</c:v>
                </c:pt>
                <c:pt idx="198">
                  <c:v>-11.714941211467711</c:v>
                </c:pt>
                <c:pt idx="199">
                  <c:v>-12.40282606124031</c:v>
                </c:pt>
                <c:pt idx="200">
                  <c:v>-13.089391365624083</c:v>
                </c:pt>
                <c:pt idx="201">
                  <c:v>-13.774985772250746</c:v>
                </c:pt>
                <c:pt idx="202">
                  <c:v>-14.459958198780624</c:v>
                </c:pt>
                <c:pt idx="203">
                  <c:v>-15.144656151831118</c:v>
                </c:pt>
                <c:pt idx="204">
                  <c:v>-15.829424355459876</c:v>
                </c:pt>
                <c:pt idx="205">
                  <c:v>-16.51460357026134</c:v>
                </c:pt>
                <c:pt idx="206">
                  <c:v>-17.200529512547043</c:v>
                </c:pt>
                <c:pt idx="207">
                  <c:v>-17.887531789960992</c:v>
                </c:pt>
                <c:pt idx="208">
                  <c:v>-18.575932785062051</c:v>
                </c:pt>
                <c:pt idx="209">
                  <c:v>-19.26604641735922</c:v>
                </c:pt>
                <c:pt idx="210">
                  <c:v>-19.958176717453554</c:v>
                </c:pt>
                <c:pt idx="211">
                  <c:v>-20.652616142039186</c:v>
                </c:pt>
                <c:pt idx="212">
                  <c:v>-21.349643553397534</c:v>
                </c:pt>
                <c:pt idx="213">
                  <c:v>-22.055107526692911</c:v>
                </c:pt>
                <c:pt idx="214">
                  <c:v>-22.769215074158886</c:v>
                </c:pt>
                <c:pt idx="215">
                  <c:v>-23.48706215082661</c:v>
                </c:pt>
                <c:pt idx="216">
                  <c:v>-24.208883544704296</c:v>
                </c:pt>
                <c:pt idx="217">
                  <c:v>-24.934886089559942</c:v>
                </c:pt>
                <c:pt idx="218">
                  <c:v>-25.665242790667342</c:v>
                </c:pt>
                <c:pt idx="219">
                  <c:v>-26.400121654670247</c:v>
                </c:pt>
                <c:pt idx="220">
                  <c:v>-27.14024135447043</c:v>
                </c:pt>
                <c:pt idx="221">
                  <c:v>-27.886787603095755</c:v>
                </c:pt>
                <c:pt idx="222">
                  <c:v>-28.640960095503644</c:v>
                </c:pt>
                <c:pt idx="223">
                  <c:v>-29.403969008660596</c:v>
                </c:pt>
                <c:pt idx="224">
                  <c:v>-30.177045350318696</c:v>
                </c:pt>
                <c:pt idx="225">
                  <c:v>-30.961451192529452</c:v>
                </c:pt>
                <c:pt idx="226">
                  <c:v>-31.758489996269962</c:v>
                </c:pt>
                <c:pt idx="227">
                  <c:v>-32.569517232399626</c:v>
                </c:pt>
                <c:pt idx="228">
                  <c:v>-33.395951497049424</c:v>
                </c:pt>
                <c:pt idx="229">
                  <c:v>-34.239286336657415</c:v>
                </c:pt>
                <c:pt idx="230">
                  <c:v>-35.101103006069287</c:v>
                </c:pt>
                <c:pt idx="231">
                  <c:v>-35.983084409953989</c:v>
                </c:pt>
                <c:pt idx="232">
                  <c:v>-36.887030509390321</c:v>
                </c:pt>
                <c:pt idx="233">
                  <c:v>-37.814875514577203</c:v>
                </c:pt>
                <c:pt idx="234">
                  <c:v>-38.768707242327039</c:v>
                </c:pt>
                <c:pt idx="235">
                  <c:v>-39.750789082448961</c:v>
                </c:pt>
                <c:pt idx="236">
                  <c:v>-40.763585107010542</c:v>
                </c:pt>
                <c:pt idx="237">
                  <c:v>-41.809788964951316</c:v>
                </c:pt>
                <c:pt idx="238">
                  <c:v>-42.892946557727953</c:v>
                </c:pt>
                <c:pt idx="239">
                  <c:v>-44.022695835208303</c:v>
                </c:pt>
                <c:pt idx="240">
                  <c:v>-45.196374361031204</c:v>
                </c:pt>
                <c:pt idx="241">
                  <c:v>-46.418057349169679</c:v>
                </c:pt>
                <c:pt idx="242">
                  <c:v>-47.692295670671918</c:v>
                </c:pt>
                <c:pt idx="243">
                  <c:v>-49.024194113270383</c:v>
                </c:pt>
                <c:pt idx="244">
                  <c:v>-50.419505539302918</c:v>
                </c:pt>
                <c:pt idx="245">
                  <c:v>-51.884744966187426</c:v>
                </c:pt>
                <c:pt idx="246">
                  <c:v>-53.427328813623468</c:v>
                </c:pt>
                <c:pt idx="247">
                  <c:v>-55.055746217912272</c:v>
                </c:pt>
                <c:pt idx="248">
                  <c:v>-56.779771592358237</c:v>
                </c:pt>
                <c:pt idx="249">
                  <c:v>-58.610730786639301</c:v>
                </c:pt>
                <c:pt idx="250">
                  <c:v>-60.561837679167262</c:v>
                </c:pt>
                <c:pt idx="251">
                  <c:v>-62.64862446023983</c:v>
                </c:pt>
                <c:pt idx="252">
                  <c:v>-64.889498222659611</c:v>
                </c:pt>
                <c:pt idx="253">
                  <c:v>-67.306470359030897</c:v>
                </c:pt>
                <c:pt idx="254">
                  <c:v>-69.919656263287237</c:v>
                </c:pt>
                <c:pt idx="255">
                  <c:v>-72.719585945564845</c:v>
                </c:pt>
                <c:pt idx="256">
                  <c:v>-75.689041507073824</c:v>
                </c:pt>
                <c:pt idx="257">
                  <c:v>-78.813180781707771</c:v>
                </c:pt>
                <c:pt idx="258">
                  <c:v>-82.078377578724599</c:v>
                </c:pt>
                <c:pt idx="259">
                  <c:v>-86.162268726553975</c:v>
                </c:pt>
                <c:pt idx="260">
                  <c:v>-90.447359402722256</c:v>
                </c:pt>
                <c:pt idx="261">
                  <c:v>-94.584303439046664</c:v>
                </c:pt>
                <c:pt idx="262">
                  <c:v>-98.713307387847522</c:v>
                </c:pt>
                <c:pt idx="263">
                  <c:v>-103.13596571265046</c:v>
                </c:pt>
                <c:pt idx="264">
                  <c:v>-107.86232911511505</c:v>
                </c:pt>
                <c:pt idx="265">
                  <c:v>-112.89390779294375</c:v>
                </c:pt>
                <c:pt idx="266">
                  <c:v>-118.22159456219482</c:v>
                </c:pt>
                <c:pt idx="267">
                  <c:v>-123.44666943690881</c:v>
                </c:pt>
                <c:pt idx="268">
                  <c:v>-129.12326117758946</c:v>
                </c:pt>
                <c:pt idx="269">
                  <c:v>-135.69130096075983</c:v>
                </c:pt>
                <c:pt idx="270">
                  <c:v>-139.46731215160395</c:v>
                </c:pt>
                <c:pt idx="271">
                  <c:v>-139.09280196207374</c:v>
                </c:pt>
                <c:pt idx="272">
                  <c:v>-135.30903140522142</c:v>
                </c:pt>
                <c:pt idx="273">
                  <c:v>-131.9476121519692</c:v>
                </c:pt>
                <c:pt idx="274">
                  <c:v>-128.89512562760348</c:v>
                </c:pt>
                <c:pt idx="275">
                  <c:v>-126.08020111609886</c:v>
                </c:pt>
                <c:pt idx="276">
                  <c:v>-123.46517151889111</c:v>
                </c:pt>
                <c:pt idx="277">
                  <c:v>-121.02267634881628</c:v>
                </c:pt>
                <c:pt idx="278">
                  <c:v>-118.72899046853125</c:v>
                </c:pt>
                <c:pt idx="279">
                  <c:v>-116.56324283607081</c:v>
                </c:pt>
                <c:pt idx="280">
                  <c:v>-114.50736479908819</c:v>
                </c:pt>
                <c:pt idx="281">
                  <c:v>-112.54597968883567</c:v>
                </c:pt>
                <c:pt idx="282">
                  <c:v>-110.66619413410918</c:v>
                </c:pt>
                <c:pt idx="283">
                  <c:v>-108.85734949263551</c:v>
                </c:pt>
                <c:pt idx="284">
                  <c:v>-107.11077961452793</c:v>
                </c:pt>
                <c:pt idx="285">
                  <c:v>-105.35785192265089</c:v>
                </c:pt>
                <c:pt idx="286">
                  <c:v>-103.64263515300651</c:v>
                </c:pt>
                <c:pt idx="287">
                  <c:v>-101.98765983922056</c:v>
                </c:pt>
                <c:pt idx="288">
                  <c:v>-100.39042125523007</c:v>
                </c:pt>
                <c:pt idx="289">
                  <c:v>-98.849712917173079</c:v>
                </c:pt>
                <c:pt idx="290">
                  <c:v>-97.365705143278376</c:v>
                </c:pt>
                <c:pt idx="291">
                  <c:v>-95.940066288109008</c:v>
                </c:pt>
                <c:pt idx="292">
                  <c:v>-94.576142080639627</c:v>
                </c:pt>
                <c:pt idx="293">
                  <c:v>-93.276643961243167</c:v>
                </c:pt>
                <c:pt idx="294">
                  <c:v>-92.035256510488324</c:v>
                </c:pt>
                <c:pt idx="295">
                  <c:v>-90.844088637443988</c:v>
                </c:pt>
                <c:pt idx="296">
                  <c:v>-89.696280389273753</c:v>
                </c:pt>
                <c:pt idx="297">
                  <c:v>-88.585813532530821</c:v>
                </c:pt>
                <c:pt idx="298">
                  <c:v>-87.507360017862467</c:v>
                </c:pt>
                <c:pt idx="299">
                  <c:v>-86.456159446468334</c:v>
                </c:pt>
                <c:pt idx="300">
                  <c:v>-85.427918915772111</c:v>
                </c:pt>
                <c:pt idx="301">
                  <c:v>-84.418730255470635</c:v>
                </c:pt>
                <c:pt idx="302">
                  <c:v>-83.402083738429937</c:v>
                </c:pt>
                <c:pt idx="303">
                  <c:v>-82.38860599068677</c:v>
                </c:pt>
                <c:pt idx="304">
                  <c:v>-81.394270032262952</c:v>
                </c:pt>
                <c:pt idx="305">
                  <c:v>-80.420696392853543</c:v>
                </c:pt>
                <c:pt idx="306">
                  <c:v>-79.468783681997053</c:v>
                </c:pt>
                <c:pt idx="307">
                  <c:v>-78.538917269358578</c:v>
                </c:pt>
                <c:pt idx="308">
                  <c:v>-77.63111765804824</c:v>
                </c:pt>
                <c:pt idx="309">
                  <c:v>-76.745147147313617</c:v>
                </c:pt>
                <c:pt idx="310">
                  <c:v>-75.880587187888594</c:v>
                </c:pt>
                <c:pt idx="311">
                  <c:v>-75.036894872401362</c:v>
                </c:pt>
                <c:pt idx="312">
                  <c:v>-74.213444394699835</c:v>
                </c:pt>
                <c:pt idx="313">
                  <c:v>-73.40955757592782</c:v>
                </c:pt>
                <c:pt idx="314">
                  <c:v>-72.624526373401636</c:v>
                </c:pt>
                <c:pt idx="315">
                  <c:v>-71.857629465616967</c:v>
                </c:pt>
                <c:pt idx="316">
                  <c:v>-71.108144439944112</c:v>
                </c:pt>
                <c:pt idx="317">
                  <c:v>-70.375356700235784</c:v>
                </c:pt>
                <c:pt idx="318">
                  <c:v>-69.658565919995596</c:v>
                </c:pt>
                <c:pt idx="319">
                  <c:v>-68.957090661708889</c:v>
                </c:pt>
                <c:pt idx="320">
                  <c:v>-68.270271621031341</c:v>
                </c:pt>
                <c:pt idx="321">
                  <c:v>-67.597473846857966</c:v>
                </c:pt>
                <c:pt idx="322">
                  <c:v>-66.93808820383137</c:v>
                </c:pt>
                <c:pt idx="323">
                  <c:v>-66.291532281324109</c:v>
                </c:pt>
                <c:pt idx="324">
                  <c:v>-65.657250902230487</c:v>
                </c:pt>
                <c:pt idx="325">
                  <c:v>-65.034716357371096</c:v>
                </c:pt>
                <c:pt idx="326">
                  <c:v>-64.423428457858861</c:v>
                </c:pt>
                <c:pt idx="327">
                  <c:v>-63.822914480710047</c:v>
                </c:pt>
                <c:pt idx="328">
                  <c:v>-63.23272907059939</c:v>
                </c:pt>
                <c:pt idx="329">
                  <c:v>-62.652454144385445</c:v>
                </c:pt>
                <c:pt idx="330">
                  <c:v>-62.081698841532031</c:v>
                </c:pt>
                <c:pt idx="331">
                  <c:v>-61.520099552133956</c:v>
                </c:pt>
                <c:pt idx="332">
                  <c:v>-60.967320056937758</c:v>
                </c:pt>
                <c:pt idx="333">
                  <c:v>-60.423051801835776</c:v>
                </c:pt>
                <c:pt idx="334">
                  <c:v>-59.887014329322049</c:v>
                </c:pt>
                <c:pt idx="335">
                  <c:v>-59.358955887629193</c:v>
                </c:pt>
                <c:pt idx="336">
                  <c:v>-58.838654221310819</c:v>
                </c:pt>
                <c:pt idx="337">
                  <c:v>-58.325917550219494</c:v>
                </c:pt>
                <c:pt idx="338">
                  <c:v>-57.820585708624698</c:v>
                </c:pt>
                <c:pt idx="339">
                  <c:v>-57.322531394232257</c:v>
                </c:pt>
                <c:pt idx="340">
                  <c:v>-56.831661411780807</c:v>
                </c:pt>
                <c:pt idx="341">
                  <c:v>-56.347917696871569</c:v>
                </c:pt>
                <c:pt idx="342">
                  <c:v>-55.871277726454849</c:v>
                </c:pt>
                <c:pt idx="343">
                  <c:v>-55.401753609740403</c:v>
                </c:pt>
                <c:pt idx="344">
                  <c:v>-54.939388591848626</c:v>
                </c:pt>
                <c:pt idx="345">
                  <c:v>-54.484248678153797</c:v>
                </c:pt>
                <c:pt idx="346">
                  <c:v>-54.03640518182204</c:v>
                </c:pt>
                <c:pt idx="347">
                  <c:v>-53.256849972176674</c:v>
                </c:pt>
                <c:pt idx="348">
                  <c:v>-52.416346180656141</c:v>
                </c:pt>
                <c:pt idx="349">
                  <c:v>-51.582056189423348</c:v>
                </c:pt>
                <c:pt idx="350">
                  <c:v>-50.753408414520663</c:v>
                </c:pt>
                <c:pt idx="351">
                  <c:v>-49.929845810898314</c:v>
                </c:pt>
                <c:pt idx="352">
                  <c:v>-49.110824312841842</c:v>
                </c:pt>
                <c:pt idx="353">
                  <c:v>-48.295811345445408</c:v>
                </c:pt>
                <c:pt idx="354">
                  <c:v>-47.484284398696666</c:v>
                </c:pt>
                <c:pt idx="355">
                  <c:v>-46.675729655842034</c:v>
                </c:pt>
                <c:pt idx="356">
                  <c:v>-45.869640668209264</c:v>
                </c:pt>
                <c:pt idx="357">
                  <c:v>-45.065517069093694</c:v>
                </c:pt>
                <c:pt idx="358">
                  <c:v>-44.262863319673372</c:v>
                </c:pt>
                <c:pt idx="359">
                  <c:v>-43.461187480207315</c:v>
                </c:pt>
                <c:pt idx="360">
                  <c:v>-42.660000000002135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-38.110862911409576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38.110862912822263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-10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77.393018670821803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-25.797672890273933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6.1513037866442914</c:v>
                </c:pt>
                <c:pt idx="1">
                  <c:v>6.1537091887383104</c:v>
                </c:pt>
                <c:pt idx="2">
                  <c:v>6.1561129855214229</c:v>
                </c:pt>
                <c:pt idx="3">
                  <c:v>6.1585169544257177</c:v>
                </c:pt>
                <c:pt idx="4">
                  <c:v>6.1609228759942161</c:v>
                </c:pt>
                <c:pt idx="5">
                  <c:v>6.1633325395383247</c:v>
                </c:pt>
                <c:pt idx="6">
                  <c:v>6.165747748877064</c:v>
                </c:pt>
                <c:pt idx="7">
                  <c:v>6.1681703281945524</c:v>
                </c:pt>
                <c:pt idx="8">
                  <c:v>6.1706021280621757</c:v>
                </c:pt>
                <c:pt idx="9">
                  <c:v>6.1730450316683072</c:v>
                </c:pt>
                <c:pt idx="10">
                  <c:v>6.1756795397100595</c:v>
                </c:pt>
                <c:pt idx="11">
                  <c:v>6.1783181319974272</c:v>
                </c:pt>
                <c:pt idx="12">
                  <c:v>6.1809625709166065</c:v>
                </c:pt>
                <c:pt idx="13">
                  <c:v>6.1836152685733676</c:v>
                </c:pt>
                <c:pt idx="14">
                  <c:v>6.186278645396996</c:v>
                </c:pt>
                <c:pt idx="15">
                  <c:v>6.188954863156229</c:v>
                </c:pt>
                <c:pt idx="16">
                  <c:v>6.1916456324647449</c:v>
                </c:pt>
                <c:pt idx="17">
                  <c:v>6.1943524169004993</c:v>
                </c:pt>
                <c:pt idx="18">
                  <c:v>6.1970765895887574</c:v>
                </c:pt>
                <c:pt idx="19">
                  <c:v>6.1998195229037858</c:v>
                </c:pt>
                <c:pt idx="20">
                  <c:v>6.2025826404994611</c:v>
                </c:pt>
                <c:pt idx="21">
                  <c:v>6.2053674478851022</c:v>
                </c:pt>
                <c:pt idx="22">
                  <c:v>6.2081755507713323</c:v>
                </c:pt>
                <c:pt idx="23">
                  <c:v>6.2110086665349877</c:v>
                </c:pt>
                <c:pt idx="24">
                  <c:v>6.2138686319807706</c:v>
                </c:pt>
                <c:pt idx="25">
                  <c:v>6.216757409295198</c:v>
                </c:pt>
                <c:pt idx="26">
                  <c:v>6.219677091353585</c:v>
                </c:pt>
                <c:pt idx="27">
                  <c:v>6.2226299070935926</c:v>
                </c:pt>
                <c:pt idx="28">
                  <c:v>6.2256182274063931</c:v>
                </c:pt>
                <c:pt idx="29">
                  <c:v>6.2286445718304098</c:v>
                </c:pt>
                <c:pt idx="30">
                  <c:v>6.2317116162514408</c:v>
                </c:pt>
                <c:pt idx="31">
                  <c:v>6.2348222017402453</c:v>
                </c:pt>
                <c:pt idx="32">
                  <c:v>6.2387851930275628</c:v>
                </c:pt>
                <c:pt idx="33">
                  <c:v>6.2429982807121798</c:v>
                </c:pt>
                <c:pt idx="34">
                  <c:v>6.2472923139958283</c:v>
                </c:pt>
                <c:pt idx="35">
                  <c:v>6.2516712413061519</c:v>
                </c:pt>
                <c:pt idx="36">
                  <c:v>6.2561392686944508</c:v>
                </c:pt>
                <c:pt idx="37">
                  <c:v>6.2607008713800099</c:v>
                </c:pt>
                <c:pt idx="38">
                  <c:v>6.2654976549124015</c:v>
                </c:pt>
                <c:pt idx="39">
                  <c:v>6.27046718007833</c:v>
                </c:pt>
                <c:pt idx="40">
                  <c:v>6.2760731340160261</c:v>
                </c:pt>
                <c:pt idx="41">
                  <c:v>6.2820606150322327</c:v>
                </c:pt>
                <c:pt idx="42">
                  <c:v>5.0579384496829312E-3</c:v>
                </c:pt>
                <c:pt idx="43">
                  <c:v>1.1444405916019649E-2</c:v>
                </c:pt>
                <c:pt idx="44">
                  <c:v>1.8043444161893216E-2</c:v>
                </c:pt>
                <c:pt idx="45">
                  <c:v>2.4863681957834186E-2</c:v>
                </c:pt>
                <c:pt idx="46">
                  <c:v>3.1913431894572165E-2</c:v>
                </c:pt>
                <c:pt idx="47">
                  <c:v>3.9200399434430974E-2</c:v>
                </c:pt>
                <c:pt idx="48">
                  <c:v>4.6731283936786702E-2</c:v>
                </c:pt>
                <c:pt idx="49">
                  <c:v>5.4511233095727911E-2</c:v>
                </c:pt>
                <c:pt idx="50">
                  <c:v>6.2726634235326845E-2</c:v>
                </c:pt>
                <c:pt idx="51">
                  <c:v>7.1218130724572726E-2</c:v>
                </c:pt>
                <c:pt idx="52">
                  <c:v>7.9753951591729599E-2</c:v>
                </c:pt>
                <c:pt idx="53">
                  <c:v>8.8458270504772923E-2</c:v>
                </c:pt>
                <c:pt idx="54">
                  <c:v>9.7351038474614654E-2</c:v>
                </c:pt>
                <c:pt idx="55">
                  <c:v>0.1063817576053545</c:v>
                </c:pt>
                <c:pt idx="56">
                  <c:v>0.11551766824726435</c:v>
                </c:pt>
                <c:pt idx="57">
                  <c:v>0.12477341633639008</c:v>
                </c:pt>
                <c:pt idx="58">
                  <c:v>0.13416890745597948</c:v>
                </c:pt>
                <c:pt idx="59">
                  <c:v>0.14372561987107865</c:v>
                </c:pt>
                <c:pt idx="60">
                  <c:v>0.15346689961745058</c:v>
                </c:pt>
                <c:pt idx="61">
                  <c:v>0.16341830970374882</c:v>
                </c:pt>
                <c:pt idx="62">
                  <c:v>0.17360804752834169</c:v>
                </c:pt>
                <c:pt idx="63">
                  <c:v>0.18406744885945522</c:v>
                </c:pt>
                <c:pt idx="64">
                  <c:v>0.19483160248958836</c:v>
                </c:pt>
                <c:pt idx="65">
                  <c:v>0.20594010781652877</c:v>
                </c:pt>
                <c:pt idx="66">
                  <c:v>0.21743801885072389</c:v>
                </c:pt>
                <c:pt idx="67">
                  <c:v>0.22937703424688113</c:v>
                </c:pt>
                <c:pt idx="68">
                  <c:v>0.24181701631906818</c:v>
                </c:pt>
                <c:pt idx="69">
                  <c:v>0.25482795620045762</c:v>
                </c:pt>
                <c:pt idx="70">
                  <c:v>0.26849255385789311</c:v>
                </c:pt>
                <c:pt idx="71">
                  <c:v>0.28290966024744257</c:v>
                </c:pt>
                <c:pt idx="72">
                  <c:v>0.29819895226668353</c:v>
                </c:pt>
                <c:pt idx="73">
                  <c:v>0.3145074087572638</c:v>
                </c:pt>
                <c:pt idx="74">
                  <c:v>0.33201848165491538</c:v>
                </c:pt>
                <c:pt idx="75">
                  <c:v>0.35094390612094745</c:v>
                </c:pt>
                <c:pt idx="76">
                  <c:v>0.37145755964725236</c:v>
                </c:pt>
                <c:pt idx="77">
                  <c:v>0.39374552533342655</c:v>
                </c:pt>
                <c:pt idx="78">
                  <c:v>0.41803110725954612</c:v>
                </c:pt>
                <c:pt idx="79">
                  <c:v>0.44458108734341178</c:v>
                </c:pt>
                <c:pt idx="80">
                  <c:v>0.47371290768784297</c:v>
                </c:pt>
                <c:pt idx="81">
                  <c:v>0.50580242912806839</c:v>
                </c:pt>
                <c:pt idx="82">
                  <c:v>0.54129138886601436</c:v>
                </c:pt>
                <c:pt idx="83">
                  <c:v>0.5806926546713076</c:v>
                </c:pt>
                <c:pt idx="84">
                  <c:v>0.62429823453765809</c:v>
                </c:pt>
                <c:pt idx="85">
                  <c:v>0.67296631628369707</c:v>
                </c:pt>
                <c:pt idx="86">
                  <c:v>0.72679194502429312</c:v>
                </c:pt>
                <c:pt idx="87">
                  <c:v>0.78644490158065306</c:v>
                </c:pt>
                <c:pt idx="88">
                  <c:v>0.85252944129983843</c:v>
                </c:pt>
                <c:pt idx="89">
                  <c:v>0.92555108863779201</c:v>
                </c:pt>
                <c:pt idx="90">
                  <c:v>1.006347827324527</c:v>
                </c:pt>
                <c:pt idx="91">
                  <c:v>1.1622550543621268</c:v>
                </c:pt>
                <c:pt idx="92">
                  <c:v>1.3464371641313853</c:v>
                </c:pt>
                <c:pt idx="93">
                  <c:v>1.5529518435420344</c:v>
                </c:pt>
                <c:pt idx="94">
                  <c:v>1.763491358071428</c:v>
                </c:pt>
                <c:pt idx="95">
                  <c:v>1.9560985242904099</c:v>
                </c:pt>
                <c:pt idx="96">
                  <c:v>2.11766634179713</c:v>
                </c:pt>
                <c:pt idx="97">
                  <c:v>2.2457164505337404</c:v>
                </c:pt>
                <c:pt idx="98">
                  <c:v>2.3436540239341359</c:v>
                </c:pt>
                <c:pt idx="99">
                  <c:v>2.4162778107033369</c:v>
                </c:pt>
                <c:pt idx="100">
                  <c:v>2.4692033226609187</c:v>
                </c:pt>
                <c:pt idx="101">
                  <c:v>2.5091577141697115</c:v>
                </c:pt>
                <c:pt idx="102">
                  <c:v>2.5404253573415572</c:v>
                </c:pt>
                <c:pt idx="103">
                  <c:v>2.5656138559228348</c:v>
                </c:pt>
                <c:pt idx="104">
                  <c:v>2.5863918492858335</c:v>
                </c:pt>
                <c:pt idx="105">
                  <c:v>2.6038731420933692</c:v>
                </c:pt>
                <c:pt idx="106">
                  <c:v>2.6188281471759804</c:v>
                </c:pt>
                <c:pt idx="107">
                  <c:v>2.631652312464249</c:v>
                </c:pt>
                <c:pt idx="108">
                  <c:v>2.642828676794498</c:v>
                </c:pt>
                <c:pt idx="109">
                  <c:v>2.6527691984446626</c:v>
                </c:pt>
                <c:pt idx="110">
                  <c:v>2.6616954559514046</c:v>
                </c:pt>
                <c:pt idx="111">
                  <c:v>2.6697798199738796</c:v>
                </c:pt>
                <c:pt idx="112">
                  <c:v>2.6771584546108906</c:v>
                </c:pt>
                <c:pt idx="113">
                  <c:v>2.683940415964285</c:v>
                </c:pt>
                <c:pt idx="114">
                  <c:v>2.6902141473172581</c:v>
                </c:pt>
                <c:pt idx="115">
                  <c:v>2.6960521995142805</c:v>
                </c:pt>
                <c:pt idx="116">
                  <c:v>2.7015147174630703</c:v>
                </c:pt>
                <c:pt idx="117">
                  <c:v>2.7066520535275975</c:v>
                </c:pt>
                <c:pt idx="118">
                  <c:v>2.7115067530898727</c:v>
                </c:pt>
                <c:pt idx="119">
                  <c:v>2.7161150820206394</c:v>
                </c:pt>
                <c:pt idx="120">
                  <c:v>2.7205082154584894</c:v>
                </c:pt>
                <c:pt idx="121">
                  <c:v>2.7247131731155361</c:v>
                </c:pt>
                <c:pt idx="122">
                  <c:v>2.7287535627997168</c:v>
                </c:pt>
                <c:pt idx="123">
                  <c:v>2.7326501773762684</c:v>
                </c:pt>
                <c:pt idx="124">
                  <c:v>2.7364214787383601</c:v>
                </c:pt>
                <c:pt idx="125">
                  <c:v>2.7400839939671955</c:v>
                </c:pt>
                <c:pt idx="126">
                  <c:v>2.7436526428147658</c:v>
                </c:pt>
                <c:pt idx="127">
                  <c:v>2.7471410111761441</c:v>
                </c:pt>
                <c:pt idx="128">
                  <c:v>2.7505615819237992</c:v>
                </c:pt>
                <c:pt idx="129">
                  <c:v>2.7539259320478813</c:v>
                </c:pt>
                <c:pt idx="130">
                  <c:v>2.7572449031779152</c:v>
                </c:pt>
                <c:pt idx="131">
                  <c:v>2.7605287511942098</c:v>
                </c:pt>
                <c:pt idx="132">
                  <c:v>2.7637872796084935</c:v>
                </c:pt>
                <c:pt idx="133">
                  <c:v>2.7670299605748321</c:v>
                </c:pt>
                <c:pt idx="134">
                  <c:v>2.7702660468599491</c:v>
                </c:pt>
                <c:pt idx="135">
                  <c:v>2.7735046776511645</c:v>
                </c:pt>
                <c:pt idx="136">
                  <c:v>2.7767549808026293</c:v>
                </c:pt>
                <c:pt idx="137">
                  <c:v>2.7800261739767338</c:v>
                </c:pt>
                <c:pt idx="138">
                  <c:v>2.7833276670044551</c:v>
                </c:pt>
                <c:pt idx="139">
                  <c:v>2.7866691678823248</c:v>
                </c:pt>
                <c:pt idx="140">
                  <c:v>2.790060794881815</c:v>
                </c:pt>
                <c:pt idx="141">
                  <c:v>2.7935131974976666</c:v>
                </c:pt>
                <c:pt idx="142">
                  <c:v>2.7970376892654429</c:v>
                </c:pt>
                <c:pt idx="143">
                  <c:v>2.8006463959695544</c:v>
                </c:pt>
                <c:pt idx="144">
                  <c:v>2.8043524233376753</c:v>
                </c:pt>
                <c:pt idx="145">
                  <c:v>2.8081700491707036</c:v>
                </c:pt>
                <c:pt idx="146">
                  <c:v>2.8121149458806793</c:v>
                </c:pt>
                <c:pt idx="147">
                  <c:v>2.8162044408297247</c:v>
                </c:pt>
                <c:pt idx="148">
                  <c:v>2.8204578236180966</c:v>
                </c:pt>
                <c:pt idx="149">
                  <c:v>2.8248967118483326</c:v>
                </c:pt>
                <c:pt idx="150">
                  <c:v>2.8295454899594161</c:v>
                </c:pt>
                <c:pt idx="151">
                  <c:v>2.8344318397947768</c:v>
                </c:pt>
                <c:pt idx="152">
                  <c:v>2.8395873869702712</c:v>
                </c:pt>
                <c:pt idx="153">
                  <c:v>2.8450484943696299</c:v>
                </c:pt>
                <c:pt idx="154">
                  <c:v>2.8508572438615465</c:v>
                </c:pt>
                <c:pt idx="155">
                  <c:v>2.8570626607467067</c:v>
                </c:pt>
                <c:pt idx="156">
                  <c:v>2.8637222445877306</c:v>
                </c:pt>
                <c:pt idx="157">
                  <c:v>2.870880821228833</c:v>
                </c:pt>
                <c:pt idx="158">
                  <c:v>2.87851977267899</c:v>
                </c:pt>
                <c:pt idx="159">
                  <c:v>2.8866112337906258</c:v>
                </c:pt>
                <c:pt idx="160">
                  <c:v>2.8951309978150594</c:v>
                </c:pt>
                <c:pt idx="161">
                  <c:v>2.9040576808020879</c:v>
                </c:pt>
                <c:pt idx="162">
                  <c:v>2.9133719705831957</c:v>
                </c:pt>
                <c:pt idx="163">
                  <c:v>2.9230559276228547</c:v>
                </c:pt>
                <c:pt idx="164">
                  <c:v>2.9331117661661485</c:v>
                </c:pt>
                <c:pt idx="165">
                  <c:v>2.9437019350567901</c:v>
                </c:pt>
                <c:pt idx="166">
                  <c:v>2.9546208972296837</c:v>
                </c:pt>
                <c:pt idx="167">
                  <c:v>2.9658484332326838</c:v>
                </c:pt>
                <c:pt idx="168">
                  <c:v>2.9773620376102365</c:v>
                </c:pt>
                <c:pt idx="169">
                  <c:v>2.9891360458386078</c:v>
                </c:pt>
                <c:pt idx="170">
                  <c:v>3.0011407167929733</c:v>
                </c:pt>
                <c:pt idx="171">
                  <c:v>3.0133413383272614</c:v>
                </c:pt>
                <c:pt idx="172">
                  <c:v>3.0256975533311854</c:v>
                </c:pt>
                <c:pt idx="173">
                  <c:v>3.0381634519197926</c:v>
                </c:pt>
                <c:pt idx="174">
                  <c:v>3.0506899986040885</c:v>
                </c:pt>
                <c:pt idx="175">
                  <c:v>3.0632347566943108</c:v>
                </c:pt>
                <c:pt idx="176">
                  <c:v>3.0757851507855603</c:v>
                </c:pt>
                <c:pt idx="177">
                  <c:v>3.0883510666392806</c:v>
                </c:pt>
                <c:pt idx="178">
                  <c:v>3.1009438182475155</c:v>
                </c:pt>
                <c:pt idx="179">
                  <c:v>3.1135747701407901</c:v>
                </c:pt>
                <c:pt idx="180">
                  <c:v>3.1262553783227993</c:v>
                </c:pt>
                <c:pt idx="181">
                  <c:v>3.1358438782751787</c:v>
                </c:pt>
                <c:pt idx="182">
                  <c:v>3.1453573827298409</c:v>
                </c:pt>
                <c:pt idx="183">
                  <c:v>3.154812125465321</c:v>
                </c:pt>
                <c:pt idx="184">
                  <c:v>3.1642231909793592</c:v>
                </c:pt>
                <c:pt idx="185">
                  <c:v>3.1736047726818781</c:v>
                </c:pt>
                <c:pt idx="186">
                  <c:v>3.1829703800606119</c:v>
                </c:pt>
                <c:pt idx="187">
                  <c:v>3.1923318246609127</c:v>
                </c:pt>
                <c:pt idx="188">
                  <c:v>3.2016936381786785</c:v>
                </c:pt>
                <c:pt idx="189">
                  <c:v>3.2110555179270075</c:v>
                </c:pt>
                <c:pt idx="190">
                  <c:v>3.2204168735325291</c:v>
                </c:pt>
                <c:pt idx="191">
                  <c:v>3.2297780629819672</c:v>
                </c:pt>
                <c:pt idx="192">
                  <c:v>3.2391405514279366</c:v>
                </c:pt>
                <c:pt idx="193">
                  <c:v>3.248506788658732</c:v>
                </c:pt>
                <c:pt idx="194">
                  <c:v>3.2578800361932552</c:v>
                </c:pt>
                <c:pt idx="195">
                  <c:v>3.2672642092574997</c:v>
                </c:pt>
                <c:pt idx="196">
                  <c:v>3.2766637481939718</c:v>
                </c:pt>
                <c:pt idx="197">
                  <c:v>3.2860835184756128</c:v>
                </c:pt>
                <c:pt idx="198">
                  <c:v>3.2955287346260795</c:v>
                </c:pt>
                <c:pt idx="199">
                  <c:v>3.3050049029503374</c:v>
                </c:pt>
                <c:pt idx="200">
                  <c:v>3.3145177787321236</c:v>
                </c:pt>
                <c:pt idx="201">
                  <c:v>3.324073334407784</c:v>
                </c:pt>
                <c:pt idx="202">
                  <c:v>3.3336777358872247</c:v>
                </c:pt>
                <c:pt idx="203">
                  <c:v>3.3433373248173748</c:v>
                </c:pt>
                <c:pt idx="204">
                  <c:v>3.3530586050947573</c:v>
                </c:pt>
                <c:pt idx="205">
                  <c:v>3.3628482320605042</c:v>
                </c:pt>
                <c:pt idx="206">
                  <c:v>3.3727130032194785</c:v>
                </c:pt>
                <c:pt idx="207">
                  <c:v>3.3826598492297473</c:v>
                </c:pt>
                <c:pt idx="208">
                  <c:v>3.3926958241473493</c:v>
                </c:pt>
                <c:pt idx="209">
                  <c:v>3.402828093728882</c:v>
                </c:pt>
                <c:pt idx="210">
                  <c:v>3.4130639205956945</c:v>
                </c:pt>
                <c:pt idx="211">
                  <c:v>3.4234106448554402</c:v>
                </c:pt>
                <c:pt idx="212">
                  <c:v>3.4338756586116341</c:v>
                </c:pt>
                <c:pt idx="213">
                  <c:v>3.444549350009273</c:v>
                </c:pt>
                <c:pt idx="214">
                  <c:v>3.455439892825384</c:v>
                </c:pt>
                <c:pt idx="215">
                  <c:v>3.4664790294805328</c:v>
                </c:pt>
                <c:pt idx="216">
                  <c:v>3.477674712786313</c:v>
                </c:pt>
                <c:pt idx="217">
                  <c:v>3.4890347424078278</c:v>
                </c:pt>
                <c:pt idx="218">
                  <c:v>3.5005666580846153</c:v>
                </c:pt>
                <c:pt idx="219">
                  <c:v>3.5122781913116636</c:v>
                </c:pt>
                <c:pt idx="220">
                  <c:v>3.5241864541699828</c:v>
                </c:pt>
                <c:pt idx="221">
                  <c:v>3.5363170407770852</c:v>
                </c:pt>
                <c:pt idx="222">
                  <c:v>3.5486968488031172</c:v>
                </c:pt>
                <c:pt idx="223">
                  <c:v>3.5613541147453955</c:v>
                </c:pt>
                <c:pt idx="224">
                  <c:v>3.574318693809067</c:v>
                </c:pt>
                <c:pt idx="225">
                  <c:v>3.5876223603304966</c:v>
                </c:pt>
                <c:pt idx="226">
                  <c:v>3.6012991347244232</c:v>
                </c:pt>
                <c:pt idx="227">
                  <c:v>3.6153856438647765</c:v>
                </c:pt>
                <c:pt idx="228">
                  <c:v>3.6299215219348651</c:v>
                </c:pt>
                <c:pt idx="229">
                  <c:v>3.64494986043686</c:v>
                </c:pt>
                <c:pt idx="230">
                  <c:v>3.6605177166886098</c:v>
                </c:pt>
                <c:pt idx="231">
                  <c:v>3.6766766918837295</c:v>
                </c:pt>
                <c:pt idx="232">
                  <c:v>3.6934835915649815</c:v>
                </c:pt>
                <c:pt idx="233">
                  <c:v>3.7110011831070104</c:v>
                </c:pt>
                <c:pt idx="234">
                  <c:v>3.7292990675807469</c:v>
                </c:pt>
                <c:pt idx="235">
                  <c:v>3.7484546856860357</c:v>
                </c:pt>
                <c:pt idx="236">
                  <c:v>3.7685544807209945</c:v>
                </c:pt>
                <c:pt idx="237">
                  <c:v>3.7896952443977998</c:v>
                </c:pt>
                <c:pt idx="238">
                  <c:v>3.812000883536228</c:v>
                </c:pt>
                <c:pt idx="239">
                  <c:v>3.835762344025988</c:v>
                </c:pt>
                <c:pt idx="240">
                  <c:v>3.8609603943487607</c:v>
                </c:pt>
                <c:pt idx="241">
                  <c:v>3.8877549064994898</c:v>
                </c:pt>
                <c:pt idx="242">
                  <c:v>3.9163271679121494</c:v>
                </c:pt>
                <c:pt idx="243">
                  <c:v>3.9468830097987131</c:v>
                </c:pt>
                <c:pt idx="244">
                  <c:v>3.9796562621252676</c:v>
                </c:pt>
                <c:pt idx="245">
                  <c:v>4.014912462236687</c:v>
                </c:pt>
                <c:pt idx="246">
                  <c:v>4.0529526562148135</c:v>
                </c:pt>
                <c:pt idx="247">
                  <c:v>4.0941169888933189</c:v>
                </c:pt>
                <c:pt idx="248">
                  <c:v>4.1387875545968775</c:v>
                </c:pt>
                <c:pt idx="249">
                  <c:v>4.1873896440374994</c:v>
                </c:pt>
                <c:pt idx="250">
                  <c:v>4.240390038219747</c:v>
                </c:pt>
                <c:pt idx="251">
                  <c:v>4.2982903480229231</c:v>
                </c:pt>
                <c:pt idx="252">
                  <c:v>4.3616126075270305</c:v>
                </c:pt>
                <c:pt idx="253">
                  <c:v>4.430873548786189</c:v>
                </c:pt>
                <c:pt idx="254">
                  <c:v>4.5062555881188722</c:v>
                </c:pt>
                <c:pt idx="255">
                  <c:v>4.5863010464829834</c:v>
                </c:pt>
                <c:pt idx="256">
                  <c:v>4.6689558623052179</c:v>
                </c:pt>
                <c:pt idx="257">
                  <c:v>4.7521914510725525</c:v>
                </c:pt>
                <c:pt idx="258">
                  <c:v>4.8341472406518635</c:v>
                </c:pt>
                <c:pt idx="259">
                  <c:v>4.916139051547165</c:v>
                </c:pt>
                <c:pt idx="260">
                  <c:v>4.9923037871371729</c:v>
                </c:pt>
                <c:pt idx="261">
                  <c:v>5.0595504135492879</c:v>
                </c:pt>
                <c:pt idx="262">
                  <c:v>5.1205424862651565</c:v>
                </c:pt>
                <c:pt idx="263">
                  <c:v>5.1786117015375108</c:v>
                </c:pt>
                <c:pt idx="264">
                  <c:v>5.2334203562785113</c:v>
                </c:pt>
                <c:pt idx="265">
                  <c:v>5.2847206238016655</c:v>
                </c:pt>
                <c:pt idx="266">
                  <c:v>5.3323528914023335</c:v>
                </c:pt>
                <c:pt idx="267">
                  <c:v>5.3680850057637066</c:v>
                </c:pt>
                <c:pt idx="268">
                  <c:v>5.3981670736510887</c:v>
                </c:pt>
                <c:pt idx="269">
                  <c:v>5.4279106470367022</c:v>
                </c:pt>
                <c:pt idx="270">
                  <c:v>5.4548618447506536</c:v>
                </c:pt>
                <c:pt idx="271">
                  <c:v>5.4801320503576978</c:v>
                </c:pt>
                <c:pt idx="272">
                  <c:v>5.5025354082946532</c:v>
                </c:pt>
                <c:pt idx="273">
                  <c:v>5.524662158000595</c:v>
                </c:pt>
                <c:pt idx="274">
                  <c:v>5.5465180754456505</c:v>
                </c:pt>
                <c:pt idx="275">
                  <c:v>5.5680393433067676</c:v>
                </c:pt>
                <c:pt idx="276">
                  <c:v>5.5890803872703092</c:v>
                </c:pt>
                <c:pt idx="277">
                  <c:v>5.6095309509746381</c:v>
                </c:pt>
                <c:pt idx="278">
                  <c:v>5.6293304078863482</c:v>
                </c:pt>
                <c:pt idx="279">
                  <c:v>5.6484532964205103</c:v>
                </c:pt>
                <c:pt idx="280">
                  <c:v>5.6668961578740671</c:v>
                </c:pt>
                <c:pt idx="281">
                  <c:v>5.6846684374807932</c:v>
                </c:pt>
                <c:pt idx="282">
                  <c:v>5.7017865431839105</c:v>
                </c:pt>
                <c:pt idx="283">
                  <c:v>5.7182699994178163</c:v>
                </c:pt>
                <c:pt idx="284">
                  <c:v>5.7341389295026222</c:v>
                </c:pt>
                <c:pt idx="285">
                  <c:v>5.7493761247845629</c:v>
                </c:pt>
                <c:pt idx="286">
                  <c:v>5.7640300063509402</c:v>
                </c:pt>
                <c:pt idx="287">
                  <c:v>5.7781237685990128</c:v>
                </c:pt>
                <c:pt idx="288">
                  <c:v>5.7916618159480455</c:v>
                </c:pt>
                <c:pt idx="289">
                  <c:v>5.8046453827023656</c:v>
                </c:pt>
                <c:pt idx="290">
                  <c:v>5.8170715030022784</c:v>
                </c:pt>
                <c:pt idx="291">
                  <c:v>5.8289319161368915</c:v>
                </c:pt>
                <c:pt idx="292">
                  <c:v>5.8402118022651006</c:v>
                </c:pt>
                <c:pt idx="293">
                  <c:v>5.8509056813867186</c:v>
                </c:pt>
                <c:pt idx="294">
                  <c:v>5.86107169702876</c:v>
                </c:pt>
                <c:pt idx="295">
                  <c:v>5.8707759396200814</c:v>
                </c:pt>
                <c:pt idx="296">
                  <c:v>5.8800746640033559</c:v>
                </c:pt>
                <c:pt idx="297">
                  <c:v>5.8890161824694607</c:v>
                </c:pt>
                <c:pt idx="298">
                  <c:v>5.8976423386095114</c:v>
                </c:pt>
                <c:pt idx="299">
                  <c:v>5.905989667685561</c:v>
                </c:pt>
                <c:pt idx="300">
                  <c:v>5.9140903199021011</c:v>
                </c:pt>
                <c:pt idx="301">
                  <c:v>5.9219728024079545</c:v>
                </c:pt>
                <c:pt idx="302">
                  <c:v>5.9295628464546901</c:v>
                </c:pt>
                <c:pt idx="303">
                  <c:v>5.9368863398004805</c:v>
                </c:pt>
                <c:pt idx="304">
                  <c:v>5.9439838119945954</c:v>
                </c:pt>
                <c:pt idx="305">
                  <c:v>5.9508502323719172</c:v>
                </c:pt>
                <c:pt idx="306">
                  <c:v>5.9574862933256147</c:v>
                </c:pt>
                <c:pt idx="307">
                  <c:v>5.963896425599839</c:v>
                </c:pt>
                <c:pt idx="308">
                  <c:v>5.970087444454558</c:v>
                </c:pt>
                <c:pt idx="309">
                  <c:v>5.9760676217976467</c:v>
                </c:pt>
                <c:pt idx="310">
                  <c:v>5.9818460492272791</c:v>
                </c:pt>
                <c:pt idx="311">
                  <c:v>5.9874322015793293</c:v>
                </c:pt>
                <c:pt idx="312">
                  <c:v>5.9928356397100444</c:v>
                </c:pt>
                <c:pt idx="313">
                  <c:v>5.9980658104937588</c:v>
                </c:pt>
                <c:pt idx="314">
                  <c:v>6.0031319149359774</c:v>
                </c:pt>
                <c:pt idx="315">
                  <c:v>6.0080428241034447</c:v>
                </c:pt>
                <c:pt idx="316">
                  <c:v>6.0128070285802311</c:v>
                </c:pt>
                <c:pt idx="317">
                  <c:v>6.0174326113530903</c:v>
                </c:pt>
                <c:pt idx="318">
                  <c:v>6.0219272369547188</c:v>
                </c:pt>
                <c:pt idx="319">
                  <c:v>6.026298151732731</c:v>
                </c:pt>
                <c:pt idx="320">
                  <c:v>6.0305521916026832</c:v>
                </c:pt>
                <c:pt idx="321">
                  <c:v>6.0346957946641968</c:v>
                </c:pt>
                <c:pt idx="322">
                  <c:v>6.0387350168078644</c:v>
                </c:pt>
                <c:pt idx="323">
                  <c:v>6.0426755489774147</c:v>
                </c:pt>
                <c:pt idx="324">
                  <c:v>6.0465227351514539</c:v>
                </c:pt>
                <c:pt idx="325">
                  <c:v>6.0502815903622631</c:v>
                </c:pt>
                <c:pt idx="326">
                  <c:v>6.053956818294961</c:v>
                </c:pt>
                <c:pt idx="327">
                  <c:v>6.0575528281459556</c:v>
                </c:pt>
                <c:pt idx="328">
                  <c:v>6.0610737505169068</c:v>
                </c:pt>
                <c:pt idx="329">
                  <c:v>6.0645234522128497</c:v>
                </c:pt>
                <c:pt idx="330">
                  <c:v>6.0679055498529868</c:v>
                </c:pt>
                <c:pt idx="331">
                  <c:v>6.0712234222598962</c:v>
                </c:pt>
                <c:pt idx="332">
                  <c:v>6.0744802216027907</c:v>
                </c:pt>
                <c:pt idx="333">
                  <c:v>6.0776788833233963</c:v>
                </c:pt>
                <c:pt idx="334">
                  <c:v>6.080822134890802</c:v>
                </c:pt>
                <c:pt idx="335">
                  <c:v>6.0839125034609252</c:v>
                </c:pt>
                <c:pt idx="336">
                  <c:v>6.0869523225964155</c:v>
                </c:pt>
                <c:pt idx="337">
                  <c:v>6.0899437382410904</c:v>
                </c:pt>
                <c:pt idx="338">
                  <c:v>6.0928887143102664</c:v>
                </c:pt>
                <c:pt idx="339">
                  <c:v>6.0957890384233826</c:v>
                </c:pt>
                <c:pt idx="340">
                  <c:v>6.0986463286419426</c:v>
                </c:pt>
                <c:pt idx="341">
                  <c:v>6.1014620425882207</c:v>
                </c:pt>
                <c:pt idx="342">
                  <c:v>6.1042374911821327</c:v>
                </c:pt>
                <c:pt idx="343">
                  <c:v>6.1069738606697106</c:v>
                </c:pt>
                <c:pt idx="344">
                  <c:v>6.1096722490741788</c:v>
                </c:pt>
                <c:pt idx="345">
                  <c:v>6.1123337274932545</c:v>
                </c:pt>
                <c:pt idx="346">
                  <c:v>6.1149594443463666</c:v>
                </c:pt>
                <c:pt idx="347">
                  <c:v>6.11769066967498</c:v>
                </c:pt>
                <c:pt idx="348">
                  <c:v>6.1204158401779223</c:v>
                </c:pt>
                <c:pt idx="349">
                  <c:v>6.1231093796675875</c:v>
                </c:pt>
                <c:pt idx="350">
                  <c:v>6.1257737760591979</c:v>
                </c:pt>
                <c:pt idx="351">
                  <c:v>6.1284114196347854</c:v>
                </c:pt>
                <c:pt idx="352">
                  <c:v>6.1310246126634356</c:v>
                </c:pt>
                <c:pt idx="353">
                  <c:v>6.1336155783697111</c:v>
                </c:pt>
                <c:pt idx="354">
                  <c:v>6.136186469321105</c:v>
                </c:pt>
                <c:pt idx="355">
                  <c:v>6.1387393753089396</c:v>
                </c:pt>
                <c:pt idx="356">
                  <c:v>6.1412763307901761</c:v>
                </c:pt>
                <c:pt idx="357">
                  <c:v>6.1437993219459432</c:v>
                </c:pt>
                <c:pt idx="358">
                  <c:v>6.146310293414933</c:v>
                </c:pt>
                <c:pt idx="359">
                  <c:v>6.1488111547489943</c:v>
                </c:pt>
                <c:pt idx="360">
                  <c:v>6.1513037866442835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1.7130721067377697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2.3561944901738108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-6.8941412197310203E-2</c:v>
                </c:pt>
                <c:pt idx="1">
                  <c:v>-6.5704796084109451E-2</c:v>
                </c:pt>
                <c:pt idx="2">
                  <c:v>-6.2465978957356248E-2</c:v>
                </c:pt>
                <c:pt idx="3">
                  <c:v>-5.9222416990612987E-2</c:v>
                </c:pt>
                <c:pt idx="4">
                  <c:v>-5.597154849305544E-2</c:v>
                </c:pt>
                <c:pt idx="5">
                  <c:v>-5.2710785146482697E-2</c:v>
                </c:pt>
                <c:pt idx="6">
                  <c:v>-4.9437503027555653E-2</c:v>
                </c:pt>
                <c:pt idx="7">
                  <c:v>-4.6149033348355413E-2</c:v>
                </c:pt>
                <c:pt idx="8">
                  <c:v>-4.2842652839272855E-2</c:v>
                </c:pt>
                <c:pt idx="9">
                  <c:v>-3.9515573696729867E-2</c:v>
                </c:pt>
                <c:pt idx="10">
                  <c:v>-3.4912161228902866E-2</c:v>
                </c:pt>
                <c:pt idx="11">
                  <c:v>-3.027464648146605E-2</c:v>
                </c:pt>
                <c:pt idx="12">
                  <c:v>-2.5602898619354331E-2</c:v>
                </c:pt>
                <c:pt idx="13">
                  <c:v>-2.0892363616019618E-2</c:v>
                </c:pt>
                <c:pt idx="14">
                  <c:v>-1.6138365944763634E-2</c:v>
                </c:pt>
                <c:pt idx="15">
                  <c:v>-1.1336553589776276E-2</c:v>
                </c:pt>
                <c:pt idx="16">
                  <c:v>-6.4832427875731978E-3</c:v>
                </c:pt>
                <c:pt idx="17">
                  <c:v>-1.575101906129452E-3</c:v>
                </c:pt>
                <c:pt idx="18">
                  <c:v>3.3911031727529395E-3</c:v>
                </c:pt>
                <c:pt idx="19">
                  <c:v>8.4186620536865521E-3</c:v>
                </c:pt>
                <c:pt idx="20">
                  <c:v>1.3511014728994382E-2</c:v>
                </c:pt>
                <c:pt idx="21">
                  <c:v>1.8671812948923863E-2</c:v>
                </c:pt>
                <c:pt idx="22">
                  <c:v>2.3904962308031165E-2</c:v>
                </c:pt>
                <c:pt idx="23">
                  <c:v>2.9214653501194579E-2</c:v>
                </c:pt>
                <c:pt idx="24">
                  <c:v>3.4605387925521924E-2</c:v>
                </c:pt>
                <c:pt idx="25">
                  <c:v>4.0082000838937704E-2</c:v>
                </c:pt>
                <c:pt idx="26">
                  <c:v>4.5649684154039166E-2</c:v>
                </c:pt>
                <c:pt idx="27">
                  <c:v>5.1314010250093536E-2</c:v>
                </c:pt>
                <c:pt idx="28">
                  <c:v>5.7080957780068407E-2</c:v>
                </c:pt>
                <c:pt idx="29">
                  <c:v>6.2956940195802127E-2</c:v>
                </c:pt>
                <c:pt idx="30">
                  <c:v>6.894883760326187E-2</c:v>
                </c:pt>
                <c:pt idx="31">
                  <c:v>7.5064032461917105E-2</c:v>
                </c:pt>
                <c:pt idx="32">
                  <c:v>8.2803636335070777E-2</c:v>
                </c:pt>
                <c:pt idx="33">
                  <c:v>9.1087884638095917E-2</c:v>
                </c:pt>
                <c:pt idx="34">
                  <c:v>9.9611839297520446E-2</c:v>
                </c:pt>
                <c:pt idx="35">
                  <c:v>0.1083886007774781</c:v>
                </c:pt>
                <c:pt idx="36">
                  <c:v>0.11743225584189868</c:v>
                </c:pt>
                <c:pt idx="37">
                  <c:v>0.12675795145464611</c:v>
                </c:pt>
                <c:pt idx="38">
                  <c:v>0.13682173279169743</c:v>
                </c:pt>
                <c:pt idx="39">
                  <c:v>0.14742534787565609</c:v>
                </c:pt>
                <c:pt idx="40">
                  <c:v>0.15953378024791803</c:v>
                </c:pt>
                <c:pt idx="41">
                  <c:v>0.17265007780658181</c:v>
                </c:pt>
                <c:pt idx="42">
                  <c:v>0.18639901166813377</c:v>
                </c:pt>
                <c:pt idx="43">
                  <c:v>0.2008224423348727</c:v>
                </c:pt>
                <c:pt idx="44">
                  <c:v>0.21596462222767782</c:v>
                </c:pt>
                <c:pt idx="45">
                  <c:v>0.23187200206096795</c:v>
                </c:pt>
                <c:pt idx="46">
                  <c:v>0.24859287395954793</c:v>
                </c:pt>
                <c:pt idx="47">
                  <c:v>0.26617678421867946</c:v>
                </c:pt>
                <c:pt idx="48">
                  <c:v>0.28467362350270414</c:v>
                </c:pt>
                <c:pt idx="49">
                  <c:v>0.30413226774587204</c:v>
                </c:pt>
                <c:pt idx="50">
                  <c:v>0.32550937103284205</c:v>
                </c:pt>
                <c:pt idx="51">
                  <c:v>0.3480808460207066</c:v>
                </c:pt>
                <c:pt idx="52">
                  <c:v>0.36997273875478509</c:v>
                </c:pt>
                <c:pt idx="53">
                  <c:v>0.39238238867593311</c:v>
                </c:pt>
                <c:pt idx="54">
                  <c:v>0.41572286961896993</c:v>
                </c:pt>
                <c:pt idx="55">
                  <c:v>0.43991046233584408</c:v>
                </c:pt>
                <c:pt idx="56">
                  <c:v>0.46489595462402528</c:v>
                </c:pt>
                <c:pt idx="57">
                  <c:v>0.49073720893458994</c:v>
                </c:pt>
                <c:pt idx="58">
                  <c:v>0.51750559621872039</c:v>
                </c:pt>
                <c:pt idx="59">
                  <c:v>0.54527739844664258</c:v>
                </c:pt>
                <c:pt idx="60">
                  <c:v>0.57413410855231006</c:v>
                </c:pt>
                <c:pt idx="61">
                  <c:v>0.60416269693639035</c:v>
                </c:pt>
                <c:pt idx="62">
                  <c:v>0.63545582646566456</c:v>
                </c:pt>
                <c:pt idx="63">
                  <c:v>0.66811199352593031</c:v>
                </c:pt>
                <c:pt idx="64">
                  <c:v>0.70223556809063947</c:v>
                </c:pt>
                <c:pt idx="65">
                  <c:v>0.73793670193232674</c:v>
                </c:pt>
                <c:pt idx="66">
                  <c:v>0.77533107157028414</c:v>
                </c:pt>
                <c:pt idx="67">
                  <c:v>0.8145394235002974</c:v>
                </c:pt>
                <c:pt idx="68">
                  <c:v>0.85568689658939867</c:v>
                </c:pt>
                <c:pt idx="69">
                  <c:v>0.89890211421807764</c:v>
                </c:pt>
                <c:pt idx="70">
                  <c:v>0.94431607405801321</c:v>
                </c:pt>
                <c:pt idx="71">
                  <c:v>0.9920609248744835</c:v>
                </c:pt>
                <c:pt idx="72">
                  <c:v>1.0422688219973399</c:v>
                </c:pt>
                <c:pt idx="73">
                  <c:v>1.0950712141306436</c:v>
                </c:pt>
                <c:pt idx="74">
                  <c:v>1.1505991614844393</c:v>
                </c:pt>
                <c:pt idx="75">
                  <c:v>1.2089294506003698</c:v>
                </c:pt>
                <c:pt idx="76">
                  <c:v>1.2698834582378147</c:v>
                </c:pt>
                <c:pt idx="77">
                  <c:v>1.3331508682951314</c:v>
                </c:pt>
                <c:pt idx="78">
                  <c:v>1.3983421446835129</c:v>
                </c:pt>
                <c:pt idx="79">
                  <c:v>1.4649934712027486</c:v>
                </c:pt>
                <c:pt idx="80">
                  <c:v>1.5325788402145193</c:v>
                </c:pt>
                <c:pt idx="81">
                  <c:v>1.6005286636464569</c:v>
                </c:pt>
                <c:pt idx="82">
                  <c:v>1.6682530215155127</c:v>
                </c:pt>
                <c:pt idx="83">
                  <c:v>1.7351666140060884</c:v>
                </c:pt>
                <c:pt idx="84">
                  <c:v>1.8003313608715361</c:v>
                </c:pt>
                <c:pt idx="85">
                  <c:v>1.8636517224640274</c:v>
                </c:pt>
                <c:pt idx="86">
                  <c:v>1.9241086729874382</c:v>
                </c:pt>
                <c:pt idx="87">
                  <c:v>1.9816642188455644</c:v>
                </c:pt>
                <c:pt idx="88">
                  <c:v>2.0362578895123438</c:v>
                </c:pt>
                <c:pt idx="89">
                  <c:v>2.0877076720351972</c:v>
                </c:pt>
                <c:pt idx="90">
                  <c:v>2.136018995593183</c:v>
                </c:pt>
                <c:pt idx="91">
                  <c:v>2.2349786817972044</c:v>
                </c:pt>
                <c:pt idx="92">
                  <c:v>2.3222358551957178</c:v>
                </c:pt>
                <c:pt idx="93">
                  <c:v>2.3987436523586938</c:v>
                </c:pt>
                <c:pt idx="94">
                  <c:v>2.464439173121217</c:v>
                </c:pt>
                <c:pt idx="95">
                  <c:v>2.5195712257636131</c:v>
                </c:pt>
                <c:pt idx="96">
                  <c:v>2.5651381030757783</c:v>
                </c:pt>
                <c:pt idx="97">
                  <c:v>2.6023425418172748</c:v>
                </c:pt>
                <c:pt idx="98">
                  <c:v>2.6322591777514286</c:v>
                </c:pt>
                <c:pt idx="99">
                  <c:v>2.6556871857180875</c:v>
                </c:pt>
                <c:pt idx="100">
                  <c:v>2.6736416536222714</c:v>
                </c:pt>
                <c:pt idx="101">
                  <c:v>2.6877788574028338</c:v>
                </c:pt>
                <c:pt idx="102">
                  <c:v>2.699234751243154</c:v>
                </c:pt>
                <c:pt idx="103">
                  <c:v>2.7087355843718082</c:v>
                </c:pt>
                <c:pt idx="104">
                  <c:v>2.7167672551384334</c:v>
                </c:pt>
                <c:pt idx="105">
                  <c:v>2.7236671615770858</c:v>
                </c:pt>
                <c:pt idx="106">
                  <c:v>2.7296769524025581</c:v>
                </c:pt>
                <c:pt idx="107">
                  <c:v>2.7349096183066917</c:v>
                </c:pt>
                <c:pt idx="108">
                  <c:v>2.7395311972463539</c:v>
                </c:pt>
                <c:pt idx="109">
                  <c:v>2.7436911542420743</c:v>
                </c:pt>
                <c:pt idx="110">
                  <c:v>2.7474665933655533</c:v>
                </c:pt>
                <c:pt idx="111">
                  <c:v>2.7509186633389939</c:v>
                </c:pt>
                <c:pt idx="112">
                  <c:v>2.7540965199558332</c:v>
                </c:pt>
                <c:pt idx="113">
                  <c:v>2.7570401650078278</c:v>
                </c:pt>
                <c:pt idx="114">
                  <c:v>2.7597825169615082</c:v>
                </c:pt>
                <c:pt idx="115">
                  <c:v>2.7623509458214892</c:v>
                </c:pt>
                <c:pt idx="116">
                  <c:v>2.7647684275970676</c:v>
                </c:pt>
                <c:pt idx="117">
                  <c:v>2.7670544243413517</c:v>
                </c:pt>
                <c:pt idx="118">
                  <c:v>2.7692255633123786</c:v>
                </c:pt>
                <c:pt idx="119">
                  <c:v>2.7712961671382428</c:v>
                </c:pt>
                <c:pt idx="120">
                  <c:v>2.7732786721346185</c:v>
                </c:pt>
                <c:pt idx="121">
                  <c:v>2.7751839617407619</c:v>
                </c:pt>
                <c:pt idx="122">
                  <c:v>2.7770216349016188</c:v>
                </c:pt>
                <c:pt idx="123">
                  <c:v>2.7788002241500918</c:v>
                </c:pt>
                <c:pt idx="124">
                  <c:v>2.7805273744952737</c:v>
                </c:pt>
                <c:pt idx="125">
                  <c:v>2.7822099915650469</c:v>
                </c:pt>
                <c:pt idx="126">
                  <c:v>2.7838543655029366</c:v>
                </c:pt>
                <c:pt idx="127">
                  <c:v>2.7854662756704638</c:v>
                </c:pt>
                <c:pt idx="128">
                  <c:v>2.787051080123816</c:v>
                </c:pt>
                <c:pt idx="129">
                  <c:v>2.7886137930246622</c:v>
                </c:pt>
                <c:pt idx="130">
                  <c:v>2.7901591525262814</c:v>
                </c:pt>
                <c:pt idx="131">
                  <c:v>2.7916916812145107</c:v>
                </c:pt>
                <c:pt idx="132">
                  <c:v>2.7932157408367453</c:v>
                </c:pt>
                <c:pt idx="133">
                  <c:v>2.7947355827834701</c:v>
                </c:pt>
                <c:pt idx="134">
                  <c:v>2.796255395606531</c:v>
                </c:pt>
                <c:pt idx="135">
                  <c:v>2.7977793507185558</c:v>
                </c:pt>
                <c:pt idx="136">
                  <c:v>2.7993116473349113</c:v>
                </c:pt>
                <c:pt idx="137">
                  <c:v>2.80085655768689</c:v>
                </c:pt>
                <c:pt idx="138">
                  <c:v>2.8024184735169047</c:v>
                </c:pt>
                <c:pt idx="139">
                  <c:v>2.8040019549248925</c:v>
                </c:pt>
                <c:pt idx="140">
                  <c:v>2.8056117826980711</c:v>
                </c:pt>
                <c:pt idx="141">
                  <c:v>2.8072530153907822</c:v>
                </c:pt>
                <c:pt idx="142">
                  <c:v>2.8089310525899238</c:v>
                </c:pt>
                <c:pt idx="143">
                  <c:v>2.8106517060516949</c:v>
                </c:pt>
                <c:pt idx="144">
                  <c:v>2.8124212806960571</c:v>
                </c:pt>
                <c:pt idx="145">
                  <c:v>2.8142466678717257</c:v>
                </c:pt>
                <c:pt idx="146">
                  <c:v>2.8161354538248133</c:v>
                </c:pt>
                <c:pt idx="147">
                  <c:v>2.8180960470143717</c:v>
                </c:pt>
                <c:pt idx="148">
                  <c:v>2.8201378288034937</c:v>
                </c:pt>
                <c:pt idx="149">
                  <c:v>2.8222713332472109</c:v>
                </c:pt>
                <c:pt idx="150">
                  <c:v>2.8245084632432498</c:v>
                </c:pt>
                <c:pt idx="151">
                  <c:v>2.8268627523641428</c:v>
                </c:pt>
                <c:pt idx="152">
                  <c:v>2.8293496844215786</c:v>
                </c:pt>
                <c:pt idx="153">
                  <c:v>2.8319870865001469</c:v>
                </c:pt>
                <c:pt idx="154">
                  <c:v>2.8347956161755135</c:v>
                </c:pt>
                <c:pt idx="155">
                  <c:v>2.8377993705077516</c:v>
                </c:pt>
                <c:pt idx="156">
                  <c:v>2.8410266494086311</c:v>
                </c:pt>
                <c:pt idx="157">
                  <c:v>2.8444997554705065</c:v>
                </c:pt>
                <c:pt idx="158">
                  <c:v>2.8482103977394249</c:v>
                </c:pt>
                <c:pt idx="159">
                  <c:v>2.8521458312186336</c:v>
                </c:pt>
                <c:pt idx="160">
                  <c:v>2.8562951008672135</c:v>
                </c:pt>
                <c:pt idx="161">
                  <c:v>2.8606486462772134</c:v>
                </c:pt>
                <c:pt idx="162">
                  <c:v>2.8651979440535356</c:v>
                </c:pt>
                <c:pt idx="163">
                  <c:v>2.8699351715609329</c:v>
                </c:pt>
                <c:pt idx="164">
                  <c:v>2.8748624962810889</c:v>
                </c:pt>
                <c:pt idx="165">
                  <c:v>2.8800616637660292</c:v>
                </c:pt>
                <c:pt idx="166">
                  <c:v>2.8854325395299978</c:v>
                </c:pt>
                <c:pt idx="167">
                  <c:v>2.8909663620711861</c:v>
                </c:pt>
                <c:pt idx="168">
                  <c:v>2.8966532203926065</c:v>
                </c:pt>
                <c:pt idx="169">
                  <c:v>2.9024815833613782</c:v>
                </c:pt>
                <c:pt idx="170">
                  <c:v>2.9084377934443588</c:v>
                </c:pt>
                <c:pt idx="171">
                  <c:v>2.9145055582767401</c:v>
                </c:pt>
                <c:pt idx="172">
                  <c:v>2.9206655417602447</c:v>
                </c:pt>
                <c:pt idx="173">
                  <c:v>2.92689533887234</c:v>
                </c:pt>
                <c:pt idx="174">
                  <c:v>2.9331706507798438</c:v>
                </c:pt>
                <c:pt idx="175">
                  <c:v>2.9394702283613965</c:v>
                </c:pt>
                <c:pt idx="176">
                  <c:v>2.9457878370156529</c:v>
                </c:pt>
                <c:pt idx="177">
                  <c:v>2.9521286963594697</c:v>
                </c:pt>
                <c:pt idx="178">
                  <c:v>2.9584988454632462</c:v>
                </c:pt>
                <c:pt idx="179">
                  <c:v>2.9649044504191311</c:v>
                </c:pt>
                <c:pt idx="180">
                  <c:v>2.9713518337061879</c:v>
                </c:pt>
                <c:pt idx="181">
                  <c:v>2.975852161182734</c:v>
                </c:pt>
                <c:pt idx="182">
                  <c:v>2.9803148009677005</c:v>
                </c:pt>
                <c:pt idx="183">
                  <c:v>2.9847460572608462</c:v>
                </c:pt>
                <c:pt idx="184">
                  <c:v>2.9891517953129521</c:v>
                </c:pt>
                <c:pt idx="185">
                  <c:v>2.9935375335226659</c:v>
                </c:pt>
                <c:pt idx="186">
                  <c:v>2.9979085171221378</c:v>
                </c:pt>
                <c:pt idx="187">
                  <c:v>3.002269279147908</c:v>
                </c:pt>
                <c:pt idx="188">
                  <c:v>3.006621336081154</c:v>
                </c:pt>
                <c:pt idx="189">
                  <c:v>3.0109643400008541</c:v>
                </c:pt>
                <c:pt idx="190">
                  <c:v>3.0152979895847336</c:v>
                </c:pt>
                <c:pt idx="191">
                  <c:v>3.0196224902942754</c:v>
                </c:pt>
                <c:pt idx="192">
                  <c:v>3.0239385709162492</c:v>
                </c:pt>
                <c:pt idx="193">
                  <c:v>3.028247398478471</c:v>
                </c:pt>
                <c:pt idx="194">
                  <c:v>3.0325504846306526</c:v>
                </c:pt>
                <c:pt idx="195">
                  <c:v>3.0368496065615589</c:v>
                </c:pt>
                <c:pt idx="196">
                  <c:v>3.0411467454286769</c:v>
                </c:pt>
                <c:pt idx="197">
                  <c:v>3.0454440399449965</c:v>
                </c:pt>
                <c:pt idx="198">
                  <c:v>3.0497437518857002</c:v>
                </c:pt>
                <c:pt idx="199">
                  <c:v>3.0540482406148222</c:v>
                </c:pt>
                <c:pt idx="200">
                  <c:v>3.0583599443283402</c:v>
                </c:pt>
                <c:pt idx="201">
                  <c:v>3.0626813662505143</c:v>
                </c:pt>
                <c:pt idx="202">
                  <c:v>3.0670150644358749</c:v>
                </c:pt>
                <c:pt idx="203">
                  <c:v>3.0713636441510141</c:v>
                </c:pt>
                <c:pt idx="204">
                  <c:v>3.0757297520474616</c:v>
                </c:pt>
                <c:pt idx="205">
                  <c:v>3.0801160714719318</c:v>
                </c:pt>
                <c:pt idx="206">
                  <c:v>3.0845253183917527</c:v>
                </c:pt>
                <c:pt idx="207">
                  <c:v>3.0889602374499674</c:v>
                </c:pt>
                <c:pt idx="208">
                  <c:v>3.0934235977201947</c:v>
                </c:pt>
                <c:pt idx="209">
                  <c:v>3.0979181877128643</c:v>
                </c:pt>
                <c:pt idx="210">
                  <c:v>3.1024468091714068</c:v>
                </c:pt>
                <c:pt idx="211">
                  <c:v>3.1070122691394961</c:v>
                </c:pt>
                <c:pt idx="212">
                  <c:v>3.1116173697097018</c:v>
                </c:pt>
                <c:pt idx="213">
                  <c:v>3.1163021640174087</c:v>
                </c:pt>
                <c:pt idx="214">
                  <c:v>3.1210697310752837</c:v>
                </c:pt>
                <c:pt idx="215">
                  <c:v>3.1258888113387626</c:v>
                </c:pt>
                <c:pt idx="216">
                  <c:v>3.1307623651045042</c:v>
                </c:pt>
                <c:pt idx="217">
                  <c:v>3.1356932737174095</c:v>
                </c:pt>
                <c:pt idx="218">
                  <c:v>3.1406843002897218</c:v>
                </c:pt>
                <c:pt idx="219">
                  <c:v>-3.1374470192146817</c:v>
                </c:pt>
                <c:pt idx="220">
                  <c:v>-3.1323232791774016</c:v>
                </c:pt>
                <c:pt idx="221">
                  <c:v>-3.1271194842901604</c:v>
                </c:pt>
                <c:pt idx="222">
                  <c:v>-3.1218248709089678</c:v>
                </c:pt>
                <c:pt idx="223">
                  <c:v>-3.1164281993754877</c:v>
                </c:pt>
                <c:pt idx="224">
                  <c:v>-3.110917635776449</c:v>
                </c:pt>
                <c:pt idx="225">
                  <c:v>-3.1052806247281248</c:v>
                </c:pt>
                <c:pt idx="226">
                  <c:v>-3.0995037501055265</c:v>
                </c:pt>
                <c:pt idx="227">
                  <c:v>-3.0935725801940968</c:v>
                </c:pt>
                <c:pt idx="228">
                  <c:v>-3.087471493273501</c:v>
                </c:pt>
                <c:pt idx="229">
                  <c:v>-3.0811834788251793</c:v>
                </c:pt>
                <c:pt idx="230">
                  <c:v>-3.0746899086666786</c:v>
                </c:pt>
                <c:pt idx="231">
                  <c:v>-3.0679702710303722</c:v>
                </c:pt>
                <c:pt idx="232">
                  <c:v>-3.0610018589778742</c:v>
                </c:pt>
                <c:pt idx="233">
                  <c:v>-3.0537594024705808</c:v>
                </c:pt>
                <c:pt idx="234">
                  <c:v>-3.046214630611308</c:v>
                </c:pt>
                <c:pt idx="235">
                  <c:v>-3.0383357470052452</c:v>
                </c:pt>
                <c:pt idx="236">
                  <c:v>-3.0300867963711662</c:v>
                </c:pt>
                <c:pt idx="237">
                  <c:v>-3.0214268942114626</c:v>
                </c:pt>
                <c:pt idx="238">
                  <c:v>-3.0123039555138327</c:v>
                </c:pt>
                <c:pt idx="239">
                  <c:v>-3.0026048847866056</c:v>
                </c:pt>
                <c:pt idx="240">
                  <c:v>-2.9923221080307187</c:v>
                </c:pt>
                <c:pt idx="241">
                  <c:v>-2.9813813930348756</c:v>
                </c:pt>
                <c:pt idx="242">
                  <c:v>-2.9696955072734443</c:v>
                </c:pt>
                <c:pt idx="243">
                  <c:v>-2.9571611501620056</c:v>
                </c:pt>
                <c:pt idx="244">
                  <c:v>-2.9436549772896541</c:v>
                </c:pt>
                <c:pt idx="245">
                  <c:v>-2.929028388688026</c:v>
                </c:pt>
                <c:pt idx="246">
                  <c:v>-2.9131006123755889</c:v>
                </c:pt>
                <c:pt idx="247">
                  <c:v>-2.8956494032209461</c:v>
                </c:pt>
                <c:pt idx="248">
                  <c:v>-2.8763983551989161</c:v>
                </c:pt>
                <c:pt idx="249">
                  <c:v>-2.8549993260318738</c:v>
                </c:pt>
                <c:pt idx="250">
                  <c:v>-2.831007686862415</c:v>
                </c:pt>
                <c:pt idx="251">
                  <c:v>-2.8038468503066958</c:v>
                </c:pt>
                <c:pt idx="252">
                  <c:v>-2.7727564846032724</c:v>
                </c:pt>
                <c:pt idx="253">
                  <c:v>-2.7367154655520789</c:v>
                </c:pt>
                <c:pt idx="254">
                  <c:v>-2.6944656271172671</c:v>
                </c:pt>
                <c:pt idx="255">
                  <c:v>-2.6451017836082862</c:v>
                </c:pt>
                <c:pt idx="256">
                  <c:v>-2.587777593734554</c:v>
                </c:pt>
                <c:pt idx="257">
                  <c:v>-2.5215514261543048</c:v>
                </c:pt>
                <c:pt idx="258">
                  <c:v>-2.4454887503186011</c:v>
                </c:pt>
                <c:pt idx="259">
                  <c:v>-2.3497406344624272</c:v>
                </c:pt>
                <c:pt idx="260">
                  <c:v>-2.24244626786238</c:v>
                </c:pt>
                <c:pt idx="261">
                  <c:v>-2.131268413873264</c:v>
                </c:pt>
                <c:pt idx="262">
                  <c:v>-2.0150359403921159</c:v>
                </c:pt>
                <c:pt idx="263">
                  <c:v>-1.8892055477695329</c:v>
                </c:pt>
                <c:pt idx="264">
                  <c:v>-1.7573240007875184</c:v>
                </c:pt>
                <c:pt idx="265">
                  <c:v>-1.6242453222134297</c:v>
                </c:pt>
                <c:pt idx="266">
                  <c:v>-1.4952026619519561</c:v>
                </c:pt>
                <c:pt idx="267">
                  <c:v>-1.3928103525298536</c:v>
                </c:pt>
                <c:pt idx="268">
                  <c:v>-1.3037872753908679</c:v>
                </c:pt>
                <c:pt idx="269">
                  <c:v>-1.21732995283489</c:v>
                </c:pt>
                <c:pt idx="270">
                  <c:v>-1.1520788624392391</c:v>
                </c:pt>
                <c:pt idx="271">
                  <c:v>-1.1055574031597204</c:v>
                </c:pt>
                <c:pt idx="272">
                  <c:v>-1.0751613395128019</c:v>
                </c:pt>
                <c:pt idx="273">
                  <c:v>-1.0432586746020169</c:v>
                </c:pt>
                <c:pt idx="274">
                  <c:v>-1.010224881143287</c:v>
                </c:pt>
                <c:pt idx="275">
                  <c:v>-0.97647401163684744</c:v>
                </c:pt>
                <c:pt idx="276">
                  <c:v>-0.9425009651681675</c:v>
                </c:pt>
                <c:pt idx="277">
                  <c:v>-0.90871450265677756</c:v>
                </c:pt>
                <c:pt idx="278">
                  <c:v>-0.87541566744187171</c:v>
                </c:pt>
                <c:pt idx="279">
                  <c:v>-0.84281932943691151</c:v>
                </c:pt>
                <c:pt idx="280">
                  <c:v>-0.81107564594985293</c:v>
                </c:pt>
                <c:pt idx="281">
                  <c:v>-0.78028679130045386</c:v>
                </c:pt>
                <c:pt idx="282">
                  <c:v>-0.75051955612147192</c:v>
                </c:pt>
                <c:pt idx="283">
                  <c:v>-0.72181487790828613</c:v>
                </c:pt>
                <c:pt idx="284">
                  <c:v>-0.69419514964909423</c:v>
                </c:pt>
                <c:pt idx="285">
                  <c:v>-0.66786711603975546</c:v>
                </c:pt>
                <c:pt idx="286">
                  <c:v>-0.6426491122566238</c:v>
                </c:pt>
                <c:pt idx="287">
                  <c:v>-0.61846755631502071</c:v>
                </c:pt>
                <c:pt idx="288">
                  <c:v>-0.59533392839094856</c:v>
                </c:pt>
                <c:pt idx="289">
                  <c:v>-0.57325749018457317</c:v>
                </c:pt>
                <c:pt idx="290">
                  <c:v>-0.55224808138475434</c:v>
                </c:pt>
                <c:pt idx="291">
                  <c:v>-0.53231882498295791</c:v>
                </c:pt>
                <c:pt idx="292">
                  <c:v>-0.51348890929124602</c:v>
                </c:pt>
                <c:pt idx="293">
                  <c:v>-0.49575827995066035</c:v>
                </c:pt>
                <c:pt idx="294">
                  <c:v>-0.47902144810403291</c:v>
                </c:pt>
                <c:pt idx="295">
                  <c:v>-0.46316108196829014</c:v>
                </c:pt>
                <c:pt idx="296">
                  <c:v>-0.44807719173901689</c:v>
                </c:pt>
                <c:pt idx="297">
                  <c:v>-0.43368387995913005</c:v>
                </c:pt>
                <c:pt idx="298">
                  <c:v>-0.41990679820165705</c:v>
                </c:pt>
                <c:pt idx="299">
                  <c:v>-0.4066811358202555</c:v>
                </c:pt>
                <c:pt idx="300">
                  <c:v>-0.39395001379167816</c:v>
                </c:pt>
                <c:pt idx="301">
                  <c:v>-0.38166319017016409</c:v>
                </c:pt>
                <c:pt idx="302">
                  <c:v>-0.36994014420741311</c:v>
                </c:pt>
                <c:pt idx="303">
                  <c:v>-0.35872201412175586</c:v>
                </c:pt>
                <c:pt idx="304">
                  <c:v>-0.347931828002087</c:v>
                </c:pt>
                <c:pt idx="305">
                  <c:v>-0.33757053145908528</c:v>
                </c:pt>
                <c:pt idx="306">
                  <c:v>-0.32763032938671682</c:v>
                </c:pt>
                <c:pt idx="307">
                  <c:v>-0.3180979903291733</c:v>
                </c:pt>
                <c:pt idx="308">
                  <c:v>-0.30895706235011994</c:v>
                </c:pt>
                <c:pt idx="309">
                  <c:v>-0.3001893599364398</c:v>
                </c:pt>
                <c:pt idx="310">
                  <c:v>-0.29177595821315983</c:v>
                </c:pt>
                <c:pt idx="311">
                  <c:v>-0.28369785185879026</c:v>
                </c:pt>
                <c:pt idx="312">
                  <c:v>-0.27593638468968762</c:v>
                </c:pt>
                <c:pt idx="313">
                  <c:v>-0.26847352198377916</c:v>
                </c:pt>
                <c:pt idx="314">
                  <c:v>-0.26129201495294446</c:v>
                </c:pt>
                <c:pt idx="315">
                  <c:v>-0.25437549142805699</c:v>
                </c:pt>
                <c:pt idx="316">
                  <c:v>-0.24770849640814638</c:v>
                </c:pt>
                <c:pt idx="317">
                  <c:v>-0.24127649892221653</c:v>
                </c:pt>
                <c:pt idx="318">
                  <c:v>-0.23506587667435935</c:v>
                </c:pt>
                <c:pt idx="319">
                  <c:v>-0.22906388650522524</c:v>
                </c:pt>
                <c:pt idx="320">
                  <c:v>-0.22325862623119608</c:v>
                </c:pt>
                <c:pt idx="321">
                  <c:v>-0.21763899174513363</c:v>
                </c:pt>
                <c:pt idx="322">
                  <c:v>-0.21219463205464476</c:v>
                </c:pt>
                <c:pt idx="323">
                  <c:v>-0.20691590408274202</c:v>
                </c:pt>
                <c:pt idx="324">
                  <c:v>-0.20179382843616675</c:v>
                </c:pt>
                <c:pt idx="325">
                  <c:v>-0.19682004696010033</c:v>
                </c:pt>
                <c:pt idx="326">
                  <c:v>-0.19198678256538568</c:v>
                </c:pt>
                <c:pt idx="327">
                  <c:v>-0.18728680162040118</c:v>
                </c:pt>
                <c:pt idx="328">
                  <c:v>-0.18271337906632071</c:v>
                </c:pt>
                <c:pt idx="329">
                  <c:v>-0.17826026629151795</c:v>
                </c:pt>
                <c:pt idx="330">
                  <c:v>-0.17392166175515808</c:v>
                </c:pt>
                <c:pt idx="331">
                  <c:v>-0.16969218428062649</c:v>
                </c:pt>
                <c:pt idx="332">
                  <c:v>-0.16556684893888443</c:v>
                </c:pt>
                <c:pt idx="333">
                  <c:v>-0.16154104538085712</c:v>
                </c:pt>
                <c:pt idx="334">
                  <c:v>-0.157610518469285</c:v>
                </c:pt>
                <c:pt idx="335">
                  <c:v>-0.15377135103880474</c:v>
                </c:pt>
                <c:pt idx="336">
                  <c:v>-0.15001994852381315</c:v>
                </c:pt>
                <c:pt idx="337">
                  <c:v>-0.14635302517431326</c:v>
                </c:pt>
                <c:pt idx="338">
                  <c:v>-0.14276759138999739</c:v>
                </c:pt>
                <c:pt idx="339">
                  <c:v>-0.13926094154085786</c:v>
                </c:pt>
                <c:pt idx="340">
                  <c:v>-0.1358306412729603</c:v>
                </c:pt>
                <c:pt idx="341">
                  <c:v>-0.13247451273949098</c:v>
                </c:pt>
                <c:pt idx="342">
                  <c:v>-0.12919061524062686</c:v>
                </c:pt>
                <c:pt idx="343">
                  <c:v>-0.12597721714823606</c:v>
                </c:pt>
                <c:pt idx="344">
                  <c:v>-0.12283275221212135</c:v>
                </c:pt>
                <c:pt idx="345">
                  <c:v>-0.11975574844396335</c:v>
                </c:pt>
                <c:pt idx="346">
                  <c:v>-0.11674470893190911</c:v>
                </c:pt>
                <c:pt idx="347">
                  <c:v>-0.11323134887724998</c:v>
                </c:pt>
                <c:pt idx="348">
                  <c:v>-0.1096502348426573</c:v>
                </c:pt>
                <c:pt idx="349">
                  <c:v>-0.10610965135721616</c:v>
                </c:pt>
                <c:pt idx="350">
                  <c:v>-0.10260618693607665</c:v>
                </c:pt>
                <c:pt idx="351">
                  <c:v>-9.9136563412406578E-2</c:v>
                </c:pt>
                <c:pt idx="352">
                  <c:v>-9.5697622013290809E-2</c:v>
                </c:pt>
                <c:pt idx="353">
                  <c:v>-9.2286310387733397E-2</c:v>
                </c:pt>
                <c:pt idx="354">
                  <c:v>-8.889967047341113E-2</c:v>
                </c:pt>
                <c:pt idx="355">
                  <c:v>-8.5534827090067364E-2</c:v>
                </c:pt>
                <c:pt idx="356">
                  <c:v>-8.218897715809248E-2</c:v>
                </c:pt>
                <c:pt idx="357">
                  <c:v>-7.8859379454215006E-2</c:v>
                </c:pt>
                <c:pt idx="358">
                  <c:v>-7.55433448175718E-2</c:v>
                </c:pt>
                <c:pt idx="359">
                  <c:v>-7.2238226730647143E-2</c:v>
                </c:pt>
                <c:pt idx="360">
                  <c:v>-6.8941412197320029E-2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2.4880760107276396</c:v>
                </c:pt>
                <c:pt idx="1">
                  <c:v>2.4856706086336207</c:v>
                </c:pt>
                <c:pt idx="2">
                  <c:v>2.4832668118505081</c:v>
                </c:pt>
                <c:pt idx="3">
                  <c:v>2.4808628429462134</c:v>
                </c:pt>
                <c:pt idx="4">
                  <c:v>2.478456921377715</c:v>
                </c:pt>
                <c:pt idx="5">
                  <c:v>2.4760472578336064</c:v>
                </c:pt>
                <c:pt idx="6">
                  <c:v>2.4736320484948671</c:v>
                </c:pt>
                <c:pt idx="7">
                  <c:v>2.4712094691773787</c:v>
                </c:pt>
                <c:pt idx="8">
                  <c:v>2.4687776693097554</c:v>
                </c:pt>
                <c:pt idx="9">
                  <c:v>2.4663347657036239</c:v>
                </c:pt>
                <c:pt idx="10">
                  <c:v>2.4637002576618716</c:v>
                </c:pt>
                <c:pt idx="11">
                  <c:v>2.4610616653745039</c:v>
                </c:pt>
                <c:pt idx="12">
                  <c:v>2.4584172264553246</c:v>
                </c:pt>
                <c:pt idx="13">
                  <c:v>2.4557645287985634</c:v>
                </c:pt>
                <c:pt idx="14">
                  <c:v>2.4531011519749351</c:v>
                </c:pt>
                <c:pt idx="15">
                  <c:v>2.4504249342157021</c:v>
                </c:pt>
                <c:pt idx="16">
                  <c:v>2.4477341649071862</c:v>
                </c:pt>
                <c:pt idx="17">
                  <c:v>2.4450273804714318</c:v>
                </c:pt>
                <c:pt idx="18">
                  <c:v>2.4423032077831737</c:v>
                </c:pt>
                <c:pt idx="19">
                  <c:v>2.4395602744681453</c:v>
                </c:pt>
                <c:pt idx="20">
                  <c:v>2.43679715687247</c:v>
                </c:pt>
                <c:pt idx="21">
                  <c:v>2.4340123494868289</c:v>
                </c:pt>
                <c:pt idx="22">
                  <c:v>2.4312042466005988</c:v>
                </c:pt>
                <c:pt idx="23">
                  <c:v>2.4283711308369433</c:v>
                </c:pt>
                <c:pt idx="24">
                  <c:v>2.4255111653911605</c:v>
                </c:pt>
                <c:pt idx="25">
                  <c:v>2.422622388076733</c:v>
                </c:pt>
                <c:pt idx="26">
                  <c:v>2.419702706018346</c:v>
                </c:pt>
                <c:pt idx="27">
                  <c:v>2.4167498902783384</c:v>
                </c:pt>
                <c:pt idx="28">
                  <c:v>2.4137615699655379</c:v>
                </c:pt>
                <c:pt idx="29">
                  <c:v>2.4107352255415213</c:v>
                </c:pt>
                <c:pt idx="30">
                  <c:v>2.4076681811204903</c:v>
                </c:pt>
                <c:pt idx="31">
                  <c:v>2.4045575956316858</c:v>
                </c:pt>
                <c:pt idx="32">
                  <c:v>2.4005946043443682</c:v>
                </c:pt>
                <c:pt idx="33">
                  <c:v>2.3963815166597513</c:v>
                </c:pt>
                <c:pt idx="34">
                  <c:v>2.3920874833761028</c:v>
                </c:pt>
                <c:pt idx="35">
                  <c:v>2.3877085560657791</c:v>
                </c:pt>
                <c:pt idx="36">
                  <c:v>2.3832405286774803</c:v>
                </c:pt>
                <c:pt idx="37">
                  <c:v>2.3786789259919212</c:v>
                </c:pt>
                <c:pt idx="38">
                  <c:v>2.3738821424595296</c:v>
                </c:pt>
                <c:pt idx="39">
                  <c:v>2.368912617293601</c:v>
                </c:pt>
                <c:pt idx="40">
                  <c:v>2.363306663355905</c:v>
                </c:pt>
                <c:pt idx="41">
                  <c:v>2.3573191823396984</c:v>
                </c:pt>
                <c:pt idx="42">
                  <c:v>2.3511365517426621</c:v>
                </c:pt>
                <c:pt idx="43">
                  <c:v>2.3447500842763254</c:v>
                </c:pt>
                <c:pt idx="44">
                  <c:v>2.3381510460304513</c:v>
                </c:pt>
                <c:pt idx="45">
                  <c:v>2.3313308082345108</c:v>
                </c:pt>
                <c:pt idx="46">
                  <c:v>2.3242810582977729</c:v>
                </c:pt>
                <c:pt idx="47">
                  <c:v>2.3169940907579138</c:v>
                </c:pt>
                <c:pt idx="48">
                  <c:v>2.309463206255558</c:v>
                </c:pt>
                <c:pt idx="49">
                  <c:v>2.301683257096617</c:v>
                </c:pt>
                <c:pt idx="50">
                  <c:v>2.2934678559570179</c:v>
                </c:pt>
                <c:pt idx="51">
                  <c:v>2.2849763594677723</c:v>
                </c:pt>
                <c:pt idx="52">
                  <c:v>2.2764405386006152</c:v>
                </c:pt>
                <c:pt idx="53">
                  <c:v>2.2677362196875719</c:v>
                </c:pt>
                <c:pt idx="54">
                  <c:v>2.25884345171773</c:v>
                </c:pt>
                <c:pt idx="55">
                  <c:v>2.2498127325869905</c:v>
                </c:pt>
                <c:pt idx="56">
                  <c:v>2.2406768219450806</c:v>
                </c:pt>
                <c:pt idx="57">
                  <c:v>2.2314210738559548</c:v>
                </c:pt>
                <c:pt idx="58">
                  <c:v>2.2220255827363653</c:v>
                </c:pt>
                <c:pt idx="59">
                  <c:v>2.212468870321266</c:v>
                </c:pt>
                <c:pt idx="60">
                  <c:v>2.2027275905748942</c:v>
                </c:pt>
                <c:pt idx="61">
                  <c:v>2.1927761804885959</c:v>
                </c:pt>
                <c:pt idx="62">
                  <c:v>2.1825864426640029</c:v>
                </c:pt>
                <c:pt idx="63">
                  <c:v>2.1721270413328897</c:v>
                </c:pt>
                <c:pt idx="64">
                  <c:v>2.1613628877027566</c:v>
                </c:pt>
                <c:pt idx="65">
                  <c:v>2.1502543823758162</c:v>
                </c:pt>
                <c:pt idx="66">
                  <c:v>2.1387564713416207</c:v>
                </c:pt>
                <c:pt idx="67">
                  <c:v>2.1268174559454636</c:v>
                </c:pt>
                <c:pt idx="68">
                  <c:v>2.1143774738732768</c:v>
                </c:pt>
                <c:pt idx="69">
                  <c:v>2.1013665339918872</c:v>
                </c:pt>
                <c:pt idx="70">
                  <c:v>2.0877019363344518</c:v>
                </c:pt>
                <c:pt idx="71">
                  <c:v>2.0732848299449023</c:v>
                </c:pt>
                <c:pt idx="72">
                  <c:v>2.0579955379256614</c:v>
                </c:pt>
                <c:pt idx="73">
                  <c:v>2.0416870814350805</c:v>
                </c:pt>
                <c:pt idx="74">
                  <c:v>2.0241760085374296</c:v>
                </c:pt>
                <c:pt idx="75">
                  <c:v>2.0052505840713972</c:v>
                </c:pt>
                <c:pt idx="76">
                  <c:v>1.9847369305450921</c:v>
                </c:pt>
                <c:pt idx="77">
                  <c:v>1.9624489648589183</c:v>
                </c:pt>
                <c:pt idx="78">
                  <c:v>1.9381633829327984</c:v>
                </c:pt>
                <c:pt idx="79">
                  <c:v>1.9116134028489329</c:v>
                </c:pt>
                <c:pt idx="80">
                  <c:v>1.8824815825045016</c:v>
                </c:pt>
                <c:pt idx="81">
                  <c:v>1.8503920610642763</c:v>
                </c:pt>
                <c:pt idx="82">
                  <c:v>1.8149031013263304</c:v>
                </c:pt>
                <c:pt idx="83">
                  <c:v>1.775501835521037</c:v>
                </c:pt>
                <c:pt idx="84">
                  <c:v>1.7318962556546864</c:v>
                </c:pt>
                <c:pt idx="85">
                  <c:v>1.6832281739086474</c:v>
                </c:pt>
                <c:pt idx="86">
                  <c:v>1.6294025451680516</c:v>
                </c:pt>
                <c:pt idx="87">
                  <c:v>1.5697495886116917</c:v>
                </c:pt>
                <c:pt idx="88">
                  <c:v>1.5036650488925063</c:v>
                </c:pt>
                <c:pt idx="89">
                  <c:v>1.4306434015545528</c:v>
                </c:pt>
                <c:pt idx="90">
                  <c:v>1.3498466628678178</c:v>
                </c:pt>
                <c:pt idx="91">
                  <c:v>1.193939435830218</c:v>
                </c:pt>
                <c:pt idx="92">
                  <c:v>1.0097573260609596</c:v>
                </c:pt>
                <c:pt idx="93">
                  <c:v>0.80324264665031042</c:v>
                </c:pt>
                <c:pt idx="94">
                  <c:v>0.59270313212091685</c:v>
                </c:pt>
                <c:pt idx="95">
                  <c:v>0.40009596590193497</c:v>
                </c:pt>
                <c:pt idx="96">
                  <c:v>0.23852814839521486</c:v>
                </c:pt>
                <c:pt idx="97">
                  <c:v>0.11047803965860448</c:v>
                </c:pt>
                <c:pt idx="98">
                  <c:v>1.2540466258208927E-2</c:v>
                </c:pt>
                <c:pt idx="99">
                  <c:v>-6.0083320510992085E-2</c:v>
                </c:pt>
                <c:pt idx="100">
                  <c:v>-0.11300883246857385</c:v>
                </c:pt>
                <c:pt idx="101">
                  <c:v>-0.15296322397736661</c:v>
                </c:pt>
                <c:pt idx="102">
                  <c:v>-0.18423086714921233</c:v>
                </c:pt>
                <c:pt idx="103">
                  <c:v>-0.20941936573048991</c:v>
                </c:pt>
                <c:pt idx="104">
                  <c:v>-0.23019735909348871</c:v>
                </c:pt>
                <c:pt idx="105">
                  <c:v>-0.24767865190102434</c:v>
                </c:pt>
                <c:pt idx="106">
                  <c:v>-0.26263365698363561</c:v>
                </c:pt>
                <c:pt idx="107">
                  <c:v>-0.27545782227190418</c:v>
                </c:pt>
                <c:pt idx="108">
                  <c:v>-0.28663418660215317</c:v>
                </c:pt>
                <c:pt idx="109">
                  <c:v>-0.2965747082523178</c:v>
                </c:pt>
                <c:pt idx="110">
                  <c:v>-0.30550096575905972</c:v>
                </c:pt>
                <c:pt idx="111">
                  <c:v>-0.31358532978153475</c:v>
                </c:pt>
                <c:pt idx="112">
                  <c:v>-0.32096396441854574</c:v>
                </c:pt>
                <c:pt idx="113">
                  <c:v>-0.32774592577194017</c:v>
                </c:pt>
                <c:pt idx="114">
                  <c:v>-0.33401965712491316</c:v>
                </c:pt>
                <c:pt idx="115">
                  <c:v>-0.33985770932193571</c:v>
                </c:pt>
                <c:pt idx="116">
                  <c:v>-0.34532022727072542</c:v>
                </c:pt>
                <c:pt idx="117">
                  <c:v>-0.35045756333525269</c:v>
                </c:pt>
                <c:pt idx="118">
                  <c:v>-0.35531226289752776</c:v>
                </c:pt>
                <c:pt idx="119">
                  <c:v>-0.35992059182829461</c:v>
                </c:pt>
                <c:pt idx="120">
                  <c:v>-0.36431372526614453</c:v>
                </c:pt>
                <c:pt idx="121">
                  <c:v>-0.36851868292319123</c:v>
                </c:pt>
                <c:pt idx="122">
                  <c:v>-0.37255907260737198</c:v>
                </c:pt>
                <c:pt idx="123">
                  <c:v>-0.37645568718392358</c:v>
                </c:pt>
                <c:pt idx="124">
                  <c:v>-0.38022698854601522</c:v>
                </c:pt>
                <c:pt idx="125">
                  <c:v>-0.38388950377485065</c:v>
                </c:pt>
                <c:pt idx="126">
                  <c:v>-0.38745815262242095</c:v>
                </c:pt>
                <c:pt idx="127">
                  <c:v>-0.39094652098379923</c:v>
                </c:pt>
                <c:pt idx="128">
                  <c:v>-0.3943670917314544</c:v>
                </c:pt>
                <c:pt idx="129">
                  <c:v>-0.39773144185553644</c:v>
                </c:pt>
                <c:pt idx="130">
                  <c:v>-0.40105041298557026</c:v>
                </c:pt>
                <c:pt idx="131">
                  <c:v>-0.40433426100186504</c:v>
                </c:pt>
                <c:pt idx="132">
                  <c:v>-0.40759278941614857</c:v>
                </c:pt>
                <c:pt idx="133">
                  <c:v>-0.41083547038248719</c:v>
                </c:pt>
                <c:pt idx="134">
                  <c:v>-0.41407155666760431</c:v>
                </c:pt>
                <c:pt idx="135">
                  <c:v>-0.41731018745881965</c:v>
                </c:pt>
                <c:pt idx="136">
                  <c:v>-0.42056049061028439</c:v>
                </c:pt>
                <c:pt idx="137">
                  <c:v>-0.42383168378438896</c:v>
                </c:pt>
                <c:pt idx="138">
                  <c:v>-0.42713317681211027</c:v>
                </c:pt>
                <c:pt idx="139">
                  <c:v>-0.43047467768997993</c:v>
                </c:pt>
                <c:pt idx="140">
                  <c:v>-0.43386630468947018</c:v>
                </c:pt>
                <c:pt idx="141">
                  <c:v>-0.43731870730532169</c:v>
                </c:pt>
                <c:pt idx="142">
                  <c:v>-0.4408431990730981</c:v>
                </c:pt>
                <c:pt idx="143">
                  <c:v>-0.44445190577720967</c:v>
                </c:pt>
                <c:pt idx="144">
                  <c:v>-0.44815793314533042</c:v>
                </c:pt>
                <c:pt idx="145">
                  <c:v>-0.45197555897835873</c:v>
                </c:pt>
                <c:pt idx="146">
                  <c:v>-0.45592045568833445</c:v>
                </c:pt>
                <c:pt idx="147">
                  <c:v>-0.46000995063737982</c:v>
                </c:pt>
                <c:pt idx="148">
                  <c:v>-0.46426333342575177</c:v>
                </c:pt>
                <c:pt idx="149">
                  <c:v>-0.46870222165598774</c:v>
                </c:pt>
                <c:pt idx="150">
                  <c:v>-0.47335099976707123</c:v>
                </c:pt>
                <c:pt idx="151">
                  <c:v>-0.47823734960243192</c:v>
                </c:pt>
                <c:pt idx="152">
                  <c:v>-0.48339289677792646</c:v>
                </c:pt>
                <c:pt idx="153">
                  <c:v>-0.48885400417728514</c:v>
                </c:pt>
                <c:pt idx="154">
                  <c:v>-0.49466275366920165</c:v>
                </c:pt>
                <c:pt idx="155">
                  <c:v>-0.50086817055436184</c:v>
                </c:pt>
                <c:pt idx="156">
                  <c:v>-0.50752775439538578</c:v>
                </c:pt>
                <c:pt idx="157">
                  <c:v>-0.5146863310364882</c:v>
                </c:pt>
                <c:pt idx="158">
                  <c:v>-0.52232528248664511</c:v>
                </c:pt>
                <c:pt idx="159">
                  <c:v>-0.53041674359828095</c:v>
                </c:pt>
                <c:pt idx="160">
                  <c:v>-0.53893650762271461</c:v>
                </c:pt>
                <c:pt idx="161">
                  <c:v>-0.54786319060974309</c:v>
                </c:pt>
                <c:pt idx="162">
                  <c:v>-0.55717748039085102</c:v>
                </c:pt>
                <c:pt idx="163">
                  <c:v>-0.56686143743050987</c:v>
                </c:pt>
                <c:pt idx="164">
                  <c:v>-0.5769172759738036</c:v>
                </c:pt>
                <c:pt idx="165">
                  <c:v>-0.58750744486444528</c:v>
                </c:pt>
                <c:pt idx="166">
                  <c:v>-0.59842640703733874</c:v>
                </c:pt>
                <c:pt idx="167">
                  <c:v>-0.60965394304033904</c:v>
                </c:pt>
                <c:pt idx="168">
                  <c:v>-0.62116754741789171</c:v>
                </c:pt>
                <c:pt idx="169">
                  <c:v>-0.63294155564626298</c:v>
                </c:pt>
                <c:pt idx="170">
                  <c:v>-0.64494622660062839</c:v>
                </c:pt>
                <c:pt idx="171">
                  <c:v>-0.65714684813491653</c:v>
                </c:pt>
                <c:pt idx="172">
                  <c:v>-0.66950306313884056</c:v>
                </c:pt>
                <c:pt idx="173">
                  <c:v>-0.68196896172744781</c:v>
                </c:pt>
                <c:pt idx="174">
                  <c:v>-0.69449550841174368</c:v>
                </c:pt>
                <c:pt idx="175">
                  <c:v>-0.70704026650196583</c:v>
                </c:pt>
                <c:pt idx="176">
                  <c:v>-0.71959066059321541</c:v>
                </c:pt>
                <c:pt idx="177">
                  <c:v>-0.73215657644693577</c:v>
                </c:pt>
                <c:pt idx="178">
                  <c:v>-0.74474932805517069</c:v>
                </c:pt>
                <c:pt idx="179">
                  <c:v>-0.75738027994844526</c:v>
                </c:pt>
                <c:pt idx="180">
                  <c:v>-0.77006088813045448</c:v>
                </c:pt>
                <c:pt idx="181">
                  <c:v>-0.77964938808283391</c:v>
                </c:pt>
                <c:pt idx="182">
                  <c:v>-0.78916289253749605</c:v>
                </c:pt>
                <c:pt idx="183">
                  <c:v>-0.79861763527297613</c:v>
                </c:pt>
                <c:pt idx="184">
                  <c:v>-0.80802870078701439</c:v>
                </c:pt>
                <c:pt idx="185">
                  <c:v>-0.81741028248953329</c:v>
                </c:pt>
                <c:pt idx="186">
                  <c:v>-0.82677588986826711</c:v>
                </c:pt>
                <c:pt idx="187">
                  <c:v>-0.83613733446856786</c:v>
                </c:pt>
                <c:pt idx="188">
                  <c:v>-0.84549914798633352</c:v>
                </c:pt>
                <c:pt idx="189">
                  <c:v>-0.85486102773466266</c:v>
                </c:pt>
                <c:pt idx="190">
                  <c:v>-0.86422238334018431</c:v>
                </c:pt>
                <c:pt idx="191">
                  <c:v>-0.87358357278962229</c:v>
                </c:pt>
                <c:pt idx="192">
                  <c:v>-0.88294606123559172</c:v>
                </c:pt>
                <c:pt idx="193">
                  <c:v>-0.89231229846638715</c:v>
                </c:pt>
                <c:pt idx="194">
                  <c:v>-0.90168554600091033</c:v>
                </c:pt>
                <c:pt idx="195">
                  <c:v>-0.91106971906515488</c:v>
                </c:pt>
                <c:pt idx="196">
                  <c:v>-0.92046925800162693</c:v>
                </c:pt>
                <c:pt idx="197">
                  <c:v>-0.92988902828326792</c:v>
                </c:pt>
                <c:pt idx="198">
                  <c:v>-0.93933424443373481</c:v>
                </c:pt>
                <c:pt idx="199">
                  <c:v>-0.94881041275799261</c:v>
                </c:pt>
                <c:pt idx="200">
                  <c:v>-0.95832328853977877</c:v>
                </c:pt>
                <c:pt idx="201">
                  <c:v>-0.96787884421543913</c:v>
                </c:pt>
                <c:pt idx="202">
                  <c:v>-0.97748324569487988</c:v>
                </c:pt>
                <c:pt idx="203">
                  <c:v>-0.98714283462502994</c:v>
                </c:pt>
                <c:pt idx="204">
                  <c:v>-0.99686411490241245</c:v>
                </c:pt>
                <c:pt idx="205">
                  <c:v>-1.0066537418681594</c:v>
                </c:pt>
                <c:pt idx="206">
                  <c:v>-1.0165185130271337</c:v>
                </c:pt>
                <c:pt idx="207">
                  <c:v>-1.0264653590374024</c:v>
                </c:pt>
                <c:pt idx="208">
                  <c:v>-1.0365013339550044</c:v>
                </c:pt>
                <c:pt idx="209">
                  <c:v>-1.0466336035365371</c:v>
                </c:pt>
                <c:pt idx="210">
                  <c:v>-1.0568694304033497</c:v>
                </c:pt>
                <c:pt idx="211">
                  <c:v>-1.0672161546630954</c:v>
                </c:pt>
                <c:pt idx="212">
                  <c:v>-1.0776811684192893</c:v>
                </c:pt>
                <c:pt idx="213">
                  <c:v>-1.0883548598169281</c:v>
                </c:pt>
                <c:pt idx="214">
                  <c:v>-1.0992454026330392</c:v>
                </c:pt>
                <c:pt idx="215">
                  <c:v>-1.1102845392881879</c:v>
                </c:pt>
                <c:pt idx="216">
                  <c:v>-1.1214802225939682</c:v>
                </c:pt>
                <c:pt idx="217">
                  <c:v>-1.132840252215483</c:v>
                </c:pt>
                <c:pt idx="218">
                  <c:v>-1.1443721678922705</c:v>
                </c:pt>
                <c:pt idx="219">
                  <c:v>-1.1560837011193188</c:v>
                </c:pt>
                <c:pt idx="220">
                  <c:v>-1.1679919639776379</c:v>
                </c:pt>
                <c:pt idx="221">
                  <c:v>-1.1801225505847404</c:v>
                </c:pt>
                <c:pt idx="222">
                  <c:v>-1.1925023586107724</c:v>
                </c:pt>
                <c:pt idx="223">
                  <c:v>-1.2051596245530507</c:v>
                </c:pt>
                <c:pt idx="224">
                  <c:v>-1.2181242036167221</c:v>
                </c:pt>
                <c:pt idx="225">
                  <c:v>-1.2314278701381518</c:v>
                </c:pt>
                <c:pt idx="226">
                  <c:v>-1.2451046445320784</c:v>
                </c:pt>
                <c:pt idx="227">
                  <c:v>-1.2591911536724316</c:v>
                </c:pt>
                <c:pt idx="228">
                  <c:v>-1.2737270317425202</c:v>
                </c:pt>
                <c:pt idx="229">
                  <c:v>-1.2887553702445151</c:v>
                </c:pt>
                <c:pt idx="230">
                  <c:v>-1.304323226496265</c:v>
                </c:pt>
                <c:pt idx="231">
                  <c:v>-1.3204822016913846</c:v>
                </c:pt>
                <c:pt idx="232">
                  <c:v>-1.3372891013726367</c:v>
                </c:pt>
                <c:pt idx="233">
                  <c:v>-1.3548066929146656</c:v>
                </c:pt>
                <c:pt idx="234">
                  <c:v>-1.3731045773884021</c:v>
                </c:pt>
                <c:pt idx="235">
                  <c:v>-1.3922601954936908</c:v>
                </c:pt>
                <c:pt idx="236">
                  <c:v>-1.4123599905286497</c:v>
                </c:pt>
                <c:pt idx="237">
                  <c:v>-1.433500754205455</c:v>
                </c:pt>
                <c:pt idx="238">
                  <c:v>-1.4558063933438832</c:v>
                </c:pt>
                <c:pt idx="239">
                  <c:v>-1.4795678538336432</c:v>
                </c:pt>
                <c:pt idx="240">
                  <c:v>-1.5047659041564159</c:v>
                </c:pt>
                <c:pt idx="241">
                  <c:v>-1.531560416307145</c:v>
                </c:pt>
                <c:pt idx="242">
                  <c:v>-1.5601326777198046</c:v>
                </c:pt>
                <c:pt idx="243">
                  <c:v>-1.590688519606368</c:v>
                </c:pt>
                <c:pt idx="244">
                  <c:v>-1.6234617719329225</c:v>
                </c:pt>
                <c:pt idx="245">
                  <c:v>-1.6587179720443419</c:v>
                </c:pt>
                <c:pt idx="246">
                  <c:v>-1.6967581660224684</c:v>
                </c:pt>
                <c:pt idx="247">
                  <c:v>-1.737922498700974</c:v>
                </c:pt>
                <c:pt idx="248">
                  <c:v>-1.7825930644045325</c:v>
                </c:pt>
                <c:pt idx="249">
                  <c:v>-1.8311951538451543</c:v>
                </c:pt>
                <c:pt idx="250">
                  <c:v>-1.884195548027402</c:v>
                </c:pt>
                <c:pt idx="251">
                  <c:v>-1.942095857830578</c:v>
                </c:pt>
                <c:pt idx="252">
                  <c:v>-2.0054181173346857</c:v>
                </c:pt>
                <c:pt idx="253">
                  <c:v>-2.0746790585938442</c:v>
                </c:pt>
                <c:pt idx="254">
                  <c:v>-2.1500610979265273</c:v>
                </c:pt>
                <c:pt idx="255">
                  <c:v>-2.2301065562906386</c:v>
                </c:pt>
                <c:pt idx="256">
                  <c:v>-2.312761372112873</c:v>
                </c:pt>
                <c:pt idx="257">
                  <c:v>-2.3959969608802076</c:v>
                </c:pt>
                <c:pt idx="258">
                  <c:v>-2.4779527504595187</c:v>
                </c:pt>
                <c:pt idx="259">
                  <c:v>-2.5599445613548202</c:v>
                </c:pt>
                <c:pt idx="260">
                  <c:v>-2.6361092969448281</c:v>
                </c:pt>
                <c:pt idx="261">
                  <c:v>-2.7033559233569431</c:v>
                </c:pt>
                <c:pt idx="262">
                  <c:v>-2.7643479960728117</c:v>
                </c:pt>
                <c:pt idx="263">
                  <c:v>-2.822417211345166</c:v>
                </c:pt>
                <c:pt idx="264">
                  <c:v>-2.8772258660861665</c:v>
                </c:pt>
                <c:pt idx="265">
                  <c:v>-2.9285261336093207</c:v>
                </c:pt>
                <c:pt idx="266">
                  <c:v>-2.9761584012099886</c:v>
                </c:pt>
                <c:pt idx="267">
                  <c:v>-3.0118905155713618</c:v>
                </c:pt>
                <c:pt idx="268">
                  <c:v>-3.0419725834587439</c:v>
                </c:pt>
                <c:pt idx="269">
                  <c:v>-3.0717161568443574</c:v>
                </c:pt>
                <c:pt idx="270">
                  <c:v>-3.0986673545583088</c:v>
                </c:pt>
                <c:pt idx="271">
                  <c:v>-3.123937560165353</c:v>
                </c:pt>
                <c:pt idx="272">
                  <c:v>3.1368443890772779</c:v>
                </c:pt>
                <c:pt idx="273">
                  <c:v>3.1147176393713361</c:v>
                </c:pt>
                <c:pt idx="274">
                  <c:v>3.0928617219262806</c:v>
                </c:pt>
                <c:pt idx="275">
                  <c:v>3.0713404540651634</c:v>
                </c:pt>
                <c:pt idx="276">
                  <c:v>3.0502994101016219</c:v>
                </c:pt>
                <c:pt idx="277">
                  <c:v>3.029848846397293</c:v>
                </c:pt>
                <c:pt idx="278">
                  <c:v>3.0100493894855829</c:v>
                </c:pt>
                <c:pt idx="279">
                  <c:v>2.9909265009514208</c:v>
                </c:pt>
                <c:pt idx="280">
                  <c:v>2.972483639497864</c:v>
                </c:pt>
                <c:pt idx="281">
                  <c:v>2.9547113598911379</c:v>
                </c:pt>
                <c:pt idx="282">
                  <c:v>2.9375932541880205</c:v>
                </c:pt>
                <c:pt idx="283">
                  <c:v>2.9211097979541147</c:v>
                </c:pt>
                <c:pt idx="284">
                  <c:v>2.9052408678693089</c:v>
                </c:pt>
                <c:pt idx="285">
                  <c:v>2.8900036725873681</c:v>
                </c:pt>
                <c:pt idx="286">
                  <c:v>2.8753497910209909</c:v>
                </c:pt>
                <c:pt idx="287">
                  <c:v>2.8612560287729183</c:v>
                </c:pt>
                <c:pt idx="288">
                  <c:v>2.8477179814238855</c:v>
                </c:pt>
                <c:pt idx="289">
                  <c:v>2.8347344146695654</c:v>
                </c:pt>
                <c:pt idx="290">
                  <c:v>2.8223082943696527</c:v>
                </c:pt>
                <c:pt idx="291">
                  <c:v>2.8104478812350395</c:v>
                </c:pt>
                <c:pt idx="292">
                  <c:v>2.7991679951068305</c:v>
                </c:pt>
                <c:pt idx="293">
                  <c:v>2.7884741159852124</c:v>
                </c:pt>
                <c:pt idx="294">
                  <c:v>2.7783081003431711</c:v>
                </c:pt>
                <c:pt idx="295">
                  <c:v>2.7686038577518497</c:v>
                </c:pt>
                <c:pt idx="296">
                  <c:v>2.7593051333685752</c:v>
                </c:pt>
                <c:pt idx="297">
                  <c:v>2.7503636149024704</c:v>
                </c:pt>
                <c:pt idx="298">
                  <c:v>2.7417374587624197</c:v>
                </c:pt>
                <c:pt idx="299">
                  <c:v>2.7333901296863701</c:v>
                </c:pt>
                <c:pt idx="300">
                  <c:v>2.72528947746983</c:v>
                </c:pt>
                <c:pt idx="301">
                  <c:v>2.7174069949639765</c:v>
                </c:pt>
                <c:pt idx="302">
                  <c:v>2.709816950917241</c:v>
                </c:pt>
                <c:pt idx="303">
                  <c:v>2.7024934575714505</c:v>
                </c:pt>
                <c:pt idx="304">
                  <c:v>2.6953959853773357</c:v>
                </c:pt>
                <c:pt idx="305">
                  <c:v>2.6885295650000138</c:v>
                </c:pt>
                <c:pt idx="306">
                  <c:v>2.6818935040463163</c:v>
                </c:pt>
                <c:pt idx="307">
                  <c:v>2.6754833717720921</c:v>
                </c:pt>
                <c:pt idx="308">
                  <c:v>2.6692923529173731</c:v>
                </c:pt>
                <c:pt idx="309">
                  <c:v>2.6633121755742843</c:v>
                </c:pt>
                <c:pt idx="310">
                  <c:v>2.6575337481446519</c:v>
                </c:pt>
                <c:pt idx="311">
                  <c:v>2.6519475957926018</c:v>
                </c:pt>
                <c:pt idx="312">
                  <c:v>2.6465441576618867</c:v>
                </c:pt>
                <c:pt idx="313">
                  <c:v>2.6413139868781723</c:v>
                </c:pt>
                <c:pt idx="314">
                  <c:v>2.6362478824359536</c:v>
                </c:pt>
                <c:pt idx="315">
                  <c:v>2.6313369732684864</c:v>
                </c:pt>
                <c:pt idx="316">
                  <c:v>2.6265727687917</c:v>
                </c:pt>
                <c:pt idx="317">
                  <c:v>2.6219471860188408</c:v>
                </c:pt>
                <c:pt idx="318">
                  <c:v>2.6174525604172123</c:v>
                </c:pt>
                <c:pt idx="319">
                  <c:v>2.6130816456392001</c:v>
                </c:pt>
                <c:pt idx="320">
                  <c:v>2.6088276057692479</c:v>
                </c:pt>
                <c:pt idx="321">
                  <c:v>2.6046840027077343</c:v>
                </c:pt>
                <c:pt idx="322">
                  <c:v>2.6006447805640667</c:v>
                </c:pt>
                <c:pt idx="323">
                  <c:v>2.5967042483945164</c:v>
                </c:pt>
                <c:pt idx="324">
                  <c:v>2.5928570622204772</c:v>
                </c:pt>
                <c:pt idx="325">
                  <c:v>2.589098207009668</c:v>
                </c:pt>
                <c:pt idx="326">
                  <c:v>2.5854229790769701</c:v>
                </c:pt>
                <c:pt idx="327">
                  <c:v>2.5818269692259754</c:v>
                </c:pt>
                <c:pt idx="328">
                  <c:v>2.5783060468550243</c:v>
                </c:pt>
                <c:pt idx="329">
                  <c:v>2.5748563451590814</c:v>
                </c:pt>
                <c:pt idx="330">
                  <c:v>2.5714742475189443</c:v>
                </c:pt>
                <c:pt idx="331">
                  <c:v>2.5681563751120349</c:v>
                </c:pt>
                <c:pt idx="332">
                  <c:v>2.5648995757691404</c:v>
                </c:pt>
                <c:pt idx="333">
                  <c:v>2.5617009140485347</c:v>
                </c:pt>
                <c:pt idx="334">
                  <c:v>2.558557662481129</c:v>
                </c:pt>
                <c:pt idx="335">
                  <c:v>2.5554672939110059</c:v>
                </c:pt>
                <c:pt idx="336">
                  <c:v>2.5524274747755156</c:v>
                </c:pt>
                <c:pt idx="337">
                  <c:v>2.5494360591308407</c:v>
                </c:pt>
                <c:pt idx="338">
                  <c:v>2.5464910830616647</c:v>
                </c:pt>
                <c:pt idx="339">
                  <c:v>2.5435907589485485</c:v>
                </c:pt>
                <c:pt idx="340">
                  <c:v>2.5407334687299885</c:v>
                </c:pt>
                <c:pt idx="341">
                  <c:v>2.5379177547837104</c:v>
                </c:pt>
                <c:pt idx="342">
                  <c:v>2.5351423061897984</c:v>
                </c:pt>
                <c:pt idx="343">
                  <c:v>2.5324059367022205</c:v>
                </c:pt>
                <c:pt idx="344">
                  <c:v>2.5297075482977522</c:v>
                </c:pt>
                <c:pt idx="345">
                  <c:v>2.5270460698786765</c:v>
                </c:pt>
                <c:pt idx="346">
                  <c:v>2.5244203530255644</c:v>
                </c:pt>
                <c:pt idx="347">
                  <c:v>2.5216891276969511</c:v>
                </c:pt>
                <c:pt idx="348">
                  <c:v>2.5189639571940088</c:v>
                </c:pt>
                <c:pt idx="349">
                  <c:v>2.5162704177043436</c:v>
                </c:pt>
                <c:pt idx="350">
                  <c:v>2.5136060213127331</c:v>
                </c:pt>
                <c:pt idx="351">
                  <c:v>2.5109683777371457</c:v>
                </c:pt>
                <c:pt idx="352">
                  <c:v>2.5083551847084955</c:v>
                </c:pt>
                <c:pt idx="353">
                  <c:v>2.50576421900222</c:v>
                </c:pt>
                <c:pt idx="354">
                  <c:v>2.5031933280508261</c:v>
                </c:pt>
                <c:pt idx="355">
                  <c:v>2.5006404220629914</c:v>
                </c:pt>
                <c:pt idx="356">
                  <c:v>2.498103466581755</c:v>
                </c:pt>
                <c:pt idx="357">
                  <c:v>2.4955804754259878</c:v>
                </c:pt>
                <c:pt idx="358">
                  <c:v>2.4930695039569981</c:v>
                </c:pt>
                <c:pt idx="359">
                  <c:v>2.4905686426229368</c:v>
                </c:pt>
                <c:pt idx="360">
                  <c:v>2.4880760107276476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1.7130721067377697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1.8534063173092363E-11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2.3561944901923448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3.4033920413889422</c:v>
                </c:pt>
                <c:pt idx="1">
                  <c:v>1.3089969389957472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DI378"/>
  <sheetViews>
    <sheetView tabSelected="1" topLeftCell="B1" zoomScale="80" zoomScaleNormal="80" workbookViewId="0">
      <selection activeCell="V24" sqref="V24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12" max="12" width="12.42578125" customWidth="1"/>
    <col min="13" max="13" width="13.140625" bestFit="1" customWidth="1"/>
    <col min="14" max="14" width="11.42578125" bestFit="1" customWidth="1"/>
    <col min="15" max="15" width="12.140625" bestFit="1" customWidth="1"/>
    <col min="16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7" max="27" width="10.710937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1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</cols>
  <sheetData>
    <row r="1" spans="1:113" x14ac:dyDescent="0.25">
      <c r="A1" s="8" t="s">
        <v>197</v>
      </c>
      <c r="B1" s="20" t="s">
        <v>199</v>
      </c>
      <c r="K1" s="8" t="s">
        <v>71</v>
      </c>
      <c r="L1" s="56">
        <v>1.0000000000000001E-9</v>
      </c>
      <c r="P1" s="8" t="s">
        <v>144</v>
      </c>
      <c r="Q1" s="4">
        <v>1</v>
      </c>
      <c r="T1" t="s">
        <v>158</v>
      </c>
      <c r="U1" s="4">
        <v>0</v>
      </c>
      <c r="W1" t="s">
        <v>198</v>
      </c>
      <c r="X1" s="4">
        <v>1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145</v>
      </c>
      <c r="BH1" s="6" t="s">
        <v>146</v>
      </c>
      <c r="BI1" s="6" t="s">
        <v>147</v>
      </c>
      <c r="BW1" s="45" t="s">
        <v>148</v>
      </c>
      <c r="CU1" t="s">
        <v>113</v>
      </c>
      <c r="DC1" t="s">
        <v>136</v>
      </c>
      <c r="DI1" t="s">
        <v>143</v>
      </c>
    </row>
    <row r="2" spans="1:113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1148</v>
      </c>
      <c r="N2">
        <v>9</v>
      </c>
      <c r="O2">
        <v>1</v>
      </c>
      <c r="AD2" s="8" t="s">
        <v>159</v>
      </c>
      <c r="AE2" s="20">
        <v>360</v>
      </c>
      <c r="BC2">
        <v>0</v>
      </c>
      <c r="BD2">
        <v>321.59462430293439</v>
      </c>
      <c r="BE2">
        <v>-42.660000000000018</v>
      </c>
      <c r="BF2" s="6">
        <f t="shared" ref="BF2:BF33" si="0">IF(BC2&lt;&gt;"",IF(AND(BD2=0,BE2=0),0,MOD(ATAN2(BD2,BE2),2*PI())),NA())</f>
        <v>6.1513037866442914</v>
      </c>
      <c r="BG2" s="6">
        <f t="shared" ref="BG2:BG33" si="1">ABS(BC2-BF2)</f>
        <v>6.1513037866442914</v>
      </c>
      <c r="BH2" s="6">
        <f>ATAN2(COS($U$13-BF2),SIN($U$13-BF2))</f>
        <v>2.4880760107276396</v>
      </c>
      <c r="BI2" s="6">
        <f>ABS(BH2)</f>
        <v>2.4880760107276396</v>
      </c>
      <c r="BT2">
        <v>2.3561944901923448</v>
      </c>
      <c r="BV2" s="38"/>
      <c r="CJ2">
        <v>3.1415926535897931</v>
      </c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3.1415926535897931</v>
      </c>
    </row>
    <row r="3" spans="1:113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0.65</v>
      </c>
      <c r="V3" s="15"/>
      <c r="W3" s="29" t="s">
        <v>95</v>
      </c>
      <c r="X3" t="s">
        <v>79</v>
      </c>
      <c r="AA3" t="s">
        <v>110</v>
      </c>
      <c r="BC3">
        <v>1.7453292519943295E-2</v>
      </c>
      <c r="BD3">
        <v>321.48509880847843</v>
      </c>
      <c r="BE3">
        <v>-41.858812519794817</v>
      </c>
      <c r="BF3" s="6">
        <f t="shared" si="0"/>
        <v>6.1537091887383104</v>
      </c>
      <c r="BG3" s="6">
        <f t="shared" si="1"/>
        <v>6.1362558962183673</v>
      </c>
      <c r="BH3" s="6">
        <f t="shared" ref="BH3:BH66" si="2">ATAN2(COS($U$13-BF3),SIN($U$13-BF3))</f>
        <v>2.4856706086336207</v>
      </c>
      <c r="BI3" s="6">
        <f t="shared" ref="BI3:BI66" si="3">ABS(BH3)</f>
        <v>2.4856706086336207</v>
      </c>
      <c r="BV3" s="38"/>
      <c r="BW3" t="s">
        <v>149</v>
      </c>
      <c r="CU3">
        <v>3.4033920413889422</v>
      </c>
      <c r="CV3">
        <v>1.3089969389957472</v>
      </c>
      <c r="CW3">
        <v>2.3561944901923448</v>
      </c>
      <c r="CX3">
        <v>-0.91106971906517531</v>
      </c>
      <c r="CY3">
        <v>2.0052505840714008</v>
      </c>
      <c r="CZ3">
        <v>-0.41731018745882009</v>
      </c>
      <c r="DC3" t="s">
        <v>138</v>
      </c>
      <c r="DD3" t="s">
        <v>139</v>
      </c>
      <c r="DE3" t="s">
        <v>141</v>
      </c>
      <c r="DF3" t="s">
        <v>142</v>
      </c>
      <c r="DG3" t="s">
        <v>140</v>
      </c>
    </row>
    <row r="4" spans="1:113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85.000000000906084</v>
      </c>
      <c r="V4" s="16" t="s">
        <v>68</v>
      </c>
      <c r="W4" s="30">
        <f ca="1">U4-U10</f>
        <v>9.0608409664127976E-10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321.35959713654779</v>
      </c>
      <c r="BE4">
        <v>-41.057136680328803</v>
      </c>
      <c r="BF4" s="6">
        <f t="shared" si="0"/>
        <v>6.1561129855214229</v>
      </c>
      <c r="BG4" s="6">
        <f t="shared" si="1"/>
        <v>6.1212064004815367</v>
      </c>
      <c r="BH4" s="6">
        <f t="shared" si="2"/>
        <v>2.4832668118505081</v>
      </c>
      <c r="BI4" s="6">
        <f t="shared" si="3"/>
        <v>2.4832668118505081</v>
      </c>
      <c r="BV4" s="38"/>
      <c r="BW4" s="1" t="s">
        <v>100</v>
      </c>
      <c r="BX4" s="1" t="s">
        <v>101</v>
      </c>
      <c r="CU4">
        <v>2.3561944901923448</v>
      </c>
      <c r="CV4">
        <v>1.3089969389957472</v>
      </c>
      <c r="CW4">
        <v>1.8325957145940461</v>
      </c>
      <c r="CX4">
        <v>-0.41731018745882009</v>
      </c>
      <c r="CY4">
        <v>2.0052505840714008</v>
      </c>
      <c r="CZ4">
        <v>-0.24767865190102259</v>
      </c>
    </row>
    <row r="5" spans="1:113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4">((E4*F5)-(E5*F4))*0.5</f>
        <v>96</v>
      </c>
      <c r="T5" s="26" t="s">
        <v>77</v>
      </c>
      <c r="U5" s="10">
        <f ca="1">U3*IF(B1="PCA_Parabolic",B204*(1/12),B79*(1/12))</f>
        <v>-38.110862911409576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321.21799897789538</v>
      </c>
      <c r="BE5">
        <v>-40.254482930908395</v>
      </c>
      <c r="BF5" s="6">
        <f t="shared" si="0"/>
        <v>6.1585169544257177</v>
      </c>
      <c r="BG5" s="6">
        <f t="shared" si="1"/>
        <v>6.1061570768658875</v>
      </c>
      <c r="BH5" s="6">
        <f t="shared" si="2"/>
        <v>2.4808628429462134</v>
      </c>
      <c r="BI5" s="6">
        <f t="shared" si="3"/>
        <v>2.4808628429462134</v>
      </c>
      <c r="BV5" s="38"/>
      <c r="BW5">
        <f ca="1">B132</f>
        <v>77.393018670821803</v>
      </c>
      <c r="BX5">
        <f ca="1">B133</f>
        <v>-25.797672890273933</v>
      </c>
      <c r="CU5">
        <v>1.8325957145940461</v>
      </c>
      <c r="CV5">
        <v>1.3089969389957472</v>
      </c>
      <c r="CW5">
        <v>1.5707963267948966</v>
      </c>
      <c r="CX5">
        <v>-0.24767865190102259</v>
      </c>
      <c r="CY5">
        <v>2.0052505840714008</v>
      </c>
      <c r="CZ5">
        <v>1.3498466628678234</v>
      </c>
    </row>
    <row r="6" spans="1:113" x14ac:dyDescent="0.25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4"/>
        <v>0</v>
      </c>
      <c r="T6" s="26" t="s">
        <v>76</v>
      </c>
      <c r="U6" s="10">
        <f ca="1">U3*IF(B1="PCA_Parabolic",B205*(1/12),B80*(1/12))</f>
        <v>38.110862912822263</v>
      </c>
      <c r="V6" s="16" t="s">
        <v>70</v>
      </c>
      <c r="W6" s="30">
        <f t="shared" ref="W6" ca="1" si="5">U6</f>
        <v>38.110862912822263</v>
      </c>
      <c r="X6">
        <f>IF(B6=0,0,-1*X5)</f>
        <v>0</v>
      </c>
      <c r="Y6">
        <f>IF(B6=0,0,Y5)</f>
        <v>0</v>
      </c>
      <c r="AA6">
        <f>U14</f>
        <v>14.142135623730951</v>
      </c>
      <c r="AB6">
        <f>U10</f>
        <v>85</v>
      </c>
      <c r="BC6">
        <v>6.9813170079773182E-2</v>
      </c>
      <c r="BD6">
        <v>321.06014455879944</v>
      </c>
      <c r="BE6">
        <v>-39.450359331792853</v>
      </c>
      <c r="BF6" s="6">
        <f t="shared" si="0"/>
        <v>6.1609228759942161</v>
      </c>
      <c r="BG6" s="6">
        <f t="shared" si="1"/>
        <v>6.0911097059144428</v>
      </c>
      <c r="BH6" s="6">
        <f t="shared" si="2"/>
        <v>2.478456921377715</v>
      </c>
      <c r="BI6" s="6">
        <f t="shared" si="3"/>
        <v>2.478456921377715</v>
      </c>
      <c r="BV6" s="38"/>
      <c r="CU6">
        <v>1.8325957145940461</v>
      </c>
      <c r="CV6">
        <v>1.5707963267948966</v>
      </c>
      <c r="CW6">
        <v>1.7016960206944713</v>
      </c>
      <c r="CX6">
        <v>-0.24767865190102259</v>
      </c>
      <c r="CY6">
        <v>1.3498466628678234</v>
      </c>
      <c r="CZ6">
        <v>5.8048560714903275E-2</v>
      </c>
    </row>
    <row r="7" spans="1:113" ht="15.75" thickBot="1" x14ac:dyDescent="0.3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4"/>
        <v>48</v>
      </c>
      <c r="T7" s="27" t="s">
        <v>96</v>
      </c>
      <c r="U7" s="28">
        <f ca="1">IF(AND(U5=0,U6=0),0,MOD(ATAN2(U5,U6),2*PI()))</f>
        <v>2.3561944901738108</v>
      </c>
      <c r="V7" s="17" t="s">
        <v>97</v>
      </c>
      <c r="W7" s="32">
        <f ca="1">IF((U13-U7)=0,0,ATAN2(COS(U13-U7),SIN(U13-U7)))</f>
        <v>1.8534063173092363E-11</v>
      </c>
      <c r="X7" s="38">
        <f ca="1">U7+2*PI()</f>
        <v>8.6393797973533974</v>
      </c>
      <c r="AA7">
        <f ca="1">U8</f>
        <v>53.896899204056126</v>
      </c>
      <c r="AB7" s="9">
        <f ca="1">U4</f>
        <v>85.000000000906084</v>
      </c>
      <c r="BC7">
        <v>8.7266462599716474E-2</v>
      </c>
      <c r="BD7">
        <v>320.88583397684596</v>
      </c>
      <c r="BE7">
        <v>-38.644270344160105</v>
      </c>
      <c r="BF7" s="6">
        <f t="shared" si="0"/>
        <v>6.1633325395383247</v>
      </c>
      <c r="BG7" s="6">
        <f t="shared" si="1"/>
        <v>6.0760660769386083</v>
      </c>
      <c r="BH7" s="6">
        <f t="shared" si="2"/>
        <v>2.4760472578336064</v>
      </c>
      <c r="BI7" s="6">
        <f t="shared" si="3"/>
        <v>2.4760472578336064</v>
      </c>
      <c r="BV7" s="38"/>
      <c r="BW7" t="s">
        <v>150</v>
      </c>
      <c r="CU7">
        <v>1.8325957145940461</v>
      </c>
      <c r="CV7">
        <v>1.7016960206944713</v>
      </c>
      <c r="CW7">
        <v>1.7671458676442588</v>
      </c>
      <c r="CX7">
        <v>-0.24767865190102259</v>
      </c>
      <c r="CY7">
        <v>5.8048560714903275E-2</v>
      </c>
      <c r="CZ7">
        <v>-0.16147144027062546</v>
      </c>
    </row>
    <row r="8" spans="1:113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4"/>
        <v>144</v>
      </c>
      <c r="T8" s="36" t="s">
        <v>109</v>
      </c>
      <c r="U8" s="6">
        <f ca="1">SQRT(POWER(U5,2)+POWER(U6,2))</f>
        <v>53.896899204056126</v>
      </c>
      <c r="V8" s="40" t="s">
        <v>70</v>
      </c>
      <c r="X8">
        <f ca="1">DEGREES(U7)</f>
        <v>134.99999999893808</v>
      </c>
      <c r="BC8">
        <v>0.10471975511965977</v>
      </c>
      <c r="BD8">
        <v>320.69482633261089</v>
      </c>
      <c r="BE8">
        <v>-37.835715601305459</v>
      </c>
      <c r="BF8" s="6">
        <f t="shared" si="0"/>
        <v>6.165747748877064</v>
      </c>
      <c r="BG8" s="6">
        <f t="shared" si="1"/>
        <v>6.0610279937574045</v>
      </c>
      <c r="BH8" s="6">
        <f t="shared" si="2"/>
        <v>2.4736320484948671</v>
      </c>
      <c r="BI8" s="6">
        <f t="shared" si="3"/>
        <v>2.4736320484948671</v>
      </c>
      <c r="BV8" s="38"/>
      <c r="BW8" s="1" t="s">
        <v>100</v>
      </c>
      <c r="BX8" s="1" t="s">
        <v>101</v>
      </c>
      <c r="CG8" s="1"/>
      <c r="CH8" s="1"/>
      <c r="CI8" s="1"/>
      <c r="CJ8" s="1"/>
      <c r="CK8" s="1"/>
      <c r="CL8" s="1"/>
      <c r="CN8" s="1"/>
      <c r="CO8" s="1"/>
      <c r="CP8" s="1"/>
      <c r="CQ8" s="1"/>
      <c r="CU8">
        <v>1.7671458676442588</v>
      </c>
      <c r="CV8">
        <v>1.7016960206944713</v>
      </c>
      <c r="CW8">
        <v>1.734420944169365</v>
      </c>
      <c r="CX8">
        <v>-0.16147144027062546</v>
      </c>
      <c r="CY8">
        <v>5.8048560714903275E-2</v>
      </c>
      <c r="CZ8">
        <v>-8.1829149069945206E-2</v>
      </c>
    </row>
    <row r="9" spans="1:113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4"/>
        <v>0</v>
      </c>
      <c r="T9" s="34" t="s">
        <v>98</v>
      </c>
      <c r="U9" s="35"/>
      <c r="V9" s="15"/>
      <c r="AA9" s="9">
        <f ca="1">U5-U11</f>
        <v>-28.110862911409576</v>
      </c>
      <c r="AB9" s="9">
        <f ca="1">U6-U12</f>
        <v>28.110862912822263</v>
      </c>
      <c r="AC9" s="9">
        <f ca="1">AA9+AB9</f>
        <v>1.412686856383516E-9</v>
      </c>
      <c r="BC9">
        <v>0.12217304763960306</v>
      </c>
      <c r="BD9">
        <v>320.486838637093</v>
      </c>
      <c r="BE9">
        <v>-37.024188654556689</v>
      </c>
      <c r="BF9" s="6">
        <f t="shared" si="0"/>
        <v>6.1681703281945524</v>
      </c>
      <c r="BG9" s="6">
        <f t="shared" si="1"/>
        <v>6.0459972805549489</v>
      </c>
      <c r="BH9" s="6">
        <f t="shared" si="2"/>
        <v>2.4712094691773787</v>
      </c>
      <c r="BI9" s="6">
        <f t="shared" si="3"/>
        <v>2.4712094691773787</v>
      </c>
      <c r="BV9" s="38" t="s">
        <v>202</v>
      </c>
      <c r="BW9" s="9">
        <f ca="1">(U11-BW5)</f>
        <v>-87.393018670821803</v>
      </c>
      <c r="BX9">
        <f ca="1">(U12 -BX5)</f>
        <v>35.79767289027393</v>
      </c>
      <c r="CE9" s="9"/>
      <c r="CF9" s="9"/>
      <c r="CK9" s="38"/>
      <c r="CL9" s="9"/>
      <c r="CM9" s="9"/>
      <c r="CR9" s="38"/>
      <c r="CU9">
        <v>1.734420944169365</v>
      </c>
      <c r="CV9">
        <v>1.7016960206944713</v>
      </c>
      <c r="CW9">
        <v>1.7180584824319181</v>
      </c>
      <c r="CX9">
        <v>-8.1829149069945206E-2</v>
      </c>
      <c r="CY9">
        <v>5.8048560714903275E-2</v>
      </c>
      <c r="CZ9">
        <v>-2.2080339356326917E-2</v>
      </c>
    </row>
    <row r="10" spans="1:113" x14ac:dyDescent="0.25">
      <c r="E10">
        <v>0</v>
      </c>
      <c r="F10">
        <f>F9</f>
        <v>16</v>
      </c>
      <c r="G10">
        <f t="shared" si="4"/>
        <v>0</v>
      </c>
      <c r="T10" s="36" t="s">
        <v>99</v>
      </c>
      <c r="U10" s="47">
        <v>85</v>
      </c>
      <c r="V10" s="16" t="s">
        <v>68</v>
      </c>
      <c r="W10" t="str">
        <f>"+ Compression"</f>
        <v>+ Compression</v>
      </c>
      <c r="BC10">
        <v>0.13962634015954636</v>
      </c>
      <c r="BD10">
        <v>320.26154449424598</v>
      </c>
      <c r="BE10">
        <v>-36.209175687160254</v>
      </c>
      <c r="BF10" s="6">
        <f t="shared" si="0"/>
        <v>6.1706021280621757</v>
      </c>
      <c r="BG10" s="6">
        <f t="shared" si="1"/>
        <v>6.0309757879026291</v>
      </c>
      <c r="BH10" s="6">
        <f t="shared" si="2"/>
        <v>2.4687776693097554</v>
      </c>
      <c r="BI10" s="6">
        <f t="shared" si="3"/>
        <v>2.4687776693097554</v>
      </c>
      <c r="BV10" s="38" t="s">
        <v>203</v>
      </c>
      <c r="BW10">
        <f ca="1">SQRT(POWER(BW9,2)+POWER(BX9,2))</f>
        <v>94.440526770860728</v>
      </c>
      <c r="BZ10" s="1" t="s">
        <v>156</v>
      </c>
      <c r="CU10">
        <v>1.7180584824319181</v>
      </c>
      <c r="CV10">
        <v>1.7016960206944713</v>
      </c>
      <c r="CW10">
        <v>1.7098772515631948</v>
      </c>
      <c r="CX10">
        <v>-2.2080339356326917E-2</v>
      </c>
      <c r="CY10">
        <v>5.8048560714903275E-2</v>
      </c>
      <c r="CZ10">
        <v>1.5193694322599871E-2</v>
      </c>
    </row>
    <row r="11" spans="1:113" x14ac:dyDescent="0.25">
      <c r="A11" t="s">
        <v>10</v>
      </c>
      <c r="E11">
        <v>0</v>
      </c>
      <c r="F11">
        <v>0</v>
      </c>
      <c r="G11">
        <f t="shared" si="4"/>
        <v>0</v>
      </c>
      <c r="T11" s="36" t="s">
        <v>100</v>
      </c>
      <c r="U11" s="47">
        <v>-10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320.01857254018199</v>
      </c>
      <c r="BE11">
        <v>-35.390154189103804</v>
      </c>
      <c r="BF11" s="6">
        <f t="shared" si="0"/>
        <v>6.1730450316683072</v>
      </c>
      <c r="BG11" s="6">
        <f t="shared" si="1"/>
        <v>6.0159653989888175</v>
      </c>
      <c r="BH11" s="6">
        <f t="shared" si="2"/>
        <v>2.4663347657036239</v>
      </c>
      <c r="BI11" s="6">
        <f t="shared" si="3"/>
        <v>2.4663347657036239</v>
      </c>
      <c r="BV11" s="38" t="s">
        <v>151</v>
      </c>
      <c r="BW11">
        <f ca="1">BW9/BW10</f>
        <v>-0.92537623051237139</v>
      </c>
      <c r="BX11">
        <f ca="1">BX9/BW10</f>
        <v>0.37904990700792202</v>
      </c>
      <c r="BZ11">
        <f ca="1">ATAN2(BW11,BX11)</f>
        <v>2.7528232832418587</v>
      </c>
      <c r="CE11" s="9"/>
      <c r="CF11" s="9"/>
      <c r="CU11">
        <v>1.7180584824319181</v>
      </c>
      <c r="CV11">
        <v>1.7098772515631948</v>
      </c>
      <c r="CW11">
        <v>1.7139678669975564</v>
      </c>
      <c r="CX11">
        <v>-2.2080339356326917E-2</v>
      </c>
      <c r="CY11">
        <v>1.5193694322599871E-2</v>
      </c>
      <c r="CZ11">
        <v>-4.1111625075531677E-3</v>
      </c>
    </row>
    <row r="12" spans="1:113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10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316.38410155181941</v>
      </c>
      <c r="BE12">
        <v>-34.144759690980692</v>
      </c>
      <c r="BF12" s="6">
        <f t="shared" si="0"/>
        <v>6.1756795397100595</v>
      </c>
      <c r="BG12" s="6">
        <f t="shared" si="1"/>
        <v>6.0011466145106267</v>
      </c>
      <c r="BH12" s="6">
        <f t="shared" si="2"/>
        <v>2.4637002576618716</v>
      </c>
      <c r="BI12" s="6">
        <f t="shared" si="3"/>
        <v>2.4637002576618716</v>
      </c>
      <c r="BV12" s="38"/>
      <c r="CN12" s="1"/>
      <c r="CO12" s="1"/>
      <c r="CP12" s="1"/>
      <c r="CQ12" s="1"/>
      <c r="CU12">
        <v>1.7139678669975564</v>
      </c>
      <c r="CV12">
        <v>1.7098772515631948</v>
      </c>
      <c r="CW12">
        <v>1.7119225592803757</v>
      </c>
      <c r="CX12">
        <v>-4.1111625075531677E-3</v>
      </c>
      <c r="CY12">
        <v>1.5193694322599871E-2</v>
      </c>
      <c r="CZ12">
        <v>5.3707212482150277E-3</v>
      </c>
    </row>
    <row r="13" spans="1:113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2.3561944901923448</v>
      </c>
      <c r="V13" s="17" t="s">
        <v>97</v>
      </c>
      <c r="X13" s="38"/>
      <c r="Y13" s="9"/>
      <c r="AA13" s="48"/>
      <c r="BC13">
        <v>0.19198621771937624</v>
      </c>
      <c r="BD13">
        <v>312.84650295864282</v>
      </c>
      <c r="BE13">
        <v>-32.928122504268899</v>
      </c>
      <c r="BF13" s="6">
        <f t="shared" si="0"/>
        <v>6.1783181319974272</v>
      </c>
      <c r="BG13" s="6">
        <f t="shared" si="1"/>
        <v>5.9863319142780513</v>
      </c>
      <c r="BH13" s="6">
        <f t="shared" si="2"/>
        <v>2.4610616653745039</v>
      </c>
      <c r="BI13" s="6">
        <f t="shared" si="3"/>
        <v>2.4610616653745039</v>
      </c>
      <c r="BV13" s="38"/>
      <c r="BW13" t="s">
        <v>152</v>
      </c>
      <c r="CU13">
        <v>1.7139678669975564</v>
      </c>
      <c r="CV13">
        <v>1.7119225592803757</v>
      </c>
      <c r="CW13">
        <v>1.712945213138966</v>
      </c>
      <c r="CX13">
        <v>-4.1111625075531677E-3</v>
      </c>
      <c r="CY13">
        <v>5.3707212482150277E-3</v>
      </c>
      <c r="CZ13">
        <v>5.8760083742503966E-4</v>
      </c>
    </row>
    <row r="14" spans="1:113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14.142135623730951</v>
      </c>
      <c r="V14" s="43" t="s">
        <v>70</v>
      </c>
      <c r="Y14" s="57"/>
      <c r="Z14" s="58" t="s">
        <v>99</v>
      </c>
      <c r="AA14" s="59" t="s">
        <v>100</v>
      </c>
      <c r="AB14" s="60" t="s">
        <v>101</v>
      </c>
      <c r="BC14">
        <v>0.20943951023931953</v>
      </c>
      <c r="BD14">
        <v>309.40884580186821</v>
      </c>
      <c r="BE14">
        <v>-31.739248898162813</v>
      </c>
      <c r="BF14" s="6">
        <f t="shared" si="0"/>
        <v>6.1809625709166065</v>
      </c>
      <c r="BG14" s="6">
        <f t="shared" si="1"/>
        <v>5.9715230606772867</v>
      </c>
      <c r="BH14" s="6">
        <f t="shared" si="2"/>
        <v>2.4584172264553246</v>
      </c>
      <c r="BI14" s="6">
        <f t="shared" si="3"/>
        <v>2.4584172264553246</v>
      </c>
      <c r="BV14" s="38"/>
      <c r="BW14" t="s">
        <v>111</v>
      </c>
      <c r="BX14" s="1" t="s">
        <v>100</v>
      </c>
      <c r="BY14" s="1" t="s">
        <v>101</v>
      </c>
      <c r="BZ14" s="1" t="s">
        <v>153</v>
      </c>
      <c r="CA14" s="1" t="s">
        <v>154</v>
      </c>
      <c r="CB14" s="1" t="s">
        <v>155</v>
      </c>
      <c r="CC14" s="1" t="s">
        <v>156</v>
      </c>
      <c r="CD14" s="1" t="s">
        <v>157</v>
      </c>
      <c r="CE14" s="1"/>
      <c r="CG14" s="1" t="s">
        <v>153</v>
      </c>
      <c r="CH14" s="1" t="s">
        <v>154</v>
      </c>
      <c r="CI14" s="1" t="s">
        <v>155</v>
      </c>
      <c r="CJ14" s="1" t="s">
        <v>156</v>
      </c>
      <c r="CL14" s="1"/>
      <c r="CM14" s="1"/>
      <c r="CN14" s="1"/>
      <c r="CO14" s="1"/>
      <c r="CP14" s="1"/>
      <c r="CU14">
        <v>1.7139678669975564</v>
      </c>
      <c r="CV14">
        <v>1.712945213138966</v>
      </c>
      <c r="CW14">
        <v>1.7134565400682611</v>
      </c>
      <c r="CX14">
        <v>-4.1111625075531677E-3</v>
      </c>
      <c r="CY14">
        <v>5.8760083742503966E-4</v>
      </c>
      <c r="CZ14">
        <v>-1.7722690683505957E-3</v>
      </c>
    </row>
    <row r="15" spans="1:113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6">IF($B15=0,NA(),D15)</f>
        <v>2</v>
      </c>
      <c r="L15" s="1">
        <f t="shared" ref="L15:L24" si="7">IF($B15=0,NA(),E15)</f>
        <v>2</v>
      </c>
      <c r="T15" s="37" t="s">
        <v>103</v>
      </c>
      <c r="U15" s="6">
        <f>SQRT(POWER(U12,2)+POWER(U11,2)+POWER(U10,2))</f>
        <v>86.168439698070429</v>
      </c>
      <c r="Y15" s="61" t="s">
        <v>200</v>
      </c>
      <c r="Z15" s="10">
        <f ca="1">B115</f>
        <v>910.1105</v>
      </c>
      <c r="AA15" s="10">
        <f ca="1">C116</f>
        <v>-85.882875000000013</v>
      </c>
      <c r="AB15" s="64">
        <f ca="1">C117</f>
        <v>28.627624999999998</v>
      </c>
      <c r="BC15">
        <v>0.22689280275926282</v>
      </c>
      <c r="BD15">
        <v>306.0631024817834</v>
      </c>
      <c r="BE15">
        <v>-30.57582665640065</v>
      </c>
      <c r="BF15" s="6">
        <f t="shared" si="0"/>
        <v>6.1836152685733676</v>
      </c>
      <c r="BG15" s="6">
        <f t="shared" si="1"/>
        <v>5.9567224658141047</v>
      </c>
      <c r="BH15" s="6">
        <f t="shared" si="2"/>
        <v>2.4557645287985634</v>
      </c>
      <c r="BI15" s="6">
        <f t="shared" si="3"/>
        <v>2.4557645287985634</v>
      </c>
      <c r="BV15" s="38"/>
      <c r="BW15" s="6">
        <f t="shared" ref="BW15:BW78" si="8">BC2</f>
        <v>0</v>
      </c>
      <c r="BX15" s="9">
        <f t="shared" ref="BX15" ca="1" si="9">BD2-$BW$5</f>
        <v>244.2016056321126</v>
      </c>
      <c r="BY15" s="9">
        <f t="shared" ref="BY15" ca="1" si="10">BE2-$BX$5</f>
        <v>-16.862327109726085</v>
      </c>
      <c r="BZ15">
        <f ca="1">SQRT(POWER(BX15,2)+POWER(BY15,2))</f>
        <v>244.78309228551151</v>
      </c>
      <c r="CA15" s="6">
        <f t="shared" ref="CA15" ca="1" si="11">BX15/BZ15</f>
        <v>0.99762448195269682</v>
      </c>
      <c r="CB15" s="6">
        <f t="shared" ref="CB15" ca="1" si="12">BY15/BZ15</f>
        <v>-6.8886813024071555E-2</v>
      </c>
      <c r="CC15" s="6">
        <f t="shared" ref="CC15" ca="1" si="13">ATAN2(CA15,CB15)</f>
        <v>-6.8941412197310203E-2</v>
      </c>
      <c r="CD15" s="6">
        <f t="shared" ref="CD15:CD78" ca="1" si="14">CC15-$BZ$11</f>
        <v>-2.8217646954391689</v>
      </c>
      <c r="CE15" s="9">
        <f t="shared" ref="CE15:CE78" ca="1" si="15">BX15+$BW$5</f>
        <v>321.59462430293439</v>
      </c>
      <c r="CF15" s="9">
        <f t="shared" ref="CF15:CF78" ca="1" si="16">BY15+$BX$5</f>
        <v>-42.660000000000018</v>
      </c>
      <c r="CG15">
        <f ca="1">SQRT(POWER(CE15,2)+POWER(CF15,2))</f>
        <v>324.41174143447017</v>
      </c>
      <c r="CH15">
        <f ca="1">CE15/CG15</f>
        <v>0.99131622943399278</v>
      </c>
      <c r="CI15">
        <f ca="1">CF15/CG15</f>
        <v>-0.13149955612385614</v>
      </c>
      <c r="CJ15">
        <f ca="1">ATAN2(CH15,CI15)</f>
        <v>-0.13188152053529487</v>
      </c>
      <c r="CK15" s="38">
        <f ca="1">CJ15-$U$13</f>
        <v>-2.4880760107276396</v>
      </c>
      <c r="CL15" s="9"/>
      <c r="CM15" s="9"/>
      <c r="CN15" s="1"/>
      <c r="CO15" s="1"/>
      <c r="CP15" s="1"/>
      <c r="CQ15" s="1"/>
      <c r="CU15">
        <v>1.7134565400682611</v>
      </c>
      <c r="CV15">
        <v>1.712945213138966</v>
      </c>
      <c r="CW15">
        <v>1.7132008766036135</v>
      </c>
      <c r="CX15">
        <v>-1.7722690683505957E-3</v>
      </c>
      <c r="CY15">
        <v>5.8760083742503966E-4</v>
      </c>
      <c r="CZ15">
        <v>-5.9496318727347841E-4</v>
      </c>
    </row>
    <row r="16" spans="1:113" ht="15.75" thickBot="1" x14ac:dyDescent="0.3">
      <c r="A16">
        <v>2</v>
      </c>
      <c r="B16" s="19">
        <v>8</v>
      </c>
      <c r="C16" s="6">
        <f t="shared" ref="C16:C24" ca="1" si="17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6"/>
        <v>2</v>
      </c>
      <c r="L16" s="1">
        <f t="shared" si="7"/>
        <v>4</v>
      </c>
      <c r="T16" s="37" t="s">
        <v>104</v>
      </c>
      <c r="U16" s="39">
        <f>U10/U15</f>
        <v>0.98644005041562111</v>
      </c>
      <c r="V16" s="39">
        <f>U11/U15</f>
        <v>-0.11605177063713189</v>
      </c>
      <c r="W16" s="39">
        <f>U12/U15</f>
        <v>0.11605177063713189</v>
      </c>
      <c r="X16" s="38"/>
      <c r="Y16" s="62" t="s">
        <v>201</v>
      </c>
      <c r="Z16" s="63">
        <f ca="1">J115</f>
        <v>-170.64000000000001</v>
      </c>
      <c r="AA16" s="63">
        <f ca="1">K116</f>
        <v>127.98</v>
      </c>
      <c r="AB16" s="65">
        <f ca="1">K117</f>
        <v>-42.660000000000004</v>
      </c>
      <c r="BC16">
        <v>0.24434609527920612</v>
      </c>
      <c r="BD16">
        <v>302.80187594498676</v>
      </c>
      <c r="BE16">
        <v>-29.435719360893813</v>
      </c>
      <c r="BF16" s="6">
        <f t="shared" si="0"/>
        <v>6.186278645396996</v>
      </c>
      <c r="BG16" s="6">
        <f t="shared" si="1"/>
        <v>5.94193255011779</v>
      </c>
      <c r="BH16" s="6">
        <f t="shared" si="2"/>
        <v>2.4531011519749351</v>
      </c>
      <c r="BI16" s="6">
        <f t="shared" si="3"/>
        <v>2.4531011519749351</v>
      </c>
      <c r="BV16" s="38"/>
      <c r="BW16" s="6">
        <f t="shared" si="8"/>
        <v>1.7453292519943295E-2</v>
      </c>
      <c r="BX16" s="9">
        <f t="shared" ref="BX16:BX79" ca="1" si="18">BD3-$BW$5</f>
        <v>244.09208013765664</v>
      </c>
      <c r="BY16" s="9">
        <f t="shared" ref="BY16:BY79" ca="1" si="19">BE3-$BX$5</f>
        <v>-16.061139629520884</v>
      </c>
      <c r="BZ16">
        <f t="shared" ref="BZ16:BZ79" ca="1" si="20">SQRT(POWER(BX16,2)+POWER(BY16,2))</f>
        <v>244.61991699803832</v>
      </c>
      <c r="CA16" s="6">
        <f t="shared" ref="CA16:CA79" ca="1" si="21">BX16/BZ16</f>
        <v>0.99784221633765857</v>
      </c>
      <c r="CB16" s="6">
        <f t="shared" ref="CB16:CB79" ca="1" si="22">BY16/BZ16</f>
        <v>-6.5657530370471354E-2</v>
      </c>
      <c r="CC16" s="6">
        <f t="shared" ref="CC16:CC79" ca="1" si="23">ATAN2(CA16,CB16)</f>
        <v>-6.5704796084109451E-2</v>
      </c>
      <c r="CD16" s="6">
        <f t="shared" ca="1" si="14"/>
        <v>-2.8185280793259682</v>
      </c>
      <c r="CE16" s="9">
        <f t="shared" ca="1" si="15"/>
        <v>321.48509880847843</v>
      </c>
      <c r="CF16" s="9">
        <f t="shared" ca="1" si="16"/>
        <v>-41.858812519794817</v>
      </c>
      <c r="CG16">
        <f t="shared" ref="CG16:CG79" ca="1" si="24">SQRT(POWER(CE16,2)+POWER(CF16,2))</f>
        <v>324.19874913618105</v>
      </c>
      <c r="CH16">
        <f t="shared" ref="CH16:CH79" ca="1" si="25">CE16/CG16</f>
        <v>0.99162967058036755</v>
      </c>
      <c r="CI16">
        <f t="shared" ref="CI16:CI79" ca="1" si="26">CF16/CG16</f>
        <v>-0.12911466386383819</v>
      </c>
      <c r="CJ16">
        <f t="shared" ref="CJ16:CJ79" ca="1" si="27">ATAN2(CH16,CI16)</f>
        <v>-0.12947611844127593</v>
      </c>
      <c r="CK16" s="38">
        <f t="shared" ref="CK16:CK79" ca="1" si="28">CJ16-$U$13</f>
        <v>-2.4856706086336207</v>
      </c>
      <c r="CU16">
        <v>1.7132008766036135</v>
      </c>
      <c r="CV16">
        <v>1.712945213138966</v>
      </c>
      <c r="CW16">
        <v>1.7130730448712899</v>
      </c>
      <c r="CX16">
        <v>-5.9496318727347841E-4</v>
      </c>
      <c r="CY16">
        <v>5.8760083742503966E-4</v>
      </c>
      <c r="CZ16">
        <v>-4.3393223054799535E-6</v>
      </c>
    </row>
    <row r="17" spans="1:104" x14ac:dyDescent="0.25">
      <c r="A17">
        <v>3</v>
      </c>
      <c r="B17" s="19">
        <v>8</v>
      </c>
      <c r="C17" s="6">
        <f t="shared" ca="1" si="17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6"/>
        <v>4</v>
      </c>
      <c r="L17" s="1">
        <f t="shared" si="7"/>
        <v>2</v>
      </c>
      <c r="BC17">
        <v>0.26179938779914941</v>
      </c>
      <c r="BD17">
        <v>299.61856463550015</v>
      </c>
      <c r="BE17">
        <v>-28.317052630128831</v>
      </c>
      <c r="BF17" s="6">
        <f t="shared" si="0"/>
        <v>6.188954863156229</v>
      </c>
      <c r="BG17" s="6">
        <f t="shared" si="1"/>
        <v>5.9271554753570799</v>
      </c>
      <c r="BH17" s="6">
        <f t="shared" si="2"/>
        <v>2.4504249342157021</v>
      </c>
      <c r="BI17" s="6">
        <f t="shared" si="3"/>
        <v>2.4504249342157021</v>
      </c>
      <c r="BV17" s="38"/>
      <c r="BW17" s="6">
        <f t="shared" si="8"/>
        <v>3.4906585039886591E-2</v>
      </c>
      <c r="BX17" s="9">
        <f t="shared" ca="1" si="18"/>
        <v>243.966578465726</v>
      </c>
      <c r="BY17" s="9">
        <f t="shared" ca="1" si="19"/>
        <v>-15.25946379005487</v>
      </c>
      <c r="BZ17">
        <f t="shared" ca="1" si="20"/>
        <v>244.44333217216877</v>
      </c>
      <c r="CA17" s="6">
        <f t="shared" ca="1" si="21"/>
        <v>0.99804963505362887</v>
      </c>
      <c r="CB17" s="6">
        <f t="shared" ca="1" si="22"/>
        <v>-6.2425363189318545E-2</v>
      </c>
      <c r="CC17" s="6">
        <f t="shared" ca="1" si="23"/>
        <v>-6.2465978957356248E-2</v>
      </c>
      <c r="CD17" s="6">
        <f t="shared" ca="1" si="14"/>
        <v>-2.8152892621992147</v>
      </c>
      <c r="CE17" s="9">
        <f t="shared" ca="1" si="15"/>
        <v>321.35959713654779</v>
      </c>
      <c r="CF17" s="9">
        <f t="shared" ca="1" si="16"/>
        <v>-41.057136680328803</v>
      </c>
      <c r="CG17">
        <f t="shared" ca="1" si="24"/>
        <v>323.97172584062253</v>
      </c>
      <c r="CH17">
        <f t="shared" ca="1" si="25"/>
        <v>0.99193717075989596</v>
      </c>
      <c r="CI17">
        <f t="shared" ca="1" si="26"/>
        <v>-0.12673061691972098</v>
      </c>
      <c r="CJ17">
        <f t="shared" ca="1" si="27"/>
        <v>-0.1270723216581636</v>
      </c>
      <c r="CK17" s="38">
        <f t="shared" ca="1" si="28"/>
        <v>-2.4832668118505086</v>
      </c>
      <c r="CU17">
        <v>1.7130730448712899</v>
      </c>
      <c r="CV17">
        <v>1.712945213138966</v>
      </c>
      <c r="CW17">
        <v>1.7130091290051279</v>
      </c>
      <c r="CX17">
        <v>-4.3393223054799535E-6</v>
      </c>
      <c r="CY17">
        <v>5.8760083742503966E-4</v>
      </c>
      <c r="CZ17">
        <v>2.9146610903074688E-4</v>
      </c>
    </row>
    <row r="18" spans="1:104" x14ac:dyDescent="0.25">
      <c r="A18">
        <v>4</v>
      </c>
      <c r="B18" s="19">
        <v>8</v>
      </c>
      <c r="C18" s="6">
        <f t="shared" ca="1" si="17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6"/>
        <v>4</v>
      </c>
      <c r="L18" s="1">
        <f t="shared" si="7"/>
        <v>4</v>
      </c>
      <c r="T18" s="8" t="s">
        <v>105</v>
      </c>
      <c r="U18" s="6">
        <f ca="1">SQRT(POWER(U6,2)+POWER(U5,2)+POWER(U4,2))</f>
        <v>100.64728383799644</v>
      </c>
      <c r="BC18">
        <v>0.27925268031909273</v>
      </c>
      <c r="BD18">
        <v>296.50746837669806</v>
      </c>
      <c r="BE18">
        <v>-27.218264969687446</v>
      </c>
      <c r="BF18" s="6">
        <f t="shared" si="0"/>
        <v>6.1916456324647449</v>
      </c>
      <c r="BG18" s="6">
        <f t="shared" si="1"/>
        <v>5.9123929521456517</v>
      </c>
      <c r="BH18" s="6">
        <f t="shared" si="2"/>
        <v>2.4477341649071862</v>
      </c>
      <c r="BI18" s="6">
        <f t="shared" si="3"/>
        <v>2.4477341649071862</v>
      </c>
      <c r="BV18" s="38"/>
      <c r="BW18" s="6">
        <f t="shared" si="8"/>
        <v>5.235987755982989E-2</v>
      </c>
      <c r="BX18" s="9">
        <f t="shared" ca="1" si="18"/>
        <v>243.82498030707359</v>
      </c>
      <c r="BY18" s="9">
        <f t="shared" ca="1" si="19"/>
        <v>-14.456810040634462</v>
      </c>
      <c r="BZ18">
        <f t="shared" ca="1" si="20"/>
        <v>244.25318908521095</v>
      </c>
      <c r="CA18" s="6">
        <f t="shared" ca="1" si="21"/>
        <v>0.99824686514947414</v>
      </c>
      <c r="CB18" s="6">
        <f t="shared" ca="1" si="22"/>
        <v>-5.9187804649670356E-2</v>
      </c>
      <c r="CC18" s="6">
        <f t="shared" ca="1" si="23"/>
        <v>-5.9222416990612987E-2</v>
      </c>
      <c r="CD18" s="6">
        <f t="shared" ca="1" si="14"/>
        <v>-2.8120457002324715</v>
      </c>
      <c r="CE18" s="9">
        <f t="shared" ca="1" si="15"/>
        <v>321.21799897789538</v>
      </c>
      <c r="CF18" s="9">
        <f t="shared" ca="1" si="16"/>
        <v>-40.254482930908395</v>
      </c>
      <c r="CG18">
        <f t="shared" ca="1" si="24"/>
        <v>323.73048398845293</v>
      </c>
      <c r="CH18">
        <f t="shared" ca="1" si="25"/>
        <v>0.99223896069470197</v>
      </c>
      <c r="CI18">
        <f t="shared" ca="1" si="26"/>
        <v>-0.12434566691082519</v>
      </c>
      <c r="CJ18">
        <f t="shared" ca="1" si="27"/>
        <v>-0.12466835275386889</v>
      </c>
      <c r="CK18" s="38">
        <f t="shared" ca="1" si="28"/>
        <v>-2.4808628429462138</v>
      </c>
      <c r="CU18">
        <v>1.7130730448712899</v>
      </c>
      <c r="CV18">
        <v>1.7130091290051279</v>
      </c>
      <c r="CW18">
        <v>1.7130410869382089</v>
      </c>
      <c r="CX18">
        <v>-4.3393223054799535E-6</v>
      </c>
      <c r="CY18">
        <v>2.9146610903074688E-4</v>
      </c>
      <c r="CZ18">
        <v>1.4352224505476127E-4</v>
      </c>
    </row>
    <row r="19" spans="1:104" x14ac:dyDescent="0.25">
      <c r="A19">
        <v>5</v>
      </c>
      <c r="B19" s="19">
        <v>0</v>
      </c>
      <c r="C19" s="6">
        <f t="shared" ca="1" si="17"/>
        <v>0</v>
      </c>
      <c r="D19" s="2">
        <v>2</v>
      </c>
      <c r="E19" s="2">
        <v>8.66</v>
      </c>
      <c r="G19" s="1">
        <v>7</v>
      </c>
      <c r="H19" s="6">
        <v>0.875</v>
      </c>
      <c r="I19" s="6">
        <v>0.6</v>
      </c>
      <c r="K19" s="1" t="e">
        <f t="shared" si="6"/>
        <v>#N/A</v>
      </c>
      <c r="L19" s="1" t="e">
        <f t="shared" si="7"/>
        <v>#N/A</v>
      </c>
      <c r="T19" s="8" t="s">
        <v>106</v>
      </c>
      <c r="U19" s="39">
        <f ca="1">U4/U18</f>
        <v>0.84453347134258994</v>
      </c>
      <c r="V19" s="39">
        <f ca="1">U5/U18</f>
        <v>-0.37865763941283764</v>
      </c>
      <c r="W19" s="39">
        <f ca="1">U6/U18</f>
        <v>0.37865763942687364</v>
      </c>
      <c r="X19" s="38"/>
      <c r="BC19">
        <v>0.29670597283903605</v>
      </c>
      <c r="BD19">
        <v>293.46355701412284</v>
      </c>
      <c r="BE19">
        <v>-26.138006288526526</v>
      </c>
      <c r="BF19" s="6">
        <f t="shared" si="0"/>
        <v>6.1943524169004993</v>
      </c>
      <c r="BG19" s="6">
        <f t="shared" si="1"/>
        <v>5.8976464440614631</v>
      </c>
      <c r="BH19" s="6">
        <f t="shared" si="2"/>
        <v>2.4450273804714318</v>
      </c>
      <c r="BI19" s="6">
        <f t="shared" si="3"/>
        <v>2.4450273804714318</v>
      </c>
      <c r="BV19" s="38"/>
      <c r="BW19" s="6">
        <f t="shared" si="8"/>
        <v>6.9813170079773182E-2</v>
      </c>
      <c r="BX19" s="9">
        <f t="shared" ca="1" si="18"/>
        <v>243.66712588797765</v>
      </c>
      <c r="BY19" s="9">
        <f t="shared" ca="1" si="19"/>
        <v>-13.65268644151892</v>
      </c>
      <c r="BZ19">
        <f t="shared" ca="1" si="20"/>
        <v>244.04930666891471</v>
      </c>
      <c r="CA19" s="6">
        <f t="shared" ca="1" si="21"/>
        <v>0.99843400177548736</v>
      </c>
      <c r="CB19" s="6">
        <f t="shared" ca="1" si="22"/>
        <v>-5.594232832646643E-2</v>
      </c>
      <c r="CC19" s="6">
        <f t="shared" ca="1" si="23"/>
        <v>-5.597154849305544E-2</v>
      </c>
      <c r="CD19" s="6">
        <f t="shared" ca="1" si="14"/>
        <v>-2.8087948317349141</v>
      </c>
      <c r="CE19" s="9">
        <f t="shared" ca="1" si="15"/>
        <v>321.06014455879944</v>
      </c>
      <c r="CF19" s="9">
        <f t="shared" ca="1" si="16"/>
        <v>-39.450359331792853</v>
      </c>
      <c r="CG19">
        <f t="shared" ca="1" si="24"/>
        <v>323.47480160829338</v>
      </c>
      <c r="CH19">
        <f t="shared" ca="1" si="25"/>
        <v>0.99253525456236946</v>
      </c>
      <c r="CI19">
        <f t="shared" ca="1" si="26"/>
        <v>-0.12195806021256837</v>
      </c>
      <c r="CJ19">
        <f t="shared" ca="1" si="27"/>
        <v>-0.12226243118537058</v>
      </c>
      <c r="CK19" s="38">
        <f t="shared" ca="1" si="28"/>
        <v>-2.4784569213777154</v>
      </c>
      <c r="CU19">
        <v>1.7130730448712899</v>
      </c>
      <c r="CV19">
        <v>1.7130410869382089</v>
      </c>
      <c r="CW19">
        <v>1.7130570659047493</v>
      </c>
      <c r="CX19">
        <v>-4.3393223054799535E-6</v>
      </c>
      <c r="CY19">
        <v>1.4352224505476127E-4</v>
      </c>
      <c r="CZ19">
        <v>6.9581174563460024E-5</v>
      </c>
    </row>
    <row r="20" spans="1:104" x14ac:dyDescent="0.25">
      <c r="A20">
        <v>6</v>
      </c>
      <c r="B20" s="19">
        <v>0</v>
      </c>
      <c r="C20" s="6">
        <f t="shared" ca="1" si="17"/>
        <v>0</v>
      </c>
      <c r="D20" s="2">
        <v>10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6"/>
        <v>#N/A</v>
      </c>
      <c r="L20" s="1" t="e">
        <f t="shared" si="7"/>
        <v>#N/A</v>
      </c>
      <c r="BC20">
        <v>0.31415926535897937</v>
      </c>
      <c r="BD20">
        <v>290.48228444029621</v>
      </c>
      <c r="BE20">
        <v>-25.075062435135596</v>
      </c>
      <c r="BF20" s="6">
        <f t="shared" si="0"/>
        <v>6.1970765895887574</v>
      </c>
      <c r="BG20" s="6">
        <f t="shared" si="1"/>
        <v>5.8829173242297781</v>
      </c>
      <c r="BH20" s="6">
        <f t="shared" si="2"/>
        <v>2.4423032077831737</v>
      </c>
      <c r="BI20" s="6">
        <f t="shared" si="3"/>
        <v>2.4423032077831737</v>
      </c>
      <c r="BV20" s="38"/>
      <c r="BW20" s="6">
        <f t="shared" si="8"/>
        <v>8.7266462599716474E-2</v>
      </c>
      <c r="BX20" s="9">
        <f t="shared" ca="1" si="18"/>
        <v>243.49281530602417</v>
      </c>
      <c r="BY20" s="9">
        <f t="shared" ca="1" si="19"/>
        <v>-12.846597453886172</v>
      </c>
      <c r="BZ20">
        <f t="shared" ca="1" si="20"/>
        <v>243.83147083958582</v>
      </c>
      <c r="CA20" s="6">
        <f t="shared" ca="1" si="21"/>
        <v>0.99861110818716081</v>
      </c>
      <c r="CB20" s="6">
        <f t="shared" ca="1" si="22"/>
        <v>-5.2686379693529448E-2</v>
      </c>
      <c r="CC20" s="6">
        <f t="shared" ca="1" si="23"/>
        <v>-5.2710785146482697E-2</v>
      </c>
      <c r="CD20" s="6">
        <f t="shared" ca="1" si="14"/>
        <v>-2.8055340683883414</v>
      </c>
      <c r="CE20" s="9">
        <f t="shared" ca="1" si="15"/>
        <v>320.88583397684596</v>
      </c>
      <c r="CF20" s="9">
        <f t="shared" ca="1" si="16"/>
        <v>-38.644270344160105</v>
      </c>
      <c r="CG20">
        <f t="shared" ca="1" si="24"/>
        <v>323.20442150046227</v>
      </c>
      <c r="CH20">
        <f t="shared" ca="1" si="25"/>
        <v>0.99282625060371277</v>
      </c>
      <c r="CI20">
        <f t="shared" ca="1" si="26"/>
        <v>-0.11956603243469191</v>
      </c>
      <c r="CJ20">
        <f t="shared" ca="1" si="27"/>
        <v>-0.1198527676412614</v>
      </c>
      <c r="CK20" s="38">
        <f t="shared" ca="1" si="28"/>
        <v>-2.4760472578336064</v>
      </c>
      <c r="CU20">
        <v>1.7130730448712899</v>
      </c>
      <c r="CV20">
        <v>1.7130570659047493</v>
      </c>
      <c r="CW20">
        <v>1.7130650553880196</v>
      </c>
      <c r="CX20">
        <v>-4.3393223054799535E-6</v>
      </c>
      <c r="CY20">
        <v>6.9581174563460024E-5</v>
      </c>
      <c r="CZ20">
        <v>3.2618356213376387E-5</v>
      </c>
    </row>
    <row r="21" spans="1:104" x14ac:dyDescent="0.25">
      <c r="A21">
        <v>7</v>
      </c>
      <c r="B21" s="19">
        <v>0</v>
      </c>
      <c r="C21" s="6">
        <f t="shared" ca="1" si="17"/>
        <v>0</v>
      </c>
      <c r="D21" s="2">
        <v>2</v>
      </c>
      <c r="E21" s="2">
        <v>15.33</v>
      </c>
      <c r="G21" s="1">
        <v>9</v>
      </c>
      <c r="H21" s="6">
        <v>1.1279999999999999</v>
      </c>
      <c r="I21" s="6">
        <v>1</v>
      </c>
      <c r="K21" s="1" t="e">
        <f t="shared" si="6"/>
        <v>#N/A</v>
      </c>
      <c r="L21" s="1" t="e">
        <f t="shared" si="7"/>
        <v>#N/A</v>
      </c>
      <c r="T21" s="8" t="s">
        <v>107</v>
      </c>
      <c r="U21" s="39">
        <f ca="1">U16-U19</f>
        <v>0.14190657907303117</v>
      </c>
      <c r="V21" s="39">
        <f t="shared" ref="V21:W21" ca="1" si="29">V16-V19</f>
        <v>0.26260586877570574</v>
      </c>
      <c r="W21" s="39">
        <f t="shared" ca="1" si="29"/>
        <v>-0.26260586878974174</v>
      </c>
      <c r="BC21">
        <v>0.33161255787892269</v>
      </c>
      <c r="BD21">
        <v>287.55946774940622</v>
      </c>
      <c r="BE21">
        <v>-24.028310779746644</v>
      </c>
      <c r="BF21" s="6">
        <f t="shared" si="0"/>
        <v>6.1998195229037858</v>
      </c>
      <c r="BG21" s="6">
        <f t="shared" si="1"/>
        <v>5.8682069650248634</v>
      </c>
      <c r="BH21" s="6">
        <f t="shared" si="2"/>
        <v>2.4395602744681453</v>
      </c>
      <c r="BI21" s="6">
        <f t="shared" si="3"/>
        <v>2.4395602744681453</v>
      </c>
      <c r="BV21" s="38"/>
      <c r="BW21" s="6">
        <f t="shared" si="8"/>
        <v>0.10471975511965977</v>
      </c>
      <c r="BX21" s="9">
        <f t="shared" ca="1" si="18"/>
        <v>243.3018076617891</v>
      </c>
      <c r="BY21" s="9">
        <f t="shared" ca="1" si="19"/>
        <v>-12.038042711031526</v>
      </c>
      <c r="BZ21">
        <f t="shared" ca="1" si="20"/>
        <v>243.59943366889595</v>
      </c>
      <c r="CA21" s="6">
        <f t="shared" ca="1" si="21"/>
        <v>0.99877821552117652</v>
      </c>
      <c r="CB21" s="6">
        <f t="shared" ca="1" si="22"/>
        <v>-4.9417367395828256E-2</v>
      </c>
      <c r="CC21" s="6">
        <f t="shared" ca="1" si="23"/>
        <v>-4.9437503027555653E-2</v>
      </c>
      <c r="CD21" s="6">
        <f t="shared" ca="1" si="14"/>
        <v>-2.8022607862694144</v>
      </c>
      <c r="CE21" s="9">
        <f t="shared" ca="1" si="15"/>
        <v>320.69482633261089</v>
      </c>
      <c r="CF21" s="9">
        <f t="shared" ca="1" si="16"/>
        <v>-37.835715601305459</v>
      </c>
      <c r="CG21">
        <f t="shared" ca="1" si="24"/>
        <v>322.9190502456712</v>
      </c>
      <c r="CH21">
        <f t="shared" ca="1" si="25"/>
        <v>0.99311213162751422</v>
      </c>
      <c r="CI21">
        <f t="shared" ca="1" si="26"/>
        <v>-0.11716780280544212</v>
      </c>
      <c r="CJ21">
        <f t="shared" ca="1" si="27"/>
        <v>-0.11743755830252191</v>
      </c>
      <c r="CK21" s="38">
        <f t="shared" ca="1" si="28"/>
        <v>-2.4736320484948666</v>
      </c>
      <c r="CU21">
        <v>1.7130730448712899</v>
      </c>
      <c r="CV21">
        <v>1.7130650553880196</v>
      </c>
      <c r="CW21">
        <v>1.7130690501296546</v>
      </c>
      <c r="CX21">
        <v>-4.3393223054799535E-6</v>
      </c>
      <c r="CY21">
        <v>3.2618356213376387E-5</v>
      </c>
      <c r="CZ21">
        <v>1.4138874893099285E-5</v>
      </c>
    </row>
    <row r="22" spans="1:104" x14ac:dyDescent="0.25">
      <c r="A22">
        <v>8</v>
      </c>
      <c r="B22" s="19">
        <v>0</v>
      </c>
      <c r="C22" s="6">
        <f t="shared" ca="1" si="17"/>
        <v>0</v>
      </c>
      <c r="D22" s="2">
        <v>10</v>
      </c>
      <c r="E22" s="2">
        <v>15.33</v>
      </c>
      <c r="G22" s="1">
        <v>10</v>
      </c>
      <c r="H22" s="6">
        <v>1.27</v>
      </c>
      <c r="I22" s="6">
        <v>1.27</v>
      </c>
      <c r="K22" s="1" t="e">
        <f t="shared" si="6"/>
        <v>#N/A</v>
      </c>
      <c r="L22" s="1" t="e">
        <f t="shared" si="7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284.69120662968038</v>
      </c>
      <c r="BE22">
        <v>-22.9966935801191</v>
      </c>
      <c r="BF22" s="6">
        <f t="shared" si="0"/>
        <v>6.2025826404994611</v>
      </c>
      <c r="BG22" s="6">
        <f t="shared" si="1"/>
        <v>5.8535167901005947</v>
      </c>
      <c r="BH22" s="6">
        <f t="shared" si="2"/>
        <v>2.43679715687247</v>
      </c>
      <c r="BI22" s="6">
        <f t="shared" si="3"/>
        <v>2.43679715687247</v>
      </c>
      <c r="BV22" s="38"/>
      <c r="BW22" s="6">
        <f t="shared" si="8"/>
        <v>0.12217304763960306</v>
      </c>
      <c r="BX22" s="9">
        <f t="shared" ca="1" si="18"/>
        <v>243.09381996627121</v>
      </c>
      <c r="BY22" s="9">
        <f t="shared" ca="1" si="19"/>
        <v>-11.226515764282755</v>
      </c>
      <c r="BZ22">
        <f t="shared" ca="1" si="20"/>
        <v>243.35291237624332</v>
      </c>
      <c r="CA22" s="6">
        <f t="shared" ca="1" si="21"/>
        <v>0.99893532233725013</v>
      </c>
      <c r="CB22" s="6">
        <f t="shared" ca="1" si="22"/>
        <v>-4.6132654237257091E-2</v>
      </c>
      <c r="CC22" s="6">
        <f t="shared" ca="1" si="23"/>
        <v>-4.6149033348355413E-2</v>
      </c>
      <c r="CD22" s="6">
        <f t="shared" ca="1" si="14"/>
        <v>-2.7989723165902141</v>
      </c>
      <c r="CE22" s="9">
        <f t="shared" ca="1" si="15"/>
        <v>320.486838637093</v>
      </c>
      <c r="CF22" s="9">
        <f t="shared" ca="1" si="16"/>
        <v>-37.024188654556689</v>
      </c>
      <c r="CG22">
        <f t="shared" ca="1" si="24"/>
        <v>322.61835701820547</v>
      </c>
      <c r="CH22">
        <f t="shared" ca="1" si="25"/>
        <v>0.99339306541384376</v>
      </c>
      <c r="CI22">
        <f t="shared" ca="1" si="26"/>
        <v>-0.11476156842639738</v>
      </c>
      <c r="CJ22">
        <f t="shared" ca="1" si="27"/>
        <v>-0.11501497898503389</v>
      </c>
      <c r="CK22" s="38">
        <f t="shared" ca="1" si="28"/>
        <v>-2.4712094691773787</v>
      </c>
      <c r="CU22">
        <v>1.7130730448712899</v>
      </c>
      <c r="CV22">
        <v>1.7130690501296546</v>
      </c>
      <c r="CW22">
        <v>1.7130710475004722</v>
      </c>
      <c r="CX22">
        <v>-4.3393223054799535E-6</v>
      </c>
      <c r="CY22">
        <v>1.4138874893099285E-5</v>
      </c>
      <c r="CZ22">
        <v>4.8996138346524268E-6</v>
      </c>
    </row>
    <row r="23" spans="1:104" x14ac:dyDescent="0.25">
      <c r="A23">
        <v>9</v>
      </c>
      <c r="B23" s="19">
        <v>0</v>
      </c>
      <c r="C23" s="6">
        <f t="shared" ca="1" si="17"/>
        <v>0</v>
      </c>
      <c r="D23" s="2">
        <v>8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6"/>
        <v>#N/A</v>
      </c>
      <c r="L23" s="1" t="e">
        <f t="shared" si="7"/>
        <v>#N/A</v>
      </c>
      <c r="T23" s="8" t="s">
        <v>108</v>
      </c>
      <c r="U23" s="39">
        <f ca="1">SQRT(POWER(U21,2)+POWER(V21,2)+POWER(W21,2))</f>
        <v>0.39756906547475329</v>
      </c>
      <c r="V23" t="str">
        <f ca="1">IF(ABS(U23)&lt;=L1,"","NG")</f>
        <v>NG</v>
      </c>
      <c r="BC23">
        <v>0.36651914291880933</v>
      </c>
      <c r="BD23">
        <v>281.8738280430685</v>
      </c>
      <c r="BE23">
        <v>-21.979201702780735</v>
      </c>
      <c r="BF23" s="6">
        <f t="shared" si="0"/>
        <v>6.2053674478851022</v>
      </c>
      <c r="BG23" s="6">
        <f t="shared" si="1"/>
        <v>5.8388483049662927</v>
      </c>
      <c r="BH23" s="6">
        <f t="shared" si="2"/>
        <v>2.4340123494868289</v>
      </c>
      <c r="BI23" s="6">
        <f t="shared" si="3"/>
        <v>2.4340123494868289</v>
      </c>
      <c r="BV23" s="38"/>
      <c r="BW23" s="6">
        <f t="shared" si="8"/>
        <v>0.13962634015954636</v>
      </c>
      <c r="BX23" s="9">
        <f t="shared" ca="1" si="18"/>
        <v>242.86852582342419</v>
      </c>
      <c r="BY23" s="9">
        <f t="shared" ca="1" si="19"/>
        <v>-10.411502796886321</v>
      </c>
      <c r="BZ23">
        <f t="shared" ca="1" si="20"/>
        <v>243.09158814350781</v>
      </c>
      <c r="CA23" s="6">
        <f t="shared" ca="1" si="21"/>
        <v>0.9990823939166833</v>
      </c>
      <c r="CB23" s="6">
        <f t="shared" ca="1" si="22"/>
        <v>-4.2829547811172909E-2</v>
      </c>
      <c r="CC23" s="6">
        <f t="shared" ca="1" si="23"/>
        <v>-4.2842652839272855E-2</v>
      </c>
      <c r="CD23" s="6">
        <f t="shared" ca="1" si="14"/>
        <v>-2.7956659360811313</v>
      </c>
      <c r="CE23" s="9">
        <f t="shared" ca="1" si="15"/>
        <v>320.26154449424598</v>
      </c>
      <c r="CF23" s="9">
        <f t="shared" ca="1" si="16"/>
        <v>-36.209175687160254</v>
      </c>
      <c r="CG23">
        <f t="shared" ca="1" si="24"/>
        <v>322.30197220275204</v>
      </c>
      <c r="CH23">
        <f t="shared" ca="1" si="25"/>
        <v>0.99366920501739131</v>
      </c>
      <c r="CI23">
        <f t="shared" ca="1" si="26"/>
        <v>-0.1123454983526504</v>
      </c>
      <c r="CJ23">
        <f t="shared" ca="1" si="27"/>
        <v>-0.11258317911741021</v>
      </c>
      <c r="CK23" s="38">
        <f t="shared" ca="1" si="28"/>
        <v>-2.468777669309755</v>
      </c>
      <c r="CU23">
        <v>1.7130730448712899</v>
      </c>
      <c r="CV23">
        <v>1.7130710475004722</v>
      </c>
      <c r="CW23">
        <v>1.713072046185881</v>
      </c>
      <c r="CX23">
        <v>-4.3393223054799535E-6</v>
      </c>
      <c r="CY23">
        <v>4.8996138346524268E-6</v>
      </c>
      <c r="CZ23">
        <v>2.8010670893863221E-7</v>
      </c>
    </row>
    <row r="24" spans="1:104" ht="15.75" thickBot="1" x14ac:dyDescent="0.3">
      <c r="A24">
        <v>10</v>
      </c>
      <c r="B24" s="19">
        <v>0</v>
      </c>
      <c r="C24" s="11">
        <f t="shared" ca="1" si="17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6"/>
        <v>#N/A</v>
      </c>
      <c r="L24" s="1" t="e">
        <f t="shared" si="7"/>
        <v>#N/A</v>
      </c>
      <c r="BC24">
        <v>0.38397243543875265</v>
      </c>
      <c r="BD24">
        <v>279.10384703736401</v>
      </c>
      <c r="BE24">
        <v>-20.974864445886254</v>
      </c>
      <c r="BF24" s="6">
        <f t="shared" si="0"/>
        <v>6.2081755507713323</v>
      </c>
      <c r="BG24" s="6">
        <f t="shared" si="1"/>
        <v>5.8242031153325797</v>
      </c>
      <c r="BH24" s="6">
        <f t="shared" si="2"/>
        <v>2.4312042466005988</v>
      </c>
      <c r="BI24" s="6">
        <f t="shared" si="3"/>
        <v>2.4312042466005988</v>
      </c>
      <c r="BV24" s="38"/>
      <c r="BW24" s="6">
        <f t="shared" si="8"/>
        <v>0.15707963267948966</v>
      </c>
      <c r="BX24" s="9">
        <f t="shared" ca="1" si="18"/>
        <v>242.6255538693602</v>
      </c>
      <c r="BY24" s="9">
        <f t="shared" ca="1" si="19"/>
        <v>-9.5924812988298704</v>
      </c>
      <c r="BZ24">
        <f t="shared" ca="1" si="20"/>
        <v>242.81510473585084</v>
      </c>
      <c r="CA24" s="6">
        <f t="shared" ca="1" si="21"/>
        <v>0.99921936130498623</v>
      </c>
      <c r="CB24" s="6">
        <f t="shared" ca="1" si="22"/>
        <v>-3.9505290699543422E-2</v>
      </c>
      <c r="CC24" s="6">
        <f t="shared" ca="1" si="23"/>
        <v>-3.9515573696729867E-2</v>
      </c>
      <c r="CD24" s="6">
        <f t="shared" ca="1" si="14"/>
        <v>-2.7923388569385885</v>
      </c>
      <c r="CE24" s="9">
        <f t="shared" ca="1" si="15"/>
        <v>320.01857254018199</v>
      </c>
      <c r="CF24" s="9">
        <f t="shared" ca="1" si="16"/>
        <v>-35.390154189103804</v>
      </c>
      <c r="CG24">
        <f t="shared" ca="1" si="24"/>
        <v>321.9694857966889</v>
      </c>
      <c r="CH24">
        <f t="shared" ca="1" si="25"/>
        <v>0.99394068897032428</v>
      </c>
      <c r="CI24">
        <f t="shared" ca="1" si="26"/>
        <v>-0.10991772745648107</v>
      </c>
      <c r="CJ24">
        <f t="shared" ca="1" si="27"/>
        <v>-0.1101402755112786</v>
      </c>
      <c r="CK24" s="38">
        <f t="shared" ca="1" si="28"/>
        <v>-2.4663347657036234</v>
      </c>
      <c r="CU24">
        <v>1.7130730448712899</v>
      </c>
      <c r="CV24">
        <v>1.713072046185881</v>
      </c>
      <c r="CW24">
        <v>1.7130725455285853</v>
      </c>
      <c r="CX24">
        <v>-4.3393223054799535E-6</v>
      </c>
      <c r="CY24">
        <v>2.8010670893863221E-7</v>
      </c>
      <c r="CZ24">
        <v>-2.0296202887237773E-6</v>
      </c>
    </row>
    <row r="25" spans="1:104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276.37793799523456</v>
      </c>
      <c r="BE25">
        <v>-19.982742986344814</v>
      </c>
      <c r="BF25" s="6">
        <f t="shared" si="0"/>
        <v>6.2110086665349877</v>
      </c>
      <c r="BG25" s="6">
        <f t="shared" si="1"/>
        <v>5.809582938576292</v>
      </c>
      <c r="BH25" s="6">
        <f t="shared" si="2"/>
        <v>2.4283711308369433</v>
      </c>
      <c r="BI25" s="6">
        <f t="shared" si="3"/>
        <v>2.4283711308369433</v>
      </c>
      <c r="BV25" s="38"/>
      <c r="BW25" s="6">
        <f t="shared" si="8"/>
        <v>0.17453292519943295</v>
      </c>
      <c r="BX25" s="9">
        <f t="shared" ca="1" si="18"/>
        <v>238.99108288099762</v>
      </c>
      <c r="BY25" s="9">
        <f t="shared" ca="1" si="19"/>
        <v>-8.3470868007067587</v>
      </c>
      <c r="BZ25">
        <f t="shared" ca="1" si="20"/>
        <v>239.13680510262407</v>
      </c>
      <c r="CA25" s="6">
        <f t="shared" ca="1" si="21"/>
        <v>0.99939063239736803</v>
      </c>
      <c r="CB25" s="6">
        <f t="shared" ca="1" si="22"/>
        <v>-3.490506949411095E-2</v>
      </c>
      <c r="CC25" s="6">
        <f t="shared" ca="1" si="23"/>
        <v>-3.4912161228902866E-2</v>
      </c>
      <c r="CD25" s="6">
        <f t="shared" ca="1" si="14"/>
        <v>-2.7877354444707616</v>
      </c>
      <c r="CE25" s="9">
        <f t="shared" ca="1" si="15"/>
        <v>316.38410155181941</v>
      </c>
      <c r="CF25" s="9">
        <f t="shared" ca="1" si="16"/>
        <v>-34.144759690980692</v>
      </c>
      <c r="CG25">
        <f t="shared" ca="1" si="24"/>
        <v>318.22125059321041</v>
      </c>
      <c r="CH25">
        <f t="shared" ca="1" si="25"/>
        <v>0.99422681848567218</v>
      </c>
      <c r="CI25">
        <f t="shared" ca="1" si="26"/>
        <v>-0.10729880429836136</v>
      </c>
      <c r="CJ25">
        <f t="shared" ca="1" si="27"/>
        <v>-0.10750576746952713</v>
      </c>
      <c r="CK25" s="38">
        <f t="shared" ca="1" si="28"/>
        <v>-2.4637002576618721</v>
      </c>
      <c r="CU25">
        <v>1.7130725455285853</v>
      </c>
      <c r="CV25">
        <v>1.713072046185881</v>
      </c>
      <c r="CW25">
        <v>1.7130722958572333</v>
      </c>
      <c r="CX25">
        <v>-2.0296202887237773E-6</v>
      </c>
      <c r="CY25">
        <v>2.8010670893863221E-7</v>
      </c>
      <c r="CZ25">
        <v>-8.7475757570842916E-7</v>
      </c>
    </row>
    <row r="26" spans="1:104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273.69291270272379</v>
      </c>
      <c r="BE26">
        <v>-19.00192598085783</v>
      </c>
      <c r="BF26" s="6">
        <f t="shared" si="0"/>
        <v>6.2138686319807706</v>
      </c>
      <c r="BG26" s="6">
        <f t="shared" si="1"/>
        <v>5.7949896115021309</v>
      </c>
      <c r="BH26" s="6">
        <f t="shared" si="2"/>
        <v>2.4255111653911605</v>
      </c>
      <c r="BI26" s="6">
        <f t="shared" si="3"/>
        <v>2.4255111653911605</v>
      </c>
      <c r="BV26" s="38"/>
      <c r="BW26" s="6">
        <f t="shared" si="8"/>
        <v>0.19198621771937624</v>
      </c>
      <c r="BX26" s="9">
        <f t="shared" ca="1" si="18"/>
        <v>235.45348428782103</v>
      </c>
      <c r="BY26" s="9">
        <f t="shared" ca="1" si="19"/>
        <v>-7.1304496139949656</v>
      </c>
      <c r="BZ26">
        <f t="shared" ca="1" si="20"/>
        <v>235.56142845332914</v>
      </c>
      <c r="CA26" s="6">
        <f t="shared" ca="1" si="21"/>
        <v>0.99954175789212663</v>
      </c>
      <c r="CB26" s="6">
        <f t="shared" ca="1" si="22"/>
        <v>-3.0270021967572221E-2</v>
      </c>
      <c r="CC26" s="6">
        <f t="shared" ca="1" si="23"/>
        <v>-3.027464648146605E-2</v>
      </c>
      <c r="CD26" s="6">
        <f t="shared" ca="1" si="14"/>
        <v>-2.7830979297233247</v>
      </c>
      <c r="CE26" s="9">
        <f t="shared" ca="1" si="15"/>
        <v>312.84650295864282</v>
      </c>
      <c r="CF26" s="9">
        <f t="shared" ca="1" si="16"/>
        <v>-32.928122504268899</v>
      </c>
      <c r="CG26">
        <f t="shared" ca="1" si="24"/>
        <v>314.57462654369988</v>
      </c>
      <c r="CH26">
        <f t="shared" ca="1" si="25"/>
        <v>0.99450647496893074</v>
      </c>
      <c r="CI26">
        <f t="shared" ca="1" si="26"/>
        <v>-0.10467507461125321</v>
      </c>
      <c r="CJ26">
        <f t="shared" ca="1" si="27"/>
        <v>-0.10486717518215931</v>
      </c>
      <c r="CK26" s="38">
        <f t="shared" ca="1" si="28"/>
        <v>-2.4610616653745043</v>
      </c>
      <c r="CU26">
        <v>1.7130722958572333</v>
      </c>
      <c r="CV26">
        <v>1.713072046185881</v>
      </c>
      <c r="CW26">
        <v>1.7130721710215573</v>
      </c>
      <c r="CX26">
        <v>-8.7475757570842916E-7</v>
      </c>
      <c r="CY26">
        <v>2.8010670893863221E-7</v>
      </c>
      <c r="CZ26">
        <v>-2.973275785578266E-7</v>
      </c>
    </row>
    <row r="27" spans="1:104" x14ac:dyDescent="0.25">
      <c r="A27" s="8" t="s">
        <v>15</v>
      </c>
      <c r="B27" s="33">
        <v>1.7130721067377697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271.04570293095748</v>
      </c>
      <c r="BE27">
        <v>-18.031526447463339</v>
      </c>
      <c r="BF27" s="6">
        <f t="shared" si="0"/>
        <v>6.216757409295198</v>
      </c>
      <c r="BG27" s="6">
        <f t="shared" si="1"/>
        <v>5.7804250962966153</v>
      </c>
      <c r="BH27" s="6">
        <f t="shared" si="2"/>
        <v>2.422622388076733</v>
      </c>
      <c r="BI27" s="6">
        <f t="shared" si="3"/>
        <v>2.422622388076733</v>
      </c>
      <c r="BV27" s="38"/>
      <c r="BW27" s="6">
        <f t="shared" si="8"/>
        <v>0.20943951023931953</v>
      </c>
      <c r="BX27" s="9">
        <f t="shared" ca="1" si="18"/>
        <v>232.01582713104642</v>
      </c>
      <c r="BY27" s="9">
        <f t="shared" ca="1" si="19"/>
        <v>-5.9415760078888802</v>
      </c>
      <c r="BZ27">
        <f t="shared" ca="1" si="20"/>
        <v>232.09189207027705</v>
      </c>
      <c r="CA27" s="6">
        <f t="shared" ca="1" si="21"/>
        <v>0.99967226369455597</v>
      </c>
      <c r="CB27" s="6">
        <f t="shared" ca="1" si="22"/>
        <v>-2.560010155843695E-2</v>
      </c>
      <c r="CC27" s="6">
        <f t="shared" ca="1" si="23"/>
        <v>-2.5602898619354331E-2</v>
      </c>
      <c r="CD27" s="6">
        <f t="shared" ca="1" si="14"/>
        <v>-2.7784261818612128</v>
      </c>
      <c r="CE27" s="9">
        <f t="shared" ca="1" si="15"/>
        <v>309.40884580186821</v>
      </c>
      <c r="CF27" s="9">
        <f t="shared" ca="1" si="16"/>
        <v>-31.739248898162813</v>
      </c>
      <c r="CG27">
        <f t="shared" ca="1" si="24"/>
        <v>311.03249634252654</v>
      </c>
      <c r="CH27">
        <f t="shared" ca="1" si="25"/>
        <v>0.99477980416917511</v>
      </c>
      <c r="CI27">
        <f t="shared" ca="1" si="26"/>
        <v>-0.10204480004947702</v>
      </c>
      <c r="CJ27">
        <f t="shared" ca="1" si="27"/>
        <v>-0.10222273626298012</v>
      </c>
      <c r="CK27" s="38">
        <f t="shared" ca="1" si="28"/>
        <v>-2.458417226455325</v>
      </c>
      <c r="CU27">
        <v>1.7130721710215573</v>
      </c>
      <c r="CV27">
        <v>1.713072046185881</v>
      </c>
      <c r="CW27">
        <v>1.7130721086037193</v>
      </c>
      <c r="CX27">
        <v>-2.973275785578266E-7</v>
      </c>
      <c r="CY27">
        <v>2.8010670893863221E-7</v>
      </c>
      <c r="CZ27">
        <v>-8.6121394460292322E-9</v>
      </c>
    </row>
    <row r="28" spans="1:104" x14ac:dyDescent="0.25">
      <c r="A28" s="8" t="s">
        <v>17</v>
      </c>
      <c r="B28" s="33">
        <v>3.592355538881824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10</v>
      </c>
      <c r="BC28">
        <v>0.45378560551852593</v>
      </c>
      <c r="BD28">
        <v>268.43334602895959</v>
      </c>
      <c r="BE28">
        <v>-17.070679401202739</v>
      </c>
      <c r="BF28" s="6">
        <f t="shared" si="0"/>
        <v>6.219677091353585</v>
      </c>
      <c r="BG28" s="6">
        <f t="shared" si="1"/>
        <v>5.7658914858350592</v>
      </c>
      <c r="BH28" s="6">
        <f t="shared" si="2"/>
        <v>2.419702706018346</v>
      </c>
      <c r="BI28" s="6">
        <f t="shared" si="3"/>
        <v>2.419702706018346</v>
      </c>
      <c r="BV28" s="38"/>
      <c r="BW28" s="6">
        <f t="shared" si="8"/>
        <v>0.22689280275926282</v>
      </c>
      <c r="BX28" s="9">
        <f t="shared" ca="1" si="18"/>
        <v>228.67008381096161</v>
      </c>
      <c r="BY28" s="9">
        <f t="shared" ca="1" si="19"/>
        <v>-4.7781537661267173</v>
      </c>
      <c r="BZ28">
        <f t="shared" ca="1" si="20"/>
        <v>228.71999908955263</v>
      </c>
      <c r="CA28" s="6">
        <f t="shared" ca="1" si="21"/>
        <v>0.99978176250966377</v>
      </c>
      <c r="CB28" s="6">
        <f t="shared" ca="1" si="22"/>
        <v>-2.0890843761571926E-2</v>
      </c>
      <c r="CC28" s="6">
        <f t="shared" ca="1" si="23"/>
        <v>-2.0892363616019618E-2</v>
      </c>
      <c r="CD28" s="6">
        <f t="shared" ca="1" si="14"/>
        <v>-2.7737156468578781</v>
      </c>
      <c r="CE28" s="9">
        <f t="shared" ca="1" si="15"/>
        <v>306.0631024817834</v>
      </c>
      <c r="CF28" s="9">
        <f t="shared" ca="1" si="16"/>
        <v>-30.57582665640065</v>
      </c>
      <c r="CG28">
        <f t="shared" ca="1" si="24"/>
        <v>307.58657948047232</v>
      </c>
      <c r="CH28">
        <f t="shared" ca="1" si="25"/>
        <v>0.99504699782005401</v>
      </c>
      <c r="CI28">
        <f t="shared" ca="1" si="26"/>
        <v>-9.9405594054345958E-2</v>
      </c>
      <c r="CJ28">
        <f t="shared" ca="1" si="27"/>
        <v>-9.9570038606218228E-2</v>
      </c>
      <c r="CK28" s="38">
        <f t="shared" ca="1" si="28"/>
        <v>-2.455764528798563</v>
      </c>
      <c r="CU28">
        <v>1.7130721086037193</v>
      </c>
      <c r="CV28">
        <v>1.713072046185881</v>
      </c>
      <c r="CW28">
        <v>1.7130720773948003</v>
      </c>
      <c r="CX28">
        <v>-8.6121394460292322E-9</v>
      </c>
      <c r="CY28">
        <v>2.8010670893863221E-7</v>
      </c>
      <c r="CZ28">
        <v>1.3574880552980059E-7</v>
      </c>
    </row>
    <row r="29" spans="1:104" x14ac:dyDescent="0.25">
      <c r="A29" s="8" t="s">
        <v>18</v>
      </c>
      <c r="B29" s="6">
        <f>B28*B4</f>
        <v>2.8738844311054588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265.85297254611498</v>
      </c>
      <c r="BE29">
        <v>-16.118539929499068</v>
      </c>
      <c r="BF29" s="6">
        <f t="shared" si="0"/>
        <v>6.2226299070935926</v>
      </c>
      <c r="BG29" s="6">
        <f t="shared" si="1"/>
        <v>5.7513910090551237</v>
      </c>
      <c r="BH29" s="6">
        <f t="shared" si="2"/>
        <v>2.4167498902783384</v>
      </c>
      <c r="BI29" s="6">
        <f t="shared" si="3"/>
        <v>2.4167498902783384</v>
      </c>
      <c r="BV29" s="38"/>
      <c r="BW29" s="6">
        <f t="shared" si="8"/>
        <v>0.24434609527920612</v>
      </c>
      <c r="BX29" s="9">
        <f t="shared" ca="1" si="18"/>
        <v>225.40885727416497</v>
      </c>
      <c r="BY29" s="9">
        <f t="shared" ca="1" si="19"/>
        <v>-3.6380464706198801</v>
      </c>
      <c r="BZ29">
        <f t="shared" ca="1" si="20"/>
        <v>225.43821397395621</v>
      </c>
      <c r="CA29" s="6">
        <f t="shared" ca="1" si="21"/>
        <v>0.99986977939864874</v>
      </c>
      <c r="CB29" s="6">
        <f t="shared" ca="1" si="22"/>
        <v>-1.6137665422775956E-2</v>
      </c>
      <c r="CC29" s="6">
        <f t="shared" ca="1" si="23"/>
        <v>-1.6138365944763634E-2</v>
      </c>
      <c r="CD29" s="6">
        <f t="shared" ca="1" si="14"/>
        <v>-2.7689616491866222</v>
      </c>
      <c r="CE29" s="9">
        <f t="shared" ca="1" si="15"/>
        <v>302.80187594498676</v>
      </c>
      <c r="CF29" s="9">
        <f t="shared" ca="1" si="16"/>
        <v>-29.435719360893813</v>
      </c>
      <c r="CG29">
        <f t="shared" ca="1" si="24"/>
        <v>304.22925179886374</v>
      </c>
      <c r="CH29">
        <f t="shared" ca="1" si="25"/>
        <v>0.99530822284367093</v>
      </c>
      <c r="CI29">
        <f t="shared" ca="1" si="26"/>
        <v>-9.675505950478018E-2</v>
      </c>
      <c r="CJ29">
        <f t="shared" ca="1" si="27"/>
        <v>-9.6906661782590053E-2</v>
      </c>
      <c r="CK29" s="38">
        <f t="shared" ca="1" si="28"/>
        <v>-2.4531011519749351</v>
      </c>
      <c r="CU29">
        <v>1.7130721086037193</v>
      </c>
      <c r="CV29">
        <v>1.7130720773948003</v>
      </c>
      <c r="CW29">
        <v>1.7130720929992598</v>
      </c>
      <c r="CX29">
        <v>-8.6121394460292322E-9</v>
      </c>
      <c r="CY29">
        <v>1.3574880552980059E-7</v>
      </c>
      <c r="CZ29">
        <v>6.3568323049878486E-8</v>
      </c>
    </row>
    <row r="30" spans="1:104" x14ac:dyDescent="0.25">
      <c r="A30" s="8" t="s">
        <v>102</v>
      </c>
      <c r="B30" s="1">
        <v>3.0000000000000001E-3</v>
      </c>
      <c r="BC30">
        <v>0.48869219055841256</v>
      </c>
      <c r="BD30">
        <v>263.30179523258164</v>
      </c>
      <c r="BE30">
        <v>-15.174281519611803</v>
      </c>
      <c r="BF30" s="6">
        <f t="shared" si="0"/>
        <v>6.2256182274063931</v>
      </c>
      <c r="BG30" s="6">
        <f t="shared" si="1"/>
        <v>5.7369260368479802</v>
      </c>
      <c r="BH30" s="6">
        <f t="shared" si="2"/>
        <v>2.4137615699655379</v>
      </c>
      <c r="BI30" s="6">
        <f t="shared" si="3"/>
        <v>2.4137615699655379</v>
      </c>
      <c r="BV30" s="38"/>
      <c r="BW30" s="6">
        <f t="shared" si="8"/>
        <v>0.26179938779914941</v>
      </c>
      <c r="BX30" s="9">
        <f t="shared" ca="1" si="18"/>
        <v>222.22554596467836</v>
      </c>
      <c r="BY30" s="9">
        <f t="shared" ca="1" si="19"/>
        <v>-2.519379739854898</v>
      </c>
      <c r="BZ30">
        <f t="shared" ca="1" si="20"/>
        <v>222.23982665933883</v>
      </c>
      <c r="CA30" s="6">
        <f t="shared" ca="1" si="21"/>
        <v>0.99993574196454738</v>
      </c>
      <c r="CB30" s="6">
        <f t="shared" ca="1" si="22"/>
        <v>-1.1336310767181883E-2</v>
      </c>
      <c r="CC30" s="6">
        <f t="shared" ca="1" si="23"/>
        <v>-1.1336553589776276E-2</v>
      </c>
      <c r="CD30" s="6">
        <f t="shared" ca="1" si="14"/>
        <v>-2.7641598368316349</v>
      </c>
      <c r="CE30" s="9">
        <f t="shared" ca="1" si="15"/>
        <v>299.61856463550015</v>
      </c>
      <c r="CF30" s="9">
        <f t="shared" ca="1" si="16"/>
        <v>-28.317052630128831</v>
      </c>
      <c r="CG30">
        <f t="shared" ca="1" si="24"/>
        <v>300.95371694646815</v>
      </c>
      <c r="CH30">
        <f t="shared" ca="1" si="25"/>
        <v>0.99556359587608789</v>
      </c>
      <c r="CI30">
        <f t="shared" ca="1" si="26"/>
        <v>-9.409105465597456E-2</v>
      </c>
      <c r="CJ30">
        <f t="shared" ca="1" si="27"/>
        <v>-9.4230444023357091E-2</v>
      </c>
      <c r="CK30" s="38">
        <f t="shared" ca="1" si="28"/>
        <v>-2.4504249342157021</v>
      </c>
      <c r="CU30">
        <v>1.7130721086037193</v>
      </c>
      <c r="CV30">
        <v>1.7130720929992598</v>
      </c>
      <c r="CW30">
        <v>1.7130721008014895</v>
      </c>
      <c r="CX30">
        <v>-8.6121394460292322E-9</v>
      </c>
      <c r="CY30">
        <v>6.3568323049878486E-8</v>
      </c>
      <c r="CZ30">
        <v>2.7478089137389361E-8</v>
      </c>
    </row>
    <row r="31" spans="1:104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260.77709898512222</v>
      </c>
      <c r="BE31">
        <v>-14.237094530757485</v>
      </c>
      <c r="BF31" s="6">
        <f t="shared" si="0"/>
        <v>6.2286445718304098</v>
      </c>
      <c r="BG31" s="6">
        <f t="shared" si="1"/>
        <v>5.7224990887520537</v>
      </c>
      <c r="BH31" s="6">
        <f t="shared" si="2"/>
        <v>2.4107352255415213</v>
      </c>
      <c r="BI31" s="6">
        <f t="shared" si="3"/>
        <v>2.4107352255415213</v>
      </c>
      <c r="BV31" s="38"/>
      <c r="BW31" s="6">
        <f t="shared" si="8"/>
        <v>0.27925268031909273</v>
      </c>
      <c r="BX31" s="9">
        <f t="shared" ca="1" si="18"/>
        <v>219.11444970587627</v>
      </c>
      <c r="BY31" s="9">
        <f t="shared" ca="1" si="19"/>
        <v>-1.4205920794135132</v>
      </c>
      <c r="BZ31">
        <f t="shared" ca="1" si="20"/>
        <v>219.11905474368282</v>
      </c>
      <c r="CA31" s="6">
        <f t="shared" ca="1" si="21"/>
        <v>0.99997898385509221</v>
      </c>
      <c r="CB31" s="6">
        <f t="shared" ca="1" si="22"/>
        <v>-6.4831973699195989E-3</v>
      </c>
      <c r="CC31" s="6">
        <f t="shared" ca="1" si="23"/>
        <v>-6.4832427875731978E-3</v>
      </c>
      <c r="CD31" s="6">
        <f t="shared" ca="1" si="14"/>
        <v>-2.759306526029432</v>
      </c>
      <c r="CE31" s="9">
        <f t="shared" ca="1" si="15"/>
        <v>296.50746837669806</v>
      </c>
      <c r="CF31" s="9">
        <f t="shared" ca="1" si="16"/>
        <v>-27.218264969687446</v>
      </c>
      <c r="CG31">
        <f t="shared" ca="1" si="24"/>
        <v>297.75411458302085</v>
      </c>
      <c r="CH31">
        <f t="shared" ca="1" si="25"/>
        <v>0.99581316883540427</v>
      </c>
      <c r="CI31">
        <f t="shared" ca="1" si="26"/>
        <v>-9.1411885299399795E-2</v>
      </c>
      <c r="CJ31">
        <f t="shared" ca="1" si="27"/>
        <v>-9.1539674714840952E-2</v>
      </c>
      <c r="CK31" s="38">
        <f t="shared" ca="1" si="28"/>
        <v>-2.4477341649071858</v>
      </c>
      <c r="CU31">
        <v>1.7130721086037193</v>
      </c>
      <c r="CV31">
        <v>1.7130721008014895</v>
      </c>
      <c r="CW31">
        <v>1.7130721047026043</v>
      </c>
      <c r="CX31">
        <v>-8.6121394460292322E-9</v>
      </c>
      <c r="CY31">
        <v>2.7478089137389361E-8</v>
      </c>
      <c r="CZ31">
        <v>9.4329748456800644E-9</v>
      </c>
    </row>
    <row r="32" spans="1:104" x14ac:dyDescent="0.25">
      <c r="J32" t="s">
        <v>88</v>
      </c>
      <c r="N32" t="s">
        <v>89</v>
      </c>
      <c r="BC32">
        <v>0.52359877559829915</v>
      </c>
      <c r="BD32">
        <v>258.27623143781699</v>
      </c>
      <c r="BE32">
        <v>-13.306184747474662</v>
      </c>
      <c r="BF32" s="6">
        <f t="shared" si="0"/>
        <v>6.2317116162514408</v>
      </c>
      <c r="BG32" s="6">
        <f t="shared" si="1"/>
        <v>5.7081128406531416</v>
      </c>
      <c r="BH32" s="6">
        <f t="shared" si="2"/>
        <v>2.4076681811204903</v>
      </c>
      <c r="BI32" s="6">
        <f t="shared" si="3"/>
        <v>2.4076681811204903</v>
      </c>
      <c r="BV32" s="38"/>
      <c r="BW32" s="6">
        <f t="shared" si="8"/>
        <v>0.29670597283903605</v>
      </c>
      <c r="BX32" s="9">
        <f t="shared" ca="1" si="18"/>
        <v>216.07053834330105</v>
      </c>
      <c r="BY32" s="9">
        <f t="shared" ca="1" si="19"/>
        <v>-0.3403333982525929</v>
      </c>
      <c r="BZ32">
        <f t="shared" ca="1" si="20"/>
        <v>216.07080637324862</v>
      </c>
      <c r="CA32" s="6">
        <f t="shared" ca="1" si="21"/>
        <v>0.99999875952724915</v>
      </c>
      <c r="CB32" s="6">
        <f t="shared" ca="1" si="22"/>
        <v>-1.5751012548390667E-3</v>
      </c>
      <c r="CC32" s="6">
        <f t="shared" ca="1" si="23"/>
        <v>-1.575101906129452E-3</v>
      </c>
      <c r="CD32" s="6">
        <f t="shared" ca="1" si="14"/>
        <v>-2.7543983851479883</v>
      </c>
      <c r="CE32" s="9">
        <f t="shared" ca="1" si="15"/>
        <v>293.46355701412284</v>
      </c>
      <c r="CF32" s="9">
        <f t="shared" ca="1" si="16"/>
        <v>-26.138006288526526</v>
      </c>
      <c r="CG32">
        <f t="shared" ca="1" si="24"/>
        <v>294.62527839294506</v>
      </c>
      <c r="CH32">
        <f t="shared" ca="1" si="25"/>
        <v>0.99605695280065953</v>
      </c>
      <c r="CI32">
        <f t="shared" ca="1" si="26"/>
        <v>-8.8716102131827165E-2</v>
      </c>
      <c r="CJ32">
        <f t="shared" ca="1" si="27"/>
        <v>-8.883289027908732E-2</v>
      </c>
      <c r="CK32" s="38">
        <f t="shared" ca="1" si="28"/>
        <v>-2.4450273804714322</v>
      </c>
      <c r="CU32">
        <v>1.7130721086037193</v>
      </c>
      <c r="CV32">
        <v>1.7130721047026043</v>
      </c>
      <c r="CW32">
        <v>1.7130721066531618</v>
      </c>
      <c r="CX32">
        <v>-8.6121394460292322E-9</v>
      </c>
      <c r="CY32">
        <v>9.4329748456800644E-9</v>
      </c>
      <c r="CZ32">
        <v>4.1197623090738489E-10</v>
      </c>
    </row>
    <row r="33" spans="1:89" x14ac:dyDescent="0.25">
      <c r="A33" t="s">
        <v>19</v>
      </c>
      <c r="J33">
        <f>(J38*COS(-1*$B$27))+(K38*SIN(-1*$B$27))+$I$2</f>
        <v>3.9391283201088765</v>
      </c>
      <c r="K33">
        <f>(-1*J38*SIN(-1*$B$27))+(K38*COS(-1*$B$27))+$I$3</f>
        <v>-2.1648756982446056</v>
      </c>
      <c r="N33" t="e">
        <f>IF(B1="PCA_Parabolic",NA(),(N38*COS(-1*$B$27))+(O38*SIN(-1*$B$27))+$I$2)</f>
        <v>#N/A</v>
      </c>
      <c r="O33">
        <f>(-1*N38*SIN(-1*$B$27))+(O38*COS(-1*$B$27))+$I$3</f>
        <v>-2.2667522178688895</v>
      </c>
      <c r="BC33">
        <v>0.54105206811824247</v>
      </c>
      <c r="BD33">
        <v>255.79659399962929</v>
      </c>
      <c r="BE33">
        <v>-12.380771985978528</v>
      </c>
      <c r="BF33" s="6">
        <f t="shared" si="0"/>
        <v>6.2348222017402453</v>
      </c>
      <c r="BG33" s="6">
        <f t="shared" si="1"/>
        <v>5.693770133622003</v>
      </c>
      <c r="BH33" s="6">
        <f t="shared" si="2"/>
        <v>2.4045575956316858</v>
      </c>
      <c r="BI33" s="6">
        <f t="shared" si="3"/>
        <v>2.4045575956316858</v>
      </c>
      <c r="BV33" s="38"/>
      <c r="BW33" s="6">
        <f t="shared" si="8"/>
        <v>0.31415926535897937</v>
      </c>
      <c r="BX33" s="9">
        <f t="shared" ca="1" si="18"/>
        <v>213.08926576947442</v>
      </c>
      <c r="BY33" s="9">
        <f t="shared" ca="1" si="19"/>
        <v>0.72261045513833722</v>
      </c>
      <c r="BZ33">
        <f t="shared" ca="1" si="20"/>
        <v>213.0904909939521</v>
      </c>
      <c r="CA33" s="6">
        <f t="shared" ca="1" si="21"/>
        <v>0.99999425021514587</v>
      </c>
      <c r="CB33" s="6">
        <f t="shared" ca="1" si="22"/>
        <v>3.3910966733792275E-3</v>
      </c>
      <c r="CC33" s="6">
        <f t="shared" ca="1" si="23"/>
        <v>3.3911031727529395E-3</v>
      </c>
      <c r="CD33" s="6">
        <f t="shared" ca="1" si="14"/>
        <v>-2.7494321800691055</v>
      </c>
      <c r="CE33" s="9">
        <f t="shared" ca="1" si="15"/>
        <v>290.48228444029621</v>
      </c>
      <c r="CF33" s="9">
        <f t="shared" ca="1" si="16"/>
        <v>-25.075062435135596</v>
      </c>
      <c r="CG33">
        <f t="shared" ca="1" si="24"/>
        <v>291.56254274131152</v>
      </c>
      <c r="CH33">
        <f t="shared" ca="1" si="25"/>
        <v>0.99629493455895068</v>
      </c>
      <c r="CI33">
        <f t="shared" ca="1" si="26"/>
        <v>-8.6002345155095639E-2</v>
      </c>
      <c r="CJ33">
        <f t="shared" ca="1" si="27"/>
        <v>-8.6108717590829123E-2</v>
      </c>
      <c r="CK33" s="38">
        <f t="shared" ca="1" si="28"/>
        <v>-2.4423032077831741</v>
      </c>
    </row>
    <row r="34" spans="1:89" x14ac:dyDescent="0.25">
      <c r="J34">
        <f>(J39*COS(-1*$B$27))+(K39*SIN(-1*$B$27))+$I$2</f>
        <v>4.5536753558410581E-2</v>
      </c>
      <c r="K34">
        <f>(-1*J39*SIN(-1*$B$27))+(K39*COS(-1*$B$27))+$I$3</f>
        <v>25.016730122210959</v>
      </c>
      <c r="N34" t="e">
        <f>IF(B1="PCA_Parabolic",NA(),(N39*COS(-1*$B$27))+(O39*SIN(-1*$B$27))+$I$2)</f>
        <v>#N/A</v>
      </c>
      <c r="O34">
        <f>(-1*N39*SIN(-1*$B$27))+(O39*COS(-1*$B$27))+$I$3</f>
        <v>24.914853602586675</v>
      </c>
      <c r="BC34">
        <v>0.55850536063818579</v>
      </c>
      <c r="BD34">
        <v>252.86529568795436</v>
      </c>
      <c r="BE34">
        <v>-11.234631503074368</v>
      </c>
      <c r="BF34" s="6">
        <f t="shared" ref="BF34:BF65" si="30">IF(BC34&lt;&gt;"",IF(AND(BD34=0,BE34=0),0,MOD(ATAN2(BD34,BE34),2*PI())),NA())</f>
        <v>6.2387851930275628</v>
      </c>
      <c r="BG34" s="6">
        <f t="shared" ref="BG34:BG65" si="31">ABS(BC34-BF34)</f>
        <v>5.6802798323893775</v>
      </c>
      <c r="BH34" s="6">
        <f t="shared" si="2"/>
        <v>2.4005946043443682</v>
      </c>
      <c r="BI34" s="6">
        <f t="shared" si="3"/>
        <v>2.4005946043443682</v>
      </c>
      <c r="BV34" s="38"/>
      <c r="BW34" s="6">
        <f t="shared" si="8"/>
        <v>0.33161255787892269</v>
      </c>
      <c r="BX34" s="9">
        <f t="shared" ca="1" si="18"/>
        <v>210.16644907858444</v>
      </c>
      <c r="BY34" s="9">
        <f t="shared" ca="1" si="19"/>
        <v>1.7693621105272896</v>
      </c>
      <c r="BZ34">
        <f t="shared" ca="1" si="20"/>
        <v>210.17389695340236</v>
      </c>
      <c r="CA34" s="6">
        <f t="shared" ca="1" si="21"/>
        <v>0.99996456327390848</v>
      </c>
      <c r="CB34" s="6">
        <f t="shared" ca="1" si="22"/>
        <v>8.4185626101778693E-3</v>
      </c>
      <c r="CC34" s="6">
        <f t="shared" ca="1" si="23"/>
        <v>8.4186620536865521E-3</v>
      </c>
      <c r="CD34" s="6">
        <f t="shared" ca="1" si="14"/>
        <v>-2.7444046211881723</v>
      </c>
      <c r="CE34" s="9">
        <f t="shared" ca="1" si="15"/>
        <v>287.55946774940622</v>
      </c>
      <c r="CF34" s="9">
        <f t="shared" ca="1" si="16"/>
        <v>-24.028310779746644</v>
      </c>
      <c r="CG34">
        <f t="shared" ca="1" si="24"/>
        <v>288.56161770278783</v>
      </c>
      <c r="CH34">
        <f t="shared" ca="1" si="25"/>
        <v>0.99652708505947662</v>
      </c>
      <c r="CI34">
        <f t="shared" ca="1" si="26"/>
        <v>-8.3269254487252281E-2</v>
      </c>
      <c r="CJ34">
        <f t="shared" ca="1" si="27"/>
        <v>-8.3365784275800048E-2</v>
      </c>
      <c r="CK34" s="38">
        <f t="shared" ca="1" si="28"/>
        <v>-2.4395602744681448</v>
      </c>
    </row>
    <row r="35" spans="1:89" x14ac:dyDescent="0.25">
      <c r="A35" s="8" t="s">
        <v>20</v>
      </c>
      <c r="AD35" t="s">
        <v>135</v>
      </c>
      <c r="BC35">
        <v>0.57595865315812911</v>
      </c>
      <c r="BD35">
        <v>249.84395006185872</v>
      </c>
      <c r="BE35">
        <v>-10.04589404611505</v>
      </c>
      <c r="BF35" s="6">
        <f t="shared" si="30"/>
        <v>6.2429982807121798</v>
      </c>
      <c r="BG35" s="6">
        <f t="shared" si="31"/>
        <v>5.6670396275540504</v>
      </c>
      <c r="BH35" s="6">
        <f t="shared" si="2"/>
        <v>2.3963815166597513</v>
      </c>
      <c r="BI35" s="6">
        <f t="shared" si="3"/>
        <v>2.3963815166597513</v>
      </c>
      <c r="BV35" s="38"/>
      <c r="BW35" s="6">
        <f t="shared" si="8"/>
        <v>0.34906585039886601</v>
      </c>
      <c r="BX35" s="9">
        <f t="shared" ca="1" si="18"/>
        <v>207.29818795885859</v>
      </c>
      <c r="BY35" s="9">
        <f t="shared" ca="1" si="19"/>
        <v>2.8009793101548333</v>
      </c>
      <c r="BZ35">
        <f t="shared" ca="1" si="20"/>
        <v>207.31711028306898</v>
      </c>
      <c r="CA35" s="6">
        <f t="shared" ca="1" si="21"/>
        <v>0.99990872762897109</v>
      </c>
      <c r="CB35" s="6">
        <f t="shared" ca="1" si="22"/>
        <v>1.3510603665709987E-2</v>
      </c>
      <c r="CC35" s="6">
        <f t="shared" ca="1" si="23"/>
        <v>1.3511014728994382E-2</v>
      </c>
      <c r="CD35" s="6">
        <f t="shared" ca="1" si="14"/>
        <v>-2.7393122685128644</v>
      </c>
      <c r="CE35" s="9">
        <f t="shared" ca="1" si="15"/>
        <v>284.69120662968038</v>
      </c>
      <c r="CF35" s="9">
        <f t="shared" ca="1" si="16"/>
        <v>-22.9966935801191</v>
      </c>
      <c r="CG35">
        <f t="shared" ca="1" si="24"/>
        <v>285.61850613691206</v>
      </c>
      <c r="CH35">
        <f t="shared" ca="1" si="25"/>
        <v>0.9967533633594905</v>
      </c>
      <c r="CI35">
        <f t="shared" ca="1" si="26"/>
        <v>-8.0515418595094701E-2</v>
      </c>
      <c r="CJ35">
        <f t="shared" ca="1" si="27"/>
        <v>-8.0602666680124918E-2</v>
      </c>
      <c r="CK35" s="38">
        <f t="shared" ca="1" si="28"/>
        <v>-2.4367971568724696</v>
      </c>
    </row>
    <row r="36" spans="1:8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38.900907307434814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246.83311503225522</v>
      </c>
      <c r="BE36">
        <v>-8.8633858962388974</v>
      </c>
      <c r="BF36" s="6">
        <f t="shared" si="30"/>
        <v>6.2472923139958283</v>
      </c>
      <c r="BG36" s="6">
        <f t="shared" si="31"/>
        <v>5.6538803683177559</v>
      </c>
      <c r="BH36" s="6">
        <f t="shared" si="2"/>
        <v>2.3920874833761028</v>
      </c>
      <c r="BI36" s="6">
        <f t="shared" si="3"/>
        <v>2.3920874833761028</v>
      </c>
      <c r="BV36" s="38"/>
      <c r="BW36" s="6">
        <f t="shared" si="8"/>
        <v>0.36651914291880933</v>
      </c>
      <c r="BX36" s="9">
        <f t="shared" ca="1" si="18"/>
        <v>204.48080937224671</v>
      </c>
      <c r="BY36" s="9">
        <f t="shared" ca="1" si="19"/>
        <v>3.8184711874931985</v>
      </c>
      <c r="BZ36">
        <f t="shared" ca="1" si="20"/>
        <v>204.51645929787364</v>
      </c>
      <c r="CA36" s="6">
        <f t="shared" ca="1" si="21"/>
        <v>0.99982568676501971</v>
      </c>
      <c r="CB36" s="6">
        <f t="shared" ca="1" si="22"/>
        <v>1.8670728021609649E-2</v>
      </c>
      <c r="CC36" s="6">
        <f t="shared" ca="1" si="23"/>
        <v>1.8671812948923863E-2</v>
      </c>
      <c r="CD36" s="6">
        <f t="shared" ca="1" si="14"/>
        <v>-2.7341514702929346</v>
      </c>
      <c r="CE36" s="9">
        <f t="shared" ca="1" si="15"/>
        <v>281.8738280430685</v>
      </c>
      <c r="CF36" s="9">
        <f t="shared" ca="1" si="16"/>
        <v>-21.979201702780735</v>
      </c>
      <c r="CG36">
        <f t="shared" ca="1" si="24"/>
        <v>282.72944707466337</v>
      </c>
      <c r="CH36">
        <f t="shared" ca="1" si="25"/>
        <v>0.99697371801753309</v>
      </c>
      <c r="CI36">
        <f t="shared" ca="1" si="26"/>
        <v>-7.7739343850435405E-2</v>
      </c>
      <c r="CJ36">
        <f t="shared" ca="1" si="27"/>
        <v>-7.7817859294483968E-2</v>
      </c>
      <c r="CK36" s="38">
        <f t="shared" ca="1" si="28"/>
        <v>-2.4340123494868289</v>
      </c>
    </row>
    <row r="37" spans="1:89" x14ac:dyDescent="0.25">
      <c r="A37" s="3">
        <f t="shared" ref="A37:A45" si="32">E3-$I$2</f>
        <v>-6</v>
      </c>
      <c r="B37" s="6">
        <f t="shared" ref="B37:B45" si="33">F3-$I$3</f>
        <v>-12</v>
      </c>
      <c r="C37" s="6">
        <f t="shared" ref="C37:C45" si="34">A37*COS($B$27)+B37*SIN($B$27)</f>
        <v>-11.027972763528604</v>
      </c>
      <c r="D37" s="6">
        <f t="shared" ref="D37:D45" si="35">-1*A37*SIN($B$27)+B37*COS($B$27)</f>
        <v>7.6409303574153373</v>
      </c>
      <c r="F37" s="8" t="s">
        <v>23</v>
      </c>
      <c r="G37" s="1">
        <f>MAX(D37:D41)-MIN(D37:D41)</f>
        <v>15.281860714830675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243.83145121395285</v>
      </c>
      <c r="BE37">
        <v>-7.6866652196067351</v>
      </c>
      <c r="BF37" s="6">
        <f t="shared" si="30"/>
        <v>6.2516712413061519</v>
      </c>
      <c r="BG37" s="6">
        <f t="shared" si="31"/>
        <v>5.6408060031081364</v>
      </c>
      <c r="BH37" s="6">
        <f t="shared" si="2"/>
        <v>2.3877085560657791</v>
      </c>
      <c r="BI37" s="6">
        <f t="shared" si="3"/>
        <v>2.3877085560657791</v>
      </c>
      <c r="BV37" s="38"/>
      <c r="BW37" s="6">
        <f t="shared" si="8"/>
        <v>0.38397243543875265</v>
      </c>
      <c r="BX37" s="9">
        <f t="shared" ca="1" si="18"/>
        <v>201.71082836654222</v>
      </c>
      <c r="BY37" s="9">
        <f t="shared" ca="1" si="19"/>
        <v>4.8228084443876789</v>
      </c>
      <c r="BZ37">
        <f t="shared" ca="1" si="20"/>
        <v>201.76847563880713</v>
      </c>
      <c r="CA37" s="6">
        <f t="shared" ca="1" si="21"/>
        <v>0.99971428999459699</v>
      </c>
      <c r="CB37" s="6">
        <f t="shared" ca="1" si="22"/>
        <v>2.3902685635694441E-2</v>
      </c>
      <c r="CC37" s="6">
        <f t="shared" ca="1" si="23"/>
        <v>2.3904962308031165E-2</v>
      </c>
      <c r="CD37" s="6">
        <f t="shared" ca="1" si="14"/>
        <v>-2.7289183209338277</v>
      </c>
      <c r="CE37" s="9">
        <f t="shared" ca="1" si="15"/>
        <v>279.10384703736401</v>
      </c>
      <c r="CF37" s="9">
        <f t="shared" ca="1" si="16"/>
        <v>-20.974864445886254</v>
      </c>
      <c r="CG37">
        <f t="shared" ca="1" si="24"/>
        <v>279.8908758240961</v>
      </c>
      <c r="CH37">
        <f t="shared" ca="1" si="25"/>
        <v>0.997188087019933</v>
      </c>
      <c r="CI37">
        <f t="shared" ca="1" si="26"/>
        <v>-7.493943625039208E-2</v>
      </c>
      <c r="CJ37">
        <f t="shared" ca="1" si="27"/>
        <v>-7.5009756408254247E-2</v>
      </c>
      <c r="CK37" s="38">
        <f t="shared" ca="1" si="28"/>
        <v>-2.4312042466005992</v>
      </c>
    </row>
    <row r="38" spans="1:89" x14ac:dyDescent="0.25">
      <c r="A38" s="3">
        <f t="shared" si="32"/>
        <v>6</v>
      </c>
      <c r="B38" s="6">
        <f t="shared" si="33"/>
        <v>-12</v>
      </c>
      <c r="C38" s="6">
        <f t="shared" si="34"/>
        <v>-12.729527944049432</v>
      </c>
      <c r="D38" s="6">
        <f t="shared" si="35"/>
        <v>-4.2378199963736805</v>
      </c>
      <c r="F38" s="8" t="s">
        <v>24</v>
      </c>
      <c r="G38" s="6">
        <f>MAX(D37:D43)</f>
        <v>7.6409303574153373</v>
      </c>
      <c r="H38" t="s">
        <v>4</v>
      </c>
      <c r="J38" s="9">
        <f>MIN(C37:C43,A37:A43)-1</f>
        <v>-13.729527944049432</v>
      </c>
      <c r="K38" s="9">
        <f>G40</f>
        <v>4.0485748185335133</v>
      </c>
      <c r="N38" s="9">
        <f>J38</f>
        <v>-13.729527944049432</v>
      </c>
      <c r="O38" s="9">
        <f>G41</f>
        <v>4.7670459263098781</v>
      </c>
      <c r="AD38">
        <f>AE37</f>
        <v>6.2831853071795862</v>
      </c>
      <c r="AE38">
        <f>AE37</f>
        <v>6.2831853071795862</v>
      </c>
      <c r="BC38">
        <v>0.62831853071795907</v>
      </c>
      <c r="BD38">
        <v>240.83757837403365</v>
      </c>
      <c r="BE38">
        <v>-6.5152911103640392</v>
      </c>
      <c r="BF38" s="6">
        <f t="shared" si="30"/>
        <v>6.2561392686944508</v>
      </c>
      <c r="BG38" s="6">
        <f t="shared" si="31"/>
        <v>5.6278207379764922</v>
      </c>
      <c r="BH38" s="6">
        <f t="shared" si="2"/>
        <v>2.3832405286774803</v>
      </c>
      <c r="BI38" s="6">
        <f t="shared" si="3"/>
        <v>2.3832405286774803</v>
      </c>
      <c r="BV38" s="38"/>
      <c r="BW38" s="6">
        <f t="shared" si="8"/>
        <v>0.40142572795869597</v>
      </c>
      <c r="BX38" s="9">
        <f t="shared" ca="1" si="18"/>
        <v>198.98491932441277</v>
      </c>
      <c r="BY38" s="9">
        <f t="shared" ca="1" si="19"/>
        <v>5.8149299039291193</v>
      </c>
      <c r="BZ38">
        <f t="shared" ca="1" si="20"/>
        <v>199.06986594743734</v>
      </c>
      <c r="CA38" s="6">
        <f t="shared" ca="1" si="21"/>
        <v>0.99957328236184684</v>
      </c>
      <c r="CB38" s="6">
        <f t="shared" ca="1" si="22"/>
        <v>2.9210497913654602E-2</v>
      </c>
      <c r="CC38" s="6">
        <f t="shared" ca="1" si="23"/>
        <v>2.9214653501194579E-2</v>
      </c>
      <c r="CD38" s="6">
        <f t="shared" ca="1" si="14"/>
        <v>-2.7236086297406641</v>
      </c>
      <c r="CE38" s="9">
        <f t="shared" ca="1" si="15"/>
        <v>276.37793799523456</v>
      </c>
      <c r="CF38" s="9">
        <f t="shared" ca="1" si="16"/>
        <v>-19.982742986344814</v>
      </c>
      <c r="CG38">
        <f t="shared" ca="1" si="24"/>
        <v>277.09939485274236</v>
      </c>
      <c r="CH38">
        <f t="shared" ca="1" si="25"/>
        <v>0.99739639684925618</v>
      </c>
      <c r="CI38">
        <f t="shared" ca="1" si="26"/>
        <v>-7.2113989988914079E-2</v>
      </c>
      <c r="CJ38">
        <f t="shared" ca="1" si="27"/>
        <v>-7.2176640644598181E-2</v>
      </c>
      <c r="CK38" s="38">
        <f t="shared" ca="1" si="28"/>
        <v>-2.4283711308369429</v>
      </c>
    </row>
    <row r="39" spans="1:89" x14ac:dyDescent="0.25">
      <c r="A39" s="3">
        <f t="shared" si="32"/>
        <v>6</v>
      </c>
      <c r="B39" s="6">
        <f t="shared" si="33"/>
        <v>4</v>
      </c>
      <c r="C39" s="6">
        <f t="shared" si="34"/>
        <v>3.1088058610025913</v>
      </c>
      <c r="D39" s="6">
        <f t="shared" si="35"/>
        <v>-6.5065602370681184</v>
      </c>
      <c r="J39" s="9">
        <f>MAX(C37:C43,A37:A43)+1</f>
        <v>13.729527944049432</v>
      </c>
      <c r="K39" s="9">
        <f>K38</f>
        <v>4.0485748185335133</v>
      </c>
      <c r="N39" s="9">
        <f>J39</f>
        <v>13.729527944049432</v>
      </c>
      <c r="O39" s="9">
        <f>G41</f>
        <v>4.7670459263098781</v>
      </c>
      <c r="AD39">
        <f>AD38</f>
        <v>6.2831853071795862</v>
      </c>
      <c r="AE39">
        <v>0</v>
      </c>
      <c r="BC39">
        <v>0.64577182323790239</v>
      </c>
      <c r="BD39">
        <v>237.85007735733674</v>
      </c>
      <c r="BE39">
        <v>-5.34882619074435</v>
      </c>
      <c r="BF39" s="6">
        <f t="shared" si="30"/>
        <v>6.2607008713800099</v>
      </c>
      <c r="BG39" s="6">
        <f t="shared" si="31"/>
        <v>5.6149290481421072</v>
      </c>
      <c r="BH39" s="6">
        <f t="shared" si="2"/>
        <v>2.3786789259919212</v>
      </c>
      <c r="BI39" s="6">
        <f t="shared" si="3"/>
        <v>2.3786789259919212</v>
      </c>
      <c r="BV39" s="38"/>
      <c r="BW39" s="6">
        <f t="shared" si="8"/>
        <v>0.41887902047863929</v>
      </c>
      <c r="BX39" s="9">
        <f t="shared" ca="1" si="18"/>
        <v>196.299894031902</v>
      </c>
      <c r="BY39" s="9">
        <f t="shared" ca="1" si="19"/>
        <v>6.7957469094161027</v>
      </c>
      <c r="BZ39">
        <f t="shared" ca="1" si="20"/>
        <v>196.41749049662761</v>
      </c>
      <c r="CA39" s="6">
        <f t="shared" ca="1" si="21"/>
        <v>0.99940129331441785</v>
      </c>
      <c r="CB39" s="6">
        <f t="shared" ca="1" si="22"/>
        <v>3.4598481490795661E-2</v>
      </c>
      <c r="CC39" s="6">
        <f t="shared" ca="1" si="23"/>
        <v>3.4605387925521924E-2</v>
      </c>
      <c r="CD39" s="6">
        <f t="shared" ca="1" si="14"/>
        <v>-2.7182178953163367</v>
      </c>
      <c r="CE39" s="9">
        <f t="shared" ca="1" si="15"/>
        <v>273.69291270272379</v>
      </c>
      <c r="CF39" s="9">
        <f t="shared" ca="1" si="16"/>
        <v>-19.00192598085783</v>
      </c>
      <c r="CG39">
        <f t="shared" ca="1" si="24"/>
        <v>274.35175168874497</v>
      </c>
      <c r="CH39">
        <f t="shared" ca="1" si="25"/>
        <v>0.99759856103718758</v>
      </c>
      <c r="CI39">
        <f t="shared" ca="1" si="26"/>
        <v>-6.9261179722357749E-2</v>
      </c>
      <c r="CJ39">
        <f t="shared" ca="1" si="27"/>
        <v>-6.9316675198815972E-2</v>
      </c>
      <c r="CK39" s="38">
        <f t="shared" ca="1" si="28"/>
        <v>-2.425511165391161</v>
      </c>
    </row>
    <row r="40" spans="1:89" x14ac:dyDescent="0.25">
      <c r="A40" s="3">
        <f t="shared" si="32"/>
        <v>6</v>
      </c>
      <c r="B40" s="6">
        <f t="shared" si="33"/>
        <v>4</v>
      </c>
      <c r="C40" s="6">
        <f t="shared" si="34"/>
        <v>3.1088058610025913</v>
      </c>
      <c r="D40" s="6">
        <f t="shared" si="35"/>
        <v>-6.5065602370681184</v>
      </c>
      <c r="F40" s="8" t="s">
        <v>50</v>
      </c>
      <c r="G40" s="9">
        <f>G38-B28</f>
        <v>4.0485748185335133</v>
      </c>
      <c r="AD40">
        <f>AE39</f>
        <v>0</v>
      </c>
      <c r="AE40">
        <f>AE39</f>
        <v>0</v>
      </c>
      <c r="BC40">
        <v>0.66322511575784571</v>
      </c>
      <c r="BD40">
        <v>234.62029333565053</v>
      </c>
      <c r="BE40">
        <v>-4.150314985263698</v>
      </c>
      <c r="BF40" s="6">
        <f t="shared" si="30"/>
        <v>6.2654976549124015</v>
      </c>
      <c r="BG40" s="6">
        <f t="shared" si="31"/>
        <v>5.6022725391545558</v>
      </c>
      <c r="BH40" s="6">
        <f t="shared" si="2"/>
        <v>2.3738821424595296</v>
      </c>
      <c r="BI40" s="6">
        <f t="shared" si="3"/>
        <v>2.3738821424595296</v>
      </c>
      <c r="BV40" s="38"/>
      <c r="BW40" s="6">
        <f t="shared" si="8"/>
        <v>0.43633231299858261</v>
      </c>
      <c r="BX40" s="9">
        <f t="shared" ca="1" si="18"/>
        <v>193.65268426013569</v>
      </c>
      <c r="BY40" s="9">
        <f t="shared" ca="1" si="19"/>
        <v>7.7661464428105944</v>
      </c>
      <c r="BZ40">
        <f t="shared" ca="1" si="20"/>
        <v>193.80834644495314</v>
      </c>
      <c r="CA40" s="6">
        <f t="shared" ca="1" si="21"/>
        <v>0.99919682414265032</v>
      </c>
      <c r="CB40" s="6">
        <f t="shared" ca="1" si="22"/>
        <v>4.0071269299108293E-2</v>
      </c>
      <c r="CC40" s="6">
        <f t="shared" ca="1" si="23"/>
        <v>4.0082000838937704E-2</v>
      </c>
      <c r="CD40" s="6">
        <f t="shared" ca="1" si="14"/>
        <v>-2.7127412824029209</v>
      </c>
      <c r="CE40" s="9">
        <f t="shared" ca="1" si="15"/>
        <v>271.04570293095748</v>
      </c>
      <c r="CF40" s="9">
        <f t="shared" ca="1" si="16"/>
        <v>-18.031526447463339</v>
      </c>
      <c r="CG40">
        <f t="shared" ca="1" si="24"/>
        <v>271.6448214550802</v>
      </c>
      <c r="CH40">
        <f t="shared" ca="1" si="25"/>
        <v>0.99779447838941482</v>
      </c>
      <c r="CI40">
        <f t="shared" ca="1" si="26"/>
        <v>-6.6379054645240396E-2</v>
      </c>
      <c r="CJ40">
        <f t="shared" ca="1" si="27"/>
        <v>-6.642789788438852E-2</v>
      </c>
      <c r="CK40" s="38">
        <f t="shared" ca="1" si="28"/>
        <v>-2.4226223880767335</v>
      </c>
    </row>
    <row r="41" spans="1:89" x14ac:dyDescent="0.25">
      <c r="A41" s="3">
        <f t="shared" si="32"/>
        <v>6</v>
      </c>
      <c r="B41" s="6">
        <f t="shared" si="33"/>
        <v>12</v>
      </c>
      <c r="C41" s="6">
        <f t="shared" si="34"/>
        <v>11.027972763528604</v>
      </c>
      <c r="D41" s="6">
        <f t="shared" si="35"/>
        <v>-7.6409303574153373</v>
      </c>
      <c r="F41" s="8" t="s">
        <v>51</v>
      </c>
      <c r="G41" s="9">
        <f>G38-B29</f>
        <v>4.7670459263098781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231.3012263375862</v>
      </c>
      <c r="BE41">
        <v>-2.9418770138928445</v>
      </c>
      <c r="BF41" s="6">
        <f t="shared" si="30"/>
        <v>6.27046718007833</v>
      </c>
      <c r="BG41" s="6">
        <f t="shared" si="31"/>
        <v>5.5897887718005412</v>
      </c>
      <c r="BH41" s="6">
        <f t="shared" si="2"/>
        <v>2.368912617293601</v>
      </c>
      <c r="BI41" s="6">
        <f t="shared" si="3"/>
        <v>2.368912617293601</v>
      </c>
      <c r="BV41" s="38"/>
      <c r="BW41" s="6">
        <f t="shared" si="8"/>
        <v>0.45378560551852593</v>
      </c>
      <c r="BX41" s="9">
        <f t="shared" ca="1" si="18"/>
        <v>191.0403273581378</v>
      </c>
      <c r="BY41" s="9">
        <f t="shared" ca="1" si="19"/>
        <v>8.7269934890711944</v>
      </c>
      <c r="BZ41">
        <f t="shared" ca="1" si="20"/>
        <v>191.23955420483165</v>
      </c>
      <c r="CA41" s="6">
        <f t="shared" ca="1" si="21"/>
        <v>0.99895823409794993</v>
      </c>
      <c r="CB41" s="6">
        <f t="shared" ca="1" si="22"/>
        <v>4.5633830958024202E-2</v>
      </c>
      <c r="CC41" s="6">
        <f t="shared" ca="1" si="23"/>
        <v>4.5649684154039166E-2</v>
      </c>
      <c r="CD41" s="6">
        <f t="shared" ca="1" si="14"/>
        <v>-2.7071735990878194</v>
      </c>
      <c r="CE41" s="9">
        <f t="shared" ca="1" si="15"/>
        <v>268.43334602895959</v>
      </c>
      <c r="CF41" s="9">
        <f t="shared" ca="1" si="16"/>
        <v>-17.070679401202739</v>
      </c>
      <c r="CG41">
        <f t="shared" ca="1" si="24"/>
        <v>268.97559249032577</v>
      </c>
      <c r="CH41">
        <f t="shared" ca="1" si="25"/>
        <v>0.99798403098085686</v>
      </c>
      <c r="CI41">
        <f t="shared" ca="1" si="26"/>
        <v>-6.3465533222374887E-2</v>
      </c>
      <c r="CJ41">
        <f t="shared" ca="1" si="27"/>
        <v>-6.3508215826000969E-2</v>
      </c>
      <c r="CK41" s="38">
        <f t="shared" ca="1" si="28"/>
        <v>-2.419702706018346</v>
      </c>
    </row>
    <row r="42" spans="1:89" x14ac:dyDescent="0.25">
      <c r="A42" s="3">
        <f t="shared" si="32"/>
        <v>-6</v>
      </c>
      <c r="B42" s="6">
        <f t="shared" si="33"/>
        <v>12</v>
      </c>
      <c r="C42" s="6">
        <f t="shared" si="34"/>
        <v>12.729527944049432</v>
      </c>
      <c r="D42" s="6">
        <f t="shared" si="35"/>
        <v>4.2378199963736805</v>
      </c>
      <c r="J42" s="9"/>
      <c r="K42" s="9"/>
      <c r="N42" s="9"/>
      <c r="O42" s="9"/>
      <c r="BC42">
        <v>0.69813170079773235</v>
      </c>
      <c r="BD42">
        <v>227.66214503399914</v>
      </c>
      <c r="BE42">
        <v>-1.6191998996947214</v>
      </c>
      <c r="BF42" s="6">
        <f t="shared" si="30"/>
        <v>6.2760731340160261</v>
      </c>
      <c r="BG42" s="6">
        <f t="shared" si="31"/>
        <v>5.5779414332182942</v>
      </c>
      <c r="BH42" s="6">
        <f t="shared" si="2"/>
        <v>2.363306663355905</v>
      </c>
      <c r="BI42" s="6">
        <f t="shared" si="3"/>
        <v>2.363306663355905</v>
      </c>
      <c r="BV42" s="38"/>
      <c r="BW42" s="6">
        <f t="shared" si="8"/>
        <v>0.47123889803846924</v>
      </c>
      <c r="BX42" s="9">
        <f t="shared" ca="1" si="18"/>
        <v>188.45995387529319</v>
      </c>
      <c r="BY42" s="9">
        <f t="shared" ca="1" si="19"/>
        <v>9.6791329607748651</v>
      </c>
      <c r="BZ42">
        <f t="shared" ca="1" si="20"/>
        <v>188.70834594566824</v>
      </c>
      <c r="CA42" s="6">
        <f t="shared" ca="1" si="21"/>
        <v>0.998683725040722</v>
      </c>
      <c r="CB42" s="6">
        <f t="shared" ca="1" si="22"/>
        <v>5.1291493824876307E-2</v>
      </c>
      <c r="CC42" s="6">
        <f t="shared" ca="1" si="23"/>
        <v>5.1314010250093536E-2</v>
      </c>
      <c r="CD42" s="6">
        <f t="shared" ca="1" si="14"/>
        <v>-2.7015092729917649</v>
      </c>
      <c r="CE42" s="9">
        <f t="shared" ca="1" si="15"/>
        <v>265.85297254611498</v>
      </c>
      <c r="CF42" s="9">
        <f t="shared" ca="1" si="16"/>
        <v>-16.118539929499068</v>
      </c>
      <c r="CG42">
        <f t="shared" ca="1" si="24"/>
        <v>266.34115405071037</v>
      </c>
      <c r="CH42">
        <f t="shared" ca="1" si="25"/>
        <v>0.99816708196547632</v>
      </c>
      <c r="CI42">
        <f t="shared" ca="1" si="26"/>
        <v>-6.0518397868134781E-2</v>
      </c>
      <c r="CJ42">
        <f t="shared" ca="1" si="27"/>
        <v>-6.0555400085993492E-2</v>
      </c>
      <c r="CK42" s="38">
        <f t="shared" ca="1" si="28"/>
        <v>-2.4167498902783384</v>
      </c>
    </row>
    <row r="43" spans="1:89" x14ac:dyDescent="0.25">
      <c r="A43" s="3">
        <f t="shared" si="32"/>
        <v>-6</v>
      </c>
      <c r="B43" s="6">
        <f t="shared" si="33"/>
        <v>4</v>
      </c>
      <c r="C43" s="6">
        <f t="shared" si="34"/>
        <v>4.8103610415234206</v>
      </c>
      <c r="D43" s="6">
        <f t="shared" si="35"/>
        <v>5.3721901167208994</v>
      </c>
      <c r="AD43" t="s">
        <v>134</v>
      </c>
      <c r="BC43">
        <v>0.71558499331767567</v>
      </c>
      <c r="BD43">
        <v>223.88321065052079</v>
      </c>
      <c r="BE43">
        <v>-0.2517997951128722</v>
      </c>
      <c r="BF43" s="6">
        <f t="shared" si="30"/>
        <v>6.2820606150322327</v>
      </c>
      <c r="BG43" s="6">
        <f t="shared" si="31"/>
        <v>5.5664756217145568</v>
      </c>
      <c r="BH43" s="6">
        <f t="shared" si="2"/>
        <v>2.3573191823396984</v>
      </c>
      <c r="BI43" s="6">
        <f t="shared" si="3"/>
        <v>2.3573191823396984</v>
      </c>
      <c r="BV43" s="38"/>
      <c r="BW43" s="6">
        <f t="shared" si="8"/>
        <v>0.48869219055841256</v>
      </c>
      <c r="BX43" s="9">
        <f t="shared" ca="1" si="18"/>
        <v>185.90877656175985</v>
      </c>
      <c r="BY43" s="9">
        <f t="shared" ca="1" si="19"/>
        <v>10.62339137066213</v>
      </c>
      <c r="BZ43">
        <f t="shared" ca="1" si="20"/>
        <v>186.21205558960088</v>
      </c>
      <c r="CA43" s="6">
        <f t="shared" ca="1" si="21"/>
        <v>0.99837132441892251</v>
      </c>
      <c r="CB43" s="6">
        <f t="shared" ca="1" si="22"/>
        <v>5.7049965626690603E-2</v>
      </c>
      <c r="CC43" s="6">
        <f t="shared" ca="1" si="23"/>
        <v>5.7080957780068407E-2</v>
      </c>
      <c r="CD43" s="6">
        <f t="shared" ca="1" si="14"/>
        <v>-2.69574232546179</v>
      </c>
      <c r="CE43" s="9">
        <f t="shared" ca="1" si="15"/>
        <v>263.30179523258164</v>
      </c>
      <c r="CF43" s="9">
        <f t="shared" ca="1" si="16"/>
        <v>-15.174281519611803</v>
      </c>
      <c r="CG43">
        <f t="shared" ca="1" si="24"/>
        <v>263.73868542998542</v>
      </c>
      <c r="CH43">
        <f t="shared" ca="1" si="25"/>
        <v>0.99834347321216266</v>
      </c>
      <c r="CI43">
        <f t="shared" ca="1" si="26"/>
        <v>-5.7535289124811054E-2</v>
      </c>
      <c r="CJ43">
        <f t="shared" ca="1" si="27"/>
        <v>-5.7567079773193149E-2</v>
      </c>
      <c r="CK43" s="38">
        <f t="shared" ca="1" si="28"/>
        <v>-2.4137615699655379</v>
      </c>
    </row>
    <row r="44" spans="1:89" x14ac:dyDescent="0.25">
      <c r="A44" s="3">
        <f t="shared" si="32"/>
        <v>-6</v>
      </c>
      <c r="B44" s="6">
        <f t="shared" si="33"/>
        <v>4</v>
      </c>
      <c r="C44" s="6">
        <f t="shared" si="34"/>
        <v>4.8103610415234206</v>
      </c>
      <c r="D44" s="6">
        <f t="shared" si="35"/>
        <v>5.3721901167208994</v>
      </c>
      <c r="AD44" t="s">
        <v>8</v>
      </c>
      <c r="AE44" t="s">
        <v>9</v>
      </c>
      <c r="BC44">
        <v>0.73303828583761899</v>
      </c>
      <c r="BD44">
        <v>220.08952715177276</v>
      </c>
      <c r="BE44">
        <v>1.1132087747470656</v>
      </c>
      <c r="BF44" s="6">
        <f t="shared" si="30"/>
        <v>5.0579384496829312E-3</v>
      </c>
      <c r="BG44" s="6">
        <f t="shared" si="31"/>
        <v>0.72798034738793604</v>
      </c>
      <c r="BH44" s="6">
        <f t="shared" si="2"/>
        <v>2.3511365517426621</v>
      </c>
      <c r="BI44" s="6">
        <f t="shared" si="3"/>
        <v>2.3511365517426621</v>
      </c>
      <c r="BV44" s="38"/>
      <c r="BW44" s="6">
        <f t="shared" si="8"/>
        <v>0.50614548307835583</v>
      </c>
      <c r="BX44" s="9">
        <f t="shared" ca="1" si="18"/>
        <v>183.38408031430043</v>
      </c>
      <c r="BY44" s="9">
        <f t="shared" ca="1" si="19"/>
        <v>11.560578359516448</v>
      </c>
      <c r="BZ44">
        <f t="shared" ca="1" si="20"/>
        <v>183.74810988069595</v>
      </c>
      <c r="CA44" s="6">
        <f t="shared" ca="1" si="21"/>
        <v>0.99801886633483261</v>
      </c>
      <c r="CB44" s="6">
        <f t="shared" ca="1" si="22"/>
        <v>6.2915359330893289E-2</v>
      </c>
      <c r="CC44" s="6">
        <f t="shared" ca="1" si="23"/>
        <v>6.2956940195802127E-2</v>
      </c>
      <c r="CD44" s="6">
        <f t="shared" ca="1" si="14"/>
        <v>-2.6898663430460563</v>
      </c>
      <c r="CE44" s="9">
        <f t="shared" ca="1" si="15"/>
        <v>260.77709898512222</v>
      </c>
      <c r="CF44" s="9">
        <f t="shared" ca="1" si="16"/>
        <v>-14.237094530757485</v>
      </c>
      <c r="CG44">
        <f t="shared" ca="1" si="24"/>
        <v>261.16544606010569</v>
      </c>
      <c r="CH44">
        <f t="shared" ca="1" si="25"/>
        <v>0.99851302275686926</v>
      </c>
      <c r="CI44">
        <f t="shared" ca="1" si="26"/>
        <v>-5.4513699057573264E-2</v>
      </c>
      <c r="CJ44">
        <f t="shared" ca="1" si="27"/>
        <v>-5.4540735349176042E-2</v>
      </c>
      <c r="CK44" s="38">
        <f t="shared" ca="1" si="28"/>
        <v>-2.4107352255415209</v>
      </c>
    </row>
    <row r="45" spans="1:89" x14ac:dyDescent="0.25">
      <c r="A45" s="3">
        <f t="shared" si="32"/>
        <v>-6</v>
      </c>
      <c r="B45" s="6">
        <f t="shared" si="33"/>
        <v>-12</v>
      </c>
      <c r="C45" s="6">
        <f t="shared" si="34"/>
        <v>-11.027972763528604</v>
      </c>
      <c r="D45" s="6">
        <f t="shared" si="35"/>
        <v>7.6409303574153373</v>
      </c>
      <c r="AD45" s="38">
        <f>U13+PI()/3</f>
        <v>3.4033920413889422</v>
      </c>
      <c r="AE45">
        <v>0</v>
      </c>
      <c r="BC45">
        <v>0.75049157835756231</v>
      </c>
      <c r="BD45">
        <v>216.281311878916</v>
      </c>
      <c r="BE45">
        <v>2.4753191939726786</v>
      </c>
      <c r="BF45" s="6">
        <f t="shared" si="30"/>
        <v>1.1444405916019649E-2</v>
      </c>
      <c r="BG45" s="6">
        <f t="shared" si="31"/>
        <v>0.73904717244154261</v>
      </c>
      <c r="BH45" s="6">
        <f t="shared" si="2"/>
        <v>2.3447500842763254</v>
      </c>
      <c r="BI45" s="6">
        <f t="shared" si="3"/>
        <v>2.3447500842763254</v>
      </c>
      <c r="BV45" s="38"/>
      <c r="BW45" s="6">
        <f t="shared" si="8"/>
        <v>0.52359877559829915</v>
      </c>
      <c r="BX45" s="9">
        <f t="shared" ca="1" si="18"/>
        <v>180.8832127669952</v>
      </c>
      <c r="BY45" s="9">
        <f t="shared" ca="1" si="19"/>
        <v>12.491488142799271</v>
      </c>
      <c r="BZ45">
        <f t="shared" ca="1" si="20"/>
        <v>181.31402024369694</v>
      </c>
      <c r="CA45" s="6">
        <f t="shared" ca="1" si="21"/>
        <v>0.99762397041264261</v>
      </c>
      <c r="CB45" s="6">
        <f t="shared" ca="1" si="22"/>
        <v>6.8894220788938226E-2</v>
      </c>
      <c r="CC45" s="6">
        <f t="shared" ca="1" si="23"/>
        <v>6.894883760326187E-2</v>
      </c>
      <c r="CD45" s="6">
        <f t="shared" ca="1" si="14"/>
        <v>-2.6838744456385966</v>
      </c>
      <c r="CE45" s="9">
        <f t="shared" ca="1" si="15"/>
        <v>258.27623143781699</v>
      </c>
      <c r="CF45" s="9">
        <f t="shared" ca="1" si="16"/>
        <v>-13.306184747474662</v>
      </c>
      <c r="CG45">
        <f t="shared" ca="1" si="24"/>
        <v>258.61876629172667</v>
      </c>
      <c r="CH45">
        <f t="shared" ca="1" si="25"/>
        <v>0.99867552204806631</v>
      </c>
      <c r="CI45">
        <f t="shared" ca="1" si="26"/>
        <v>-5.1450963664659365E-2</v>
      </c>
      <c r="CJ45">
        <f t="shared" ca="1" si="27"/>
        <v>-5.1473690928145466E-2</v>
      </c>
      <c r="CK45" s="38">
        <f t="shared" ca="1" si="28"/>
        <v>-2.4076681811204903</v>
      </c>
    </row>
    <row r="46" spans="1:89" x14ac:dyDescent="0.25">
      <c r="AD46" s="38">
        <f>U13-PI()/3</f>
        <v>1.3089969389957472</v>
      </c>
      <c r="AE46">
        <f>AE45</f>
        <v>0</v>
      </c>
      <c r="BC46">
        <v>0.76794487087750563</v>
      </c>
      <c r="BD46">
        <v>212.45894553828916</v>
      </c>
      <c r="BE46">
        <v>3.8339071926649675</v>
      </c>
      <c r="BF46" s="6">
        <f t="shared" si="30"/>
        <v>1.8043444161893216E-2</v>
      </c>
      <c r="BG46" s="6">
        <f t="shared" si="31"/>
        <v>0.74990142671561244</v>
      </c>
      <c r="BH46" s="6">
        <f t="shared" si="2"/>
        <v>2.3381510460304513</v>
      </c>
      <c r="BI46" s="6">
        <f t="shared" si="3"/>
        <v>2.3381510460304513</v>
      </c>
      <c r="BV46" s="38"/>
      <c r="BW46" s="6">
        <f t="shared" si="8"/>
        <v>0.54105206811824247</v>
      </c>
      <c r="BX46" s="9">
        <f t="shared" ca="1" si="18"/>
        <v>178.40357532880751</v>
      </c>
      <c r="BY46" s="9">
        <f t="shared" ca="1" si="19"/>
        <v>13.416900904295405</v>
      </c>
      <c r="BZ46">
        <f t="shared" ca="1" si="20"/>
        <v>178.90737525316607</v>
      </c>
      <c r="CA46" s="6">
        <f t="shared" ca="1" si="21"/>
        <v>0.99718401813426838</v>
      </c>
      <c r="CB46" s="6">
        <f t="shared" ca="1" si="22"/>
        <v>7.4993559574106888E-2</v>
      </c>
      <c r="CC46" s="6">
        <f t="shared" ca="1" si="23"/>
        <v>7.5064032461917105E-2</v>
      </c>
      <c r="CD46" s="6">
        <f t="shared" ca="1" si="14"/>
        <v>-2.6777592507799417</v>
      </c>
      <c r="CE46" s="9">
        <f t="shared" ca="1" si="15"/>
        <v>255.79659399962929</v>
      </c>
      <c r="CF46" s="9">
        <f t="shared" ca="1" si="16"/>
        <v>-12.380771985978528</v>
      </c>
      <c r="CG46">
        <f t="shared" ca="1" si="24"/>
        <v>256.09603865889841</v>
      </c>
      <c r="CH46">
        <f t="shared" ca="1" si="25"/>
        <v>0.99883073295144575</v>
      </c>
      <c r="CI46">
        <f t="shared" ca="1" si="26"/>
        <v>-4.8344254174383504E-2</v>
      </c>
      <c r="CJ46">
        <f t="shared" ca="1" si="27"/>
        <v>-4.8363105439341005E-2</v>
      </c>
      <c r="CK46" s="38">
        <f t="shared" ca="1" si="28"/>
        <v>-2.4045575956316858</v>
      </c>
    </row>
    <row r="47" spans="1:89" x14ac:dyDescent="0.25">
      <c r="A47" t="s">
        <v>27</v>
      </c>
      <c r="BC47">
        <v>0.78539816339744895</v>
      </c>
      <c r="BD47">
        <v>208.62301977422351</v>
      </c>
      <c r="BE47">
        <v>5.1882055776791018</v>
      </c>
      <c r="BF47" s="6">
        <f t="shared" si="30"/>
        <v>2.4863681957834186E-2</v>
      </c>
      <c r="BG47" s="6">
        <f t="shared" si="31"/>
        <v>0.76053448143961477</v>
      </c>
      <c r="BH47" s="6">
        <f t="shared" si="2"/>
        <v>2.3313308082345108</v>
      </c>
      <c r="BI47" s="6">
        <f t="shared" si="3"/>
        <v>2.3313308082345108</v>
      </c>
      <c r="BV47" s="38"/>
      <c r="BW47" s="6">
        <f t="shared" si="8"/>
        <v>0.55850536063818579</v>
      </c>
      <c r="BX47" s="9">
        <f t="shared" ca="1" si="18"/>
        <v>175.47227701713257</v>
      </c>
      <c r="BY47" s="9">
        <f t="shared" ca="1" si="19"/>
        <v>14.563041387199565</v>
      </c>
      <c r="BZ47">
        <f t="shared" ca="1" si="20"/>
        <v>176.0755581448561</v>
      </c>
      <c r="CA47" s="6">
        <f t="shared" ca="1" si="21"/>
        <v>0.99657373724053611</v>
      </c>
      <c r="CB47" s="6">
        <f t="shared" ca="1" si="22"/>
        <v>8.2709045711038751E-2</v>
      </c>
      <c r="CC47" s="6">
        <f t="shared" ca="1" si="23"/>
        <v>8.2803636335070777E-2</v>
      </c>
      <c r="CD47" s="6">
        <f t="shared" ca="1" si="14"/>
        <v>-2.6700196469067881</v>
      </c>
      <c r="CE47" s="9">
        <f t="shared" ca="1" si="15"/>
        <v>252.86529568795436</v>
      </c>
      <c r="CF47" s="9">
        <f t="shared" ca="1" si="16"/>
        <v>-11.234631503074368</v>
      </c>
      <c r="CG47">
        <f t="shared" ca="1" si="24"/>
        <v>253.11474612982639</v>
      </c>
      <c r="CH47">
        <f t="shared" ca="1" si="25"/>
        <v>0.99901447685017897</v>
      </c>
      <c r="CI47">
        <f t="shared" ca="1" si="26"/>
        <v>-4.4385527413373045E-2</v>
      </c>
      <c r="CJ47">
        <f t="shared" ca="1" si="27"/>
        <v>-4.4400114152023412E-2</v>
      </c>
      <c r="CK47" s="38">
        <f t="shared" ca="1" si="28"/>
        <v>-2.4005946043443682</v>
      </c>
    </row>
    <row r="48" spans="1:8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204.77439675797302</v>
      </c>
      <c r="BE48">
        <v>6.5372732480426254</v>
      </c>
      <c r="BF48" s="6">
        <f t="shared" si="30"/>
        <v>3.1913431894572165E-2</v>
      </c>
      <c r="BG48" s="6">
        <f t="shared" si="31"/>
        <v>0.77093802402282008</v>
      </c>
      <c r="BH48" s="6">
        <f t="shared" si="2"/>
        <v>2.3242810582977729</v>
      </c>
      <c r="BI48" s="6">
        <f t="shared" si="3"/>
        <v>2.3242810582977729</v>
      </c>
      <c r="BV48" s="38"/>
      <c r="BW48" s="6">
        <f t="shared" si="8"/>
        <v>0.57595865315812911</v>
      </c>
      <c r="BX48" s="9">
        <f t="shared" ca="1" si="18"/>
        <v>172.45093139103693</v>
      </c>
      <c r="BY48" s="9">
        <f t="shared" ca="1" si="19"/>
        <v>15.751778844158883</v>
      </c>
      <c r="BZ48">
        <f t="shared" ca="1" si="20"/>
        <v>173.16882593120337</v>
      </c>
      <c r="CA48" s="6">
        <f t="shared" ca="1" si="21"/>
        <v>0.9958543661868352</v>
      </c>
      <c r="CB48" s="6">
        <f t="shared" ca="1" si="22"/>
        <v>9.0961977477497943E-2</v>
      </c>
      <c r="CC48" s="6">
        <f t="shared" ca="1" si="23"/>
        <v>9.1087884638095917E-2</v>
      </c>
      <c r="CD48" s="6">
        <f t="shared" ca="1" si="14"/>
        <v>-2.6617353986037626</v>
      </c>
      <c r="CE48" s="9">
        <f t="shared" ca="1" si="15"/>
        <v>249.84395006185872</v>
      </c>
      <c r="CF48" s="9">
        <f t="shared" ca="1" si="16"/>
        <v>-10.04589404611505</v>
      </c>
      <c r="CG48">
        <f t="shared" ca="1" si="24"/>
        <v>250.04583453778696</v>
      </c>
      <c r="CH48">
        <f t="shared" ca="1" si="25"/>
        <v>0.99919261012165461</v>
      </c>
      <c r="CI48">
        <f t="shared" ca="1" si="26"/>
        <v>-4.0176210352334076E-2</v>
      </c>
      <c r="CJ48">
        <f t="shared" ca="1" si="27"/>
        <v>-4.0187026467406323E-2</v>
      </c>
      <c r="CK48" s="38">
        <f t="shared" ca="1" si="28"/>
        <v>-2.3963815166597513</v>
      </c>
    </row>
    <row r="49" spans="1:89" x14ac:dyDescent="0.25">
      <c r="A49" t="s">
        <v>43</v>
      </c>
      <c r="B49" s="6">
        <f>C37</f>
        <v>-11.027972763528604</v>
      </c>
      <c r="C49" s="6">
        <f>D37</f>
        <v>7.6409303574153373</v>
      </c>
      <c r="D49" s="6">
        <f t="shared" ref="D49:E56" si="36">C38</f>
        <v>-12.729527944049432</v>
      </c>
      <c r="E49" s="6">
        <f t="shared" si="36"/>
        <v>-4.2378199963736805</v>
      </c>
      <c r="F49" s="6">
        <f t="shared" ref="F49:F56" si="37">IF(B49=D49,"V",(C49-E49)/(B49-D49))</f>
        <v>6.9811138009365417</v>
      </c>
      <c r="G49" s="6">
        <f t="shared" ref="G49:G56" si="38">IF(F49="V",0,(-1*B49*F49)+C49)</f>
        <v>84.628463213237168</v>
      </c>
      <c r="H49" s="6">
        <f t="shared" ref="H49:H56" si="39">IF(AND(C49&lt;$G$41,E49&lt;$G$41),0,IF(AND(C49&lt;$G$41,E49&gt;$G$41),IF(F49="V",B49,($G$41-G49)/F49),B49))</f>
        <v>-11.027972763528604</v>
      </c>
      <c r="I49" s="6">
        <f t="shared" ref="I49:I56" si="40">IF(AND(C49&lt;$G$41,E49&lt;$G$41),0,IF(AND(C49&lt;$G$41,E49&gt;$G$41),$G$41,C49))</f>
        <v>7.6409303574153373</v>
      </c>
      <c r="J49" s="6">
        <f t="shared" ref="J49:J56" si="41">IF(AND(C49&lt;$G$41,E49&lt;$G$41),0,IF(E49&gt;=$G$41,D49,IF(F49="V",D49,($G$41-G49)/F49)))</f>
        <v>-11.439638367764983</v>
      </c>
      <c r="K49" s="6">
        <f t="shared" ref="K49:K56" si="42">IF(AND(C49&lt;$G$41,E49&lt;$G$41),0,IF(E49&gt;=$G$41,E49,$G$41))</f>
        <v>4.7670459263098781</v>
      </c>
      <c r="L49" s="6">
        <f t="shared" ref="L49:L56" si="43">IF(AND(I49=0,K49=0,H49=0,J49=0),0,$B$31)</f>
        <v>4.25</v>
      </c>
      <c r="M49" s="6">
        <f t="shared" ref="M49:M56" si="44">IF(AND(I49=0,K49=0,H49=0,J49=0),0,$B$31)</f>
        <v>4.25</v>
      </c>
      <c r="N49" s="10">
        <f t="shared" ref="N49:N56" si="45">(1/6)*(K49-I49)*((L49*((2*H49)+J49))+(M49*(H49+(2*J49))))</f>
        <v>137.20980039800725</v>
      </c>
      <c r="O49" s="10">
        <f t="shared" ref="O49:O56" si="46">((1/12)*(K49-I49)*(L49*H49*((3*I49)+K49)+L49*J49*(I49+K49)+M49*H49*(I49+K49)+M49*J49*(I49+(3*K49))))</f>
        <v>850.04379612618982</v>
      </c>
      <c r="P49" s="10">
        <f t="shared" ref="P49:P56" si="47">((-1/24)*(K49-I49)*(H49*H49*((3*L49)+M49)+2*H49*J49*(L49+M49)+J49*J49*(L49+(3*M49))))</f>
        <v>770.7803551281778</v>
      </c>
      <c r="S49">
        <f t="shared" ref="S49:S56" si="48">IF(AND(I49=0,K49=0,H49=0,J49=0),NA(),H49)</f>
        <v>-11.027972763528604</v>
      </c>
      <c r="T49">
        <f t="shared" ref="T49:T56" si="49">IF(AND(I49=0,K49=0,H49=0,J49=0),NA(),I49)</f>
        <v>7.6409303574153373</v>
      </c>
      <c r="V49">
        <f t="shared" ref="V49:V56" si="50">IF(AND(I49=0,K49=0,H49=0,J49=0),NA(),J49)</f>
        <v>-11.439638367764983</v>
      </c>
      <c r="W49">
        <f t="shared" ref="W49:W56" si="51">IF(AND(I49=0,K49=0,H49=0,J49=0),NA(),K49)</f>
        <v>4.7670459263098781</v>
      </c>
      <c r="AC49">
        <v>0</v>
      </c>
      <c r="AD49">
        <f>-PI()</f>
        <v>-3.1415926535897931</v>
      </c>
      <c r="BC49">
        <v>0.82030474843733558</v>
      </c>
      <c r="BD49">
        <v>200.91428437080944</v>
      </c>
      <c r="BE49">
        <v>7.879956914230327</v>
      </c>
      <c r="BF49" s="6">
        <f t="shared" si="30"/>
        <v>3.9200399434430974E-2</v>
      </c>
      <c r="BG49" s="6">
        <f t="shared" si="31"/>
        <v>0.7811043490029046</v>
      </c>
      <c r="BH49" s="6">
        <f t="shared" si="2"/>
        <v>2.3169940907579138</v>
      </c>
      <c r="BI49" s="6">
        <f t="shared" si="3"/>
        <v>2.3169940907579138</v>
      </c>
      <c r="BV49" s="38"/>
      <c r="BW49" s="6">
        <f t="shared" si="8"/>
        <v>0.59341194567807243</v>
      </c>
      <c r="BX49" s="9">
        <f t="shared" ca="1" si="18"/>
        <v>169.4400963614334</v>
      </c>
      <c r="BY49" s="9">
        <f t="shared" ca="1" si="19"/>
        <v>16.934286994035034</v>
      </c>
      <c r="BZ49">
        <f t="shared" ca="1" si="20"/>
        <v>170.28422220208242</v>
      </c>
      <c r="CA49" s="6">
        <f t="shared" ca="1" si="21"/>
        <v>0.9950428417281828</v>
      </c>
      <c r="CB49" s="6">
        <f t="shared" ca="1" si="22"/>
        <v>9.9447187619875352E-2</v>
      </c>
      <c r="CC49" s="6">
        <f t="shared" ca="1" si="23"/>
        <v>9.9611839297520446E-2</v>
      </c>
      <c r="CD49" s="6">
        <f t="shared" ca="1" si="14"/>
        <v>-2.6532114439443384</v>
      </c>
      <c r="CE49" s="9">
        <f t="shared" ca="1" si="15"/>
        <v>246.83311503225519</v>
      </c>
      <c r="CF49" s="9">
        <f t="shared" ca="1" si="16"/>
        <v>-8.8633858962388992</v>
      </c>
      <c r="CG49">
        <f t="shared" ca="1" si="24"/>
        <v>246.99219883646563</v>
      </c>
      <c r="CH49">
        <f t="shared" ca="1" si="25"/>
        <v>0.99935591567280324</v>
      </c>
      <c r="CI49">
        <f t="shared" ca="1" si="26"/>
        <v>-3.5885286814695619E-2</v>
      </c>
      <c r="CJ49">
        <f t="shared" ca="1" si="27"/>
        <v>-3.5892993183757549E-2</v>
      </c>
      <c r="CK49" s="38">
        <f t="shared" ca="1" si="28"/>
        <v>-2.3920874833761023</v>
      </c>
    </row>
    <row r="50" spans="1:89" x14ac:dyDescent="0.25">
      <c r="A50" t="s">
        <v>44</v>
      </c>
      <c r="B50" s="6">
        <f t="shared" ref="B50:C56" si="52">D49</f>
        <v>-12.729527944049432</v>
      </c>
      <c r="C50" s="6">
        <f t="shared" si="52"/>
        <v>-4.2378199963736805</v>
      </c>
      <c r="D50" s="6">
        <f t="shared" si="36"/>
        <v>3.1088058610025913</v>
      </c>
      <c r="E50" s="6">
        <f t="shared" si="36"/>
        <v>-6.5065602370681184</v>
      </c>
      <c r="F50" s="6">
        <f t="shared" si="37"/>
        <v>-0.14324361821259049</v>
      </c>
      <c r="G50" s="6">
        <f t="shared" si="38"/>
        <v>-6.0612436372175988</v>
      </c>
      <c r="H50" s="6">
        <f t="shared" si="39"/>
        <v>0</v>
      </c>
      <c r="I50" s="6">
        <f t="shared" si="40"/>
        <v>0</v>
      </c>
      <c r="J50" s="6">
        <f t="shared" si="41"/>
        <v>0</v>
      </c>
      <c r="K50" s="6">
        <f t="shared" si="42"/>
        <v>0</v>
      </c>
      <c r="L50" s="6">
        <f t="shared" si="43"/>
        <v>0</v>
      </c>
      <c r="M50" s="6">
        <f t="shared" si="44"/>
        <v>0</v>
      </c>
      <c r="N50" s="10">
        <f t="shared" si="45"/>
        <v>0</v>
      </c>
      <c r="O50" s="10">
        <f t="shared" si="46"/>
        <v>0</v>
      </c>
      <c r="P50" s="10">
        <f t="shared" si="47"/>
        <v>0</v>
      </c>
      <c r="S50" t="e">
        <f t="shared" si="48"/>
        <v>#N/A</v>
      </c>
      <c r="T50" t="e">
        <f t="shared" si="49"/>
        <v>#N/A</v>
      </c>
      <c r="V50" t="e">
        <f t="shared" si="50"/>
        <v>#N/A</v>
      </c>
      <c r="W50" t="e">
        <f t="shared" si="51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197.04433179040527</v>
      </c>
      <c r="BE50">
        <v>9.2148434251210034</v>
      </c>
      <c r="BF50" s="6">
        <f t="shared" si="30"/>
        <v>4.6731283936786702E-2</v>
      </c>
      <c r="BG50" s="6">
        <f t="shared" si="31"/>
        <v>0.79102675702049219</v>
      </c>
      <c r="BH50" s="6">
        <f t="shared" si="2"/>
        <v>2.309463206255558</v>
      </c>
      <c r="BI50" s="6">
        <f t="shared" si="3"/>
        <v>2.309463206255558</v>
      </c>
      <c r="BV50" s="38"/>
      <c r="BW50" s="6">
        <f t="shared" si="8"/>
        <v>0.61086523819801575</v>
      </c>
      <c r="BX50" s="9">
        <f t="shared" ca="1" si="18"/>
        <v>166.43843254313106</v>
      </c>
      <c r="BY50" s="9">
        <f t="shared" ca="1" si="19"/>
        <v>18.111007670667199</v>
      </c>
      <c r="BZ50">
        <f t="shared" ca="1" si="20"/>
        <v>167.42090797227613</v>
      </c>
      <c r="CA50" s="6">
        <f t="shared" ca="1" si="21"/>
        <v>0.99413170409213314</v>
      </c>
      <c r="CB50" s="6">
        <f t="shared" ca="1" si="22"/>
        <v>0.10817649892130719</v>
      </c>
      <c r="CC50" s="6">
        <f t="shared" ca="1" si="23"/>
        <v>0.1083886007774781</v>
      </c>
      <c r="CD50" s="6">
        <f t="shared" ca="1" si="14"/>
        <v>-2.6444346824643805</v>
      </c>
      <c r="CE50" s="9">
        <f t="shared" ca="1" si="15"/>
        <v>243.83145121395285</v>
      </c>
      <c r="CF50" s="9">
        <f t="shared" ca="1" si="16"/>
        <v>-7.6866652196067342</v>
      </c>
      <c r="CG50">
        <f t="shared" ca="1" si="24"/>
        <v>243.95258027596384</v>
      </c>
      <c r="CH50">
        <f t="shared" ca="1" si="25"/>
        <v>0.99950347292136055</v>
      </c>
      <c r="CI50">
        <f t="shared" ca="1" si="26"/>
        <v>-3.1508849838404789E-2</v>
      </c>
      <c r="CJ50">
        <f t="shared" ca="1" si="27"/>
        <v>-3.1514065873434395E-2</v>
      </c>
      <c r="CK50" s="38">
        <f t="shared" ca="1" si="28"/>
        <v>-2.3877085560657791</v>
      </c>
    </row>
    <row r="51" spans="1:89" x14ac:dyDescent="0.25">
      <c r="A51" t="s">
        <v>45</v>
      </c>
      <c r="B51" s="6">
        <f t="shared" si="52"/>
        <v>3.1088058610025913</v>
      </c>
      <c r="C51" s="6">
        <f t="shared" si="52"/>
        <v>-6.5065602370681184</v>
      </c>
      <c r="D51" s="6">
        <f t="shared" si="36"/>
        <v>3.1088058610025913</v>
      </c>
      <c r="E51" s="6">
        <f t="shared" si="36"/>
        <v>-6.5065602370681184</v>
      </c>
      <c r="F51" s="6" t="str">
        <f t="shared" si="37"/>
        <v>V</v>
      </c>
      <c r="G51" s="6">
        <f t="shared" si="38"/>
        <v>0</v>
      </c>
      <c r="H51" s="6">
        <f t="shared" si="39"/>
        <v>0</v>
      </c>
      <c r="I51" s="6">
        <f t="shared" si="40"/>
        <v>0</v>
      </c>
      <c r="J51" s="6">
        <f t="shared" si="41"/>
        <v>0</v>
      </c>
      <c r="K51" s="6">
        <f t="shared" si="42"/>
        <v>0</v>
      </c>
      <c r="L51" s="6">
        <f t="shared" si="43"/>
        <v>0</v>
      </c>
      <c r="M51" s="6">
        <f t="shared" si="44"/>
        <v>0</v>
      </c>
      <c r="N51" s="10">
        <f t="shared" si="45"/>
        <v>0</v>
      </c>
      <c r="O51" s="10">
        <f t="shared" si="46"/>
        <v>0</v>
      </c>
      <c r="P51" s="10">
        <f t="shared" si="47"/>
        <v>0</v>
      </c>
      <c r="S51" t="e">
        <f t="shared" si="48"/>
        <v>#N/A</v>
      </c>
      <c r="T51" t="e">
        <f t="shared" si="49"/>
        <v>#N/A</v>
      </c>
      <c r="V51" t="e">
        <f t="shared" si="50"/>
        <v>#N/A</v>
      </c>
      <c r="W51" t="e">
        <f t="shared" si="51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193.16675200966975</v>
      </c>
      <c r="BE51">
        <v>10.540199892391072</v>
      </c>
      <c r="BF51" s="6">
        <f t="shared" si="30"/>
        <v>5.4511233095727911E-2</v>
      </c>
      <c r="BG51" s="6">
        <f t="shared" si="31"/>
        <v>0.80070010038149431</v>
      </c>
      <c r="BH51" s="6">
        <f t="shared" si="2"/>
        <v>2.301683257096617</v>
      </c>
      <c r="BI51" s="6">
        <f t="shared" si="3"/>
        <v>2.301683257096617</v>
      </c>
      <c r="BV51" s="38"/>
      <c r="BW51" s="6">
        <f t="shared" si="8"/>
        <v>0.62831853071795907</v>
      </c>
      <c r="BX51" s="9">
        <f t="shared" ca="1" si="18"/>
        <v>163.44455970321184</v>
      </c>
      <c r="BY51" s="9">
        <f t="shared" ca="1" si="19"/>
        <v>19.282381779909894</v>
      </c>
      <c r="BZ51">
        <f t="shared" ca="1" si="20"/>
        <v>164.57804939809859</v>
      </c>
      <c r="CA51" s="6">
        <f t="shared" ca="1" si="21"/>
        <v>0.9931127528912137</v>
      </c>
      <c r="CB51" s="6">
        <f t="shared" ca="1" si="22"/>
        <v>0.11716253686582258</v>
      </c>
      <c r="CC51" s="6">
        <f t="shared" ca="1" si="23"/>
        <v>0.11743225584189868</v>
      </c>
      <c r="CD51" s="6">
        <f t="shared" ca="1" si="14"/>
        <v>-2.6353910273999599</v>
      </c>
      <c r="CE51" s="9">
        <f t="shared" ca="1" si="15"/>
        <v>240.83757837403363</v>
      </c>
      <c r="CF51" s="9">
        <f t="shared" ca="1" si="16"/>
        <v>-6.5152911103640392</v>
      </c>
      <c r="CG51">
        <f t="shared" ca="1" si="24"/>
        <v>240.92569015221596</v>
      </c>
      <c r="CH51">
        <f t="shared" ca="1" si="25"/>
        <v>0.99963427819537776</v>
      </c>
      <c r="CI51">
        <f t="shared" ca="1" si="26"/>
        <v>-2.7042741296072256E-2</v>
      </c>
      <c r="CJ51">
        <f t="shared" ca="1" si="27"/>
        <v>-2.7046038485135114E-2</v>
      </c>
      <c r="CK51" s="38">
        <f t="shared" ca="1" si="28"/>
        <v>-2.3832405286774798</v>
      </c>
    </row>
    <row r="52" spans="1:89" x14ac:dyDescent="0.25">
      <c r="A52" t="s">
        <v>46</v>
      </c>
      <c r="B52" s="6">
        <f t="shared" si="52"/>
        <v>3.1088058610025913</v>
      </c>
      <c r="C52" s="6">
        <f t="shared" si="52"/>
        <v>-6.5065602370681184</v>
      </c>
      <c r="D52" s="6">
        <f t="shared" si="36"/>
        <v>11.027972763528604</v>
      </c>
      <c r="E52" s="6">
        <f t="shared" si="36"/>
        <v>-7.6409303574153373</v>
      </c>
      <c r="F52" s="6">
        <f t="shared" si="37"/>
        <v>-0.14324361821259049</v>
      </c>
      <c r="G52" s="6">
        <f t="shared" si="38"/>
        <v>-6.0612436372175997</v>
      </c>
      <c r="H52" s="6">
        <f t="shared" si="39"/>
        <v>0</v>
      </c>
      <c r="I52" s="6">
        <f t="shared" si="40"/>
        <v>0</v>
      </c>
      <c r="J52" s="6">
        <f t="shared" si="41"/>
        <v>0</v>
      </c>
      <c r="K52" s="6">
        <f t="shared" si="42"/>
        <v>0</v>
      </c>
      <c r="L52" s="6">
        <f t="shared" si="43"/>
        <v>0</v>
      </c>
      <c r="M52" s="6">
        <f t="shared" si="44"/>
        <v>0</v>
      </c>
      <c r="N52" s="10">
        <f t="shared" si="45"/>
        <v>0</v>
      </c>
      <c r="O52" s="10">
        <f t="shared" si="46"/>
        <v>0</v>
      </c>
      <c r="P52" s="10">
        <f t="shared" si="47"/>
        <v>0</v>
      </c>
      <c r="S52" t="e">
        <f t="shared" si="48"/>
        <v>#N/A</v>
      </c>
      <c r="T52" t="e">
        <f t="shared" si="49"/>
        <v>#N/A</v>
      </c>
      <c r="V52" t="e">
        <f t="shared" si="50"/>
        <v>#N/A</v>
      </c>
      <c r="W52" t="e">
        <f t="shared" si="51"/>
        <v>#N/A</v>
      </c>
      <c r="AC52">
        <f>0</f>
        <v>0</v>
      </c>
      <c r="AD52">
        <f>AD51</f>
        <v>3.1415926535897931</v>
      </c>
      <c r="BC52">
        <v>0.87266462599716554</v>
      </c>
      <c r="BD52">
        <v>188.99833848462137</v>
      </c>
      <c r="BE52">
        <v>11.870802809472599</v>
      </c>
      <c r="BF52" s="6">
        <f t="shared" si="30"/>
        <v>6.2726634235326845E-2</v>
      </c>
      <c r="BG52" s="6">
        <f t="shared" si="31"/>
        <v>0.80993799176183867</v>
      </c>
      <c r="BH52" s="6">
        <f t="shared" si="2"/>
        <v>2.2934678559570179</v>
      </c>
      <c r="BI52" s="6">
        <f t="shared" si="3"/>
        <v>2.2934678559570179</v>
      </c>
      <c r="BV52" s="38"/>
      <c r="BW52" s="6">
        <f t="shared" si="8"/>
        <v>0.64577182323790239</v>
      </c>
      <c r="BX52" s="9">
        <f t="shared" ca="1" si="18"/>
        <v>160.45705868651493</v>
      </c>
      <c r="BY52" s="9">
        <f t="shared" ca="1" si="19"/>
        <v>20.448846699529582</v>
      </c>
      <c r="BZ52">
        <f t="shared" ca="1" si="20"/>
        <v>161.75482377248773</v>
      </c>
      <c r="CA52" s="6">
        <f t="shared" ca="1" si="21"/>
        <v>0.99197696207317976</v>
      </c>
      <c r="CB52" s="6">
        <f t="shared" ca="1" si="22"/>
        <v>0.12641877517230277</v>
      </c>
      <c r="CC52" s="6">
        <f t="shared" ca="1" si="23"/>
        <v>0.12675795145464611</v>
      </c>
      <c r="CD52" s="6">
        <f t="shared" ca="1" si="14"/>
        <v>-2.6260653317872125</v>
      </c>
      <c r="CE52" s="9">
        <f t="shared" ca="1" si="15"/>
        <v>237.85007735733672</v>
      </c>
      <c r="CF52" s="9">
        <f t="shared" ca="1" si="16"/>
        <v>-5.3488261907443508</v>
      </c>
      <c r="CG52">
        <f t="shared" ca="1" si="24"/>
        <v>237.91021256034776</v>
      </c>
      <c r="CH52">
        <f t="shared" ca="1" si="25"/>
        <v>0.99974723572240187</v>
      </c>
      <c r="CI52">
        <f t="shared" ca="1" si="26"/>
        <v>-2.2482541346927593E-2</v>
      </c>
      <c r="CJ52">
        <f t="shared" ca="1" si="27"/>
        <v>-2.2484435799576333E-2</v>
      </c>
      <c r="CK52" s="38">
        <f t="shared" ca="1" si="28"/>
        <v>-2.3786789259919212</v>
      </c>
    </row>
    <row r="53" spans="1:89" x14ac:dyDescent="0.25">
      <c r="A53" t="s">
        <v>47</v>
      </c>
      <c r="B53" s="6">
        <f t="shared" si="52"/>
        <v>11.027972763528604</v>
      </c>
      <c r="C53" s="6">
        <f t="shared" si="52"/>
        <v>-7.6409303574153373</v>
      </c>
      <c r="D53" s="6">
        <f t="shared" si="36"/>
        <v>12.729527944049432</v>
      </c>
      <c r="E53" s="6">
        <f t="shared" si="36"/>
        <v>4.2378199963736805</v>
      </c>
      <c r="F53" s="6">
        <f t="shared" si="37"/>
        <v>6.9811138009365417</v>
      </c>
      <c r="G53" s="6">
        <f t="shared" si="38"/>
        <v>-84.628463213237168</v>
      </c>
      <c r="H53" s="6">
        <f t="shared" si="39"/>
        <v>0</v>
      </c>
      <c r="I53" s="6">
        <f t="shared" si="40"/>
        <v>0</v>
      </c>
      <c r="J53" s="6">
        <f t="shared" si="41"/>
        <v>0</v>
      </c>
      <c r="K53" s="6">
        <f t="shared" si="42"/>
        <v>0</v>
      </c>
      <c r="L53" s="6">
        <f t="shared" si="43"/>
        <v>0</v>
      </c>
      <c r="M53" s="6">
        <f t="shared" si="44"/>
        <v>0</v>
      </c>
      <c r="N53" s="10">
        <f t="shared" si="45"/>
        <v>0</v>
      </c>
      <c r="O53" s="10">
        <f t="shared" si="46"/>
        <v>0</v>
      </c>
      <c r="P53" s="10">
        <f t="shared" si="47"/>
        <v>0</v>
      </c>
      <c r="S53" t="e">
        <f t="shared" si="48"/>
        <v>#N/A</v>
      </c>
      <c r="T53" t="e">
        <f t="shared" si="49"/>
        <v>#N/A</v>
      </c>
      <c r="V53" t="e">
        <f t="shared" si="50"/>
        <v>#N/A</v>
      </c>
      <c r="W53" t="e">
        <f t="shared" si="51"/>
        <v>#N/A</v>
      </c>
      <c r="AC53">
        <f>AC49</f>
        <v>0</v>
      </c>
      <c r="AD53">
        <f>AD49</f>
        <v>-3.1415926535897931</v>
      </c>
      <c r="BC53">
        <v>0.89011791851710886</v>
      </c>
      <c r="BD53">
        <v>184.82711485414885</v>
      </c>
      <c r="BE53">
        <v>13.185341282831649</v>
      </c>
      <c r="BF53" s="6">
        <f t="shared" si="30"/>
        <v>7.1218130724572726E-2</v>
      </c>
      <c r="BG53" s="6">
        <f t="shared" si="31"/>
        <v>0.81889978779253614</v>
      </c>
      <c r="BH53" s="6">
        <f t="shared" si="2"/>
        <v>2.2849763594677723</v>
      </c>
      <c r="BI53" s="6">
        <f t="shared" si="3"/>
        <v>2.2849763594677723</v>
      </c>
      <c r="BV53" s="38"/>
      <c r="BW53" s="6">
        <f t="shared" si="8"/>
        <v>0.66322511575784571</v>
      </c>
      <c r="BX53" s="9">
        <f t="shared" ca="1" si="18"/>
        <v>157.22727466482871</v>
      </c>
      <c r="BY53" s="9">
        <f t="shared" ca="1" si="19"/>
        <v>21.647357905010235</v>
      </c>
      <c r="BZ53">
        <f t="shared" ca="1" si="20"/>
        <v>158.71050375698863</v>
      </c>
      <c r="CA53" s="6">
        <f t="shared" ca="1" si="21"/>
        <v>0.99065449950035456</v>
      </c>
      <c r="CB53" s="6">
        <f t="shared" ca="1" si="22"/>
        <v>0.13639524412420637</v>
      </c>
      <c r="CC53" s="6">
        <f t="shared" ca="1" si="23"/>
        <v>0.13682173279169743</v>
      </c>
      <c r="CD53" s="6">
        <f t="shared" ca="1" si="14"/>
        <v>-2.6160015504501613</v>
      </c>
      <c r="CE53" s="9">
        <f t="shared" ca="1" si="15"/>
        <v>234.6202933356505</v>
      </c>
      <c r="CF53" s="9">
        <f t="shared" ca="1" si="16"/>
        <v>-4.150314985263698</v>
      </c>
      <c r="CG53">
        <f t="shared" ca="1" si="24"/>
        <v>234.65699895674024</v>
      </c>
      <c r="CH53">
        <f t="shared" ca="1" si="25"/>
        <v>0.99984357755680453</v>
      </c>
      <c r="CI53">
        <f t="shared" ca="1" si="26"/>
        <v>-1.768673000897289E-2</v>
      </c>
      <c r="CJ53">
        <f t="shared" ca="1" si="27"/>
        <v>-1.7687652267184613E-2</v>
      </c>
      <c r="CK53" s="38">
        <f t="shared" ca="1" si="28"/>
        <v>-2.3738821424595296</v>
      </c>
    </row>
    <row r="54" spans="1:89" x14ac:dyDescent="0.25">
      <c r="A54" t="s">
        <v>48</v>
      </c>
      <c r="B54" s="6">
        <f t="shared" si="52"/>
        <v>12.729527944049432</v>
      </c>
      <c r="C54" s="6">
        <f t="shared" si="52"/>
        <v>4.2378199963736805</v>
      </c>
      <c r="D54" s="6">
        <f t="shared" si="36"/>
        <v>4.8103610415234206</v>
      </c>
      <c r="E54" s="6">
        <f t="shared" si="36"/>
        <v>5.3721901167208994</v>
      </c>
      <c r="F54" s="6">
        <f t="shared" si="37"/>
        <v>-0.14324361821259052</v>
      </c>
      <c r="G54" s="6">
        <f t="shared" si="38"/>
        <v>6.0612436372175997</v>
      </c>
      <c r="H54" s="6">
        <f t="shared" si="39"/>
        <v>9.0349415007583698</v>
      </c>
      <c r="I54" s="6">
        <f t="shared" si="40"/>
        <v>4.7670459263098781</v>
      </c>
      <c r="J54" s="6">
        <f t="shared" si="41"/>
        <v>4.8103610415234206</v>
      </c>
      <c r="K54" s="6">
        <f t="shared" si="42"/>
        <v>5.3721901167208994</v>
      </c>
      <c r="L54" s="6">
        <f t="shared" si="43"/>
        <v>4.25</v>
      </c>
      <c r="M54" s="6">
        <f t="shared" si="44"/>
        <v>4.25</v>
      </c>
      <c r="N54" s="10">
        <f t="shared" si="45"/>
        <v>17.804109345632632</v>
      </c>
      <c r="O54" s="10">
        <f t="shared" si="46"/>
        <v>89.712123873792592</v>
      </c>
      <c r="P54" s="10">
        <f t="shared" si="47"/>
        <v>-63.538330156999763</v>
      </c>
      <c r="S54">
        <f t="shared" si="48"/>
        <v>9.0349415007583698</v>
      </c>
      <c r="T54">
        <f t="shared" si="49"/>
        <v>4.7670459263098781</v>
      </c>
      <c r="V54">
        <f t="shared" si="50"/>
        <v>4.8103610415234206</v>
      </c>
      <c r="W54">
        <f t="shared" si="51"/>
        <v>5.3721901167208994</v>
      </c>
      <c r="BC54">
        <v>0.90757121103705218</v>
      </c>
      <c r="BD54">
        <v>181.26547089969958</v>
      </c>
      <c r="BE54">
        <v>14.487367188553151</v>
      </c>
      <c r="BF54" s="6">
        <f t="shared" si="30"/>
        <v>7.9753951591729599E-2</v>
      </c>
      <c r="BG54" s="6">
        <f t="shared" si="31"/>
        <v>0.82781725944532258</v>
      </c>
      <c r="BH54" s="6">
        <f t="shared" si="2"/>
        <v>2.2764405386006152</v>
      </c>
      <c r="BI54" s="6">
        <f t="shared" si="3"/>
        <v>2.2764405386006152</v>
      </c>
      <c r="BV54" s="38"/>
      <c r="BW54" s="6">
        <f t="shared" si="8"/>
        <v>0.68067840827778903</v>
      </c>
      <c r="BX54" s="9">
        <f t="shared" ca="1" si="18"/>
        <v>153.90820766676438</v>
      </c>
      <c r="BY54" s="9">
        <f t="shared" ca="1" si="19"/>
        <v>22.855795876381087</v>
      </c>
      <c r="BZ54">
        <f t="shared" ca="1" si="20"/>
        <v>155.5960275596349</v>
      </c>
      <c r="CA54" s="6">
        <f t="shared" ca="1" si="21"/>
        <v>0.98915255151855574</v>
      </c>
      <c r="CB54" s="6">
        <f t="shared" ca="1" si="22"/>
        <v>0.14689189842986963</v>
      </c>
      <c r="CC54" s="6">
        <f t="shared" ca="1" si="23"/>
        <v>0.14742534787565609</v>
      </c>
      <c r="CD54" s="6">
        <f t="shared" ca="1" si="14"/>
        <v>-2.6053979353662027</v>
      </c>
      <c r="CE54" s="9">
        <f t="shared" ca="1" si="15"/>
        <v>231.30122633758617</v>
      </c>
      <c r="CF54" s="9">
        <f t="shared" ca="1" si="16"/>
        <v>-2.9418770138928458</v>
      </c>
      <c r="CG54">
        <f t="shared" ca="1" si="24"/>
        <v>231.31993417264354</v>
      </c>
      <c r="CH54">
        <f t="shared" ca="1" si="25"/>
        <v>0.99991912571165009</v>
      </c>
      <c r="CI54">
        <f t="shared" ca="1" si="26"/>
        <v>-1.2717784242914415E-2</v>
      </c>
      <c r="CJ54">
        <f t="shared" ca="1" si="27"/>
        <v>-1.2718127101255822E-2</v>
      </c>
      <c r="CK54" s="38">
        <f t="shared" ca="1" si="28"/>
        <v>-2.3689126172936006</v>
      </c>
    </row>
    <row r="55" spans="1:89" x14ac:dyDescent="0.25">
      <c r="A55" t="s">
        <v>93</v>
      </c>
      <c r="B55" s="6">
        <f t="shared" si="52"/>
        <v>4.8103610415234206</v>
      </c>
      <c r="C55" s="6">
        <f t="shared" si="52"/>
        <v>5.3721901167208994</v>
      </c>
      <c r="D55" s="6">
        <f t="shared" si="36"/>
        <v>4.8103610415234206</v>
      </c>
      <c r="E55" s="6">
        <f t="shared" si="36"/>
        <v>5.3721901167208994</v>
      </c>
      <c r="F55" s="6" t="str">
        <f t="shared" si="37"/>
        <v>V</v>
      </c>
      <c r="G55" s="6">
        <f t="shared" si="38"/>
        <v>0</v>
      </c>
      <c r="H55" s="6">
        <f t="shared" si="39"/>
        <v>4.8103610415234206</v>
      </c>
      <c r="I55" s="6">
        <f t="shared" si="40"/>
        <v>5.3721901167208994</v>
      </c>
      <c r="J55" s="6">
        <f t="shared" si="41"/>
        <v>4.8103610415234206</v>
      </c>
      <c r="K55" s="6">
        <f t="shared" si="42"/>
        <v>5.3721901167208994</v>
      </c>
      <c r="L55" s="6">
        <f t="shared" si="43"/>
        <v>4.25</v>
      </c>
      <c r="M55" s="6">
        <f t="shared" si="44"/>
        <v>4.25</v>
      </c>
      <c r="N55" s="10">
        <f t="shared" si="45"/>
        <v>0</v>
      </c>
      <c r="O55" s="10">
        <f t="shared" si="46"/>
        <v>0</v>
      </c>
      <c r="P55" s="10">
        <f t="shared" si="47"/>
        <v>0</v>
      </c>
      <c r="S55">
        <f t="shared" si="48"/>
        <v>4.8103610415234206</v>
      </c>
      <c r="T55">
        <f t="shared" si="49"/>
        <v>5.3721901167208994</v>
      </c>
      <c r="V55">
        <f t="shared" si="50"/>
        <v>4.8103610415234206</v>
      </c>
      <c r="W55">
        <f t="shared" si="51"/>
        <v>5.3721901167208994</v>
      </c>
      <c r="BC55">
        <v>0.9250245035569955</v>
      </c>
      <c r="BD55">
        <v>177.84312012672189</v>
      </c>
      <c r="BE55">
        <v>15.772856465435746</v>
      </c>
      <c r="BF55" s="6">
        <f t="shared" si="30"/>
        <v>8.8458270504772923E-2</v>
      </c>
      <c r="BG55" s="6">
        <f t="shared" si="31"/>
        <v>0.83656623305222255</v>
      </c>
      <c r="BH55" s="6">
        <f t="shared" si="2"/>
        <v>2.2677362196875719</v>
      </c>
      <c r="BI55" s="6">
        <f t="shared" si="3"/>
        <v>2.2677362196875719</v>
      </c>
      <c r="BV55" s="38"/>
      <c r="BW55" s="6">
        <f t="shared" si="8"/>
        <v>0.69813170079773235</v>
      </c>
      <c r="BX55" s="9">
        <f t="shared" ca="1" si="18"/>
        <v>150.26912636317735</v>
      </c>
      <c r="BY55" s="9">
        <f t="shared" ca="1" si="19"/>
        <v>24.178472990579213</v>
      </c>
      <c r="BZ55">
        <f t="shared" ca="1" si="20"/>
        <v>152.2018688916425</v>
      </c>
      <c r="CA55" s="6">
        <f t="shared" ca="1" si="21"/>
        <v>0.98730145337544351</v>
      </c>
      <c r="CB55" s="6">
        <f t="shared" ca="1" si="22"/>
        <v>0.15885792445684527</v>
      </c>
      <c r="CC55" s="6">
        <f t="shared" ca="1" si="23"/>
        <v>0.15953378024791803</v>
      </c>
      <c r="CD55" s="6">
        <f t="shared" ca="1" si="14"/>
        <v>-2.5932895029939407</v>
      </c>
      <c r="CE55" s="9">
        <f t="shared" ca="1" si="15"/>
        <v>227.66214503399914</v>
      </c>
      <c r="CF55" s="9">
        <f t="shared" ca="1" si="16"/>
        <v>-1.6191998996947206</v>
      </c>
      <c r="CG55">
        <f t="shared" ca="1" si="24"/>
        <v>227.66790307330726</v>
      </c>
      <c r="CH55">
        <f t="shared" ca="1" si="25"/>
        <v>0.9999747086030556</v>
      </c>
      <c r="CI55">
        <f t="shared" ca="1" si="26"/>
        <v>-7.1121132045273462E-3</v>
      </c>
      <c r="CJ55">
        <f t="shared" ca="1" si="27"/>
        <v>-7.1121731635599827E-3</v>
      </c>
      <c r="CK55" s="38">
        <f t="shared" ca="1" si="28"/>
        <v>-2.363306663355905</v>
      </c>
    </row>
    <row r="56" spans="1:89" ht="15.75" thickBot="1" x14ac:dyDescent="0.3">
      <c r="A56" t="s">
        <v>94</v>
      </c>
      <c r="B56" s="6">
        <f t="shared" si="52"/>
        <v>4.8103610415234206</v>
      </c>
      <c r="C56" s="6">
        <f t="shared" si="52"/>
        <v>5.3721901167208994</v>
      </c>
      <c r="D56" s="6">
        <f t="shared" si="36"/>
        <v>-11.027972763528604</v>
      </c>
      <c r="E56" s="6">
        <f t="shared" si="36"/>
        <v>7.6409303574153373</v>
      </c>
      <c r="F56" s="6">
        <f t="shared" si="37"/>
        <v>-0.14324361821259049</v>
      </c>
      <c r="G56" s="6">
        <f t="shared" si="38"/>
        <v>6.0612436372175997</v>
      </c>
      <c r="H56" s="6">
        <f t="shared" si="39"/>
        <v>4.8103610415234206</v>
      </c>
      <c r="I56" s="6">
        <f t="shared" si="40"/>
        <v>5.3721901167208994</v>
      </c>
      <c r="J56" s="6">
        <f t="shared" si="41"/>
        <v>-11.027972763528604</v>
      </c>
      <c r="K56" s="6">
        <f t="shared" si="42"/>
        <v>7.6409303574153373</v>
      </c>
      <c r="L56" s="6">
        <f t="shared" si="43"/>
        <v>4.25</v>
      </c>
      <c r="M56" s="6">
        <f t="shared" si="44"/>
        <v>4.25</v>
      </c>
      <c r="N56" s="11">
        <f t="shared" si="45"/>
        <v>-29.975560068794021</v>
      </c>
      <c r="O56" s="11">
        <f t="shared" si="46"/>
        <v>-223.91044240944518</v>
      </c>
      <c r="P56" s="11">
        <f t="shared" si="47"/>
        <v>-147.37574419466299</v>
      </c>
      <c r="S56">
        <f t="shared" si="48"/>
        <v>4.8103610415234206</v>
      </c>
      <c r="T56">
        <f t="shared" si="49"/>
        <v>5.3721901167208994</v>
      </c>
      <c r="V56">
        <f t="shared" si="50"/>
        <v>-11.027972763528604</v>
      </c>
      <c r="W56">
        <f t="shared" si="51"/>
        <v>7.6409303574153373</v>
      </c>
      <c r="BC56">
        <v>0.94247779607693882</v>
      </c>
      <c r="BD56">
        <v>174.4162559008571</v>
      </c>
      <c r="BE56">
        <v>17.033447604183952</v>
      </c>
      <c r="BF56" s="6">
        <f t="shared" si="30"/>
        <v>9.7351038474614654E-2</v>
      </c>
      <c r="BG56" s="6">
        <f t="shared" si="31"/>
        <v>0.84512675760232414</v>
      </c>
      <c r="BH56" s="6">
        <f t="shared" si="2"/>
        <v>2.25884345171773</v>
      </c>
      <c r="BI56" s="6">
        <f t="shared" si="3"/>
        <v>2.25884345171773</v>
      </c>
      <c r="BV56" s="38"/>
      <c r="BW56" s="6">
        <f t="shared" si="8"/>
        <v>0.71558499331767567</v>
      </c>
      <c r="BX56" s="9">
        <f t="shared" ca="1" si="18"/>
        <v>146.49019197969898</v>
      </c>
      <c r="BY56" s="9">
        <f t="shared" ca="1" si="19"/>
        <v>25.54587309516106</v>
      </c>
      <c r="BZ56">
        <f t="shared" ca="1" si="20"/>
        <v>148.70093469256722</v>
      </c>
      <c r="CA56" s="6">
        <f t="shared" ca="1" si="21"/>
        <v>0.98513296021010999</v>
      </c>
      <c r="CB56" s="6">
        <f t="shared" ca="1" si="22"/>
        <v>0.17179362825106684</v>
      </c>
      <c r="CC56" s="6">
        <f t="shared" ca="1" si="23"/>
        <v>0.17265007780658181</v>
      </c>
      <c r="CD56" s="6">
        <f t="shared" ca="1" si="14"/>
        <v>-2.5801732054352771</v>
      </c>
      <c r="CE56" s="9">
        <f t="shared" ca="1" si="15"/>
        <v>223.88321065052077</v>
      </c>
      <c r="CF56" s="9">
        <f t="shared" ca="1" si="16"/>
        <v>-0.25179979511287343</v>
      </c>
      <c r="CG56">
        <f t="shared" ca="1" si="24"/>
        <v>223.88335224916182</v>
      </c>
      <c r="CH56">
        <f t="shared" ca="1" si="25"/>
        <v>0.99999936753385354</v>
      </c>
      <c r="CI56">
        <f t="shared" ca="1" si="26"/>
        <v>-1.124691910243702E-3</v>
      </c>
      <c r="CJ56">
        <f t="shared" ca="1" si="27"/>
        <v>-1.1246921473536148E-3</v>
      </c>
      <c r="CK56" s="38">
        <f t="shared" ca="1" si="28"/>
        <v>-2.3573191823396984</v>
      </c>
    </row>
    <row r="57" spans="1:89" ht="15.75" thickTop="1" x14ac:dyDescent="0.25">
      <c r="N57" s="6">
        <f>SUM(N49:N56)</f>
        <v>125.03834967484586</v>
      </c>
      <c r="O57" s="6">
        <f>SUM(O49:O56)</f>
        <v>715.84547759053726</v>
      </c>
      <c r="P57" s="6">
        <f>SUM(P49:P56)</f>
        <v>559.86628077651505</v>
      </c>
      <c r="BC57">
        <v>0.95993108859688214</v>
      </c>
      <c r="BD57">
        <v>170.99940656074281</v>
      </c>
      <c r="BE57">
        <v>18.26015330831893</v>
      </c>
      <c r="BF57" s="6">
        <f t="shared" si="30"/>
        <v>0.1063817576053545</v>
      </c>
      <c r="BG57" s="6">
        <f t="shared" si="31"/>
        <v>0.85354933099152763</v>
      </c>
      <c r="BH57" s="6">
        <f t="shared" si="2"/>
        <v>2.2498127325869905</v>
      </c>
      <c r="BI57" s="6">
        <f t="shared" si="3"/>
        <v>2.2498127325869905</v>
      </c>
      <c r="BV57" s="38"/>
      <c r="BW57" s="6">
        <f t="shared" si="8"/>
        <v>0.73303828583761899</v>
      </c>
      <c r="BX57" s="9">
        <f t="shared" ca="1" si="18"/>
        <v>142.69650848095097</v>
      </c>
      <c r="BY57" s="9">
        <f t="shared" ca="1" si="19"/>
        <v>26.910881665020998</v>
      </c>
      <c r="BZ57">
        <f t="shared" ca="1" si="20"/>
        <v>145.21187652751712</v>
      </c>
      <c r="CA57" s="6">
        <f t="shared" ca="1" si="21"/>
        <v>0.98267794544966502</v>
      </c>
      <c r="CB57" s="6">
        <f t="shared" ca="1" si="22"/>
        <v>0.18532149234998341</v>
      </c>
      <c r="CC57" s="6">
        <f t="shared" ca="1" si="23"/>
        <v>0.18639901166813377</v>
      </c>
      <c r="CD57" s="6">
        <f t="shared" ca="1" si="14"/>
        <v>-2.5664242715737249</v>
      </c>
      <c r="CE57" s="9">
        <f t="shared" ca="1" si="15"/>
        <v>220.08952715177276</v>
      </c>
      <c r="CF57" s="9">
        <f t="shared" ca="1" si="16"/>
        <v>1.1132087747470649</v>
      </c>
      <c r="CG57">
        <f t="shared" ca="1" si="24"/>
        <v>220.09234242850678</v>
      </c>
      <c r="CH57">
        <f t="shared" ca="1" si="25"/>
        <v>0.99998720865658952</v>
      </c>
      <c r="CI57">
        <f t="shared" ca="1" si="26"/>
        <v>5.0579168837219845E-3</v>
      </c>
      <c r="CJ57">
        <f t="shared" ca="1" si="27"/>
        <v>5.0579384496829277E-3</v>
      </c>
      <c r="CK57" s="38">
        <f t="shared" ca="1" si="28"/>
        <v>-2.3511365517426621</v>
      </c>
    </row>
    <row r="58" spans="1:89" x14ac:dyDescent="0.25">
      <c r="O58" s="6">
        <f>O57/N57</f>
        <v>5.7250074033450309</v>
      </c>
      <c r="P58" s="6">
        <f>-1*P57/N57</f>
        <v>-4.4775565435117395</v>
      </c>
      <c r="S58">
        <f>(P58*COS(-1*$B$27))+(O58*SIN(-1*$B$27))+$I$2</f>
        <v>0.96773965122981664</v>
      </c>
      <c r="T58">
        <f>(-1*P58*SIN(-1*$B$27))+(O58*COS(-1*$B$27))+$I$3</f>
        <v>6.7559006349139796</v>
      </c>
      <c r="BC58">
        <v>0.97738438111682546</v>
      </c>
      <c r="BD58">
        <v>167.60174969532099</v>
      </c>
      <c r="BE58">
        <v>19.447545204683127</v>
      </c>
      <c r="BF58" s="6">
        <f t="shared" si="30"/>
        <v>0.11551766824726435</v>
      </c>
      <c r="BG58" s="6">
        <f t="shared" si="31"/>
        <v>0.86186671286956107</v>
      </c>
      <c r="BH58" s="6">
        <f t="shared" si="2"/>
        <v>2.2406768219450806</v>
      </c>
      <c r="BI58" s="6">
        <f t="shared" si="3"/>
        <v>2.2406768219450806</v>
      </c>
      <c r="BV58" s="38"/>
      <c r="BW58" s="6">
        <f t="shared" si="8"/>
        <v>0.75049157835756231</v>
      </c>
      <c r="BX58" s="9">
        <f t="shared" ca="1" si="18"/>
        <v>138.88829320809418</v>
      </c>
      <c r="BY58" s="9">
        <f t="shared" ca="1" si="19"/>
        <v>28.27299208424661</v>
      </c>
      <c r="BZ58">
        <f t="shared" ca="1" si="20"/>
        <v>141.73679857980923</v>
      </c>
      <c r="CA58" s="6">
        <f t="shared" ca="1" si="21"/>
        <v>0.97990285232729368</v>
      </c>
      <c r="CB58" s="6">
        <f t="shared" ca="1" si="22"/>
        <v>0.19947531175770589</v>
      </c>
      <c r="CC58" s="6">
        <f t="shared" ca="1" si="23"/>
        <v>0.2008224423348727</v>
      </c>
      <c r="CD58" s="6">
        <f t="shared" ca="1" si="14"/>
        <v>-2.5520008409069859</v>
      </c>
      <c r="CE58" s="9">
        <f t="shared" ca="1" si="15"/>
        <v>216.28131187891597</v>
      </c>
      <c r="CF58" s="9">
        <f t="shared" ca="1" si="16"/>
        <v>2.4753191939726769</v>
      </c>
      <c r="CG58">
        <f t="shared" ca="1" si="24"/>
        <v>216.2954763123283</v>
      </c>
      <c r="CH58">
        <f t="shared" ca="1" si="25"/>
        <v>0.99993451350137397</v>
      </c>
      <c r="CI58">
        <f t="shared" ca="1" si="26"/>
        <v>1.1444156096904879E-2</v>
      </c>
      <c r="CJ58">
        <f t="shared" ca="1" si="27"/>
        <v>1.1444405916019642E-2</v>
      </c>
      <c r="CK58" s="38">
        <f t="shared" ca="1" si="28"/>
        <v>-2.3447500842763254</v>
      </c>
    </row>
    <row r="59" spans="1:89" x14ac:dyDescent="0.25">
      <c r="A59" t="s">
        <v>54</v>
      </c>
      <c r="O59">
        <f>O57/12</f>
        <v>59.653789799211438</v>
      </c>
      <c r="P59">
        <f>P57/12</f>
        <v>46.655523398042924</v>
      </c>
      <c r="BC59">
        <v>0.99483767363676878</v>
      </c>
      <c r="BD59">
        <v>164.22055722659761</v>
      </c>
      <c r="BE59">
        <v>20.597360414896983</v>
      </c>
      <c r="BF59" s="6">
        <f t="shared" si="30"/>
        <v>0.12477341633639008</v>
      </c>
      <c r="BG59" s="6">
        <f t="shared" si="31"/>
        <v>0.87006425730037873</v>
      </c>
      <c r="BH59" s="6">
        <f t="shared" si="2"/>
        <v>2.2314210738559548</v>
      </c>
      <c r="BI59" s="6">
        <f t="shared" si="3"/>
        <v>2.2314210738559548</v>
      </c>
      <c r="BV59" s="38"/>
      <c r="BW59" s="6">
        <f t="shared" si="8"/>
        <v>0.76794487087750563</v>
      </c>
      <c r="BX59" s="9">
        <f t="shared" ca="1" si="18"/>
        <v>135.06592686746734</v>
      </c>
      <c r="BY59" s="9">
        <f t="shared" ca="1" si="19"/>
        <v>29.6315800829389</v>
      </c>
      <c r="BZ59">
        <f t="shared" ca="1" si="20"/>
        <v>138.27810795198081</v>
      </c>
      <c r="CA59" s="6">
        <f t="shared" ca="1" si="21"/>
        <v>0.97677014003092266</v>
      </c>
      <c r="CB59" s="6">
        <f t="shared" ca="1" si="22"/>
        <v>0.21428974204093768</v>
      </c>
      <c r="CC59" s="6">
        <f t="shared" ca="1" si="23"/>
        <v>0.21596462222767782</v>
      </c>
      <c r="CD59" s="6">
        <f t="shared" ca="1" si="14"/>
        <v>-2.5368586610141808</v>
      </c>
      <c r="CE59" s="9">
        <f t="shared" ca="1" si="15"/>
        <v>212.45894553828913</v>
      </c>
      <c r="CF59" s="9">
        <f t="shared" ca="1" si="16"/>
        <v>3.8339071926649666</v>
      </c>
      <c r="CG59">
        <f t="shared" ca="1" si="24"/>
        <v>212.49353492189752</v>
      </c>
      <c r="CH59">
        <f t="shared" ca="1" si="25"/>
        <v>0.99983722147772114</v>
      </c>
      <c r="CI59">
        <f t="shared" ca="1" si="26"/>
        <v>1.8042465122875988E-2</v>
      </c>
      <c r="CJ59">
        <f t="shared" ca="1" si="27"/>
        <v>1.8043444161893216E-2</v>
      </c>
      <c r="CK59" s="38">
        <f t="shared" ca="1" si="28"/>
        <v>-2.3381510460304518</v>
      </c>
    </row>
    <row r="60" spans="1:89" x14ac:dyDescent="0.25">
      <c r="BC60">
        <v>1.0122909661567121</v>
      </c>
      <c r="BD60">
        <v>160.85212303866408</v>
      </c>
      <c r="BE60">
        <v>21.711790345594462</v>
      </c>
      <c r="BF60" s="6">
        <f t="shared" si="30"/>
        <v>0.13416890745597948</v>
      </c>
      <c r="BG60" s="6">
        <f t="shared" si="31"/>
        <v>0.87812205870073257</v>
      </c>
      <c r="BH60" s="6">
        <f t="shared" si="2"/>
        <v>2.2220255827363653</v>
      </c>
      <c r="BI60" s="6">
        <f t="shared" si="3"/>
        <v>2.2220255827363653</v>
      </c>
      <c r="BV60" s="38"/>
      <c r="BW60" s="6">
        <f t="shared" si="8"/>
        <v>0.78539816339744895</v>
      </c>
      <c r="BX60" s="9">
        <f t="shared" ca="1" si="18"/>
        <v>131.23000110340172</v>
      </c>
      <c r="BY60" s="9">
        <f t="shared" ca="1" si="19"/>
        <v>30.985878467953036</v>
      </c>
      <c r="BZ60">
        <f t="shared" ca="1" si="20"/>
        <v>134.83856219208795</v>
      </c>
      <c r="CA60" s="6">
        <f t="shared" ca="1" si="21"/>
        <v>0.97323791480700039</v>
      </c>
      <c r="CB60" s="6">
        <f t="shared" ca="1" si="22"/>
        <v>0.22979982850759903</v>
      </c>
      <c r="CC60" s="6">
        <f t="shared" ca="1" si="23"/>
        <v>0.23187200206096795</v>
      </c>
      <c r="CD60" s="6">
        <f t="shared" ca="1" si="14"/>
        <v>-2.5209512811808907</v>
      </c>
      <c r="CE60" s="9">
        <f t="shared" ca="1" si="15"/>
        <v>208.62301977422351</v>
      </c>
      <c r="CF60" s="9">
        <f t="shared" ca="1" si="16"/>
        <v>5.1882055776791027</v>
      </c>
      <c r="CG60">
        <f t="shared" ca="1" si="24"/>
        <v>208.68752204392172</v>
      </c>
      <c r="CH60">
        <f t="shared" ca="1" si="25"/>
        <v>0.99969091458336146</v>
      </c>
      <c r="CI60">
        <f t="shared" ca="1" si="26"/>
        <v>2.4861120237879675E-2</v>
      </c>
      <c r="CJ60">
        <f t="shared" ca="1" si="27"/>
        <v>2.4863681957834192E-2</v>
      </c>
      <c r="CK60" s="38">
        <f t="shared" ca="1" si="28"/>
        <v>-2.3313308082345108</v>
      </c>
    </row>
    <row r="61" spans="1:89" x14ac:dyDescent="0.25">
      <c r="A61">
        <f t="shared" ref="A61:E71" si="53">A14</f>
        <v>0</v>
      </c>
      <c r="B61" s="1" t="str">
        <f t="shared" si="53"/>
        <v>Bar #</v>
      </c>
      <c r="C61" s="1" t="str">
        <f t="shared" si="53"/>
        <v>As (in^2)</v>
      </c>
      <c r="D61" s="1" t="str">
        <f t="shared" si="53"/>
        <v>x</v>
      </c>
      <c r="E61" s="1" t="str">
        <f t="shared" si="53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157.49272647045564</v>
      </c>
      <c r="BE61">
        <v>22.792901025255631</v>
      </c>
      <c r="BF61" s="6">
        <f t="shared" si="30"/>
        <v>0.14372561987107865</v>
      </c>
      <c r="BG61" s="6">
        <f t="shared" si="31"/>
        <v>0.88601863880557674</v>
      </c>
      <c r="BH61" s="6">
        <f t="shared" si="2"/>
        <v>2.212468870321266</v>
      </c>
      <c r="BI61" s="6">
        <f t="shared" si="3"/>
        <v>2.212468870321266</v>
      </c>
      <c r="BV61" s="38"/>
      <c r="BW61" s="6">
        <f t="shared" si="8"/>
        <v>0.80285145591739226</v>
      </c>
      <c r="BX61" s="9">
        <f t="shared" ca="1" si="18"/>
        <v>127.38137808715122</v>
      </c>
      <c r="BY61" s="9">
        <f t="shared" ca="1" si="19"/>
        <v>32.33494613831656</v>
      </c>
      <c r="BZ61">
        <f t="shared" ca="1" si="20"/>
        <v>131.42132332749355</v>
      </c>
      <c r="CA61" s="6">
        <f t="shared" ca="1" si="21"/>
        <v>0.9692595909244115</v>
      </c>
      <c r="CB61" s="6">
        <f t="shared" ca="1" si="22"/>
        <v>0.24604033287459706</v>
      </c>
      <c r="CC61" s="6">
        <f t="shared" ca="1" si="23"/>
        <v>0.24859287395954793</v>
      </c>
      <c r="CD61" s="6">
        <f t="shared" ca="1" si="14"/>
        <v>-2.5042304092823109</v>
      </c>
      <c r="CE61" s="9">
        <f t="shared" ca="1" si="15"/>
        <v>204.77439675797302</v>
      </c>
      <c r="CF61" s="9">
        <f t="shared" ca="1" si="16"/>
        <v>6.5372732480426272</v>
      </c>
      <c r="CG61">
        <f t="shared" ca="1" si="24"/>
        <v>204.87871902447878</v>
      </c>
      <c r="CH61">
        <f t="shared" ca="1" si="25"/>
        <v>0.99949080965069248</v>
      </c>
      <c r="CI61">
        <f t="shared" ca="1" si="26"/>
        <v>3.190801504016412E-2</v>
      </c>
      <c r="CJ61">
        <f t="shared" ca="1" si="27"/>
        <v>3.1913431894572172E-2</v>
      </c>
      <c r="CK61" s="38">
        <f t="shared" ca="1" si="28"/>
        <v>-2.3242810582977729</v>
      </c>
    </row>
    <row r="62" spans="1:89" x14ac:dyDescent="0.25">
      <c r="A62">
        <f t="shared" si="53"/>
        <v>1</v>
      </c>
      <c r="B62" s="1">
        <f t="shared" si="53"/>
        <v>8</v>
      </c>
      <c r="C62" s="1">
        <f t="shared" ca="1" si="53"/>
        <v>0.79</v>
      </c>
      <c r="D62" s="1">
        <f t="shared" si="53"/>
        <v>2</v>
      </c>
      <c r="E62" s="1">
        <f t="shared" si="53"/>
        <v>2</v>
      </c>
      <c r="F62" s="1">
        <f t="shared" ref="F62:F71" si="54">D62-$I$2</f>
        <v>-4</v>
      </c>
      <c r="G62" s="1">
        <f t="shared" ref="G62:G71" si="55">E62-$I$3</f>
        <v>-10</v>
      </c>
      <c r="H62" s="6">
        <f t="shared" ref="H62:H71" si="56">F62*COS($B$27)+G62*SIN($B$27)</f>
        <v>-9.3317735679839053</v>
      </c>
      <c r="I62" s="6">
        <f t="shared" ref="I62:I71" si="57">-1*F62*SIN($B$27)+G62*COS($B$27)</f>
        <v>5.3775461016970301</v>
      </c>
      <c r="J62" s="6">
        <f t="shared" ref="J62:J71" si="58">$G$38-I62</f>
        <v>2.2633842557183073</v>
      </c>
      <c r="K62">
        <f t="shared" ref="K62:K71" ca="1" si="59">IF($B$28=0,-1,IF(C62=0,0,(($B$28-J62)/$B$28)*$B$30)*IF($B$28&lt;0,-1,1))</f>
        <v>1.1098327563455867E-3</v>
      </c>
      <c r="L62">
        <f t="shared" ref="L62:L71" ca="1" si="60">IF(AND(K62&gt;0,J62&lt;=$B$29),MIN((K62*B$13),B$12)-$B$31,MAX(K62*B$13,-1*B$12))</f>
        <v>27.935149934022014</v>
      </c>
      <c r="M62" s="6">
        <f t="shared" ref="M62:M71" ca="1" si="61">L62*C62</f>
        <v>22.068768447877392</v>
      </c>
      <c r="N62" s="6">
        <f t="shared" ref="N62:N71" ca="1" si="62">M62*I62</f>
        <v>118.67581973613748</v>
      </c>
      <c r="O62" s="6">
        <f t="shared" ref="O62:O71" ca="1" si="63">M62*H62*-1</f>
        <v>205.94075007985944</v>
      </c>
      <c r="Q62">
        <f t="shared" ref="Q62:Q71" si="64">IF($B62=0,NA(),H62)</f>
        <v>-9.3317735679839053</v>
      </c>
      <c r="R62">
        <f t="shared" ref="R62:R71" si="65">IF($B62=0,NA(),I62)</f>
        <v>5.3775461016970301</v>
      </c>
      <c r="BC62">
        <v>1.0471975511965987</v>
      </c>
      <c r="BD62">
        <v>154.13860423249739</v>
      </c>
      <c r="BE62">
        <v>23.842649669137256</v>
      </c>
      <c r="BF62" s="6">
        <f t="shared" si="30"/>
        <v>0.15346689961745058</v>
      </c>
      <c r="BG62" s="6">
        <f t="shared" si="31"/>
        <v>0.89373065157914811</v>
      </c>
      <c r="BH62" s="6">
        <f t="shared" si="2"/>
        <v>2.2027275905748942</v>
      </c>
      <c r="BI62" s="6">
        <f t="shared" si="3"/>
        <v>2.2027275905748942</v>
      </c>
      <c r="BV62" s="38"/>
      <c r="BW62" s="6">
        <f t="shared" si="8"/>
        <v>0.82030474843733558</v>
      </c>
      <c r="BX62" s="9">
        <f t="shared" ca="1" si="18"/>
        <v>123.52126569998764</v>
      </c>
      <c r="BY62" s="9">
        <f t="shared" ca="1" si="19"/>
        <v>33.677629804504264</v>
      </c>
      <c r="BZ62">
        <f t="shared" ca="1" si="20"/>
        <v>128.03001925086232</v>
      </c>
      <c r="CA62" s="6">
        <f t="shared" ca="1" si="21"/>
        <v>0.96478362201883117</v>
      </c>
      <c r="CB62" s="6">
        <f t="shared" ca="1" si="22"/>
        <v>0.26304479216328347</v>
      </c>
      <c r="CC62" s="6">
        <f t="shared" ca="1" si="23"/>
        <v>0.26617678421867946</v>
      </c>
      <c r="CD62" s="6">
        <f t="shared" ca="1" si="14"/>
        <v>-2.4866464990231791</v>
      </c>
      <c r="CE62" s="9">
        <f t="shared" ca="1" si="15"/>
        <v>200.91428437080944</v>
      </c>
      <c r="CF62" s="9">
        <f t="shared" ca="1" si="16"/>
        <v>7.8799569142303305</v>
      </c>
      <c r="CG62">
        <f t="shared" ca="1" si="24"/>
        <v>201.06875288120881</v>
      </c>
      <c r="CH62">
        <f t="shared" ca="1" si="25"/>
        <v>0.99923176272699799</v>
      </c>
      <c r="CI62">
        <f t="shared" ca="1" si="26"/>
        <v>3.9190360517557893E-2</v>
      </c>
      <c r="CJ62">
        <f t="shared" ca="1" si="27"/>
        <v>3.9200399434430995E-2</v>
      </c>
      <c r="CK62" s="38">
        <f t="shared" ca="1" si="28"/>
        <v>-2.3169940907579138</v>
      </c>
    </row>
    <row r="63" spans="1:89" x14ac:dyDescent="0.25">
      <c r="A63">
        <f t="shared" si="53"/>
        <v>2</v>
      </c>
      <c r="B63" s="1">
        <f t="shared" si="53"/>
        <v>8</v>
      </c>
      <c r="C63" s="1">
        <f t="shared" ca="1" si="53"/>
        <v>0.79</v>
      </c>
      <c r="D63" s="1">
        <f t="shared" si="53"/>
        <v>2</v>
      </c>
      <c r="E63" s="1">
        <f t="shared" si="53"/>
        <v>4</v>
      </c>
      <c r="F63" s="1">
        <f t="shared" si="54"/>
        <v>-4</v>
      </c>
      <c r="G63" s="1">
        <f t="shared" si="55"/>
        <v>-8</v>
      </c>
      <c r="H63" s="6">
        <f t="shared" si="56"/>
        <v>-7.3519818423524024</v>
      </c>
      <c r="I63" s="6">
        <f t="shared" si="57"/>
        <v>5.0939535716102249</v>
      </c>
      <c r="J63" s="6">
        <f t="shared" si="58"/>
        <v>2.5469767858051124</v>
      </c>
      <c r="K63">
        <f t="shared" ca="1" si="59"/>
        <v>8.7300274855486751E-4</v>
      </c>
      <c r="L63">
        <f t="shared" ca="1" si="60"/>
        <v>21.067079708091157</v>
      </c>
      <c r="M63" s="6">
        <f t="shared" ca="1" si="61"/>
        <v>16.642992969392015</v>
      </c>
      <c r="N63" s="6">
        <f t="shared" ca="1" si="62"/>
        <v>84.778633478718319</v>
      </c>
      <c r="O63" s="6">
        <f t="shared" ca="1" si="63"/>
        <v>122.35898211336878</v>
      </c>
      <c r="Q63">
        <f t="shared" si="64"/>
        <v>-7.3519818423524024</v>
      </c>
      <c r="R63">
        <f t="shared" si="65"/>
        <v>5.0939535716102249</v>
      </c>
      <c r="BC63">
        <v>1.0646508437165421</v>
      </c>
      <c r="BD63">
        <v>150.78591937701623</v>
      </c>
      <c r="BE63">
        <v>24.862900882311774</v>
      </c>
      <c r="BF63" s="6">
        <f t="shared" si="30"/>
        <v>0.16341830970374882</v>
      </c>
      <c r="BG63" s="6">
        <f t="shared" si="31"/>
        <v>0.90123253401279324</v>
      </c>
      <c r="BH63" s="6">
        <f t="shared" si="2"/>
        <v>2.1927761804885959</v>
      </c>
      <c r="BI63" s="6">
        <f t="shared" si="3"/>
        <v>2.1927761804885959</v>
      </c>
      <c r="BV63" s="38"/>
      <c r="BW63" s="6">
        <f t="shared" si="8"/>
        <v>0.8377580409572789</v>
      </c>
      <c r="BX63" s="9">
        <f t="shared" ca="1" si="18"/>
        <v>119.65131311958346</v>
      </c>
      <c r="BY63" s="9">
        <f t="shared" ca="1" si="19"/>
        <v>35.012516315394933</v>
      </c>
      <c r="BZ63">
        <f t="shared" ca="1" si="20"/>
        <v>124.66881338160078</v>
      </c>
      <c r="CA63" s="6">
        <f t="shared" ca="1" si="21"/>
        <v>0.95975336472755879</v>
      </c>
      <c r="CB63" s="6">
        <f t="shared" ca="1" si="22"/>
        <v>0.280844225317398</v>
      </c>
      <c r="CC63" s="6">
        <f t="shared" ca="1" si="23"/>
        <v>0.28467362350270414</v>
      </c>
      <c r="CD63" s="6">
        <f t="shared" ca="1" si="14"/>
        <v>-2.4681496597391543</v>
      </c>
      <c r="CE63" s="9">
        <f t="shared" ca="1" si="15"/>
        <v>197.04433179040527</v>
      </c>
      <c r="CF63" s="9">
        <f t="shared" ca="1" si="16"/>
        <v>9.2148434251209999</v>
      </c>
      <c r="CG63">
        <f t="shared" ca="1" si="24"/>
        <v>197.25968171442639</v>
      </c>
      <c r="CH63">
        <f t="shared" ca="1" si="25"/>
        <v>0.99890829224629452</v>
      </c>
      <c r="CI63">
        <f t="shared" ca="1" si="26"/>
        <v>4.6714277063781152E-2</v>
      </c>
      <c r="CJ63">
        <f t="shared" ca="1" si="27"/>
        <v>4.6731283936786674E-2</v>
      </c>
      <c r="CK63" s="38">
        <f t="shared" ca="1" si="28"/>
        <v>-2.309463206255558</v>
      </c>
    </row>
    <row r="64" spans="1:89" x14ac:dyDescent="0.25">
      <c r="A64">
        <f t="shared" si="53"/>
        <v>3</v>
      </c>
      <c r="B64" s="1">
        <f t="shared" si="53"/>
        <v>8</v>
      </c>
      <c r="C64" s="1">
        <f t="shared" ca="1" si="53"/>
        <v>0.79</v>
      </c>
      <c r="D64" s="1">
        <f t="shared" si="53"/>
        <v>4</v>
      </c>
      <c r="E64" s="1">
        <f t="shared" si="53"/>
        <v>2</v>
      </c>
      <c r="F64" s="1">
        <f t="shared" si="54"/>
        <v>-2</v>
      </c>
      <c r="G64" s="1">
        <f t="shared" si="55"/>
        <v>-10</v>
      </c>
      <c r="H64" s="6">
        <f t="shared" si="56"/>
        <v>-9.6153660980707105</v>
      </c>
      <c r="I64" s="6">
        <f t="shared" si="57"/>
        <v>3.3977543760655271</v>
      </c>
      <c r="J64" s="6">
        <f t="shared" si="58"/>
        <v>4.2431759813498102</v>
      </c>
      <c r="K64">
        <f t="shared" ca="1" si="59"/>
        <v>-5.4350447951810816E-4</v>
      </c>
      <c r="L64">
        <f t="shared" ca="1" si="60"/>
        <v>-15.761629906025137</v>
      </c>
      <c r="M64" s="6">
        <f t="shared" ca="1" si="61"/>
        <v>-12.451687625759858</v>
      </c>
      <c r="N64" s="6">
        <f t="shared" ca="1" si="62"/>
        <v>-42.307776119826528</v>
      </c>
      <c r="O64" s="6">
        <f t="shared" ca="1" si="63"/>
        <v>-119.72753506049791</v>
      </c>
      <c r="Q64">
        <f t="shared" si="64"/>
        <v>-9.6153660980707105</v>
      </c>
      <c r="R64">
        <f t="shared" si="65"/>
        <v>3.3977543760655271</v>
      </c>
      <c r="BC64">
        <v>1.0821041362364854</v>
      </c>
      <c r="BD64">
        <v>147.4307262705658</v>
      </c>
      <c r="BE64">
        <v>25.855442871538727</v>
      </c>
      <c r="BF64" s="6">
        <f t="shared" si="30"/>
        <v>0.17360804752834169</v>
      </c>
      <c r="BG64" s="6">
        <f t="shared" si="31"/>
        <v>0.90849608870814369</v>
      </c>
      <c r="BH64" s="6">
        <f t="shared" si="2"/>
        <v>2.1825864426640029</v>
      </c>
      <c r="BI64" s="6">
        <f t="shared" si="3"/>
        <v>2.1825864426640029</v>
      </c>
      <c r="BV64" s="38"/>
      <c r="BW64" s="6">
        <f t="shared" si="8"/>
        <v>0.85521133347722222</v>
      </c>
      <c r="BX64" s="9">
        <f t="shared" ca="1" si="18"/>
        <v>115.77373333884795</v>
      </c>
      <c r="BY64" s="9">
        <f t="shared" ca="1" si="19"/>
        <v>36.337872782665002</v>
      </c>
      <c r="BZ64">
        <f t="shared" ca="1" si="20"/>
        <v>121.34248361387623</v>
      </c>
      <c r="CA64" s="6">
        <f t="shared" ca="1" si="21"/>
        <v>0.95410716750492275</v>
      </c>
      <c r="CB64" s="6">
        <f t="shared" ca="1" si="22"/>
        <v>0.29946537849262839</v>
      </c>
      <c r="CC64" s="6">
        <f t="shared" ca="1" si="23"/>
        <v>0.30413226774587204</v>
      </c>
      <c r="CD64" s="6">
        <f t="shared" ca="1" si="14"/>
        <v>-2.4486910154959864</v>
      </c>
      <c r="CE64" s="9">
        <f t="shared" ca="1" si="15"/>
        <v>193.16675200966975</v>
      </c>
      <c r="CF64" s="9">
        <f t="shared" ca="1" si="16"/>
        <v>10.540199892391069</v>
      </c>
      <c r="CG64">
        <f t="shared" ca="1" si="24"/>
        <v>193.45410281443196</v>
      </c>
      <c r="CH64">
        <f t="shared" ca="1" si="25"/>
        <v>0.9985146305992908</v>
      </c>
      <c r="CI64">
        <f t="shared" ca="1" si="26"/>
        <v>5.4484240649584993E-2</v>
      </c>
      <c r="CJ64">
        <f t="shared" ca="1" si="27"/>
        <v>5.451123309572789E-2</v>
      </c>
      <c r="CK64" s="38">
        <f t="shared" ca="1" si="28"/>
        <v>-2.301683257096617</v>
      </c>
    </row>
    <row r="65" spans="1:89" x14ac:dyDescent="0.25">
      <c r="A65">
        <f t="shared" si="53"/>
        <v>4</v>
      </c>
      <c r="B65" s="1">
        <f t="shared" si="53"/>
        <v>8</v>
      </c>
      <c r="C65" s="1">
        <f t="shared" ca="1" si="53"/>
        <v>0.79</v>
      </c>
      <c r="D65" s="1">
        <f t="shared" si="53"/>
        <v>4</v>
      </c>
      <c r="E65" s="1">
        <f t="shared" si="53"/>
        <v>4</v>
      </c>
      <c r="F65" s="1">
        <f t="shared" si="54"/>
        <v>-2</v>
      </c>
      <c r="G65" s="1">
        <f t="shared" si="55"/>
        <v>-8</v>
      </c>
      <c r="H65" s="6">
        <f t="shared" si="56"/>
        <v>-7.6355743724392067</v>
      </c>
      <c r="I65" s="6">
        <f t="shared" si="57"/>
        <v>3.1141618459787219</v>
      </c>
      <c r="J65" s="6">
        <f t="shared" si="58"/>
        <v>4.5267685114366154</v>
      </c>
      <c r="K65">
        <f t="shared" ca="1" si="59"/>
        <v>-7.8033448730882734E-4</v>
      </c>
      <c r="L65">
        <f t="shared" ca="1" si="60"/>
        <v>-22.629700131955993</v>
      </c>
      <c r="M65" s="6">
        <f t="shared" ca="1" si="61"/>
        <v>-17.877463104245233</v>
      </c>
      <c r="N65" s="6">
        <f t="shared" ca="1" si="62"/>
        <v>-55.673313502132828</v>
      </c>
      <c r="O65" s="6">
        <f t="shared" ca="1" si="63"/>
        <v>-136.50469912300238</v>
      </c>
      <c r="Q65">
        <f t="shared" si="64"/>
        <v>-7.6355743724392067</v>
      </c>
      <c r="R65">
        <f t="shared" si="65"/>
        <v>3.1141618459787219</v>
      </c>
      <c r="BC65">
        <v>1.0995574287564287</v>
      </c>
      <c r="BD65">
        <v>144.06893022465124</v>
      </c>
      <c r="BE65">
        <v>26.822004082665984</v>
      </c>
      <c r="BF65" s="6">
        <f t="shared" si="30"/>
        <v>0.18406744885945522</v>
      </c>
      <c r="BG65" s="6">
        <f t="shared" si="31"/>
        <v>0.91548997989697345</v>
      </c>
      <c r="BH65" s="6">
        <f t="shared" si="2"/>
        <v>2.1721270413328897</v>
      </c>
      <c r="BI65" s="6">
        <f t="shared" si="3"/>
        <v>2.1721270413328897</v>
      </c>
      <c r="BV65" s="38"/>
      <c r="BW65" s="6">
        <f t="shared" si="8"/>
        <v>0.87266462599716554</v>
      </c>
      <c r="BX65" s="9">
        <f t="shared" ca="1" si="18"/>
        <v>111.60531981379957</v>
      </c>
      <c r="BY65" s="9">
        <f t="shared" ca="1" si="19"/>
        <v>37.66847569974653</v>
      </c>
      <c r="BZ65">
        <f t="shared" ca="1" si="20"/>
        <v>117.79075291500126</v>
      </c>
      <c r="CA65" s="6">
        <f t="shared" ca="1" si="21"/>
        <v>0.94748795683762077</v>
      </c>
      <c r="CB65" s="6">
        <f t="shared" ca="1" si="22"/>
        <v>0.31979145024167049</v>
      </c>
      <c r="CC65" s="6">
        <f t="shared" ca="1" si="23"/>
        <v>0.32550937103284205</v>
      </c>
      <c r="CD65" s="6">
        <f t="shared" ca="1" si="14"/>
        <v>-2.4273139122090166</v>
      </c>
      <c r="CE65" s="9">
        <f t="shared" ca="1" si="15"/>
        <v>188.99833848462137</v>
      </c>
      <c r="CF65" s="9">
        <f t="shared" ca="1" si="16"/>
        <v>11.870802809472597</v>
      </c>
      <c r="CG65">
        <f t="shared" ca="1" si="24"/>
        <v>189.37076836008481</v>
      </c>
      <c r="CH65">
        <f t="shared" ca="1" si="25"/>
        <v>0.99803332964908675</v>
      </c>
      <c r="CI65">
        <f t="shared" ca="1" si="26"/>
        <v>6.26855079707999E-2</v>
      </c>
      <c r="CJ65">
        <f t="shared" ca="1" si="27"/>
        <v>6.2726634235326845E-2</v>
      </c>
      <c r="CK65" s="38">
        <f t="shared" ca="1" si="28"/>
        <v>-2.2934678559570179</v>
      </c>
    </row>
    <row r="66" spans="1:89" x14ac:dyDescent="0.25">
      <c r="A66">
        <f t="shared" si="53"/>
        <v>5</v>
      </c>
      <c r="B66" s="1">
        <f t="shared" si="53"/>
        <v>0</v>
      </c>
      <c r="C66" s="1">
        <f t="shared" ca="1" si="53"/>
        <v>0</v>
      </c>
      <c r="D66" s="1">
        <f t="shared" si="53"/>
        <v>2</v>
      </c>
      <c r="E66" s="1">
        <f t="shared" si="53"/>
        <v>8.66</v>
      </c>
      <c r="F66" s="1">
        <f t="shared" si="54"/>
        <v>-4</v>
      </c>
      <c r="G66" s="1">
        <f t="shared" si="55"/>
        <v>-3.34</v>
      </c>
      <c r="H66" s="6">
        <f t="shared" si="56"/>
        <v>-2.7390671216310003</v>
      </c>
      <c r="I66" s="6">
        <f t="shared" si="57"/>
        <v>4.43318297650797</v>
      </c>
      <c r="J66" s="6">
        <f t="shared" si="58"/>
        <v>3.2077473809073673</v>
      </c>
      <c r="K66">
        <f t="shared" ca="1" si="59"/>
        <v>0</v>
      </c>
      <c r="L66">
        <f t="shared" ca="1" si="60"/>
        <v>0</v>
      </c>
      <c r="M66" s="6">
        <f t="shared" ca="1" si="61"/>
        <v>0</v>
      </c>
      <c r="N66" s="6">
        <f t="shared" ca="1" si="62"/>
        <v>0</v>
      </c>
      <c r="O66" s="6">
        <f t="shared" ca="1" si="63"/>
        <v>0</v>
      </c>
      <c r="Q66" t="e">
        <f t="shared" si="64"/>
        <v>#N/A</v>
      </c>
      <c r="R66" t="e">
        <f t="shared" si="65"/>
        <v>#N/A</v>
      </c>
      <c r="BC66">
        <v>1.117010721276372</v>
      </c>
      <c r="BD66">
        <v>140.69624003708049</v>
      </c>
      <c r="BE66">
        <v>27.764270744256773</v>
      </c>
      <c r="BF66" s="6">
        <f t="shared" ref="BF66:BF97" si="66">IF(BC66&lt;&gt;"",IF(AND(BD66=0,BE66=0),0,MOD(ATAN2(BD66,BE66),2*PI())),NA())</f>
        <v>0.19483160248958836</v>
      </c>
      <c r="BG66" s="6">
        <f t="shared" ref="BG66:BG97" si="67">ABS(BC66-BF66)</f>
        <v>0.9221791187867836</v>
      </c>
      <c r="BH66" s="6">
        <f t="shared" si="2"/>
        <v>2.1613628877027566</v>
      </c>
      <c r="BI66" s="6">
        <f t="shared" si="3"/>
        <v>2.1613628877027566</v>
      </c>
      <c r="BV66" s="38"/>
      <c r="BW66" s="6">
        <f t="shared" si="8"/>
        <v>0.89011791851710886</v>
      </c>
      <c r="BX66" s="9">
        <f t="shared" ca="1" si="18"/>
        <v>107.43409618332704</v>
      </c>
      <c r="BY66" s="9">
        <f t="shared" ca="1" si="19"/>
        <v>38.98301417310558</v>
      </c>
      <c r="BZ66">
        <f t="shared" ca="1" si="20"/>
        <v>114.28805894208247</v>
      </c>
      <c r="CA66" s="6">
        <f t="shared" ca="1" si="21"/>
        <v>0.9400290562093736</v>
      </c>
      <c r="CB66" s="6">
        <f t="shared" ca="1" si="22"/>
        <v>0.34109437621003719</v>
      </c>
      <c r="CC66" s="6">
        <f t="shared" ca="1" si="23"/>
        <v>0.3480808460207066</v>
      </c>
      <c r="CD66" s="6">
        <f t="shared" ca="1" si="14"/>
        <v>-2.4047424372211519</v>
      </c>
      <c r="CE66" s="9">
        <f t="shared" ca="1" si="15"/>
        <v>184.82711485414885</v>
      </c>
      <c r="CF66" s="9">
        <f t="shared" ca="1" si="16"/>
        <v>13.185341282831647</v>
      </c>
      <c r="CG66">
        <f t="shared" ca="1" si="24"/>
        <v>185.29683108475837</v>
      </c>
      <c r="CH66">
        <f t="shared" ca="1" si="25"/>
        <v>0.99746506063886942</v>
      </c>
      <c r="CI66">
        <f t="shared" ca="1" si="26"/>
        <v>7.1157942667677984E-2</v>
      </c>
      <c r="CJ66">
        <f t="shared" ca="1" si="27"/>
        <v>7.1218130724572712E-2</v>
      </c>
      <c r="CK66" s="38">
        <f t="shared" ca="1" si="28"/>
        <v>-2.2849763594677723</v>
      </c>
    </row>
    <row r="67" spans="1:89" x14ac:dyDescent="0.25">
      <c r="A67">
        <f t="shared" si="53"/>
        <v>6</v>
      </c>
      <c r="B67" s="1">
        <f t="shared" si="53"/>
        <v>0</v>
      </c>
      <c r="C67" s="1">
        <f t="shared" ca="1" si="53"/>
        <v>0</v>
      </c>
      <c r="D67" s="1">
        <f t="shared" si="53"/>
        <v>10</v>
      </c>
      <c r="E67" s="1">
        <f t="shared" si="53"/>
        <v>8.66</v>
      </c>
      <c r="F67" s="1">
        <f t="shared" si="54"/>
        <v>4</v>
      </c>
      <c r="G67" s="1">
        <f t="shared" si="55"/>
        <v>-3.34</v>
      </c>
      <c r="H67" s="6">
        <f t="shared" si="56"/>
        <v>-3.8734372419782193</v>
      </c>
      <c r="I67" s="6">
        <f t="shared" si="57"/>
        <v>-3.4859839260180419</v>
      </c>
      <c r="J67" s="6">
        <f t="shared" si="58"/>
        <v>11.126914283433379</v>
      </c>
      <c r="K67">
        <f t="shared" ca="1" si="59"/>
        <v>0</v>
      </c>
      <c r="L67">
        <f t="shared" ca="1" si="60"/>
        <v>0</v>
      </c>
      <c r="M67" s="6">
        <f t="shared" ca="1" si="61"/>
        <v>0</v>
      </c>
      <c r="N67" s="6">
        <f t="shared" ca="1" si="62"/>
        <v>0</v>
      </c>
      <c r="O67" s="6">
        <f t="shared" ca="1" si="63"/>
        <v>0</v>
      </c>
      <c r="Q67" t="e">
        <f t="shared" si="64"/>
        <v>#N/A</v>
      </c>
      <c r="R67" t="e">
        <f t="shared" si="65"/>
        <v>#N/A</v>
      </c>
      <c r="BC67">
        <v>1.1344640137963153</v>
      </c>
      <c r="BD67">
        <v>137.3081111185295</v>
      </c>
      <c r="BE67">
        <v>28.6839059135281</v>
      </c>
      <c r="BF67" s="6">
        <f t="shared" si="66"/>
        <v>0.20594010781652877</v>
      </c>
      <c r="BG67" s="6">
        <f t="shared" si="67"/>
        <v>0.92852390597978651</v>
      </c>
      <c r="BH67" s="6">
        <f t="shared" ref="BH67:BH130" si="68">ATAN2(COS($U$13-BF67),SIN($U$13-BF67))</f>
        <v>2.1502543823758162</v>
      </c>
      <c r="BI67" s="6">
        <f t="shared" ref="BI67:BI130" si="69">ABS(BH67)</f>
        <v>2.1502543823758162</v>
      </c>
      <c r="BV67" s="38"/>
      <c r="BW67" s="6">
        <f t="shared" si="8"/>
        <v>0.90757121103705218</v>
      </c>
      <c r="BX67" s="9">
        <f t="shared" ca="1" si="18"/>
        <v>103.87245222887778</v>
      </c>
      <c r="BY67" s="9">
        <f t="shared" ca="1" si="19"/>
        <v>40.28504007882708</v>
      </c>
      <c r="BZ67">
        <f t="shared" ca="1" si="20"/>
        <v>111.410819879369</v>
      </c>
      <c r="CA67" s="6">
        <f t="shared" ca="1" si="21"/>
        <v>0.93233720334655601</v>
      </c>
      <c r="CB67" s="6">
        <f t="shared" ca="1" si="22"/>
        <v>0.36159001542620406</v>
      </c>
      <c r="CC67" s="6">
        <f t="shared" ca="1" si="23"/>
        <v>0.36997273875478509</v>
      </c>
      <c r="CD67" s="6">
        <f t="shared" ca="1" si="14"/>
        <v>-2.3828505444870736</v>
      </c>
      <c r="CE67" s="9">
        <f t="shared" ca="1" si="15"/>
        <v>181.26547089969958</v>
      </c>
      <c r="CF67" s="9">
        <f t="shared" ca="1" si="16"/>
        <v>14.487367188553147</v>
      </c>
      <c r="CG67">
        <f t="shared" ca="1" si="24"/>
        <v>181.84348970624657</v>
      </c>
      <c r="CH67">
        <f t="shared" ca="1" si="25"/>
        <v>0.99682133901257208</v>
      </c>
      <c r="CI67">
        <f t="shared" ca="1" si="26"/>
        <v>7.9669430079439829E-2</v>
      </c>
      <c r="CJ67">
        <f t="shared" ca="1" si="27"/>
        <v>7.9753951591729585E-2</v>
      </c>
      <c r="CK67" s="38">
        <f t="shared" ca="1" si="28"/>
        <v>-2.2764405386006152</v>
      </c>
    </row>
    <row r="68" spans="1:89" x14ac:dyDescent="0.25">
      <c r="A68">
        <f t="shared" si="53"/>
        <v>7</v>
      </c>
      <c r="B68" s="1">
        <f t="shared" si="53"/>
        <v>0</v>
      </c>
      <c r="C68" s="1">
        <f t="shared" ca="1" si="53"/>
        <v>0</v>
      </c>
      <c r="D68" s="1">
        <f t="shared" si="53"/>
        <v>2</v>
      </c>
      <c r="E68" s="1">
        <f t="shared" si="53"/>
        <v>15.33</v>
      </c>
      <c r="F68" s="1">
        <f t="shared" si="54"/>
        <v>-4</v>
      </c>
      <c r="G68" s="1">
        <f t="shared" si="55"/>
        <v>3.33</v>
      </c>
      <c r="H68" s="6">
        <f t="shared" si="56"/>
        <v>3.8635382833500618</v>
      </c>
      <c r="I68" s="6">
        <f t="shared" si="57"/>
        <v>3.4874018886684759</v>
      </c>
      <c r="J68" s="6">
        <f t="shared" si="58"/>
        <v>4.1535284687468614</v>
      </c>
      <c r="K68">
        <f t="shared" ca="1" si="59"/>
        <v>0</v>
      </c>
      <c r="L68">
        <f t="shared" ca="1" si="60"/>
        <v>0</v>
      </c>
      <c r="M68" s="6">
        <f t="shared" ca="1" si="61"/>
        <v>0</v>
      </c>
      <c r="N68" s="6">
        <f t="shared" ca="1" si="62"/>
        <v>0</v>
      </c>
      <c r="O68" s="6">
        <f t="shared" ca="1" si="63"/>
        <v>0</v>
      </c>
      <c r="Q68" t="e">
        <f t="shared" si="64"/>
        <v>#N/A</v>
      </c>
      <c r="R68" t="e">
        <f t="shared" si="65"/>
        <v>#N/A</v>
      </c>
      <c r="BC68">
        <v>1.1519173063162587</v>
      </c>
      <c r="BD68">
        <v>133.89967608089313</v>
      </c>
      <c r="BE68">
        <v>29.582570759675736</v>
      </c>
      <c r="BF68" s="6">
        <f t="shared" si="66"/>
        <v>0.21743801885072389</v>
      </c>
      <c r="BG68" s="6">
        <f t="shared" si="67"/>
        <v>0.93447928746553477</v>
      </c>
      <c r="BH68" s="6">
        <f t="shared" si="68"/>
        <v>2.1387564713416207</v>
      </c>
      <c r="BI68" s="6">
        <f t="shared" si="69"/>
        <v>2.1387564713416207</v>
      </c>
      <c r="BV68" s="38"/>
      <c r="BW68" s="6">
        <f t="shared" si="8"/>
        <v>0.9250245035569955</v>
      </c>
      <c r="BX68" s="9">
        <f t="shared" ca="1" si="18"/>
        <v>100.45010145590008</v>
      </c>
      <c r="BY68" s="9">
        <f t="shared" ca="1" si="19"/>
        <v>41.570529355709681</v>
      </c>
      <c r="BZ68">
        <f t="shared" ca="1" si="20"/>
        <v>108.71215108447879</v>
      </c>
      <c r="CA68" s="6">
        <f t="shared" ca="1" si="21"/>
        <v>0.92400067935222463</v>
      </c>
      <c r="CB68" s="6">
        <f t="shared" ca="1" si="22"/>
        <v>0.38239082697761878</v>
      </c>
      <c r="CC68" s="6">
        <f t="shared" ca="1" si="23"/>
        <v>0.39238238867593311</v>
      </c>
      <c r="CD68" s="6">
        <f t="shared" ca="1" si="14"/>
        <v>-2.3604408945659254</v>
      </c>
      <c r="CE68" s="9">
        <f t="shared" ca="1" si="15"/>
        <v>177.84312012672189</v>
      </c>
      <c r="CF68" s="9">
        <f t="shared" ca="1" si="16"/>
        <v>15.772856465435748</v>
      </c>
      <c r="CG68">
        <f t="shared" ca="1" si="24"/>
        <v>178.54119518331581</v>
      </c>
      <c r="CH68">
        <f t="shared" ca="1" si="25"/>
        <v>0.99609011771273748</v>
      </c>
      <c r="CI68">
        <f t="shared" ca="1" si="26"/>
        <v>8.8342953284484785E-2</v>
      </c>
      <c r="CJ68">
        <f t="shared" ca="1" si="27"/>
        <v>8.8458270504772937E-2</v>
      </c>
      <c r="CK68" s="38">
        <f t="shared" ca="1" si="28"/>
        <v>-2.2677362196875719</v>
      </c>
    </row>
    <row r="69" spans="1:89" x14ac:dyDescent="0.25">
      <c r="A69">
        <f t="shared" si="53"/>
        <v>8</v>
      </c>
      <c r="B69" s="1">
        <f t="shared" si="53"/>
        <v>0</v>
      </c>
      <c r="C69" s="1">
        <f t="shared" ca="1" si="53"/>
        <v>0</v>
      </c>
      <c r="D69" s="1">
        <f t="shared" si="53"/>
        <v>10</v>
      </c>
      <c r="E69" s="1">
        <f t="shared" si="53"/>
        <v>15.33</v>
      </c>
      <c r="F69" s="1">
        <f t="shared" si="54"/>
        <v>4</v>
      </c>
      <c r="G69" s="1">
        <f t="shared" si="55"/>
        <v>3.33</v>
      </c>
      <c r="H69" s="6">
        <f t="shared" si="56"/>
        <v>2.7291681630028428</v>
      </c>
      <c r="I69" s="6">
        <f t="shared" si="57"/>
        <v>-4.431765013857536</v>
      </c>
      <c r="J69" s="6">
        <f t="shared" si="58"/>
        <v>12.072695371272873</v>
      </c>
      <c r="K69">
        <f t="shared" ca="1" si="59"/>
        <v>0</v>
      </c>
      <c r="L69">
        <f t="shared" ca="1" si="60"/>
        <v>0</v>
      </c>
      <c r="M69" s="6">
        <f t="shared" ca="1" si="61"/>
        <v>0</v>
      </c>
      <c r="N69" s="6">
        <f t="shared" ca="1" si="62"/>
        <v>0</v>
      </c>
      <c r="O69" s="6">
        <f t="shared" ca="1" si="63"/>
        <v>0</v>
      </c>
      <c r="Q69" t="e">
        <f t="shared" si="64"/>
        <v>#N/A</v>
      </c>
      <c r="R69" t="e">
        <f t="shared" si="65"/>
        <v>#N/A</v>
      </c>
      <c r="BC69">
        <v>1.169370598836202</v>
      </c>
      <c r="BD69">
        <v>130.46565851829416</v>
      </c>
      <c r="BE69">
        <v>30.461949028277871</v>
      </c>
      <c r="BF69" s="6">
        <f t="shared" si="66"/>
        <v>0.22937703424688113</v>
      </c>
      <c r="BG69" s="6">
        <f t="shared" si="67"/>
        <v>0.93999356458932082</v>
      </c>
      <c r="BH69" s="6">
        <f t="shared" si="68"/>
        <v>2.1268174559454636</v>
      </c>
      <c r="BI69" s="6">
        <f t="shared" si="69"/>
        <v>2.1268174559454636</v>
      </c>
      <c r="BV69" s="38"/>
      <c r="BW69" s="6">
        <f t="shared" si="8"/>
        <v>0.94247779607693882</v>
      </c>
      <c r="BX69" s="9">
        <f t="shared" ca="1" si="18"/>
        <v>97.023237230035292</v>
      </c>
      <c r="BY69" s="9">
        <f t="shared" ca="1" si="19"/>
        <v>42.831120494457885</v>
      </c>
      <c r="BZ69">
        <f t="shared" ca="1" si="20"/>
        <v>106.05665205637257</v>
      </c>
      <c r="CA69" s="6">
        <f t="shared" ca="1" si="21"/>
        <v>0.91482462767601114</v>
      </c>
      <c r="CB69" s="6">
        <f t="shared" ca="1" si="22"/>
        <v>0.40385133477239832</v>
      </c>
      <c r="CC69" s="6">
        <f t="shared" ca="1" si="23"/>
        <v>0.41572286961896993</v>
      </c>
      <c r="CD69" s="6">
        <f t="shared" ca="1" si="14"/>
        <v>-2.3371004136228888</v>
      </c>
      <c r="CE69" s="9">
        <f t="shared" ca="1" si="15"/>
        <v>174.4162559008571</v>
      </c>
      <c r="CF69" s="9">
        <f t="shared" ca="1" si="16"/>
        <v>17.033447604183952</v>
      </c>
      <c r="CG69">
        <f t="shared" ca="1" si="24"/>
        <v>175.24602323521566</v>
      </c>
      <c r="CH69">
        <f t="shared" ca="1" si="25"/>
        <v>0.99526512887973018</v>
      </c>
      <c r="CI69">
        <f t="shared" ca="1" si="26"/>
        <v>9.7197341712693897E-2</v>
      </c>
      <c r="CJ69">
        <f t="shared" ca="1" si="27"/>
        <v>9.735103847461464E-2</v>
      </c>
      <c r="CK69" s="38">
        <f t="shared" ca="1" si="28"/>
        <v>-2.25884345171773</v>
      </c>
    </row>
    <row r="70" spans="1:89" x14ac:dyDescent="0.25">
      <c r="A70">
        <f t="shared" si="53"/>
        <v>9</v>
      </c>
      <c r="B70" s="1">
        <f t="shared" si="53"/>
        <v>0</v>
      </c>
      <c r="C70" s="1">
        <f t="shared" ca="1" si="53"/>
        <v>0</v>
      </c>
      <c r="D70" s="1">
        <f t="shared" si="53"/>
        <v>8</v>
      </c>
      <c r="E70" s="1">
        <f t="shared" si="53"/>
        <v>2</v>
      </c>
      <c r="F70" s="1">
        <f t="shared" si="54"/>
        <v>2</v>
      </c>
      <c r="G70" s="1">
        <f t="shared" si="55"/>
        <v>-10</v>
      </c>
      <c r="H70" s="6">
        <f t="shared" si="56"/>
        <v>-10.182551158244321</v>
      </c>
      <c r="I70" s="6">
        <f t="shared" si="57"/>
        <v>-0.56182907519747904</v>
      </c>
      <c r="J70" s="6">
        <f t="shared" si="58"/>
        <v>8.202759432612817</v>
      </c>
      <c r="K70">
        <f t="shared" ca="1" si="59"/>
        <v>0</v>
      </c>
      <c r="L70">
        <f t="shared" ca="1" si="60"/>
        <v>0</v>
      </c>
      <c r="M70" s="6">
        <f t="shared" ca="1" si="61"/>
        <v>0</v>
      </c>
      <c r="N70" s="6">
        <f t="shared" ca="1" si="62"/>
        <v>0</v>
      </c>
      <c r="O70" s="6">
        <f t="shared" ca="1" si="63"/>
        <v>0</v>
      </c>
      <c r="Q70" t="e">
        <f t="shared" si="64"/>
        <v>#N/A</v>
      </c>
      <c r="R70" t="e">
        <f t="shared" si="65"/>
        <v>#N/A</v>
      </c>
      <c r="BC70">
        <v>1.1868238913561453</v>
      </c>
      <c r="BD70">
        <v>127.00026405055638</v>
      </c>
      <c r="BE70">
        <v>31.323775933766143</v>
      </c>
      <c r="BF70" s="6">
        <f t="shared" si="66"/>
        <v>0.24181701631906818</v>
      </c>
      <c r="BG70" s="6">
        <f t="shared" si="67"/>
        <v>0.94500687503707714</v>
      </c>
      <c r="BH70" s="6">
        <f t="shared" si="68"/>
        <v>2.1143774738732768</v>
      </c>
      <c r="BI70" s="6">
        <f t="shared" si="69"/>
        <v>2.1143774738732768</v>
      </c>
      <c r="BV70" s="38"/>
      <c r="BW70" s="6">
        <f t="shared" si="8"/>
        <v>0.95993108859688214</v>
      </c>
      <c r="BX70" s="9">
        <f t="shared" ca="1" si="18"/>
        <v>93.60638788992101</v>
      </c>
      <c r="BY70" s="9">
        <f t="shared" ca="1" si="19"/>
        <v>44.057826198592863</v>
      </c>
      <c r="BZ70">
        <f t="shared" ca="1" si="20"/>
        <v>103.45650246912355</v>
      </c>
      <c r="CA70" s="6">
        <f t="shared" ca="1" si="21"/>
        <v>0.90478979721799224</v>
      </c>
      <c r="CB70" s="6">
        <f t="shared" ca="1" si="22"/>
        <v>0.42585845400816502</v>
      </c>
      <c r="CC70" s="6">
        <f t="shared" ca="1" si="23"/>
        <v>0.43991046233584408</v>
      </c>
      <c r="CD70" s="6">
        <f t="shared" ca="1" si="14"/>
        <v>-2.3129128209060146</v>
      </c>
      <c r="CE70" s="9">
        <f t="shared" ca="1" si="15"/>
        <v>170.99940656074281</v>
      </c>
      <c r="CF70" s="9">
        <f t="shared" ca="1" si="16"/>
        <v>18.26015330831893</v>
      </c>
      <c r="CG70">
        <f t="shared" ca="1" si="24"/>
        <v>171.97159719840229</v>
      </c>
      <c r="CH70">
        <f t="shared" ca="1" si="25"/>
        <v>0.99434679532261439</v>
      </c>
      <c r="CI70">
        <f t="shared" ca="1" si="26"/>
        <v>0.10618121600192114</v>
      </c>
      <c r="CJ70">
        <f t="shared" ca="1" si="27"/>
        <v>0.1063817576053545</v>
      </c>
      <c r="CK70" s="38">
        <f t="shared" ca="1" si="28"/>
        <v>-2.2498127325869905</v>
      </c>
    </row>
    <row r="71" spans="1:89" ht="15.75" thickBot="1" x14ac:dyDescent="0.3">
      <c r="A71">
        <f t="shared" si="53"/>
        <v>10</v>
      </c>
      <c r="B71" s="1">
        <f t="shared" si="53"/>
        <v>0</v>
      </c>
      <c r="C71" s="1">
        <f t="shared" ca="1" si="53"/>
        <v>0</v>
      </c>
      <c r="D71" s="1">
        <f t="shared" si="53"/>
        <v>10</v>
      </c>
      <c r="E71" s="1">
        <f t="shared" si="53"/>
        <v>2</v>
      </c>
      <c r="F71" s="1">
        <f t="shared" si="54"/>
        <v>4</v>
      </c>
      <c r="G71" s="1">
        <f t="shared" si="55"/>
        <v>-10</v>
      </c>
      <c r="H71" s="6">
        <f t="shared" si="56"/>
        <v>-10.466143688331126</v>
      </c>
      <c r="I71" s="6">
        <f t="shared" si="57"/>
        <v>-2.5416208008289818</v>
      </c>
      <c r="J71" s="6">
        <f t="shared" si="58"/>
        <v>10.182551158244319</v>
      </c>
      <c r="K71" s="12">
        <f t="shared" ca="1" si="59"/>
        <v>0</v>
      </c>
      <c r="L71">
        <f t="shared" ca="1" si="60"/>
        <v>0</v>
      </c>
      <c r="M71" s="11">
        <f t="shared" ca="1" si="61"/>
        <v>0</v>
      </c>
      <c r="N71" s="11">
        <f t="shared" ca="1" si="62"/>
        <v>0</v>
      </c>
      <c r="O71" s="11">
        <f t="shared" ca="1" si="63"/>
        <v>0</v>
      </c>
      <c r="Q71" t="e">
        <f t="shared" si="64"/>
        <v>#N/A</v>
      </c>
      <c r="R71" t="e">
        <f t="shared" si="65"/>
        <v>#N/A</v>
      </c>
      <c r="BC71">
        <v>1.2042771838760886</v>
      </c>
      <c r="BD71">
        <v>123.49704028322662</v>
      </c>
      <c r="BE71">
        <v>32.169873136906929</v>
      </c>
      <c r="BF71" s="6">
        <f t="shared" si="66"/>
        <v>0.25482795620045762</v>
      </c>
      <c r="BG71" s="6">
        <f t="shared" si="67"/>
        <v>0.949449227675631</v>
      </c>
      <c r="BH71" s="6">
        <f t="shared" si="68"/>
        <v>2.1013665339918872</v>
      </c>
      <c r="BI71" s="6">
        <f t="shared" si="69"/>
        <v>2.1013665339918872</v>
      </c>
      <c r="BV71" s="38"/>
      <c r="BW71" s="6">
        <f t="shared" si="8"/>
        <v>0.97738438111682546</v>
      </c>
      <c r="BX71" s="9">
        <f t="shared" ca="1" si="18"/>
        <v>90.208731024499187</v>
      </c>
      <c r="BY71" s="9">
        <f t="shared" ca="1" si="19"/>
        <v>45.24521809495706</v>
      </c>
      <c r="BZ71">
        <f t="shared" ca="1" si="20"/>
        <v>100.91949719212177</v>
      </c>
      <c r="CA71" s="6">
        <f t="shared" ca="1" si="21"/>
        <v>0.89386821708760245</v>
      </c>
      <c r="CB71" s="6">
        <f t="shared" ca="1" si="22"/>
        <v>0.44832980101776715</v>
      </c>
      <c r="CC71" s="6">
        <f t="shared" ca="1" si="23"/>
        <v>0.46489595462402528</v>
      </c>
      <c r="CD71" s="6">
        <f t="shared" ca="1" si="14"/>
        <v>-2.2879273286178332</v>
      </c>
      <c r="CE71" s="9">
        <f t="shared" ca="1" si="15"/>
        <v>167.60174969532099</v>
      </c>
      <c r="CF71" s="9">
        <f t="shared" ca="1" si="16"/>
        <v>19.447545204683127</v>
      </c>
      <c r="CG71">
        <f t="shared" ca="1" si="24"/>
        <v>168.72626800655914</v>
      </c>
      <c r="CH71">
        <f t="shared" ca="1" si="25"/>
        <v>0.99333525049463889</v>
      </c>
      <c r="CI71">
        <f t="shared" ca="1" si="26"/>
        <v>0.115260921932601</v>
      </c>
      <c r="CJ71">
        <f t="shared" ca="1" si="27"/>
        <v>0.11551766824726434</v>
      </c>
      <c r="CK71" s="38">
        <f t="shared" ca="1" si="28"/>
        <v>-2.2406768219450806</v>
      </c>
    </row>
    <row r="72" spans="1:89" ht="15.75" thickTop="1" x14ac:dyDescent="0.25">
      <c r="K72" s="13">
        <f ca="1">MIN(K62:K71)</f>
        <v>-7.8033448730882734E-4</v>
      </c>
      <c r="M72" s="9">
        <f ca="1">SUM(M62:M71)</f>
        <v>8.3826106872643145</v>
      </c>
      <c r="N72" s="9">
        <f ca="1">SUM(N62:N71)</f>
        <v>105.47336359289642</v>
      </c>
      <c r="O72" s="9">
        <f ca="1">SUM(O62:O71)</f>
        <v>72.067498009727927</v>
      </c>
      <c r="BC72">
        <v>1.2217304763960319</v>
      </c>
      <c r="BD72">
        <v>119.94869372060739</v>
      </c>
      <c r="BE72">
        <v>33.002192083757038</v>
      </c>
      <c r="BF72" s="6">
        <f t="shared" si="66"/>
        <v>0.26849255385789311</v>
      </c>
      <c r="BG72" s="6">
        <f t="shared" si="67"/>
        <v>0.95323792253813888</v>
      </c>
      <c r="BH72" s="6">
        <f t="shared" si="68"/>
        <v>2.0877019363344518</v>
      </c>
      <c r="BI72" s="6">
        <f t="shared" si="69"/>
        <v>2.0877019363344518</v>
      </c>
      <c r="BV72" s="38"/>
      <c r="BW72" s="6">
        <f t="shared" si="8"/>
        <v>0.99483767363676878</v>
      </c>
      <c r="BX72" s="9">
        <f t="shared" ca="1" si="18"/>
        <v>86.827538555775803</v>
      </c>
      <c r="BY72" s="9">
        <f t="shared" ca="1" si="19"/>
        <v>46.395033305170912</v>
      </c>
      <c r="BZ72">
        <f t="shared" ca="1" si="20"/>
        <v>98.445520807412322</v>
      </c>
      <c r="CA72" s="6">
        <f t="shared" ca="1" si="21"/>
        <v>0.88198566926813637</v>
      </c>
      <c r="CB72" s="6">
        <f t="shared" ca="1" si="22"/>
        <v>0.4712762238917188</v>
      </c>
      <c r="CC72" s="6">
        <f t="shared" ca="1" si="23"/>
        <v>0.49073720893458994</v>
      </c>
      <c r="CD72" s="6">
        <f t="shared" ca="1" si="14"/>
        <v>-2.2620860743072688</v>
      </c>
      <c r="CE72" s="9">
        <f t="shared" ca="1" si="15"/>
        <v>164.22055722659761</v>
      </c>
      <c r="CF72" s="9">
        <f t="shared" ca="1" si="16"/>
        <v>20.597360414896979</v>
      </c>
      <c r="CG72">
        <f t="shared" ca="1" si="24"/>
        <v>165.5072284580809</v>
      </c>
      <c r="CH72">
        <f t="shared" ca="1" si="25"/>
        <v>0.99222589101714564</v>
      </c>
      <c r="CI72">
        <f t="shared" ca="1" si="26"/>
        <v>0.12444991440427514</v>
      </c>
      <c r="CJ72">
        <f t="shared" ca="1" si="27"/>
        <v>0.12477341633639005</v>
      </c>
      <c r="CK72" s="38">
        <f t="shared" ca="1" si="28"/>
        <v>-2.2314210738559548</v>
      </c>
    </row>
    <row r="73" spans="1:89" x14ac:dyDescent="0.25">
      <c r="N73" s="46">
        <f ca="1">N72/12</f>
        <v>8.789446966074701</v>
      </c>
      <c r="O73" s="46">
        <f ca="1">O72/12</f>
        <v>6.005624834143994</v>
      </c>
      <c r="BC73">
        <v>1.2391837689159753</v>
      </c>
      <c r="BD73">
        <v>116.34684622454351</v>
      </c>
      <c r="BE73">
        <v>33.822868847120873</v>
      </c>
      <c r="BF73" s="6">
        <f t="shared" si="66"/>
        <v>0.28290966024744257</v>
      </c>
      <c r="BG73" s="6">
        <f t="shared" si="67"/>
        <v>0.95627410866853269</v>
      </c>
      <c r="BH73" s="6">
        <f t="shared" si="68"/>
        <v>2.0732848299449023</v>
      </c>
      <c r="BI73" s="6">
        <f t="shared" si="69"/>
        <v>2.0732848299449023</v>
      </c>
      <c r="BV73" s="38"/>
      <c r="BW73" s="6">
        <f t="shared" si="8"/>
        <v>1.0122909661567121</v>
      </c>
      <c r="BX73" s="9">
        <f t="shared" ca="1" si="18"/>
        <v>83.459104367842272</v>
      </c>
      <c r="BY73" s="9">
        <f t="shared" ca="1" si="19"/>
        <v>47.509463235868395</v>
      </c>
      <c r="BZ73">
        <f t="shared" ca="1" si="20"/>
        <v>96.034218895364162</v>
      </c>
      <c r="CA73" s="6">
        <f t="shared" ca="1" si="21"/>
        <v>0.86905589828118102</v>
      </c>
      <c r="CB73" s="6">
        <f t="shared" ca="1" si="22"/>
        <v>0.49471390283949929</v>
      </c>
      <c r="CC73" s="6">
        <f t="shared" ca="1" si="23"/>
        <v>0.51750559621872039</v>
      </c>
      <c r="CD73" s="6">
        <f t="shared" ca="1" si="14"/>
        <v>-2.2353176870231382</v>
      </c>
      <c r="CE73" s="9">
        <f t="shared" ca="1" si="15"/>
        <v>160.85212303866408</v>
      </c>
      <c r="CF73" s="9">
        <f t="shared" ca="1" si="16"/>
        <v>21.711790345594462</v>
      </c>
      <c r="CG73">
        <f t="shared" ca="1" si="24"/>
        <v>162.31083551647615</v>
      </c>
      <c r="CH73">
        <f t="shared" ca="1" si="25"/>
        <v>0.99101284598055073</v>
      </c>
      <c r="CI73">
        <f t="shared" ca="1" si="26"/>
        <v>0.13376673391217003</v>
      </c>
      <c r="CJ73">
        <f t="shared" ca="1" si="27"/>
        <v>0.13416890745597948</v>
      </c>
      <c r="CK73" s="38">
        <f t="shared" ca="1" si="28"/>
        <v>-2.2220255827363653</v>
      </c>
    </row>
    <row r="74" spans="1:89" x14ac:dyDescent="0.25">
      <c r="BC74">
        <v>1.2566370614359186</v>
      </c>
      <c r="BD74">
        <v>112.68170518532038</v>
      </c>
      <c r="BE74">
        <v>34.634294929370995</v>
      </c>
      <c r="BF74" s="6">
        <f t="shared" si="66"/>
        <v>0.29819895226668353</v>
      </c>
      <c r="BG74" s="6">
        <f t="shared" si="67"/>
        <v>0.95843810916923511</v>
      </c>
      <c r="BH74" s="6">
        <f t="shared" si="68"/>
        <v>2.0579955379256614</v>
      </c>
      <c r="BI74" s="6">
        <f t="shared" si="69"/>
        <v>2.0579955379256614</v>
      </c>
      <c r="BV74" s="38"/>
      <c r="BW74" s="6">
        <f t="shared" si="8"/>
        <v>1.0297442586766554</v>
      </c>
      <c r="BX74" s="9">
        <f t="shared" ca="1" si="18"/>
        <v>80.099707799633833</v>
      </c>
      <c r="BY74" s="9">
        <f t="shared" ca="1" si="19"/>
        <v>48.590573915529561</v>
      </c>
      <c r="BZ74">
        <f t="shared" ca="1" si="20"/>
        <v>93.685682273372294</v>
      </c>
      <c r="CA74" s="6">
        <f t="shared" ca="1" si="21"/>
        <v>0.8549834495083789</v>
      </c>
      <c r="CB74" s="6">
        <f t="shared" ca="1" si="22"/>
        <v>0.51865528153750939</v>
      </c>
      <c r="CC74" s="6">
        <f t="shared" ca="1" si="23"/>
        <v>0.54527739844664258</v>
      </c>
      <c r="CD74" s="6">
        <f t="shared" ca="1" si="14"/>
        <v>-2.2075458847952163</v>
      </c>
      <c r="CE74" s="9">
        <f t="shared" ca="1" si="15"/>
        <v>157.49272647045564</v>
      </c>
      <c r="CF74" s="9">
        <f t="shared" ca="1" si="16"/>
        <v>22.792901025255627</v>
      </c>
      <c r="CG74">
        <f t="shared" ca="1" si="24"/>
        <v>159.13351384370566</v>
      </c>
      <c r="CH74">
        <f t="shared" ca="1" si="25"/>
        <v>0.98968924060294716</v>
      </c>
      <c r="CI74">
        <f t="shared" ca="1" si="26"/>
        <v>0.14323130605688675</v>
      </c>
      <c r="CJ74">
        <f t="shared" ca="1" si="27"/>
        <v>0.14372561987107865</v>
      </c>
      <c r="CK74" s="38">
        <f t="shared" ca="1" si="28"/>
        <v>-2.212468870321266</v>
      </c>
    </row>
    <row r="75" spans="1:89" x14ac:dyDescent="0.25">
      <c r="A75" s="8" t="s">
        <v>63</v>
      </c>
      <c r="B75" s="9">
        <f ca="1">N57+M72</f>
        <v>133.42096036211018</v>
      </c>
      <c r="C75" t="s">
        <v>68</v>
      </c>
      <c r="E75">
        <f>((O59*COS(-1*B27))+(P59*SIN(-1*B27)))</f>
        <v>-54.642794178438578</v>
      </c>
      <c r="F75">
        <f>(-1*(O59)*SIN(-1*B27))+((P59)*COS(-1*B27))</f>
        <v>52.435460762032321</v>
      </c>
      <c r="BC75">
        <v>1.2740903539558619</v>
      </c>
      <c r="BD75">
        <v>108.94160834280294</v>
      </c>
      <c r="BE75">
        <v>35.439210428847211</v>
      </c>
      <c r="BF75" s="6">
        <f t="shared" si="66"/>
        <v>0.3145074087572638</v>
      </c>
      <c r="BG75" s="6">
        <f t="shared" si="67"/>
        <v>0.9595829451985981</v>
      </c>
      <c r="BH75" s="6">
        <f t="shared" si="68"/>
        <v>2.0416870814350805</v>
      </c>
      <c r="BI75" s="6">
        <f t="shared" si="69"/>
        <v>2.0416870814350805</v>
      </c>
      <c r="BV75" s="38"/>
      <c r="BW75" s="6">
        <f t="shared" si="8"/>
        <v>1.0471975511965987</v>
      </c>
      <c r="BX75" s="9">
        <f t="shared" ca="1" si="18"/>
        <v>76.745585561675583</v>
      </c>
      <c r="BY75" s="9">
        <f t="shared" ca="1" si="19"/>
        <v>49.640322559411189</v>
      </c>
      <c r="BZ75">
        <f t="shared" ca="1" si="20"/>
        <v>91.400473341262597</v>
      </c>
      <c r="CA75" s="6">
        <f t="shared" ca="1" si="21"/>
        <v>0.83966288965627178</v>
      </c>
      <c r="CB75" s="6">
        <f t="shared" ca="1" si="22"/>
        <v>0.5431079374618637</v>
      </c>
      <c r="CC75" s="6">
        <f t="shared" ca="1" si="23"/>
        <v>0.57413410855231006</v>
      </c>
      <c r="CD75" s="6">
        <f t="shared" ca="1" si="14"/>
        <v>-2.1786891746895485</v>
      </c>
      <c r="CE75" s="9">
        <f t="shared" ca="1" si="15"/>
        <v>154.13860423249739</v>
      </c>
      <c r="CF75" s="9">
        <f t="shared" ca="1" si="16"/>
        <v>23.842649669137256</v>
      </c>
      <c r="CG75">
        <f t="shared" ca="1" si="24"/>
        <v>155.97173224013278</v>
      </c>
      <c r="CH75">
        <f t="shared" ca="1" si="25"/>
        <v>0.98824704976147137</v>
      </c>
      <c r="CI75">
        <f t="shared" ca="1" si="26"/>
        <v>0.1528651976015071</v>
      </c>
      <c r="CJ75">
        <f t="shared" ca="1" si="27"/>
        <v>0.15346689961745055</v>
      </c>
      <c r="CK75" s="38">
        <f t="shared" ca="1" si="28"/>
        <v>-2.2027275905748942</v>
      </c>
    </row>
    <row r="76" spans="1:89" x14ac:dyDescent="0.25">
      <c r="A76" s="8" t="s">
        <v>66</v>
      </c>
      <c r="B76" s="9">
        <f ca="1">O57+N72</f>
        <v>821.31884118343373</v>
      </c>
      <c r="C76" t="s">
        <v>69</v>
      </c>
      <c r="E76">
        <f ca="1">((N73*COS(-1*B27))+(O73*SIN(-1*B27)))</f>
        <v>-7.1912539285291306</v>
      </c>
      <c r="F76">
        <f ca="1">(-1*(N73)*SIN(-1*B27))+((O73)*COS(-1*B27))</f>
        <v>7.8490620174222849</v>
      </c>
      <c r="BC76">
        <v>1.2915436464758052</v>
      </c>
      <c r="BD76">
        <v>105.1123829011393</v>
      </c>
      <c r="BE76">
        <v>36.240828957917678</v>
      </c>
      <c r="BF76" s="6">
        <f t="shared" si="66"/>
        <v>0.33201848165491538</v>
      </c>
      <c r="BG76" s="6">
        <f t="shared" si="67"/>
        <v>0.95952516482088979</v>
      </c>
      <c r="BH76" s="6">
        <f t="shared" si="68"/>
        <v>2.0241760085374296</v>
      </c>
      <c r="BI76" s="6">
        <f t="shared" si="69"/>
        <v>2.0241760085374296</v>
      </c>
      <c r="BV76" s="38"/>
      <c r="BW76" s="6">
        <f t="shared" si="8"/>
        <v>1.0646508437165421</v>
      </c>
      <c r="BX76" s="9">
        <f t="shared" ca="1" si="18"/>
        <v>73.392900706194425</v>
      </c>
      <c r="BY76" s="9">
        <f t="shared" ca="1" si="19"/>
        <v>50.660573772585707</v>
      </c>
      <c r="BZ76">
        <f t="shared" ca="1" si="20"/>
        <v>89.179659166409209</v>
      </c>
      <c r="CA76" s="6">
        <f t="shared" ca="1" si="21"/>
        <v>0.82297803548725501</v>
      </c>
      <c r="CB76" s="6">
        <f t="shared" ca="1" si="22"/>
        <v>0.56807319344036844</v>
      </c>
      <c r="CC76" s="6">
        <f t="shared" ca="1" si="23"/>
        <v>0.60416269693639035</v>
      </c>
      <c r="CD76" s="6">
        <f t="shared" ca="1" si="14"/>
        <v>-2.1486605863054682</v>
      </c>
      <c r="CE76" s="9">
        <f t="shared" ca="1" si="15"/>
        <v>150.78591937701623</v>
      </c>
      <c r="CF76" s="9">
        <f t="shared" ca="1" si="16"/>
        <v>24.862900882311774</v>
      </c>
      <c r="CG76">
        <f t="shared" ca="1" si="24"/>
        <v>152.82197918707797</v>
      </c>
      <c r="CH76">
        <f t="shared" ca="1" si="25"/>
        <v>0.98667691767314902</v>
      </c>
      <c r="CI76">
        <f t="shared" ca="1" si="26"/>
        <v>0.16269191784171111</v>
      </c>
      <c r="CJ76">
        <f t="shared" ca="1" si="27"/>
        <v>0.16341830970374885</v>
      </c>
      <c r="CK76" s="38">
        <f t="shared" ca="1" si="28"/>
        <v>-2.1927761804885959</v>
      </c>
    </row>
    <row r="77" spans="1:89" x14ac:dyDescent="0.25">
      <c r="A77" s="8" t="s">
        <v>67</v>
      </c>
      <c r="B77" s="9">
        <f ca="1">P57+O72</f>
        <v>631.93377878624301</v>
      </c>
      <c r="C77" t="s">
        <v>69</v>
      </c>
      <c r="BC77">
        <v>1.3089969389957485</v>
      </c>
      <c r="BD77">
        <v>101.18002702346496</v>
      </c>
      <c r="BE77">
        <v>37.041860320671546</v>
      </c>
      <c r="BF77" s="6">
        <f t="shared" si="66"/>
        <v>0.35094390612094745</v>
      </c>
      <c r="BG77" s="6">
        <f t="shared" si="67"/>
        <v>0.95805303287480115</v>
      </c>
      <c r="BH77" s="6">
        <f t="shared" si="68"/>
        <v>2.0052505840713972</v>
      </c>
      <c r="BI77" s="6">
        <f t="shared" si="69"/>
        <v>2.0052505840713972</v>
      </c>
      <c r="BV77" s="38"/>
      <c r="BW77" s="6">
        <f t="shared" si="8"/>
        <v>1.0821041362364854</v>
      </c>
      <c r="BX77" s="9">
        <f t="shared" ca="1" si="18"/>
        <v>70.037707599743996</v>
      </c>
      <c r="BY77" s="9">
        <f t="shared" ca="1" si="19"/>
        <v>51.653115761812657</v>
      </c>
      <c r="BZ77">
        <f t="shared" ca="1" si="20"/>
        <v>87.024851931677873</v>
      </c>
      <c r="CA77" s="6">
        <f t="shared" ca="1" si="21"/>
        <v>0.80480122683494737</v>
      </c>
      <c r="CB77" s="6">
        <f t="shared" ca="1" si="22"/>
        <v>0.59354442570456623</v>
      </c>
      <c r="CC77" s="6">
        <f t="shared" ca="1" si="23"/>
        <v>0.63545582646566456</v>
      </c>
      <c r="CD77" s="6">
        <f t="shared" ca="1" si="14"/>
        <v>-2.117367456776194</v>
      </c>
      <c r="CE77" s="9">
        <f t="shared" ca="1" si="15"/>
        <v>147.4307262705658</v>
      </c>
      <c r="CF77" s="9">
        <f t="shared" ca="1" si="16"/>
        <v>25.855442871538724</v>
      </c>
      <c r="CG77">
        <f t="shared" ca="1" si="24"/>
        <v>149.68073681923769</v>
      </c>
      <c r="CH77">
        <f t="shared" ca="1" si="25"/>
        <v>0.98496793510985237</v>
      </c>
      <c r="CI77">
        <f t="shared" ca="1" si="26"/>
        <v>0.17273727682649714</v>
      </c>
      <c r="CJ77">
        <f t="shared" ca="1" si="27"/>
        <v>0.17360804752834166</v>
      </c>
      <c r="CK77" s="38">
        <f t="shared" ca="1" si="28"/>
        <v>-2.1825864426640034</v>
      </c>
    </row>
    <row r="78" spans="1:89" x14ac:dyDescent="0.25">
      <c r="BC78">
        <v>1.3264502315156919</v>
      </c>
      <c r="BD78">
        <v>97.142422495569818</v>
      </c>
      <c r="BE78">
        <v>37.840950875032505</v>
      </c>
      <c r="BF78" s="6">
        <f t="shared" si="66"/>
        <v>0.37145755964725236</v>
      </c>
      <c r="BG78" s="6">
        <f t="shared" si="67"/>
        <v>0.9549926718684395</v>
      </c>
      <c r="BH78" s="6">
        <f t="shared" si="68"/>
        <v>1.9847369305450921</v>
      </c>
      <c r="BI78" s="6">
        <f t="shared" si="69"/>
        <v>1.9847369305450921</v>
      </c>
      <c r="BV78" s="38"/>
      <c r="BW78" s="6">
        <f t="shared" si="8"/>
        <v>1.0995574287564287</v>
      </c>
      <c r="BX78" s="9">
        <f t="shared" ca="1" si="18"/>
        <v>66.675911553829437</v>
      </c>
      <c r="BY78" s="9">
        <f t="shared" ca="1" si="19"/>
        <v>52.619676972939914</v>
      </c>
      <c r="BZ78">
        <f t="shared" ca="1" si="20"/>
        <v>84.938257494904079</v>
      </c>
      <c r="CA78" s="6">
        <f t="shared" ca="1" si="21"/>
        <v>0.78499269375557534</v>
      </c>
      <c r="CB78" s="6">
        <f t="shared" ca="1" si="22"/>
        <v>0.61950502076283898</v>
      </c>
      <c r="CC78" s="6">
        <f t="shared" ca="1" si="23"/>
        <v>0.66811199352593031</v>
      </c>
      <c r="CD78" s="6">
        <f t="shared" ca="1" si="14"/>
        <v>-2.0847112897159281</v>
      </c>
      <c r="CE78" s="9">
        <f t="shared" ca="1" si="15"/>
        <v>144.06893022465124</v>
      </c>
      <c r="CF78" s="9">
        <f t="shared" ca="1" si="16"/>
        <v>26.82200408266598</v>
      </c>
      <c r="CG78">
        <f t="shared" ca="1" si="24"/>
        <v>146.54445250191486</v>
      </c>
      <c r="CH78">
        <f t="shared" ca="1" si="25"/>
        <v>0.9831073627489838</v>
      </c>
      <c r="CI78">
        <f t="shared" ca="1" si="26"/>
        <v>0.18302981535459695</v>
      </c>
      <c r="CJ78">
        <f t="shared" ca="1" si="27"/>
        <v>0.1840674488594552</v>
      </c>
      <c r="CK78" s="38">
        <f t="shared" ca="1" si="28"/>
        <v>-2.1721270413328897</v>
      </c>
    </row>
    <row r="79" spans="1:89" x14ac:dyDescent="0.25">
      <c r="A79" s="8" t="s">
        <v>64</v>
      </c>
      <c r="B79">
        <f ca="1">((B76*COS(-1*B27))+(B77*SIN(-1*B27)))</f>
        <v>-742.00857728361257</v>
      </c>
      <c r="C79" t="s">
        <v>69</v>
      </c>
      <c r="BC79">
        <v>1.3439035240356352</v>
      </c>
      <c r="BD79">
        <v>93.000324837165252</v>
      </c>
      <c r="BE79">
        <v>38.636062337731971</v>
      </c>
      <c r="BF79" s="6">
        <f t="shared" si="66"/>
        <v>0.39374552533342655</v>
      </c>
      <c r="BG79" s="6">
        <f t="shared" si="67"/>
        <v>0.95015799870220863</v>
      </c>
      <c r="BH79" s="6">
        <f t="shared" si="68"/>
        <v>1.9624489648589183</v>
      </c>
      <c r="BI79" s="6">
        <f t="shared" si="69"/>
        <v>1.9624489648589183</v>
      </c>
      <c r="BV79" s="38"/>
      <c r="BW79" s="6">
        <f t="shared" ref="BW79:BW142" si="70">BC66</f>
        <v>1.117010721276372</v>
      </c>
      <c r="BX79" s="9">
        <f t="shared" ca="1" si="18"/>
        <v>63.303221366258683</v>
      </c>
      <c r="BY79" s="9">
        <f t="shared" ca="1" si="19"/>
        <v>53.561943634530707</v>
      </c>
      <c r="BZ79">
        <f t="shared" ca="1" si="20"/>
        <v>82.922732958183389</v>
      </c>
      <c r="CA79" s="6">
        <f t="shared" ca="1" si="21"/>
        <v>0.76340008472925613</v>
      </c>
      <c r="CB79" s="6">
        <f t="shared" ca="1" si="22"/>
        <v>0.64592593277818211</v>
      </c>
      <c r="CC79" s="6">
        <f t="shared" ca="1" si="23"/>
        <v>0.70223556809063947</v>
      </c>
      <c r="CD79" s="6">
        <f t="shared" ref="CD79:CD142" ca="1" si="71">CC79-$BZ$11</f>
        <v>-2.0505877151512193</v>
      </c>
      <c r="CE79" s="9">
        <f t="shared" ref="CE79:CE142" ca="1" si="72">BX79+$BW$5</f>
        <v>140.69624003708049</v>
      </c>
      <c r="CF79" s="9">
        <f t="shared" ref="CF79:CF142" ca="1" si="73">BY79+$BX$5</f>
        <v>27.764270744256773</v>
      </c>
      <c r="CG79">
        <f t="shared" ca="1" si="24"/>
        <v>143.40950697402232</v>
      </c>
      <c r="CH79">
        <f t="shared" ca="1" si="25"/>
        <v>0.98108028544137371</v>
      </c>
      <c r="CI79">
        <f t="shared" ca="1" si="26"/>
        <v>0.19360132623066675</v>
      </c>
      <c r="CJ79">
        <f t="shared" ca="1" si="27"/>
        <v>0.19483160248958836</v>
      </c>
      <c r="CK79" s="38">
        <f t="shared" ca="1" si="28"/>
        <v>-2.1613628877027566</v>
      </c>
    </row>
    <row r="80" spans="1:89" x14ac:dyDescent="0.25">
      <c r="A80" s="8" t="s">
        <v>65</v>
      </c>
      <c r="B80">
        <f ca="1">(-1*(B76)*SIN(-1*B27))+((B77)*COS(-1*B27))</f>
        <v>723.41427335345543</v>
      </c>
      <c r="C80" t="s">
        <v>69</v>
      </c>
      <c r="BC80">
        <v>1.3613568165555785</v>
      </c>
      <c r="BD80">
        <v>88.753902254271622</v>
      </c>
      <c r="BE80">
        <v>39.425643804834692</v>
      </c>
      <c r="BF80" s="6">
        <f t="shared" si="66"/>
        <v>0.41803110725954612</v>
      </c>
      <c r="BG80" s="6">
        <f t="shared" si="67"/>
        <v>0.94332570929603232</v>
      </c>
      <c r="BH80" s="6">
        <f t="shared" si="68"/>
        <v>1.9381633829327984</v>
      </c>
      <c r="BI80" s="6">
        <f t="shared" si="69"/>
        <v>1.9381633829327984</v>
      </c>
      <c r="BV80" s="38"/>
      <c r="BW80" s="6">
        <f t="shared" si="70"/>
        <v>1.1344640137963153</v>
      </c>
      <c r="BX80" s="9">
        <f t="shared" ref="BX80:BX143" ca="1" si="74">BD67-$BW$5</f>
        <v>59.915092447707693</v>
      </c>
      <c r="BY80" s="9">
        <f t="shared" ref="BY80:BY143" ca="1" si="75">BE67-$BX$5</f>
        <v>54.481578803802037</v>
      </c>
      <c r="BZ80">
        <f t="shared" ref="BZ80:BZ143" ca="1" si="76">SQRT(POWER(BX80,2)+POWER(BY80,2))</f>
        <v>80.981854337698707</v>
      </c>
      <c r="CA80" s="6">
        <f t="shared" ref="CA80:CA143" ca="1" si="77">BX80/BZ80</f>
        <v>0.73985824278434675</v>
      </c>
      <c r="CB80" s="6">
        <f t="shared" ref="CB80:CB143" ca="1" si="78">BY80/BZ80</f>
        <v>0.67276279667060856</v>
      </c>
      <c r="CC80" s="6">
        <f t="shared" ref="CC80:CC143" ca="1" si="79">ATAN2(CA80,CB80)</f>
        <v>0.73793670193232674</v>
      </c>
      <c r="CD80" s="6">
        <f t="shared" ca="1" si="71"/>
        <v>-2.0148865813095318</v>
      </c>
      <c r="CE80" s="9">
        <f t="shared" ca="1" si="72"/>
        <v>137.3081111185295</v>
      </c>
      <c r="CF80" s="9">
        <f t="shared" ca="1" si="73"/>
        <v>28.683905913528104</v>
      </c>
      <c r="CG80">
        <f t="shared" ref="CG80:CG143" ca="1" si="80">SQRT(POWER(CE80,2)+POWER(CF80,2))</f>
        <v>140.27217770247447</v>
      </c>
      <c r="CH80">
        <f t="shared" ref="CH80:CH143" ca="1" si="81">CE80/CG80</f>
        <v>0.9788691768211375</v>
      </c>
      <c r="CI80">
        <f t="shared" ref="CI80:CI143" ca="1" si="82">CF80/CG80</f>
        <v>0.20448749269700764</v>
      </c>
      <c r="CJ80">
        <f t="shared" ref="CJ80:CJ143" ca="1" si="83">ATAN2(CH80,CI80)</f>
        <v>0.2059401078165288</v>
      </c>
      <c r="CK80" s="38">
        <f t="shared" ref="CK80:CK143" ca="1" si="84">CJ80-$U$13</f>
        <v>-2.1502543823758162</v>
      </c>
    </row>
    <row r="81" spans="1:89" x14ac:dyDescent="0.25">
      <c r="BC81">
        <v>1.3788101090755218</v>
      </c>
      <c r="BD81">
        <v>84.402846304765049</v>
      </c>
      <c r="BE81">
        <v>40.208593949940948</v>
      </c>
      <c r="BF81" s="6">
        <f t="shared" si="66"/>
        <v>0.44458108734341178</v>
      </c>
      <c r="BG81" s="6">
        <f t="shared" si="67"/>
        <v>0.93422902173211009</v>
      </c>
      <c r="BH81" s="6">
        <f t="shared" si="68"/>
        <v>1.9116134028489329</v>
      </c>
      <c r="BI81" s="6">
        <f t="shared" si="69"/>
        <v>1.9116134028489329</v>
      </c>
      <c r="BV81" s="38"/>
      <c r="BW81" s="6">
        <f t="shared" si="70"/>
        <v>1.1519173063162587</v>
      </c>
      <c r="BX81" s="9">
        <f t="shared" ca="1" si="74"/>
        <v>56.506657410071327</v>
      </c>
      <c r="BY81" s="9">
        <f t="shared" ca="1" si="75"/>
        <v>55.380243649949669</v>
      </c>
      <c r="BZ81">
        <f t="shared" ca="1" si="76"/>
        <v>79.119995692536278</v>
      </c>
      <c r="CA81" s="6">
        <f t="shared" ca="1" si="77"/>
        <v>0.7141893388070778</v>
      </c>
      <c r="CB81" s="6">
        <f t="shared" ca="1" si="78"/>
        <v>0.6999525614884976</v>
      </c>
      <c r="CC81" s="6">
        <f t="shared" ca="1" si="79"/>
        <v>0.77533107157028414</v>
      </c>
      <c r="CD81" s="6">
        <f t="shared" ca="1" si="71"/>
        <v>-1.9774922116715745</v>
      </c>
      <c r="CE81" s="9">
        <f t="shared" ca="1" si="72"/>
        <v>133.89967608089313</v>
      </c>
      <c r="CF81" s="9">
        <f t="shared" ca="1" si="73"/>
        <v>29.582570759675736</v>
      </c>
      <c r="CG81">
        <f t="shared" ca="1" si="80"/>
        <v>137.12859565867114</v>
      </c>
      <c r="CH81">
        <f t="shared" ca="1" si="81"/>
        <v>0.97645334612909496</v>
      </c>
      <c r="CI81">
        <f t="shared" ca="1" si="82"/>
        <v>0.21572867874553431</v>
      </c>
      <c r="CJ81">
        <f t="shared" ca="1" si="83"/>
        <v>0.21743801885072392</v>
      </c>
      <c r="CK81" s="38">
        <f t="shared" ca="1" si="84"/>
        <v>-2.1387564713416207</v>
      </c>
    </row>
    <row r="82" spans="1:89" x14ac:dyDescent="0.25">
      <c r="B82">
        <f>ATAN2(1,0)</f>
        <v>0</v>
      </c>
      <c r="BC82">
        <v>1.3962634015954651</v>
      </c>
      <c r="BD82">
        <v>79.946498375482221</v>
      </c>
      <c r="BE82">
        <v>40.98422796188391</v>
      </c>
      <c r="BF82" s="6">
        <f t="shared" si="66"/>
        <v>0.47371290768784297</v>
      </c>
      <c r="BG82" s="6">
        <f t="shared" si="67"/>
        <v>0.92255049390762212</v>
      </c>
      <c r="BH82" s="6">
        <f t="shared" si="68"/>
        <v>1.8824815825045016</v>
      </c>
      <c r="BI82" s="6">
        <f t="shared" si="69"/>
        <v>1.8824815825045016</v>
      </c>
      <c r="BV82" s="38"/>
      <c r="BW82" s="6">
        <f t="shared" si="70"/>
        <v>1.169370598836202</v>
      </c>
      <c r="BX82" s="9">
        <f t="shared" ca="1" si="74"/>
        <v>53.07263984747236</v>
      </c>
      <c r="BY82" s="9">
        <f t="shared" ca="1" si="75"/>
        <v>56.259621918551801</v>
      </c>
      <c r="BZ82">
        <f t="shared" ca="1" si="76"/>
        <v>77.342421469707716</v>
      </c>
      <c r="CA82" s="6">
        <f t="shared" ca="1" si="77"/>
        <v>0.68620349400696012</v>
      </c>
      <c r="CB82" s="6">
        <f t="shared" ca="1" si="78"/>
        <v>0.72740962656033081</v>
      </c>
      <c r="CC82" s="6">
        <f t="shared" ca="1" si="79"/>
        <v>0.8145394235002974</v>
      </c>
      <c r="CD82" s="6">
        <f t="shared" ca="1" si="71"/>
        <v>-1.9382838597415613</v>
      </c>
      <c r="CE82" s="9">
        <f t="shared" ca="1" si="72"/>
        <v>130.46565851829416</v>
      </c>
      <c r="CF82" s="9">
        <f t="shared" ca="1" si="73"/>
        <v>30.461949028277868</v>
      </c>
      <c r="CG82">
        <f t="shared" ca="1" si="80"/>
        <v>133.97469309990427</v>
      </c>
      <c r="CH82">
        <f t="shared" ca="1" si="81"/>
        <v>0.97380822825252944</v>
      </c>
      <c r="CI82">
        <f t="shared" ca="1" si="82"/>
        <v>0.2273709185178916</v>
      </c>
      <c r="CJ82">
        <f t="shared" ca="1" si="83"/>
        <v>0.22937703424688111</v>
      </c>
      <c r="CK82" s="38">
        <f t="shared" ca="1" si="84"/>
        <v>-2.1268174559454636</v>
      </c>
    </row>
    <row r="83" spans="1:89" x14ac:dyDescent="0.25">
      <c r="A83" t="s">
        <v>74</v>
      </c>
      <c r="B83">
        <f ca="1">ATAN2(B79,B80)</f>
        <v>2.3688825045123352</v>
      </c>
      <c r="BC83">
        <v>1.4137166941154085</v>
      </c>
      <c r="BD83">
        <v>75.384009913557975</v>
      </c>
      <c r="BE83">
        <v>41.752238727730031</v>
      </c>
      <c r="BF83" s="6">
        <f t="shared" si="66"/>
        <v>0.50580242912806839</v>
      </c>
      <c r="BG83" s="6">
        <f t="shared" si="67"/>
        <v>0.90791426498734007</v>
      </c>
      <c r="BH83" s="6">
        <f t="shared" si="68"/>
        <v>1.8503920610642763</v>
      </c>
      <c r="BI83" s="6">
        <f t="shared" si="69"/>
        <v>1.8503920610642763</v>
      </c>
      <c r="BV83" s="38"/>
      <c r="BW83" s="6">
        <f t="shared" si="70"/>
        <v>1.1868238913561453</v>
      </c>
      <c r="BX83" s="9">
        <f t="shared" ca="1" si="74"/>
        <v>49.607245379734579</v>
      </c>
      <c r="BY83" s="9">
        <f t="shared" ca="1" si="75"/>
        <v>57.121448824040073</v>
      </c>
      <c r="BZ83">
        <f t="shared" ca="1" si="76"/>
        <v>75.655394453552532</v>
      </c>
      <c r="CA83" s="6">
        <f t="shared" ca="1" si="77"/>
        <v>0.6557000427800318</v>
      </c>
      <c r="CB83" s="6">
        <f t="shared" ca="1" si="78"/>
        <v>0.75502149234194937</v>
      </c>
      <c r="CC83" s="6">
        <f t="shared" ca="1" si="79"/>
        <v>0.85568689658939867</v>
      </c>
      <c r="CD83" s="6">
        <f t="shared" ca="1" si="71"/>
        <v>-1.89713638665246</v>
      </c>
      <c r="CE83" s="9">
        <f t="shared" ca="1" si="72"/>
        <v>127.00026405055638</v>
      </c>
      <c r="CF83" s="9">
        <f t="shared" ca="1" si="73"/>
        <v>31.323775933766139</v>
      </c>
      <c r="CG83">
        <f t="shared" ca="1" si="80"/>
        <v>130.80613902894555</v>
      </c>
      <c r="CH83">
        <f t="shared" ca="1" si="81"/>
        <v>0.97090446207920733</v>
      </c>
      <c r="CI83">
        <f t="shared" ca="1" si="82"/>
        <v>0.23946717001435713</v>
      </c>
      <c r="CJ83">
        <f t="shared" ca="1" si="83"/>
        <v>0.24181701631906816</v>
      </c>
      <c r="CK83" s="38">
        <f t="shared" ca="1" si="84"/>
        <v>-2.1143774738732768</v>
      </c>
    </row>
    <row r="84" spans="1:89" x14ac:dyDescent="0.25">
      <c r="BC84">
        <v>1.4311699866353518</v>
      </c>
      <c r="BD84">
        <v>70.714564989895891</v>
      </c>
      <c r="BE84">
        <v>42.512634006392865</v>
      </c>
      <c r="BF84" s="6">
        <f t="shared" si="66"/>
        <v>0.54129138886601436</v>
      </c>
      <c r="BG84" s="6">
        <f t="shared" si="67"/>
        <v>0.88987859776933742</v>
      </c>
      <c r="BH84" s="6">
        <f t="shared" si="68"/>
        <v>1.8149031013263304</v>
      </c>
      <c r="BI84" s="6">
        <f t="shared" si="69"/>
        <v>1.8149031013263304</v>
      </c>
      <c r="BV84" s="38"/>
      <c r="BW84" s="6">
        <f t="shared" si="70"/>
        <v>1.2042771838760886</v>
      </c>
      <c r="BX84" s="9">
        <f t="shared" ca="1" si="74"/>
        <v>46.104021612404821</v>
      </c>
      <c r="BY84" s="9">
        <f t="shared" ca="1" si="75"/>
        <v>57.967546027180859</v>
      </c>
      <c r="BZ84">
        <f t="shared" ca="1" si="76"/>
        <v>74.066302737820138</v>
      </c>
      <c r="CA84" s="6">
        <f t="shared" ca="1" si="77"/>
        <v>0.62246959694483217</v>
      </c>
      <c r="CB84" s="6">
        <f t="shared" ca="1" si="78"/>
        <v>0.7826439809257707</v>
      </c>
      <c r="CC84" s="6">
        <f t="shared" ca="1" si="79"/>
        <v>0.89890211421807764</v>
      </c>
      <c r="CD84" s="6">
        <f t="shared" ca="1" si="71"/>
        <v>-1.8539211690237809</v>
      </c>
      <c r="CE84" s="9">
        <f t="shared" ca="1" si="72"/>
        <v>123.49704028322662</v>
      </c>
      <c r="CF84" s="9">
        <f t="shared" ca="1" si="73"/>
        <v>32.169873136906929</v>
      </c>
      <c r="CG84">
        <f t="shared" ca="1" si="80"/>
        <v>127.61825769207785</v>
      </c>
      <c r="CH84">
        <f t="shared" ca="1" si="81"/>
        <v>0.96770667862591375</v>
      </c>
      <c r="CI84">
        <f t="shared" ca="1" si="82"/>
        <v>0.25207892443201674</v>
      </c>
      <c r="CJ84">
        <f t="shared" ca="1" si="83"/>
        <v>0.25482795620045762</v>
      </c>
      <c r="CK84" s="38">
        <f t="shared" ca="1" si="84"/>
        <v>-2.1013665339918872</v>
      </c>
    </row>
    <row r="85" spans="1:89" x14ac:dyDescent="0.25">
      <c r="BC85">
        <v>1.4486232791552951</v>
      </c>
      <c r="BD85">
        <v>65.937714748049174</v>
      </c>
      <c r="BE85">
        <v>43.265616537100342</v>
      </c>
      <c r="BF85" s="6">
        <f t="shared" si="66"/>
        <v>0.5806926546713076</v>
      </c>
      <c r="BG85" s="6">
        <f t="shared" si="67"/>
        <v>0.8679306244839875</v>
      </c>
      <c r="BH85" s="6">
        <f t="shared" si="68"/>
        <v>1.775501835521037</v>
      </c>
      <c r="BI85" s="6">
        <f t="shared" si="69"/>
        <v>1.775501835521037</v>
      </c>
      <c r="BV85" s="38"/>
      <c r="BW85" s="6">
        <f t="shared" si="70"/>
        <v>1.2217304763960319</v>
      </c>
      <c r="BX85" s="9">
        <f t="shared" ca="1" si="74"/>
        <v>42.555675049785592</v>
      </c>
      <c r="BY85" s="9">
        <f t="shared" ca="1" si="75"/>
        <v>58.799864974030967</v>
      </c>
      <c r="BZ85">
        <f t="shared" ca="1" si="76"/>
        <v>72.583810866523251</v>
      </c>
      <c r="CA85" s="6">
        <f t="shared" ca="1" si="77"/>
        <v>0.58629706186194352</v>
      </c>
      <c r="CB85" s="6">
        <f t="shared" ca="1" si="78"/>
        <v>0.81009613951188053</v>
      </c>
      <c r="CC85" s="6">
        <f t="shared" ca="1" si="79"/>
        <v>0.94431607405801321</v>
      </c>
      <c r="CD85" s="6">
        <f t="shared" ca="1" si="71"/>
        <v>-1.8085072091838454</v>
      </c>
      <c r="CE85" s="9">
        <f t="shared" ca="1" si="72"/>
        <v>119.94869372060739</v>
      </c>
      <c r="CF85" s="9">
        <f t="shared" ca="1" si="73"/>
        <v>33.002192083757038</v>
      </c>
      <c r="CG85">
        <f t="shared" ca="1" si="80"/>
        <v>124.40592352301105</v>
      </c>
      <c r="CH85">
        <f t="shared" ca="1" si="81"/>
        <v>0.96417188445549207</v>
      </c>
      <c r="CI85">
        <f t="shared" ca="1" si="82"/>
        <v>0.26527830146008041</v>
      </c>
      <c r="CJ85">
        <f t="shared" ca="1" si="83"/>
        <v>0.26849255385789306</v>
      </c>
      <c r="CK85" s="38">
        <f t="shared" ca="1" si="84"/>
        <v>-2.0877019363344518</v>
      </c>
    </row>
    <row r="86" spans="1:89" x14ac:dyDescent="0.25">
      <c r="BC86">
        <v>1.4660765716752384</v>
      </c>
      <c r="BD86">
        <v>61.083299903119823</v>
      </c>
      <c r="BE86">
        <v>44.005503771018468</v>
      </c>
      <c r="BF86" s="6">
        <f t="shared" si="66"/>
        <v>0.62429823453765809</v>
      </c>
      <c r="BG86" s="6">
        <f t="shared" si="67"/>
        <v>0.84177833713758032</v>
      </c>
      <c r="BH86" s="6">
        <f t="shared" si="68"/>
        <v>1.7318962556546864</v>
      </c>
      <c r="BI86" s="6">
        <f t="shared" si="69"/>
        <v>1.7318962556546864</v>
      </c>
      <c r="BV86" s="38"/>
      <c r="BW86" s="6">
        <f t="shared" si="70"/>
        <v>1.2391837689159753</v>
      </c>
      <c r="BX86" s="9">
        <f t="shared" ca="1" si="74"/>
        <v>38.953827553721709</v>
      </c>
      <c r="BY86" s="9">
        <f t="shared" ca="1" si="75"/>
        <v>59.620541737394802</v>
      </c>
      <c r="BZ86">
        <f t="shared" ca="1" si="76"/>
        <v>71.218043206377999</v>
      </c>
      <c r="CA86" s="6">
        <f t="shared" ca="1" si="77"/>
        <v>0.54696570981092563</v>
      </c>
      <c r="CB86" s="6">
        <f t="shared" ca="1" si="78"/>
        <v>0.83715501090958688</v>
      </c>
      <c r="CC86" s="6">
        <f t="shared" ca="1" si="79"/>
        <v>0.9920609248744835</v>
      </c>
      <c r="CD86" s="6">
        <f t="shared" ca="1" si="71"/>
        <v>-1.760762358367375</v>
      </c>
      <c r="CE86" s="9">
        <f t="shared" ca="1" si="72"/>
        <v>116.34684622454351</v>
      </c>
      <c r="CF86" s="9">
        <f t="shared" ca="1" si="73"/>
        <v>33.822868847120873</v>
      </c>
      <c r="CG86">
        <f t="shared" ca="1" si="80"/>
        <v>121.16342304279421</v>
      </c>
      <c r="CH86">
        <f t="shared" ca="1" si="81"/>
        <v>0.96024727019680267</v>
      </c>
      <c r="CI86">
        <f t="shared" ca="1" si="82"/>
        <v>0.27915081959325988</v>
      </c>
      <c r="CJ86">
        <f t="shared" ca="1" si="83"/>
        <v>0.28290966024744257</v>
      </c>
      <c r="CK86" s="38">
        <f t="shared" ca="1" si="84"/>
        <v>-2.0732848299449023</v>
      </c>
    </row>
    <row r="87" spans="1:89" x14ac:dyDescent="0.25">
      <c r="A87" t="s">
        <v>119</v>
      </c>
      <c r="BC87">
        <v>1.4835298641951817</v>
      </c>
      <c r="BD87">
        <v>56.125062577878595</v>
      </c>
      <c r="BE87">
        <v>44.736935837698603</v>
      </c>
      <c r="BF87" s="6">
        <f t="shared" si="66"/>
        <v>0.67296631628369707</v>
      </c>
      <c r="BG87" s="6">
        <f t="shared" si="67"/>
        <v>0.81056354791148466</v>
      </c>
      <c r="BH87" s="6">
        <f t="shared" si="68"/>
        <v>1.6832281739086474</v>
      </c>
      <c r="BI87" s="6">
        <f t="shared" si="69"/>
        <v>1.6832281739086474</v>
      </c>
      <c r="BV87" s="38"/>
      <c r="BW87" s="6">
        <f t="shared" si="70"/>
        <v>1.2566370614359186</v>
      </c>
      <c r="BX87" s="9">
        <f t="shared" ca="1" si="74"/>
        <v>35.288686514498579</v>
      </c>
      <c r="BY87" s="9">
        <f t="shared" ca="1" si="75"/>
        <v>60.431967819644925</v>
      </c>
      <c r="BZ87">
        <f t="shared" ca="1" si="76"/>
        <v>69.9808125879741</v>
      </c>
      <c r="CA87" s="6">
        <f t="shared" ca="1" si="77"/>
        <v>0.50426231433275448</v>
      </c>
      <c r="CB87" s="6">
        <f t="shared" ca="1" si="78"/>
        <v>0.86355053027820794</v>
      </c>
      <c r="CC87" s="6">
        <f t="shared" ca="1" si="79"/>
        <v>1.0422688219973399</v>
      </c>
      <c r="CD87" s="6">
        <f t="shared" ca="1" si="71"/>
        <v>-1.7105544612445187</v>
      </c>
      <c r="CE87" s="9">
        <f t="shared" ca="1" si="72"/>
        <v>112.68170518532038</v>
      </c>
      <c r="CF87" s="9">
        <f t="shared" ca="1" si="73"/>
        <v>34.634294929370995</v>
      </c>
      <c r="CG87">
        <f t="shared" ca="1" si="80"/>
        <v>117.88426981037848</v>
      </c>
      <c r="CH87">
        <f t="shared" ca="1" si="81"/>
        <v>0.95586718538930904</v>
      </c>
      <c r="CI87">
        <f t="shared" ca="1" si="82"/>
        <v>0.29379912167315986</v>
      </c>
      <c r="CJ87">
        <f t="shared" ca="1" si="83"/>
        <v>0.29819895226668353</v>
      </c>
      <c r="CK87" s="38">
        <f t="shared" ca="1" si="84"/>
        <v>-2.0579955379256614</v>
      </c>
    </row>
    <row r="88" spans="1:89" x14ac:dyDescent="0.25">
      <c r="A88" t="s">
        <v>120</v>
      </c>
      <c r="BC88">
        <v>1.5009831567151251</v>
      </c>
      <c r="BD88">
        <v>51.117333336140845</v>
      </c>
      <c r="BE88">
        <v>45.451321198409758</v>
      </c>
      <c r="BF88" s="6">
        <f t="shared" si="66"/>
        <v>0.72679194502429312</v>
      </c>
      <c r="BG88" s="6">
        <f t="shared" si="67"/>
        <v>0.77419121169083194</v>
      </c>
      <c r="BH88" s="6">
        <f t="shared" si="68"/>
        <v>1.6294025451680516</v>
      </c>
      <c r="BI88" s="6">
        <f t="shared" si="69"/>
        <v>1.6294025451680516</v>
      </c>
      <c r="BV88" s="38"/>
      <c r="BW88" s="6">
        <f t="shared" si="70"/>
        <v>1.2740903539558619</v>
      </c>
      <c r="BX88" s="9">
        <f t="shared" ca="1" si="74"/>
        <v>31.548589671981134</v>
      </c>
      <c r="BY88" s="9">
        <f t="shared" ca="1" si="75"/>
        <v>61.236883319121148</v>
      </c>
      <c r="BZ88">
        <f t="shared" ca="1" si="76"/>
        <v>68.885915751557604</v>
      </c>
      <c r="CA88" s="6">
        <f t="shared" ca="1" si="77"/>
        <v>0.45798316430551012</v>
      </c>
      <c r="CB88" s="6">
        <f t="shared" ca="1" si="78"/>
        <v>0.88896086596245183</v>
      </c>
      <c r="CC88" s="6">
        <f t="shared" ca="1" si="79"/>
        <v>1.0950712141306436</v>
      </c>
      <c r="CD88" s="6">
        <f t="shared" ca="1" si="71"/>
        <v>-1.6577520691112151</v>
      </c>
      <c r="CE88" s="9">
        <f t="shared" ca="1" si="72"/>
        <v>108.94160834280294</v>
      </c>
      <c r="CF88" s="9">
        <f t="shared" ca="1" si="73"/>
        <v>35.439210428847218</v>
      </c>
      <c r="CG88">
        <f t="shared" ca="1" si="80"/>
        <v>114.56095174245361</v>
      </c>
      <c r="CH88">
        <f t="shared" ca="1" si="81"/>
        <v>0.95094887643493387</v>
      </c>
      <c r="CI88">
        <f t="shared" ca="1" si="82"/>
        <v>0.30934807968878175</v>
      </c>
      <c r="CJ88">
        <f t="shared" ca="1" si="83"/>
        <v>0.31450740875726385</v>
      </c>
      <c r="CK88" s="38">
        <f t="shared" ca="1" si="84"/>
        <v>-2.0416870814350809</v>
      </c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46.049701191548408</v>
      </c>
      <c r="BE89">
        <v>46.146206203399494</v>
      </c>
      <c r="BF89" s="6">
        <f t="shared" si="66"/>
        <v>0.78644490158065306</v>
      </c>
      <c r="BG89" s="6">
        <f t="shared" si="67"/>
        <v>0.73199154765441532</v>
      </c>
      <c r="BH89" s="6">
        <f t="shared" si="68"/>
        <v>1.5697495886116917</v>
      </c>
      <c r="BI89" s="6">
        <f t="shared" si="69"/>
        <v>1.5697495886116917</v>
      </c>
      <c r="BV89" s="38"/>
      <c r="BW89" s="6">
        <f t="shared" si="70"/>
        <v>1.2915436464758052</v>
      </c>
      <c r="BX89" s="9">
        <f t="shared" ca="1" si="74"/>
        <v>27.719364230317495</v>
      </c>
      <c r="BY89" s="9">
        <f t="shared" ca="1" si="75"/>
        <v>62.038501848191615</v>
      </c>
      <c r="BZ89">
        <f t="shared" ca="1" si="76"/>
        <v>67.949531748946441</v>
      </c>
      <c r="CA89" s="6">
        <f t="shared" ca="1" si="77"/>
        <v>0.40794047459712313</v>
      </c>
      <c r="CB89" s="6">
        <f t="shared" ca="1" si="78"/>
        <v>0.91300852634872676</v>
      </c>
      <c r="CC89" s="6">
        <f t="shared" ca="1" si="79"/>
        <v>1.1505991614844393</v>
      </c>
      <c r="CD89" s="6">
        <f t="shared" ca="1" si="71"/>
        <v>-1.6022241217574194</v>
      </c>
      <c r="CE89" s="9">
        <f t="shared" ca="1" si="72"/>
        <v>105.1123829011393</v>
      </c>
      <c r="CF89" s="9">
        <f t="shared" ca="1" si="73"/>
        <v>36.240828957917685</v>
      </c>
      <c r="CG89">
        <f t="shared" ca="1" si="80"/>
        <v>111.184579518532</v>
      </c>
      <c r="CH89">
        <f t="shared" ca="1" si="81"/>
        <v>0.94538634184985515</v>
      </c>
      <c r="CI89">
        <f t="shared" ca="1" si="82"/>
        <v>0.32595193609449358</v>
      </c>
      <c r="CJ89">
        <f t="shared" ca="1" si="83"/>
        <v>0.33201848165491543</v>
      </c>
      <c r="CK89" s="38">
        <f t="shared" ca="1" si="84"/>
        <v>-2.0241760085374292</v>
      </c>
    </row>
    <row r="90" spans="1:89" x14ac:dyDescent="0.25">
      <c r="A90" s="6">
        <f t="shared" ref="A90:A98" si="85">E3-$I$2</f>
        <v>-6</v>
      </c>
      <c r="B90" s="1">
        <f t="shared" ref="B90:B98" si="86">F3-$I$3</f>
        <v>-12</v>
      </c>
      <c r="C90" s="1"/>
      <c r="BC90">
        <v>1.5358897417550117</v>
      </c>
      <c r="BD90">
        <v>40.919958660131712</v>
      </c>
      <c r="BE90">
        <v>46.81884033870427</v>
      </c>
      <c r="BF90" s="6">
        <f t="shared" si="66"/>
        <v>0.85252944129983843</v>
      </c>
      <c r="BG90" s="6">
        <f t="shared" si="67"/>
        <v>0.68336030045517326</v>
      </c>
      <c r="BH90" s="6">
        <f t="shared" si="68"/>
        <v>1.5036650488925063</v>
      </c>
      <c r="BI90" s="6">
        <f t="shared" si="69"/>
        <v>1.5036650488925063</v>
      </c>
      <c r="BV90" s="38"/>
      <c r="BW90" s="6">
        <f t="shared" si="70"/>
        <v>1.3089969389957485</v>
      </c>
      <c r="BX90" s="9">
        <f t="shared" ca="1" si="74"/>
        <v>23.787008352643156</v>
      </c>
      <c r="BY90" s="9">
        <f t="shared" ca="1" si="75"/>
        <v>62.839533210945476</v>
      </c>
      <c r="BZ90">
        <f t="shared" ca="1" si="76"/>
        <v>67.190986750740862</v>
      </c>
      <c r="CA90" s="6">
        <f t="shared" ca="1" si="77"/>
        <v>0.3540208218832398</v>
      </c>
      <c r="CB90" s="6">
        <f t="shared" ca="1" si="78"/>
        <v>0.93523754077406218</v>
      </c>
      <c r="CC90" s="6">
        <f t="shared" ca="1" si="79"/>
        <v>1.2089294506003698</v>
      </c>
      <c r="CD90" s="6">
        <f t="shared" ca="1" si="71"/>
        <v>-1.5438938326414888</v>
      </c>
      <c r="CE90" s="9">
        <f t="shared" ca="1" si="72"/>
        <v>101.18002702346496</v>
      </c>
      <c r="CF90" s="9">
        <f t="shared" ca="1" si="73"/>
        <v>37.041860320671546</v>
      </c>
      <c r="CG90">
        <f t="shared" ca="1" si="80"/>
        <v>107.74737715826423</v>
      </c>
      <c r="CH90">
        <f t="shared" ca="1" si="81"/>
        <v>0.93904863108497905</v>
      </c>
      <c r="CI90">
        <f t="shared" ca="1" si="82"/>
        <v>0.34378433422340093</v>
      </c>
      <c r="CJ90">
        <f t="shared" ca="1" si="83"/>
        <v>0.35094390612094739</v>
      </c>
      <c r="CK90" s="38">
        <f t="shared" ca="1" si="84"/>
        <v>-2.0052505840713977</v>
      </c>
    </row>
    <row r="91" spans="1:89" x14ac:dyDescent="0.25">
      <c r="A91" s="6">
        <f t="shared" si="85"/>
        <v>6</v>
      </c>
      <c r="B91" s="1">
        <f t="shared" si="86"/>
        <v>-12</v>
      </c>
      <c r="C91" s="1">
        <f t="shared" ref="C91:C98" si="87">((A90*B91)-(A91*B90))*0.5</f>
        <v>72</v>
      </c>
      <c r="D91" s="6">
        <f t="shared" ref="D91:D98" si="88">(A91+A90)*((A90*B91)-(A91*B90))*(1/6)</f>
        <v>0</v>
      </c>
      <c r="E91" s="6">
        <f t="shared" ref="E91:E98" si="89">(B91+B90)*((A90*B91)-(A91*B90))*(1/6)</f>
        <v>-576</v>
      </c>
      <c r="BC91">
        <v>1.553343034274955</v>
      </c>
      <c r="BD91">
        <v>35.738112082415618</v>
      </c>
      <c r="BE91">
        <v>47.478073507846545</v>
      </c>
      <c r="BF91" s="6">
        <f t="shared" si="66"/>
        <v>0.92555108863779201</v>
      </c>
      <c r="BG91" s="6">
        <f t="shared" si="67"/>
        <v>0.62779194563716301</v>
      </c>
      <c r="BH91" s="6">
        <f t="shared" si="68"/>
        <v>1.4306434015545528</v>
      </c>
      <c r="BI91" s="6">
        <f t="shared" si="69"/>
        <v>1.4306434015545528</v>
      </c>
      <c r="BV91" s="38"/>
      <c r="BW91" s="6">
        <f t="shared" si="70"/>
        <v>1.3264502315156919</v>
      </c>
      <c r="BX91" s="9">
        <f t="shared" ca="1" si="74"/>
        <v>19.749403824748015</v>
      </c>
      <c r="BY91" s="9">
        <f t="shared" ca="1" si="75"/>
        <v>63.638623765306434</v>
      </c>
      <c r="BZ91">
        <f t="shared" ca="1" si="76"/>
        <v>66.632675063929383</v>
      </c>
      <c r="CA91" s="6">
        <f t="shared" ca="1" si="77"/>
        <v>0.29639218004980056</v>
      </c>
      <c r="CB91" s="6">
        <f t="shared" ca="1" si="78"/>
        <v>0.95506632000365632</v>
      </c>
      <c r="CC91" s="6">
        <f t="shared" ca="1" si="79"/>
        <v>1.2698834582378147</v>
      </c>
      <c r="CD91" s="6">
        <f t="shared" ca="1" si="71"/>
        <v>-1.482939825004044</v>
      </c>
      <c r="CE91" s="9">
        <f t="shared" ca="1" si="72"/>
        <v>97.142422495569818</v>
      </c>
      <c r="CF91" s="9">
        <f t="shared" ca="1" si="73"/>
        <v>37.840950875032505</v>
      </c>
      <c r="CG91">
        <f t="shared" ca="1" si="80"/>
        <v>104.2525194488575</v>
      </c>
      <c r="CH91">
        <f t="shared" ca="1" si="81"/>
        <v>0.931799279375923</v>
      </c>
      <c r="CI91">
        <f t="shared" ca="1" si="82"/>
        <v>0.36297397007844884</v>
      </c>
      <c r="CJ91">
        <f t="shared" ca="1" si="83"/>
        <v>0.37145755964725241</v>
      </c>
      <c r="CK91" s="38">
        <f t="shared" ca="1" si="84"/>
        <v>-1.9847369305450924</v>
      </c>
    </row>
    <row r="92" spans="1:89" x14ac:dyDescent="0.25">
      <c r="A92" s="6">
        <f t="shared" si="85"/>
        <v>6</v>
      </c>
      <c r="B92" s="1">
        <f t="shared" si="86"/>
        <v>4</v>
      </c>
      <c r="C92" s="1">
        <f t="shared" si="87"/>
        <v>48</v>
      </c>
      <c r="D92" s="6">
        <f t="shared" si="88"/>
        <v>192</v>
      </c>
      <c r="E92" s="6">
        <f t="shared" si="89"/>
        <v>-128</v>
      </c>
      <c r="BC92">
        <v>1.5707963267948983</v>
      </c>
      <c r="BD92">
        <v>30.489309906991981</v>
      </c>
      <c r="BE92">
        <v>48.153893507010309</v>
      </c>
      <c r="BF92" s="6">
        <f t="shared" si="66"/>
        <v>1.006347827324527</v>
      </c>
      <c r="BG92" s="6">
        <f t="shared" si="67"/>
        <v>0.56444849947037135</v>
      </c>
      <c r="BH92" s="6">
        <f t="shared" si="68"/>
        <v>1.3498466628678178</v>
      </c>
      <c r="BI92" s="6">
        <f t="shared" si="69"/>
        <v>1.3498466628678178</v>
      </c>
      <c r="BV92" s="38"/>
      <c r="BW92" s="6">
        <f t="shared" si="70"/>
        <v>1.3439035240356352</v>
      </c>
      <c r="BX92" s="9">
        <f t="shared" ca="1" si="74"/>
        <v>15.607306166343449</v>
      </c>
      <c r="BY92" s="9">
        <f t="shared" ca="1" si="75"/>
        <v>64.433735228005901</v>
      </c>
      <c r="BZ92">
        <f t="shared" ca="1" si="76"/>
        <v>66.297015326504336</v>
      </c>
      <c r="CA92" s="6">
        <f t="shared" ca="1" si="77"/>
        <v>0.23541491407236748</v>
      </c>
      <c r="CB92" s="6">
        <f t="shared" ca="1" si="78"/>
        <v>0.97189496255114927</v>
      </c>
      <c r="CC92" s="6">
        <f t="shared" ca="1" si="79"/>
        <v>1.3331508682951314</v>
      </c>
      <c r="CD92" s="6">
        <f t="shared" ca="1" si="71"/>
        <v>-1.4196724149467272</v>
      </c>
      <c r="CE92" s="9">
        <f t="shared" ca="1" si="72"/>
        <v>93.000324837165252</v>
      </c>
      <c r="CF92" s="9">
        <f t="shared" ca="1" si="73"/>
        <v>38.636062337731971</v>
      </c>
      <c r="CG92">
        <f t="shared" ca="1" si="80"/>
        <v>100.70653272148419</v>
      </c>
      <c r="CH92">
        <f t="shared" ca="1" si="81"/>
        <v>0.92347857009801571</v>
      </c>
      <c r="CI92">
        <f t="shared" ca="1" si="82"/>
        <v>0.38365001051703929</v>
      </c>
      <c r="CJ92">
        <f t="shared" ca="1" si="83"/>
        <v>0.39374552533342655</v>
      </c>
      <c r="CK92" s="38">
        <f t="shared" ca="1" si="84"/>
        <v>-1.9624489648589183</v>
      </c>
    </row>
    <row r="93" spans="1:89" x14ac:dyDescent="0.25">
      <c r="A93" s="6">
        <f t="shared" si="85"/>
        <v>6</v>
      </c>
      <c r="B93" s="1">
        <f t="shared" si="86"/>
        <v>4</v>
      </c>
      <c r="C93" s="1">
        <f t="shared" si="87"/>
        <v>0</v>
      </c>
      <c r="D93" s="6">
        <f t="shared" si="88"/>
        <v>0</v>
      </c>
      <c r="E93" s="6">
        <f t="shared" si="89"/>
        <v>0</v>
      </c>
      <c r="BC93">
        <v>1.5882496193148417</v>
      </c>
      <c r="BD93">
        <v>20.367119944535101</v>
      </c>
      <c r="BE93">
        <v>47.04830987774011</v>
      </c>
      <c r="BF93" s="6">
        <f t="shared" si="66"/>
        <v>1.1622550543621268</v>
      </c>
      <c r="BG93" s="6">
        <f t="shared" si="67"/>
        <v>0.42599456495271482</v>
      </c>
      <c r="BH93" s="6">
        <f t="shared" si="68"/>
        <v>1.193939435830218</v>
      </c>
      <c r="BI93" s="6">
        <f t="shared" si="69"/>
        <v>1.193939435830218</v>
      </c>
      <c r="BV93" s="38"/>
      <c r="BW93" s="6">
        <f t="shared" si="70"/>
        <v>1.3613568165555785</v>
      </c>
      <c r="BX93" s="9">
        <f t="shared" ca="1" si="74"/>
        <v>11.360883583449819</v>
      </c>
      <c r="BY93" s="9">
        <f t="shared" ca="1" si="75"/>
        <v>65.223316695108622</v>
      </c>
      <c r="BZ93">
        <f t="shared" ca="1" si="76"/>
        <v>66.205367731832254</v>
      </c>
      <c r="CA93" s="6">
        <f t="shared" ca="1" si="77"/>
        <v>0.17160064164989727</v>
      </c>
      <c r="CB93" s="6">
        <f t="shared" ca="1" si="78"/>
        <v>0.98516659493983216</v>
      </c>
      <c r="CC93" s="6">
        <f t="shared" ca="1" si="79"/>
        <v>1.3983421446835129</v>
      </c>
      <c r="CD93" s="6">
        <f t="shared" ca="1" si="71"/>
        <v>-1.3544811385583457</v>
      </c>
      <c r="CE93" s="9">
        <f t="shared" ca="1" si="72"/>
        <v>88.753902254271622</v>
      </c>
      <c r="CF93" s="9">
        <f t="shared" ca="1" si="73"/>
        <v>39.425643804834692</v>
      </c>
      <c r="CG93">
        <f t="shared" ca="1" si="80"/>
        <v>97.116613176049867</v>
      </c>
      <c r="CH93">
        <f t="shared" ca="1" si="81"/>
        <v>0.91389000657777686</v>
      </c>
      <c r="CI93">
        <f t="shared" ca="1" si="82"/>
        <v>0.40596188968580643</v>
      </c>
      <c r="CJ93">
        <f t="shared" ca="1" si="83"/>
        <v>0.41803110725954612</v>
      </c>
      <c r="CK93" s="38">
        <f t="shared" ca="1" si="84"/>
        <v>-1.9381633829327987</v>
      </c>
    </row>
    <row r="94" spans="1:89" x14ac:dyDescent="0.25">
      <c r="A94" s="6">
        <f t="shared" si="85"/>
        <v>6</v>
      </c>
      <c r="B94" s="1">
        <f t="shared" si="86"/>
        <v>12</v>
      </c>
      <c r="C94" s="1">
        <f t="shared" si="87"/>
        <v>24</v>
      </c>
      <c r="D94" s="6">
        <f t="shared" si="88"/>
        <v>96</v>
      </c>
      <c r="E94" s="6">
        <f t="shared" si="89"/>
        <v>128</v>
      </c>
      <c r="BC94">
        <v>1.605702911834785</v>
      </c>
      <c r="BD94">
        <v>10.461128788507319</v>
      </c>
      <c r="BE94">
        <v>45.841718229790864</v>
      </c>
      <c r="BF94" s="6">
        <f t="shared" si="66"/>
        <v>1.3464371641313853</v>
      </c>
      <c r="BG94" s="6">
        <f t="shared" si="67"/>
        <v>0.25926574770339972</v>
      </c>
      <c r="BH94" s="6">
        <f t="shared" si="68"/>
        <v>1.0097573260609596</v>
      </c>
      <c r="BI94" s="6">
        <f t="shared" si="69"/>
        <v>1.0097573260609596</v>
      </c>
      <c r="BV94" s="38"/>
      <c r="BW94" s="6">
        <f t="shared" si="70"/>
        <v>1.3788101090755218</v>
      </c>
      <c r="BX94" s="9">
        <f t="shared" ca="1" si="74"/>
        <v>7.0098276339432459</v>
      </c>
      <c r="BY94" s="9">
        <f t="shared" ca="1" si="75"/>
        <v>66.006266840214877</v>
      </c>
      <c r="BZ94">
        <f t="shared" ca="1" si="76"/>
        <v>66.377443048367297</v>
      </c>
      <c r="CA94" s="6">
        <f t="shared" ca="1" si="77"/>
        <v>0.10560556888031059</v>
      </c>
      <c r="CB94" s="6">
        <f t="shared" ca="1" si="78"/>
        <v>0.99440809722239598</v>
      </c>
      <c r="CC94" s="6">
        <f t="shared" ca="1" si="79"/>
        <v>1.4649934712027486</v>
      </c>
      <c r="CD94" s="6">
        <f t="shared" ca="1" si="71"/>
        <v>-1.2878298120391101</v>
      </c>
      <c r="CE94" s="9">
        <f t="shared" ca="1" si="72"/>
        <v>84.402846304765049</v>
      </c>
      <c r="CF94" s="9">
        <f t="shared" ca="1" si="73"/>
        <v>40.208593949940948</v>
      </c>
      <c r="CG94">
        <f t="shared" ca="1" si="80"/>
        <v>93.491023589310529</v>
      </c>
      <c r="CH94">
        <f t="shared" ca="1" si="81"/>
        <v>0.9027909104464592</v>
      </c>
      <c r="CI94">
        <f t="shared" ca="1" si="82"/>
        <v>0.43007972751020634</v>
      </c>
      <c r="CJ94">
        <f t="shared" ca="1" si="83"/>
        <v>0.44458108734341178</v>
      </c>
      <c r="CK94" s="38">
        <f t="shared" ca="1" si="84"/>
        <v>-1.9116134028489331</v>
      </c>
    </row>
    <row r="95" spans="1:89" x14ac:dyDescent="0.25">
      <c r="A95" s="6">
        <f t="shared" si="85"/>
        <v>-6</v>
      </c>
      <c r="B95" s="1">
        <f t="shared" si="86"/>
        <v>12</v>
      </c>
      <c r="C95" s="1">
        <f t="shared" si="87"/>
        <v>72</v>
      </c>
      <c r="D95" s="6">
        <f t="shared" si="88"/>
        <v>0</v>
      </c>
      <c r="E95" s="6">
        <f t="shared" si="89"/>
        <v>576</v>
      </c>
      <c r="BC95">
        <v>1.6231562043547283</v>
      </c>
      <c r="BD95">
        <v>0.79495675521119613</v>
      </c>
      <c r="BE95">
        <v>44.544432246483595</v>
      </c>
      <c r="BF95" s="6">
        <f t="shared" si="66"/>
        <v>1.5529518435420344</v>
      </c>
      <c r="BG95" s="6">
        <f t="shared" si="67"/>
        <v>7.0204360812693878E-2</v>
      </c>
      <c r="BH95" s="6">
        <f t="shared" si="68"/>
        <v>0.80324264665031042</v>
      </c>
      <c r="BI95" s="6">
        <f t="shared" si="69"/>
        <v>0.80324264665031042</v>
      </c>
      <c r="BV95" s="38"/>
      <c r="BW95" s="6">
        <f t="shared" si="70"/>
        <v>1.3962634015954651</v>
      </c>
      <c r="BX95" s="9">
        <f t="shared" ca="1" si="74"/>
        <v>2.5534797046604183</v>
      </c>
      <c r="BY95" s="9">
        <f t="shared" ca="1" si="75"/>
        <v>66.781900852157847</v>
      </c>
      <c r="BZ95">
        <f t="shared" ca="1" si="76"/>
        <v>66.83070058011927</v>
      </c>
      <c r="CA95" s="6">
        <f t="shared" ca="1" si="77"/>
        <v>3.8208184000693014E-2</v>
      </c>
      <c r="CB95" s="6">
        <f t="shared" ca="1" si="78"/>
        <v>0.9992698007422065</v>
      </c>
      <c r="CC95" s="6">
        <f t="shared" ca="1" si="79"/>
        <v>1.5325788402145193</v>
      </c>
      <c r="CD95" s="6">
        <f t="shared" ca="1" si="71"/>
        <v>-1.2202444430273394</v>
      </c>
      <c r="CE95" s="9">
        <f t="shared" ca="1" si="72"/>
        <v>79.946498375482221</v>
      </c>
      <c r="CF95" s="9">
        <f t="shared" ca="1" si="73"/>
        <v>40.984227961883917</v>
      </c>
      <c r="CG95">
        <f t="shared" ca="1" si="80"/>
        <v>89.839576713899589</v>
      </c>
      <c r="CH95">
        <f t="shared" ca="1" si="81"/>
        <v>0.88988062165605963</v>
      </c>
      <c r="CI95">
        <f t="shared" ca="1" si="82"/>
        <v>0.45619346685482565</v>
      </c>
      <c r="CJ95">
        <f t="shared" ca="1" si="83"/>
        <v>0.47371290768784302</v>
      </c>
      <c r="CK95" s="38">
        <f t="shared" ca="1" si="84"/>
        <v>-1.8824815825045018</v>
      </c>
    </row>
    <row r="96" spans="1:89" x14ac:dyDescent="0.25">
      <c r="A96" s="6">
        <f t="shared" si="85"/>
        <v>-6</v>
      </c>
      <c r="B96" s="1">
        <f t="shared" si="86"/>
        <v>4</v>
      </c>
      <c r="C96" s="1">
        <f t="shared" si="87"/>
        <v>24</v>
      </c>
      <c r="D96" s="6">
        <f t="shared" si="88"/>
        <v>-96</v>
      </c>
      <c r="E96" s="6">
        <f t="shared" si="89"/>
        <v>128</v>
      </c>
      <c r="BC96">
        <v>1.6406094968746716</v>
      </c>
      <c r="BD96">
        <v>-8.4290504996670244</v>
      </c>
      <c r="BE96">
        <v>43.20020013632076</v>
      </c>
      <c r="BF96" s="6">
        <f t="shared" si="66"/>
        <v>1.763491358071428</v>
      </c>
      <c r="BG96" s="6">
        <f t="shared" si="67"/>
        <v>0.12288186119675637</v>
      </c>
      <c r="BH96" s="6">
        <f t="shared" si="68"/>
        <v>0.59270313212091685</v>
      </c>
      <c r="BI96" s="6">
        <f t="shared" si="69"/>
        <v>0.59270313212091685</v>
      </c>
      <c r="BV96" s="38"/>
      <c r="BW96" s="6">
        <f t="shared" si="70"/>
        <v>1.4137166941154085</v>
      </c>
      <c r="BX96" s="9">
        <f t="shared" ca="1" si="74"/>
        <v>-2.0090087572638282</v>
      </c>
      <c r="BY96" s="9">
        <f t="shared" ca="1" si="75"/>
        <v>67.549911618003961</v>
      </c>
      <c r="BZ96">
        <f t="shared" ca="1" si="76"/>
        <v>67.579780080930348</v>
      </c>
      <c r="CA96" s="6">
        <f t="shared" ca="1" si="77"/>
        <v>-2.9727956422141866E-2</v>
      </c>
      <c r="CB96" s="6">
        <f t="shared" ca="1" si="78"/>
        <v>0.99955802663325299</v>
      </c>
      <c r="CC96" s="6">
        <f t="shared" ca="1" si="79"/>
        <v>1.6005286636464569</v>
      </c>
      <c r="CD96" s="6">
        <f t="shared" ca="1" si="71"/>
        <v>-1.1522946195954018</v>
      </c>
      <c r="CE96" s="9">
        <f t="shared" ca="1" si="72"/>
        <v>75.384009913557975</v>
      </c>
      <c r="CF96" s="9">
        <f t="shared" ca="1" si="73"/>
        <v>41.752238727730031</v>
      </c>
      <c r="CG96">
        <f t="shared" ca="1" si="80"/>
        <v>86.174232746365462</v>
      </c>
      <c r="CH96">
        <f t="shared" ca="1" si="81"/>
        <v>0.87478597152624393</v>
      </c>
      <c r="CI96">
        <f t="shared" ca="1" si="82"/>
        <v>0.48450954997903362</v>
      </c>
      <c r="CJ96">
        <f t="shared" ca="1" si="83"/>
        <v>0.50580242912806839</v>
      </c>
      <c r="CK96" s="38">
        <f t="shared" ca="1" si="84"/>
        <v>-1.8503920610642766</v>
      </c>
    </row>
    <row r="97" spans="1:89" x14ac:dyDescent="0.25">
      <c r="A97" s="6">
        <f t="shared" si="85"/>
        <v>-6</v>
      </c>
      <c r="B97" s="1">
        <f t="shared" si="86"/>
        <v>4</v>
      </c>
      <c r="C97" s="1">
        <f t="shared" si="87"/>
        <v>0</v>
      </c>
      <c r="D97" s="6">
        <f t="shared" si="88"/>
        <v>0</v>
      </c>
      <c r="E97" s="6">
        <f t="shared" si="89"/>
        <v>0</v>
      </c>
      <c r="BC97">
        <v>1.6580627893946149</v>
      </c>
      <c r="BD97">
        <v>-16.978791843483499</v>
      </c>
      <c r="BE97">
        <v>41.86362187258672</v>
      </c>
      <c r="BF97" s="6">
        <f t="shared" si="66"/>
        <v>1.9560985242904099</v>
      </c>
      <c r="BG97" s="6">
        <f t="shared" si="67"/>
        <v>0.29803573489579493</v>
      </c>
      <c r="BH97" s="6">
        <f t="shared" si="68"/>
        <v>0.40009596590193497</v>
      </c>
      <c r="BI97" s="6">
        <f t="shared" si="69"/>
        <v>0.40009596590193497</v>
      </c>
      <c r="BV97" s="38"/>
      <c r="BW97" s="6">
        <f t="shared" si="70"/>
        <v>1.4311699866353518</v>
      </c>
      <c r="BX97" s="9">
        <f t="shared" ca="1" si="74"/>
        <v>-6.6784536809259123</v>
      </c>
      <c r="BY97" s="9">
        <f t="shared" ca="1" si="75"/>
        <v>68.310306896666802</v>
      </c>
      <c r="BZ97">
        <f t="shared" ca="1" si="76"/>
        <v>68.635994724962472</v>
      </c>
      <c r="CA97" s="6">
        <f t="shared" ca="1" si="77"/>
        <v>-9.7302497147273098E-2</v>
      </c>
      <c r="CB97" s="6">
        <f t="shared" ca="1" si="78"/>
        <v>0.99525485381830969</v>
      </c>
      <c r="CC97" s="6">
        <f t="shared" ca="1" si="79"/>
        <v>1.6682530215155127</v>
      </c>
      <c r="CD97" s="6">
        <f t="shared" ca="1" si="71"/>
        <v>-1.084570261726346</v>
      </c>
      <c r="CE97" s="9">
        <f t="shared" ca="1" si="72"/>
        <v>70.714564989895891</v>
      </c>
      <c r="CF97" s="9">
        <f t="shared" ca="1" si="73"/>
        <v>42.512634006392872</v>
      </c>
      <c r="CG97">
        <f t="shared" ca="1" si="80"/>
        <v>82.509840333573067</v>
      </c>
      <c r="CH97">
        <f t="shared" ca="1" si="81"/>
        <v>0.85704401685919029</v>
      </c>
      <c r="CI97">
        <f t="shared" ca="1" si="82"/>
        <v>0.51524319807821251</v>
      </c>
      <c r="CJ97">
        <f t="shared" ca="1" si="83"/>
        <v>0.54129138886601447</v>
      </c>
      <c r="CK97" s="38">
        <f t="shared" ca="1" si="84"/>
        <v>-1.8149031013263304</v>
      </c>
    </row>
    <row r="98" spans="1:89" x14ac:dyDescent="0.25">
      <c r="A98" s="6">
        <f t="shared" si="85"/>
        <v>-6</v>
      </c>
      <c r="B98" s="1">
        <f t="shared" si="86"/>
        <v>-12</v>
      </c>
      <c r="C98" s="1">
        <f t="shared" si="87"/>
        <v>48</v>
      </c>
      <c r="D98" s="6">
        <f t="shared" si="88"/>
        <v>-192</v>
      </c>
      <c r="E98" s="6">
        <f t="shared" si="89"/>
        <v>-128</v>
      </c>
      <c r="BC98">
        <v>1.6755160819145583</v>
      </c>
      <c r="BD98">
        <v>-24.70317876926174</v>
      </c>
      <c r="BE98">
        <v>40.576377270649047</v>
      </c>
      <c r="BF98" s="6">
        <f t="shared" ref="BF98:BF129" si="90">IF(BC98&lt;&gt;"",IF(AND(BD98=0,BE98=0),0,MOD(ATAN2(BD98,BE98),2*PI())),NA())</f>
        <v>2.11766634179713</v>
      </c>
      <c r="BG98" s="6">
        <f t="shared" ref="BG98:BG129" si="91">ABS(BC98-BF98)</f>
        <v>0.44215025988257173</v>
      </c>
      <c r="BH98" s="6">
        <f t="shared" si="68"/>
        <v>0.23852814839521486</v>
      </c>
      <c r="BI98" s="6">
        <f t="shared" si="69"/>
        <v>0.23852814839521486</v>
      </c>
      <c r="BV98" s="38"/>
      <c r="BW98" s="6">
        <f t="shared" si="70"/>
        <v>1.4486232791552951</v>
      </c>
      <c r="BX98" s="9">
        <f t="shared" ca="1" si="74"/>
        <v>-11.455303922772629</v>
      </c>
      <c r="BY98" s="9">
        <f t="shared" ca="1" si="75"/>
        <v>69.063289427374272</v>
      </c>
      <c r="BZ98">
        <f t="shared" ca="1" si="76"/>
        <v>70.006870623477781</v>
      </c>
      <c r="CA98" s="6">
        <f t="shared" ca="1" si="77"/>
        <v>-0.1636311382118962</v>
      </c>
      <c r="CB98" s="6">
        <f t="shared" ca="1" si="78"/>
        <v>0.98652159155665697</v>
      </c>
      <c r="CC98" s="6">
        <f t="shared" ca="1" si="79"/>
        <v>1.7351666140060884</v>
      </c>
      <c r="CD98" s="6">
        <f t="shared" ca="1" si="71"/>
        <v>-1.0176566692357703</v>
      </c>
      <c r="CE98" s="9">
        <f t="shared" ca="1" si="72"/>
        <v>65.937714748049174</v>
      </c>
      <c r="CF98" s="9">
        <f t="shared" ca="1" si="73"/>
        <v>43.265616537100342</v>
      </c>
      <c r="CG98">
        <f t="shared" ca="1" si="80"/>
        <v>78.865048028454993</v>
      </c>
      <c r="CH98">
        <f t="shared" ca="1" si="81"/>
        <v>0.83608285795069115</v>
      </c>
      <c r="CI98">
        <f t="shared" ca="1" si="82"/>
        <v>0.54860318504453132</v>
      </c>
      <c r="CJ98">
        <f t="shared" ca="1" si="83"/>
        <v>0.5806926546713076</v>
      </c>
      <c r="CK98" s="38">
        <f t="shared" ca="1" si="84"/>
        <v>-1.7755018355210372</v>
      </c>
    </row>
    <row r="99" spans="1:89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-31.506972054333222</v>
      </c>
      <c r="BE99">
        <v>39.369251798025509</v>
      </c>
      <c r="BF99" s="6">
        <f t="shared" si="90"/>
        <v>2.2457164505337404</v>
      </c>
      <c r="BG99" s="6">
        <f t="shared" si="91"/>
        <v>0.55274707609923879</v>
      </c>
      <c r="BH99" s="6">
        <f t="shared" si="68"/>
        <v>0.11047803965860448</v>
      </c>
      <c r="BI99" s="6">
        <f t="shared" si="69"/>
        <v>0.11047803965860448</v>
      </c>
      <c r="BV99" s="38"/>
      <c r="BW99" s="6">
        <f t="shared" si="70"/>
        <v>1.4660765716752384</v>
      </c>
      <c r="BX99" s="9">
        <f t="shared" ca="1" si="74"/>
        <v>-16.30971876770198</v>
      </c>
      <c r="BY99" s="9">
        <f t="shared" ca="1" si="75"/>
        <v>69.803176661292397</v>
      </c>
      <c r="BZ99">
        <f t="shared" ca="1" si="76"/>
        <v>71.683264422660926</v>
      </c>
      <c r="CA99" s="6">
        <f t="shared" ca="1" si="77"/>
        <v>-0.22752477721349501</v>
      </c>
      <c r="CB99" s="6">
        <f t="shared" ca="1" si="78"/>
        <v>0.97377229153121292</v>
      </c>
      <c r="CC99" s="6">
        <f t="shared" ca="1" si="79"/>
        <v>1.8003313608715361</v>
      </c>
      <c r="CD99" s="6">
        <f t="shared" ca="1" si="71"/>
        <v>-0.95249192237032254</v>
      </c>
      <c r="CE99" s="9">
        <f t="shared" ca="1" si="72"/>
        <v>61.083299903119823</v>
      </c>
      <c r="CF99" s="9">
        <f t="shared" ca="1" si="73"/>
        <v>44.005503771018468</v>
      </c>
      <c r="CG99">
        <f t="shared" ca="1" si="80"/>
        <v>75.283822227591486</v>
      </c>
      <c r="CH99">
        <f t="shared" ca="1" si="81"/>
        <v>0.81137352084034886</v>
      </c>
      <c r="CI99">
        <f t="shared" ca="1" si="82"/>
        <v>0.58452802300585727</v>
      </c>
      <c r="CJ99">
        <f t="shared" ca="1" si="83"/>
        <v>0.62429823453765809</v>
      </c>
      <c r="CK99" s="38">
        <f t="shared" ca="1" si="84"/>
        <v>-1.7318962556546866</v>
      </c>
    </row>
    <row r="100" spans="1:89" x14ac:dyDescent="0.25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-37.319468238540459</v>
      </c>
      <c r="BE100">
        <v>38.267412660830722</v>
      </c>
      <c r="BF100" s="6">
        <f t="shared" si="90"/>
        <v>2.3436540239341359</v>
      </c>
      <c r="BG100" s="6">
        <f t="shared" si="91"/>
        <v>0.63323135697969102</v>
      </c>
      <c r="BH100" s="6">
        <f t="shared" si="68"/>
        <v>1.2540466258208927E-2</v>
      </c>
      <c r="BI100" s="6">
        <f t="shared" si="69"/>
        <v>1.2540466258208927E-2</v>
      </c>
      <c r="BV100" s="38"/>
      <c r="BW100" s="6">
        <f t="shared" si="70"/>
        <v>1.4835298641951817</v>
      </c>
      <c r="BX100" s="9">
        <f t="shared" ca="1" si="74"/>
        <v>-21.267956092943209</v>
      </c>
      <c r="BY100" s="9">
        <f t="shared" ca="1" si="75"/>
        <v>70.53460872797254</v>
      </c>
      <c r="BZ100">
        <f t="shared" ca="1" si="76"/>
        <v>73.671276524704936</v>
      </c>
      <c r="CA100" s="6">
        <f t="shared" ca="1" si="77"/>
        <v>-0.28868722107470485</v>
      </c>
      <c r="CB100" s="6">
        <f t="shared" ca="1" si="78"/>
        <v>0.95742346346230955</v>
      </c>
      <c r="CC100" s="6">
        <f t="shared" ca="1" si="79"/>
        <v>1.8636517224640274</v>
      </c>
      <c r="CD100" s="6">
        <f t="shared" ca="1" si="71"/>
        <v>-0.88917156077783122</v>
      </c>
      <c r="CE100" s="9">
        <f t="shared" ca="1" si="72"/>
        <v>56.125062577878595</v>
      </c>
      <c r="CF100" s="9">
        <f t="shared" ca="1" si="73"/>
        <v>44.73693583769861</v>
      </c>
      <c r="CG100">
        <f t="shared" ca="1" si="80"/>
        <v>71.773366073475685</v>
      </c>
      <c r="CH100">
        <f t="shared" ca="1" si="81"/>
        <v>0.78197617930336938</v>
      </c>
      <c r="CI100">
        <f t="shared" ca="1" si="82"/>
        <v>0.62330831456198676</v>
      </c>
      <c r="CJ100">
        <f t="shared" ca="1" si="83"/>
        <v>0.67296631628369719</v>
      </c>
      <c r="CK100" s="38">
        <f t="shared" ca="1" si="84"/>
        <v>-1.6832281739086477</v>
      </c>
    </row>
    <row r="101" spans="1:89" x14ac:dyDescent="0.25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-42.06956399403569</v>
      </c>
      <c r="BE101">
        <v>37.295312287182433</v>
      </c>
      <c r="BF101" s="6">
        <f t="shared" si="90"/>
        <v>2.4162778107033369</v>
      </c>
      <c r="BG101" s="6">
        <f t="shared" si="91"/>
        <v>0.6884018512289487</v>
      </c>
      <c r="BH101" s="6">
        <f t="shared" si="68"/>
        <v>-6.0083320510992085E-2</v>
      </c>
      <c r="BI101" s="6">
        <f t="shared" si="69"/>
        <v>6.0083320510992085E-2</v>
      </c>
      <c r="BV101" s="38"/>
      <c r="BW101" s="6">
        <f t="shared" si="70"/>
        <v>1.5009831567151251</v>
      </c>
      <c r="BX101" s="9">
        <f t="shared" ca="1" si="74"/>
        <v>-26.275685334680958</v>
      </c>
      <c r="BY101" s="9">
        <f t="shared" ca="1" si="75"/>
        <v>71.248994088683688</v>
      </c>
      <c r="BZ101">
        <f t="shared" ca="1" si="76"/>
        <v>75.939652346165317</v>
      </c>
      <c r="CA101" s="6">
        <f t="shared" ca="1" si="77"/>
        <v>-0.34600744832100599</v>
      </c>
      <c r="CB101" s="6">
        <f t="shared" ca="1" si="78"/>
        <v>0.93823176545371045</v>
      </c>
      <c r="CC101" s="6">
        <f t="shared" ca="1" si="79"/>
        <v>1.9241086729874382</v>
      </c>
      <c r="CD101" s="6">
        <f t="shared" ca="1" si="71"/>
        <v>-0.8287146102544205</v>
      </c>
      <c r="CE101" s="9">
        <f t="shared" ca="1" si="72"/>
        <v>51.117333336140845</v>
      </c>
      <c r="CF101" s="9">
        <f t="shared" ca="1" si="73"/>
        <v>45.451321198409758</v>
      </c>
      <c r="CG101">
        <f t="shared" ca="1" si="80"/>
        <v>68.401786278423671</v>
      </c>
      <c r="CH101">
        <f t="shared" ca="1" si="81"/>
        <v>0.74730991860464102</v>
      </c>
      <c r="CI101">
        <f t="shared" ca="1" si="82"/>
        <v>0.66447564707453699</v>
      </c>
      <c r="CJ101">
        <f t="shared" ca="1" si="83"/>
        <v>0.72679194502429312</v>
      </c>
      <c r="CK101" s="38">
        <f t="shared" ca="1" si="84"/>
        <v>-1.6294025451680518</v>
      </c>
    </row>
    <row r="102" spans="1:89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-45.797444812626118</v>
      </c>
      <c r="BE102">
        <v>36.461662810171006</v>
      </c>
      <c r="BF102" s="6">
        <f t="shared" si="90"/>
        <v>2.4692033226609187</v>
      </c>
      <c r="BG102" s="6">
        <f t="shared" si="91"/>
        <v>0.72387407066658715</v>
      </c>
      <c r="BH102" s="6">
        <f t="shared" si="68"/>
        <v>-0.11300883246857385</v>
      </c>
      <c r="BI102" s="6">
        <f t="shared" si="69"/>
        <v>0.11300883246857385</v>
      </c>
      <c r="BV102" s="38"/>
      <c r="BW102" s="6">
        <f t="shared" si="70"/>
        <v>1.5184364492350684</v>
      </c>
      <c r="BX102" s="9">
        <f t="shared" ca="1" si="74"/>
        <v>-31.343317479273395</v>
      </c>
      <c r="BY102" s="9">
        <f t="shared" ca="1" si="75"/>
        <v>71.943879093673431</v>
      </c>
      <c r="BZ102">
        <f t="shared" ca="1" si="76"/>
        <v>78.474997863342608</v>
      </c>
      <c r="CA102" s="6">
        <f t="shared" ca="1" si="77"/>
        <v>-0.39940513963256247</v>
      </c>
      <c r="CB102" s="6">
        <f t="shared" ca="1" si="78"/>
        <v>0.91677452758848677</v>
      </c>
      <c r="CC102" s="6">
        <f t="shared" ca="1" si="79"/>
        <v>1.9816642188455644</v>
      </c>
      <c r="CD102" s="6">
        <f t="shared" ca="1" si="71"/>
        <v>-0.77115906439629422</v>
      </c>
      <c r="CE102" s="9">
        <f t="shared" ca="1" si="72"/>
        <v>46.049701191548408</v>
      </c>
      <c r="CF102" s="9">
        <f t="shared" ca="1" si="73"/>
        <v>46.146206203399501</v>
      </c>
      <c r="CG102">
        <f t="shared" ca="1" si="80"/>
        <v>65.192387030983625</v>
      </c>
      <c r="CH102">
        <f t="shared" ca="1" si="81"/>
        <v>0.70636623827967249</v>
      </c>
      <c r="CI102">
        <f t="shared" ca="1" si="82"/>
        <v>0.70784654934429458</v>
      </c>
      <c r="CJ102">
        <f t="shared" ca="1" si="83"/>
        <v>0.78644490158065317</v>
      </c>
      <c r="CK102" s="38">
        <f t="shared" ca="1" si="84"/>
        <v>-1.5697495886116917</v>
      </c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-48.76761225319197</v>
      </c>
      <c r="BE103">
        <v>35.739380862108156</v>
      </c>
      <c r="BF103" s="6">
        <f t="shared" si="90"/>
        <v>2.5091577141697115</v>
      </c>
      <c r="BG103" s="6">
        <f t="shared" si="91"/>
        <v>0.7463751696554366</v>
      </c>
      <c r="BH103" s="6">
        <f t="shared" si="68"/>
        <v>-0.15296322397736661</v>
      </c>
      <c r="BI103" s="6">
        <f t="shared" si="69"/>
        <v>0.15296322397736661</v>
      </c>
      <c r="BV103" s="38"/>
      <c r="BW103" s="6">
        <f t="shared" si="70"/>
        <v>1.5358897417550117</v>
      </c>
      <c r="BX103" s="9">
        <f t="shared" ca="1" si="74"/>
        <v>-36.473060010690091</v>
      </c>
      <c r="BY103" s="9">
        <f t="shared" ca="1" si="75"/>
        <v>72.616513228978206</v>
      </c>
      <c r="BZ103">
        <f t="shared" ca="1" si="76"/>
        <v>81.261565946502458</v>
      </c>
      <c r="CA103" s="6">
        <f t="shared" ca="1" si="77"/>
        <v>-0.44883530837569235</v>
      </c>
      <c r="CB103" s="6">
        <f t="shared" ca="1" si="78"/>
        <v>0.89361449515733415</v>
      </c>
      <c r="CC103" s="6">
        <f t="shared" ca="1" si="79"/>
        <v>2.0362578895123438</v>
      </c>
      <c r="CD103" s="6">
        <f t="shared" ca="1" si="71"/>
        <v>-0.71656539372951489</v>
      </c>
      <c r="CE103" s="9">
        <f t="shared" ca="1" si="72"/>
        <v>40.919958660131712</v>
      </c>
      <c r="CF103" s="9">
        <f t="shared" ca="1" si="73"/>
        <v>46.818840338704277</v>
      </c>
      <c r="CG103">
        <f t="shared" ca="1" si="80"/>
        <v>62.180759302279114</v>
      </c>
      <c r="CH103">
        <f t="shared" ca="1" si="81"/>
        <v>0.65808071691771497</v>
      </c>
      <c r="CI103">
        <f t="shared" ca="1" si="82"/>
        <v>0.7529473886142819</v>
      </c>
      <c r="CJ103">
        <f t="shared" ca="1" si="83"/>
        <v>0.85252944129983843</v>
      </c>
      <c r="CK103" s="38">
        <f t="shared" ca="1" si="84"/>
        <v>-1.5036650488925063</v>
      </c>
    </row>
    <row r="104" spans="1:89" x14ac:dyDescent="0.25">
      <c r="A104">
        <f t="shared" ref="A104:C113" si="92">A15</f>
        <v>1</v>
      </c>
      <c r="B104">
        <f t="shared" si="92"/>
        <v>8</v>
      </c>
      <c r="C104">
        <f t="shared" ca="1" si="92"/>
        <v>0.79</v>
      </c>
      <c r="D104" s="9">
        <f t="shared" ref="D104:D113" si="93">D15-$I$2</f>
        <v>-4</v>
      </c>
      <c r="E104" s="5">
        <f t="shared" ref="E104:E113" si="94">E15-$I$3</f>
        <v>-10</v>
      </c>
      <c r="F104" s="5">
        <f t="shared" ref="F104:F113" ca="1" si="95">($B$12-$B$31)*C104*0.65</f>
        <v>28.627625000000002</v>
      </c>
      <c r="G104">
        <f t="shared" ref="G104:G113" ca="1" si="96">E104*F104</f>
        <v>-286.27625</v>
      </c>
      <c r="H104">
        <f t="shared" ref="H104:H113" ca="1" si="97">D104*F104*-1</f>
        <v>114.51050000000001</v>
      </c>
      <c r="J104">
        <f t="shared" ref="J104:J113" ca="1" si="98">-1*C104*$B$12*0.9</f>
        <v>-42.660000000000004</v>
      </c>
      <c r="K104">
        <f t="shared" ref="K104:K113" ca="1" si="99">E104*J104</f>
        <v>426.6</v>
      </c>
      <c r="L104">
        <f t="shared" ref="L104:L113" ca="1" si="100">D104*J104*-1</f>
        <v>-170.64000000000001</v>
      </c>
      <c r="BC104">
        <v>1.7802358370342182</v>
      </c>
      <c r="BD104">
        <v>-51.184102986836429</v>
      </c>
      <c r="BE104">
        <v>35.104710188584377</v>
      </c>
      <c r="BF104" s="6">
        <f t="shared" si="90"/>
        <v>2.5404253573415572</v>
      </c>
      <c r="BG104" s="6">
        <f t="shared" si="91"/>
        <v>0.760189520307339</v>
      </c>
      <c r="BH104" s="6">
        <f t="shared" si="68"/>
        <v>-0.18423086714921233</v>
      </c>
      <c r="BI104" s="6">
        <f t="shared" si="69"/>
        <v>0.18423086714921233</v>
      </c>
      <c r="BV104" s="38"/>
      <c r="BW104" s="6">
        <f t="shared" si="70"/>
        <v>1.553343034274955</v>
      </c>
      <c r="BX104" s="9">
        <f t="shared" ca="1" si="74"/>
        <v>-41.654906588406185</v>
      </c>
      <c r="BY104" s="9">
        <f t="shared" ca="1" si="75"/>
        <v>73.275746398120475</v>
      </c>
      <c r="BZ104">
        <f t="shared" ca="1" si="76"/>
        <v>84.287995901495435</v>
      </c>
      <c r="CA104" s="6">
        <f t="shared" ca="1" si="77"/>
        <v>-0.49419737820183651</v>
      </c>
      <c r="CB104" s="6">
        <f t="shared" ca="1" si="78"/>
        <v>0.86934972903799246</v>
      </c>
      <c r="CC104" s="6">
        <f t="shared" ca="1" si="79"/>
        <v>2.0877076720351972</v>
      </c>
      <c r="CD104" s="6">
        <f t="shared" ca="1" si="71"/>
        <v>-0.66511561120666141</v>
      </c>
      <c r="CE104" s="9">
        <f t="shared" ca="1" si="72"/>
        <v>35.738112082415618</v>
      </c>
      <c r="CF104" s="9">
        <f t="shared" ca="1" si="73"/>
        <v>47.478073507846545</v>
      </c>
      <c r="CG104">
        <f t="shared" ca="1" si="80"/>
        <v>59.4254164413829</v>
      </c>
      <c r="CH104">
        <f t="shared" ca="1" si="81"/>
        <v>0.60139439018770047</v>
      </c>
      <c r="CI104">
        <f t="shared" ca="1" si="82"/>
        <v>0.79895230611768309</v>
      </c>
      <c r="CJ104">
        <f t="shared" ca="1" si="83"/>
        <v>0.92555108863779201</v>
      </c>
      <c r="CK104" s="38">
        <f t="shared" ca="1" si="84"/>
        <v>-1.4306434015545528</v>
      </c>
    </row>
    <row r="105" spans="1:89" x14ac:dyDescent="0.25">
      <c r="A105">
        <f t="shared" si="92"/>
        <v>2</v>
      </c>
      <c r="B105">
        <f t="shared" si="92"/>
        <v>8</v>
      </c>
      <c r="C105">
        <f t="shared" ca="1" si="92"/>
        <v>0.79</v>
      </c>
      <c r="D105" s="9">
        <f t="shared" si="93"/>
        <v>-4</v>
      </c>
      <c r="E105" s="5">
        <f t="shared" si="94"/>
        <v>-8</v>
      </c>
      <c r="F105" s="5">
        <f t="shared" ca="1" si="95"/>
        <v>28.627625000000002</v>
      </c>
      <c r="G105">
        <f t="shared" ca="1" si="96"/>
        <v>-229.02100000000002</v>
      </c>
      <c r="H105">
        <f t="shared" ca="1" si="97"/>
        <v>114.51050000000001</v>
      </c>
      <c r="J105">
        <f t="shared" ca="1" si="98"/>
        <v>-42.660000000000004</v>
      </c>
      <c r="K105">
        <f t="shared" ca="1" si="99"/>
        <v>341.28000000000003</v>
      </c>
      <c r="L105">
        <f t="shared" ca="1" si="100"/>
        <v>-170.64000000000001</v>
      </c>
      <c r="BC105">
        <v>1.7976891295541615</v>
      </c>
      <c r="BD105">
        <v>-53.185100400432205</v>
      </c>
      <c r="BE105">
        <v>34.540331289247604</v>
      </c>
      <c r="BF105" s="6">
        <f t="shared" si="90"/>
        <v>2.5656138559228348</v>
      </c>
      <c r="BG105" s="6">
        <f t="shared" si="91"/>
        <v>0.76792472636867326</v>
      </c>
      <c r="BH105" s="6">
        <f t="shared" si="68"/>
        <v>-0.20941936573048991</v>
      </c>
      <c r="BI105" s="6">
        <f t="shared" si="69"/>
        <v>0.20941936573048991</v>
      </c>
      <c r="BV105" s="38"/>
      <c r="BW105" s="6">
        <f t="shared" si="70"/>
        <v>1.5707963267948983</v>
      </c>
      <c r="BX105" s="9">
        <f t="shared" ca="1" si="74"/>
        <v>-46.903708763829826</v>
      </c>
      <c r="BY105" s="9">
        <f t="shared" ca="1" si="75"/>
        <v>73.951566397284239</v>
      </c>
      <c r="BZ105">
        <f t="shared" ca="1" si="76"/>
        <v>87.571639635295782</v>
      </c>
      <c r="CA105" s="6">
        <f t="shared" ca="1" si="77"/>
        <v>-0.53560386626500101</v>
      </c>
      <c r="CB105" s="6">
        <f t="shared" ca="1" si="78"/>
        <v>0.8444693590900636</v>
      </c>
      <c r="CC105" s="6">
        <f t="shared" ca="1" si="79"/>
        <v>2.136018995593183</v>
      </c>
      <c r="CD105" s="6">
        <f t="shared" ca="1" si="71"/>
        <v>-0.61680428764867568</v>
      </c>
      <c r="CE105" s="9">
        <f t="shared" ca="1" si="72"/>
        <v>30.489309906991977</v>
      </c>
      <c r="CF105" s="9">
        <f t="shared" ca="1" si="73"/>
        <v>48.153893507010309</v>
      </c>
      <c r="CG105">
        <f t="shared" ca="1" si="80"/>
        <v>56.994696933040082</v>
      </c>
      <c r="CH105">
        <f t="shared" ca="1" si="81"/>
        <v>0.53494994355022507</v>
      </c>
      <c r="CI105">
        <f t="shared" ca="1" si="82"/>
        <v>0.84488375407248251</v>
      </c>
      <c r="CJ105">
        <f t="shared" ca="1" si="83"/>
        <v>1.0063478273245272</v>
      </c>
      <c r="CK105" s="38">
        <f t="shared" ca="1" si="84"/>
        <v>-1.3498466628678176</v>
      </c>
    </row>
    <row r="106" spans="1:89" x14ac:dyDescent="0.25">
      <c r="A106">
        <f t="shared" si="92"/>
        <v>3</v>
      </c>
      <c r="B106">
        <f t="shared" si="92"/>
        <v>8</v>
      </c>
      <c r="C106">
        <f t="shared" ca="1" si="92"/>
        <v>0.79</v>
      </c>
      <c r="D106" s="9">
        <f t="shared" si="93"/>
        <v>-2</v>
      </c>
      <c r="E106" s="5">
        <f t="shared" si="94"/>
        <v>-10</v>
      </c>
      <c r="F106" s="5">
        <f t="shared" ca="1" si="95"/>
        <v>28.627625000000002</v>
      </c>
      <c r="G106">
        <f t="shared" ca="1" si="96"/>
        <v>-286.27625</v>
      </c>
      <c r="H106">
        <f t="shared" ca="1" si="97"/>
        <v>57.255250000000004</v>
      </c>
      <c r="J106">
        <f t="shared" ca="1" si="98"/>
        <v>-42.660000000000004</v>
      </c>
      <c r="K106">
        <f t="shared" ca="1" si="99"/>
        <v>426.6</v>
      </c>
      <c r="L106">
        <f t="shared" ca="1" si="100"/>
        <v>-85.320000000000007</v>
      </c>
      <c r="BC106">
        <v>1.8151424220741048</v>
      </c>
      <c r="BD106">
        <v>-54.867258282034726</v>
      </c>
      <c r="BE106">
        <v>34.033279399736571</v>
      </c>
      <c r="BF106" s="6">
        <f t="shared" si="90"/>
        <v>2.5863918492858335</v>
      </c>
      <c r="BG106" s="6">
        <f t="shared" si="91"/>
        <v>0.77124942721172873</v>
      </c>
      <c r="BH106" s="6">
        <f t="shared" si="68"/>
        <v>-0.23019735909348871</v>
      </c>
      <c r="BI106" s="6">
        <f t="shared" si="69"/>
        <v>0.23019735909348871</v>
      </c>
      <c r="BV106" s="38"/>
      <c r="BW106" s="6">
        <f t="shared" si="70"/>
        <v>1.5882496193148417</v>
      </c>
      <c r="BX106" s="9">
        <f t="shared" ca="1" si="74"/>
        <v>-57.025898726286698</v>
      </c>
      <c r="BY106" s="9">
        <f t="shared" ca="1" si="75"/>
        <v>72.845982768014039</v>
      </c>
      <c r="BZ106">
        <f t="shared" ca="1" si="76"/>
        <v>92.512109104584283</v>
      </c>
      <c r="CA106" s="6">
        <f t="shared" ca="1" si="77"/>
        <v>-0.6164155079614424</v>
      </c>
      <c r="CB106" s="6">
        <f t="shared" ca="1" si="78"/>
        <v>0.78742105734139267</v>
      </c>
      <c r="CC106" s="6">
        <f t="shared" ca="1" si="79"/>
        <v>2.2349786817972044</v>
      </c>
      <c r="CD106" s="6">
        <f t="shared" ca="1" si="71"/>
        <v>-0.51784460144465427</v>
      </c>
      <c r="CE106" s="9">
        <f t="shared" ca="1" si="72"/>
        <v>20.367119944535105</v>
      </c>
      <c r="CF106" s="9">
        <f t="shared" ca="1" si="73"/>
        <v>47.04830987774011</v>
      </c>
      <c r="CG106">
        <f t="shared" ca="1" si="80"/>
        <v>51.267563207031181</v>
      </c>
      <c r="CH106">
        <f t="shared" ca="1" si="81"/>
        <v>0.39727107493460545</v>
      </c>
      <c r="CI106">
        <f t="shared" ca="1" si="82"/>
        <v>0.91770130926151738</v>
      </c>
      <c r="CJ106">
        <f t="shared" ca="1" si="83"/>
        <v>1.1622550543621268</v>
      </c>
      <c r="CK106" s="38">
        <f t="shared" ca="1" si="84"/>
        <v>-1.193939435830218</v>
      </c>
    </row>
    <row r="107" spans="1:89" x14ac:dyDescent="0.25">
      <c r="A107">
        <f t="shared" si="92"/>
        <v>4</v>
      </c>
      <c r="B107">
        <f t="shared" si="92"/>
        <v>8</v>
      </c>
      <c r="C107">
        <f t="shared" ca="1" si="92"/>
        <v>0.79</v>
      </c>
      <c r="D107" s="9">
        <f t="shared" si="93"/>
        <v>-2</v>
      </c>
      <c r="E107" s="5">
        <f t="shared" si="94"/>
        <v>-8</v>
      </c>
      <c r="F107" s="5">
        <f t="shared" ca="1" si="95"/>
        <v>28.627625000000002</v>
      </c>
      <c r="G107">
        <f t="shared" ca="1" si="96"/>
        <v>-229.02100000000002</v>
      </c>
      <c r="H107">
        <f t="shared" ca="1" si="97"/>
        <v>57.255250000000004</v>
      </c>
      <c r="J107">
        <f t="shared" ca="1" si="98"/>
        <v>-42.660000000000004</v>
      </c>
      <c r="K107">
        <f t="shared" ca="1" si="99"/>
        <v>341.28000000000003</v>
      </c>
      <c r="L107">
        <f t="shared" ca="1" si="100"/>
        <v>-85.320000000000007</v>
      </c>
      <c r="BC107">
        <v>1.8325957145940481</v>
      </c>
      <c r="BD107">
        <v>-56.30004861144031</v>
      </c>
      <c r="BE107">
        <v>33.573630111437645</v>
      </c>
      <c r="BF107" s="6">
        <f t="shared" si="90"/>
        <v>2.6038731420933692</v>
      </c>
      <c r="BG107" s="6">
        <f t="shared" si="91"/>
        <v>0.77127742749932104</v>
      </c>
      <c r="BH107" s="6">
        <f t="shared" si="68"/>
        <v>-0.24767865190102434</v>
      </c>
      <c r="BI107" s="6">
        <f t="shared" si="69"/>
        <v>0.24767865190102434</v>
      </c>
      <c r="BV107" s="38"/>
      <c r="BW107" s="6">
        <f t="shared" si="70"/>
        <v>1.605702911834785</v>
      </c>
      <c r="BX107" s="9">
        <f t="shared" ca="1" si="74"/>
        <v>-66.931889882314479</v>
      </c>
      <c r="BY107" s="9">
        <f t="shared" ca="1" si="75"/>
        <v>71.639391120064801</v>
      </c>
      <c r="BZ107">
        <f t="shared" ca="1" si="76"/>
        <v>98.041217063395806</v>
      </c>
      <c r="CA107" s="6">
        <f t="shared" ca="1" si="77"/>
        <v>-0.68269134030674783</v>
      </c>
      <c r="CB107" s="6">
        <f t="shared" ca="1" si="78"/>
        <v>0.73070687274048274</v>
      </c>
      <c r="CC107" s="6">
        <f t="shared" ca="1" si="79"/>
        <v>2.3222358551957178</v>
      </c>
      <c r="CD107" s="6">
        <f t="shared" ca="1" si="71"/>
        <v>-0.43058742804614081</v>
      </c>
      <c r="CE107" s="9">
        <f t="shared" ca="1" si="72"/>
        <v>10.461128788507324</v>
      </c>
      <c r="CF107" s="9">
        <f t="shared" ca="1" si="73"/>
        <v>45.841718229790871</v>
      </c>
      <c r="CG107">
        <f t="shared" ca="1" si="80"/>
        <v>47.020190831059772</v>
      </c>
      <c r="CH107">
        <f t="shared" ca="1" si="81"/>
        <v>0.22248163190348208</v>
      </c>
      <c r="CI107">
        <f t="shared" ca="1" si="82"/>
        <v>0.97493688178546378</v>
      </c>
      <c r="CJ107">
        <f t="shared" ca="1" si="83"/>
        <v>1.3464371641313853</v>
      </c>
      <c r="CK107" s="38">
        <f t="shared" ca="1" si="84"/>
        <v>-1.0097573260609596</v>
      </c>
    </row>
    <row r="108" spans="1:89" x14ac:dyDescent="0.25">
      <c r="A108">
        <f t="shared" si="92"/>
        <v>5</v>
      </c>
      <c r="B108">
        <f t="shared" si="92"/>
        <v>0</v>
      </c>
      <c r="C108">
        <f t="shared" ca="1" si="92"/>
        <v>0</v>
      </c>
      <c r="D108" s="9">
        <f t="shared" si="93"/>
        <v>-4</v>
      </c>
      <c r="E108" s="5">
        <f t="shared" si="94"/>
        <v>-3.34</v>
      </c>
      <c r="F108" s="5">
        <f t="shared" ca="1" si="95"/>
        <v>0</v>
      </c>
      <c r="G108">
        <f t="shared" ca="1" si="96"/>
        <v>0</v>
      </c>
      <c r="H108">
        <f t="shared" ca="1" si="97"/>
        <v>0</v>
      </c>
      <c r="J108">
        <f t="shared" ca="1" si="98"/>
        <v>0</v>
      </c>
      <c r="K108">
        <f t="shared" ca="1" si="99"/>
        <v>0</v>
      </c>
      <c r="L108">
        <f t="shared" ca="1" si="100"/>
        <v>0</v>
      </c>
      <c r="BC108">
        <v>1.8500490071139915</v>
      </c>
      <c r="BD108">
        <v>-57.534583544552298</v>
      </c>
      <c r="BE108">
        <v>33.153638986858851</v>
      </c>
      <c r="BF108" s="6">
        <f t="shared" si="90"/>
        <v>2.6188281471759804</v>
      </c>
      <c r="BG108" s="6">
        <f t="shared" si="91"/>
        <v>0.768779140061989</v>
      </c>
      <c r="BH108" s="6">
        <f t="shared" si="68"/>
        <v>-0.26263365698363561</v>
      </c>
      <c r="BI108" s="6">
        <f t="shared" si="69"/>
        <v>0.26263365698363561</v>
      </c>
      <c r="BV108" s="38"/>
      <c r="BW108" s="6">
        <f t="shared" si="70"/>
        <v>1.6231562043547283</v>
      </c>
      <c r="BX108" s="9">
        <f t="shared" ca="1" si="74"/>
        <v>-76.5980619156106</v>
      </c>
      <c r="BY108" s="9">
        <f t="shared" ca="1" si="75"/>
        <v>70.342105136757525</v>
      </c>
      <c r="BZ108">
        <f t="shared" ca="1" si="76"/>
        <v>103.99651361607448</v>
      </c>
      <c r="CA108" s="6">
        <f t="shared" ca="1" si="77"/>
        <v>-0.73654451723630698</v>
      </c>
      <c r="CB108" s="6">
        <f t="shared" ca="1" si="78"/>
        <v>0.67638907008402749</v>
      </c>
      <c r="CC108" s="6">
        <f t="shared" ca="1" si="79"/>
        <v>2.3987436523586938</v>
      </c>
      <c r="CD108" s="6">
        <f t="shared" ca="1" si="71"/>
        <v>-0.35407963088316485</v>
      </c>
      <c r="CE108" s="9">
        <f t="shared" ca="1" si="72"/>
        <v>0.7949567552112029</v>
      </c>
      <c r="CF108" s="9">
        <f t="shared" ca="1" si="73"/>
        <v>44.544432246483595</v>
      </c>
      <c r="CG108">
        <f t="shared" ca="1" si="80"/>
        <v>44.551525230952791</v>
      </c>
      <c r="CH108">
        <f t="shared" ca="1" si="81"/>
        <v>1.7843536244610894E-2</v>
      </c>
      <c r="CI108">
        <f t="shared" ca="1" si="82"/>
        <v>0.99984079143345983</v>
      </c>
      <c r="CJ108">
        <f t="shared" ca="1" si="83"/>
        <v>1.5529518435420342</v>
      </c>
      <c r="CK108" s="38">
        <f t="shared" ca="1" si="84"/>
        <v>-0.80324264665031064</v>
      </c>
    </row>
    <row r="109" spans="1:89" x14ac:dyDescent="0.25">
      <c r="A109">
        <f t="shared" si="92"/>
        <v>6</v>
      </c>
      <c r="B109">
        <f t="shared" si="92"/>
        <v>0</v>
      </c>
      <c r="C109">
        <f t="shared" ca="1" si="92"/>
        <v>0</v>
      </c>
      <c r="D109" s="9">
        <f t="shared" si="93"/>
        <v>4</v>
      </c>
      <c r="E109" s="5">
        <f t="shared" si="94"/>
        <v>-3.34</v>
      </c>
      <c r="F109" s="5">
        <f t="shared" ca="1" si="95"/>
        <v>0</v>
      </c>
      <c r="G109">
        <f t="shared" ca="1" si="96"/>
        <v>0</v>
      </c>
      <c r="H109">
        <f t="shared" ca="1" si="97"/>
        <v>0</v>
      </c>
      <c r="J109">
        <f t="shared" ca="1" si="98"/>
        <v>0</v>
      </c>
      <c r="K109">
        <f t="shared" ca="1" si="99"/>
        <v>0</v>
      </c>
      <c r="L109">
        <f t="shared" ca="1" si="100"/>
        <v>0</v>
      </c>
      <c r="BC109">
        <v>1.8675022996339348</v>
      </c>
      <c r="BD109">
        <v>-58.598288459052682</v>
      </c>
      <c r="BE109">
        <v>32.772873809394383</v>
      </c>
      <c r="BF109" s="6">
        <f t="shared" si="90"/>
        <v>2.631652312464249</v>
      </c>
      <c r="BG109" s="6">
        <f t="shared" si="91"/>
        <v>0.76415001283031425</v>
      </c>
      <c r="BH109" s="6">
        <f t="shared" si="68"/>
        <v>-0.27545782227190418</v>
      </c>
      <c r="BI109" s="6">
        <f t="shared" si="69"/>
        <v>0.27545782227190418</v>
      </c>
      <c r="BV109" s="38"/>
      <c r="BW109" s="6">
        <f t="shared" si="70"/>
        <v>1.6406094968746716</v>
      </c>
      <c r="BX109" s="9">
        <f t="shared" ca="1" si="74"/>
        <v>-85.822069170488831</v>
      </c>
      <c r="BY109" s="9">
        <f t="shared" ca="1" si="75"/>
        <v>68.997873026594689</v>
      </c>
      <c r="BZ109">
        <f t="shared" ca="1" si="76"/>
        <v>110.11872701270322</v>
      </c>
      <c r="CA109" s="6">
        <f t="shared" ca="1" si="77"/>
        <v>-0.77935943775111438</v>
      </c>
      <c r="CB109" s="6">
        <f t="shared" ca="1" si="78"/>
        <v>0.62657710362593588</v>
      </c>
      <c r="CC109" s="6">
        <f t="shared" ca="1" si="79"/>
        <v>2.464439173121217</v>
      </c>
      <c r="CD109" s="6">
        <f t="shared" ca="1" si="71"/>
        <v>-0.28838411012064169</v>
      </c>
      <c r="CE109" s="9">
        <f t="shared" ca="1" si="72"/>
        <v>-8.4290504996670279</v>
      </c>
      <c r="CF109" s="9">
        <f t="shared" ca="1" si="73"/>
        <v>43.20020013632076</v>
      </c>
      <c r="CG109">
        <f t="shared" ca="1" si="80"/>
        <v>44.014840498905649</v>
      </c>
      <c r="CH109">
        <f t="shared" ca="1" si="81"/>
        <v>-0.19150473804117504</v>
      </c>
      <c r="CI109">
        <f t="shared" ca="1" si="82"/>
        <v>0.9814916888633245</v>
      </c>
      <c r="CJ109">
        <f t="shared" ca="1" si="83"/>
        <v>1.7634913580714282</v>
      </c>
      <c r="CK109" s="38">
        <f t="shared" ca="1" si="84"/>
        <v>-0.59270313212091663</v>
      </c>
    </row>
    <row r="110" spans="1:89" x14ac:dyDescent="0.25">
      <c r="A110">
        <f t="shared" si="92"/>
        <v>7</v>
      </c>
      <c r="B110">
        <f t="shared" si="92"/>
        <v>0</v>
      </c>
      <c r="C110">
        <f t="shared" ca="1" si="92"/>
        <v>0</v>
      </c>
      <c r="D110" s="9">
        <f t="shared" si="93"/>
        <v>-4</v>
      </c>
      <c r="E110" s="5">
        <f t="shared" si="94"/>
        <v>3.33</v>
      </c>
      <c r="F110" s="5">
        <f t="shared" ca="1" si="95"/>
        <v>0</v>
      </c>
      <c r="G110">
        <f t="shared" ca="1" si="96"/>
        <v>0</v>
      </c>
      <c r="H110">
        <f t="shared" ca="1" si="97"/>
        <v>0</v>
      </c>
      <c r="J110">
        <f t="shared" ca="1" si="98"/>
        <v>0</v>
      </c>
      <c r="K110">
        <f t="shared" ca="1" si="99"/>
        <v>0</v>
      </c>
      <c r="L110">
        <f t="shared" ca="1" si="100"/>
        <v>0</v>
      </c>
      <c r="BC110">
        <v>1.8849555921538781</v>
      </c>
      <c r="BD110">
        <v>-59.526202960978978</v>
      </c>
      <c r="BE110">
        <v>32.423843113121983</v>
      </c>
      <c r="BF110" s="6">
        <f t="shared" si="90"/>
        <v>2.642828676794498</v>
      </c>
      <c r="BG110" s="6">
        <f t="shared" si="91"/>
        <v>0.75787308464061987</v>
      </c>
      <c r="BH110" s="6">
        <f t="shared" si="68"/>
        <v>-0.28663418660215317</v>
      </c>
      <c r="BI110" s="6">
        <f t="shared" si="69"/>
        <v>0.28663418660215317</v>
      </c>
      <c r="BV110" s="38"/>
      <c r="BW110" s="6">
        <f t="shared" si="70"/>
        <v>1.6580627893946149</v>
      </c>
      <c r="BX110" s="9">
        <f t="shared" ca="1" si="74"/>
        <v>-94.371810514305309</v>
      </c>
      <c r="BY110" s="9">
        <f t="shared" ca="1" si="75"/>
        <v>67.661294762860649</v>
      </c>
      <c r="BZ110">
        <f t="shared" ca="1" si="76"/>
        <v>116.12101200357608</v>
      </c>
      <c r="CA110" s="6">
        <f t="shared" ca="1" si="77"/>
        <v>-0.81270227399843031</v>
      </c>
      <c r="CB110" s="6">
        <f t="shared" ca="1" si="78"/>
        <v>0.58267916887235649</v>
      </c>
      <c r="CC110" s="6">
        <f t="shared" ca="1" si="79"/>
        <v>2.5195712257636131</v>
      </c>
      <c r="CD110" s="6">
        <f t="shared" ca="1" si="71"/>
        <v>-0.23325205747824551</v>
      </c>
      <c r="CE110" s="9">
        <f t="shared" ca="1" si="72"/>
        <v>-16.978791843483506</v>
      </c>
      <c r="CF110" s="9">
        <f t="shared" ca="1" si="73"/>
        <v>41.86362187258672</v>
      </c>
      <c r="CG110">
        <f t="shared" ca="1" si="80"/>
        <v>45.175681608087146</v>
      </c>
      <c r="CH110">
        <f t="shared" ca="1" si="81"/>
        <v>-0.37583919575978331</v>
      </c>
      <c r="CI110">
        <f t="shared" ca="1" si="82"/>
        <v>0.92668489732521231</v>
      </c>
      <c r="CJ110">
        <f t="shared" ca="1" si="83"/>
        <v>1.9560985242904101</v>
      </c>
      <c r="CK110" s="38">
        <f t="shared" ca="1" si="84"/>
        <v>-0.40009596590193475</v>
      </c>
    </row>
    <row r="111" spans="1:89" x14ac:dyDescent="0.25">
      <c r="A111">
        <f t="shared" si="92"/>
        <v>8</v>
      </c>
      <c r="B111">
        <f t="shared" si="92"/>
        <v>0</v>
      </c>
      <c r="C111">
        <f t="shared" ca="1" si="92"/>
        <v>0</v>
      </c>
      <c r="D111" s="9">
        <f t="shared" si="93"/>
        <v>4</v>
      </c>
      <c r="E111" s="5">
        <f t="shared" si="94"/>
        <v>3.33</v>
      </c>
      <c r="F111" s="5">
        <f t="shared" ca="1" si="95"/>
        <v>0</v>
      </c>
      <c r="G111">
        <f t="shared" ca="1" si="96"/>
        <v>0</v>
      </c>
      <c r="H111">
        <f t="shared" ca="1" si="97"/>
        <v>0</v>
      </c>
      <c r="J111">
        <f t="shared" ca="1" si="98"/>
        <v>0</v>
      </c>
      <c r="K111">
        <f t="shared" ca="1" si="99"/>
        <v>0</v>
      </c>
      <c r="L111">
        <f t="shared" ca="1" si="100"/>
        <v>0</v>
      </c>
      <c r="BC111">
        <v>1.9024088846738214</v>
      </c>
      <c r="BD111">
        <v>-60.349042194301454</v>
      </c>
      <c r="BE111">
        <v>32.098316908380227</v>
      </c>
      <c r="BF111" s="6">
        <f t="shared" si="90"/>
        <v>2.6527691984446626</v>
      </c>
      <c r="BG111" s="6">
        <f t="shared" si="91"/>
        <v>0.75036031377084123</v>
      </c>
      <c r="BH111" s="6">
        <f t="shared" si="68"/>
        <v>-0.2965747082523178</v>
      </c>
      <c r="BI111" s="6">
        <f t="shared" si="69"/>
        <v>0.2965747082523178</v>
      </c>
      <c r="BV111" s="38"/>
      <c r="BW111" s="6">
        <f t="shared" si="70"/>
        <v>1.6755160819145583</v>
      </c>
      <c r="BX111" s="9">
        <f t="shared" ca="1" si="74"/>
        <v>-102.09619744008354</v>
      </c>
      <c r="BY111" s="9">
        <f t="shared" ca="1" si="75"/>
        <v>66.374050160922977</v>
      </c>
      <c r="BZ111">
        <f t="shared" ca="1" si="76"/>
        <v>121.77498949492561</v>
      </c>
      <c r="CA111" s="6">
        <f t="shared" ca="1" si="77"/>
        <v>-0.83840037977862369</v>
      </c>
      <c r="CB111" s="6">
        <f t="shared" ca="1" si="78"/>
        <v>0.54505486254785351</v>
      </c>
      <c r="CC111" s="6">
        <f t="shared" ca="1" si="79"/>
        <v>2.5651381030757783</v>
      </c>
      <c r="CD111" s="6">
        <f t="shared" ca="1" si="71"/>
        <v>-0.18768518016608038</v>
      </c>
      <c r="CE111" s="9">
        <f t="shared" ca="1" si="72"/>
        <v>-24.70317876926174</v>
      </c>
      <c r="CF111" s="9">
        <f t="shared" ca="1" si="73"/>
        <v>40.576377270649047</v>
      </c>
      <c r="CG111">
        <f t="shared" ca="1" si="80"/>
        <v>47.504625392861989</v>
      </c>
      <c r="CH111">
        <f t="shared" ca="1" si="81"/>
        <v>-0.52001628399270827</v>
      </c>
      <c r="CI111">
        <f t="shared" ca="1" si="82"/>
        <v>0.85415634656801287</v>
      </c>
      <c r="CJ111">
        <f t="shared" ca="1" si="83"/>
        <v>2.11766634179713</v>
      </c>
      <c r="CK111" s="38">
        <f t="shared" ca="1" si="84"/>
        <v>-0.23852814839521486</v>
      </c>
    </row>
    <row r="112" spans="1:89" x14ac:dyDescent="0.25">
      <c r="A112">
        <f t="shared" si="92"/>
        <v>9</v>
      </c>
      <c r="B112">
        <f t="shared" si="92"/>
        <v>0</v>
      </c>
      <c r="C112">
        <f t="shared" ca="1" si="92"/>
        <v>0</v>
      </c>
      <c r="D112" s="9">
        <f t="shared" si="93"/>
        <v>2</v>
      </c>
      <c r="E112" s="5">
        <f t="shared" si="94"/>
        <v>-10</v>
      </c>
      <c r="F112" s="5">
        <f t="shared" ca="1" si="95"/>
        <v>0</v>
      </c>
      <c r="G112">
        <f t="shared" ca="1" si="96"/>
        <v>0</v>
      </c>
      <c r="H112">
        <f t="shared" ca="1" si="97"/>
        <v>0</v>
      </c>
      <c r="J112">
        <f t="shared" ca="1" si="98"/>
        <v>0</v>
      </c>
      <c r="K112">
        <f t="shared" ca="1" si="99"/>
        <v>0</v>
      </c>
      <c r="L112">
        <f t="shared" ca="1" si="100"/>
        <v>0</v>
      </c>
      <c r="BC112">
        <v>1.9198621771937647</v>
      </c>
      <c r="BD112">
        <v>-61.084180740033688</v>
      </c>
      <c r="BE112">
        <v>31.793105735944625</v>
      </c>
      <c r="BF112" s="6">
        <f t="shared" si="90"/>
        <v>2.6616954559514046</v>
      </c>
      <c r="BG112" s="6">
        <f t="shared" si="91"/>
        <v>0.74183327875763982</v>
      </c>
      <c r="BH112" s="6">
        <f t="shared" si="68"/>
        <v>-0.30550096575905972</v>
      </c>
      <c r="BI112" s="6">
        <f t="shared" si="69"/>
        <v>0.30550096575905972</v>
      </c>
      <c r="BV112" s="38"/>
      <c r="BW112" s="6">
        <f t="shared" si="70"/>
        <v>1.6929693744345016</v>
      </c>
      <c r="BX112" s="9">
        <f t="shared" ca="1" si="74"/>
        <v>-108.89999072515502</v>
      </c>
      <c r="BY112" s="9">
        <f t="shared" ca="1" si="75"/>
        <v>65.166924688299446</v>
      </c>
      <c r="BZ112">
        <f t="shared" ca="1" si="76"/>
        <v>126.90916457557091</v>
      </c>
      <c r="CA112" s="6">
        <f t="shared" ca="1" si="77"/>
        <v>-0.85809398469649589</v>
      </c>
      <c r="CB112" s="6">
        <f t="shared" ca="1" si="78"/>
        <v>0.51349266151298578</v>
      </c>
      <c r="CC112" s="6">
        <f t="shared" ca="1" si="79"/>
        <v>2.6023425418172748</v>
      </c>
      <c r="CD112" s="6">
        <f t="shared" ca="1" si="71"/>
        <v>-0.1504807414245839</v>
      </c>
      <c r="CE112" s="9">
        <f t="shared" ca="1" si="72"/>
        <v>-31.506972054333218</v>
      </c>
      <c r="CF112" s="9">
        <f t="shared" ca="1" si="73"/>
        <v>39.369251798025516</v>
      </c>
      <c r="CG112">
        <f t="shared" ca="1" si="80"/>
        <v>50.42447099542909</v>
      </c>
      <c r="CH112">
        <f t="shared" ca="1" si="81"/>
        <v>-0.62483495478196061</v>
      </c>
      <c r="CI112">
        <f t="shared" ca="1" si="82"/>
        <v>0.78075686310312087</v>
      </c>
      <c r="CJ112">
        <f t="shared" ca="1" si="83"/>
        <v>2.2457164505337399</v>
      </c>
      <c r="CK112" s="38">
        <f t="shared" ca="1" si="84"/>
        <v>-0.11047803965860492</v>
      </c>
    </row>
    <row r="113" spans="1:89" x14ac:dyDescent="0.25">
      <c r="A113">
        <f t="shared" si="92"/>
        <v>10</v>
      </c>
      <c r="B113">
        <f t="shared" si="92"/>
        <v>0</v>
      </c>
      <c r="C113">
        <f t="shared" ca="1" si="92"/>
        <v>0</v>
      </c>
      <c r="D113" s="9">
        <f t="shared" si="93"/>
        <v>4</v>
      </c>
      <c r="E113" s="5">
        <f t="shared" si="94"/>
        <v>-10</v>
      </c>
      <c r="F113" s="5">
        <f t="shared" ca="1" si="95"/>
        <v>0</v>
      </c>
      <c r="G113">
        <f t="shared" ca="1" si="96"/>
        <v>0</v>
      </c>
      <c r="H113">
        <f t="shared" ca="1" si="97"/>
        <v>0</v>
      </c>
      <c r="J113">
        <f t="shared" ca="1" si="98"/>
        <v>0</v>
      </c>
      <c r="K113">
        <f t="shared" ca="1" si="99"/>
        <v>0</v>
      </c>
      <c r="L113">
        <f t="shared" ca="1" si="100"/>
        <v>0</v>
      </c>
      <c r="BC113">
        <v>1.937315469713708</v>
      </c>
      <c r="BD113">
        <v>-61.745478651288614</v>
      </c>
      <c r="BE113">
        <v>31.50554401282271</v>
      </c>
      <c r="BF113" s="6">
        <f t="shared" si="90"/>
        <v>2.6697798199738796</v>
      </c>
      <c r="BG113" s="6">
        <f t="shared" si="91"/>
        <v>0.73246435026017154</v>
      </c>
      <c r="BH113" s="6">
        <f t="shared" si="68"/>
        <v>-0.31358532978153475</v>
      </c>
      <c r="BI113" s="6">
        <f t="shared" si="69"/>
        <v>0.31358532978153475</v>
      </c>
      <c r="BV113" s="38"/>
      <c r="BW113" s="6">
        <f t="shared" si="70"/>
        <v>1.7104226669544449</v>
      </c>
      <c r="BX113" s="9">
        <f t="shared" ca="1" si="74"/>
        <v>-114.71248690936227</v>
      </c>
      <c r="BY113" s="9">
        <f t="shared" ca="1" si="75"/>
        <v>64.065085551104659</v>
      </c>
      <c r="BZ113">
        <f t="shared" ca="1" si="76"/>
        <v>131.38983917944708</v>
      </c>
      <c r="CA113" s="6">
        <f t="shared" ca="1" si="77"/>
        <v>-0.87306969569155546</v>
      </c>
      <c r="CB113" s="6">
        <f t="shared" ca="1" si="78"/>
        <v>0.48759543318724274</v>
      </c>
      <c r="CC113" s="6">
        <f t="shared" ca="1" si="79"/>
        <v>2.6322591777514286</v>
      </c>
      <c r="CD113" s="6">
        <f t="shared" ca="1" si="71"/>
        <v>-0.12056410549043006</v>
      </c>
      <c r="CE113" s="9">
        <f t="shared" ca="1" si="72"/>
        <v>-37.319468238540466</v>
      </c>
      <c r="CF113" s="9">
        <f t="shared" ca="1" si="73"/>
        <v>38.267412660830729</v>
      </c>
      <c r="CG113">
        <f t="shared" ca="1" si="80"/>
        <v>53.452199032048611</v>
      </c>
      <c r="CH113">
        <f t="shared" ca="1" si="81"/>
        <v>-0.69818396463286081</v>
      </c>
      <c r="CI113">
        <f t="shared" ca="1" si="82"/>
        <v>0.71591839725595829</v>
      </c>
      <c r="CJ113">
        <f t="shared" ca="1" si="83"/>
        <v>2.3436540239341359</v>
      </c>
      <c r="CK113" s="38">
        <f t="shared" ca="1" si="84"/>
        <v>-1.2540466258208927E-2</v>
      </c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-62.344117093598662</v>
      </c>
      <c r="BE114">
        <v>31.233381749678955</v>
      </c>
      <c r="BF114" s="6">
        <f t="shared" si="90"/>
        <v>2.6771584546108906</v>
      </c>
      <c r="BG114" s="6">
        <f t="shared" si="91"/>
        <v>0.72238969237723927</v>
      </c>
      <c r="BH114" s="6">
        <f t="shared" si="68"/>
        <v>-0.32096396441854574</v>
      </c>
      <c r="BI114" s="6">
        <f t="shared" si="69"/>
        <v>0.32096396441854574</v>
      </c>
      <c r="BV114" s="38"/>
      <c r="BW114" s="6">
        <f t="shared" si="70"/>
        <v>1.7278759594743882</v>
      </c>
      <c r="BX114" s="9">
        <f t="shared" ca="1" si="74"/>
        <v>-119.46258266485749</v>
      </c>
      <c r="BY114" s="9">
        <f t="shared" ca="1" si="75"/>
        <v>63.09298517745637</v>
      </c>
      <c r="BZ114">
        <f t="shared" ca="1" si="76"/>
        <v>135.1000867340974</v>
      </c>
      <c r="CA114" s="6">
        <f t="shared" ca="1" si="77"/>
        <v>-0.88425244981509532</v>
      </c>
      <c r="CB114" s="6">
        <f t="shared" ca="1" si="78"/>
        <v>0.46700921296694153</v>
      </c>
      <c r="CC114" s="6">
        <f t="shared" ca="1" si="79"/>
        <v>2.6556871857180875</v>
      </c>
      <c r="CD114" s="6">
        <f t="shared" ca="1" si="71"/>
        <v>-9.713609752377117E-2</v>
      </c>
      <c r="CE114" s="9">
        <f t="shared" ca="1" si="72"/>
        <v>-42.06956399403569</v>
      </c>
      <c r="CF114" s="9">
        <f t="shared" ca="1" si="73"/>
        <v>37.295312287182441</v>
      </c>
      <c r="CG114">
        <f t="shared" ca="1" si="80"/>
        <v>56.220890541210089</v>
      </c>
      <c r="CH114">
        <f t="shared" ca="1" si="81"/>
        <v>-0.74829060139484216</v>
      </c>
      <c r="CI114">
        <f t="shared" ca="1" si="82"/>
        <v>0.6633710695109829</v>
      </c>
      <c r="CJ114">
        <f t="shared" ca="1" si="83"/>
        <v>2.4162778107033369</v>
      </c>
      <c r="CK114" s="38">
        <f t="shared" ca="1" si="84"/>
        <v>6.0083320510992078E-2</v>
      </c>
    </row>
    <row r="115" spans="1:89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-62.88920861091529</v>
      </c>
      <c r="BE115">
        <v>30.974702093049686</v>
      </c>
      <c r="BF115" s="6">
        <f t="shared" si="90"/>
        <v>2.683940415964285</v>
      </c>
      <c r="BG115" s="6">
        <f t="shared" si="91"/>
        <v>0.71171836121069032</v>
      </c>
      <c r="BH115" s="6">
        <f t="shared" si="68"/>
        <v>-0.32774592577194017</v>
      </c>
      <c r="BI115" s="6">
        <f t="shared" si="69"/>
        <v>0.32774592577194017</v>
      </c>
      <c r="BV115" s="38"/>
      <c r="BW115" s="6">
        <f t="shared" si="70"/>
        <v>1.7453292519943315</v>
      </c>
      <c r="BX115" s="9">
        <f t="shared" ca="1" si="74"/>
        <v>-123.19046348344793</v>
      </c>
      <c r="BY115" s="9">
        <f t="shared" ca="1" si="75"/>
        <v>62.259335700444936</v>
      </c>
      <c r="BZ115">
        <f t="shared" ca="1" si="76"/>
        <v>138.02939967676241</v>
      </c>
      <c r="CA115" s="6">
        <f t="shared" ca="1" si="77"/>
        <v>-0.89249437997945125</v>
      </c>
      <c r="CB115" s="6">
        <f t="shared" ca="1" si="78"/>
        <v>0.45105851250707463</v>
      </c>
      <c r="CC115" s="6">
        <f t="shared" ca="1" si="79"/>
        <v>2.6736416536222714</v>
      </c>
      <c r="CD115" s="6">
        <f t="shared" ca="1" si="71"/>
        <v>-7.9181629619587302E-2</v>
      </c>
      <c r="CE115" s="9">
        <f t="shared" ca="1" si="72"/>
        <v>-45.797444812626125</v>
      </c>
      <c r="CF115" s="9">
        <f t="shared" ca="1" si="73"/>
        <v>36.461662810171006</v>
      </c>
      <c r="CG115">
        <f t="shared" ca="1" si="80"/>
        <v>58.539378253002852</v>
      </c>
      <c r="CH115">
        <f t="shared" ca="1" si="81"/>
        <v>-0.78233568888779392</v>
      </c>
      <c r="CI115">
        <f t="shared" ca="1" si="82"/>
        <v>0.62285702203030591</v>
      </c>
      <c r="CJ115">
        <f t="shared" ca="1" si="83"/>
        <v>2.4692033226609187</v>
      </c>
      <c r="CK115" s="38">
        <f t="shared" ca="1" si="84"/>
        <v>0.11300883246857385</v>
      </c>
    </row>
    <row r="116" spans="1:89" x14ac:dyDescent="0.25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-63.388249466685082</v>
      </c>
      <c r="BE116">
        <v>30.727857682775404</v>
      </c>
      <c r="BF116" s="6">
        <f t="shared" si="90"/>
        <v>2.6902141473172581</v>
      </c>
      <c r="BG116" s="6">
        <f t="shared" si="91"/>
        <v>0.70053880004372004</v>
      </c>
      <c r="BH116" s="6">
        <f t="shared" si="68"/>
        <v>-0.33401965712491316</v>
      </c>
      <c r="BI116" s="6">
        <f t="shared" si="69"/>
        <v>0.33401965712491316</v>
      </c>
      <c r="BV116" s="38"/>
      <c r="BW116" s="6">
        <f t="shared" si="70"/>
        <v>1.7627825445142749</v>
      </c>
      <c r="BX116" s="9">
        <f t="shared" ca="1" si="74"/>
        <v>-126.16063092401377</v>
      </c>
      <c r="BY116" s="9">
        <f t="shared" ca="1" si="75"/>
        <v>61.537053752382093</v>
      </c>
      <c r="BZ116">
        <f t="shared" ca="1" si="76"/>
        <v>140.36849283107938</v>
      </c>
      <c r="CA116" s="6">
        <f t="shared" ca="1" si="77"/>
        <v>-0.8987816879663767</v>
      </c>
      <c r="CB116" s="6">
        <f t="shared" ca="1" si="78"/>
        <v>0.4383964842198334</v>
      </c>
      <c r="CC116" s="6">
        <f t="shared" ca="1" si="79"/>
        <v>2.6877788574028338</v>
      </c>
      <c r="CD116" s="6">
        <f t="shared" ca="1" si="71"/>
        <v>-6.5044425839024811E-2</v>
      </c>
      <c r="CE116" s="9">
        <f t="shared" ca="1" si="72"/>
        <v>-48.76761225319197</v>
      </c>
      <c r="CF116" s="9">
        <f t="shared" ca="1" si="73"/>
        <v>35.739380862108163</v>
      </c>
      <c r="CG116">
        <f t="shared" ca="1" si="80"/>
        <v>60.461420337968434</v>
      </c>
      <c r="CH116">
        <f t="shared" ca="1" si="81"/>
        <v>-0.8065905825663674</v>
      </c>
      <c r="CI116">
        <f t="shared" ca="1" si="82"/>
        <v>0.59111050753243088</v>
      </c>
      <c r="CJ116">
        <f t="shared" ca="1" si="83"/>
        <v>2.5091577141697115</v>
      </c>
      <c r="CK116" s="38">
        <f t="shared" ca="1" si="84"/>
        <v>0.15296322397736661</v>
      </c>
    </row>
    <row r="117" spans="1:89" x14ac:dyDescent="0.25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-63.847459503704563</v>
      </c>
      <c r="BE117">
        <v>30.49142092969533</v>
      </c>
      <c r="BF117" s="6">
        <f t="shared" si="90"/>
        <v>2.6960521995142805</v>
      </c>
      <c r="BG117" s="6">
        <f t="shared" si="91"/>
        <v>0.68892355972079944</v>
      </c>
      <c r="BH117" s="6">
        <f t="shared" si="68"/>
        <v>-0.33985770932193571</v>
      </c>
      <c r="BI117" s="6">
        <f t="shared" si="69"/>
        <v>0.33985770932193571</v>
      </c>
      <c r="BV117" s="38"/>
      <c r="BW117" s="6">
        <f t="shared" si="70"/>
        <v>1.7802358370342182</v>
      </c>
      <c r="BX117" s="9">
        <f t="shared" ca="1" si="74"/>
        <v>-128.57712165765824</v>
      </c>
      <c r="BY117" s="9">
        <f t="shared" ca="1" si="75"/>
        <v>60.902383078858307</v>
      </c>
      <c r="BZ117">
        <f t="shared" ca="1" si="76"/>
        <v>142.27148863511709</v>
      </c>
      <c r="CA117" s="6">
        <f t="shared" ca="1" si="77"/>
        <v>-0.90374482541206325</v>
      </c>
      <c r="CB117" s="6">
        <f t="shared" ca="1" si="78"/>
        <v>0.42807159511105075</v>
      </c>
      <c r="CC117" s="6">
        <f t="shared" ca="1" si="79"/>
        <v>2.699234751243154</v>
      </c>
      <c r="CD117" s="6">
        <f t="shared" ca="1" si="71"/>
        <v>-5.3588531998704614E-2</v>
      </c>
      <c r="CE117" s="9">
        <f t="shared" ca="1" si="72"/>
        <v>-51.184102986836436</v>
      </c>
      <c r="CF117" s="9">
        <f t="shared" ca="1" si="73"/>
        <v>35.104710188584377</v>
      </c>
      <c r="CG117">
        <f t="shared" ca="1" si="80"/>
        <v>62.065715785702324</v>
      </c>
      <c r="CH117">
        <f t="shared" ca="1" si="81"/>
        <v>-0.82467594772551367</v>
      </c>
      <c r="CI117">
        <f t="shared" ca="1" si="82"/>
        <v>0.56560549965769058</v>
      </c>
      <c r="CJ117">
        <f t="shared" ca="1" si="83"/>
        <v>2.5404253573415572</v>
      </c>
      <c r="CK117" s="38">
        <f t="shared" ca="1" si="84"/>
        <v>0.18423086714921233</v>
      </c>
    </row>
    <row r="118" spans="1:89" x14ac:dyDescent="0.25">
      <c r="BC118">
        <v>2.0245819323134242</v>
      </c>
      <c r="BD118">
        <v>-64.272040656303247</v>
      </c>
      <c r="BE118">
        <v>30.264144719309812</v>
      </c>
      <c r="BF118" s="6">
        <f t="shared" si="90"/>
        <v>2.7015147174630703</v>
      </c>
      <c r="BG118" s="6">
        <f t="shared" si="91"/>
        <v>0.67693278514964605</v>
      </c>
      <c r="BH118" s="6">
        <f t="shared" si="68"/>
        <v>-0.34532022727072542</v>
      </c>
      <c r="BI118" s="6">
        <f t="shared" si="69"/>
        <v>0.34532022727072542</v>
      </c>
      <c r="BV118" s="38"/>
      <c r="BW118" s="6">
        <f t="shared" si="70"/>
        <v>1.7976891295541615</v>
      </c>
      <c r="BX118" s="9">
        <f t="shared" ca="1" si="74"/>
        <v>-130.57811907125401</v>
      </c>
      <c r="BY118" s="9">
        <f t="shared" ca="1" si="75"/>
        <v>60.338004179521533</v>
      </c>
      <c r="BZ118">
        <f t="shared" ca="1" si="76"/>
        <v>143.84477720290906</v>
      </c>
      <c r="CA118" s="6">
        <f t="shared" ca="1" si="77"/>
        <v>-0.90777101268723193</v>
      </c>
      <c r="CB118" s="6">
        <f t="shared" ca="1" si="78"/>
        <v>0.41946607553507531</v>
      </c>
      <c r="CC118" s="6">
        <f t="shared" ca="1" si="79"/>
        <v>2.7087355843718082</v>
      </c>
      <c r="CD118" s="6">
        <f t="shared" ca="1" si="71"/>
        <v>-4.4087698870050485E-2</v>
      </c>
      <c r="CE118" s="9">
        <f t="shared" ca="1" si="72"/>
        <v>-53.185100400432205</v>
      </c>
      <c r="CF118" s="9">
        <f t="shared" ca="1" si="73"/>
        <v>34.540331289247604</v>
      </c>
      <c r="CG118">
        <f t="shared" ca="1" si="80"/>
        <v>63.416791074407342</v>
      </c>
      <c r="CH118">
        <f t="shared" ca="1" si="81"/>
        <v>-0.83865959628940812</v>
      </c>
      <c r="CI118">
        <f t="shared" ca="1" si="82"/>
        <v>0.54465592951117947</v>
      </c>
      <c r="CJ118">
        <f t="shared" ca="1" si="83"/>
        <v>2.5656138559228348</v>
      </c>
      <c r="CK118" s="38">
        <f t="shared" ca="1" si="84"/>
        <v>0.20941936573048991</v>
      </c>
    </row>
    <row r="119" spans="1:89" x14ac:dyDescent="0.25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-64.666375839346671</v>
      </c>
      <c r="BE119">
        <v>30.044931025787552</v>
      </c>
      <c r="BF119" s="6">
        <f t="shared" si="90"/>
        <v>2.7066520535275975</v>
      </c>
      <c r="BG119" s="6">
        <f t="shared" si="91"/>
        <v>0.66461682869423022</v>
      </c>
      <c r="BH119" s="6">
        <f t="shared" si="68"/>
        <v>-0.35045756333525269</v>
      </c>
      <c r="BI119" s="6">
        <f t="shared" si="69"/>
        <v>0.35045756333525269</v>
      </c>
      <c r="BV119" s="38"/>
      <c r="BW119" s="6">
        <f t="shared" si="70"/>
        <v>1.8151424220741048</v>
      </c>
      <c r="BX119" s="9">
        <f t="shared" ca="1" si="74"/>
        <v>-132.26027695285654</v>
      </c>
      <c r="BY119" s="9">
        <f t="shared" ca="1" si="75"/>
        <v>59.830952290010501</v>
      </c>
      <c r="BZ119">
        <f t="shared" ca="1" si="76"/>
        <v>145.16378236866049</v>
      </c>
      <c r="CA119" s="6">
        <f t="shared" ca="1" si="77"/>
        <v>-0.91111071091386986</v>
      </c>
      <c r="CB119" s="6">
        <f t="shared" ca="1" si="78"/>
        <v>0.41216170668564395</v>
      </c>
      <c r="CC119" s="6">
        <f t="shared" ca="1" si="79"/>
        <v>2.7167672551384334</v>
      </c>
      <c r="CD119" s="6">
        <f t="shared" ca="1" si="71"/>
        <v>-3.6056028103425231E-2</v>
      </c>
      <c r="CE119" s="9">
        <f t="shared" ca="1" si="72"/>
        <v>-54.86725828203474</v>
      </c>
      <c r="CF119" s="9">
        <f t="shared" ca="1" si="73"/>
        <v>34.033279399736571</v>
      </c>
      <c r="CG119">
        <f t="shared" ca="1" si="80"/>
        <v>64.565316835651345</v>
      </c>
      <c r="CH119">
        <f t="shared" ca="1" si="81"/>
        <v>-0.84979461065291972</v>
      </c>
      <c r="CI119">
        <f t="shared" ca="1" si="82"/>
        <v>0.52711395324469701</v>
      </c>
      <c r="CJ119">
        <f t="shared" ca="1" si="83"/>
        <v>2.5863918492858335</v>
      </c>
      <c r="CK119" s="38">
        <f t="shared" ca="1" si="84"/>
        <v>0.23019735909348871</v>
      </c>
    </row>
    <row r="120" spans="1:89" x14ac:dyDescent="0.25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-65.034183568211844</v>
      </c>
      <c r="BE120">
        <v>29.832805585000013</v>
      </c>
      <c r="BF120" s="6">
        <f t="shared" si="90"/>
        <v>2.7115067530898727</v>
      </c>
      <c r="BG120" s="6">
        <f t="shared" si="91"/>
        <v>0.65201823573656226</v>
      </c>
      <c r="BH120" s="6">
        <f t="shared" si="68"/>
        <v>-0.35531226289752776</v>
      </c>
      <c r="BI120" s="6">
        <f t="shared" si="69"/>
        <v>0.35531226289752776</v>
      </c>
      <c r="BV120" s="38"/>
      <c r="BW120" s="6">
        <f t="shared" si="70"/>
        <v>1.8325957145940481</v>
      </c>
      <c r="BX120" s="9">
        <f t="shared" ca="1" si="74"/>
        <v>-133.69306728226212</v>
      </c>
      <c r="BY120" s="9">
        <f t="shared" ca="1" si="75"/>
        <v>59.371303001711581</v>
      </c>
      <c r="BZ120">
        <f t="shared" ca="1" si="76"/>
        <v>146.28324531353724</v>
      </c>
      <c r="CA120" s="6">
        <f t="shared" ca="1" si="77"/>
        <v>-0.91393287724585359</v>
      </c>
      <c r="CB120" s="6">
        <f t="shared" ca="1" si="78"/>
        <v>0.40586536670319062</v>
      </c>
      <c r="CC120" s="6">
        <f t="shared" ca="1" si="79"/>
        <v>2.7236671615770858</v>
      </c>
      <c r="CD120" s="6">
        <f t="shared" ca="1" si="71"/>
        <v>-2.9156121664772883E-2</v>
      </c>
      <c r="CE120" s="9">
        <f t="shared" ca="1" si="72"/>
        <v>-56.300048611440317</v>
      </c>
      <c r="CF120" s="9">
        <f t="shared" ca="1" si="73"/>
        <v>33.573630111437652</v>
      </c>
      <c r="CG120">
        <f t="shared" ca="1" si="80"/>
        <v>65.550622518097995</v>
      </c>
      <c r="CH120">
        <f t="shared" ca="1" si="81"/>
        <v>-0.85887893125494463</v>
      </c>
      <c r="CI120">
        <f t="shared" ca="1" si="82"/>
        <v>0.51217866164685533</v>
      </c>
      <c r="CJ120">
        <f t="shared" ca="1" si="83"/>
        <v>2.6038731420933692</v>
      </c>
      <c r="CK120" s="38">
        <f t="shared" ca="1" si="84"/>
        <v>0.24767865190102434</v>
      </c>
    </row>
    <row r="121" spans="1:89" x14ac:dyDescent="0.25">
      <c r="BC121">
        <v>2.0769418098732535</v>
      </c>
      <c r="BD121">
        <v>-65.37863932464856</v>
      </c>
      <c r="BE121">
        <v>29.626897251812956</v>
      </c>
      <c r="BF121" s="6">
        <f t="shared" si="90"/>
        <v>2.7161150820206394</v>
      </c>
      <c r="BG121" s="6">
        <f t="shared" si="91"/>
        <v>0.63917327214738595</v>
      </c>
      <c r="BH121" s="6">
        <f t="shared" si="68"/>
        <v>-0.35992059182829461</v>
      </c>
      <c r="BI121" s="6">
        <f t="shared" si="69"/>
        <v>0.35992059182829461</v>
      </c>
      <c r="BV121" s="38"/>
      <c r="BW121" s="6">
        <f t="shared" si="70"/>
        <v>1.8500490071139915</v>
      </c>
      <c r="BX121" s="9">
        <f t="shared" ca="1" si="74"/>
        <v>-134.92760221537409</v>
      </c>
      <c r="BY121" s="9">
        <f t="shared" ca="1" si="75"/>
        <v>58.951311877132781</v>
      </c>
      <c r="BZ121">
        <f t="shared" ca="1" si="76"/>
        <v>147.24372656118564</v>
      </c>
      <c r="CA121" s="6">
        <f t="shared" ca="1" si="77"/>
        <v>-0.91635552404540843</v>
      </c>
      <c r="CB121" s="6">
        <f t="shared" ca="1" si="78"/>
        <v>0.40036552492873889</v>
      </c>
      <c r="CC121" s="6">
        <f t="shared" ca="1" si="79"/>
        <v>2.7296769524025581</v>
      </c>
      <c r="CD121" s="6">
        <f t="shared" ca="1" si="71"/>
        <v>-2.3146330839300511E-2</v>
      </c>
      <c r="CE121" s="9">
        <f t="shared" ca="1" si="72"/>
        <v>-57.534583544552291</v>
      </c>
      <c r="CF121" s="9">
        <f t="shared" ca="1" si="73"/>
        <v>33.153638986858851</v>
      </c>
      <c r="CG121">
        <f t="shared" ca="1" si="80"/>
        <v>66.403253547669138</v>
      </c>
      <c r="CH121">
        <f t="shared" ca="1" si="81"/>
        <v>-0.86644223694927447</v>
      </c>
      <c r="CI121">
        <f t="shared" ca="1" si="82"/>
        <v>0.49927732777519301</v>
      </c>
      <c r="CJ121">
        <f t="shared" ca="1" si="83"/>
        <v>2.6188281471759804</v>
      </c>
      <c r="CK121" s="38">
        <f t="shared" ca="1" si="84"/>
        <v>0.26263365698363561</v>
      </c>
    </row>
    <row r="122" spans="1:89" x14ac:dyDescent="0.25">
      <c r="BC122">
        <v>2.0943951023931966</v>
      </c>
      <c r="BD122">
        <v>-65.702471691486792</v>
      </c>
      <c r="BE122">
        <v>29.426421015524717</v>
      </c>
      <c r="BF122" s="6">
        <f t="shared" si="90"/>
        <v>2.7205082154584894</v>
      </c>
      <c r="BG122" s="6">
        <f t="shared" si="91"/>
        <v>0.62611311306529283</v>
      </c>
      <c r="BH122" s="6">
        <f t="shared" si="68"/>
        <v>-0.36431372526614453</v>
      </c>
      <c r="BI122" s="6">
        <f t="shared" si="69"/>
        <v>0.36431372526614453</v>
      </c>
      <c r="BV122" s="38"/>
      <c r="BW122" s="6">
        <f t="shared" si="70"/>
        <v>1.8675022996339348</v>
      </c>
      <c r="BX122" s="9">
        <f t="shared" ca="1" si="74"/>
        <v>-135.99130712987449</v>
      </c>
      <c r="BY122" s="9">
        <f t="shared" ca="1" si="75"/>
        <v>58.570546699668313</v>
      </c>
      <c r="BZ122">
        <f t="shared" ca="1" si="76"/>
        <v>148.06804029090773</v>
      </c>
      <c r="CA122" s="6">
        <f t="shared" ca="1" si="77"/>
        <v>-0.91843794827495373</v>
      </c>
      <c r="CB122" s="6">
        <f t="shared" ca="1" si="78"/>
        <v>0.39556508335354051</v>
      </c>
      <c r="CC122" s="6">
        <f t="shared" ca="1" si="79"/>
        <v>2.7349096183066917</v>
      </c>
      <c r="CD122" s="6">
        <f t="shared" ca="1" si="71"/>
        <v>-1.7913664935166995E-2</v>
      </c>
      <c r="CE122" s="9">
        <f t="shared" ca="1" si="72"/>
        <v>-58.598288459052682</v>
      </c>
      <c r="CF122" s="9">
        <f t="shared" ca="1" si="73"/>
        <v>32.772873809394383</v>
      </c>
      <c r="CG122">
        <f t="shared" ca="1" si="80"/>
        <v>67.140305838272994</v>
      </c>
      <c r="CH122">
        <f t="shared" ca="1" si="81"/>
        <v>-0.87277363019769005</v>
      </c>
      <c r="CI122">
        <f t="shared" ca="1" si="82"/>
        <v>0.48812517905916913</v>
      </c>
      <c r="CJ122">
        <f t="shared" ca="1" si="83"/>
        <v>2.631652312464249</v>
      </c>
      <c r="CK122" s="38">
        <f t="shared" ca="1" si="84"/>
        <v>0.27545782227190418</v>
      </c>
    </row>
    <row r="123" spans="1:89" x14ac:dyDescent="0.25">
      <c r="A123" t="s">
        <v>128</v>
      </c>
      <c r="BC123">
        <v>2.1118483949131397</v>
      </c>
      <c r="BD123">
        <v>-66.008039138059829</v>
      </c>
      <c r="BE123">
        <v>29.230663886213403</v>
      </c>
      <c r="BF123" s="6">
        <f t="shared" si="90"/>
        <v>2.7247131731155361</v>
      </c>
      <c r="BG123" s="6">
        <f t="shared" si="91"/>
        <v>0.61286477820239638</v>
      </c>
      <c r="BH123" s="6">
        <f t="shared" si="68"/>
        <v>-0.36851868292319123</v>
      </c>
      <c r="BI123" s="6">
        <f t="shared" si="69"/>
        <v>0.36851868292319123</v>
      </c>
      <c r="BV123" s="38"/>
      <c r="BW123" s="6">
        <f t="shared" si="70"/>
        <v>1.8849555921538781</v>
      </c>
      <c r="BX123" s="9">
        <f t="shared" ca="1" si="74"/>
        <v>-136.91922163180078</v>
      </c>
      <c r="BY123" s="9">
        <f t="shared" ca="1" si="75"/>
        <v>58.221516003395919</v>
      </c>
      <c r="BZ123">
        <f t="shared" ca="1" si="76"/>
        <v>148.78379675889397</v>
      </c>
      <c r="CA123" s="6">
        <f t="shared" ca="1" si="77"/>
        <v>-0.92025626858871012</v>
      </c>
      <c r="CB123" s="6">
        <f t="shared" ca="1" si="78"/>
        <v>0.39131624055638681</v>
      </c>
      <c r="CC123" s="6">
        <f t="shared" ca="1" si="79"/>
        <v>2.7395311972463539</v>
      </c>
      <c r="CD123" s="6">
        <f t="shared" ca="1" si="71"/>
        <v>-1.3292085995504799E-2</v>
      </c>
      <c r="CE123" s="9">
        <f t="shared" ca="1" si="72"/>
        <v>-59.526202960978978</v>
      </c>
      <c r="CF123" s="9">
        <f t="shared" ca="1" si="73"/>
        <v>32.42384311312199</v>
      </c>
      <c r="CG123">
        <f t="shared" ca="1" si="80"/>
        <v>67.784027920860609</v>
      </c>
      <c r="CH123">
        <f t="shared" ca="1" si="81"/>
        <v>-0.87817447246535973</v>
      </c>
      <c r="CI123">
        <f t="shared" ca="1" si="82"/>
        <v>0.4783404602479151</v>
      </c>
      <c r="CJ123">
        <f t="shared" ca="1" si="83"/>
        <v>2.642828676794498</v>
      </c>
      <c r="CK123" s="38">
        <f t="shared" ca="1" si="84"/>
        <v>0.28663418660215312</v>
      </c>
    </row>
    <row r="124" spans="1:89" x14ac:dyDescent="0.25">
      <c r="BC124">
        <v>2.1293016874330828</v>
      </c>
      <c r="BD124">
        <v>-66.297391839280351</v>
      </c>
      <c r="BE124">
        <v>29.038973050653681</v>
      </c>
      <c r="BF124" s="6">
        <f t="shared" si="90"/>
        <v>2.7287535627997168</v>
      </c>
      <c r="BG124" s="6">
        <f t="shared" si="91"/>
        <v>0.59945187536663402</v>
      </c>
      <c r="BH124" s="6">
        <f t="shared" si="68"/>
        <v>-0.37255907260737198</v>
      </c>
      <c r="BI124" s="6">
        <f t="shared" si="69"/>
        <v>0.37255907260737198</v>
      </c>
      <c r="BV124" s="38"/>
      <c r="BW124" s="6">
        <f t="shared" si="70"/>
        <v>1.9024088846738214</v>
      </c>
      <c r="BX124" s="9">
        <f t="shared" ca="1" si="74"/>
        <v>-137.74206086512325</v>
      </c>
      <c r="BY124" s="9">
        <f t="shared" ca="1" si="75"/>
        <v>57.895989798654156</v>
      </c>
      <c r="BZ124">
        <f t="shared" ca="1" si="76"/>
        <v>149.41492885965974</v>
      </c>
      <c r="CA124" s="6">
        <f t="shared" ca="1" si="77"/>
        <v>-0.92187616000874717</v>
      </c>
      <c r="CB124" s="6">
        <f t="shared" ca="1" si="78"/>
        <v>0.38748463918912585</v>
      </c>
      <c r="CC124" s="6">
        <f t="shared" ca="1" si="79"/>
        <v>2.7436911542420743</v>
      </c>
      <c r="CD124" s="6">
        <f t="shared" ca="1" si="71"/>
        <v>-9.132128999784328E-3</v>
      </c>
      <c r="CE124" s="9">
        <f t="shared" ca="1" si="72"/>
        <v>-60.349042194301447</v>
      </c>
      <c r="CF124" s="9">
        <f t="shared" ca="1" si="73"/>
        <v>32.098316908380227</v>
      </c>
      <c r="CG124">
        <f t="shared" ca="1" si="80"/>
        <v>68.354289127459921</v>
      </c>
      <c r="CH124">
        <f t="shared" ca="1" si="81"/>
        <v>-0.88288596026167243</v>
      </c>
      <c r="CI124">
        <f t="shared" ca="1" si="82"/>
        <v>0.46958745849183869</v>
      </c>
      <c r="CJ124">
        <f t="shared" ca="1" si="83"/>
        <v>2.6527691984446626</v>
      </c>
      <c r="CK124" s="38">
        <f t="shared" ca="1" si="84"/>
        <v>0.2965747082523178</v>
      </c>
    </row>
    <row r="125" spans="1:89" x14ac:dyDescent="0.25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-66.572321814164454</v>
      </c>
      <c r="BE125">
        <v>28.850745827913762</v>
      </c>
      <c r="BF125" s="6">
        <f t="shared" si="90"/>
        <v>2.7326501773762684</v>
      </c>
      <c r="BG125" s="6">
        <f t="shared" si="91"/>
        <v>0.58589519742324248</v>
      </c>
      <c r="BH125" s="6">
        <f t="shared" si="68"/>
        <v>-0.37645568718392358</v>
      </c>
      <c r="BI125" s="6">
        <f t="shared" si="69"/>
        <v>0.37645568718392358</v>
      </c>
      <c r="BV125" s="38"/>
      <c r="BW125" s="6">
        <f t="shared" si="70"/>
        <v>1.9198621771937647</v>
      </c>
      <c r="BX125" s="9">
        <f t="shared" ca="1" si="74"/>
        <v>-138.47719941085549</v>
      </c>
      <c r="BY125" s="9">
        <f t="shared" ca="1" si="75"/>
        <v>57.590778626218558</v>
      </c>
      <c r="BZ125">
        <f t="shared" ca="1" si="76"/>
        <v>149.9754397874797</v>
      </c>
      <c r="CA125" s="6">
        <f t="shared" ca="1" si="77"/>
        <v>-0.92333251102368752</v>
      </c>
      <c r="CB125" s="6">
        <f t="shared" ca="1" si="78"/>
        <v>0.38400139854783322</v>
      </c>
      <c r="CC125" s="6">
        <f t="shared" ca="1" si="79"/>
        <v>2.7474665933655533</v>
      </c>
      <c r="CD125" s="6">
        <f t="shared" ca="1" si="71"/>
        <v>-5.3566898763053317E-3</v>
      </c>
      <c r="CE125" s="9">
        <f t="shared" ca="1" si="72"/>
        <v>-61.084180740033688</v>
      </c>
      <c r="CF125" s="9">
        <f t="shared" ca="1" si="73"/>
        <v>31.793105735944625</v>
      </c>
      <c r="CG125">
        <f t="shared" ca="1" si="80"/>
        <v>68.862752697071713</v>
      </c>
      <c r="CH125">
        <f t="shared" ca="1" si="81"/>
        <v>-0.88704239008196373</v>
      </c>
      <c r="CI125">
        <f t="shared" ca="1" si="82"/>
        <v>0.46168798792872801</v>
      </c>
      <c r="CJ125">
        <f t="shared" ca="1" si="83"/>
        <v>2.6616954559514046</v>
      </c>
      <c r="CK125" s="38">
        <f t="shared" ca="1" si="84"/>
        <v>0.30550096575905972</v>
      </c>
    </row>
    <row r="126" spans="1:89" x14ac:dyDescent="0.25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-66.834403887975554</v>
      </c>
      <c r="BE126">
        <v>28.665421059804217</v>
      </c>
      <c r="BF126" s="6">
        <f t="shared" si="90"/>
        <v>2.7364214787383601</v>
      </c>
      <c r="BG126" s="6">
        <f t="shared" si="91"/>
        <v>0.57221320626539107</v>
      </c>
      <c r="BH126" s="6">
        <f t="shared" si="68"/>
        <v>-0.38022698854601522</v>
      </c>
      <c r="BI126" s="6">
        <f t="shared" si="69"/>
        <v>0.38022698854601522</v>
      </c>
      <c r="BV126" s="38"/>
      <c r="BW126" s="6">
        <f t="shared" si="70"/>
        <v>1.937315469713708</v>
      </c>
      <c r="BX126" s="9">
        <f t="shared" ca="1" si="74"/>
        <v>-139.13849732211042</v>
      </c>
      <c r="BY126" s="9">
        <f t="shared" ca="1" si="75"/>
        <v>57.30321690309664</v>
      </c>
      <c r="BZ126">
        <f t="shared" ca="1" si="76"/>
        <v>150.47651014194298</v>
      </c>
      <c r="CA126" s="6">
        <f t="shared" ca="1" si="77"/>
        <v>-0.92465260651554504</v>
      </c>
      <c r="CB126" s="6">
        <f t="shared" ca="1" si="78"/>
        <v>0.38081170841244982</v>
      </c>
      <c r="CC126" s="6">
        <f t="shared" ca="1" si="79"/>
        <v>2.7509186633389939</v>
      </c>
      <c r="CD126" s="6">
        <f t="shared" ca="1" si="71"/>
        <v>-1.9046199028647237E-3</v>
      </c>
      <c r="CE126" s="9">
        <f t="shared" ca="1" si="72"/>
        <v>-61.745478651288622</v>
      </c>
      <c r="CF126" s="9">
        <f t="shared" ca="1" si="73"/>
        <v>31.505544012822707</v>
      </c>
      <c r="CG126">
        <f t="shared" ca="1" si="80"/>
        <v>69.318853405265202</v>
      </c>
      <c r="CH126">
        <f t="shared" ca="1" si="81"/>
        <v>-0.89074581615336801</v>
      </c>
      <c r="CI126">
        <f t="shared" ca="1" si="82"/>
        <v>0.45450180528274092</v>
      </c>
      <c r="CJ126">
        <f t="shared" ca="1" si="83"/>
        <v>2.6697798199738796</v>
      </c>
      <c r="CK126" s="38">
        <f t="shared" ca="1" si="84"/>
        <v>0.31358532978153475</v>
      </c>
    </row>
    <row r="127" spans="1:89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-67.085029374167192</v>
      </c>
      <c r="BE127">
        <v>28.482471638578676</v>
      </c>
      <c r="BF127" s="6">
        <f t="shared" si="90"/>
        <v>2.7400839939671955</v>
      </c>
      <c r="BG127" s="6">
        <f t="shared" si="91"/>
        <v>0.5584224289742834</v>
      </c>
      <c r="BH127" s="6">
        <f t="shared" si="68"/>
        <v>-0.38388950377485065</v>
      </c>
      <c r="BI127" s="6">
        <f t="shared" si="69"/>
        <v>0.38388950377485065</v>
      </c>
      <c r="BV127" s="38"/>
      <c r="BW127" s="6">
        <f t="shared" si="70"/>
        <v>1.9547687622336514</v>
      </c>
      <c r="BX127" s="9">
        <f t="shared" ca="1" si="74"/>
        <v>-139.73713576442046</v>
      </c>
      <c r="BY127" s="9">
        <f t="shared" ca="1" si="75"/>
        <v>57.031054639952885</v>
      </c>
      <c r="BZ127">
        <f t="shared" ca="1" si="76"/>
        <v>150.92716225050205</v>
      </c>
      <c r="CA127" s="6">
        <f t="shared" ca="1" si="77"/>
        <v>-0.92585810056172069</v>
      </c>
      <c r="CB127" s="6">
        <f t="shared" ca="1" si="78"/>
        <v>0.37787137709046253</v>
      </c>
      <c r="CC127" s="6">
        <f t="shared" ca="1" si="79"/>
        <v>2.7540965199558332</v>
      </c>
      <c r="CD127" s="6">
        <f t="shared" ca="1" si="71"/>
        <v>1.2732367139745016E-3</v>
      </c>
      <c r="CE127" s="9">
        <f t="shared" ca="1" si="72"/>
        <v>-62.344117093598655</v>
      </c>
      <c r="CF127" s="9">
        <f t="shared" ca="1" si="73"/>
        <v>31.233381749678951</v>
      </c>
      <c r="CG127">
        <f t="shared" ca="1" si="80"/>
        <v>69.730288051187046</v>
      </c>
      <c r="CH127">
        <f t="shared" ca="1" si="81"/>
        <v>-0.89407514060222426</v>
      </c>
      <c r="CI127">
        <f t="shared" ca="1" si="82"/>
        <v>0.4479170045411458</v>
      </c>
      <c r="CJ127">
        <f t="shared" ca="1" si="83"/>
        <v>2.6771584546108906</v>
      </c>
      <c r="CK127" s="38">
        <f t="shared" ca="1" si="84"/>
        <v>0.3209639644185458</v>
      </c>
    </row>
    <row r="128" spans="1:89" x14ac:dyDescent="0.25">
      <c r="BC128">
        <v>2.1991148575128552</v>
      </c>
      <c r="BD128">
        <v>-67.325433962974884</v>
      </c>
      <c r="BE128">
        <v>28.301397940895107</v>
      </c>
      <c r="BF128" s="6">
        <f t="shared" si="90"/>
        <v>2.7436526428147658</v>
      </c>
      <c r="BG128" s="6">
        <f t="shared" si="91"/>
        <v>0.54453778530191066</v>
      </c>
      <c r="BH128" s="6">
        <f t="shared" si="68"/>
        <v>-0.38745815262242095</v>
      </c>
      <c r="BI128" s="6">
        <f t="shared" si="69"/>
        <v>0.38745815262242095</v>
      </c>
      <c r="BV128" s="38"/>
      <c r="BW128" s="6">
        <f t="shared" si="70"/>
        <v>1.9722220547535947</v>
      </c>
      <c r="BX128" s="9">
        <f t="shared" ca="1" si="74"/>
        <v>-140.28222728173711</v>
      </c>
      <c r="BY128" s="9">
        <f t="shared" ca="1" si="75"/>
        <v>56.772374983323616</v>
      </c>
      <c r="BZ128">
        <f t="shared" ca="1" si="76"/>
        <v>151.33474767009741</v>
      </c>
      <c r="CA128" s="6">
        <f t="shared" ca="1" si="77"/>
        <v>-0.92696640686609344</v>
      </c>
      <c r="CB128" s="6">
        <f t="shared" ca="1" si="78"/>
        <v>0.37514434627455623</v>
      </c>
      <c r="CC128" s="6">
        <f t="shared" ca="1" si="79"/>
        <v>2.7570401650078278</v>
      </c>
      <c r="CD128" s="6">
        <f t="shared" ca="1" si="71"/>
        <v>4.2168817659691271E-3</v>
      </c>
      <c r="CE128" s="9">
        <f t="shared" ca="1" si="72"/>
        <v>-62.889208610915304</v>
      </c>
      <c r="CF128" s="9">
        <f t="shared" ca="1" si="73"/>
        <v>30.974702093049682</v>
      </c>
      <c r="CG128">
        <f t="shared" ca="1" si="80"/>
        <v>70.103386005673087</v>
      </c>
      <c r="CH128">
        <f t="shared" ca="1" si="81"/>
        <v>-0.89709231171552861</v>
      </c>
      <c r="CI128">
        <f t="shared" ca="1" si="82"/>
        <v>0.44184316704107657</v>
      </c>
      <c r="CJ128">
        <f t="shared" ca="1" si="83"/>
        <v>2.6839404159642855</v>
      </c>
      <c r="CK128" s="38">
        <f t="shared" ca="1" si="84"/>
        <v>0.32774592577194062</v>
      </c>
    </row>
    <row r="129" spans="1:89" x14ac:dyDescent="0.25">
      <c r="A129" s="14" t="s">
        <v>131</v>
      </c>
      <c r="BC129">
        <v>2.2165681500327983</v>
      </c>
      <c r="BD129">
        <v>-67.556720959242213</v>
      </c>
      <c r="BE129">
        <v>28.121721973920327</v>
      </c>
      <c r="BF129" s="6">
        <f t="shared" si="90"/>
        <v>2.7471410111761441</v>
      </c>
      <c r="BG129" s="6">
        <f t="shared" si="91"/>
        <v>0.53057286114334579</v>
      </c>
      <c r="BH129" s="6">
        <f t="shared" si="68"/>
        <v>-0.39094652098379923</v>
      </c>
      <c r="BI129" s="6">
        <f t="shared" si="69"/>
        <v>0.39094652098379923</v>
      </c>
      <c r="BV129" s="38"/>
      <c r="BW129" s="6">
        <f t="shared" si="70"/>
        <v>1.989675347273538</v>
      </c>
      <c r="BX129" s="9">
        <f t="shared" ca="1" si="74"/>
        <v>-140.78126813750688</v>
      </c>
      <c r="BY129" s="9">
        <f t="shared" ca="1" si="75"/>
        <v>56.525530573049338</v>
      </c>
      <c r="BZ129">
        <f t="shared" ca="1" si="76"/>
        <v>151.70530994322297</v>
      </c>
      <c r="CA129" s="6">
        <f t="shared" ca="1" si="77"/>
        <v>-0.92799169778694957</v>
      </c>
      <c r="CB129" s="6">
        <f t="shared" ca="1" si="78"/>
        <v>0.37260087068939451</v>
      </c>
      <c r="CC129" s="6">
        <f t="shared" ca="1" si="79"/>
        <v>2.7597825169615082</v>
      </c>
      <c r="CD129" s="6">
        <f t="shared" ca="1" si="71"/>
        <v>6.9592337196495713E-3</v>
      </c>
      <c r="CE129" s="9">
        <f t="shared" ca="1" si="72"/>
        <v>-63.388249466685082</v>
      </c>
      <c r="CF129" s="9">
        <f t="shared" ca="1" si="73"/>
        <v>30.727857682775404</v>
      </c>
      <c r="CG129">
        <f t="shared" ca="1" si="80"/>
        <v>70.44339151562481</v>
      </c>
      <c r="CH129">
        <f t="shared" ca="1" si="81"/>
        <v>-0.89984664427500127</v>
      </c>
      <c r="CI129">
        <f t="shared" ca="1" si="82"/>
        <v>0.43620639241879433</v>
      </c>
      <c r="CJ129">
        <f t="shared" ca="1" si="83"/>
        <v>2.6902141473172581</v>
      </c>
      <c r="CK129" s="38">
        <f t="shared" ca="1" si="84"/>
        <v>0.33401965712491322</v>
      </c>
    </row>
    <row r="130" spans="1:89" x14ac:dyDescent="0.25">
      <c r="A130" s="8" t="s">
        <v>133</v>
      </c>
      <c r="B130" s="1">
        <f>U10</f>
        <v>85</v>
      </c>
      <c r="BC130">
        <v>2.2340214425527414</v>
      </c>
      <c r="BD130">
        <v>-67.779880760172546</v>
      </c>
      <c r="BE130">
        <v>27.942982070829252</v>
      </c>
      <c r="BF130" s="6">
        <f t="shared" ref="BF130:BF155" si="101">IF(BC130&lt;&gt;"",IF(AND(BD130=0,BE130=0),0,MOD(ATAN2(BD130,BE130),2*PI())),NA())</f>
        <v>2.7505615819237992</v>
      </c>
      <c r="BG130" s="6">
        <f t="shared" ref="BG130:BG155" si="102">ABS(BC130-BF130)</f>
        <v>0.5165401393710578</v>
      </c>
      <c r="BH130" s="6">
        <f t="shared" si="68"/>
        <v>-0.3943670917314544</v>
      </c>
      <c r="BI130" s="6">
        <f t="shared" si="69"/>
        <v>0.3943670917314544</v>
      </c>
      <c r="BV130" s="38"/>
      <c r="BW130" s="6">
        <f t="shared" si="70"/>
        <v>2.0071286397934811</v>
      </c>
      <c r="BX130" s="9">
        <f t="shared" ca="1" si="74"/>
        <v>-141.24047817452637</v>
      </c>
      <c r="BY130" s="9">
        <f t="shared" ca="1" si="75"/>
        <v>56.289093819969267</v>
      </c>
      <c r="BZ130">
        <f t="shared" ca="1" si="76"/>
        <v>152.04385800828052</v>
      </c>
      <c r="CA130" s="6">
        <f t="shared" ca="1" si="77"/>
        <v>-0.92894563466571745</v>
      </c>
      <c r="CB130" s="6">
        <f t="shared" ca="1" si="78"/>
        <v>0.37021616366051224</v>
      </c>
      <c r="CC130" s="6">
        <f t="shared" ca="1" si="79"/>
        <v>2.7623509458214892</v>
      </c>
      <c r="CD130" s="6">
        <f t="shared" ca="1" si="71"/>
        <v>9.5276625796305581E-3</v>
      </c>
      <c r="CE130" s="9">
        <f t="shared" ca="1" si="72"/>
        <v>-63.84745950370457</v>
      </c>
      <c r="CF130" s="9">
        <f t="shared" ca="1" si="73"/>
        <v>30.491420929695334</v>
      </c>
      <c r="CG130">
        <f t="shared" ca="1" si="80"/>
        <v>70.75468066063938</v>
      </c>
      <c r="CH130">
        <f t="shared" ca="1" si="81"/>
        <v>-0.9023778908696668</v>
      </c>
      <c r="CI130">
        <f t="shared" ca="1" si="82"/>
        <v>0.43094563702352517</v>
      </c>
      <c r="CJ130">
        <f t="shared" ca="1" si="83"/>
        <v>2.6960521995142805</v>
      </c>
      <c r="CK130" s="38">
        <f t="shared" ca="1" si="84"/>
        <v>0.33985770932193571</v>
      </c>
    </row>
    <row r="131" spans="1:89" x14ac:dyDescent="0.25">
      <c r="A131" s="8" t="s">
        <v>132</v>
      </c>
      <c r="B131">
        <f ca="1">(U10-B127)/(D127-F127)</f>
        <v>0.76346066922939193</v>
      </c>
      <c r="BC131">
        <v>2.2514747350726845</v>
      </c>
      <c r="BD131">
        <v>-67.995807301656555</v>
      </c>
      <c r="BE131">
        <v>27.764728006912961</v>
      </c>
      <c r="BF131" s="6">
        <f t="shared" si="101"/>
        <v>2.7539259320478813</v>
      </c>
      <c r="BG131" s="6">
        <f t="shared" si="102"/>
        <v>0.5024511969751968</v>
      </c>
      <c r="BH131" s="6">
        <f t="shared" ref="BH131:BH155" si="103">ATAN2(COS($U$13-BF131),SIN($U$13-BF131))</f>
        <v>-0.39773144185553644</v>
      </c>
      <c r="BI131" s="6">
        <f t="shared" ref="BI131:BI155" si="104">ABS(BH131)</f>
        <v>0.39773144185553644</v>
      </c>
      <c r="BV131" s="38"/>
      <c r="BW131" s="6">
        <f t="shared" si="70"/>
        <v>2.0245819323134242</v>
      </c>
      <c r="BX131" s="9">
        <f t="shared" ca="1" si="74"/>
        <v>-141.66505932712505</v>
      </c>
      <c r="BY131" s="9">
        <f t="shared" ca="1" si="75"/>
        <v>56.061817609583741</v>
      </c>
      <c r="BZ131">
        <f t="shared" ca="1" si="76"/>
        <v>152.35457468631552</v>
      </c>
      <c r="CA131" s="6">
        <f t="shared" ca="1" si="77"/>
        <v>-0.9298379101434977</v>
      </c>
      <c r="CB131" s="6">
        <f t="shared" ca="1" si="78"/>
        <v>0.36796937489412462</v>
      </c>
      <c r="CC131" s="6">
        <f t="shared" ca="1" si="79"/>
        <v>2.7647684275970676</v>
      </c>
      <c r="CD131" s="6">
        <f t="shared" ca="1" si="71"/>
        <v>1.1945144355208992E-2</v>
      </c>
      <c r="CE131" s="9">
        <f t="shared" ca="1" si="72"/>
        <v>-64.272040656303247</v>
      </c>
      <c r="CF131" s="9">
        <f t="shared" ca="1" si="73"/>
        <v>30.264144719309808</v>
      </c>
      <c r="CG131">
        <f t="shared" ca="1" si="80"/>
        <v>71.040929510507013</v>
      </c>
      <c r="CH131">
        <f t="shared" ca="1" si="81"/>
        <v>-0.90471846440012249</v>
      </c>
      <c r="CI131">
        <f t="shared" ca="1" si="82"/>
        <v>0.42600997661261902</v>
      </c>
      <c r="CJ131">
        <f t="shared" ca="1" si="83"/>
        <v>2.7015147174630703</v>
      </c>
      <c r="CK131" s="38">
        <f t="shared" ca="1" si="84"/>
        <v>0.34532022727072542</v>
      </c>
    </row>
    <row r="132" spans="1:89" x14ac:dyDescent="0.25">
      <c r="A132" s="8" t="s">
        <v>77</v>
      </c>
      <c r="B132">
        <f ca="1">(B125+(B131*(D125-F125)))/12</f>
        <v>77.393018670821803</v>
      </c>
      <c r="BC132">
        <v>2.2689280275926276</v>
      </c>
      <c r="BD132">
        <v>-68.205312023135534</v>
      </c>
      <c r="BE132">
        <v>27.586516413993973</v>
      </c>
      <c r="BF132" s="6">
        <f t="shared" si="101"/>
        <v>2.7572449031779152</v>
      </c>
      <c r="BG132" s="6">
        <f t="shared" si="102"/>
        <v>0.48831687558528758</v>
      </c>
      <c r="BH132" s="6">
        <f t="shared" si="103"/>
        <v>-0.40105041298557026</v>
      </c>
      <c r="BI132" s="6">
        <f t="shared" si="104"/>
        <v>0.40105041298557026</v>
      </c>
      <c r="BV132" s="38"/>
      <c r="BW132" s="6">
        <f t="shared" si="70"/>
        <v>2.0420352248333673</v>
      </c>
      <c r="BX132" s="9">
        <f t="shared" ca="1" si="74"/>
        <v>-142.05939451016849</v>
      </c>
      <c r="BY132" s="9">
        <f t="shared" ca="1" si="75"/>
        <v>55.842603916061485</v>
      </c>
      <c r="BZ132">
        <f t="shared" ca="1" si="76"/>
        <v>152.64097739703391</v>
      </c>
      <c r="CA132" s="6">
        <f t="shared" ca="1" si="77"/>
        <v>-0.93067665664023036</v>
      </c>
      <c r="CB132" s="6">
        <f t="shared" ca="1" si="78"/>
        <v>0.36584280884686349</v>
      </c>
      <c r="CC132" s="6">
        <f t="shared" ca="1" si="79"/>
        <v>2.7670544243413517</v>
      </c>
      <c r="CD132" s="6">
        <f t="shared" ca="1" si="71"/>
        <v>1.4231141099493083E-2</v>
      </c>
      <c r="CE132" s="9">
        <f t="shared" ca="1" si="72"/>
        <v>-64.666375839346685</v>
      </c>
      <c r="CF132" s="9">
        <f t="shared" ca="1" si="73"/>
        <v>30.044931025787552</v>
      </c>
      <c r="CG132">
        <f t="shared" ca="1" si="80"/>
        <v>71.305245561178538</v>
      </c>
      <c r="CH132">
        <f t="shared" ca="1" si="81"/>
        <v>-0.9068950724510747</v>
      </c>
      <c r="CI132">
        <f t="shared" ca="1" si="82"/>
        <v>0.42135653259912798</v>
      </c>
      <c r="CJ132">
        <f t="shared" ca="1" si="83"/>
        <v>2.706652053527598</v>
      </c>
      <c r="CK132" s="38">
        <f t="shared" ca="1" si="84"/>
        <v>0.35045756333525313</v>
      </c>
    </row>
    <row r="133" spans="1:89" x14ac:dyDescent="0.25">
      <c r="A133" s="8" t="s">
        <v>125</v>
      </c>
      <c r="B133">
        <f ca="1">(B126+(B131*(D126-F126)))/12</f>
        <v>-25.797672890273933</v>
      </c>
      <c r="BC133">
        <v>2.2863813201125707</v>
      </c>
      <c r="BD133">
        <v>-68.40913580655436</v>
      </c>
      <c r="BE133">
        <v>27.407906390331139</v>
      </c>
      <c r="BF133" s="6">
        <f t="shared" si="101"/>
        <v>2.7605287511942098</v>
      </c>
      <c r="BG133" s="6">
        <f t="shared" si="102"/>
        <v>0.47414743108163915</v>
      </c>
      <c r="BH133" s="6">
        <f t="shared" si="103"/>
        <v>-0.40433426100186504</v>
      </c>
      <c r="BI133" s="6">
        <f t="shared" si="104"/>
        <v>0.40433426100186504</v>
      </c>
      <c r="BV133" s="38"/>
      <c r="BW133" s="6">
        <f t="shared" si="70"/>
        <v>2.0594885173533104</v>
      </c>
      <c r="BX133" s="9">
        <f t="shared" ca="1" si="74"/>
        <v>-142.42720223903365</v>
      </c>
      <c r="BY133" s="9">
        <f t="shared" ca="1" si="75"/>
        <v>55.630478475273947</v>
      </c>
      <c r="BZ133">
        <f t="shared" ca="1" si="76"/>
        <v>152.90604328484375</v>
      </c>
      <c r="CA133" s="6">
        <f t="shared" ca="1" si="77"/>
        <v>-0.93146875806413088</v>
      </c>
      <c r="CB133" s="6">
        <f t="shared" ca="1" si="78"/>
        <v>0.36382131981298949</v>
      </c>
      <c r="CC133" s="6">
        <f t="shared" ca="1" si="79"/>
        <v>2.7692255633123786</v>
      </c>
      <c r="CD133" s="6">
        <f t="shared" ca="1" si="71"/>
        <v>1.6402280070519915E-2</v>
      </c>
      <c r="CE133" s="9">
        <f t="shared" ca="1" si="72"/>
        <v>-65.034183568211844</v>
      </c>
      <c r="CF133" s="9">
        <f t="shared" ca="1" si="73"/>
        <v>29.832805585000013</v>
      </c>
      <c r="CG133">
        <f t="shared" ca="1" si="80"/>
        <v>71.550271288488375</v>
      </c>
      <c r="CH133">
        <f t="shared" ca="1" si="81"/>
        <v>-0.90892993691101631</v>
      </c>
      <c r="CI133">
        <f t="shared" ca="1" si="82"/>
        <v>0.41694888150339932</v>
      </c>
      <c r="CJ133">
        <f t="shared" ca="1" si="83"/>
        <v>2.7115067530898727</v>
      </c>
      <c r="CK133" s="38">
        <f t="shared" ca="1" si="84"/>
        <v>0.35531226289752782</v>
      </c>
    </row>
    <row r="134" spans="1:89" x14ac:dyDescent="0.25">
      <c r="BC134">
        <v>2.3038346126325138</v>
      </c>
      <c r="BD134">
        <v>-68.607959272731321</v>
      </c>
      <c r="BE134">
        <v>27.228455216984553</v>
      </c>
      <c r="BF134" s="6">
        <f t="shared" si="101"/>
        <v>2.7637872796084935</v>
      </c>
      <c r="BG134" s="6">
        <f t="shared" si="102"/>
        <v>0.4599526669759797</v>
      </c>
      <c r="BH134" s="6">
        <f t="shared" si="103"/>
        <v>-0.40759278941614857</v>
      </c>
      <c r="BI134" s="6">
        <f t="shared" si="104"/>
        <v>0.40759278941614857</v>
      </c>
      <c r="BV134" s="38"/>
      <c r="BW134" s="6">
        <f t="shared" si="70"/>
        <v>2.0769418098732535</v>
      </c>
      <c r="BX134" s="9">
        <f t="shared" ca="1" si="74"/>
        <v>-142.77165799547038</v>
      </c>
      <c r="BY134" s="9">
        <f t="shared" ca="1" si="75"/>
        <v>55.424570142086893</v>
      </c>
      <c r="BZ134">
        <f t="shared" ca="1" si="76"/>
        <v>153.15230753145926</v>
      </c>
      <c r="CA134" s="6">
        <f t="shared" ca="1" si="77"/>
        <v>-0.93222009055360411</v>
      </c>
      <c r="CB134" s="6">
        <f t="shared" ca="1" si="78"/>
        <v>0.3618918384935339</v>
      </c>
      <c r="CC134" s="6">
        <f t="shared" ca="1" si="79"/>
        <v>2.7712961671382428</v>
      </c>
      <c r="CD134" s="6">
        <f t="shared" ca="1" si="71"/>
        <v>1.8472883896384129E-2</v>
      </c>
      <c r="CE134" s="9">
        <f t="shared" ca="1" si="72"/>
        <v>-65.378639324648574</v>
      </c>
      <c r="CF134" s="9">
        <f t="shared" ca="1" si="73"/>
        <v>29.626897251812959</v>
      </c>
      <c r="CG134">
        <f t="shared" ca="1" si="80"/>
        <v>71.778266353485904</v>
      </c>
      <c r="CH134">
        <f t="shared" ca="1" si="81"/>
        <v>-0.91084171638639011</v>
      </c>
      <c r="CI134">
        <f t="shared" ca="1" si="82"/>
        <v>0.41275582090419394</v>
      </c>
      <c r="CJ134">
        <f t="shared" ca="1" si="83"/>
        <v>2.7161150820206399</v>
      </c>
      <c r="CK134" s="38">
        <f t="shared" ca="1" si="84"/>
        <v>0.35992059182829506</v>
      </c>
    </row>
    <row r="135" spans="1:89" x14ac:dyDescent="0.25">
      <c r="A135" s="8"/>
      <c r="BC135">
        <v>2.3212879051524569</v>
      </c>
      <c r="BD135">
        <v>-68.802411706404328</v>
      </c>
      <c r="BE135">
        <v>27.047714082100505</v>
      </c>
      <c r="BF135" s="6">
        <f t="shared" si="101"/>
        <v>2.7670299605748321</v>
      </c>
      <c r="BG135" s="6">
        <f t="shared" si="102"/>
        <v>0.44574205542237522</v>
      </c>
      <c r="BH135" s="6">
        <f t="shared" si="103"/>
        <v>-0.41083547038248719</v>
      </c>
      <c r="BI135" s="6">
        <f t="shared" si="104"/>
        <v>0.41083547038248719</v>
      </c>
      <c r="BV135" s="38"/>
      <c r="BW135" s="6">
        <f t="shared" si="70"/>
        <v>2.0943951023931966</v>
      </c>
      <c r="BX135" s="9">
        <f t="shared" ca="1" si="74"/>
        <v>-143.0954903623086</v>
      </c>
      <c r="BY135" s="9">
        <f t="shared" ca="1" si="75"/>
        <v>55.224093905798654</v>
      </c>
      <c r="BZ135">
        <f t="shared" ca="1" si="76"/>
        <v>153.38194127649456</v>
      </c>
      <c r="CA135" s="6">
        <f t="shared" ca="1" si="77"/>
        <v>-0.93293571049773683</v>
      </c>
      <c r="CB135" s="6">
        <f t="shared" ca="1" si="78"/>
        <v>0.36004299754068653</v>
      </c>
      <c r="CC135" s="6">
        <f t="shared" ca="1" si="79"/>
        <v>2.7732786721346185</v>
      </c>
      <c r="CD135" s="6">
        <f t="shared" ca="1" si="71"/>
        <v>2.0455388892759885E-2</v>
      </c>
      <c r="CE135" s="9">
        <f t="shared" ca="1" si="72"/>
        <v>-65.702471691486792</v>
      </c>
      <c r="CF135" s="9">
        <f t="shared" ca="1" si="73"/>
        <v>29.426421015524721</v>
      </c>
      <c r="CG135">
        <f t="shared" ca="1" si="80"/>
        <v>71.991173348915069</v>
      </c>
      <c r="CH135">
        <f t="shared" ca="1" si="81"/>
        <v>-0.91264621251623135</v>
      </c>
      <c r="CI135">
        <f t="shared" ca="1" si="82"/>
        <v>0.40875040156528003</v>
      </c>
      <c r="CJ135">
        <f t="shared" ca="1" si="83"/>
        <v>2.7205082154584894</v>
      </c>
      <c r="CK135" s="38">
        <f t="shared" ca="1" si="84"/>
        <v>0.36431372526614458</v>
      </c>
    </row>
    <row r="136" spans="1:89" x14ac:dyDescent="0.25">
      <c r="A136" s="51" t="s">
        <v>160</v>
      </c>
      <c r="BC136">
        <v>2.3387411976724</v>
      </c>
      <c r="BD136">
        <v>-68.993078881127985</v>
      </c>
      <c r="BE136">
        <v>26.865223734504085</v>
      </c>
      <c r="BF136" s="6">
        <f t="shared" si="101"/>
        <v>2.7702660468599491</v>
      </c>
      <c r="BG136" s="6">
        <f t="shared" si="102"/>
        <v>0.43152484918754919</v>
      </c>
      <c r="BH136" s="6">
        <f t="shared" si="103"/>
        <v>-0.41407155666760431</v>
      </c>
      <c r="BI136" s="6">
        <f t="shared" si="104"/>
        <v>0.41407155666760431</v>
      </c>
      <c r="BV136" s="38"/>
      <c r="BW136" s="6">
        <f t="shared" si="70"/>
        <v>2.1118483949131397</v>
      </c>
      <c r="BX136" s="9">
        <f t="shared" ca="1" si="74"/>
        <v>-143.40105780888163</v>
      </c>
      <c r="BY136" s="9">
        <f t="shared" ca="1" si="75"/>
        <v>55.028336776487336</v>
      </c>
      <c r="BZ136">
        <f t="shared" ca="1" si="76"/>
        <v>153.59681386374106</v>
      </c>
      <c r="CA136" s="6">
        <f t="shared" ca="1" si="77"/>
        <v>-0.93362000292594416</v>
      </c>
      <c r="CB136" s="6">
        <f t="shared" ca="1" si="78"/>
        <v>0.35826483240273538</v>
      </c>
      <c r="CC136" s="6">
        <f t="shared" ca="1" si="79"/>
        <v>2.7751839617407619</v>
      </c>
      <c r="CD136" s="6">
        <f t="shared" ca="1" si="71"/>
        <v>2.2360678498903219E-2</v>
      </c>
      <c r="CE136" s="9">
        <f t="shared" ca="1" si="72"/>
        <v>-66.008039138059829</v>
      </c>
      <c r="CF136" s="9">
        <f t="shared" ca="1" si="73"/>
        <v>29.230663886213403</v>
      </c>
      <c r="CG136">
        <f t="shared" ca="1" si="80"/>
        <v>72.190670741311294</v>
      </c>
      <c r="CH136">
        <f t="shared" ca="1" si="81"/>
        <v>-0.91435691703978805</v>
      </c>
      <c r="CI136">
        <f t="shared" ca="1" si="82"/>
        <v>0.40490916050577824</v>
      </c>
      <c r="CJ136">
        <f t="shared" ca="1" si="83"/>
        <v>2.7247131731155361</v>
      </c>
      <c r="CK136" s="38">
        <f t="shared" ca="1" si="84"/>
        <v>0.36851868292319123</v>
      </c>
    </row>
    <row r="137" spans="1:89" x14ac:dyDescent="0.25">
      <c r="A137" t="s">
        <v>161</v>
      </c>
      <c r="BC137">
        <v>2.3561944901923431</v>
      </c>
      <c r="BD137">
        <v>-69.180509973815631</v>
      </c>
      <c r="BE137">
        <v>26.680509973605986</v>
      </c>
      <c r="BF137" s="6">
        <f t="shared" si="101"/>
        <v>2.7735046776511645</v>
      </c>
      <c r="BG137" s="6">
        <f t="shared" si="102"/>
        <v>0.41731018745882142</v>
      </c>
      <c r="BH137" s="6">
        <f t="shared" si="103"/>
        <v>-0.41731018745881965</v>
      </c>
      <c r="BI137" s="6">
        <f t="shared" si="104"/>
        <v>0.41731018745881965</v>
      </c>
      <c r="BV137" s="38"/>
      <c r="BW137" s="6">
        <f t="shared" si="70"/>
        <v>2.1293016874330828</v>
      </c>
      <c r="BX137" s="9">
        <f t="shared" ca="1" si="74"/>
        <v>-143.69041051010214</v>
      </c>
      <c r="BY137" s="9">
        <f t="shared" ca="1" si="75"/>
        <v>54.83664594092761</v>
      </c>
      <c r="BZ137">
        <f t="shared" ca="1" si="76"/>
        <v>153.79854294047237</v>
      </c>
      <c r="CA137" s="6">
        <f t="shared" ca="1" si="77"/>
        <v>-0.93427679978553124</v>
      </c>
      <c r="CB137" s="6">
        <f t="shared" ca="1" si="78"/>
        <v>0.35654854000893949</v>
      </c>
      <c r="CC137" s="6">
        <f t="shared" ca="1" si="79"/>
        <v>2.7770216349016188</v>
      </c>
      <c r="CD137" s="6">
        <f t="shared" ca="1" si="71"/>
        <v>2.4198351659760142E-2</v>
      </c>
      <c r="CE137" s="9">
        <f t="shared" ca="1" si="72"/>
        <v>-66.297391839280337</v>
      </c>
      <c r="CF137" s="9">
        <f t="shared" ca="1" si="73"/>
        <v>29.038973050653677</v>
      </c>
      <c r="CG137">
        <f t="shared" ca="1" si="80"/>
        <v>72.378215787125242</v>
      </c>
      <c r="CH137">
        <f t="shared" ca="1" si="81"/>
        <v>-0.91598544007040072</v>
      </c>
      <c r="CI137">
        <f t="shared" ca="1" si="82"/>
        <v>0.40121150728641169</v>
      </c>
      <c r="CJ137">
        <f t="shared" ca="1" si="83"/>
        <v>2.7287535627997168</v>
      </c>
      <c r="CK137" s="38">
        <f t="shared" ca="1" si="84"/>
        <v>0.37255907260737198</v>
      </c>
    </row>
    <row r="138" spans="1:89" ht="18" x14ac:dyDescent="0.35">
      <c r="A138" t="s">
        <v>162</v>
      </c>
      <c r="B138" t="s">
        <v>163</v>
      </c>
      <c r="BC138">
        <v>2.3736477827122862</v>
      </c>
      <c r="BD138">
        <v>-69.36522373401327</v>
      </c>
      <c r="BE138">
        <v>26.493078881424609</v>
      </c>
      <c r="BF138" s="6">
        <f t="shared" si="101"/>
        <v>2.7767549808026293</v>
      </c>
      <c r="BG138" s="6">
        <f t="shared" si="102"/>
        <v>0.40310719809034312</v>
      </c>
      <c r="BH138" s="6">
        <f t="shared" si="103"/>
        <v>-0.42056049061028439</v>
      </c>
      <c r="BI138" s="6">
        <f t="shared" si="104"/>
        <v>0.42056049061028439</v>
      </c>
      <c r="BV138" s="38"/>
      <c r="BW138" s="6">
        <f t="shared" si="70"/>
        <v>2.1467549799530259</v>
      </c>
      <c r="BX138" s="9">
        <f t="shared" ca="1" si="74"/>
        <v>-143.96534048498626</v>
      </c>
      <c r="BY138" s="9">
        <f t="shared" ca="1" si="75"/>
        <v>54.648418718187699</v>
      </c>
      <c r="BZ138">
        <f t="shared" ca="1" si="76"/>
        <v>153.98853505815421</v>
      </c>
      <c r="CA138" s="6">
        <f t="shared" ca="1" si="77"/>
        <v>-0.93490947511525668</v>
      </c>
      <c r="CB138" s="6">
        <f t="shared" ca="1" si="78"/>
        <v>0.35488628226477748</v>
      </c>
      <c r="CC138" s="6">
        <f t="shared" ca="1" si="79"/>
        <v>2.7788002241500918</v>
      </c>
      <c r="CD138" s="6">
        <f t="shared" ca="1" si="71"/>
        <v>2.5976940908233104E-2</v>
      </c>
      <c r="CE138" s="9">
        <f t="shared" ca="1" si="72"/>
        <v>-66.572321814164454</v>
      </c>
      <c r="CF138" s="9">
        <f t="shared" ca="1" si="73"/>
        <v>28.850745827913766</v>
      </c>
      <c r="CG138">
        <f t="shared" ca="1" si="80"/>
        <v>72.555079536553194</v>
      </c>
      <c r="CH138">
        <f t="shared" ca="1" si="81"/>
        <v>-0.91754184874989175</v>
      </c>
      <c r="CI138">
        <f t="shared" ca="1" si="82"/>
        <v>0.39763922818634334</v>
      </c>
      <c r="CJ138">
        <f t="shared" ca="1" si="83"/>
        <v>2.7326501773762684</v>
      </c>
      <c r="CK138" s="38">
        <f t="shared" ca="1" si="84"/>
        <v>0.37645568718392353</v>
      </c>
    </row>
    <row r="139" spans="1:89" ht="18" x14ac:dyDescent="0.35">
      <c r="A139" t="s">
        <v>164</v>
      </c>
      <c r="B139" t="s">
        <v>165</v>
      </c>
      <c r="BC139">
        <v>2.3911010752322293</v>
      </c>
      <c r="BD139">
        <v>-69.547714081950403</v>
      </c>
      <c r="BE139">
        <v>26.302411706126367</v>
      </c>
      <c r="BF139" s="6">
        <f t="shared" si="101"/>
        <v>2.7800261739767338</v>
      </c>
      <c r="BG139" s="6">
        <f t="shared" si="102"/>
        <v>0.38892509874450454</v>
      </c>
      <c r="BH139" s="6">
        <f t="shared" si="103"/>
        <v>-0.42383168378438896</v>
      </c>
      <c r="BI139" s="6">
        <f t="shared" si="104"/>
        <v>0.42383168378438896</v>
      </c>
      <c r="BV139" s="38"/>
      <c r="BW139" s="6">
        <f t="shared" si="70"/>
        <v>2.164208272472969</v>
      </c>
      <c r="BX139" s="9">
        <f t="shared" ca="1" si="74"/>
        <v>-144.22742255879734</v>
      </c>
      <c r="BY139" s="9">
        <f t="shared" ca="1" si="75"/>
        <v>54.463093950078147</v>
      </c>
      <c r="BZ139">
        <f t="shared" ca="1" si="76"/>
        <v>154.16801879951925</v>
      </c>
      <c r="CA139" s="6">
        <f t="shared" ca="1" si="77"/>
        <v>-0.93552102233571088</v>
      </c>
      <c r="CB139" s="6">
        <f t="shared" ca="1" si="78"/>
        <v>0.35327102452358933</v>
      </c>
      <c r="CC139" s="6">
        <f t="shared" ca="1" si="79"/>
        <v>2.7805273744952737</v>
      </c>
      <c r="CD139" s="6">
        <f t="shared" ca="1" si="71"/>
        <v>2.7704091253414997E-2</v>
      </c>
      <c r="CE139" s="9">
        <f t="shared" ca="1" si="72"/>
        <v>-66.83440388797554</v>
      </c>
      <c r="CF139" s="9">
        <f t="shared" ca="1" si="73"/>
        <v>28.665421059804213</v>
      </c>
      <c r="CG139">
        <f t="shared" ca="1" si="80"/>
        <v>72.72237556348739</v>
      </c>
      <c r="CH139">
        <f t="shared" ca="1" si="81"/>
        <v>-0.91903493759810428</v>
      </c>
      <c r="CI139">
        <f t="shared" ca="1" si="82"/>
        <v>0.39417608181376035</v>
      </c>
      <c r="CJ139">
        <f t="shared" ca="1" si="83"/>
        <v>2.7364214787383601</v>
      </c>
      <c r="CK139" s="38">
        <f t="shared" ca="1" si="84"/>
        <v>0.38022698854601522</v>
      </c>
    </row>
    <row r="140" spans="1:89" ht="18" x14ac:dyDescent="0.35">
      <c r="A140" t="s">
        <v>166</v>
      </c>
      <c r="BC140">
        <v>2.4085543677521724</v>
      </c>
      <c r="BD140">
        <v>-69.728455217176148</v>
      </c>
      <c r="BE140">
        <v>26.107959272416529</v>
      </c>
      <c r="BF140" s="6">
        <f t="shared" si="101"/>
        <v>2.7833276670044551</v>
      </c>
      <c r="BG140" s="6">
        <f t="shared" si="102"/>
        <v>0.37477329925228275</v>
      </c>
      <c r="BH140" s="6">
        <f t="shared" si="103"/>
        <v>-0.42713317681211027</v>
      </c>
      <c r="BI140" s="6">
        <f t="shared" si="104"/>
        <v>0.42713317681211027</v>
      </c>
      <c r="BV140" s="38"/>
      <c r="BW140" s="6">
        <f t="shared" si="70"/>
        <v>2.1816615649929121</v>
      </c>
      <c r="BX140" s="9">
        <f t="shared" ca="1" si="74"/>
        <v>-144.47804804498901</v>
      </c>
      <c r="BY140" s="9">
        <f t="shared" ca="1" si="75"/>
        <v>54.28014452885261</v>
      </c>
      <c r="BZ140">
        <f t="shared" ca="1" si="76"/>
        <v>154.33807196205115</v>
      </c>
      <c r="CA140" s="6">
        <f t="shared" ca="1" si="77"/>
        <v>-0.93611411758800167</v>
      </c>
      <c r="CB140" s="6">
        <f t="shared" ca="1" si="78"/>
        <v>0.3516964015346718</v>
      </c>
      <c r="CC140" s="6">
        <f t="shared" ca="1" si="79"/>
        <v>2.7822099915650469</v>
      </c>
      <c r="CD140" s="6">
        <f t="shared" ca="1" si="71"/>
        <v>2.9386708323188238E-2</v>
      </c>
      <c r="CE140" s="9">
        <f t="shared" ca="1" si="72"/>
        <v>-67.085029374167206</v>
      </c>
      <c r="CF140" s="9">
        <f t="shared" ca="1" si="73"/>
        <v>28.482471638578676</v>
      </c>
      <c r="CG140">
        <f t="shared" ca="1" si="80"/>
        <v>72.881083669051705</v>
      </c>
      <c r="CH140">
        <f t="shared" ca="1" si="81"/>
        <v>-0.92047244630439351</v>
      </c>
      <c r="CI140">
        <f t="shared" ca="1" si="82"/>
        <v>0.39080746614465478</v>
      </c>
      <c r="CJ140">
        <f t="shared" ca="1" si="83"/>
        <v>2.7400839939671955</v>
      </c>
      <c r="CK140" s="38">
        <f t="shared" ca="1" si="84"/>
        <v>0.38388950377485065</v>
      </c>
    </row>
    <row r="141" spans="1:89" ht="18.75" x14ac:dyDescent="0.35">
      <c r="A141" t="s">
        <v>167</v>
      </c>
      <c r="B141" t="s">
        <v>168</v>
      </c>
      <c r="BC141">
        <v>2.4260076602721155</v>
      </c>
      <c r="BD141">
        <v>-69.907906390764211</v>
      </c>
      <c r="BE141">
        <v>25.909135806676915</v>
      </c>
      <c r="BF141" s="6">
        <f t="shared" si="101"/>
        <v>2.7866691678823248</v>
      </c>
      <c r="BG141" s="6">
        <f t="shared" si="102"/>
        <v>0.36066150761020932</v>
      </c>
      <c r="BH141" s="6">
        <f t="shared" si="103"/>
        <v>-0.43047467768997993</v>
      </c>
      <c r="BI141" s="6">
        <f t="shared" si="104"/>
        <v>0.43047467768997993</v>
      </c>
      <c r="BV141" s="38"/>
      <c r="BW141" s="6">
        <f t="shared" si="70"/>
        <v>2.1991148575128552</v>
      </c>
      <c r="BX141" s="9">
        <f t="shared" ca="1" si="74"/>
        <v>-144.71845263379669</v>
      </c>
      <c r="BY141" s="9">
        <f t="shared" ca="1" si="75"/>
        <v>54.099070831169044</v>
      </c>
      <c r="BZ141">
        <f t="shared" ca="1" si="76"/>
        <v>154.49964400449699</v>
      </c>
      <c r="CA141" s="6">
        <f t="shared" ca="1" si="77"/>
        <v>-0.93669117211418562</v>
      </c>
      <c r="CB141" s="6">
        <f t="shared" ca="1" si="78"/>
        <v>0.35015660508314439</v>
      </c>
      <c r="CC141" s="6">
        <f t="shared" ca="1" si="79"/>
        <v>2.7838543655029366</v>
      </c>
      <c r="CD141" s="6">
        <f t="shared" ca="1" si="71"/>
        <v>3.103108226107798E-2</v>
      </c>
      <c r="CE141" s="9">
        <f t="shared" ca="1" si="72"/>
        <v>-67.325433962974884</v>
      </c>
      <c r="CF141" s="9">
        <f t="shared" ca="1" si="73"/>
        <v>28.301397940895111</v>
      </c>
      <c r="CG141">
        <f t="shared" ca="1" si="80"/>
        <v>73.032069556543405</v>
      </c>
      <c r="CH141">
        <f t="shared" ca="1" si="81"/>
        <v>-0.92186123673860443</v>
      </c>
      <c r="CI141">
        <f t="shared" ca="1" si="82"/>
        <v>0.38752014166849541</v>
      </c>
      <c r="CJ141">
        <f t="shared" ca="1" si="83"/>
        <v>2.7436526428147658</v>
      </c>
      <c r="CK141" s="38">
        <f t="shared" ca="1" si="84"/>
        <v>0.387458152622421</v>
      </c>
    </row>
    <row r="142" spans="1:89" x14ac:dyDescent="0.25">
      <c r="BC142">
        <v>2.4434609527920585</v>
      </c>
      <c r="BD142">
        <v>-70.08651641359657</v>
      </c>
      <c r="BE142">
        <v>25.705312022816308</v>
      </c>
      <c r="BF142" s="6">
        <f t="shared" si="101"/>
        <v>2.790060794881815</v>
      </c>
      <c r="BG142" s="6">
        <f t="shared" si="102"/>
        <v>0.34659984208975647</v>
      </c>
      <c r="BH142" s="6">
        <f t="shared" si="103"/>
        <v>-0.43386630468947018</v>
      </c>
      <c r="BI142" s="6">
        <f t="shared" si="104"/>
        <v>0.43386630468947018</v>
      </c>
      <c r="BV142" s="38"/>
      <c r="BW142" s="6">
        <f t="shared" si="70"/>
        <v>2.2165681500327983</v>
      </c>
      <c r="BX142" s="9">
        <f t="shared" ca="1" si="74"/>
        <v>-144.94973963006402</v>
      </c>
      <c r="BY142" s="9">
        <f t="shared" ca="1" si="75"/>
        <v>53.91939486419426</v>
      </c>
      <c r="BZ142">
        <f t="shared" ca="1" si="76"/>
        <v>154.65357468013551</v>
      </c>
      <c r="CA142" s="6">
        <f t="shared" ca="1" si="77"/>
        <v>-0.93725437598101702</v>
      </c>
      <c r="CB142" s="6">
        <f t="shared" ca="1" si="78"/>
        <v>0.34864628881494547</v>
      </c>
      <c r="CC142" s="6">
        <f t="shared" ca="1" si="79"/>
        <v>2.7854662756704638</v>
      </c>
      <c r="CD142" s="6">
        <f t="shared" ca="1" si="71"/>
        <v>3.2642992428605133E-2</v>
      </c>
      <c r="CE142" s="9">
        <f t="shared" ca="1" si="72"/>
        <v>-67.556720959242213</v>
      </c>
      <c r="CF142" s="9">
        <f t="shared" ca="1" si="73"/>
        <v>28.121721973920327</v>
      </c>
      <c r="CG142">
        <f t="shared" ca="1" si="80"/>
        <v>73.176101245853417</v>
      </c>
      <c r="CH142">
        <f t="shared" ca="1" si="81"/>
        <v>-0.92320743807146144</v>
      </c>
      <c r="CI142">
        <f t="shared" ca="1" si="82"/>
        <v>0.38430199881021765</v>
      </c>
      <c r="CJ142">
        <f t="shared" ca="1" si="83"/>
        <v>2.7471410111761441</v>
      </c>
      <c r="CK142" s="38">
        <f t="shared" ca="1" si="84"/>
        <v>0.39094652098379923</v>
      </c>
    </row>
    <row r="143" spans="1:89" x14ac:dyDescent="0.25">
      <c r="A143" t="s">
        <v>169</v>
      </c>
      <c r="B143" s="3">
        <f>B2*1000</f>
        <v>5000</v>
      </c>
      <c r="C143" t="s">
        <v>170</v>
      </c>
      <c r="BC143">
        <v>2.4609142453120016</v>
      </c>
      <c r="BD143">
        <v>-70.264728007289776</v>
      </c>
      <c r="BE143">
        <v>25.495807302344659</v>
      </c>
      <c r="BF143" s="6">
        <f t="shared" si="101"/>
        <v>2.7935131974976666</v>
      </c>
      <c r="BG143" s="6">
        <f t="shared" si="102"/>
        <v>0.33259895218566493</v>
      </c>
      <c r="BH143" s="6">
        <f t="shared" si="103"/>
        <v>-0.43731870730532169</v>
      </c>
      <c r="BI143" s="6">
        <f t="shared" si="104"/>
        <v>0.43731870730532169</v>
      </c>
      <c r="BV143" s="38"/>
      <c r="BW143" s="6">
        <f t="shared" ref="BW143:BW206" si="105">BC130</f>
        <v>2.2340214425527414</v>
      </c>
      <c r="BX143" s="9">
        <f t="shared" ca="1" si="74"/>
        <v>-145.17289943099433</v>
      </c>
      <c r="BY143" s="9">
        <f t="shared" ca="1" si="75"/>
        <v>53.740654961103189</v>
      </c>
      <c r="BZ143">
        <f t="shared" ca="1" si="76"/>
        <v>154.8006095751885</v>
      </c>
      <c r="CA143" s="6">
        <f t="shared" ca="1" si="77"/>
        <v>-0.93780573493466846</v>
      </c>
      <c r="CB143" s="6">
        <f t="shared" ca="1" si="78"/>
        <v>0.34716048669692551</v>
      </c>
      <c r="CC143" s="6">
        <f t="shared" ca="1" si="79"/>
        <v>2.787051080123816</v>
      </c>
      <c r="CD143" s="6">
        <f t="shared" ref="CD143:CD206" ca="1" si="106">CC143-$BZ$11</f>
        <v>3.4227796881957318E-2</v>
      </c>
      <c r="CE143" s="9">
        <f t="shared" ref="CE143:CE206" ca="1" si="107">BX143+$BW$5</f>
        <v>-67.779880760172531</v>
      </c>
      <c r="CF143" s="9">
        <f t="shared" ref="CF143:CF206" ca="1" si="108">BY143+$BX$5</f>
        <v>27.942982070829256</v>
      </c>
      <c r="CG143">
        <f t="shared" ca="1" si="80"/>
        <v>73.313862828757649</v>
      </c>
      <c r="CH143">
        <f t="shared" ca="1" si="81"/>
        <v>-0.92451656678476923</v>
      </c>
      <c r="CI143">
        <f t="shared" ca="1" si="82"/>
        <v>0.38114186038862641</v>
      </c>
      <c r="CJ143">
        <f t="shared" ca="1" si="83"/>
        <v>2.7505615819237992</v>
      </c>
      <c r="CK143" s="38">
        <f t="shared" ca="1" si="84"/>
        <v>0.39436709173145434</v>
      </c>
    </row>
    <row r="144" spans="1:89" x14ac:dyDescent="0.25">
      <c r="A144" t="s">
        <v>2</v>
      </c>
      <c r="B144" s="3">
        <f>B3*1000</f>
        <v>4074280.688047891</v>
      </c>
      <c r="C144" t="s">
        <v>170</v>
      </c>
      <c r="BC144">
        <v>2.4783675378319447</v>
      </c>
      <c r="BD144">
        <v>-70.44298207076703</v>
      </c>
      <c r="BE144">
        <v>25.279880760353148</v>
      </c>
      <c r="BF144" s="6">
        <f t="shared" si="101"/>
        <v>2.7970376892654429</v>
      </c>
      <c r="BG144" s="6">
        <f t="shared" si="102"/>
        <v>0.31867015143349819</v>
      </c>
      <c r="BH144" s="6">
        <f t="shared" si="103"/>
        <v>-0.4408431990730981</v>
      </c>
      <c r="BI144" s="6">
        <f t="shared" si="104"/>
        <v>0.4408431990730981</v>
      </c>
      <c r="BV144" s="38"/>
      <c r="BW144" s="6">
        <f t="shared" si="105"/>
        <v>2.2514747350726845</v>
      </c>
      <c r="BX144" s="9">
        <f t="shared" ref="BX144:BX207" ca="1" si="109">BD131-$BW$5</f>
        <v>-145.38882597247834</v>
      </c>
      <c r="BY144" s="9">
        <f t="shared" ref="BY144:BY207" ca="1" si="110">BE131-$BX$5</f>
        <v>53.56240089718689</v>
      </c>
      <c r="BZ144">
        <f t="shared" ref="BZ144:BZ207" ca="1" si="111">SQRT(POWER(BX144,2)+POWER(BY144,2))</f>
        <v>154.94141314550657</v>
      </c>
      <c r="CA144" s="6">
        <f t="shared" ref="CA144:CA207" ca="1" si="112">BX144/BZ144</f>
        <v>-0.93834710179093739</v>
      </c>
      <c r="CB144" s="6">
        <f t="shared" ref="CB144:CB207" ca="1" si="113">BY144/BZ144</f>
        <v>0.34569454227764185</v>
      </c>
      <c r="CC144" s="6">
        <f t="shared" ref="CC144:CC207" ca="1" si="114">ATAN2(CA144,CB144)</f>
        <v>2.7886137930246622</v>
      </c>
      <c r="CD144" s="6">
        <f t="shared" ca="1" si="106"/>
        <v>3.5790509782803515E-2</v>
      </c>
      <c r="CE144" s="9">
        <f t="shared" ca="1" si="107"/>
        <v>-67.995807301656541</v>
      </c>
      <c r="CF144" s="9">
        <f t="shared" ca="1" si="108"/>
        <v>27.764728006912957</v>
      </c>
      <c r="CG144">
        <f t="shared" ref="CG144:CG207" ca="1" si="115">SQRT(POWER(CE144,2)+POWER(CF144,2))</f>
        <v>73.445966069634252</v>
      </c>
      <c r="CH144">
        <f t="shared" ref="CH144:CH207" ca="1" si="116">CE144/CG144</f>
        <v>-0.92579362680299682</v>
      </c>
      <c r="CI144">
        <f t="shared" ref="CI144:CI207" ca="1" si="117">CF144/CG144</f>
        <v>0.37802931178805882</v>
      </c>
      <c r="CJ144">
        <f t="shared" ref="CJ144:CJ207" ca="1" si="118">ATAN2(CH144,CI144)</f>
        <v>2.7539259320478813</v>
      </c>
      <c r="CK144" s="38">
        <f t="shared" ref="CK144:CK207" ca="1" si="119">CJ144-$U$13</f>
        <v>0.39773144185553644</v>
      </c>
    </row>
    <row r="145" spans="1:89" ht="18" x14ac:dyDescent="0.35">
      <c r="A145" t="s">
        <v>162</v>
      </c>
      <c r="B145" s="1">
        <f>(2*0.85*B143)/B144</f>
        <v>2.0862578331765852E-3</v>
      </c>
      <c r="C145" t="s">
        <v>171</v>
      </c>
      <c r="BC145">
        <v>2.4958208303518878</v>
      </c>
      <c r="BD145">
        <v>-70.621721973861852</v>
      </c>
      <c r="BE145">
        <v>25.056720959203904</v>
      </c>
      <c r="BF145" s="6">
        <f t="shared" si="101"/>
        <v>2.8006463959695544</v>
      </c>
      <c r="BG145" s="6">
        <f t="shared" si="102"/>
        <v>0.30482556561766661</v>
      </c>
      <c r="BH145" s="6">
        <f t="shared" si="103"/>
        <v>-0.44445190577720967</v>
      </c>
      <c r="BI145" s="6">
        <f t="shared" si="104"/>
        <v>0.44445190577720967</v>
      </c>
      <c r="BV145" s="38"/>
      <c r="BW145" s="6">
        <f t="shared" si="105"/>
        <v>2.2689280275926276</v>
      </c>
      <c r="BX145" s="9">
        <f t="shared" ca="1" si="109"/>
        <v>-145.59833069395734</v>
      </c>
      <c r="BY145" s="9">
        <f t="shared" ca="1" si="110"/>
        <v>53.384189304267906</v>
      </c>
      <c r="BZ145">
        <f t="shared" ca="1" si="111"/>
        <v>155.0765796906189</v>
      </c>
      <c r="CA145" s="6">
        <f t="shared" ca="1" si="112"/>
        <v>-0.93888020347385226</v>
      </c>
      <c r="CB145" s="6">
        <f t="shared" ca="1" si="113"/>
        <v>0.34424404646253165</v>
      </c>
      <c r="CC145" s="6">
        <f t="shared" ca="1" si="114"/>
        <v>2.7901591525262814</v>
      </c>
      <c r="CD145" s="6">
        <f t="shared" ca="1" si="106"/>
        <v>3.7335869284422785E-2</v>
      </c>
      <c r="CE145" s="9">
        <f t="shared" ca="1" si="107"/>
        <v>-68.205312023135534</v>
      </c>
      <c r="CF145" s="9">
        <f t="shared" ca="1" si="108"/>
        <v>27.586516413993973</v>
      </c>
      <c r="CG145">
        <f t="shared" ca="1" si="115"/>
        <v>73.572960223392087</v>
      </c>
      <c r="CH145">
        <f t="shared" ca="1" si="116"/>
        <v>-0.9270431938043735</v>
      </c>
      <c r="CI145">
        <f t="shared" ca="1" si="117"/>
        <v>0.37495455300741048</v>
      </c>
      <c r="CJ145">
        <f t="shared" ca="1" si="118"/>
        <v>2.7572449031779152</v>
      </c>
      <c r="CK145" s="38">
        <f t="shared" ca="1" si="119"/>
        <v>0.40105041298557031</v>
      </c>
    </row>
    <row r="146" spans="1:89" ht="18" x14ac:dyDescent="0.35">
      <c r="A146" t="s">
        <v>172</v>
      </c>
      <c r="B146" s="1">
        <v>3.0000000000000001E-3</v>
      </c>
      <c r="C146" t="s">
        <v>171</v>
      </c>
      <c r="BC146">
        <v>2.5132741228718309</v>
      </c>
      <c r="BD146">
        <v>-70.80139794045968</v>
      </c>
      <c r="BE146">
        <v>24.825433963166002</v>
      </c>
      <c r="BF146" s="6">
        <f t="shared" si="101"/>
        <v>2.8043524233376753</v>
      </c>
      <c r="BG146" s="6">
        <f t="shared" si="102"/>
        <v>0.29107830046584438</v>
      </c>
      <c r="BH146" s="6">
        <f t="shared" si="103"/>
        <v>-0.44815793314533042</v>
      </c>
      <c r="BI146" s="6">
        <f t="shared" si="104"/>
        <v>0.44815793314533042</v>
      </c>
      <c r="BV146" s="38"/>
      <c r="BW146" s="6">
        <f t="shared" si="105"/>
        <v>2.2863813201125707</v>
      </c>
      <c r="BX146" s="9">
        <f t="shared" ca="1" si="109"/>
        <v>-145.80215447737618</v>
      </c>
      <c r="BY146" s="9">
        <f t="shared" ca="1" si="110"/>
        <v>53.205579280605072</v>
      </c>
      <c r="BZ146">
        <f t="shared" ca="1" si="111"/>
        <v>155.20664263113682</v>
      </c>
      <c r="CA146" s="6">
        <f t="shared" ca="1" si="112"/>
        <v>-0.93940666459675126</v>
      </c>
      <c r="CB146" s="6">
        <f t="shared" ca="1" si="113"/>
        <v>0.34280478192581704</v>
      </c>
      <c r="CC146" s="6">
        <f t="shared" ca="1" si="114"/>
        <v>2.7916916812145107</v>
      </c>
      <c r="CD146" s="6">
        <f t="shared" ca="1" si="106"/>
        <v>3.8868397972652069E-2</v>
      </c>
      <c r="CE146" s="9">
        <f t="shared" ca="1" si="107"/>
        <v>-68.409135806554374</v>
      </c>
      <c r="CF146" s="9">
        <f t="shared" ca="1" si="108"/>
        <v>27.407906390331139</v>
      </c>
      <c r="CG146">
        <f t="shared" ca="1" si="115"/>
        <v>73.695340385269645</v>
      </c>
      <c r="CH146">
        <f t="shared" ca="1" si="116"/>
        <v>-0.92826948690270406</v>
      </c>
      <c r="CI146">
        <f t="shared" ca="1" si="117"/>
        <v>0.3719082678368289</v>
      </c>
      <c r="CJ146">
        <f t="shared" ca="1" si="118"/>
        <v>2.7605287511942098</v>
      </c>
      <c r="CK146" s="38">
        <f t="shared" ca="1" si="119"/>
        <v>0.40433426100186498</v>
      </c>
    </row>
    <row r="147" spans="1:89" ht="18" x14ac:dyDescent="0.35">
      <c r="A147" t="s">
        <v>173</v>
      </c>
      <c r="B147" s="1">
        <f>B146/B145</f>
        <v>1.4379814193110203</v>
      </c>
      <c r="C147" t="s">
        <v>174</v>
      </c>
      <c r="BC147">
        <v>2.530727415391774</v>
      </c>
      <c r="BD147">
        <v>-70.982471638845979</v>
      </c>
      <c r="BE147">
        <v>24.585029374153063</v>
      </c>
      <c r="BF147" s="6">
        <f t="shared" si="101"/>
        <v>2.8081700491707036</v>
      </c>
      <c r="BG147" s="6">
        <f t="shared" si="102"/>
        <v>0.27744263377892953</v>
      </c>
      <c r="BH147" s="6">
        <f t="shared" si="103"/>
        <v>-0.45197555897835873</v>
      </c>
      <c r="BI147" s="6">
        <f t="shared" si="104"/>
        <v>0.45197555897835873</v>
      </c>
      <c r="BV147" s="38"/>
      <c r="BW147" s="6">
        <f t="shared" si="105"/>
        <v>2.3038346126325138</v>
      </c>
      <c r="BX147" s="9">
        <f t="shared" ca="1" si="109"/>
        <v>-146.00097794355312</v>
      </c>
      <c r="BY147" s="9">
        <f t="shared" ca="1" si="110"/>
        <v>53.026128107258486</v>
      </c>
      <c r="BZ147">
        <f t="shared" ca="1" si="111"/>
        <v>155.33208239935905</v>
      </c>
      <c r="CA147" s="6">
        <f t="shared" ca="1" si="112"/>
        <v>-0.9399280283141016</v>
      </c>
      <c r="CB147" s="6">
        <f t="shared" ca="1" si="113"/>
        <v>0.34137267258754839</v>
      </c>
      <c r="CC147" s="6">
        <f t="shared" ca="1" si="114"/>
        <v>2.7932157408367453</v>
      </c>
      <c r="CD147" s="6">
        <f t="shared" ca="1" si="106"/>
        <v>4.0392457594886633E-2</v>
      </c>
      <c r="CE147" s="9">
        <f t="shared" ca="1" si="107"/>
        <v>-68.607959272731321</v>
      </c>
      <c r="CF147" s="9">
        <f t="shared" ca="1" si="108"/>
        <v>27.228455216984553</v>
      </c>
      <c r="CG147">
        <f t="shared" ca="1" si="115"/>
        <v>73.813554643250257</v>
      </c>
      <c r="CH147">
        <f t="shared" ca="1" si="116"/>
        <v>-0.9294764302345524</v>
      </c>
      <c r="CI147">
        <f t="shared" ca="1" si="117"/>
        <v>0.36888150622989146</v>
      </c>
      <c r="CJ147">
        <f t="shared" ca="1" si="118"/>
        <v>2.7637872796084935</v>
      </c>
      <c r="CK147" s="38">
        <f t="shared" ca="1" si="119"/>
        <v>0.40759278941614863</v>
      </c>
    </row>
    <row r="148" spans="1:89" ht="18" x14ac:dyDescent="0.35">
      <c r="A148" t="s">
        <v>175</v>
      </c>
      <c r="B148" s="6">
        <f>G38</f>
        <v>7.6409303574153373</v>
      </c>
      <c r="C148" t="s">
        <v>4</v>
      </c>
      <c r="BC148">
        <v>2.5481807079117171</v>
      </c>
      <c r="BD148">
        <v>-71.165421060086217</v>
      </c>
      <c r="BE148">
        <v>24.334403888187076</v>
      </c>
      <c r="BF148" s="6">
        <f t="shared" si="101"/>
        <v>2.8121149458806793</v>
      </c>
      <c r="BG148" s="6">
        <f t="shared" si="102"/>
        <v>0.2639342379689622</v>
      </c>
      <c r="BH148" s="6">
        <f t="shared" si="103"/>
        <v>-0.45592045568833445</v>
      </c>
      <c r="BI148" s="6">
        <f t="shared" si="104"/>
        <v>0.45592045568833445</v>
      </c>
      <c r="BV148" s="38"/>
      <c r="BW148" s="6">
        <f t="shared" si="105"/>
        <v>2.3212879051524569</v>
      </c>
      <c r="BX148" s="9">
        <f t="shared" ca="1" si="109"/>
        <v>-146.19543037722613</v>
      </c>
      <c r="BY148" s="9">
        <f t="shared" ca="1" si="110"/>
        <v>52.845386972374442</v>
      </c>
      <c r="BZ148">
        <f t="shared" ca="1" si="111"/>
        <v>155.45333314999192</v>
      </c>
      <c r="CA148" s="6">
        <f t="shared" ca="1" si="112"/>
        <v>-0.94044577504277027</v>
      </c>
      <c r="CB148" s="6">
        <f t="shared" ca="1" si="113"/>
        <v>0.33994373682155549</v>
      </c>
      <c r="CC148" s="6">
        <f t="shared" ca="1" si="114"/>
        <v>2.7947355827834701</v>
      </c>
      <c r="CD148" s="6">
        <f t="shared" ca="1" si="106"/>
        <v>4.1912299541611464E-2</v>
      </c>
      <c r="CE148" s="9">
        <f t="shared" ca="1" si="107"/>
        <v>-68.802411706404328</v>
      </c>
      <c r="CF148" s="9">
        <f t="shared" ca="1" si="108"/>
        <v>27.047714082100509</v>
      </c>
      <c r="CG148">
        <f t="shared" ca="1" si="115"/>
        <v>73.928010210505605</v>
      </c>
      <c r="CH148">
        <f t="shared" ca="1" si="116"/>
        <v>-0.93066770646867891</v>
      </c>
      <c r="CI148">
        <f t="shared" ca="1" si="117"/>
        <v>0.36586557659382085</v>
      </c>
      <c r="CJ148">
        <f t="shared" ca="1" si="118"/>
        <v>2.7670299605748321</v>
      </c>
      <c r="CK148" s="38">
        <f t="shared" ca="1" si="119"/>
        <v>0.41083547038248724</v>
      </c>
    </row>
    <row r="149" spans="1:89" x14ac:dyDescent="0.25">
      <c r="B149" s="1"/>
      <c r="BC149">
        <v>2.5656340004316602</v>
      </c>
      <c r="BD149">
        <v>-71.350745827984852</v>
      </c>
      <c r="BE149">
        <v>24.072321814474861</v>
      </c>
      <c r="BF149" s="6">
        <f t="shared" si="101"/>
        <v>2.8162044408297247</v>
      </c>
      <c r="BG149" s="6">
        <f t="shared" si="102"/>
        <v>0.25057044039806442</v>
      </c>
      <c r="BH149" s="6">
        <f t="shared" si="103"/>
        <v>-0.46000995063737982</v>
      </c>
      <c r="BI149" s="6">
        <f t="shared" si="104"/>
        <v>0.46000995063737982</v>
      </c>
      <c r="BV149" s="38"/>
      <c r="BW149" s="6">
        <f t="shared" si="105"/>
        <v>2.3387411976724</v>
      </c>
      <c r="BX149" s="9">
        <f t="shared" ca="1" si="109"/>
        <v>-146.38609755194977</v>
      </c>
      <c r="BY149" s="9">
        <f t="shared" ca="1" si="110"/>
        <v>52.662896624778014</v>
      </c>
      <c r="BZ149">
        <f t="shared" ca="1" si="111"/>
        <v>155.57078850928605</v>
      </c>
      <c r="CA149" s="6">
        <f t="shared" ca="1" si="112"/>
        <v>-0.9409613395590134</v>
      </c>
      <c r="CB149" s="6">
        <f t="shared" ca="1" si="113"/>
        <v>0.33851404321727507</v>
      </c>
      <c r="CC149" s="6">
        <f t="shared" ca="1" si="114"/>
        <v>2.796255395606531</v>
      </c>
      <c r="CD149" s="6">
        <f t="shared" ca="1" si="106"/>
        <v>4.3432112364672371E-2</v>
      </c>
      <c r="CE149" s="9">
        <f t="shared" ca="1" si="107"/>
        <v>-68.993078881127971</v>
      </c>
      <c r="CF149" s="9">
        <f t="shared" ca="1" si="108"/>
        <v>26.865223734504081</v>
      </c>
      <c r="CG149">
        <f t="shared" ca="1" si="115"/>
        <v>74.039078734155709</v>
      </c>
      <c r="CH149">
        <f t="shared" ca="1" si="116"/>
        <v>-0.93184680388655461</v>
      </c>
      <c r="CI149">
        <f t="shared" ca="1" si="117"/>
        <v>0.36285194513246444</v>
      </c>
      <c r="CJ149">
        <f t="shared" ca="1" si="118"/>
        <v>2.7702660468599491</v>
      </c>
      <c r="CK149" s="38">
        <f t="shared" ca="1" si="119"/>
        <v>0.41407155666760431</v>
      </c>
    </row>
    <row r="150" spans="1:89" x14ac:dyDescent="0.25">
      <c r="A150" t="s">
        <v>176</v>
      </c>
      <c r="B150" s="50">
        <f>B28</f>
        <v>3.592355538881824</v>
      </c>
      <c r="C150" t="s">
        <v>4</v>
      </c>
      <c r="D150" t="s">
        <v>177</v>
      </c>
      <c r="BC150">
        <v>2.5830872929516033</v>
      </c>
      <c r="BD150">
        <v>-71.538973050538473</v>
      </c>
      <c r="BE150">
        <v>23.797391839151235</v>
      </c>
      <c r="BF150" s="6">
        <f t="shared" si="101"/>
        <v>2.8204578236180966</v>
      </c>
      <c r="BG150" s="6">
        <f t="shared" si="102"/>
        <v>0.23737053066649327</v>
      </c>
      <c r="BH150" s="6">
        <f t="shared" si="103"/>
        <v>-0.46426333342575177</v>
      </c>
      <c r="BI150" s="6">
        <f t="shared" si="104"/>
        <v>0.46426333342575177</v>
      </c>
      <c r="BV150" s="38"/>
      <c r="BW150" s="6">
        <f t="shared" si="105"/>
        <v>2.3561944901923431</v>
      </c>
      <c r="BX150" s="9">
        <f t="shared" ca="1" si="109"/>
        <v>-146.57352864463743</v>
      </c>
      <c r="BY150" s="9">
        <f t="shared" ca="1" si="110"/>
        <v>52.478182863879923</v>
      </c>
      <c r="BZ150">
        <f t="shared" ca="1" si="111"/>
        <v>155.68480650350944</v>
      </c>
      <c r="CA150" s="6">
        <f t="shared" ca="1" si="112"/>
        <v>-0.94147612690345206</v>
      </c>
      <c r="CB150" s="6">
        <f t="shared" ca="1" si="113"/>
        <v>0.33707966783962934</v>
      </c>
      <c r="CC150" s="6">
        <f t="shared" ca="1" si="114"/>
        <v>2.7977793507185558</v>
      </c>
      <c r="CD150" s="6">
        <f t="shared" ca="1" si="106"/>
        <v>4.4956067476697115E-2</v>
      </c>
      <c r="CE150" s="9">
        <f t="shared" ca="1" si="107"/>
        <v>-69.180509973815631</v>
      </c>
      <c r="CF150" s="9">
        <f t="shared" ca="1" si="108"/>
        <v>26.680509973605989</v>
      </c>
      <c r="CG150">
        <f t="shared" ca="1" si="115"/>
        <v>74.147100905489836</v>
      </c>
      <c r="CH150">
        <f t="shared" ca="1" si="116"/>
        <v>-0.93301705837420701</v>
      </c>
      <c r="CI150">
        <f t="shared" ca="1" si="117"/>
        <v>0.35983213973009925</v>
      </c>
      <c r="CJ150">
        <f t="shared" ca="1" si="118"/>
        <v>2.7735046776511645</v>
      </c>
      <c r="CK150" s="38">
        <f t="shared" ca="1" si="119"/>
        <v>0.41731018745881965</v>
      </c>
    </row>
    <row r="151" spans="1:89" ht="18" x14ac:dyDescent="0.35">
      <c r="A151" t="s">
        <v>178</v>
      </c>
      <c r="B151" s="1">
        <f>(((B145/B146)*B150)-B150)*-1</f>
        <v>1.0941622446993247</v>
      </c>
      <c r="C151" t="s">
        <v>4</v>
      </c>
      <c r="D151" t="s">
        <v>179</v>
      </c>
      <c r="BC151">
        <v>2.6005405854715464</v>
      </c>
      <c r="BD151">
        <v>-71.730663886304427</v>
      </c>
      <c r="BE151">
        <v>23.508039138144028</v>
      </c>
      <c r="BF151" s="6">
        <f t="shared" si="101"/>
        <v>2.8248967118483326</v>
      </c>
      <c r="BG151" s="6">
        <f t="shared" si="102"/>
        <v>0.22435612637678615</v>
      </c>
      <c r="BH151" s="6">
        <f t="shared" si="103"/>
        <v>-0.46870222165598774</v>
      </c>
      <c r="BI151" s="6">
        <f t="shared" si="104"/>
        <v>0.46870222165598774</v>
      </c>
      <c r="BV151" s="38"/>
      <c r="BW151" s="6">
        <f t="shared" si="105"/>
        <v>2.3736477827122862</v>
      </c>
      <c r="BX151" s="9">
        <f t="shared" ca="1" si="109"/>
        <v>-146.75824240483507</v>
      </c>
      <c r="BY151" s="9">
        <f t="shared" ca="1" si="110"/>
        <v>52.290751771698538</v>
      </c>
      <c r="BZ151">
        <f t="shared" ca="1" si="111"/>
        <v>155.7957137876576</v>
      </c>
      <c r="CA151" s="6">
        <f t="shared" ca="1" si="112"/>
        <v>-0.941991527474625</v>
      </c>
      <c r="CB151" s="6">
        <f t="shared" ca="1" si="113"/>
        <v>0.33563665200037807</v>
      </c>
      <c r="CC151" s="6">
        <f t="shared" ca="1" si="114"/>
        <v>2.7993116473349113</v>
      </c>
      <c r="CD151" s="6">
        <f t="shared" ca="1" si="106"/>
        <v>4.6488364093052681E-2</v>
      </c>
      <c r="CE151" s="9">
        <f t="shared" ca="1" si="107"/>
        <v>-69.36522373401327</v>
      </c>
      <c r="CF151" s="9">
        <f t="shared" ca="1" si="108"/>
        <v>26.493078881424605</v>
      </c>
      <c r="CG151">
        <f t="shared" ca="1" si="115"/>
        <v>74.252390481971048</v>
      </c>
      <c r="CH151">
        <f t="shared" ca="1" si="116"/>
        <v>-0.93418169144137642</v>
      </c>
      <c r="CI151">
        <f t="shared" ca="1" si="117"/>
        <v>0.35679765606815439</v>
      </c>
      <c r="CJ151">
        <f t="shared" ca="1" si="118"/>
        <v>2.7767549808026293</v>
      </c>
      <c r="CK151" s="38">
        <f t="shared" ca="1" si="119"/>
        <v>0.42056049061028444</v>
      </c>
    </row>
    <row r="152" spans="1:89" x14ac:dyDescent="0.25">
      <c r="A152" t="s">
        <v>180</v>
      </c>
      <c r="B152" s="1">
        <f>B148-B151</f>
        <v>6.5467681127160127</v>
      </c>
      <c r="C152" t="s">
        <v>4</v>
      </c>
      <c r="D152" t="s">
        <v>181</v>
      </c>
      <c r="BC152">
        <v>2.6179938779914895</v>
      </c>
      <c r="BD152">
        <v>-71.926421015424836</v>
      </c>
      <c r="BE152">
        <v>23.202471691398131</v>
      </c>
      <c r="BF152" s="6">
        <f t="shared" si="101"/>
        <v>2.8295454899594161</v>
      </c>
      <c r="BG152" s="6">
        <f t="shared" si="102"/>
        <v>0.2115516119679266</v>
      </c>
      <c r="BH152" s="6">
        <f t="shared" si="103"/>
        <v>-0.47335099976707123</v>
      </c>
      <c r="BI152" s="6">
        <f t="shared" si="104"/>
        <v>0.47335099976707123</v>
      </c>
      <c r="BV152" s="38"/>
      <c r="BW152" s="6">
        <f t="shared" si="105"/>
        <v>2.3911010752322293</v>
      </c>
      <c r="BX152" s="9">
        <f t="shared" ca="1" si="109"/>
        <v>-146.94073275277219</v>
      </c>
      <c r="BY152" s="9">
        <f t="shared" ca="1" si="110"/>
        <v>52.100084596400301</v>
      </c>
      <c r="BZ152">
        <f t="shared" ca="1" si="111"/>
        <v>155.90380930841198</v>
      </c>
      <c r="CA152" s="6">
        <f t="shared" ca="1" si="112"/>
        <v>-0.94250893165856608</v>
      </c>
      <c r="CB152" s="6">
        <f t="shared" ca="1" si="113"/>
        <v>0.33418095957703564</v>
      </c>
      <c r="CC152" s="6">
        <f t="shared" ca="1" si="114"/>
        <v>2.80085655768689</v>
      </c>
      <c r="CD152" s="6">
        <f t="shared" ca="1" si="106"/>
        <v>4.803327444503136E-2</v>
      </c>
      <c r="CE152" s="9">
        <f t="shared" ca="1" si="107"/>
        <v>-69.547714081950389</v>
      </c>
      <c r="CF152" s="9">
        <f t="shared" ca="1" si="108"/>
        <v>26.302411706126367</v>
      </c>
      <c r="CG152">
        <f t="shared" ca="1" si="115"/>
        <v>74.355237849012994</v>
      </c>
      <c r="CH152">
        <f t="shared" ca="1" si="116"/>
        <v>-0.93534384522009273</v>
      </c>
      <c r="CI152">
        <f t="shared" ca="1" si="117"/>
        <v>0.3537398637542723</v>
      </c>
      <c r="CJ152">
        <f t="shared" ca="1" si="118"/>
        <v>2.7800261739767338</v>
      </c>
      <c r="CK152" s="38">
        <f t="shared" ca="1" si="119"/>
        <v>0.42383168378438896</v>
      </c>
    </row>
    <row r="153" spans="1:89" x14ac:dyDescent="0.25">
      <c r="A153" t="s">
        <v>182</v>
      </c>
      <c r="B153" s="1">
        <f>B148-B150</f>
        <v>4.0485748185335133</v>
      </c>
      <c r="C153" t="s">
        <v>4</v>
      </c>
      <c r="D153" t="s">
        <v>183</v>
      </c>
      <c r="BC153">
        <v>2.6354471705114326</v>
      </c>
      <c r="BD153">
        <v>-72.126897251902449</v>
      </c>
      <c r="BE153">
        <v>22.878639324723789</v>
      </c>
      <c r="BF153" s="6">
        <f t="shared" si="101"/>
        <v>2.8344318397947768</v>
      </c>
      <c r="BG153" s="6">
        <f t="shared" si="102"/>
        <v>0.19898466928334413</v>
      </c>
      <c r="BH153" s="6">
        <f t="shared" si="103"/>
        <v>-0.47823734960243192</v>
      </c>
      <c r="BI153" s="6">
        <f t="shared" si="104"/>
        <v>0.47823734960243192</v>
      </c>
      <c r="BV153" s="38"/>
      <c r="BW153" s="6">
        <f t="shared" si="105"/>
        <v>2.4085543677521724</v>
      </c>
      <c r="BX153" s="9">
        <f t="shared" ca="1" si="109"/>
        <v>-147.12147388799795</v>
      </c>
      <c r="BY153" s="9">
        <f t="shared" ca="1" si="110"/>
        <v>51.905632162690466</v>
      </c>
      <c r="BZ153">
        <f t="shared" ca="1" si="111"/>
        <v>156.00936744050145</v>
      </c>
      <c r="CA153" s="6">
        <f t="shared" ca="1" si="112"/>
        <v>-0.94302974431395503</v>
      </c>
      <c r="CB153" s="6">
        <f t="shared" ca="1" si="113"/>
        <v>0.33270843292461999</v>
      </c>
      <c r="CC153" s="6">
        <f t="shared" ca="1" si="114"/>
        <v>2.8024184735169047</v>
      </c>
      <c r="CD153" s="6">
        <f t="shared" ca="1" si="106"/>
        <v>4.9595190275045997E-2</v>
      </c>
      <c r="CE153" s="9">
        <f t="shared" ca="1" si="107"/>
        <v>-69.728455217176148</v>
      </c>
      <c r="CF153" s="9">
        <f t="shared" ca="1" si="108"/>
        <v>26.107959272416533</v>
      </c>
      <c r="CG153">
        <f t="shared" ca="1" si="115"/>
        <v>74.455913159022501</v>
      </c>
      <c r="CH153">
        <f t="shared" ca="1" si="116"/>
        <v>-0.93650661524022305</v>
      </c>
      <c r="CI153">
        <f t="shared" ca="1" si="117"/>
        <v>0.35064991032552789</v>
      </c>
      <c r="CJ153">
        <f t="shared" ca="1" si="118"/>
        <v>2.7833276670044551</v>
      </c>
      <c r="CK153" s="38">
        <f t="shared" ca="1" si="119"/>
        <v>0.42713317681211027</v>
      </c>
    </row>
    <row r="154" spans="1:89" x14ac:dyDescent="0.25">
      <c r="BC154">
        <v>2.6529004630313757</v>
      </c>
      <c r="BD154">
        <v>-72.332805584460431</v>
      </c>
      <c r="BE154">
        <v>22.534183568299021</v>
      </c>
      <c r="BF154" s="6">
        <f t="shared" si="101"/>
        <v>2.8395873869702712</v>
      </c>
      <c r="BG154" s="6">
        <f t="shared" si="102"/>
        <v>0.18668692393889552</v>
      </c>
      <c r="BH154" s="6">
        <f t="shared" si="103"/>
        <v>-0.48339289677792646</v>
      </c>
      <c r="BI154" s="6">
        <f t="shared" si="104"/>
        <v>0.48339289677792646</v>
      </c>
      <c r="BV154" s="38"/>
      <c r="BW154" s="6">
        <f t="shared" si="105"/>
        <v>2.4260076602721155</v>
      </c>
      <c r="BX154" s="9">
        <f t="shared" ca="1" si="109"/>
        <v>-147.30092506158601</v>
      </c>
      <c r="BY154" s="9">
        <f t="shared" ca="1" si="110"/>
        <v>51.706808696950844</v>
      </c>
      <c r="BZ154">
        <f t="shared" ca="1" si="111"/>
        <v>156.11264071055248</v>
      </c>
      <c r="CA154" s="6">
        <f t="shared" ca="1" si="112"/>
        <v>-0.94355539942915823</v>
      </c>
      <c r="CB154" s="6">
        <f t="shared" ca="1" si="113"/>
        <v>0.33121474636266085</v>
      </c>
      <c r="CC154" s="6">
        <f t="shared" ca="1" si="114"/>
        <v>2.8040019549248925</v>
      </c>
      <c r="CD154" s="6">
        <f t="shared" ca="1" si="106"/>
        <v>5.1178671683033805E-2</v>
      </c>
      <c r="CE154" s="9">
        <f t="shared" ca="1" si="107"/>
        <v>-69.907906390764211</v>
      </c>
      <c r="CF154" s="9">
        <f t="shared" ca="1" si="108"/>
        <v>25.909135806676911</v>
      </c>
      <c r="CG154">
        <f t="shared" ca="1" si="115"/>
        <v>74.554669164235975</v>
      </c>
      <c r="CH154">
        <f t="shared" ca="1" si="116"/>
        <v>-0.93767308170551411</v>
      </c>
      <c r="CI154">
        <f t="shared" ca="1" si="117"/>
        <v>0.34751862086064456</v>
      </c>
      <c r="CJ154">
        <f t="shared" ca="1" si="118"/>
        <v>2.7866691678823248</v>
      </c>
      <c r="CK154" s="38">
        <f t="shared" ca="1" si="119"/>
        <v>0.43047467768997993</v>
      </c>
    </row>
    <row r="155" spans="1:89" x14ac:dyDescent="0.25">
      <c r="A155" t="s">
        <v>184</v>
      </c>
      <c r="BC155">
        <v>2.6703537555513188</v>
      </c>
      <c r="BD155">
        <v>-72.544931026521454</v>
      </c>
      <c r="BE155">
        <v>22.166375839798594</v>
      </c>
      <c r="BF155" s="6">
        <f t="shared" si="101"/>
        <v>2.8450484943696299</v>
      </c>
      <c r="BG155" s="6">
        <f t="shared" si="102"/>
        <v>0.1746947388183111</v>
      </c>
      <c r="BH155" s="6">
        <f t="shared" si="103"/>
        <v>-0.48885400417728514</v>
      </c>
      <c r="BI155" s="6">
        <f t="shared" si="104"/>
        <v>0.48885400417728514</v>
      </c>
      <c r="BV155" s="38"/>
      <c r="BW155" s="6">
        <f t="shared" si="105"/>
        <v>2.4434609527920585</v>
      </c>
      <c r="BX155" s="9">
        <f t="shared" ca="1" si="109"/>
        <v>-147.47953508441839</v>
      </c>
      <c r="BY155" s="9">
        <f t="shared" ca="1" si="110"/>
        <v>51.502984913090245</v>
      </c>
      <c r="BZ155">
        <f t="shared" ca="1" si="111"/>
        <v>156.2138621367329</v>
      </c>
      <c r="CA155" s="6">
        <f t="shared" ca="1" si="112"/>
        <v>-0.94408737526334618</v>
      </c>
      <c r="CB155" s="6">
        <f t="shared" ca="1" si="113"/>
        <v>0.32969535615226031</v>
      </c>
      <c r="CC155" s="6">
        <f t="shared" ca="1" si="114"/>
        <v>2.8056117826980711</v>
      </c>
      <c r="CD155" s="6">
        <f t="shared" ca="1" si="106"/>
        <v>5.2788499456212445E-2</v>
      </c>
      <c r="CE155" s="9">
        <f t="shared" ca="1" si="107"/>
        <v>-70.086516413596584</v>
      </c>
      <c r="CF155" s="9">
        <f t="shared" ca="1" si="108"/>
        <v>25.705312022816312</v>
      </c>
      <c r="CG155">
        <f t="shared" ca="1" si="115"/>
        <v>74.651743778586237</v>
      </c>
      <c r="CH155">
        <f t="shared" ca="1" si="116"/>
        <v>-0.93884633989890554</v>
      </c>
      <c r="CI155">
        <f t="shared" ca="1" si="117"/>
        <v>0.34433639084248491</v>
      </c>
      <c r="CJ155">
        <f t="shared" ca="1" si="118"/>
        <v>2.790060794881815</v>
      </c>
      <c r="CK155" s="38">
        <f t="shared" ca="1" si="119"/>
        <v>0.43386630468947018</v>
      </c>
    </row>
    <row r="156" spans="1:89" x14ac:dyDescent="0.25">
      <c r="B156" t="str">
        <f>B48</f>
        <v>xi (in)</v>
      </c>
      <c r="C156" t="str">
        <f t="shared" ref="C156:E156" si="120">C48</f>
        <v>yi (in)</v>
      </c>
      <c r="D156" t="str">
        <f t="shared" si="120"/>
        <v>xj (in)</v>
      </c>
      <c r="E156" t="str">
        <f t="shared" si="120"/>
        <v>yj (in)</v>
      </c>
      <c r="F156" s="1" t="s">
        <v>190</v>
      </c>
      <c r="G156" s="1" t="s">
        <v>191</v>
      </c>
      <c r="H156" s="1" t="s">
        <v>185</v>
      </c>
      <c r="I156" s="1" t="s">
        <v>186</v>
      </c>
      <c r="J156" s="1" t="s">
        <v>187</v>
      </c>
      <c r="K156" s="1" t="s">
        <v>188</v>
      </c>
      <c r="M156" s="1" t="s">
        <v>99</v>
      </c>
      <c r="N156" s="1" t="s">
        <v>100</v>
      </c>
      <c r="O156" s="1" t="s">
        <v>101</v>
      </c>
      <c r="P156" t="s">
        <v>192</v>
      </c>
      <c r="AB156" t="s">
        <v>193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-72.764144719879354</v>
      </c>
      <c r="BE156">
        <v>21.77204065629174</v>
      </c>
      <c r="BF156" s="6">
        <f t="shared" ref="BF156:BF157" si="121">IF(BC156&lt;&gt;"",IF(AND(BD156=0,BE156=0),0,MOD(ATAN2(BD156,BE156),2*PI())),NA())</f>
        <v>2.8508572438615465</v>
      </c>
      <c r="BG156" s="6">
        <f t="shared" ref="BG156:BG157" si="122">ABS(BC156-BF156)</f>
        <v>0.16305019579028457</v>
      </c>
      <c r="BH156" s="6">
        <f t="shared" ref="BH156:BH157" si="123">ATAN2(COS($U$13-BF156),SIN($U$13-BF156))</f>
        <v>-0.49466275366920165</v>
      </c>
      <c r="BI156" s="6">
        <f t="shared" ref="BI156:BI157" si="124">ABS(BH156)</f>
        <v>0.49466275366920165</v>
      </c>
      <c r="BV156" s="38"/>
      <c r="BW156" s="6">
        <f t="shared" si="105"/>
        <v>2.4609142453120016</v>
      </c>
      <c r="BX156" s="9">
        <f t="shared" ca="1" si="109"/>
        <v>-147.65774667811158</v>
      </c>
      <c r="BY156" s="9">
        <f t="shared" ca="1" si="110"/>
        <v>51.293480192618588</v>
      </c>
      <c r="BZ156">
        <f t="shared" ca="1" si="111"/>
        <v>156.31324724516449</v>
      </c>
      <c r="CA156" s="6">
        <f t="shared" ca="1" si="112"/>
        <v>-0.9446272102998573</v>
      </c>
      <c r="CB156" s="6">
        <f t="shared" ca="1" si="113"/>
        <v>0.32814544574183774</v>
      </c>
      <c r="CC156" s="6">
        <f t="shared" ca="1" si="114"/>
        <v>2.8072530153907822</v>
      </c>
      <c r="CD156" s="6">
        <f t="shared" ca="1" si="106"/>
        <v>5.4429732148923549E-2</v>
      </c>
      <c r="CE156" s="9">
        <f t="shared" ca="1" si="107"/>
        <v>-70.264728007289776</v>
      </c>
      <c r="CF156" s="9">
        <f t="shared" ca="1" si="108"/>
        <v>25.495807302344655</v>
      </c>
      <c r="CG156">
        <f t="shared" ca="1" si="115"/>
        <v>74.747362441337714</v>
      </c>
      <c r="CH156">
        <f t="shared" ca="1" si="116"/>
        <v>-0.94002953030528746</v>
      </c>
      <c r="CI156">
        <f t="shared" ca="1" si="117"/>
        <v>0.34109306963645647</v>
      </c>
      <c r="CJ156">
        <f t="shared" ca="1" si="118"/>
        <v>2.7935131974976666</v>
      </c>
      <c r="CK156" s="38">
        <f t="shared" ca="1" si="119"/>
        <v>0.43731870730532174</v>
      </c>
    </row>
    <row r="157" spans="1:89" x14ac:dyDescent="0.25">
      <c r="A157" s="1" t="s">
        <v>43</v>
      </c>
      <c r="B157" s="1">
        <f t="shared" ref="B157:E157" si="125">B49</f>
        <v>-11.027972763528604</v>
      </c>
      <c r="C157" s="1">
        <f t="shared" si="125"/>
        <v>7.6409303574153373</v>
      </c>
      <c r="D157" s="1">
        <f t="shared" si="125"/>
        <v>-12.729527944049432</v>
      </c>
      <c r="E157" s="1">
        <f t="shared" si="125"/>
        <v>-4.2378199963736805</v>
      </c>
      <c r="F157" s="6">
        <f>IF(E157-C157=0,0,MIN(MAX(($B$152-C157)/(E157-C157),0),1))</f>
        <v>9.2110888107882066E-2</v>
      </c>
      <c r="G157" s="6">
        <f>IF(E157-C157=0,0,MIN(MAX(($B$153-C157)/(E157-C157),0),1))</f>
        <v>0.30241864100931748</v>
      </c>
      <c r="H157" s="1">
        <f>IF(AND(F157=0,G157=0),0,IF(C157&gt;E157,B157+(F157*(D157-B157)),B157+(G157*(D157-B157))))</f>
        <v>-11.184704522370945</v>
      </c>
      <c r="I157" s="1">
        <f>IF(AND(F157=0,G157=0),0,IF(C157&gt;E157,C157+(F157*(E157-C157)),C157+(G157*(E157-C157))))</f>
        <v>6.5467681127160127</v>
      </c>
      <c r="J157">
        <f>IF(AND(F157=0,G157=0),0,IF(C157&gt;E157,B157+(G157*(D157-B157)),B157+(F157*(D157-B157))))</f>
        <v>-11.542554768824077</v>
      </c>
      <c r="K157">
        <f>IF(AND(F157=0,G157=0),0,IF(C157&gt;E157,C157+(G157*(E157-C157)),C157+(F157*(E157-C157))))</f>
        <v>4.0485748185335133</v>
      </c>
      <c r="M157" s="9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80117.588645285636</v>
      </c>
      <c r="N157" s="9">
        <f>((1/(1200*$B$150*$B$150))*17*$B$143*$B$147*(I157-K157))*Z157</f>
        <v>449079.60442316782</v>
      </c>
      <c r="O157" s="9">
        <f>((1/(1200*$B$150*$B$150))*17*$B$143*$B$147*(I157-K157))*AW157</f>
        <v>-453448.33070392802</v>
      </c>
      <c r="P157">
        <f t="shared" ref="P157:P164" si="126">((2*I157*I157)*((5*$B$150*($B$147-1))+(3*$B$147*K157)-(5*$B$147*$B$148)))</f>
        <v>-2537.7789792884619</v>
      </c>
      <c r="Q157">
        <f>(I157)*((20*K157)*(($B$150*($B$147-1))-($B$147*$B$148))+((10*($B$150-$B$148))*(($B$150*($B$147-2))-($B$147*$B$148)))+(9*$B$147*K157*K157))</f>
        <v>-154.30662480814749</v>
      </c>
      <c r="R157">
        <f t="shared" ref="R157:R164" si="127">(2*K157)*((15*K157)*(($B$150*($B$147-1))-($B$147*$B$148))+((10*($B$150-$B$148))*(($B$150*($B$147-2))-($B$147*$B$148)))+(6*$B$147*K157*K157))</f>
        <v>779.67044144797853</v>
      </c>
      <c r="S157">
        <f t="shared" ref="S157:S164" si="128">3*$B$147*I157*I157*I157</f>
        <v>1210.4738295327095</v>
      </c>
      <c r="T157" s="54">
        <f>J157*(SUM(P157:S157))</f>
        <v>8102.1962819919045</v>
      </c>
      <c r="U157" s="55">
        <f t="shared" ref="U157:U164" si="129">(I157*I157)*((30*$B$150*($B$147-1))+(9*$B$147*K157)-(30*$B$147*$B$148))</f>
        <v>-9859.0376165962407</v>
      </c>
      <c r="V157" s="55">
        <f t="shared" ref="V157:V164" si="130">I157*(((20*K157)*(($B$150*($B$147-1))-($B$147*$B$148)))+(20*($B$150-$B$148)*(($B$150*($B$147-2))-($B$147*$B$148)))+(6*$B$147*K157*K157))</f>
        <v>2830.1532054211616</v>
      </c>
      <c r="W157" s="55">
        <f t="shared" ref="W157:W164" si="131">K157*(((10*K157)*(($B$150*($B$147-1))-($B$147*$B$148)))+(10*($B$150-$B$148)*(($B$150*($B$147-2))-($B$147*$B$148)))+(3*$B$147*K157*K157))</f>
        <v>875.09491727716647</v>
      </c>
      <c r="X157" s="55">
        <f t="shared" ref="X157:X164" si="132">12*$B$147*I157*I157*I157</f>
        <v>4841.8953181308379</v>
      </c>
      <c r="Y157" s="54">
        <f t="shared" ref="Y157:Y164" si="133">H157*SUM(U157:X157)</f>
        <v>14673.148720574101</v>
      </c>
      <c r="Z157" s="54">
        <f t="shared" ref="Z157:Z164" si="134">T157+Y157</f>
        <v>22775.345002566006</v>
      </c>
      <c r="AB157">
        <f>(3*I157)*(((5*$B$150)*($B$147-1))+($B$147*K157)-(5*$B$147*$B$148))</f>
        <v>-810.14054010123027</v>
      </c>
      <c r="AC157">
        <f>(10*($B$150-$B$148))*(($B$150*($B$147-2))-($B$147*$B$148))</f>
        <v>526.57733484676032</v>
      </c>
      <c r="AD157">
        <f>(5*K157)*(($B$150*($B$147-1))-($B$147*$B$148))</f>
        <v>-190.56906655369841</v>
      </c>
      <c r="AE157">
        <f>6*$B$147*I157*I157</f>
        <v>369.79279201337971</v>
      </c>
      <c r="AF157">
        <f>$B$147*K157*K157</f>
        <v>23.569893136803344</v>
      </c>
      <c r="AG157">
        <f>SUM(AB157:AF157)</f>
        <v>-80.7695866579853</v>
      </c>
      <c r="AH157" s="52">
        <f>AG157*H157*H157</f>
        <v>-10104.082675863896</v>
      </c>
      <c r="AI157">
        <f>(2*I157)*(((5*$B$150)*($B$147-1))+(2*$B$147*K157)-(5*$B$147*$B$148))</f>
        <v>-463.86606677934083</v>
      </c>
      <c r="AJ157">
        <f>(10*($B$150-$B$148))*(($B$150*($B$147-2))-($B$147*$B$148))</f>
        <v>526.57733484676032</v>
      </c>
      <c r="AK157">
        <f>(10*K157)*(($B$150*($B$147-1))-($B$147*$B$148))</f>
        <v>-381.13813310739681</v>
      </c>
      <c r="AL157">
        <f>3*$B$147*I157*I157</f>
        <v>184.89639600668986</v>
      </c>
      <c r="AM157">
        <f>3*$B$147*K157*K157</f>
        <v>70.709679410410033</v>
      </c>
      <c r="AN157">
        <f>SUM(AI157:AM157)</f>
        <v>-62.820789622877427</v>
      </c>
      <c r="AO157" s="52">
        <f>(H157*J157)*AN157</f>
        <v>-8110.1679936729606</v>
      </c>
      <c r="AP157">
        <f>(I157)*(((5*$B$150)*($B$147-1))+(3*$B$147*K157)-(5*$B$147*$B$148))</f>
        <v>-193.81922007893073</v>
      </c>
      <c r="AQ157">
        <f>(10*($B$150-$B$148))*(($B$150*($B$147-2))-($B$147*$B$148))</f>
        <v>526.57733484676032</v>
      </c>
      <c r="AR157">
        <f>(15*K157)*(($B$150*($B$147-1))-($B$147*$B$148))</f>
        <v>-571.70719966109527</v>
      </c>
      <c r="AS157">
        <f>$B$147*I157*I157</f>
        <v>61.632132002229952</v>
      </c>
      <c r="AT157">
        <f>6*$B$147*K157*K157</f>
        <v>141.41935882082007</v>
      </c>
      <c r="AU157">
        <f>SUM(AP157:AT157)</f>
        <v>-35.897594070215632</v>
      </c>
      <c r="AV157" s="52">
        <f>(J157*J157)*AU157</f>
        <v>-4782.6569408298201</v>
      </c>
      <c r="AW157" s="52">
        <f>AH157+AO157+AV157</f>
        <v>-22996.907610366678</v>
      </c>
      <c r="BA157"/>
      <c r="BC157">
        <v>2.705260340591205</v>
      </c>
      <c r="BD157">
        <v>-72.991420929878217</v>
      </c>
      <c r="BE157">
        <v>21.347459503987643</v>
      </c>
      <c r="BF157" s="6">
        <f t="shared" si="121"/>
        <v>2.8570626607467067</v>
      </c>
      <c r="BG157" s="6">
        <f t="shared" si="122"/>
        <v>0.15180232015550166</v>
      </c>
      <c r="BH157" s="6">
        <f t="shared" si="123"/>
        <v>-0.50086817055436184</v>
      </c>
      <c r="BI157" s="6">
        <f t="shared" si="124"/>
        <v>0.50086817055436184</v>
      </c>
      <c r="BV157" s="38"/>
      <c r="BW157" s="6">
        <f t="shared" si="105"/>
        <v>2.4783675378319447</v>
      </c>
      <c r="BX157" s="9">
        <f t="shared" ca="1" si="109"/>
        <v>-147.83600074158883</v>
      </c>
      <c r="BY157" s="9">
        <f t="shared" ca="1" si="110"/>
        <v>51.077553650627081</v>
      </c>
      <c r="BZ157">
        <f t="shared" ca="1" si="111"/>
        <v>156.41099578418311</v>
      </c>
      <c r="CA157" s="6">
        <f t="shared" ca="1" si="112"/>
        <v>-0.94517652036161115</v>
      </c>
      <c r="CB157" s="6">
        <f t="shared" ca="1" si="113"/>
        <v>0.32655986489021666</v>
      </c>
      <c r="CC157" s="6">
        <f t="shared" ca="1" si="114"/>
        <v>2.8089310525899238</v>
      </c>
      <c r="CD157" s="6">
        <f t="shared" ca="1" si="106"/>
        <v>5.6107769348065162E-2</v>
      </c>
      <c r="CE157" s="9">
        <f t="shared" ca="1" si="107"/>
        <v>-70.44298207076703</v>
      </c>
      <c r="CF157" s="9">
        <f t="shared" ca="1" si="108"/>
        <v>25.279880760353148</v>
      </c>
      <c r="CG157">
        <f t="shared" ca="1" si="115"/>
        <v>74.84174032102726</v>
      </c>
      <c r="CH157">
        <f t="shared" ca="1" si="116"/>
        <v>-0.94122586899513383</v>
      </c>
      <c r="CI157">
        <f t="shared" ca="1" si="117"/>
        <v>0.33777783162066055</v>
      </c>
      <c r="CJ157">
        <f t="shared" ca="1" si="118"/>
        <v>2.7970376892654429</v>
      </c>
      <c r="CK157" s="38">
        <f t="shared" ca="1" si="119"/>
        <v>0.4408431990730981</v>
      </c>
    </row>
    <row r="158" spans="1:89" x14ac:dyDescent="0.25">
      <c r="A158" s="1" t="s">
        <v>44</v>
      </c>
      <c r="B158" s="1">
        <f t="shared" ref="B158:E158" si="135">B50</f>
        <v>-12.729527944049432</v>
      </c>
      <c r="C158" s="1">
        <f t="shared" si="135"/>
        <v>-4.2378199963736805</v>
      </c>
      <c r="D158" s="1">
        <f t="shared" si="135"/>
        <v>3.1088058610025913</v>
      </c>
      <c r="E158" s="1">
        <f t="shared" si="135"/>
        <v>-6.5065602370681184</v>
      </c>
      <c r="F158" s="6">
        <f t="shared" ref="F158:F164" si="136">IF(E158-C158=0,0,MIN(MAX(($B$152-C158)/(E158-C158),0),1))</f>
        <v>0</v>
      </c>
      <c r="G158" s="6">
        <f t="shared" ref="G158:G164" si="137">IF(E158-C158=0,0,MIN(MAX(($B$153-C158)/(E158-C158),0),1))</f>
        <v>0</v>
      </c>
      <c r="H158" s="1">
        <f t="shared" ref="H158:H164" si="138">IF(AND(F158=0,G158=0),0,IF(C158&gt;E158,B158+(F158*(D158-B158)),B158+(G158*(D158-B158))))</f>
        <v>0</v>
      </c>
      <c r="I158" s="1">
        <f t="shared" ref="I158:I164" si="139">IF(AND(F158=0,G158=0),0,IF(C158&gt;E158,C158+(F158*(E158-C158)),C158+(G158*(E158-C158))))</f>
        <v>0</v>
      </c>
      <c r="J158">
        <f t="shared" ref="J158:J164" si="140">IF(AND(F158=0,G158=0),0,IF(C158&gt;E158,B158+(G158*(D158-B158)),B158+(F158*(D158-B158))))</f>
        <v>0</v>
      </c>
      <c r="K158">
        <f t="shared" ref="K158:K164" si="141">IF(AND(F158=0,G158=0),0,IF(C158&gt;E158,C158+(G158*(E158-C158)),C158+(F158*(E158-C158))))</f>
        <v>0</v>
      </c>
      <c r="M158" s="9">
        <f t="shared" ref="M158:M164" si="142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9">
        <f t="shared" ref="N158:N164" si="143">((1/(1200*$B$150*$B$150))*17*$B$143*$B$147*(I158-K158))*Z158</f>
        <v>0</v>
      </c>
      <c r="O158" s="9">
        <f t="shared" ref="O158:O164" si="144">((1/(1200*$B$150*$B$150))*17*$B$143*$B$147*(I158-K158))*AW158</f>
        <v>0</v>
      </c>
      <c r="P158">
        <f t="shared" si="126"/>
        <v>0</v>
      </c>
      <c r="Q158">
        <f t="shared" ref="Q158:Q164" si="145">(I158)*((20*K158)*(($B$150*($B$147-1))-($B$147*$B$148))+((10*($B$150-$B$148))*(($B$150*($B$147-2))-($B$147*$B$148)))+(9*$B$147*K158*K158))</f>
        <v>0</v>
      </c>
      <c r="R158">
        <f t="shared" si="127"/>
        <v>0</v>
      </c>
      <c r="S158">
        <f t="shared" si="128"/>
        <v>0</v>
      </c>
      <c r="T158" s="54">
        <f t="shared" ref="T158:T164" si="146">J158*(SUM(P158:S158))</f>
        <v>0</v>
      </c>
      <c r="U158" s="55">
        <f t="shared" si="129"/>
        <v>0</v>
      </c>
      <c r="V158" s="55">
        <f t="shared" si="130"/>
        <v>0</v>
      </c>
      <c r="W158" s="55">
        <f t="shared" si="131"/>
        <v>0</v>
      </c>
      <c r="X158" s="55">
        <f t="shared" si="132"/>
        <v>0</v>
      </c>
      <c r="Y158" s="54">
        <f t="shared" si="133"/>
        <v>0</v>
      </c>
      <c r="Z158" s="54">
        <f t="shared" si="134"/>
        <v>0</v>
      </c>
      <c r="AB158">
        <f t="shared" ref="AB158:AB164" si="147">(3*I158)*(((5*$B$150)*($B$147-1))+($B$147*K158)-(5*$B$147*$B$148))</f>
        <v>0</v>
      </c>
      <c r="AC158">
        <f t="shared" ref="AC158:AC164" si="148">(10*($B$150-$B$148))*(($B$150*($B$147-2))-($B$147*$B$148))</f>
        <v>526.57733484676032</v>
      </c>
      <c r="AD158">
        <f t="shared" ref="AD158:AD164" si="149">(5*K158)*(($B$150*($B$147-1))-($B$147*$B$148))</f>
        <v>0</v>
      </c>
      <c r="AE158">
        <f t="shared" ref="AE158:AE164" si="150">6*$B$147*I158*I158</f>
        <v>0</v>
      </c>
      <c r="AF158">
        <f t="shared" ref="AF158:AF164" si="151">$B$147*K158*K158</f>
        <v>0</v>
      </c>
      <c r="AG158">
        <f t="shared" ref="AG158:AG164" si="152">SUM(AB158:AF158)</f>
        <v>526.57733484676032</v>
      </c>
      <c r="AH158" s="52">
        <f t="shared" ref="AH158:AH164" si="153">AG158*H158*H158</f>
        <v>0</v>
      </c>
      <c r="AI158">
        <f t="shared" ref="AI158:AI164" si="154">(2*I158)*(((5*$B$150)*($B$147-1))+(2*$B$147*K158)-(5*$B$147*$B$148))</f>
        <v>0</v>
      </c>
      <c r="AJ158">
        <f t="shared" ref="AJ158:AJ164" si="155">(10*($B$150-$B$148))*(($B$150*($B$147-2))-($B$147*$B$148))</f>
        <v>526.57733484676032</v>
      </c>
      <c r="AK158">
        <f t="shared" ref="AK158:AK164" si="156">(10*K158)*(($B$150*($B$147-1))-($B$147*$B$148))</f>
        <v>0</v>
      </c>
      <c r="AL158">
        <f t="shared" ref="AL158:AL164" si="157">3*$B$147*I158*I158</f>
        <v>0</v>
      </c>
      <c r="AM158">
        <f t="shared" ref="AM158:AM164" si="158">3*$B$147*K158*K158</f>
        <v>0</v>
      </c>
      <c r="AN158">
        <f t="shared" ref="AN158:AN164" si="159">SUM(AI158:AM158)</f>
        <v>526.57733484676032</v>
      </c>
      <c r="AO158" s="52">
        <f t="shared" ref="AO158:AO164" si="160">(H158*J158)*AN158</f>
        <v>0</v>
      </c>
      <c r="AP158">
        <f t="shared" ref="AP158:AP164" si="161">(I158)*(((5*$B$150)*($B$147-1))+(3*$B$147*K158)-(5*$B$147*$B$148))</f>
        <v>0</v>
      </c>
      <c r="AQ158">
        <f t="shared" ref="AQ158:AQ164" si="162">(10*($B$150-$B$148))*(($B$150*($B$147-2))-($B$147*$B$148))</f>
        <v>526.57733484676032</v>
      </c>
      <c r="AR158">
        <f t="shared" ref="AR158:AR164" si="163">(15*K158)*(($B$150*($B$147-1))-($B$147*$B$148))</f>
        <v>0</v>
      </c>
      <c r="AS158">
        <f t="shared" ref="AS158:AS164" si="164">$B$147*I158*I158</f>
        <v>0</v>
      </c>
      <c r="AT158">
        <f t="shared" ref="AT158:AT164" si="165">6*$B$147*K158*K158</f>
        <v>0</v>
      </c>
      <c r="AU158">
        <f t="shared" ref="AU158:AU164" si="166">SUM(AP158:AT158)</f>
        <v>526.57733484676032</v>
      </c>
      <c r="AV158" s="52">
        <f t="shared" ref="AV158:AV164" si="167">(J158*J158)*AU158</f>
        <v>0</v>
      </c>
      <c r="AW158" s="52">
        <f t="shared" ref="AW158:AW164" si="168">AH158+AO158+AV158</f>
        <v>0</v>
      </c>
      <c r="BC158">
        <v>2.7227136331111481</v>
      </c>
      <c r="BD158">
        <v>-73.227857452755373</v>
      </c>
      <c r="BE158">
        <v>20.888250131683694</v>
      </c>
      <c r="BF158" s="6">
        <f t="shared" ref="BF158:BF194" si="169">IF(BC158&lt;&gt;"",IF(AND(BD158=0,BE158=0),0,MOD(ATAN2(BD158,BE158),2*PI())),NA())</f>
        <v>2.8637222445877306</v>
      </c>
      <c r="BG158" s="6">
        <f t="shared" ref="BG158:BG194" si="170">ABS(BC158-BF158)</f>
        <v>0.1410086114765825</v>
      </c>
      <c r="BH158" s="6">
        <f t="shared" ref="BH158:BH194" si="171">ATAN2(COS($U$13-BF158),SIN($U$13-BF158))</f>
        <v>-0.50752775439538578</v>
      </c>
      <c r="BI158" s="6">
        <f t="shared" ref="BI158:BI194" si="172">ABS(BH158)</f>
        <v>0.50752775439538578</v>
      </c>
      <c r="BV158" s="38"/>
      <c r="BW158" s="6">
        <f t="shared" si="105"/>
        <v>2.4958208303518878</v>
      </c>
      <c r="BX158" s="9">
        <f t="shared" ca="1" si="109"/>
        <v>-148.01474064468366</v>
      </c>
      <c r="BY158" s="9">
        <f t="shared" ca="1" si="110"/>
        <v>50.854393849477837</v>
      </c>
      <c r="BZ158">
        <f t="shared" ca="1" si="111"/>
        <v>156.50729319079917</v>
      </c>
      <c r="CA158" s="6">
        <f t="shared" ca="1" si="112"/>
        <v>-0.94573701727904658</v>
      </c>
      <c r="CB158" s="6">
        <f t="shared" ca="1" si="113"/>
        <v>0.324933061026625</v>
      </c>
      <c r="CC158" s="6">
        <f t="shared" ca="1" si="114"/>
        <v>2.8106517060516949</v>
      </c>
      <c r="CD158" s="6">
        <f t="shared" ca="1" si="106"/>
        <v>5.7828422809836244E-2</v>
      </c>
      <c r="CE158" s="9">
        <f t="shared" ca="1" si="107"/>
        <v>-70.621721973861852</v>
      </c>
      <c r="CF158" s="9">
        <f t="shared" ca="1" si="108"/>
        <v>25.056720959203904</v>
      </c>
      <c r="CG158">
        <f t="shared" ca="1" si="115"/>
        <v>74.935084438338023</v>
      </c>
      <c r="CH158">
        <f t="shared" ca="1" si="116"/>
        <v>-0.94243867880037535</v>
      </c>
      <c r="CI158">
        <f t="shared" ca="1" si="117"/>
        <v>0.33437903149121523</v>
      </c>
      <c r="CJ158">
        <f t="shared" ca="1" si="118"/>
        <v>2.8006463959695544</v>
      </c>
      <c r="CK158" s="38">
        <f t="shared" ca="1" si="119"/>
        <v>0.44445190577720961</v>
      </c>
    </row>
    <row r="159" spans="1:89" x14ac:dyDescent="0.25">
      <c r="A159" s="1" t="s">
        <v>45</v>
      </c>
      <c r="B159" s="1">
        <f t="shared" ref="B159:E159" si="173">B51</f>
        <v>3.1088058610025913</v>
      </c>
      <c r="C159" s="1">
        <f t="shared" si="173"/>
        <v>-6.5065602370681184</v>
      </c>
      <c r="D159" s="1">
        <f t="shared" si="173"/>
        <v>3.1088058610025913</v>
      </c>
      <c r="E159" s="1">
        <f t="shared" si="173"/>
        <v>-6.5065602370681184</v>
      </c>
      <c r="F159" s="6">
        <f t="shared" si="136"/>
        <v>0</v>
      </c>
      <c r="G159" s="6">
        <f t="shared" si="137"/>
        <v>0</v>
      </c>
      <c r="H159" s="1">
        <f t="shared" si="138"/>
        <v>0</v>
      </c>
      <c r="I159" s="1">
        <f t="shared" si="139"/>
        <v>0</v>
      </c>
      <c r="J159">
        <f t="shared" si="140"/>
        <v>0</v>
      </c>
      <c r="K159">
        <f t="shared" si="141"/>
        <v>0</v>
      </c>
      <c r="M159" s="9">
        <f t="shared" si="142"/>
        <v>0</v>
      </c>
      <c r="N159" s="9">
        <f t="shared" si="143"/>
        <v>0</v>
      </c>
      <c r="O159" s="9">
        <f t="shared" si="144"/>
        <v>0</v>
      </c>
      <c r="P159">
        <f t="shared" si="126"/>
        <v>0</v>
      </c>
      <c r="Q159">
        <f t="shared" si="145"/>
        <v>0</v>
      </c>
      <c r="R159">
        <f t="shared" si="127"/>
        <v>0</v>
      </c>
      <c r="S159">
        <f t="shared" si="128"/>
        <v>0</v>
      </c>
      <c r="T159" s="54">
        <f t="shared" si="146"/>
        <v>0</v>
      </c>
      <c r="U159" s="55">
        <f t="shared" si="129"/>
        <v>0</v>
      </c>
      <c r="V159" s="55">
        <f t="shared" si="130"/>
        <v>0</v>
      </c>
      <c r="W159" s="55">
        <f t="shared" si="131"/>
        <v>0</v>
      </c>
      <c r="X159" s="55">
        <f t="shared" si="132"/>
        <v>0</v>
      </c>
      <c r="Y159" s="54">
        <f t="shared" si="133"/>
        <v>0</v>
      </c>
      <c r="Z159" s="54">
        <f t="shared" si="134"/>
        <v>0</v>
      </c>
      <c r="AB159">
        <f t="shared" si="147"/>
        <v>0</v>
      </c>
      <c r="AC159">
        <f t="shared" si="148"/>
        <v>526.57733484676032</v>
      </c>
      <c r="AD159">
        <f t="shared" si="149"/>
        <v>0</v>
      </c>
      <c r="AE159">
        <f t="shared" si="150"/>
        <v>0</v>
      </c>
      <c r="AF159">
        <f t="shared" si="151"/>
        <v>0</v>
      </c>
      <c r="AG159">
        <f t="shared" si="152"/>
        <v>526.57733484676032</v>
      </c>
      <c r="AH159" s="52">
        <f t="shared" si="153"/>
        <v>0</v>
      </c>
      <c r="AI159">
        <f t="shared" si="154"/>
        <v>0</v>
      </c>
      <c r="AJ159">
        <f t="shared" si="155"/>
        <v>526.57733484676032</v>
      </c>
      <c r="AK159">
        <f t="shared" si="156"/>
        <v>0</v>
      </c>
      <c r="AL159">
        <f t="shared" si="157"/>
        <v>0</v>
      </c>
      <c r="AM159">
        <f t="shared" si="158"/>
        <v>0</v>
      </c>
      <c r="AN159">
        <f t="shared" si="159"/>
        <v>526.57733484676032</v>
      </c>
      <c r="AO159" s="52">
        <f t="shared" si="160"/>
        <v>0</v>
      </c>
      <c r="AP159">
        <f t="shared" si="161"/>
        <v>0</v>
      </c>
      <c r="AQ159">
        <f t="shared" si="162"/>
        <v>526.57733484676032</v>
      </c>
      <c r="AR159">
        <f t="shared" si="163"/>
        <v>0</v>
      </c>
      <c r="AS159">
        <f t="shared" si="164"/>
        <v>0</v>
      </c>
      <c r="AT159">
        <f t="shared" si="165"/>
        <v>0</v>
      </c>
      <c r="AU159">
        <f t="shared" si="166"/>
        <v>526.57733484676032</v>
      </c>
      <c r="AV159" s="52">
        <f t="shared" si="167"/>
        <v>0</v>
      </c>
      <c r="AW159" s="52">
        <f t="shared" si="168"/>
        <v>0</v>
      </c>
      <c r="BC159">
        <v>2.7401669256310912</v>
      </c>
      <c r="BD159">
        <v>-73.474135909484048</v>
      </c>
      <c r="BE159">
        <v>20.390883280545161</v>
      </c>
      <c r="BF159" s="6">
        <f t="shared" si="169"/>
        <v>2.870880821228833</v>
      </c>
      <c r="BG159" s="6">
        <f t="shared" si="170"/>
        <v>0.13071389559774182</v>
      </c>
      <c r="BH159" s="6">
        <f t="shared" si="171"/>
        <v>-0.5146863310364882</v>
      </c>
      <c r="BI159" s="6">
        <f t="shared" si="172"/>
        <v>0.5146863310364882</v>
      </c>
      <c r="BV159" s="38"/>
      <c r="BW159" s="6">
        <f t="shared" si="105"/>
        <v>2.5132741228718309</v>
      </c>
      <c r="BX159" s="9">
        <f t="shared" ca="1" si="109"/>
        <v>-148.1944166112815</v>
      </c>
      <c r="BY159" s="9">
        <f t="shared" ca="1" si="110"/>
        <v>50.623106853439936</v>
      </c>
      <c r="BZ159">
        <f t="shared" ca="1" si="111"/>
        <v>156.60231180366677</v>
      </c>
      <c r="CA159" s="6">
        <f t="shared" ca="1" si="112"/>
        <v>-0.94631052954744188</v>
      </c>
      <c r="CB159" s="6">
        <f t="shared" ca="1" si="113"/>
        <v>0.32325900090738391</v>
      </c>
      <c r="CC159" s="6">
        <f t="shared" ca="1" si="114"/>
        <v>2.8124212806960571</v>
      </c>
      <c r="CD159" s="6">
        <f t="shared" ca="1" si="106"/>
        <v>5.959799745419847E-2</v>
      </c>
      <c r="CE159" s="9">
        <f t="shared" ca="1" si="107"/>
        <v>-70.801397940459694</v>
      </c>
      <c r="CF159" s="9">
        <f t="shared" ca="1" si="108"/>
        <v>24.825433963166002</v>
      </c>
      <c r="CG159">
        <f t="shared" ca="1" si="115"/>
        <v>75.027595735055016</v>
      </c>
      <c r="CH159">
        <f t="shared" ca="1" si="116"/>
        <v>-0.9436714217856681</v>
      </c>
      <c r="CI159">
        <f t="shared" ca="1" si="117"/>
        <v>0.33088403966497965</v>
      </c>
      <c r="CJ159">
        <f t="shared" ca="1" si="118"/>
        <v>2.8043524233376753</v>
      </c>
      <c r="CK159" s="38">
        <f t="shared" ca="1" si="119"/>
        <v>0.44815793314533048</v>
      </c>
    </row>
    <row r="160" spans="1:89" x14ac:dyDescent="0.25">
      <c r="A160" s="1" t="s">
        <v>46</v>
      </c>
      <c r="B160" s="1">
        <f t="shared" ref="B160:E160" si="174">B52</f>
        <v>3.1088058610025913</v>
      </c>
      <c r="C160" s="1">
        <f t="shared" si="174"/>
        <v>-6.5065602370681184</v>
      </c>
      <c r="D160" s="1">
        <f t="shared" si="174"/>
        <v>11.027972763528604</v>
      </c>
      <c r="E160" s="1">
        <f t="shared" si="174"/>
        <v>-7.6409303574153373</v>
      </c>
      <c r="F160" s="6">
        <f t="shared" si="136"/>
        <v>0</v>
      </c>
      <c r="G160" s="6">
        <f t="shared" si="137"/>
        <v>0</v>
      </c>
      <c r="H160" s="1">
        <f t="shared" si="138"/>
        <v>0</v>
      </c>
      <c r="I160" s="1">
        <f t="shared" si="139"/>
        <v>0</v>
      </c>
      <c r="J160">
        <f t="shared" si="140"/>
        <v>0</v>
      </c>
      <c r="K160">
        <f t="shared" si="141"/>
        <v>0</v>
      </c>
      <c r="M160" s="9">
        <f t="shared" si="142"/>
        <v>0</v>
      </c>
      <c r="N160" s="9">
        <f t="shared" si="143"/>
        <v>0</v>
      </c>
      <c r="O160" s="9">
        <f t="shared" si="144"/>
        <v>0</v>
      </c>
      <c r="P160">
        <f t="shared" si="126"/>
        <v>0</v>
      </c>
      <c r="Q160">
        <f t="shared" si="145"/>
        <v>0</v>
      </c>
      <c r="R160">
        <f t="shared" si="127"/>
        <v>0</v>
      </c>
      <c r="S160">
        <f t="shared" si="128"/>
        <v>0</v>
      </c>
      <c r="T160" s="54">
        <f t="shared" si="146"/>
        <v>0</v>
      </c>
      <c r="U160" s="55">
        <f t="shared" si="129"/>
        <v>0</v>
      </c>
      <c r="V160" s="55">
        <f t="shared" si="130"/>
        <v>0</v>
      </c>
      <c r="W160" s="55">
        <f t="shared" si="131"/>
        <v>0</v>
      </c>
      <c r="X160" s="55">
        <f t="shared" si="132"/>
        <v>0</v>
      </c>
      <c r="Y160" s="54">
        <f t="shared" si="133"/>
        <v>0</v>
      </c>
      <c r="Z160" s="54">
        <f t="shared" si="134"/>
        <v>0</v>
      </c>
      <c r="AB160">
        <f t="shared" si="147"/>
        <v>0</v>
      </c>
      <c r="AC160">
        <f t="shared" si="148"/>
        <v>526.57733484676032</v>
      </c>
      <c r="AD160">
        <f t="shared" si="149"/>
        <v>0</v>
      </c>
      <c r="AE160">
        <f t="shared" si="150"/>
        <v>0</v>
      </c>
      <c r="AF160">
        <f t="shared" si="151"/>
        <v>0</v>
      </c>
      <c r="AG160">
        <f t="shared" si="152"/>
        <v>526.57733484676032</v>
      </c>
      <c r="AH160" s="52">
        <f t="shared" si="153"/>
        <v>0</v>
      </c>
      <c r="AI160">
        <f t="shared" si="154"/>
        <v>0</v>
      </c>
      <c r="AJ160">
        <f t="shared" si="155"/>
        <v>526.57733484676032</v>
      </c>
      <c r="AK160">
        <f t="shared" si="156"/>
        <v>0</v>
      </c>
      <c r="AL160">
        <f t="shared" si="157"/>
        <v>0</v>
      </c>
      <c r="AM160">
        <f t="shared" si="158"/>
        <v>0</v>
      </c>
      <c r="AN160">
        <f t="shared" si="159"/>
        <v>526.57733484676032</v>
      </c>
      <c r="AO160" s="52">
        <f t="shared" si="160"/>
        <v>0</v>
      </c>
      <c r="AP160">
        <f t="shared" si="161"/>
        <v>0</v>
      </c>
      <c r="AQ160">
        <f t="shared" si="162"/>
        <v>526.57733484676032</v>
      </c>
      <c r="AR160">
        <f t="shared" si="163"/>
        <v>0</v>
      </c>
      <c r="AS160">
        <f t="shared" si="164"/>
        <v>0</v>
      </c>
      <c r="AT160">
        <f t="shared" si="165"/>
        <v>0</v>
      </c>
      <c r="AU160">
        <f t="shared" si="166"/>
        <v>526.57733484676032</v>
      </c>
      <c r="AV160" s="52">
        <f t="shared" si="167"/>
        <v>0</v>
      </c>
      <c r="AW160" s="52">
        <f t="shared" si="168"/>
        <v>0</v>
      </c>
      <c r="BC160">
        <v>2.7576202181510343</v>
      </c>
      <c r="BD160">
        <v>-73.729330551737618</v>
      </c>
      <c r="BE160">
        <v>19.856384051569506</v>
      </c>
      <c r="BF160" s="6">
        <f t="shared" si="169"/>
        <v>2.87851977267899</v>
      </c>
      <c r="BG160" s="6">
        <f t="shared" si="170"/>
        <v>0.12089955452795564</v>
      </c>
      <c r="BH160" s="6">
        <f t="shared" si="171"/>
        <v>-0.52232528248664511</v>
      </c>
      <c r="BI160" s="6">
        <f t="shared" si="172"/>
        <v>0.52232528248664511</v>
      </c>
      <c r="BV160" s="38"/>
      <c r="BW160" s="6">
        <f t="shared" si="105"/>
        <v>2.530727415391774</v>
      </c>
      <c r="BX160" s="9">
        <f t="shared" ca="1" si="109"/>
        <v>-148.37549030966778</v>
      </c>
      <c r="BY160" s="9">
        <f t="shared" ca="1" si="110"/>
        <v>50.382702264426996</v>
      </c>
      <c r="BZ160">
        <f t="shared" ca="1" si="111"/>
        <v>156.69621186263635</v>
      </c>
      <c r="CA160" s="6">
        <f t="shared" ca="1" si="112"/>
        <v>-0.94689902548338112</v>
      </c>
      <c r="CB160" s="6">
        <f t="shared" ca="1" si="113"/>
        <v>0.32153108020628912</v>
      </c>
      <c r="CC160" s="6">
        <f t="shared" ca="1" si="114"/>
        <v>2.8142466678717257</v>
      </c>
      <c r="CD160" s="6">
        <f t="shared" ca="1" si="106"/>
        <v>6.1423384629867073E-2</v>
      </c>
      <c r="CE160" s="9">
        <f t="shared" ca="1" si="107"/>
        <v>-70.982471638845979</v>
      </c>
      <c r="CF160" s="9">
        <f t="shared" ca="1" si="108"/>
        <v>24.585029374153063</v>
      </c>
      <c r="CG160">
        <f t="shared" ca="1" si="115"/>
        <v>75.11947117284268</v>
      </c>
      <c r="CH160">
        <f t="shared" ca="1" si="116"/>
        <v>-0.94492773352360449</v>
      </c>
      <c r="CI160">
        <f t="shared" ca="1" si="117"/>
        <v>0.3272790528248698</v>
      </c>
      <c r="CJ160">
        <f t="shared" ca="1" si="118"/>
        <v>2.8081700491707036</v>
      </c>
      <c r="CK160" s="38">
        <f t="shared" ca="1" si="119"/>
        <v>0.45197555897835873</v>
      </c>
    </row>
    <row r="161" spans="1:89" x14ac:dyDescent="0.25">
      <c r="A161" s="1" t="s">
        <v>47</v>
      </c>
      <c r="B161" s="1">
        <f t="shared" ref="B161:E161" si="175">B53</f>
        <v>11.027972763528604</v>
      </c>
      <c r="C161" s="1">
        <f t="shared" si="175"/>
        <v>-7.6409303574153373</v>
      </c>
      <c r="D161" s="1">
        <f t="shared" si="175"/>
        <v>12.729527944049432</v>
      </c>
      <c r="E161" s="1">
        <f t="shared" si="175"/>
        <v>4.2378199963736805</v>
      </c>
      <c r="F161" s="6">
        <f t="shared" si="136"/>
        <v>1</v>
      </c>
      <c r="G161" s="6">
        <f t="shared" si="137"/>
        <v>0.98406859541586356</v>
      </c>
      <c r="H161" s="1">
        <f>IF(AND(F161=0,G161=0),0,IF(C161&gt;E161,B161+(F161*(D161-B161)),B161+(G161*(D161-B161))))</f>
        <v>12.702419780046322</v>
      </c>
      <c r="I161" s="1">
        <f t="shared" si="139"/>
        <v>4.0485748185335133</v>
      </c>
      <c r="J161">
        <f t="shared" si="140"/>
        <v>12.729527944049432</v>
      </c>
      <c r="K161">
        <f t="shared" si="141"/>
        <v>4.2378199963736805</v>
      </c>
      <c r="M161" s="9">
        <f t="shared" si="142"/>
        <v>755.45268469667337</v>
      </c>
      <c r="N161" s="9">
        <f t="shared" si="143"/>
        <v>3153.5256185498829</v>
      </c>
      <c r="O161" s="9">
        <f t="shared" si="144"/>
        <v>4804.8439882002467</v>
      </c>
      <c r="P161">
        <f t="shared" si="126"/>
        <v>-943.75646139626542</v>
      </c>
      <c r="Q161">
        <f t="shared" si="145"/>
        <v>-157.51629245873568</v>
      </c>
      <c r="R161">
        <f t="shared" si="127"/>
        <v>704.28943100913625</v>
      </c>
      <c r="S161">
        <f t="shared" si="128"/>
        <v>286.27342748756371</v>
      </c>
      <c r="T161" s="54">
        <f t="shared" si="146"/>
        <v>-1409.2847066462834</v>
      </c>
      <c r="U161" s="55">
        <f t="shared" si="129"/>
        <v>-3730.2340642166196</v>
      </c>
      <c r="V161" s="55">
        <f t="shared" si="130"/>
        <v>1660.7095876135813</v>
      </c>
      <c r="W161" s="55">
        <f t="shared" si="131"/>
        <v>869.16861043802726</v>
      </c>
      <c r="X161" s="55">
        <f t="shared" si="132"/>
        <v>1145.0937099502548</v>
      </c>
      <c r="Y161" s="54">
        <f t="shared" si="133"/>
        <v>-701.96310619032681</v>
      </c>
      <c r="Z161" s="54">
        <f t="shared" si="134"/>
        <v>-2111.2478128366101</v>
      </c>
      <c r="AB161">
        <f t="shared" si="147"/>
        <v>-497.69229150851481</v>
      </c>
      <c r="AC161">
        <f t="shared" si="148"/>
        <v>526.57733484676032</v>
      </c>
      <c r="AD161">
        <f t="shared" si="149"/>
        <v>-199.47696093808639</v>
      </c>
      <c r="AE161">
        <f t="shared" si="150"/>
        <v>141.41935882082007</v>
      </c>
      <c r="AF161">
        <f t="shared" si="151"/>
        <v>25.824878453761841</v>
      </c>
      <c r="AG161">
        <f t="shared" si="152"/>
        <v>-3.3476803252589775</v>
      </c>
      <c r="AH161" s="52">
        <f t="shared" si="153"/>
        <v>-540.15313577414599</v>
      </c>
      <c r="AI161">
        <f t="shared" si="154"/>
        <v>-282.45158890395624</v>
      </c>
      <c r="AJ161">
        <f t="shared" si="155"/>
        <v>526.57733484676032</v>
      </c>
      <c r="AK161">
        <f t="shared" si="156"/>
        <v>-398.95392187617279</v>
      </c>
      <c r="AL161">
        <f t="shared" si="157"/>
        <v>70.709679410410033</v>
      </c>
      <c r="AM161">
        <f t="shared" si="158"/>
        <v>77.474635361285522</v>
      </c>
      <c r="AN161">
        <f t="shared" si="159"/>
        <v>-6.6438611616731436</v>
      </c>
      <c r="AO161" s="52">
        <f t="shared" si="160"/>
        <v>-1074.2844957678576</v>
      </c>
      <c r="AP161">
        <f t="shared" si="161"/>
        <v>-116.55415840111802</v>
      </c>
      <c r="AQ161">
        <f t="shared" si="162"/>
        <v>526.57733484676032</v>
      </c>
      <c r="AR161">
        <f t="shared" si="163"/>
        <v>-598.43088281425923</v>
      </c>
      <c r="AS161">
        <f t="shared" si="164"/>
        <v>23.569893136803344</v>
      </c>
      <c r="AT161">
        <f t="shared" si="165"/>
        <v>154.94927072257104</v>
      </c>
      <c r="AU161">
        <f t="shared" si="166"/>
        <v>-9.8885425092425407</v>
      </c>
      <c r="AV161" s="52">
        <f t="shared" si="167"/>
        <v>-1602.34814671136</v>
      </c>
      <c r="AW161" s="52">
        <f t="shared" si="168"/>
        <v>-3216.7857782533638</v>
      </c>
      <c r="BC161">
        <v>2.7750735106709774</v>
      </c>
      <c r="BD161">
        <v>-73.992328491602535</v>
      </c>
      <c r="BE161">
        <v>19.286465128957389</v>
      </c>
      <c r="BF161" s="6">
        <f t="shared" si="169"/>
        <v>2.8866112337906258</v>
      </c>
      <c r="BG161" s="6">
        <f t="shared" si="170"/>
        <v>0.11153772311964838</v>
      </c>
      <c r="BH161" s="6">
        <f t="shared" si="171"/>
        <v>-0.53041674359828095</v>
      </c>
      <c r="BI161" s="6">
        <f t="shared" si="172"/>
        <v>0.53041674359828095</v>
      </c>
      <c r="BV161" s="38"/>
      <c r="BW161" s="6">
        <f t="shared" si="105"/>
        <v>2.5481807079117171</v>
      </c>
      <c r="BX161" s="9">
        <f t="shared" ca="1" si="109"/>
        <v>-148.55843973090802</v>
      </c>
      <c r="BY161" s="9">
        <f t="shared" ca="1" si="110"/>
        <v>50.132076778461013</v>
      </c>
      <c r="BZ161">
        <f t="shared" ca="1" si="111"/>
        <v>156.78914228161125</v>
      </c>
      <c r="CA161" s="6">
        <f t="shared" ca="1" si="112"/>
        <v>-0.947504639473568</v>
      </c>
      <c r="CB161" s="6">
        <f t="shared" ca="1" si="113"/>
        <v>0.31974201815848996</v>
      </c>
      <c r="CC161" s="6">
        <f t="shared" ca="1" si="114"/>
        <v>2.8161354538248133</v>
      </c>
      <c r="CD161" s="6">
        <f t="shared" ca="1" si="106"/>
        <v>6.3312170582954685E-2</v>
      </c>
      <c r="CE161" s="9">
        <f t="shared" ca="1" si="107"/>
        <v>-71.165421060086217</v>
      </c>
      <c r="CF161" s="9">
        <f t="shared" ca="1" si="108"/>
        <v>24.334403888187079</v>
      </c>
      <c r="CG161">
        <f t="shared" ca="1" si="115"/>
        <v>75.210905906342987</v>
      </c>
      <c r="CH161">
        <f t="shared" ca="1" si="116"/>
        <v>-0.94621145966125653</v>
      </c>
      <c r="CI161">
        <f t="shared" ca="1" si="117"/>
        <v>0.32354887359673212</v>
      </c>
      <c r="CJ161">
        <f t="shared" ca="1" si="118"/>
        <v>2.8121149458806789</v>
      </c>
      <c r="CK161" s="38">
        <f t="shared" ca="1" si="119"/>
        <v>0.45592045568833406</v>
      </c>
    </row>
    <row r="162" spans="1:89" x14ac:dyDescent="0.25">
      <c r="A162" s="1" t="s">
        <v>48</v>
      </c>
      <c r="B162" s="1">
        <f t="shared" ref="B162:E162" si="176">B54</f>
        <v>12.729527944049432</v>
      </c>
      <c r="C162" s="1">
        <f t="shared" si="176"/>
        <v>4.2378199963736805</v>
      </c>
      <c r="D162" s="1">
        <f t="shared" si="176"/>
        <v>4.8103610415234206</v>
      </c>
      <c r="E162" s="1">
        <f t="shared" si="176"/>
        <v>5.3721901167208994</v>
      </c>
      <c r="F162" s="6">
        <f t="shared" si="136"/>
        <v>1</v>
      </c>
      <c r="G162" s="6">
        <f t="shared" si="137"/>
        <v>0</v>
      </c>
      <c r="H162" s="1">
        <f t="shared" si="138"/>
        <v>12.729527944049432</v>
      </c>
      <c r="I162" s="1">
        <f t="shared" si="139"/>
        <v>4.2378199963736805</v>
      </c>
      <c r="J162">
        <f t="shared" si="140"/>
        <v>4.8103610415234206</v>
      </c>
      <c r="K162">
        <f t="shared" si="141"/>
        <v>5.3721901167208994</v>
      </c>
      <c r="M162" s="9">
        <f t="shared" si="142"/>
        <v>18986.997442357486</v>
      </c>
      <c r="N162" s="9">
        <f t="shared" si="143"/>
        <v>92020.206234549099</v>
      </c>
      <c r="O162" s="9">
        <f t="shared" si="144"/>
        <v>80508.337790576348</v>
      </c>
      <c r="P162">
        <f t="shared" si="126"/>
        <v>-858.27796698964119</v>
      </c>
      <c r="Q162">
        <f t="shared" si="145"/>
        <v>-472.11802155572155</v>
      </c>
      <c r="R162">
        <f t="shared" si="127"/>
        <v>182.2715731097615</v>
      </c>
      <c r="S162">
        <f t="shared" si="128"/>
        <v>328.32355894581525</v>
      </c>
      <c r="T162" s="54">
        <f t="shared" si="146"/>
        <v>-3943.538101866</v>
      </c>
      <c r="U162" s="55">
        <f t="shared" si="129"/>
        <v>-3823.4593121222838</v>
      </c>
      <c r="V162" s="55">
        <f t="shared" si="130"/>
        <v>1231.8037205437208</v>
      </c>
      <c r="W162" s="55">
        <f t="shared" si="131"/>
        <v>780.76508427772035</v>
      </c>
      <c r="X162" s="55">
        <f t="shared" si="132"/>
        <v>1313.294235783261</v>
      </c>
      <c r="Y162" s="54">
        <f t="shared" si="133"/>
        <v>-6334.1656431378651</v>
      </c>
      <c r="Z162" s="54">
        <f t="shared" si="134"/>
        <v>-10277.703745003866</v>
      </c>
      <c r="AB162">
        <f t="shared" si="147"/>
        <v>-500.21801139909655</v>
      </c>
      <c r="AC162">
        <f t="shared" si="148"/>
        <v>526.57733484676032</v>
      </c>
      <c r="AD162">
        <f t="shared" si="149"/>
        <v>-252.87250496295388</v>
      </c>
      <c r="AE162">
        <f t="shared" si="150"/>
        <v>154.94927072257104</v>
      </c>
      <c r="AF162">
        <f t="shared" si="151"/>
        <v>41.500757276367146</v>
      </c>
      <c r="AG162">
        <f t="shared" si="152"/>
        <v>-30.063153516351925</v>
      </c>
      <c r="AH162" s="52">
        <f t="shared" si="153"/>
        <v>-4871.4599018208137</v>
      </c>
      <c r="AI162">
        <f t="shared" si="154"/>
        <v>-268.00342665595588</v>
      </c>
      <c r="AJ162">
        <f t="shared" si="155"/>
        <v>526.57733484676032</v>
      </c>
      <c r="AK162">
        <f t="shared" si="156"/>
        <v>-505.74500992590777</v>
      </c>
      <c r="AL162">
        <f t="shared" si="157"/>
        <v>77.474635361285522</v>
      </c>
      <c r="AM162">
        <f t="shared" si="158"/>
        <v>124.50227182910145</v>
      </c>
      <c r="AN162">
        <f t="shared" si="159"/>
        <v>-45.194194544716353</v>
      </c>
      <c r="AO162" s="52">
        <f t="shared" si="160"/>
        <v>-2767.4043744430387</v>
      </c>
      <c r="AP162">
        <f t="shared" si="161"/>
        <v>-101.2640895229237</v>
      </c>
      <c r="AQ162">
        <f t="shared" si="162"/>
        <v>526.57733484676032</v>
      </c>
      <c r="AR162">
        <f t="shared" si="163"/>
        <v>-758.61751488886159</v>
      </c>
      <c r="AS162">
        <f t="shared" si="164"/>
        <v>25.824878453761841</v>
      </c>
      <c r="AT162">
        <f t="shared" si="165"/>
        <v>249.00454365820289</v>
      </c>
      <c r="AU162">
        <f t="shared" si="166"/>
        <v>-58.474847453060221</v>
      </c>
      <c r="AV162" s="52">
        <f t="shared" si="167"/>
        <v>-1353.0830217588205</v>
      </c>
      <c r="AW162" s="52">
        <f t="shared" si="168"/>
        <v>-8991.9472980226728</v>
      </c>
      <c r="BC162">
        <v>2.7925268031909205</v>
      </c>
      <c r="BD162">
        <v>-74.262144000784602</v>
      </c>
      <c r="BE162">
        <v>18.682592836532375</v>
      </c>
      <c r="BF162" s="6">
        <f t="shared" si="169"/>
        <v>2.8951309978150594</v>
      </c>
      <c r="BG162" s="6">
        <f t="shared" si="170"/>
        <v>0.10260419462413894</v>
      </c>
      <c r="BH162" s="6">
        <f t="shared" si="171"/>
        <v>-0.53893650762271461</v>
      </c>
      <c r="BI162" s="6">
        <f t="shared" si="172"/>
        <v>0.53893650762271461</v>
      </c>
      <c r="BV162" s="38"/>
      <c r="BW162" s="6">
        <f t="shared" si="105"/>
        <v>2.5656340004316602</v>
      </c>
      <c r="BX162" s="9">
        <f t="shared" ca="1" si="109"/>
        <v>-148.74376449880666</v>
      </c>
      <c r="BY162" s="9">
        <f t="shared" ca="1" si="110"/>
        <v>49.869994704748791</v>
      </c>
      <c r="BZ162">
        <f t="shared" ca="1" si="111"/>
        <v>156.88124122765004</v>
      </c>
      <c r="CA162" s="6">
        <f t="shared" ca="1" si="112"/>
        <v>-0.94812970202705682</v>
      </c>
      <c r="CB162" s="6">
        <f t="shared" ca="1" si="113"/>
        <v>0.31788373367331119</v>
      </c>
      <c r="CC162" s="6">
        <f t="shared" ca="1" si="114"/>
        <v>2.8180960470143717</v>
      </c>
      <c r="CD162" s="6">
        <f t="shared" ca="1" si="106"/>
        <v>6.5272763772513009E-2</v>
      </c>
      <c r="CE162" s="9">
        <f t="shared" ca="1" si="107"/>
        <v>-71.350745827984852</v>
      </c>
      <c r="CF162" s="9">
        <f t="shared" ca="1" si="108"/>
        <v>24.072321814474858</v>
      </c>
      <c r="CG162">
        <f t="shared" ca="1" si="115"/>
        <v>75.302095639824927</v>
      </c>
      <c r="CH162">
        <f t="shared" ca="1" si="116"/>
        <v>-0.94752669526304223</v>
      </c>
      <c r="CI162">
        <f t="shared" ca="1" si="117"/>
        <v>0.31967665189046557</v>
      </c>
      <c r="CJ162">
        <f t="shared" ca="1" si="118"/>
        <v>2.8162044408297247</v>
      </c>
      <c r="CK162" s="38">
        <f t="shared" ca="1" si="119"/>
        <v>0.46000995063737982</v>
      </c>
    </row>
    <row r="163" spans="1:89" x14ac:dyDescent="0.25">
      <c r="A163" s="1" t="s">
        <v>93</v>
      </c>
      <c r="B163" s="1">
        <f t="shared" ref="B163:E163" si="177">B55</f>
        <v>4.8103610415234206</v>
      </c>
      <c r="C163" s="1">
        <f t="shared" si="177"/>
        <v>5.3721901167208994</v>
      </c>
      <c r="D163" s="1">
        <f t="shared" si="177"/>
        <v>4.8103610415234206</v>
      </c>
      <c r="E163" s="1">
        <f t="shared" si="177"/>
        <v>5.3721901167208994</v>
      </c>
      <c r="F163" s="6">
        <f t="shared" si="136"/>
        <v>0</v>
      </c>
      <c r="G163" s="6">
        <f t="shared" si="137"/>
        <v>0</v>
      </c>
      <c r="H163" s="1">
        <f t="shared" si="138"/>
        <v>0</v>
      </c>
      <c r="I163" s="1">
        <f t="shared" si="139"/>
        <v>0</v>
      </c>
      <c r="J163">
        <f t="shared" si="140"/>
        <v>0</v>
      </c>
      <c r="K163">
        <f t="shared" si="141"/>
        <v>0</v>
      </c>
      <c r="M163" s="9">
        <f t="shared" si="142"/>
        <v>0</v>
      </c>
      <c r="N163" s="9">
        <f t="shared" si="143"/>
        <v>0</v>
      </c>
      <c r="O163" s="9">
        <f t="shared" si="144"/>
        <v>0</v>
      </c>
      <c r="P163">
        <f t="shared" si="126"/>
        <v>0</v>
      </c>
      <c r="Q163">
        <f t="shared" si="145"/>
        <v>0</v>
      </c>
      <c r="R163">
        <f t="shared" si="127"/>
        <v>0</v>
      </c>
      <c r="S163">
        <f t="shared" si="128"/>
        <v>0</v>
      </c>
      <c r="T163" s="54">
        <f t="shared" si="146"/>
        <v>0</v>
      </c>
      <c r="U163" s="55">
        <f t="shared" si="129"/>
        <v>0</v>
      </c>
      <c r="V163" s="55">
        <f t="shared" si="130"/>
        <v>0</v>
      </c>
      <c r="W163" s="55">
        <f t="shared" si="131"/>
        <v>0</v>
      </c>
      <c r="X163" s="55">
        <f t="shared" si="132"/>
        <v>0</v>
      </c>
      <c r="Y163" s="54">
        <f t="shared" si="133"/>
        <v>0</v>
      </c>
      <c r="Z163" s="54">
        <f t="shared" si="134"/>
        <v>0</v>
      </c>
      <c r="AB163">
        <f t="shared" si="147"/>
        <v>0</v>
      </c>
      <c r="AC163">
        <f t="shared" si="148"/>
        <v>526.57733484676032</v>
      </c>
      <c r="AD163">
        <f t="shared" si="149"/>
        <v>0</v>
      </c>
      <c r="AE163">
        <f t="shared" si="150"/>
        <v>0</v>
      </c>
      <c r="AF163">
        <f t="shared" si="151"/>
        <v>0</v>
      </c>
      <c r="AG163">
        <f t="shared" si="152"/>
        <v>526.57733484676032</v>
      </c>
      <c r="AH163" s="52">
        <f t="shared" si="153"/>
        <v>0</v>
      </c>
      <c r="AI163">
        <f t="shared" si="154"/>
        <v>0</v>
      </c>
      <c r="AJ163">
        <f t="shared" si="155"/>
        <v>526.57733484676032</v>
      </c>
      <c r="AK163">
        <f t="shared" si="156"/>
        <v>0</v>
      </c>
      <c r="AL163">
        <f t="shared" si="157"/>
        <v>0</v>
      </c>
      <c r="AM163">
        <f t="shared" si="158"/>
        <v>0</v>
      </c>
      <c r="AN163">
        <f t="shared" si="159"/>
        <v>526.57733484676032</v>
      </c>
      <c r="AO163" s="52">
        <f t="shared" si="160"/>
        <v>0</v>
      </c>
      <c r="AP163">
        <f t="shared" si="161"/>
        <v>0</v>
      </c>
      <c r="AQ163">
        <f t="shared" si="162"/>
        <v>526.57733484676032</v>
      </c>
      <c r="AR163">
        <f t="shared" si="163"/>
        <v>0</v>
      </c>
      <c r="AS163">
        <f t="shared" si="164"/>
        <v>0</v>
      </c>
      <c r="AT163">
        <f t="shared" si="165"/>
        <v>0</v>
      </c>
      <c r="AU163">
        <f t="shared" si="166"/>
        <v>526.57733484676032</v>
      </c>
      <c r="AV163" s="52">
        <f t="shared" si="167"/>
        <v>0</v>
      </c>
      <c r="AW163" s="52">
        <f t="shared" si="168"/>
        <v>0</v>
      </c>
      <c r="BC163">
        <v>2.8099800957108636</v>
      </c>
      <c r="BD163">
        <v>-74.537885707930215</v>
      </c>
      <c r="BE163">
        <v>18.046041333299065</v>
      </c>
      <c r="BF163" s="6">
        <f t="shared" si="169"/>
        <v>2.9040576808020879</v>
      </c>
      <c r="BG163" s="6">
        <f t="shared" si="170"/>
        <v>9.4077585091224325E-2</v>
      </c>
      <c r="BH163" s="6">
        <f t="shared" si="171"/>
        <v>-0.54786319060974309</v>
      </c>
      <c r="BI163" s="6">
        <f t="shared" si="172"/>
        <v>0.54786319060974309</v>
      </c>
      <c r="BV163" s="38"/>
      <c r="BW163" s="6">
        <f t="shared" si="105"/>
        <v>2.5830872929516033</v>
      </c>
      <c r="BX163" s="9">
        <f t="shared" ca="1" si="109"/>
        <v>-148.93199172136028</v>
      </c>
      <c r="BY163" s="9">
        <f t="shared" ca="1" si="110"/>
        <v>49.595064729425168</v>
      </c>
      <c r="BZ163">
        <f t="shared" ca="1" si="111"/>
        <v>156.97263648039805</v>
      </c>
      <c r="CA163" s="6">
        <f t="shared" ca="1" si="112"/>
        <v>-0.94877677447915043</v>
      </c>
      <c r="CB163" s="6">
        <f t="shared" ca="1" si="113"/>
        <v>0.31594719845084812</v>
      </c>
      <c r="CC163" s="6">
        <f t="shared" ca="1" si="114"/>
        <v>2.8201378288034937</v>
      </c>
      <c r="CD163" s="6">
        <f t="shared" ca="1" si="106"/>
        <v>6.7314545561635075E-2</v>
      </c>
      <c r="CE163" s="9">
        <f t="shared" ca="1" si="107"/>
        <v>-71.538973050538473</v>
      </c>
      <c r="CF163" s="9">
        <f t="shared" ca="1" si="108"/>
        <v>23.797391839151235</v>
      </c>
      <c r="CG163">
        <f t="shared" ca="1" si="115"/>
        <v>75.393239242466379</v>
      </c>
      <c r="CH163">
        <f t="shared" ca="1" si="116"/>
        <v>-0.94887782736682136</v>
      </c>
      <c r="CI163">
        <f t="shared" ca="1" si="117"/>
        <v>0.31564357863200809</v>
      </c>
      <c r="CJ163">
        <f t="shared" ca="1" si="118"/>
        <v>2.8204578236180966</v>
      </c>
      <c r="CK163" s="38">
        <f t="shared" ca="1" si="119"/>
        <v>0.46426333342575177</v>
      </c>
    </row>
    <row r="164" spans="1:89" ht="15.75" thickBot="1" x14ac:dyDescent="0.3">
      <c r="A164" s="1" t="s">
        <v>94</v>
      </c>
      <c r="B164" s="1">
        <f t="shared" ref="B164:E164" si="178">B56</f>
        <v>4.8103610415234206</v>
      </c>
      <c r="C164" s="1">
        <f t="shared" si="178"/>
        <v>5.3721901167208994</v>
      </c>
      <c r="D164" s="1">
        <f t="shared" si="178"/>
        <v>-11.027972763528604</v>
      </c>
      <c r="E164" s="1">
        <f t="shared" si="178"/>
        <v>7.6409303574153373</v>
      </c>
      <c r="F164" s="6">
        <f t="shared" si="136"/>
        <v>0.51772255586015747</v>
      </c>
      <c r="G164" s="6">
        <f t="shared" si="137"/>
        <v>0</v>
      </c>
      <c r="H164" s="1">
        <f t="shared" si="138"/>
        <v>4.8103610415234206</v>
      </c>
      <c r="I164" s="1">
        <f t="shared" si="139"/>
        <v>5.3721901167208994</v>
      </c>
      <c r="J164">
        <f t="shared" si="140"/>
        <v>-3.3895016165944467</v>
      </c>
      <c r="K164">
        <f t="shared" si="141"/>
        <v>6.5467681127160127</v>
      </c>
      <c r="M164" s="53">
        <f t="shared" si="142"/>
        <v>2531.0451665794799</v>
      </c>
      <c r="N164" s="53">
        <f t="shared" si="143"/>
        <v>11508.111704138855</v>
      </c>
      <c r="O164" s="53">
        <f t="shared" si="144"/>
        <v>13379.896972486436</v>
      </c>
      <c r="P164">
        <f t="shared" si="126"/>
        <v>-1086.78333756195</v>
      </c>
      <c r="Q164">
        <f t="shared" si="145"/>
        <v>-813.22128060999569</v>
      </c>
      <c r="R164">
        <f t="shared" si="127"/>
        <v>-368.08356788875119</v>
      </c>
      <c r="S164">
        <f t="shared" si="128"/>
        <v>668.84987422959762</v>
      </c>
      <c r="T164" s="54">
        <f t="shared" si="146"/>
        <v>5420.6208432712847</v>
      </c>
      <c r="U164" s="55">
        <f t="shared" si="129"/>
        <v>-5705.6125222002374</v>
      </c>
      <c r="V164" s="55">
        <f t="shared" si="130"/>
        <v>1022.3536820985491</v>
      </c>
      <c r="W164" s="55">
        <f t="shared" si="131"/>
        <v>622.94076907743124</v>
      </c>
      <c r="X164" s="55">
        <f t="shared" si="132"/>
        <v>2675.3994969183905</v>
      </c>
      <c r="Y164" s="54">
        <f t="shared" si="133"/>
        <v>-6661.9583545610258</v>
      </c>
      <c r="Z164" s="54">
        <f t="shared" si="134"/>
        <v>-1241.3375112897411</v>
      </c>
      <c r="AB164">
        <f t="shared" si="147"/>
        <v>-606.89401191108925</v>
      </c>
      <c r="AC164">
        <f t="shared" si="148"/>
        <v>526.57733484676032</v>
      </c>
      <c r="AD164">
        <f t="shared" si="149"/>
        <v>-308.16066001114973</v>
      </c>
      <c r="AE164">
        <f t="shared" si="150"/>
        <v>249.00454365820289</v>
      </c>
      <c r="AF164">
        <f t="shared" si="151"/>
        <v>61.632132002229952</v>
      </c>
      <c r="AG164">
        <f t="shared" si="152"/>
        <v>-77.840661415045815</v>
      </c>
      <c r="AH164" s="52">
        <f t="shared" si="153"/>
        <v>-1801.1996944108887</v>
      </c>
      <c r="AI164">
        <f t="shared" si="154"/>
        <v>-303.44700595554468</v>
      </c>
      <c r="AJ164">
        <f t="shared" si="155"/>
        <v>526.57733484676032</v>
      </c>
      <c r="AK164">
        <f t="shared" si="156"/>
        <v>-616.32132002229946</v>
      </c>
      <c r="AL164">
        <f t="shared" si="157"/>
        <v>124.50227182910145</v>
      </c>
      <c r="AM164">
        <f t="shared" si="158"/>
        <v>184.89639600668986</v>
      </c>
      <c r="AN164">
        <f t="shared" si="159"/>
        <v>-83.792323295292505</v>
      </c>
      <c r="AO164" s="52">
        <f t="shared" si="160"/>
        <v>1366.2109163621019</v>
      </c>
      <c r="AP164">
        <f t="shared" si="161"/>
        <v>-101.14900198518154</v>
      </c>
      <c r="AQ164">
        <f t="shared" si="162"/>
        <v>526.57733484676032</v>
      </c>
      <c r="AR164">
        <f t="shared" si="163"/>
        <v>-924.4819800334493</v>
      </c>
      <c r="AS164">
        <f t="shared" si="164"/>
        <v>41.500757276367146</v>
      </c>
      <c r="AT164">
        <f t="shared" si="165"/>
        <v>369.79279201337971</v>
      </c>
      <c r="AU164">
        <f t="shared" si="166"/>
        <v>-87.760097882123659</v>
      </c>
      <c r="AV164" s="52">
        <f t="shared" si="167"/>
        <v>-1008.2512978331752</v>
      </c>
      <c r="AW164" s="52">
        <f t="shared" si="168"/>
        <v>-1443.240075881962</v>
      </c>
      <c r="BC164">
        <v>2.8274333882308067</v>
      </c>
      <c r="BD164">
        <v>-74.818727371993447</v>
      </c>
      <c r="BE164">
        <v>17.377942096640485</v>
      </c>
      <c r="BF164" s="6">
        <f t="shared" si="169"/>
        <v>2.9133719705831957</v>
      </c>
      <c r="BG164" s="6">
        <f t="shared" si="170"/>
        <v>8.5938582352389048E-2</v>
      </c>
      <c r="BH164" s="6">
        <f t="shared" si="171"/>
        <v>-0.55717748039085102</v>
      </c>
      <c r="BI164" s="6">
        <f t="shared" si="172"/>
        <v>0.55717748039085102</v>
      </c>
      <c r="BV164" s="38"/>
      <c r="BW164" s="6">
        <f t="shared" si="105"/>
        <v>2.6005405854715464</v>
      </c>
      <c r="BX164" s="9">
        <f t="shared" ca="1" si="109"/>
        <v>-149.12368255712624</v>
      </c>
      <c r="BY164" s="9">
        <f t="shared" ca="1" si="110"/>
        <v>49.305712028417958</v>
      </c>
      <c r="BZ164">
        <f t="shared" ca="1" si="111"/>
        <v>157.06344558180251</v>
      </c>
      <c r="CA164" s="6">
        <f t="shared" ca="1" si="112"/>
        <v>-0.94944868937985294</v>
      </c>
      <c r="CB164" s="6">
        <f t="shared" ca="1" si="113"/>
        <v>0.31392226145158852</v>
      </c>
      <c r="CC164" s="6">
        <f t="shared" ca="1" si="114"/>
        <v>2.8222713332472109</v>
      </c>
      <c r="CD164" s="6">
        <f t="shared" ca="1" si="106"/>
        <v>6.9448050005352258E-2</v>
      </c>
      <c r="CE164" s="9">
        <f t="shared" ca="1" si="107"/>
        <v>-71.730663886304441</v>
      </c>
      <c r="CF164" s="9">
        <f t="shared" ca="1" si="108"/>
        <v>23.508039138144024</v>
      </c>
      <c r="CG164">
        <f t="shared" ca="1" si="115"/>
        <v>75.484541766447066</v>
      </c>
      <c r="CH164">
        <f t="shared" ca="1" si="116"/>
        <v>-0.95026958113149429</v>
      </c>
      <c r="CI164">
        <f t="shared" ca="1" si="117"/>
        <v>0.31142852017144212</v>
      </c>
      <c r="CJ164">
        <f t="shared" ca="1" si="118"/>
        <v>2.8248967118483326</v>
      </c>
      <c r="CK164" s="38">
        <f t="shared" ca="1" si="119"/>
        <v>0.46870222165598774</v>
      </c>
    </row>
    <row r="165" spans="1:89" ht="15.75" thickTop="1" x14ac:dyDescent="0.25">
      <c r="M165" s="9">
        <f>SUM(M157:M164)</f>
        <v>102391.08393891928</v>
      </c>
      <c r="N165" s="9">
        <f t="shared" ref="N165:O165" si="179">SUM(N157:N164)</f>
        <v>555761.44798040565</v>
      </c>
      <c r="O165" s="9">
        <f t="shared" si="179"/>
        <v>-354755.25195266498</v>
      </c>
      <c r="AA165" s="52"/>
      <c r="AC165" s="52"/>
      <c r="BC165">
        <v>2.8448866807507498</v>
      </c>
      <c r="BD165">
        <v>-75.103880992490133</v>
      </c>
      <c r="BE165">
        <v>16.679331027977227</v>
      </c>
      <c r="BF165" s="6">
        <f t="shared" si="169"/>
        <v>2.9230559276228547</v>
      </c>
      <c r="BG165" s="6">
        <f t="shared" si="170"/>
        <v>7.8169246872104914E-2</v>
      </c>
      <c r="BH165" s="6">
        <f t="shared" si="171"/>
        <v>-0.56686143743050987</v>
      </c>
      <c r="BI165" s="6">
        <f t="shared" si="172"/>
        <v>0.56686143743050987</v>
      </c>
      <c r="BV165" s="38"/>
      <c r="BW165" s="6">
        <f t="shared" si="105"/>
        <v>2.6179938779914895</v>
      </c>
      <c r="BX165" s="9">
        <f t="shared" ca="1" si="109"/>
        <v>-149.31943968624665</v>
      </c>
      <c r="BY165" s="9">
        <f t="shared" ca="1" si="110"/>
        <v>49.00014458167206</v>
      </c>
      <c r="BZ165">
        <f t="shared" ca="1" si="111"/>
        <v>157.15377576513845</v>
      </c>
      <c r="CA165" s="6">
        <f t="shared" ca="1" si="112"/>
        <v>-0.95014859782561012</v>
      </c>
      <c r="CB165" s="6">
        <f t="shared" ca="1" si="113"/>
        <v>0.31179743752960343</v>
      </c>
      <c r="CC165" s="6">
        <f t="shared" ca="1" si="114"/>
        <v>2.8245084632432498</v>
      </c>
      <c r="CD165" s="6">
        <f t="shared" ca="1" si="106"/>
        <v>7.1685180001391124E-2</v>
      </c>
      <c r="CE165" s="9">
        <f t="shared" ca="1" si="107"/>
        <v>-71.92642101542485</v>
      </c>
      <c r="CF165" s="9">
        <f t="shared" ca="1" si="108"/>
        <v>23.202471691398127</v>
      </c>
      <c r="CG165">
        <f t="shared" ca="1" si="115"/>
        <v>75.576218036352415</v>
      </c>
      <c r="CH165">
        <f t="shared" ca="1" si="116"/>
        <v>-0.95170706981960917</v>
      </c>
      <c r="CI165">
        <f t="shared" ca="1" si="117"/>
        <v>0.30700757849827387</v>
      </c>
      <c r="CJ165">
        <f t="shared" ca="1" si="118"/>
        <v>2.8295454899594166</v>
      </c>
      <c r="CK165" s="38">
        <f t="shared" ca="1" si="119"/>
        <v>0.47335099976707173</v>
      </c>
    </row>
    <row r="166" spans="1:89" x14ac:dyDescent="0.25">
      <c r="A166" t="s">
        <v>189</v>
      </c>
      <c r="M166" s="9"/>
      <c r="BC166">
        <v>2.8623399732706929</v>
      </c>
      <c r="BD166">
        <v>-75.393329383905439</v>
      </c>
      <c r="BE166">
        <v>15.949823116873164</v>
      </c>
      <c r="BF166" s="6">
        <f t="shared" si="169"/>
        <v>2.9331117661661485</v>
      </c>
      <c r="BG166" s="6">
        <f t="shared" si="170"/>
        <v>7.0771792895455654E-2</v>
      </c>
      <c r="BH166" s="6">
        <f t="shared" si="171"/>
        <v>-0.5769172759738036</v>
      </c>
      <c r="BI166" s="6">
        <f t="shared" si="172"/>
        <v>0.5769172759738036</v>
      </c>
      <c r="BV166" s="38"/>
      <c r="BW166" s="6">
        <f t="shared" si="105"/>
        <v>2.6354471705114326</v>
      </c>
      <c r="BX166" s="9">
        <f t="shared" ca="1" si="109"/>
        <v>-149.51991592272424</v>
      </c>
      <c r="BY166" s="9">
        <f t="shared" ca="1" si="110"/>
        <v>48.676312214997722</v>
      </c>
      <c r="BZ166">
        <f t="shared" ca="1" si="111"/>
        <v>157.24372365341156</v>
      </c>
      <c r="CA166" s="6">
        <f t="shared" ca="1" si="112"/>
        <v>-0.95088002528029836</v>
      </c>
      <c r="CB166" s="6">
        <f t="shared" ca="1" si="113"/>
        <v>0.30955965099305022</v>
      </c>
      <c r="CC166" s="6">
        <f t="shared" ca="1" si="114"/>
        <v>2.8268627523641428</v>
      </c>
      <c r="CD166" s="6">
        <f t="shared" ca="1" si="106"/>
        <v>7.4039469122284096E-2</v>
      </c>
      <c r="CE166" s="9">
        <f t="shared" ca="1" si="107"/>
        <v>-72.126897251902435</v>
      </c>
      <c r="CF166" s="9">
        <f t="shared" ca="1" si="108"/>
        <v>22.878639324723789</v>
      </c>
      <c r="CG166">
        <f t="shared" ca="1" si="115"/>
        <v>75.668497041617584</v>
      </c>
      <c r="CH166">
        <f t="shared" ca="1" si="116"/>
        <v>-0.95319584862684303</v>
      </c>
      <c r="CI166">
        <f t="shared" ca="1" si="117"/>
        <v>0.30235355820719639</v>
      </c>
      <c r="CJ166">
        <f t="shared" ca="1" si="118"/>
        <v>2.8344318397947763</v>
      </c>
      <c r="CK166" s="38">
        <f t="shared" ca="1" si="119"/>
        <v>0.47823734960243147</v>
      </c>
    </row>
    <row r="167" spans="1:89" x14ac:dyDescent="0.25">
      <c r="B167" t="str">
        <f t="shared" ref="B167:E167" si="180">B156</f>
        <v>xi (in)</v>
      </c>
      <c r="C167" t="str">
        <f t="shared" si="180"/>
        <v>yi (in)</v>
      </c>
      <c r="D167" t="str">
        <f t="shared" si="180"/>
        <v>xj (in)</v>
      </c>
      <c r="E167" t="str">
        <f t="shared" si="180"/>
        <v>yj (in)</v>
      </c>
      <c r="F167" s="1" t="s">
        <v>190</v>
      </c>
      <c r="G167" s="1" t="s">
        <v>191</v>
      </c>
      <c r="H167" s="1" t="s">
        <v>185</v>
      </c>
      <c r="I167" s="1" t="s">
        <v>186</v>
      </c>
      <c r="J167" s="1" t="s">
        <v>187</v>
      </c>
      <c r="K167" s="1" t="s">
        <v>188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-75.693234151588356</v>
      </c>
      <c r="BE167">
        <v>15.177630062710367</v>
      </c>
      <c r="BF167" s="6">
        <f t="shared" si="169"/>
        <v>2.9437019350567901</v>
      </c>
      <c r="BG167" s="6">
        <f t="shared" si="170"/>
        <v>6.3908669266154128E-2</v>
      </c>
      <c r="BH167" s="6">
        <f t="shared" si="171"/>
        <v>-0.58750744486444528</v>
      </c>
      <c r="BI167" s="6">
        <f t="shared" si="172"/>
        <v>0.58750744486444528</v>
      </c>
      <c r="BV167" s="38"/>
      <c r="BW167" s="6">
        <f t="shared" si="105"/>
        <v>2.6529004630313757</v>
      </c>
      <c r="BX167" s="9">
        <f t="shared" ca="1" si="109"/>
        <v>-149.72582425528225</v>
      </c>
      <c r="BY167" s="9">
        <f t="shared" ca="1" si="110"/>
        <v>48.331856458572958</v>
      </c>
      <c r="BZ167">
        <f t="shared" ca="1" si="111"/>
        <v>157.33337471005879</v>
      </c>
      <c r="CA167" s="6">
        <f t="shared" ca="1" si="112"/>
        <v>-0.95164693779183163</v>
      </c>
      <c r="CB167" s="6">
        <f t="shared" ca="1" si="113"/>
        <v>0.30719392212644731</v>
      </c>
      <c r="CC167" s="6">
        <f t="shared" ca="1" si="114"/>
        <v>2.8293496844215786</v>
      </c>
      <c r="CD167" s="6">
        <f t="shared" ca="1" si="106"/>
        <v>7.6526401179719983E-2</v>
      </c>
      <c r="CE167" s="9">
        <f t="shared" ca="1" si="107"/>
        <v>-72.332805584460445</v>
      </c>
      <c r="CF167" s="9">
        <f t="shared" ca="1" si="108"/>
        <v>22.534183568299024</v>
      </c>
      <c r="CG167">
        <f t="shared" ca="1" si="115"/>
        <v>75.761627442981649</v>
      </c>
      <c r="CH167">
        <f t="shared" ca="1" si="116"/>
        <v>-0.95474197196857025</v>
      </c>
      <c r="CI167">
        <f t="shared" ca="1" si="117"/>
        <v>0.2974353155924257</v>
      </c>
      <c r="CJ167">
        <f t="shared" ca="1" si="118"/>
        <v>2.8395873869702712</v>
      </c>
      <c r="CK167" s="38">
        <f t="shared" ca="1" si="119"/>
        <v>0.48339289677792641</v>
      </c>
    </row>
    <row r="168" spans="1:89" x14ac:dyDescent="0.25">
      <c r="A168" s="1" t="str">
        <f t="shared" ref="A168:E175" si="181">A157</f>
        <v>Segment 1</v>
      </c>
      <c r="B168" s="1">
        <f t="shared" si="181"/>
        <v>-11.027972763528604</v>
      </c>
      <c r="C168" s="1">
        <f t="shared" si="181"/>
        <v>7.6409303574153373</v>
      </c>
      <c r="D168" s="1">
        <f t="shared" si="181"/>
        <v>-12.729527944049432</v>
      </c>
      <c r="E168" s="1">
        <f t="shared" si="181"/>
        <v>-4.2378199963736805</v>
      </c>
      <c r="F168" s="6">
        <f>IF(E168-C168=0,0,MIN(MAX(($B$148-C168)/(E168-C168),0),1))</f>
        <v>0</v>
      </c>
      <c r="G168" s="6">
        <f>IF(E168-C168=0,0,MIN(MAX(($B$152-C168)/(E168-C168),0),1))</f>
        <v>9.2110888107882066E-2</v>
      </c>
      <c r="H168" s="1">
        <f>IF(AND(F168=0,G168=0),0,IF(C168&gt;E168,B168+(F168*(D168-B168)),B168+(G168*(D168-B168))))</f>
        <v>-11.027972763528604</v>
      </c>
      <c r="I168" s="1">
        <f>IF(AND(F168=0,G168=0),0,IF(C168&gt;E168,C168+(F168*(E168-C168)),C168+(G168*(E168-C168))))</f>
        <v>7.6409303574153373</v>
      </c>
      <c r="J168">
        <f>IF(AND(F168=0,G168=0),0,IF(C168&gt;E168,B168+(G168*(D168-B168)),B168+(F168*(D168-B168))))</f>
        <v>-11.184704522370945</v>
      </c>
      <c r="K168">
        <f>IF(AND(F168=0,G168=0),0,IF(C168&gt;E168,C168+(G168*(E168-C168)),C168+(F168*(E168-C168))))</f>
        <v>6.5467681127160127</v>
      </c>
      <c r="L168" s="6">
        <f>0.85*$B$143</f>
        <v>4250</v>
      </c>
      <c r="M168" s="6">
        <f>L168</f>
        <v>4250</v>
      </c>
      <c r="N168" s="10">
        <f t="shared" ref="N168" si="182">(1/6)*(K168-I168)*((L168*((2*H168)+J168))+(M168*(H168+(2*J168))))</f>
        <v>51646.579784833295</v>
      </c>
      <c r="O168" s="10">
        <f t="shared" ref="O168" si="183">((1/12)*(K168-I168)*(L168*H168*((3*I168)+K168)+L168*J168*(I168+K168)+M168*H168*(I168+K168)+M168*J168*(I168+(3*K168))))</f>
        <v>366306.59542714944</v>
      </c>
      <c r="P168" s="10">
        <f>((1/24)*(K168-I168)*(H168*H168*((3*L168)+M168)+2*H168*J168*(L168+M168)+J168*J168*(L168+(3*M168))))</f>
        <v>-286806.96205281169</v>
      </c>
      <c r="BC168">
        <v>2.8972465583105791</v>
      </c>
      <c r="BD168">
        <v>-75.995415300578372</v>
      </c>
      <c r="BE168">
        <v>14.376919570228054</v>
      </c>
      <c r="BF168" s="6">
        <f t="shared" si="169"/>
        <v>2.9546208972296837</v>
      </c>
      <c r="BG168" s="6">
        <f t="shared" si="170"/>
        <v>5.7374338919104595E-2</v>
      </c>
      <c r="BH168" s="6">
        <f t="shared" si="171"/>
        <v>-0.59842640703733874</v>
      </c>
      <c r="BI168" s="6">
        <f t="shared" si="172"/>
        <v>0.59842640703733874</v>
      </c>
      <c r="BV168" s="38"/>
      <c r="BW168" s="6">
        <f t="shared" si="105"/>
        <v>2.6703537555513188</v>
      </c>
      <c r="BX168" s="9">
        <f t="shared" ca="1" si="109"/>
        <v>-149.93794969734324</v>
      </c>
      <c r="BY168" s="9">
        <f t="shared" ca="1" si="110"/>
        <v>47.964048730072527</v>
      </c>
      <c r="BZ168">
        <f t="shared" ca="1" si="111"/>
        <v>157.42280244622697</v>
      </c>
      <c r="CA168" s="6">
        <f t="shared" ca="1" si="112"/>
        <v>-0.95245382096764264</v>
      </c>
      <c r="CB168" s="6">
        <f t="shared" ca="1" si="113"/>
        <v>0.30468298102148356</v>
      </c>
      <c r="CC168" s="6">
        <f t="shared" ca="1" si="114"/>
        <v>2.8319870865001469</v>
      </c>
      <c r="CD168" s="6">
        <f t="shared" ca="1" si="106"/>
        <v>7.9163803258288201E-2</v>
      </c>
      <c r="CE168" s="9">
        <f t="shared" ca="1" si="107"/>
        <v>-72.544931026521439</v>
      </c>
      <c r="CF168" s="9">
        <f t="shared" ca="1" si="108"/>
        <v>22.166375839798594</v>
      </c>
      <c r="CG168">
        <f t="shared" ca="1" si="115"/>
        <v>75.855884646571482</v>
      </c>
      <c r="CH168">
        <f t="shared" ca="1" si="116"/>
        <v>-0.95635205316665317</v>
      </c>
      <c r="CI168">
        <f t="shared" ca="1" si="117"/>
        <v>0.2922169577624254</v>
      </c>
      <c r="CJ168">
        <f t="shared" ca="1" si="118"/>
        <v>2.8450484943696299</v>
      </c>
      <c r="CK168" s="38">
        <f t="shared" ca="1" si="119"/>
        <v>0.48885400417728508</v>
      </c>
    </row>
    <row r="169" spans="1:89" x14ac:dyDescent="0.25">
      <c r="A169" s="1" t="str">
        <f t="shared" si="181"/>
        <v>Segment 2</v>
      </c>
      <c r="B169" s="1">
        <f t="shared" si="181"/>
        <v>-12.729527944049432</v>
      </c>
      <c r="C169" s="1">
        <f t="shared" si="181"/>
        <v>-4.2378199963736805</v>
      </c>
      <c r="D169" s="1">
        <f t="shared" si="181"/>
        <v>3.1088058610025913</v>
      </c>
      <c r="E169" s="1">
        <f t="shared" si="181"/>
        <v>-6.5065602370681184</v>
      </c>
      <c r="F169" s="6">
        <f t="shared" ref="F169:F175" si="184">IF(E169-C169=0,0,MIN(MAX(($B$148-C169)/(E169-C169),0),1))</f>
        <v>0</v>
      </c>
      <c r="G169" s="6">
        <f t="shared" ref="G169:G175" si="185">IF(E169-C169=0,0,MIN(MAX(($B$152-C169)/(E169-C169),0),1))</f>
        <v>0</v>
      </c>
      <c r="H169" s="1">
        <f t="shared" ref="H169:H175" si="186">IF(AND(F169=0,G169=0),0,IF(C169&gt;E169,B169+(F169*(D169-B169)),B169+(G169*(D169-B169))))</f>
        <v>0</v>
      </c>
      <c r="I169" s="1">
        <f t="shared" ref="I169:I175" si="187">IF(AND(F169=0,G169=0),0,IF(C169&gt;E169,C169+(F169*(E169-C169)),C169+(G169*(E169-C169))))</f>
        <v>0</v>
      </c>
      <c r="J169">
        <f t="shared" ref="J169:J175" si="188">IF(AND(F169=0,G169=0),0,IF(C169&gt;E169,B169+(G169*(D169-B169)),B169+(F169*(D169-B169))))</f>
        <v>0</v>
      </c>
      <c r="K169">
        <f t="shared" ref="K169:K175" si="189">IF(AND(F169=0,G169=0),0,IF(C169&gt;E169,C169+(G169*(E169-C169)),C169+(F169*(E169-C169))))</f>
        <v>0</v>
      </c>
      <c r="L169" s="6">
        <f t="shared" ref="L169:L175" si="190">0.85*$B$143</f>
        <v>4250</v>
      </c>
      <c r="M169" s="6">
        <f t="shared" ref="M169:M175" si="191">L169</f>
        <v>4250</v>
      </c>
      <c r="N169" s="10">
        <f t="shared" ref="N169:N175" si="192">(1/6)*(K169-I169)*((L169*((2*H169)+J169))+(M169*(H169+(2*J169))))</f>
        <v>0</v>
      </c>
      <c r="O169" s="10">
        <f t="shared" ref="O169:O175" si="193">((1/12)*(K169-I169)*(L169*H169*((3*I169)+K169)+L169*J169*(I169+K169)+M169*H169*(I169+K169)+M169*J169*(I169+(3*K169))))</f>
        <v>0</v>
      </c>
      <c r="P169" s="10">
        <f t="shared" ref="P169:P175" si="194">((1/24)*(K169-I169)*(H169*H169*((3*L169)+M169)+2*H169*J169*(L169+M169)+J169*J169*(L169+(3*M169))))</f>
        <v>0</v>
      </c>
      <c r="BC169">
        <v>2.9146998508305222</v>
      </c>
      <c r="BD169">
        <v>-76.298950088901776</v>
      </c>
      <c r="BE169">
        <v>13.548877919580757</v>
      </c>
      <c r="BF169" s="6">
        <f t="shared" si="169"/>
        <v>2.9658484332326838</v>
      </c>
      <c r="BG169" s="6">
        <f t="shared" si="170"/>
        <v>5.114858240216158E-2</v>
      </c>
      <c r="BH169" s="6">
        <f t="shared" si="171"/>
        <v>-0.60965394304033904</v>
      </c>
      <c r="BI169" s="6">
        <f t="shared" si="172"/>
        <v>0.60965394304033904</v>
      </c>
      <c r="BV169" s="38"/>
      <c r="BW169" s="6">
        <f t="shared" si="105"/>
        <v>2.6878070480712619</v>
      </c>
      <c r="BX169" s="9">
        <f t="shared" ca="1" si="109"/>
        <v>-150.15716339070116</v>
      </c>
      <c r="BY169" s="9">
        <f t="shared" ca="1" si="110"/>
        <v>47.569713546565673</v>
      </c>
      <c r="BZ169">
        <f t="shared" ca="1" si="111"/>
        <v>157.5120673613423</v>
      </c>
      <c r="CA169" s="6">
        <f t="shared" ca="1" si="112"/>
        <v>-0.95330577463777078</v>
      </c>
      <c r="CB169" s="6">
        <f t="shared" ca="1" si="113"/>
        <v>0.30200678807318199</v>
      </c>
      <c r="CC169" s="6">
        <f t="shared" ca="1" si="114"/>
        <v>2.8347956161755135</v>
      </c>
      <c r="CD169" s="6">
        <f t="shared" ca="1" si="106"/>
        <v>8.1972332933654801E-2</v>
      </c>
      <c r="CE169" s="9">
        <f t="shared" ca="1" si="107"/>
        <v>-72.764144719879354</v>
      </c>
      <c r="CF169" s="9">
        <f t="shared" ca="1" si="108"/>
        <v>21.77204065629174</v>
      </c>
      <c r="CG169">
        <f t="shared" ca="1" si="115"/>
        <v>75.951580043832976</v>
      </c>
      <c r="CH169">
        <f t="shared" ca="1" si="116"/>
        <v>-0.95803332436120359</v>
      </c>
      <c r="CI169">
        <f t="shared" ca="1" si="117"/>
        <v>0.2866568495839944</v>
      </c>
      <c r="CJ169">
        <f t="shared" ca="1" si="118"/>
        <v>2.8508572438615465</v>
      </c>
      <c r="CK169" s="38">
        <f t="shared" ca="1" si="119"/>
        <v>0.49466275366920165</v>
      </c>
    </row>
    <row r="170" spans="1:89" x14ac:dyDescent="0.25">
      <c r="A170" s="1" t="str">
        <f t="shared" si="181"/>
        <v>Segment 3</v>
      </c>
      <c r="B170" s="1">
        <f t="shared" si="181"/>
        <v>3.1088058610025913</v>
      </c>
      <c r="C170" s="1">
        <f t="shared" si="181"/>
        <v>-6.5065602370681184</v>
      </c>
      <c r="D170" s="1">
        <f t="shared" si="181"/>
        <v>3.1088058610025913</v>
      </c>
      <c r="E170" s="1">
        <f t="shared" si="181"/>
        <v>-6.5065602370681184</v>
      </c>
      <c r="F170" s="6">
        <f t="shared" si="184"/>
        <v>0</v>
      </c>
      <c r="G170" s="6">
        <f t="shared" si="185"/>
        <v>0</v>
      </c>
      <c r="H170" s="1">
        <f t="shared" si="186"/>
        <v>0</v>
      </c>
      <c r="I170" s="1">
        <f t="shared" si="187"/>
        <v>0</v>
      </c>
      <c r="J170">
        <f t="shared" si="188"/>
        <v>0</v>
      </c>
      <c r="K170">
        <f t="shared" si="189"/>
        <v>0</v>
      </c>
      <c r="L170" s="6">
        <f t="shared" si="190"/>
        <v>4250</v>
      </c>
      <c r="M170" s="6">
        <f t="shared" si="191"/>
        <v>4250</v>
      </c>
      <c r="N170" s="10">
        <f t="shared" si="192"/>
        <v>0</v>
      </c>
      <c r="O170" s="10">
        <f t="shared" si="193"/>
        <v>0</v>
      </c>
      <c r="P170" s="10">
        <f t="shared" si="194"/>
        <v>0</v>
      </c>
      <c r="BC170">
        <v>2.9321531433504653</v>
      </c>
      <c r="BD170">
        <v>-76.602821069742291</v>
      </c>
      <c r="BE170">
        <v>12.694868283979316</v>
      </c>
      <c r="BF170" s="6">
        <f t="shared" si="169"/>
        <v>2.9773620376102365</v>
      </c>
      <c r="BG170" s="6">
        <f t="shared" si="170"/>
        <v>4.520889425977126E-2</v>
      </c>
      <c r="BH170" s="6">
        <f t="shared" si="171"/>
        <v>-0.62116754741789171</v>
      </c>
      <c r="BI170" s="6">
        <f t="shared" si="172"/>
        <v>0.62116754741789171</v>
      </c>
      <c r="BV170" s="38"/>
      <c r="BW170" s="6">
        <f t="shared" si="105"/>
        <v>2.705260340591205</v>
      </c>
      <c r="BX170" s="9">
        <f t="shared" ca="1" si="109"/>
        <v>-150.38443960070003</v>
      </c>
      <c r="BY170" s="9">
        <f t="shared" ca="1" si="110"/>
        <v>47.14513239426158</v>
      </c>
      <c r="BZ170">
        <f t="shared" ca="1" si="111"/>
        <v>157.60121567579691</v>
      </c>
      <c r="CA170" s="6">
        <f t="shared" ca="1" si="112"/>
        <v>-0.95420862685512164</v>
      </c>
      <c r="CB170" s="6">
        <f t="shared" ca="1" si="113"/>
        <v>0.29914193359551439</v>
      </c>
      <c r="CC170" s="6">
        <f t="shared" ca="1" si="114"/>
        <v>2.8377993705077516</v>
      </c>
      <c r="CD170" s="6">
        <f t="shared" ca="1" si="106"/>
        <v>8.4976087265892897E-2</v>
      </c>
      <c r="CE170" s="9">
        <f t="shared" ca="1" si="107"/>
        <v>-72.991420929878231</v>
      </c>
      <c r="CF170" s="9">
        <f t="shared" ca="1" si="108"/>
        <v>21.347459503987647</v>
      </c>
      <c r="CG170">
        <f t="shared" ca="1" si="115"/>
        <v>76.049073345025434</v>
      </c>
      <c r="CH170">
        <f t="shared" ca="1" si="116"/>
        <v>-0.95979369266900849</v>
      </c>
      <c r="CI170">
        <f t="shared" ca="1" si="117"/>
        <v>0.28070637241215035</v>
      </c>
      <c r="CJ170">
        <f t="shared" ca="1" si="118"/>
        <v>2.8570626607467067</v>
      </c>
      <c r="CK170" s="38">
        <f t="shared" ca="1" si="119"/>
        <v>0.50086817055436184</v>
      </c>
    </row>
    <row r="171" spans="1:89" x14ac:dyDescent="0.25">
      <c r="A171" s="1" t="str">
        <f t="shared" si="181"/>
        <v>Segment 4</v>
      </c>
      <c r="B171" s="1">
        <f t="shared" si="181"/>
        <v>3.1088058610025913</v>
      </c>
      <c r="C171" s="1">
        <f t="shared" si="181"/>
        <v>-6.5065602370681184</v>
      </c>
      <c r="D171" s="1">
        <f t="shared" si="181"/>
        <v>11.027972763528604</v>
      </c>
      <c r="E171" s="1">
        <f t="shared" si="181"/>
        <v>-7.6409303574153373</v>
      </c>
      <c r="F171" s="6">
        <f t="shared" si="184"/>
        <v>0</v>
      </c>
      <c r="G171" s="6">
        <f t="shared" si="185"/>
        <v>0</v>
      </c>
      <c r="H171" s="1">
        <f t="shared" si="186"/>
        <v>0</v>
      </c>
      <c r="I171" s="1">
        <f t="shared" si="187"/>
        <v>0</v>
      </c>
      <c r="J171">
        <f t="shared" si="188"/>
        <v>0</v>
      </c>
      <c r="K171">
        <f t="shared" si="189"/>
        <v>0</v>
      </c>
      <c r="L171" s="6">
        <f t="shared" si="190"/>
        <v>4250</v>
      </c>
      <c r="M171" s="6">
        <f t="shared" si="191"/>
        <v>4250</v>
      </c>
      <c r="N171" s="10">
        <f t="shared" si="192"/>
        <v>0</v>
      </c>
      <c r="O171" s="10">
        <f t="shared" si="193"/>
        <v>0</v>
      </c>
      <c r="P171" s="10">
        <f t="shared" si="194"/>
        <v>0</v>
      </c>
      <c r="BC171">
        <v>2.9496064358704084</v>
      </c>
      <c r="BD171">
        <v>-76.905887518468788</v>
      </c>
      <c r="BE171">
        <v>11.816503299073343</v>
      </c>
      <c r="BF171" s="6">
        <f t="shared" si="169"/>
        <v>2.9891360458386078</v>
      </c>
      <c r="BG171" s="6">
        <f t="shared" si="170"/>
        <v>3.9529609968199431E-2</v>
      </c>
      <c r="BH171" s="6">
        <f t="shared" si="171"/>
        <v>-0.63294155564626298</v>
      </c>
      <c r="BI171" s="6">
        <f t="shared" si="172"/>
        <v>0.63294155564626298</v>
      </c>
      <c r="BV171" s="38"/>
      <c r="BW171" s="6">
        <f t="shared" si="105"/>
        <v>2.7227136331111481</v>
      </c>
      <c r="BX171" s="9">
        <f t="shared" ca="1" si="109"/>
        <v>-150.62087612357718</v>
      </c>
      <c r="BY171" s="9">
        <f t="shared" ca="1" si="110"/>
        <v>46.685923021957628</v>
      </c>
      <c r="BZ171">
        <f t="shared" ca="1" si="111"/>
        <v>157.69027786343119</v>
      </c>
      <c r="CA171" s="6">
        <f t="shared" ca="1" si="112"/>
        <v>-0.95516907043580379</v>
      </c>
      <c r="CB171" s="6">
        <f t="shared" ca="1" si="113"/>
        <v>0.29606088374319633</v>
      </c>
      <c r="CC171" s="6">
        <f t="shared" ca="1" si="114"/>
        <v>2.8410266494086311</v>
      </c>
      <c r="CD171" s="6">
        <f t="shared" ca="1" si="106"/>
        <v>8.820336616677249E-2</v>
      </c>
      <c r="CE171" s="9">
        <f t="shared" ca="1" si="107"/>
        <v>-73.227857452755373</v>
      </c>
      <c r="CF171" s="9">
        <f t="shared" ca="1" si="108"/>
        <v>20.888250131683694</v>
      </c>
      <c r="CG171">
        <f t="shared" ca="1" si="115"/>
        <v>76.148789226650507</v>
      </c>
      <c r="CH171">
        <f t="shared" ca="1" si="116"/>
        <v>-0.96164178309912163</v>
      </c>
      <c r="CI171">
        <f t="shared" ca="1" si="117"/>
        <v>0.27430836844314838</v>
      </c>
      <c r="CJ171">
        <f t="shared" ca="1" si="118"/>
        <v>2.8637222445877306</v>
      </c>
      <c r="CK171" s="38">
        <f t="shared" ca="1" si="119"/>
        <v>0.50752775439538578</v>
      </c>
    </row>
    <row r="172" spans="1:89" x14ac:dyDescent="0.25">
      <c r="A172" s="1" t="str">
        <f t="shared" si="181"/>
        <v>Segment 5</v>
      </c>
      <c r="B172" s="1">
        <f t="shared" si="181"/>
        <v>11.027972763528604</v>
      </c>
      <c r="C172" s="1">
        <f t="shared" si="181"/>
        <v>-7.6409303574153373</v>
      </c>
      <c r="D172" s="1">
        <f t="shared" si="181"/>
        <v>12.729527944049432</v>
      </c>
      <c r="E172" s="1">
        <f t="shared" si="181"/>
        <v>4.2378199963736805</v>
      </c>
      <c r="F172" s="6">
        <f t="shared" si="184"/>
        <v>1</v>
      </c>
      <c r="G172" s="6">
        <f t="shared" si="185"/>
        <v>1</v>
      </c>
      <c r="H172" s="1">
        <f t="shared" si="186"/>
        <v>12.729527944049432</v>
      </c>
      <c r="I172" s="1">
        <f t="shared" si="187"/>
        <v>4.2378199963736805</v>
      </c>
      <c r="J172">
        <f t="shared" si="188"/>
        <v>12.729527944049432</v>
      </c>
      <c r="K172">
        <f t="shared" si="189"/>
        <v>4.2378199963736805</v>
      </c>
      <c r="L172" s="6">
        <f t="shared" si="190"/>
        <v>4250</v>
      </c>
      <c r="M172" s="6">
        <f t="shared" si="191"/>
        <v>4250</v>
      </c>
      <c r="N172" s="10">
        <f t="shared" si="192"/>
        <v>0</v>
      </c>
      <c r="O172" s="10">
        <f t="shared" si="193"/>
        <v>0</v>
      </c>
      <c r="P172" s="10">
        <f t="shared" si="194"/>
        <v>0</v>
      </c>
      <c r="BC172">
        <v>2.9670597283903515</v>
      </c>
      <c r="BD172">
        <v>-77.206858036805514</v>
      </c>
      <c r="BE172">
        <v>10.915724562344788</v>
      </c>
      <c r="BF172" s="6">
        <f t="shared" si="169"/>
        <v>3.0011407167929733</v>
      </c>
      <c r="BG172" s="6">
        <f t="shared" si="170"/>
        <v>3.4080988402621859E-2</v>
      </c>
      <c r="BH172" s="6">
        <f t="shared" si="171"/>
        <v>-0.64494622660062839</v>
      </c>
      <c r="BI172" s="6">
        <f t="shared" si="172"/>
        <v>0.64494622660062839</v>
      </c>
      <c r="BV172" s="38"/>
      <c r="BW172" s="6">
        <f t="shared" si="105"/>
        <v>2.7401669256310912</v>
      </c>
      <c r="BX172" s="9">
        <f t="shared" ca="1" si="109"/>
        <v>-150.86715458030585</v>
      </c>
      <c r="BY172" s="9">
        <f t="shared" ca="1" si="110"/>
        <v>46.188556170819098</v>
      </c>
      <c r="BZ172">
        <f t="shared" ca="1" si="111"/>
        <v>157.77921616075676</v>
      </c>
      <c r="CA172" s="6">
        <f t="shared" ca="1" si="112"/>
        <v>-0.95619155837731884</v>
      </c>
      <c r="CB172" s="6">
        <f t="shared" ca="1" si="113"/>
        <v>0.29274170131355509</v>
      </c>
      <c r="CC172" s="6">
        <f t="shared" ca="1" si="114"/>
        <v>2.8444997554705065</v>
      </c>
      <c r="CD172" s="6">
        <f t="shared" ca="1" si="106"/>
        <v>9.1676472228647832E-2</v>
      </c>
      <c r="CE172" s="9">
        <f t="shared" ca="1" si="107"/>
        <v>-73.474135909484048</v>
      </c>
      <c r="CF172" s="9">
        <f t="shared" ca="1" si="108"/>
        <v>20.390883280545165</v>
      </c>
      <c r="CG172">
        <f t="shared" ca="1" si="115"/>
        <v>76.251142736395437</v>
      </c>
      <c r="CH172">
        <f t="shared" ca="1" si="116"/>
        <v>-0.96358078413969928</v>
      </c>
      <c r="CI172">
        <f t="shared" ca="1" si="117"/>
        <v>0.26741741236636435</v>
      </c>
      <c r="CJ172">
        <f t="shared" ca="1" si="118"/>
        <v>2.8708808212288326</v>
      </c>
      <c r="CK172" s="38">
        <f t="shared" ca="1" si="119"/>
        <v>0.51468633103648775</v>
      </c>
    </row>
    <row r="173" spans="1:89" x14ac:dyDescent="0.25">
      <c r="A173" s="1" t="str">
        <f t="shared" si="181"/>
        <v>Segment 6</v>
      </c>
      <c r="B173" s="1">
        <f t="shared" si="181"/>
        <v>12.729527944049432</v>
      </c>
      <c r="C173" s="1">
        <f t="shared" si="181"/>
        <v>4.2378199963736805</v>
      </c>
      <c r="D173" s="1">
        <f t="shared" si="181"/>
        <v>4.8103610415234206</v>
      </c>
      <c r="E173" s="1">
        <f t="shared" si="181"/>
        <v>5.3721901167208994</v>
      </c>
      <c r="F173" s="6">
        <f t="shared" si="184"/>
        <v>1</v>
      </c>
      <c r="G173" s="6">
        <f t="shared" si="185"/>
        <v>1</v>
      </c>
      <c r="H173" s="1">
        <f t="shared" si="186"/>
        <v>4.8103610415234206</v>
      </c>
      <c r="I173" s="1">
        <f t="shared" si="187"/>
        <v>5.3721901167208994</v>
      </c>
      <c r="J173">
        <f t="shared" si="188"/>
        <v>4.8103610415234206</v>
      </c>
      <c r="K173">
        <f t="shared" si="189"/>
        <v>5.3721901167208994</v>
      </c>
      <c r="L173" s="6">
        <f t="shared" si="190"/>
        <v>4250</v>
      </c>
      <c r="M173" s="6">
        <f t="shared" si="191"/>
        <v>4250</v>
      </c>
      <c r="N173" s="10">
        <f t="shared" si="192"/>
        <v>0</v>
      </c>
      <c r="O173" s="10">
        <f t="shared" si="193"/>
        <v>0</v>
      </c>
      <c r="P173" s="10">
        <f t="shared" si="194"/>
        <v>0</v>
      </c>
      <c r="BC173">
        <v>2.9845130209102946</v>
      </c>
      <c r="BD173">
        <v>-77.504268527028643</v>
      </c>
      <c r="BE173">
        <v>9.9948845151514689</v>
      </c>
      <c r="BF173" s="6">
        <f t="shared" si="169"/>
        <v>3.0133413383272614</v>
      </c>
      <c r="BG173" s="6">
        <f t="shared" si="170"/>
        <v>2.8828317416966787E-2</v>
      </c>
      <c r="BH173" s="6">
        <f t="shared" si="171"/>
        <v>-0.65714684813491653</v>
      </c>
      <c r="BI173" s="6">
        <f t="shared" si="172"/>
        <v>0.65714684813491653</v>
      </c>
      <c r="BV173" s="38"/>
      <c r="BW173" s="6">
        <f t="shared" si="105"/>
        <v>2.7576202181510343</v>
      </c>
      <c r="BX173" s="9">
        <f t="shared" ca="1" si="109"/>
        <v>-151.12234922255942</v>
      </c>
      <c r="BY173" s="9">
        <f t="shared" ca="1" si="110"/>
        <v>45.654056941843436</v>
      </c>
      <c r="BZ173">
        <f t="shared" ca="1" si="111"/>
        <v>157.867847739159</v>
      </c>
      <c r="CA173" s="6">
        <f t="shared" ca="1" si="112"/>
        <v>-0.95727123278614024</v>
      </c>
      <c r="CB173" s="6">
        <f t="shared" ca="1" si="113"/>
        <v>0.28919160928371218</v>
      </c>
      <c r="CC173" s="6">
        <f t="shared" ca="1" si="114"/>
        <v>2.8482103977394249</v>
      </c>
      <c r="CD173" s="6">
        <f t="shared" ca="1" si="106"/>
        <v>9.5387114497566206E-2</v>
      </c>
      <c r="CE173" s="9">
        <f t="shared" ca="1" si="107"/>
        <v>-73.729330551737618</v>
      </c>
      <c r="CF173" s="9">
        <f t="shared" ca="1" si="108"/>
        <v>19.856384051569503</v>
      </c>
      <c r="CG173">
        <f t="shared" ca="1" si="115"/>
        <v>76.35633681110437</v>
      </c>
      <c r="CH173">
        <f t="shared" ca="1" si="116"/>
        <v>-0.96559543884529686</v>
      </c>
      <c r="CI173">
        <f t="shared" ca="1" si="117"/>
        <v>0.26004893478181923</v>
      </c>
      <c r="CJ173">
        <f t="shared" ca="1" si="118"/>
        <v>2.8785197726789904</v>
      </c>
      <c r="CK173" s="38">
        <f t="shared" ca="1" si="119"/>
        <v>0.52232528248664556</v>
      </c>
    </row>
    <row r="174" spans="1:89" x14ac:dyDescent="0.25">
      <c r="A174" s="1" t="str">
        <f t="shared" si="181"/>
        <v>Segment 7</v>
      </c>
      <c r="B174" s="1">
        <f t="shared" si="181"/>
        <v>4.8103610415234206</v>
      </c>
      <c r="C174" s="1">
        <f t="shared" si="181"/>
        <v>5.3721901167208994</v>
      </c>
      <c r="D174" s="1">
        <f t="shared" si="181"/>
        <v>4.8103610415234206</v>
      </c>
      <c r="E174" s="1">
        <f t="shared" si="181"/>
        <v>5.3721901167208994</v>
      </c>
      <c r="F174" s="6">
        <f t="shared" si="184"/>
        <v>0</v>
      </c>
      <c r="G174" s="6">
        <f t="shared" si="185"/>
        <v>0</v>
      </c>
      <c r="H174" s="1">
        <f t="shared" si="186"/>
        <v>0</v>
      </c>
      <c r="I174" s="1">
        <f t="shared" si="187"/>
        <v>0</v>
      </c>
      <c r="J174">
        <f t="shared" si="188"/>
        <v>0</v>
      </c>
      <c r="K174">
        <f t="shared" si="189"/>
        <v>0</v>
      </c>
      <c r="L174" s="6">
        <f t="shared" si="190"/>
        <v>4250</v>
      </c>
      <c r="M174" s="6">
        <f t="shared" si="191"/>
        <v>4250</v>
      </c>
      <c r="N174" s="10">
        <f t="shared" si="192"/>
        <v>0</v>
      </c>
      <c r="O174" s="10">
        <f t="shared" si="193"/>
        <v>0</v>
      </c>
      <c r="P174" s="10">
        <f t="shared" si="194"/>
        <v>0</v>
      </c>
      <c r="BC174">
        <v>3.0019663134302377</v>
      </c>
      <c r="BD174">
        <v>-77.796475168332989</v>
      </c>
      <c r="BE174">
        <v>9.0568160466692511</v>
      </c>
      <c r="BF174" s="6">
        <f t="shared" si="169"/>
        <v>3.0256975533311854</v>
      </c>
      <c r="BG174" s="6">
        <f t="shared" si="170"/>
        <v>2.373123990094772E-2</v>
      </c>
      <c r="BH174" s="6">
        <f t="shared" si="171"/>
        <v>-0.66950306313884056</v>
      </c>
      <c r="BI174" s="6">
        <f t="shared" si="172"/>
        <v>0.66950306313884056</v>
      </c>
      <c r="BV174" s="38"/>
      <c r="BW174" s="6">
        <f t="shared" si="105"/>
        <v>2.7750735106709774</v>
      </c>
      <c r="BX174" s="9">
        <f t="shared" ca="1" si="109"/>
        <v>-151.38534716242435</v>
      </c>
      <c r="BY174" s="9">
        <f t="shared" ca="1" si="110"/>
        <v>45.084138019231318</v>
      </c>
      <c r="BZ174">
        <f t="shared" ca="1" si="111"/>
        <v>157.95601551199258</v>
      </c>
      <c r="CA174" s="6">
        <f t="shared" ca="1" si="112"/>
        <v>-0.95840191126453578</v>
      </c>
      <c r="CB174" s="6">
        <f t="shared" ca="1" si="113"/>
        <v>0.28542210230548876</v>
      </c>
      <c r="CC174" s="6">
        <f t="shared" ca="1" si="114"/>
        <v>2.8521458312186336</v>
      </c>
      <c r="CD174" s="6">
        <f t="shared" ca="1" si="106"/>
        <v>9.9322547976774977E-2</v>
      </c>
      <c r="CE174" s="9">
        <f t="shared" ca="1" si="107"/>
        <v>-73.992328491602549</v>
      </c>
      <c r="CF174" s="9">
        <f t="shared" ca="1" si="108"/>
        <v>19.286465128957385</v>
      </c>
      <c r="CG174">
        <f t="shared" ca="1" si="115"/>
        <v>76.464582734621047</v>
      </c>
      <c r="CH174">
        <f t="shared" ca="1" si="116"/>
        <v>-0.96766798229189666</v>
      </c>
      <c r="CI174">
        <f t="shared" ca="1" si="117"/>
        <v>0.25222742921246605</v>
      </c>
      <c r="CJ174">
        <f t="shared" ca="1" si="118"/>
        <v>2.8866112337906262</v>
      </c>
      <c r="CK174" s="38">
        <f t="shared" ca="1" si="119"/>
        <v>0.53041674359828139</v>
      </c>
    </row>
    <row r="175" spans="1:89" ht="15.75" thickBot="1" x14ac:dyDescent="0.3">
      <c r="A175" s="1" t="str">
        <f t="shared" si="181"/>
        <v>Segment 8</v>
      </c>
      <c r="B175" s="1">
        <f t="shared" si="181"/>
        <v>4.8103610415234206</v>
      </c>
      <c r="C175" s="1">
        <f t="shared" si="181"/>
        <v>5.3721901167208994</v>
      </c>
      <c r="D175" s="1">
        <f t="shared" si="181"/>
        <v>-11.027972763528604</v>
      </c>
      <c r="E175" s="1">
        <f t="shared" si="181"/>
        <v>7.6409303574153373</v>
      </c>
      <c r="F175" s="6">
        <f t="shared" si="184"/>
        <v>1</v>
      </c>
      <c r="G175" s="6">
        <f t="shared" si="185"/>
        <v>0.51772255586015747</v>
      </c>
      <c r="H175" s="1">
        <f t="shared" si="186"/>
        <v>-3.3895016165944467</v>
      </c>
      <c r="I175" s="1">
        <f t="shared" si="187"/>
        <v>6.5467681127160127</v>
      </c>
      <c r="J175">
        <f t="shared" si="188"/>
        <v>-11.027972763528602</v>
      </c>
      <c r="K175">
        <f t="shared" si="189"/>
        <v>7.6409303574153373</v>
      </c>
      <c r="L175" s="6">
        <f t="shared" si="190"/>
        <v>4250</v>
      </c>
      <c r="M175" s="6">
        <f t="shared" si="191"/>
        <v>4250</v>
      </c>
      <c r="N175" s="11">
        <f t="shared" si="192"/>
        <v>-33521.994277632184</v>
      </c>
      <c r="O175" s="11">
        <f t="shared" si="193"/>
        <v>-241038.7245848091</v>
      </c>
      <c r="P175" s="11">
        <f t="shared" si="194"/>
        <v>132130.66848984075</v>
      </c>
      <c r="BC175">
        <v>3.0194196059501808</v>
      </c>
      <c r="BD175">
        <v>-78.081684574174034</v>
      </c>
      <c r="BE175">
        <v>8.1048477385966819</v>
      </c>
      <c r="BF175" s="6">
        <f t="shared" si="169"/>
        <v>3.0381634519197926</v>
      </c>
      <c r="BG175" s="6">
        <f t="shared" si="170"/>
        <v>1.8743845969611872E-2</v>
      </c>
      <c r="BH175" s="6">
        <f t="shared" si="171"/>
        <v>-0.68196896172744781</v>
      </c>
      <c r="BI175" s="6">
        <f t="shared" si="172"/>
        <v>0.68196896172744781</v>
      </c>
      <c r="BV175" s="38"/>
      <c r="BW175" s="6">
        <f t="shared" si="105"/>
        <v>2.7925268031909205</v>
      </c>
      <c r="BX175" s="9">
        <f t="shared" ca="1" si="109"/>
        <v>-151.6551626716064</v>
      </c>
      <c r="BY175" s="9">
        <f t="shared" ca="1" si="110"/>
        <v>44.480265726806309</v>
      </c>
      <c r="BZ175">
        <f t="shared" ca="1" si="111"/>
        <v>158.04360918454975</v>
      </c>
      <c r="CA175" s="6">
        <f t="shared" ca="1" si="112"/>
        <v>-0.95957795101044885</v>
      </c>
      <c r="CB175" s="6">
        <f t="shared" ca="1" si="113"/>
        <v>0.28144298878207769</v>
      </c>
      <c r="CC175" s="6">
        <f t="shared" ca="1" si="114"/>
        <v>2.8562951008672135</v>
      </c>
      <c r="CD175" s="6">
        <f t="shared" ca="1" si="106"/>
        <v>0.10347181762535484</v>
      </c>
      <c r="CE175" s="9">
        <f t="shared" ca="1" si="107"/>
        <v>-74.262144000784602</v>
      </c>
      <c r="CF175" s="9">
        <f t="shared" ca="1" si="108"/>
        <v>18.682592836532375</v>
      </c>
      <c r="CG175">
        <f t="shared" ca="1" si="115"/>
        <v>76.57614058366299</v>
      </c>
      <c r="CH175">
        <f t="shared" ca="1" si="116"/>
        <v>-0.96978175492730345</v>
      </c>
      <c r="CI175">
        <f t="shared" ca="1" si="117"/>
        <v>0.24397407200380875</v>
      </c>
      <c r="CJ175">
        <f t="shared" ca="1" si="118"/>
        <v>2.8951309978150594</v>
      </c>
      <c r="CK175" s="38">
        <f t="shared" ca="1" si="119"/>
        <v>0.53893650762271461</v>
      </c>
    </row>
    <row r="176" spans="1:89" ht="15.75" thickTop="1" x14ac:dyDescent="0.25">
      <c r="M176" s="9"/>
      <c r="N176" s="9">
        <f>SUM(N168:N175)</f>
        <v>18124.585507201111</v>
      </c>
      <c r="O176" s="9">
        <f t="shared" ref="O176:P176" si="195">SUM(O168:O175)</f>
        <v>125267.87084234034</v>
      </c>
      <c r="P176" s="9">
        <f t="shared" si="195"/>
        <v>-154676.29356297094</v>
      </c>
      <c r="BC176">
        <v>3.0368728984701239</v>
      </c>
      <c r="BD176">
        <v>-78.358074782213535</v>
      </c>
      <c r="BE176">
        <v>7.1426417971291283</v>
      </c>
      <c r="BF176" s="6">
        <f t="shared" si="169"/>
        <v>3.0506899986040885</v>
      </c>
      <c r="BG176" s="6">
        <f t="shared" si="170"/>
        <v>1.3817100133964644E-2</v>
      </c>
      <c r="BH176" s="6">
        <f t="shared" si="171"/>
        <v>-0.69449550841174368</v>
      </c>
      <c r="BI176" s="6">
        <f t="shared" si="172"/>
        <v>0.69449550841174368</v>
      </c>
      <c r="BV176" s="38"/>
      <c r="BW176" s="6">
        <f t="shared" si="105"/>
        <v>2.8099800957108636</v>
      </c>
      <c r="BX176" s="9">
        <f t="shared" ca="1" si="109"/>
        <v>-151.93090437875202</v>
      </c>
      <c r="BY176" s="9">
        <f t="shared" ca="1" si="110"/>
        <v>43.843714223573002</v>
      </c>
      <c r="BZ176">
        <f t="shared" ca="1" si="111"/>
        <v>158.13055043938797</v>
      </c>
      <c r="CA176" s="6">
        <f t="shared" ca="1" si="112"/>
        <v>-0.96079412837424916</v>
      </c>
      <c r="CB176" s="6">
        <f t="shared" ca="1" si="113"/>
        <v>0.27726276865379318</v>
      </c>
      <c r="CC176" s="6">
        <f t="shared" ca="1" si="114"/>
        <v>2.8606486462772134</v>
      </c>
      <c r="CD176" s="6">
        <f t="shared" ca="1" si="106"/>
        <v>0.10782536303535473</v>
      </c>
      <c r="CE176" s="9">
        <f t="shared" ca="1" si="107"/>
        <v>-74.537885707930215</v>
      </c>
      <c r="CF176" s="9">
        <f t="shared" ca="1" si="108"/>
        <v>18.046041333299069</v>
      </c>
      <c r="CG176">
        <f t="shared" ca="1" si="115"/>
        <v>76.691303376664592</v>
      </c>
      <c r="CH176">
        <f t="shared" ca="1" si="116"/>
        <v>-0.97192096660350136</v>
      </c>
      <c r="CI176">
        <f t="shared" ca="1" si="117"/>
        <v>0.23530753212873504</v>
      </c>
      <c r="CJ176">
        <f t="shared" ca="1" si="118"/>
        <v>2.9040576808020879</v>
      </c>
      <c r="CK176" s="38">
        <f t="shared" ca="1" si="119"/>
        <v>0.54786319060974309</v>
      </c>
    </row>
    <row r="177" spans="1:89" x14ac:dyDescent="0.25">
      <c r="BC177">
        <v>3.054326190990067</v>
      </c>
      <c r="BD177">
        <v>-78.624148315089712</v>
      </c>
      <c r="BE177">
        <v>6.1734630207446539</v>
      </c>
      <c r="BF177" s="6">
        <f t="shared" si="169"/>
        <v>3.0632347566943108</v>
      </c>
      <c r="BG177" s="6">
        <f t="shared" si="170"/>
        <v>8.9085657042438093E-3</v>
      </c>
      <c r="BH177" s="6">
        <f t="shared" si="171"/>
        <v>-0.70704026650196583</v>
      </c>
      <c r="BI177" s="6">
        <f t="shared" si="172"/>
        <v>0.70704026650196583</v>
      </c>
      <c r="BV177" s="38"/>
      <c r="BW177" s="6">
        <f t="shared" si="105"/>
        <v>2.8274333882308067</v>
      </c>
      <c r="BX177" s="9">
        <f t="shared" ca="1" si="109"/>
        <v>-152.21174604281526</v>
      </c>
      <c r="BY177" s="9">
        <f t="shared" ca="1" si="110"/>
        <v>43.175614986914418</v>
      </c>
      <c r="BZ177">
        <f t="shared" ca="1" si="111"/>
        <v>158.21677965026578</v>
      </c>
      <c r="CA177" s="6">
        <f t="shared" ca="1" si="112"/>
        <v>-0.96204553258684389</v>
      </c>
      <c r="CB177" s="6">
        <f t="shared" ca="1" si="113"/>
        <v>0.27288897601349887</v>
      </c>
      <c r="CC177" s="6">
        <f t="shared" ca="1" si="114"/>
        <v>2.8651979440535356</v>
      </c>
      <c r="CD177" s="6">
        <f t="shared" ca="1" si="106"/>
        <v>0.11237466081167691</v>
      </c>
      <c r="CE177" s="9">
        <f t="shared" ca="1" si="107"/>
        <v>-74.818727371993461</v>
      </c>
      <c r="CF177" s="9">
        <f t="shared" ca="1" si="108"/>
        <v>17.377942096640485</v>
      </c>
      <c r="CG177">
        <f t="shared" ca="1" si="115"/>
        <v>76.810382352120044</v>
      </c>
      <c r="CH177">
        <f t="shared" ca="1" si="116"/>
        <v>-0.97407049777468513</v>
      </c>
      <c r="CI177">
        <f t="shared" ca="1" si="117"/>
        <v>0.2262447024020163</v>
      </c>
      <c r="CJ177">
        <f t="shared" ca="1" si="118"/>
        <v>2.9133719705831957</v>
      </c>
      <c r="CK177" s="38">
        <f t="shared" ca="1" si="119"/>
        <v>0.55717748039085091</v>
      </c>
    </row>
    <row r="178" spans="1:89" x14ac:dyDescent="0.25">
      <c r="A178" t="s">
        <v>194</v>
      </c>
      <c r="B178">
        <f>(N176+M165)/1000</f>
        <v>120.51566944612038</v>
      </c>
      <c r="C178" t="s">
        <v>68</v>
      </c>
      <c r="BC178">
        <v>3.0717794835100101</v>
      </c>
      <c r="BD178">
        <v>-78.879419485293852</v>
      </c>
      <c r="BE178">
        <v>5.198363845366103</v>
      </c>
      <c r="BF178" s="6">
        <f t="shared" si="169"/>
        <v>3.0757851507855603</v>
      </c>
      <c r="BG178" s="6">
        <f t="shared" si="170"/>
        <v>4.0056672755501843E-3</v>
      </c>
      <c r="BH178" s="6">
        <f t="shared" si="171"/>
        <v>-0.71959066059321541</v>
      </c>
      <c r="BI178" s="6">
        <f t="shared" si="172"/>
        <v>0.71959066059321541</v>
      </c>
      <c r="BV178" s="38"/>
      <c r="BW178" s="6">
        <f t="shared" si="105"/>
        <v>2.8448866807507498</v>
      </c>
      <c r="BX178" s="9">
        <f t="shared" ca="1" si="109"/>
        <v>-152.49689966331192</v>
      </c>
      <c r="BY178" s="9">
        <f t="shared" ca="1" si="110"/>
        <v>42.477003918251157</v>
      </c>
      <c r="BZ178">
        <f t="shared" ca="1" si="111"/>
        <v>158.30224341048785</v>
      </c>
      <c r="CA178" s="6">
        <f t="shared" ca="1" si="112"/>
        <v>-0.96332747014758158</v>
      </c>
      <c r="CB178" s="6">
        <f t="shared" ca="1" si="113"/>
        <v>0.26832850250963008</v>
      </c>
      <c r="CC178" s="6">
        <f t="shared" ca="1" si="114"/>
        <v>2.8699351715609329</v>
      </c>
      <c r="CD178" s="6">
        <f t="shared" ca="1" si="106"/>
        <v>0.11711188831907426</v>
      </c>
      <c r="CE178" s="9">
        <f t="shared" ca="1" si="107"/>
        <v>-75.103880992490119</v>
      </c>
      <c r="CF178" s="9">
        <f t="shared" ca="1" si="108"/>
        <v>16.679331027977224</v>
      </c>
      <c r="CG178">
        <f t="shared" ca="1" si="115"/>
        <v>76.933692382953794</v>
      </c>
      <c r="CH178">
        <f t="shared" ca="1" si="116"/>
        <v>-0.97621573417592644</v>
      </c>
      <c r="CI178">
        <f t="shared" ca="1" si="117"/>
        <v>0.21680138456051623</v>
      </c>
      <c r="CJ178">
        <f t="shared" ca="1" si="118"/>
        <v>2.9230559276228547</v>
      </c>
      <c r="CK178" s="38">
        <f t="shared" ca="1" si="119"/>
        <v>0.56686143743050987</v>
      </c>
    </row>
    <row r="179" spans="1:89" x14ac:dyDescent="0.25">
      <c r="A179" t="s">
        <v>100</v>
      </c>
      <c r="B179">
        <f>(N165+O176)/1000</f>
        <v>681.02931882274595</v>
      </c>
      <c r="C179" t="s">
        <v>69</v>
      </c>
      <c r="BC179">
        <v>3.0892327760299532</v>
      </c>
      <c r="BD179">
        <v>-79.124084511970466</v>
      </c>
      <c r="BE179">
        <v>4.2166768695712484</v>
      </c>
      <c r="BF179" s="6">
        <f t="shared" si="169"/>
        <v>3.0883510666392806</v>
      </c>
      <c r="BG179" s="6">
        <f t="shared" si="170"/>
        <v>8.8170939067255816E-4</v>
      </c>
      <c r="BH179" s="6">
        <f t="shared" si="171"/>
        <v>-0.73215657644693577</v>
      </c>
      <c r="BI179" s="6">
        <f t="shared" si="172"/>
        <v>0.73215657644693577</v>
      </c>
      <c r="BV179" s="38"/>
      <c r="BW179" s="6">
        <f t="shared" si="105"/>
        <v>2.8623399732706929</v>
      </c>
      <c r="BX179" s="9">
        <f t="shared" ca="1" si="109"/>
        <v>-152.78634805472723</v>
      </c>
      <c r="BY179" s="9">
        <f t="shared" ca="1" si="110"/>
        <v>41.747496007147099</v>
      </c>
      <c r="BZ179">
        <f t="shared" ca="1" si="111"/>
        <v>158.38725193261928</v>
      </c>
      <c r="CA179" s="6">
        <f t="shared" ca="1" si="112"/>
        <v>-0.96463791239793228</v>
      </c>
      <c r="CB179" s="6">
        <f t="shared" ca="1" si="113"/>
        <v>0.2635786371551368</v>
      </c>
      <c r="CC179" s="6">
        <f t="shared" ca="1" si="114"/>
        <v>2.8748624962810889</v>
      </c>
      <c r="CD179" s="6">
        <f t="shared" ca="1" si="106"/>
        <v>0.12203921303923027</v>
      </c>
      <c r="CE179" s="9">
        <f t="shared" ca="1" si="107"/>
        <v>-75.393329383905424</v>
      </c>
      <c r="CF179" s="9">
        <f t="shared" ca="1" si="108"/>
        <v>15.949823116873166</v>
      </c>
      <c r="CG179">
        <f t="shared" ca="1" si="115"/>
        <v>77.061994349027842</v>
      </c>
      <c r="CH179">
        <f t="shared" ca="1" si="116"/>
        <v>-0.97834646015564131</v>
      </c>
      <c r="CI179">
        <f t="shared" ca="1" si="117"/>
        <v>0.20697392082319468</v>
      </c>
      <c r="CJ179">
        <f t="shared" ca="1" si="118"/>
        <v>2.9331117661661485</v>
      </c>
      <c r="CK179" s="38">
        <f t="shared" ca="1" si="119"/>
        <v>0.57691727597380371</v>
      </c>
    </row>
    <row r="180" spans="1:89" x14ac:dyDescent="0.25">
      <c r="A180" t="s">
        <v>101</v>
      </c>
      <c r="B180">
        <f>-1*(O165+P176)/1000</f>
        <v>509.43154551563595</v>
      </c>
      <c r="C180" t="s">
        <v>69</v>
      </c>
      <c r="BC180">
        <v>3.1066860685498963</v>
      </c>
      <c r="BD180">
        <v>-79.35836155053704</v>
      </c>
      <c r="BE180">
        <v>3.2276028535427677</v>
      </c>
      <c r="BF180" s="6">
        <f t="shared" si="169"/>
        <v>3.1009438182475155</v>
      </c>
      <c r="BG180" s="6">
        <f t="shared" si="170"/>
        <v>5.7422503023807359E-3</v>
      </c>
      <c r="BH180" s="6">
        <f t="shared" si="171"/>
        <v>-0.74474932805517069</v>
      </c>
      <c r="BI180" s="6">
        <f t="shared" si="172"/>
        <v>0.74474932805517069</v>
      </c>
      <c r="BV180" s="38"/>
      <c r="BW180" s="6">
        <f t="shared" si="105"/>
        <v>2.879793265790636</v>
      </c>
      <c r="BX180" s="9">
        <f t="shared" ca="1" si="109"/>
        <v>-153.08625282241016</v>
      </c>
      <c r="BY180" s="9">
        <f t="shared" ca="1" si="110"/>
        <v>40.9753029529843</v>
      </c>
      <c r="BZ180">
        <f t="shared" ca="1" si="111"/>
        <v>158.47515974213664</v>
      </c>
      <c r="CA180" s="6">
        <f t="shared" ca="1" si="112"/>
        <v>-0.96599525800450325</v>
      </c>
      <c r="CB180" s="6">
        <f t="shared" ca="1" si="113"/>
        <v>0.25855978324714984</v>
      </c>
      <c r="CC180" s="6">
        <f t="shared" ca="1" si="114"/>
        <v>2.8800616637660292</v>
      </c>
      <c r="CD180" s="6">
        <f t="shared" ca="1" si="106"/>
        <v>0.12723838052417058</v>
      </c>
      <c r="CE180" s="9">
        <f t="shared" ca="1" si="107"/>
        <v>-75.693234151588356</v>
      </c>
      <c r="CF180" s="9">
        <f t="shared" ca="1" si="108"/>
        <v>15.177630062710367</v>
      </c>
      <c r="CG180">
        <f t="shared" ca="1" si="115"/>
        <v>77.199910302070109</v>
      </c>
      <c r="CH180">
        <f t="shared" ca="1" si="116"/>
        <v>-0.98048344687725175</v>
      </c>
      <c r="CI180">
        <f t="shared" ca="1" si="117"/>
        <v>0.19660165411232844</v>
      </c>
      <c r="CJ180">
        <f t="shared" ca="1" si="118"/>
        <v>2.9437019350567901</v>
      </c>
      <c r="CK180" s="38">
        <f t="shared" ca="1" si="119"/>
        <v>0.58750744486444528</v>
      </c>
    </row>
    <row r="181" spans="1:89" x14ac:dyDescent="0.25">
      <c r="BC181">
        <v>3.1241393610698394</v>
      </c>
      <c r="BD181">
        <v>-79.582450033902958</v>
      </c>
      <c r="BE181">
        <v>2.2303154407200632</v>
      </c>
      <c r="BF181" s="6">
        <f t="shared" si="169"/>
        <v>3.1135747701407901</v>
      </c>
      <c r="BG181" s="6">
        <f t="shared" si="170"/>
        <v>1.0564590929049267E-2</v>
      </c>
      <c r="BH181" s="6">
        <f t="shared" si="171"/>
        <v>-0.75738027994844526</v>
      </c>
      <c r="BI181" s="6">
        <f t="shared" si="172"/>
        <v>0.75738027994844526</v>
      </c>
      <c r="BV181" s="38"/>
      <c r="BW181" s="6">
        <f t="shared" si="105"/>
        <v>2.8972465583105791</v>
      </c>
      <c r="BX181" s="9">
        <f t="shared" ca="1" si="109"/>
        <v>-153.38843397140016</v>
      </c>
      <c r="BY181" s="9">
        <f t="shared" ca="1" si="110"/>
        <v>40.174592460501984</v>
      </c>
      <c r="BZ181">
        <f t="shared" ca="1" si="111"/>
        <v>158.5623207308912</v>
      </c>
      <c r="CA181" s="6">
        <f t="shared" ca="1" si="112"/>
        <v>-0.96737001113731136</v>
      </c>
      <c r="CB181" s="6">
        <f t="shared" ca="1" si="113"/>
        <v>0.25336783843297489</v>
      </c>
      <c r="CC181" s="6">
        <f t="shared" ca="1" si="114"/>
        <v>2.8854325395299978</v>
      </c>
      <c r="CD181" s="6">
        <f t="shared" ca="1" si="106"/>
        <v>0.13260925628813913</v>
      </c>
      <c r="CE181" s="9">
        <f t="shared" ca="1" si="107"/>
        <v>-75.995415300578358</v>
      </c>
      <c r="CF181" s="9">
        <f t="shared" ca="1" si="108"/>
        <v>14.376919570228051</v>
      </c>
      <c r="CG181">
        <f t="shared" ca="1" si="115"/>
        <v>77.3433834470421</v>
      </c>
      <c r="CH181">
        <f t="shared" ca="1" si="116"/>
        <v>-0.98257164237731198</v>
      </c>
      <c r="CI181">
        <f t="shared" ca="1" si="117"/>
        <v>0.18588428550028577</v>
      </c>
      <c r="CJ181">
        <f t="shared" ca="1" si="118"/>
        <v>2.9546208972296837</v>
      </c>
      <c r="CK181" s="38">
        <f t="shared" ca="1" si="119"/>
        <v>0.59842640703733885</v>
      </c>
    </row>
    <row r="182" spans="1:89" x14ac:dyDescent="0.25">
      <c r="A182" t="s">
        <v>54</v>
      </c>
      <c r="BC182">
        <v>3.1415926535897825</v>
      </c>
      <c r="BD182">
        <v>-79.796532593169047</v>
      </c>
      <c r="BE182">
        <v>1.2239573585557593</v>
      </c>
      <c r="BF182" s="6">
        <f t="shared" si="169"/>
        <v>3.1262553783227993</v>
      </c>
      <c r="BG182" s="6">
        <f t="shared" si="170"/>
        <v>1.5337275266983141E-2</v>
      </c>
      <c r="BH182" s="6">
        <f t="shared" si="171"/>
        <v>-0.77006088813045448</v>
      </c>
      <c r="BI182" s="6">
        <f t="shared" si="172"/>
        <v>0.77006088813045448</v>
      </c>
      <c r="BV182" s="38"/>
      <c r="BW182" s="6">
        <f t="shared" si="105"/>
        <v>2.9146998508305222</v>
      </c>
      <c r="BX182" s="9">
        <f t="shared" ca="1" si="109"/>
        <v>-153.69196875972358</v>
      </c>
      <c r="BY182" s="9">
        <f t="shared" ca="1" si="110"/>
        <v>39.346550809854691</v>
      </c>
      <c r="BZ182">
        <f t="shared" ca="1" si="111"/>
        <v>158.64858121607116</v>
      </c>
      <c r="CA182" s="6">
        <f t="shared" ca="1" si="112"/>
        <v>-0.96875728469580868</v>
      </c>
      <c r="CB182" s="6">
        <f t="shared" ca="1" si="113"/>
        <v>0.24801073232584869</v>
      </c>
      <c r="CC182" s="6">
        <f t="shared" ca="1" si="114"/>
        <v>2.8909663620711861</v>
      </c>
      <c r="CD182" s="6">
        <f t="shared" ca="1" si="106"/>
        <v>0.13814307882932741</v>
      </c>
      <c r="CE182" s="9">
        <f t="shared" ca="1" si="107"/>
        <v>-76.298950088901776</v>
      </c>
      <c r="CF182" s="9">
        <f t="shared" ca="1" si="108"/>
        <v>13.548877919580757</v>
      </c>
      <c r="CG182">
        <f t="shared" ca="1" si="115"/>
        <v>77.492592404360991</v>
      </c>
      <c r="CH182">
        <f t="shared" ca="1" si="116"/>
        <v>-0.98459669139431139</v>
      </c>
      <c r="CI182">
        <f t="shared" ca="1" si="117"/>
        <v>0.17484094284627749</v>
      </c>
      <c r="CJ182">
        <f t="shared" ca="1" si="118"/>
        <v>2.9658484332326838</v>
      </c>
      <c r="CK182" s="38">
        <f t="shared" ca="1" si="119"/>
        <v>0.60965394304033893</v>
      </c>
    </row>
    <row r="183" spans="1:89" x14ac:dyDescent="0.25">
      <c r="BC183">
        <v>3.1590459461097256</v>
      </c>
      <c r="BD183">
        <v>-79.564564406537684</v>
      </c>
      <c r="BE183">
        <v>0.45740384261383737</v>
      </c>
      <c r="BF183" s="6">
        <f t="shared" si="169"/>
        <v>3.1358438782751787</v>
      </c>
      <c r="BG183" s="6">
        <f t="shared" si="170"/>
        <v>2.3202067834546813E-2</v>
      </c>
      <c r="BH183" s="6">
        <f t="shared" si="171"/>
        <v>-0.77964938808283391</v>
      </c>
      <c r="BI183" s="6">
        <f t="shared" si="172"/>
        <v>0.77964938808283391</v>
      </c>
      <c r="BV183" s="38"/>
      <c r="BW183" s="6">
        <f t="shared" si="105"/>
        <v>2.9321531433504653</v>
      </c>
      <c r="BX183" s="9">
        <f t="shared" ca="1" si="109"/>
        <v>-153.99583974056409</v>
      </c>
      <c r="BY183" s="9">
        <f t="shared" ca="1" si="110"/>
        <v>38.492541174253248</v>
      </c>
      <c r="BZ183">
        <f t="shared" ca="1" si="111"/>
        <v>158.7337216329696</v>
      </c>
      <c r="CA183" s="6">
        <f t="shared" ca="1" si="112"/>
        <v>-0.97015201405432538</v>
      </c>
      <c r="CB183" s="6">
        <f t="shared" ca="1" si="113"/>
        <v>0.24249756622765531</v>
      </c>
      <c r="CC183" s="6">
        <f t="shared" ca="1" si="114"/>
        <v>2.8966532203926065</v>
      </c>
      <c r="CD183" s="6">
        <f t="shared" ca="1" si="106"/>
        <v>0.14382993715074788</v>
      </c>
      <c r="CE183" s="9">
        <f t="shared" ca="1" si="107"/>
        <v>-76.602821069742291</v>
      </c>
      <c r="CF183" s="9">
        <f t="shared" ca="1" si="108"/>
        <v>12.694868283979314</v>
      </c>
      <c r="CG183">
        <f t="shared" ca="1" si="115"/>
        <v>77.647613463586481</v>
      </c>
      <c r="CH183">
        <f t="shared" ca="1" si="116"/>
        <v>-0.98654443649663293</v>
      </c>
      <c r="CI183">
        <f t="shared" ca="1" si="117"/>
        <v>0.16349334793055401</v>
      </c>
      <c r="CJ183">
        <f t="shared" ca="1" si="118"/>
        <v>2.9773620376102365</v>
      </c>
      <c r="CK183" s="38">
        <f t="shared" ca="1" si="119"/>
        <v>0.62116754741789171</v>
      </c>
    </row>
    <row r="184" spans="1:89" x14ac:dyDescent="0.25">
      <c r="A184">
        <f>A14</f>
        <v>0</v>
      </c>
      <c r="B184" t="str">
        <f t="shared" ref="B184:E184" si="196">B14</f>
        <v>Bar #</v>
      </c>
      <c r="C184" t="str">
        <f t="shared" si="196"/>
        <v>As (in^2)</v>
      </c>
      <c r="D184" t="str">
        <f t="shared" si="196"/>
        <v>x</v>
      </c>
      <c r="E184" t="str">
        <f t="shared" si="196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195</v>
      </c>
      <c r="M184" s="1" t="s">
        <v>59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-79.339685424366763</v>
      </c>
      <c r="BE184">
        <v>-0.29869383682839434</v>
      </c>
      <c r="BF184" s="6">
        <f t="shared" si="169"/>
        <v>3.1453573827298409</v>
      </c>
      <c r="BG184" s="6">
        <f t="shared" si="170"/>
        <v>3.1141855899827764E-2</v>
      </c>
      <c r="BH184" s="6">
        <f t="shared" si="171"/>
        <v>-0.78916289253749605</v>
      </c>
      <c r="BI184" s="6">
        <f t="shared" si="172"/>
        <v>0.78916289253749605</v>
      </c>
      <c r="BV184" s="38"/>
      <c r="BW184" s="6">
        <f t="shared" si="105"/>
        <v>2.9496064358704084</v>
      </c>
      <c r="BX184" s="9">
        <f t="shared" ca="1" si="109"/>
        <v>-154.29890618929059</v>
      </c>
      <c r="BY184" s="9">
        <f t="shared" ca="1" si="110"/>
        <v>37.614176189347276</v>
      </c>
      <c r="BZ184">
        <f t="shared" ca="1" si="111"/>
        <v>158.81743827934878</v>
      </c>
      <c r="CA184" s="6">
        <f t="shared" ca="1" si="112"/>
        <v>-0.9715488919918831</v>
      </c>
      <c r="CB184" s="6">
        <f t="shared" ca="1" si="113"/>
        <v>0.23683908138089074</v>
      </c>
      <c r="CC184" s="6">
        <f t="shared" ca="1" si="114"/>
        <v>2.9024815833613782</v>
      </c>
      <c r="CD184" s="6">
        <f t="shared" ca="1" si="106"/>
        <v>0.14965830011951953</v>
      </c>
      <c r="CE184" s="9">
        <f t="shared" ca="1" si="107"/>
        <v>-76.905887518468788</v>
      </c>
      <c r="CF184" s="9">
        <f t="shared" ca="1" si="108"/>
        <v>11.816503299073343</v>
      </c>
      <c r="CG184">
        <f t="shared" ca="1" si="115"/>
        <v>77.808388270291161</v>
      </c>
      <c r="CH184">
        <f t="shared" ca="1" si="116"/>
        <v>-0.9884009838542438</v>
      </c>
      <c r="CI184">
        <f t="shared" ca="1" si="117"/>
        <v>0.15186670180116205</v>
      </c>
      <c r="CJ184">
        <f t="shared" ca="1" si="118"/>
        <v>2.9891360458386078</v>
      </c>
      <c r="CK184" s="38">
        <f t="shared" ca="1" si="119"/>
        <v>0.63294155564626298</v>
      </c>
    </row>
    <row r="185" spans="1:89" x14ac:dyDescent="0.25">
      <c r="A185">
        <f t="shared" ref="A185:E194" si="197">A15</f>
        <v>1</v>
      </c>
      <c r="B185">
        <f t="shared" si="197"/>
        <v>8</v>
      </c>
      <c r="C185">
        <f t="shared" ca="1" si="197"/>
        <v>0.79</v>
      </c>
      <c r="D185">
        <f t="shared" si="197"/>
        <v>2</v>
      </c>
      <c r="E185">
        <f t="shared" si="197"/>
        <v>2</v>
      </c>
      <c r="F185" s="1">
        <f t="shared" ref="F185:F194" si="198">D185-$I$2</f>
        <v>-4</v>
      </c>
      <c r="G185" s="1">
        <f t="shared" ref="G185:G194" si="199">E185-$I$3</f>
        <v>-10</v>
      </c>
      <c r="H185" s="6">
        <f t="shared" ref="H185:H194" si="200">F185*COS($B$27)+G185*SIN($B$27)</f>
        <v>-9.3317735679839053</v>
      </c>
      <c r="I185" s="6">
        <f t="shared" ref="I185:I194" si="201">-1*F185*SIN($B$27)+G185*COS($B$27)</f>
        <v>5.3775461016970301</v>
      </c>
      <c r="J185" s="6">
        <f t="shared" ref="J185:J194" si="202">$G$38-I185</f>
        <v>2.2633842557183073</v>
      </c>
      <c r="K185">
        <f t="shared" ref="K185:K194" ca="1" si="203">IF($B$28=0,-1,IF(C185=0,0,(($B$28-J185)/$B$28)*$B$30)*IF($B$28&lt;0,-1,1))</f>
        <v>1.1098327563455867E-3</v>
      </c>
      <c r="L185">
        <f ca="1">IF(K185&lt;0,0,IF(K185&lt;=$B$145,0.85*$B$143*((2*K185/$B$145)-POWER(K185/$B$145,2)),0.85*$B$143))/1000</f>
        <v>3.3190404346470843</v>
      </c>
      <c r="M185">
        <f ca="1">IF(K185&gt;0,MIN((K185*B$13),B$12)-L185,MAX(K185*B$13,-1*B$12))</f>
        <v>28.866109499374929</v>
      </c>
      <c r="N185" s="6">
        <f t="shared" ref="N185:N194" ca="1" si="204">M185*C185</f>
        <v>22.804226504506193</v>
      </c>
      <c r="O185" s="6">
        <f t="shared" ref="O185:O194" ca="1" si="205">N185*I185</f>
        <v>122.63077934152336</v>
      </c>
      <c r="P185" s="6">
        <f t="shared" ref="P185:P194" ca="1" si="206">N185*H185*-1</f>
        <v>212.80387813306891</v>
      </c>
      <c r="BC185">
        <v>3.1939525311496118</v>
      </c>
      <c r="BD185">
        <v>-79.119108784456117</v>
      </c>
      <c r="BE185">
        <v>-1.0459737636214157</v>
      </c>
      <c r="BF185" s="6">
        <f t="shared" si="169"/>
        <v>3.154812125465321</v>
      </c>
      <c r="BG185" s="6">
        <f t="shared" si="170"/>
        <v>3.914040568429078E-2</v>
      </c>
      <c r="BH185" s="6">
        <f t="shared" si="171"/>
        <v>-0.79861763527297613</v>
      </c>
      <c r="BI185" s="6">
        <f t="shared" si="172"/>
        <v>0.79861763527297613</v>
      </c>
      <c r="BV185" s="38"/>
      <c r="BW185" s="6">
        <f t="shared" si="105"/>
        <v>2.9670597283903515</v>
      </c>
      <c r="BX185" s="9">
        <f t="shared" ca="1" si="109"/>
        <v>-154.59987670762732</v>
      </c>
      <c r="BY185" s="9">
        <f t="shared" ca="1" si="110"/>
        <v>36.713397452618722</v>
      </c>
      <c r="BZ185">
        <f t="shared" ca="1" si="111"/>
        <v>158.89932482716065</v>
      </c>
      <c r="CA185" s="6">
        <f t="shared" ca="1" si="112"/>
        <v>-0.97294231347924243</v>
      </c>
      <c r="CB185" s="6">
        <f t="shared" ca="1" si="113"/>
        <v>0.23104816519864346</v>
      </c>
      <c r="CC185" s="6">
        <f t="shared" ca="1" si="114"/>
        <v>2.9084377934443588</v>
      </c>
      <c r="CD185" s="6">
        <f t="shared" ca="1" si="106"/>
        <v>0.15561451020250017</v>
      </c>
      <c r="CE185" s="9">
        <f t="shared" ca="1" si="107"/>
        <v>-77.206858036805514</v>
      </c>
      <c r="CF185" s="9">
        <f t="shared" ca="1" si="108"/>
        <v>10.915724562344788</v>
      </c>
      <c r="CG185">
        <f t="shared" ca="1" si="115"/>
        <v>77.974688012433987</v>
      </c>
      <c r="CH185">
        <f t="shared" ca="1" si="116"/>
        <v>-0.99015283042227709</v>
      </c>
      <c r="CI185">
        <f t="shared" ca="1" si="117"/>
        <v>0.13999061542386868</v>
      </c>
      <c r="CJ185">
        <f t="shared" ca="1" si="118"/>
        <v>3.0011407167929733</v>
      </c>
      <c r="CK185" s="38">
        <f t="shared" ca="1" si="119"/>
        <v>0.6449462266006285</v>
      </c>
    </row>
    <row r="186" spans="1:89" x14ac:dyDescent="0.25">
      <c r="A186">
        <f t="shared" si="197"/>
        <v>2</v>
      </c>
      <c r="B186">
        <f t="shared" si="197"/>
        <v>8</v>
      </c>
      <c r="C186">
        <f t="shared" ca="1" si="197"/>
        <v>0.79</v>
      </c>
      <c r="D186">
        <f t="shared" si="197"/>
        <v>2</v>
      </c>
      <c r="E186">
        <f t="shared" si="197"/>
        <v>4</v>
      </c>
      <c r="F186" s="1">
        <f t="shared" si="198"/>
        <v>-4</v>
      </c>
      <c r="G186" s="1">
        <f t="shared" si="199"/>
        <v>-8</v>
      </c>
      <c r="H186" s="6">
        <f t="shared" si="200"/>
        <v>-7.3519818423524024</v>
      </c>
      <c r="I186" s="6">
        <f t="shared" si="201"/>
        <v>5.0939535716102249</v>
      </c>
      <c r="J186" s="6">
        <f t="shared" si="202"/>
        <v>2.5469767858051124</v>
      </c>
      <c r="K186">
        <f t="shared" ca="1" si="203"/>
        <v>8.7300274855486751E-4</v>
      </c>
      <c r="L186">
        <f t="shared" ref="L186:L194" ca="1" si="207">IF(K186&lt;0,0,IF(K186&lt;=$B$145,0.85*$B$143*((2*K186/$B$145)-POWER(K186/$B$145,2)),0.85*$B$143))/1000</f>
        <v>2.812667619479436</v>
      </c>
      <c r="M186">
        <f t="shared" ref="M186:M194" ca="1" si="208">IF(K186&gt;0,MIN((K186*B$13),B$12)-L186,MAX(K186*B$13,-1*B$12))</f>
        <v>22.504412088611723</v>
      </c>
      <c r="N186" s="6">
        <f t="shared" ca="1" si="204"/>
        <v>17.778485550003261</v>
      </c>
      <c r="O186" s="6">
        <f t="shared" ca="1" si="205"/>
        <v>90.562779965259878</v>
      </c>
      <c r="P186" s="6">
        <f t="shared" ca="1" si="206"/>
        <v>130.70710294814853</v>
      </c>
      <c r="BC186">
        <v>3.2114058236695548</v>
      </c>
      <c r="BD186">
        <v>-78.900518253028494</v>
      </c>
      <c r="BE186">
        <v>-1.7858660106583191</v>
      </c>
      <c r="BF186" s="6">
        <f t="shared" si="169"/>
        <v>3.1642231909793592</v>
      </c>
      <c r="BG186" s="6">
        <f t="shared" si="170"/>
        <v>4.7182632690195625E-2</v>
      </c>
      <c r="BH186" s="6">
        <f t="shared" si="171"/>
        <v>-0.80802870078701439</v>
      </c>
      <c r="BI186" s="6">
        <f t="shared" si="172"/>
        <v>0.80802870078701439</v>
      </c>
      <c r="BV186" s="38"/>
      <c r="BW186" s="6">
        <f t="shared" si="105"/>
        <v>2.9845130209102946</v>
      </c>
      <c r="BX186" s="9">
        <f t="shared" ca="1" si="109"/>
        <v>-154.89728719785046</v>
      </c>
      <c r="BY186" s="9">
        <f t="shared" ca="1" si="110"/>
        <v>35.792557405425399</v>
      </c>
      <c r="BZ186">
        <f t="shared" ca="1" si="111"/>
        <v>158.97885628873433</v>
      </c>
      <c r="CA186" s="6">
        <f t="shared" ca="1" si="112"/>
        <v>-0.97432634007964547</v>
      </c>
      <c r="CB186" s="6">
        <f t="shared" ca="1" si="113"/>
        <v>0.22514036294499218</v>
      </c>
      <c r="CC186" s="6">
        <f t="shared" ca="1" si="114"/>
        <v>2.9145055582767401</v>
      </c>
      <c r="CD186" s="6">
        <f t="shared" ca="1" si="106"/>
        <v>0.16168227503488142</v>
      </c>
      <c r="CE186" s="9">
        <f t="shared" ca="1" si="107"/>
        <v>-77.504268527028657</v>
      </c>
      <c r="CF186" s="9">
        <f t="shared" ca="1" si="108"/>
        <v>9.9948845151514654</v>
      </c>
      <c r="CG186">
        <f t="shared" ca="1" si="115"/>
        <v>78.14607703769255</v>
      </c>
      <c r="CH186">
        <f t="shared" ca="1" si="116"/>
        <v>-0.99178706679857609</v>
      </c>
      <c r="CI186">
        <f t="shared" ca="1" si="117"/>
        <v>0.12790001614963459</v>
      </c>
      <c r="CJ186">
        <f t="shared" ca="1" si="118"/>
        <v>3.0133413383272614</v>
      </c>
      <c r="CK186" s="38">
        <f t="shared" ca="1" si="119"/>
        <v>0.65714684813491653</v>
      </c>
    </row>
    <row r="187" spans="1:89" x14ac:dyDescent="0.25">
      <c r="A187">
        <f t="shared" si="197"/>
        <v>3</v>
      </c>
      <c r="B187">
        <f t="shared" si="197"/>
        <v>8</v>
      </c>
      <c r="C187">
        <f t="shared" ca="1" si="197"/>
        <v>0.79</v>
      </c>
      <c r="D187">
        <f t="shared" si="197"/>
        <v>4</v>
      </c>
      <c r="E187">
        <f t="shared" si="197"/>
        <v>2</v>
      </c>
      <c r="F187" s="1">
        <f t="shared" si="198"/>
        <v>-2</v>
      </c>
      <c r="G187" s="1">
        <f t="shared" si="199"/>
        <v>-10</v>
      </c>
      <c r="H187" s="6">
        <f t="shared" si="200"/>
        <v>-9.6153660980707105</v>
      </c>
      <c r="I187" s="6">
        <f t="shared" si="201"/>
        <v>3.3977543760655271</v>
      </c>
      <c r="J187" s="6">
        <f t="shared" si="202"/>
        <v>4.2431759813498102</v>
      </c>
      <c r="K187">
        <f t="shared" ca="1" si="203"/>
        <v>-5.4350447951810816E-4</v>
      </c>
      <c r="L187">
        <f t="shared" ca="1" si="207"/>
        <v>0</v>
      </c>
      <c r="M187">
        <f t="shared" ca="1" si="208"/>
        <v>-15.761629906025137</v>
      </c>
      <c r="N187" s="6">
        <f t="shared" ca="1" si="204"/>
        <v>-12.451687625759858</v>
      </c>
      <c r="O187" s="6">
        <f t="shared" ca="1" si="205"/>
        <v>-42.307776119826528</v>
      </c>
      <c r="P187" s="6">
        <f t="shared" ca="1" si="206"/>
        <v>-119.72753506049791</v>
      </c>
      <c r="BC187">
        <v>3.2288591161894979</v>
      </c>
      <c r="BD187">
        <v>-78.681958691487893</v>
      </c>
      <c r="BE187">
        <v>-2.5196369784775046</v>
      </c>
      <c r="BF187" s="6">
        <f t="shared" si="169"/>
        <v>3.1736047726818781</v>
      </c>
      <c r="BG187" s="6">
        <f t="shared" si="170"/>
        <v>5.5254343507619819E-2</v>
      </c>
      <c r="BH187" s="6">
        <f t="shared" si="171"/>
        <v>-0.81741028248953329</v>
      </c>
      <c r="BI187" s="6">
        <f t="shared" si="172"/>
        <v>0.81741028248953329</v>
      </c>
      <c r="BV187" s="38"/>
      <c r="BW187" s="6">
        <f t="shared" si="105"/>
        <v>3.0019663134302377</v>
      </c>
      <c r="BX187" s="9">
        <f t="shared" ca="1" si="109"/>
        <v>-155.18949383915481</v>
      </c>
      <c r="BY187" s="9">
        <f t="shared" ca="1" si="110"/>
        <v>34.854488936943184</v>
      </c>
      <c r="BZ187">
        <f t="shared" ca="1" si="111"/>
        <v>159.05538154086005</v>
      </c>
      <c r="CA187" s="6">
        <f t="shared" ca="1" si="112"/>
        <v>-0.97569470668484026</v>
      </c>
      <c r="CB187" s="6">
        <f t="shared" ca="1" si="113"/>
        <v>0.21913429523281705</v>
      </c>
      <c r="CC187" s="6">
        <f t="shared" ca="1" si="114"/>
        <v>2.9206655417602447</v>
      </c>
      <c r="CD187" s="6">
        <f t="shared" ca="1" si="106"/>
        <v>0.16784225851838608</v>
      </c>
      <c r="CE187" s="9">
        <f t="shared" ca="1" si="107"/>
        <v>-77.796475168333004</v>
      </c>
      <c r="CF187" s="9">
        <f t="shared" ca="1" si="108"/>
        <v>9.0568160466692511</v>
      </c>
      <c r="CG187">
        <f t="shared" ca="1" si="115"/>
        <v>78.321883694917986</v>
      </c>
      <c r="CH187">
        <f t="shared" ca="1" si="116"/>
        <v>-0.99329167658132977</v>
      </c>
      <c r="CI187">
        <f t="shared" ca="1" si="117"/>
        <v>0.11563583023548901</v>
      </c>
      <c r="CJ187">
        <f t="shared" ca="1" si="118"/>
        <v>3.0256975533311854</v>
      </c>
      <c r="CK187" s="38">
        <f t="shared" ca="1" si="119"/>
        <v>0.66950306313884056</v>
      </c>
    </row>
    <row r="188" spans="1:89" x14ac:dyDescent="0.25">
      <c r="A188">
        <f t="shared" si="197"/>
        <v>4</v>
      </c>
      <c r="B188">
        <f t="shared" si="197"/>
        <v>8</v>
      </c>
      <c r="C188">
        <f t="shared" ca="1" si="197"/>
        <v>0.79</v>
      </c>
      <c r="D188">
        <f t="shared" si="197"/>
        <v>4</v>
      </c>
      <c r="E188">
        <f t="shared" si="197"/>
        <v>4</v>
      </c>
      <c r="F188" s="1">
        <f t="shared" si="198"/>
        <v>-2</v>
      </c>
      <c r="G188" s="1">
        <f t="shared" si="199"/>
        <v>-8</v>
      </c>
      <c r="H188" s="6">
        <f t="shared" si="200"/>
        <v>-7.6355743724392067</v>
      </c>
      <c r="I188" s="6">
        <f t="shared" si="201"/>
        <v>3.1141618459787219</v>
      </c>
      <c r="J188" s="6">
        <f t="shared" si="202"/>
        <v>4.5267685114366154</v>
      </c>
      <c r="K188">
        <f t="shared" ca="1" si="203"/>
        <v>-7.8033448730882734E-4</v>
      </c>
      <c r="L188">
        <f t="shared" ca="1" si="207"/>
        <v>0</v>
      </c>
      <c r="M188">
        <f t="shared" ca="1" si="208"/>
        <v>-22.629700131955993</v>
      </c>
      <c r="N188" s="6">
        <f t="shared" ca="1" si="204"/>
        <v>-17.877463104245233</v>
      </c>
      <c r="O188" s="6">
        <f t="shared" ca="1" si="205"/>
        <v>-55.673313502132828</v>
      </c>
      <c r="P188" s="6">
        <f t="shared" ca="1" si="206"/>
        <v>-136.50469912300238</v>
      </c>
      <c r="BC188">
        <v>3.246312408709441</v>
      </c>
      <c r="BD188">
        <v>-78.46175378972471</v>
      </c>
      <c r="BE188">
        <v>-3.2484230910231719</v>
      </c>
      <c r="BF188" s="6">
        <f t="shared" si="169"/>
        <v>3.1829703800606119</v>
      </c>
      <c r="BG188" s="6">
        <f t="shared" si="170"/>
        <v>6.3342028648829096E-2</v>
      </c>
      <c r="BH188" s="6">
        <f t="shared" si="171"/>
        <v>-0.82677588986826711</v>
      </c>
      <c r="BI188" s="6">
        <f t="shared" si="172"/>
        <v>0.82677588986826711</v>
      </c>
      <c r="BV188" s="38"/>
      <c r="BW188" s="6">
        <f t="shared" si="105"/>
        <v>3.0194196059501808</v>
      </c>
      <c r="BX188" s="9">
        <f t="shared" ca="1" si="109"/>
        <v>-155.47470324499585</v>
      </c>
      <c r="BY188" s="9">
        <f t="shared" ca="1" si="110"/>
        <v>33.902520628870619</v>
      </c>
      <c r="BZ188">
        <f t="shared" ca="1" si="111"/>
        <v>159.12813784529285</v>
      </c>
      <c r="CA188" s="6">
        <f t="shared" ca="1" si="112"/>
        <v>-0.97704092657799502</v>
      </c>
      <c r="CB188" s="6">
        <f t="shared" ca="1" si="113"/>
        <v>0.21305170215610289</v>
      </c>
      <c r="CC188" s="6">
        <f t="shared" ca="1" si="114"/>
        <v>2.92689533887234</v>
      </c>
      <c r="CD188" s="6">
        <f t="shared" ca="1" si="106"/>
        <v>0.17407205563048134</v>
      </c>
      <c r="CE188" s="9">
        <f t="shared" ca="1" si="107"/>
        <v>-78.081684574174048</v>
      </c>
      <c r="CF188" s="9">
        <f t="shared" ca="1" si="108"/>
        <v>8.1048477385966855</v>
      </c>
      <c r="CG188">
        <f t="shared" ca="1" si="115"/>
        <v>78.501197588359403</v>
      </c>
      <c r="CH188">
        <f t="shared" ca="1" si="116"/>
        <v>-0.99465596669766521</v>
      </c>
      <c r="CI188">
        <f t="shared" ca="1" si="117"/>
        <v>0.10324489291356388</v>
      </c>
      <c r="CJ188">
        <f t="shared" ca="1" si="118"/>
        <v>3.0381634519197926</v>
      </c>
      <c r="CK188" s="38">
        <f t="shared" ca="1" si="119"/>
        <v>0.68196896172744781</v>
      </c>
    </row>
    <row r="189" spans="1:89" x14ac:dyDescent="0.25">
      <c r="A189">
        <f t="shared" si="197"/>
        <v>5</v>
      </c>
      <c r="B189">
        <f t="shared" si="197"/>
        <v>0</v>
      </c>
      <c r="C189">
        <f t="shared" ca="1" si="197"/>
        <v>0</v>
      </c>
      <c r="D189">
        <f t="shared" si="197"/>
        <v>2</v>
      </c>
      <c r="E189">
        <f t="shared" si="197"/>
        <v>8.66</v>
      </c>
      <c r="F189" s="1">
        <f t="shared" si="198"/>
        <v>-4</v>
      </c>
      <c r="G189" s="1">
        <f t="shared" si="199"/>
        <v>-3.34</v>
      </c>
      <c r="H189" s="6">
        <f t="shared" si="200"/>
        <v>-2.7390671216310003</v>
      </c>
      <c r="I189" s="6">
        <f t="shared" si="201"/>
        <v>4.43318297650797</v>
      </c>
      <c r="J189" s="6">
        <f t="shared" si="202"/>
        <v>3.2077473809073673</v>
      </c>
      <c r="K189">
        <f t="shared" ca="1" si="203"/>
        <v>0</v>
      </c>
      <c r="L189">
        <f t="shared" ca="1" si="207"/>
        <v>0</v>
      </c>
      <c r="M189">
        <f t="shared" ca="1" si="208"/>
        <v>0</v>
      </c>
      <c r="N189" s="6">
        <f t="shared" ca="1" si="204"/>
        <v>0</v>
      </c>
      <c r="O189" s="6">
        <f t="shared" ca="1" si="205"/>
        <v>0</v>
      </c>
      <c r="P189" s="6">
        <f t="shared" ca="1" si="206"/>
        <v>0</v>
      </c>
      <c r="BC189">
        <v>3.2637657012293841</v>
      </c>
      <c r="BD189">
        <v>-78.23851476890087</v>
      </c>
      <c r="BE189">
        <v>-3.9731675621418714</v>
      </c>
      <c r="BF189" s="6">
        <f t="shared" si="169"/>
        <v>3.1923318246609127</v>
      </c>
      <c r="BG189" s="6">
        <f t="shared" si="170"/>
        <v>7.1433876568471444E-2</v>
      </c>
      <c r="BH189" s="6">
        <f t="shared" si="171"/>
        <v>-0.83613733446856786</v>
      </c>
      <c r="BI189" s="6">
        <f t="shared" si="172"/>
        <v>0.83613733446856786</v>
      </c>
      <c r="BV189" s="38"/>
      <c r="BW189" s="6">
        <f t="shared" si="105"/>
        <v>3.0368728984701239</v>
      </c>
      <c r="BX189" s="9">
        <f t="shared" ca="1" si="109"/>
        <v>-155.75109345303534</v>
      </c>
      <c r="BY189" s="9">
        <f t="shared" ca="1" si="110"/>
        <v>32.94031468740306</v>
      </c>
      <c r="BZ189">
        <f t="shared" ca="1" si="111"/>
        <v>159.19631730514774</v>
      </c>
      <c r="CA189" s="6">
        <f t="shared" ca="1" si="112"/>
        <v>-0.97835864603884903</v>
      </c>
      <c r="CB189" s="6">
        <f t="shared" ca="1" si="113"/>
        <v>0.20691631091103077</v>
      </c>
      <c r="CC189" s="6">
        <f t="shared" ca="1" si="114"/>
        <v>2.9331706507798438</v>
      </c>
      <c r="CD189" s="6">
        <f t="shared" ca="1" si="106"/>
        <v>0.18034736753798519</v>
      </c>
      <c r="CE189" s="9">
        <f t="shared" ca="1" si="107"/>
        <v>-78.358074782213535</v>
      </c>
      <c r="CF189" s="9">
        <f t="shared" ca="1" si="108"/>
        <v>7.1426417971291265</v>
      </c>
      <c r="CG189">
        <f t="shared" ca="1" si="115"/>
        <v>78.682941069948981</v>
      </c>
      <c r="CH189">
        <f t="shared" ca="1" si="116"/>
        <v>-0.99587119795831425</v>
      </c>
      <c r="CI189">
        <f t="shared" ca="1" si="117"/>
        <v>9.0777514160017628E-2</v>
      </c>
      <c r="CJ189">
        <f t="shared" ca="1" si="118"/>
        <v>3.0506899986040885</v>
      </c>
      <c r="CK189" s="38">
        <f t="shared" ca="1" si="119"/>
        <v>0.69449550841174368</v>
      </c>
    </row>
    <row r="190" spans="1:89" x14ac:dyDescent="0.25">
      <c r="A190">
        <f t="shared" si="197"/>
        <v>6</v>
      </c>
      <c r="B190">
        <f t="shared" si="197"/>
        <v>0</v>
      </c>
      <c r="C190">
        <f t="shared" ca="1" si="197"/>
        <v>0</v>
      </c>
      <c r="D190">
        <f t="shared" si="197"/>
        <v>10</v>
      </c>
      <c r="E190">
        <f t="shared" si="197"/>
        <v>8.66</v>
      </c>
      <c r="F190" s="1">
        <f t="shared" si="198"/>
        <v>4</v>
      </c>
      <c r="G190" s="1">
        <f t="shared" si="199"/>
        <v>-3.34</v>
      </c>
      <c r="H190" s="6">
        <f t="shared" si="200"/>
        <v>-3.8734372419782193</v>
      </c>
      <c r="I190" s="6">
        <f t="shared" si="201"/>
        <v>-3.4859839260180419</v>
      </c>
      <c r="J190" s="6">
        <f t="shared" si="202"/>
        <v>11.126914283433379</v>
      </c>
      <c r="K190">
        <f t="shared" ca="1" si="203"/>
        <v>0</v>
      </c>
      <c r="L190">
        <f t="shared" ca="1" si="207"/>
        <v>0</v>
      </c>
      <c r="M190">
        <f t="shared" ca="1" si="208"/>
        <v>0</v>
      </c>
      <c r="N190" s="6">
        <f t="shared" ca="1" si="204"/>
        <v>0</v>
      </c>
      <c r="O190" s="6">
        <f t="shared" ca="1" si="205"/>
        <v>0</v>
      </c>
      <c r="P190" s="6">
        <f t="shared" ca="1" si="206"/>
        <v>0</v>
      </c>
      <c r="BC190">
        <v>3.2812189937493272</v>
      </c>
      <c r="BD190">
        <v>-78.011469155277183</v>
      </c>
      <c r="BE190">
        <v>-4.694219508105725</v>
      </c>
      <c r="BF190" s="6">
        <f t="shared" si="169"/>
        <v>3.2016936381786785</v>
      </c>
      <c r="BG190" s="6">
        <f t="shared" si="170"/>
        <v>7.952535557064877E-2</v>
      </c>
      <c r="BH190" s="6">
        <f t="shared" si="171"/>
        <v>-0.84549914798633352</v>
      </c>
      <c r="BI190" s="6">
        <f t="shared" si="172"/>
        <v>0.84549914798633352</v>
      </c>
      <c r="BV190" s="38"/>
      <c r="BW190" s="6">
        <f t="shared" si="105"/>
        <v>3.054326190990067</v>
      </c>
      <c r="BX190" s="9">
        <f t="shared" ca="1" si="109"/>
        <v>-156.0171669859115</v>
      </c>
      <c r="BY190" s="9">
        <f t="shared" ca="1" si="110"/>
        <v>31.971135911018585</v>
      </c>
      <c r="BZ190">
        <f t="shared" ca="1" si="111"/>
        <v>159.25925381512565</v>
      </c>
      <c r="CA190" s="6">
        <f t="shared" ca="1" si="112"/>
        <v>-0.97964270991136448</v>
      </c>
      <c r="CB190" s="6">
        <f t="shared" ca="1" si="113"/>
        <v>0.20074899979207442</v>
      </c>
      <c r="CC190" s="6">
        <f t="shared" ca="1" si="114"/>
        <v>2.9394702283613965</v>
      </c>
      <c r="CD190" s="6">
        <f t="shared" ca="1" si="106"/>
        <v>0.18664694511953783</v>
      </c>
      <c r="CE190" s="9">
        <f t="shared" ca="1" si="107"/>
        <v>-78.624148315089698</v>
      </c>
      <c r="CF190" s="9">
        <f t="shared" ca="1" si="108"/>
        <v>6.1734630207446521</v>
      </c>
      <c r="CG190">
        <f t="shared" ca="1" si="115"/>
        <v>78.866141936459172</v>
      </c>
      <c r="CH190">
        <f t="shared" ca="1" si="116"/>
        <v>-0.99693159047180924</v>
      </c>
      <c r="CI190">
        <f t="shared" ca="1" si="117"/>
        <v>7.827773578322729E-2</v>
      </c>
      <c r="CJ190">
        <f t="shared" ca="1" si="118"/>
        <v>3.0632347566943108</v>
      </c>
      <c r="CK190" s="38">
        <f t="shared" ca="1" si="119"/>
        <v>0.70704026650196594</v>
      </c>
    </row>
    <row r="191" spans="1:89" x14ac:dyDescent="0.25">
      <c r="A191">
        <f t="shared" si="197"/>
        <v>7</v>
      </c>
      <c r="B191">
        <f t="shared" si="197"/>
        <v>0</v>
      </c>
      <c r="C191">
        <f t="shared" ca="1" si="197"/>
        <v>0</v>
      </c>
      <c r="D191">
        <f t="shared" si="197"/>
        <v>2</v>
      </c>
      <c r="E191">
        <f t="shared" si="197"/>
        <v>15.33</v>
      </c>
      <c r="F191" s="1">
        <f t="shared" si="198"/>
        <v>-4</v>
      </c>
      <c r="G191" s="1">
        <f t="shared" si="199"/>
        <v>3.33</v>
      </c>
      <c r="H191" s="6">
        <f t="shared" si="200"/>
        <v>3.8635382833500618</v>
      </c>
      <c r="I191" s="6">
        <f t="shared" si="201"/>
        <v>3.4874018886684759</v>
      </c>
      <c r="J191" s="6">
        <f t="shared" si="202"/>
        <v>4.1535284687468614</v>
      </c>
      <c r="K191">
        <f t="shared" ca="1" si="203"/>
        <v>0</v>
      </c>
      <c r="L191">
        <f t="shared" ca="1" si="207"/>
        <v>0</v>
      </c>
      <c r="M191">
        <f t="shared" ca="1" si="208"/>
        <v>0</v>
      </c>
      <c r="N191" s="6">
        <f t="shared" ca="1" si="204"/>
        <v>0</v>
      </c>
      <c r="O191" s="6">
        <f t="shared" ca="1" si="205"/>
        <v>0</v>
      </c>
      <c r="P191" s="6">
        <f t="shared" ca="1" si="206"/>
        <v>0</v>
      </c>
      <c r="BC191">
        <v>3.2986722862692703</v>
      </c>
      <c r="BD191">
        <v>-77.780341312045067</v>
      </c>
      <c r="BE191">
        <v>-5.4115518383941659</v>
      </c>
      <c r="BF191" s="6">
        <f t="shared" si="169"/>
        <v>3.2110555179270075</v>
      </c>
      <c r="BG191" s="6">
        <f t="shared" si="170"/>
        <v>8.7616768342262841E-2</v>
      </c>
      <c r="BH191" s="6">
        <f t="shared" si="171"/>
        <v>-0.85486102773466266</v>
      </c>
      <c r="BI191" s="6">
        <f t="shared" si="172"/>
        <v>0.85486102773466266</v>
      </c>
      <c r="BV191" s="38"/>
      <c r="BW191" s="6">
        <f t="shared" si="105"/>
        <v>3.0717794835100101</v>
      </c>
      <c r="BX191" s="9">
        <f t="shared" ca="1" si="109"/>
        <v>-156.27243815611564</v>
      </c>
      <c r="BY191" s="9">
        <f t="shared" ca="1" si="110"/>
        <v>30.996036735640036</v>
      </c>
      <c r="BZ191">
        <f t="shared" ca="1" si="111"/>
        <v>159.316757500817</v>
      </c>
      <c r="CA191" s="6">
        <f t="shared" ca="1" si="112"/>
        <v>-0.98089140532071306</v>
      </c>
      <c r="CB191" s="6">
        <f t="shared" ca="1" si="113"/>
        <v>0.19455603554749151</v>
      </c>
      <c r="CC191" s="6">
        <f t="shared" ca="1" si="114"/>
        <v>2.9457878370156529</v>
      </c>
      <c r="CD191" s="6">
        <f t="shared" ca="1" si="106"/>
        <v>0.19296455377379429</v>
      </c>
      <c r="CE191" s="9">
        <f t="shared" ca="1" si="107"/>
        <v>-78.879419485293838</v>
      </c>
      <c r="CF191" s="9">
        <f t="shared" ca="1" si="108"/>
        <v>5.198363845366103</v>
      </c>
      <c r="CG191">
        <f t="shared" ca="1" si="115"/>
        <v>79.050526911626363</v>
      </c>
      <c r="CH191">
        <f t="shared" ca="1" si="116"/>
        <v>-0.99783546760512032</v>
      </c>
      <c r="CI191">
        <f t="shared" ca="1" si="117"/>
        <v>6.5760015125231927E-2</v>
      </c>
      <c r="CJ191">
        <f t="shared" ca="1" si="118"/>
        <v>3.0757851507855603</v>
      </c>
      <c r="CK191" s="38">
        <f t="shared" ca="1" si="119"/>
        <v>0.71959066059321541</v>
      </c>
    </row>
    <row r="192" spans="1:89" x14ac:dyDescent="0.25">
      <c r="A192">
        <f t="shared" si="197"/>
        <v>8</v>
      </c>
      <c r="B192">
        <f t="shared" si="197"/>
        <v>0</v>
      </c>
      <c r="C192">
        <f t="shared" ca="1" si="197"/>
        <v>0</v>
      </c>
      <c r="D192">
        <f t="shared" si="197"/>
        <v>10</v>
      </c>
      <c r="E192">
        <f t="shared" si="197"/>
        <v>15.33</v>
      </c>
      <c r="F192" s="1">
        <f t="shared" si="198"/>
        <v>4</v>
      </c>
      <c r="G192" s="1">
        <f t="shared" si="199"/>
        <v>3.33</v>
      </c>
      <c r="H192" s="6">
        <f t="shared" si="200"/>
        <v>2.7291681630028428</v>
      </c>
      <c r="I192" s="6">
        <f t="shared" si="201"/>
        <v>-4.431765013857536</v>
      </c>
      <c r="J192" s="6">
        <f t="shared" si="202"/>
        <v>12.072695371272873</v>
      </c>
      <c r="K192">
        <f t="shared" ca="1" si="203"/>
        <v>0</v>
      </c>
      <c r="L192">
        <f t="shared" ca="1" si="207"/>
        <v>0</v>
      </c>
      <c r="M192">
        <f t="shared" ca="1" si="208"/>
        <v>0</v>
      </c>
      <c r="N192" s="6">
        <f t="shared" ca="1" si="204"/>
        <v>0</v>
      </c>
      <c r="O192" s="6">
        <f t="shared" ca="1" si="205"/>
        <v>0</v>
      </c>
      <c r="P192" s="6">
        <f t="shared" ca="1" si="206"/>
        <v>0</v>
      </c>
      <c r="BC192">
        <v>3.3161255787892134</v>
      </c>
      <c r="BD192">
        <v>-77.545033101547574</v>
      </c>
      <c r="BE192">
        <v>-6.1251176470781177</v>
      </c>
      <c r="BF192" s="6">
        <f t="shared" si="169"/>
        <v>3.2204168735325291</v>
      </c>
      <c r="BG192" s="6">
        <f t="shared" si="170"/>
        <v>9.570870525668429E-2</v>
      </c>
      <c r="BH192" s="6">
        <f t="shared" si="171"/>
        <v>-0.86422238334018431</v>
      </c>
      <c r="BI192" s="6">
        <f t="shared" si="172"/>
        <v>0.86422238334018431</v>
      </c>
      <c r="BV192" s="38"/>
      <c r="BW192" s="6">
        <f t="shared" si="105"/>
        <v>3.0892327760299532</v>
      </c>
      <c r="BX192" s="9">
        <f t="shared" ca="1" si="109"/>
        <v>-156.51710318279225</v>
      </c>
      <c r="BY192" s="9">
        <f t="shared" ca="1" si="110"/>
        <v>30.014349759845182</v>
      </c>
      <c r="BZ192">
        <f t="shared" ca="1" si="111"/>
        <v>159.36895801955649</v>
      </c>
      <c r="CA192" s="6">
        <f t="shared" ca="1" si="112"/>
        <v>-0.98210533047210946</v>
      </c>
      <c r="CB192" s="6">
        <f t="shared" ca="1" si="113"/>
        <v>0.18833247159815189</v>
      </c>
      <c r="CC192" s="6">
        <f t="shared" ca="1" si="114"/>
        <v>2.9521286963594697</v>
      </c>
      <c r="CD192" s="6">
        <f t="shared" ca="1" si="106"/>
        <v>0.19930541311761107</v>
      </c>
      <c r="CE192" s="9">
        <f t="shared" ca="1" si="107"/>
        <v>-79.124084511970452</v>
      </c>
      <c r="CF192" s="9">
        <f t="shared" ca="1" si="108"/>
        <v>4.2166768695712484</v>
      </c>
      <c r="CG192">
        <f t="shared" ca="1" si="115"/>
        <v>79.236362319832793</v>
      </c>
      <c r="CH192">
        <f t="shared" ca="1" si="116"/>
        <v>-0.99858300148347123</v>
      </c>
      <c r="CI192">
        <f t="shared" ca="1" si="117"/>
        <v>5.3216436824180376E-2</v>
      </c>
      <c r="CJ192">
        <f t="shared" ca="1" si="118"/>
        <v>3.0883510666392806</v>
      </c>
      <c r="CK192" s="38">
        <f t="shared" ca="1" si="119"/>
        <v>0.73215657644693577</v>
      </c>
    </row>
    <row r="193" spans="1:89" x14ac:dyDescent="0.25">
      <c r="A193">
        <f t="shared" si="197"/>
        <v>9</v>
      </c>
      <c r="B193">
        <f t="shared" si="197"/>
        <v>0</v>
      </c>
      <c r="C193">
        <f t="shared" ca="1" si="197"/>
        <v>0</v>
      </c>
      <c r="D193">
        <f t="shared" si="197"/>
        <v>8</v>
      </c>
      <c r="E193">
        <f t="shared" si="197"/>
        <v>2</v>
      </c>
      <c r="F193" s="1">
        <f t="shared" si="198"/>
        <v>2</v>
      </c>
      <c r="G193" s="1">
        <f t="shared" si="199"/>
        <v>-10</v>
      </c>
      <c r="H193" s="6">
        <f t="shared" si="200"/>
        <v>-10.182551158244321</v>
      </c>
      <c r="I193" s="6">
        <f t="shared" si="201"/>
        <v>-0.56182907519747904</v>
      </c>
      <c r="J193" s="6">
        <f t="shared" si="202"/>
        <v>8.202759432612817</v>
      </c>
      <c r="K193">
        <f t="shared" ca="1" si="203"/>
        <v>0</v>
      </c>
      <c r="L193">
        <f t="shared" ca="1" si="207"/>
        <v>0</v>
      </c>
      <c r="M193">
        <f t="shared" ca="1" si="208"/>
        <v>0</v>
      </c>
      <c r="N193" s="6">
        <f t="shared" ca="1" si="204"/>
        <v>0</v>
      </c>
      <c r="O193" s="6">
        <f t="shared" ca="1" si="205"/>
        <v>0</v>
      </c>
      <c r="P193" s="6">
        <f t="shared" ca="1" si="206"/>
        <v>0</v>
      </c>
      <c r="BC193">
        <v>3.3335788713091565</v>
      </c>
      <c r="BD193">
        <v>-77.305487872506603</v>
      </c>
      <c r="BE193">
        <v>-6.8349429792837393</v>
      </c>
      <c r="BF193" s="6">
        <f t="shared" si="169"/>
        <v>3.2297780629819672</v>
      </c>
      <c r="BG193" s="6">
        <f t="shared" si="170"/>
        <v>0.1038008083271893</v>
      </c>
      <c r="BH193" s="6">
        <f t="shared" si="171"/>
        <v>-0.87358357278962229</v>
      </c>
      <c r="BI193" s="6">
        <f t="shared" si="172"/>
        <v>0.87358357278962229</v>
      </c>
      <c r="BV193" s="38"/>
      <c r="BW193" s="6">
        <f t="shared" si="105"/>
        <v>3.1066860685498963</v>
      </c>
      <c r="BX193" s="9">
        <f t="shared" ca="1" si="109"/>
        <v>-156.75138022135883</v>
      </c>
      <c r="BY193" s="9">
        <f t="shared" ca="1" si="110"/>
        <v>29.0252757438167</v>
      </c>
      <c r="BZ193">
        <f t="shared" ca="1" si="111"/>
        <v>159.41600243797859</v>
      </c>
      <c r="CA193" s="6">
        <f t="shared" ca="1" si="112"/>
        <v>-0.98328510202320218</v>
      </c>
      <c r="CB193" s="6">
        <f t="shared" ca="1" si="113"/>
        <v>0.18207253537868065</v>
      </c>
      <c r="CC193" s="6">
        <f t="shared" ca="1" si="114"/>
        <v>2.9584988454632462</v>
      </c>
      <c r="CD193" s="6">
        <f t="shared" ca="1" si="106"/>
        <v>0.2056755622213875</v>
      </c>
      <c r="CE193" s="9">
        <f t="shared" ca="1" si="107"/>
        <v>-79.358361550537026</v>
      </c>
      <c r="CF193" s="9">
        <f t="shared" ca="1" si="108"/>
        <v>3.2276028535427663</v>
      </c>
      <c r="CG193">
        <f t="shared" ca="1" si="115"/>
        <v>79.423969733109857</v>
      </c>
      <c r="CH193">
        <f t="shared" ca="1" si="116"/>
        <v>-0.99917394984419317</v>
      </c>
      <c r="CI193">
        <f t="shared" ca="1" si="117"/>
        <v>4.0637642066854031E-2</v>
      </c>
      <c r="CJ193">
        <f t="shared" ca="1" si="118"/>
        <v>3.1009438182475155</v>
      </c>
      <c r="CK193" s="38">
        <f t="shared" ca="1" si="119"/>
        <v>0.74474932805517069</v>
      </c>
    </row>
    <row r="194" spans="1:89" ht="15.75" thickBot="1" x14ac:dyDescent="0.3">
      <c r="A194">
        <f t="shared" si="197"/>
        <v>10</v>
      </c>
      <c r="B194">
        <f t="shared" si="197"/>
        <v>0</v>
      </c>
      <c r="C194">
        <f t="shared" ca="1" si="197"/>
        <v>0</v>
      </c>
      <c r="D194">
        <f t="shared" si="197"/>
        <v>10</v>
      </c>
      <c r="E194">
        <f t="shared" si="197"/>
        <v>2</v>
      </c>
      <c r="F194" s="1">
        <f t="shared" si="198"/>
        <v>4</v>
      </c>
      <c r="G194" s="1">
        <f t="shared" si="199"/>
        <v>-10</v>
      </c>
      <c r="H194" s="6">
        <f t="shared" si="200"/>
        <v>-10.466143688331126</v>
      </c>
      <c r="I194" s="6">
        <f t="shared" si="201"/>
        <v>-2.5416208008289818</v>
      </c>
      <c r="J194" s="6">
        <f t="shared" si="202"/>
        <v>10.182551158244319</v>
      </c>
      <c r="K194" s="12">
        <f t="shared" ca="1" si="203"/>
        <v>0</v>
      </c>
      <c r="L194">
        <f t="shared" ca="1" si="207"/>
        <v>0</v>
      </c>
      <c r="M194">
        <f t="shared" ca="1" si="208"/>
        <v>0</v>
      </c>
      <c r="N194" s="11">
        <f t="shared" ca="1" si="204"/>
        <v>0</v>
      </c>
      <c r="O194" s="11">
        <f t="shared" ca="1" si="205"/>
        <v>0</v>
      </c>
      <c r="P194" s="11">
        <f t="shared" ca="1" si="206"/>
        <v>0</v>
      </c>
      <c r="BC194">
        <v>3.3510321638290996</v>
      </c>
      <c r="BD194">
        <v>-77.06163830089038</v>
      </c>
      <c r="BE194">
        <v>-7.5411354648699644</v>
      </c>
      <c r="BF194" s="6">
        <f t="shared" si="169"/>
        <v>3.2391405514279366</v>
      </c>
      <c r="BG194" s="6">
        <f t="shared" si="170"/>
        <v>0.11189161240116308</v>
      </c>
      <c r="BH194" s="6">
        <f t="shared" si="171"/>
        <v>-0.88294606123559172</v>
      </c>
      <c r="BI194" s="6">
        <f t="shared" si="172"/>
        <v>0.88294606123559172</v>
      </c>
      <c r="BV194" s="38"/>
      <c r="BW194" s="6">
        <f t="shared" si="105"/>
        <v>3.1241393610698394</v>
      </c>
      <c r="BX194" s="9">
        <f t="shared" ca="1" si="109"/>
        <v>-156.97546870472476</v>
      </c>
      <c r="BY194" s="9">
        <f t="shared" ca="1" si="110"/>
        <v>28.027988330993995</v>
      </c>
      <c r="BZ194">
        <f t="shared" ca="1" si="111"/>
        <v>159.45803806942553</v>
      </c>
      <c r="CA194" s="6">
        <f t="shared" ca="1" si="112"/>
        <v>-0.98443120588489941</v>
      </c>
      <c r="CB194" s="6">
        <f t="shared" ca="1" si="113"/>
        <v>0.1757703071625091</v>
      </c>
      <c r="CC194" s="6">
        <f t="shared" ca="1" si="114"/>
        <v>2.9649044504191311</v>
      </c>
      <c r="CD194" s="6">
        <f t="shared" ca="1" si="106"/>
        <v>0.21208116717727243</v>
      </c>
      <c r="CE194" s="9">
        <f t="shared" ca="1" si="107"/>
        <v>-79.582450033902958</v>
      </c>
      <c r="CF194" s="9">
        <f t="shared" ca="1" si="108"/>
        <v>2.2303154407200623</v>
      </c>
      <c r="CG194">
        <f t="shared" ca="1" si="115"/>
        <v>79.613696437006212</v>
      </c>
      <c r="CH194">
        <f t="shared" ca="1" si="116"/>
        <v>-0.99960752477900616</v>
      </c>
      <c r="CI194">
        <f t="shared" ca="1" si="117"/>
        <v>2.8014217911421609E-2</v>
      </c>
      <c r="CJ194">
        <f t="shared" ca="1" si="118"/>
        <v>3.1135747701407901</v>
      </c>
      <c r="CK194" s="38">
        <f t="shared" ca="1" si="119"/>
        <v>0.75738027994844526</v>
      </c>
    </row>
    <row r="195" spans="1:89" ht="15.75" thickTop="1" x14ac:dyDescent="0.25">
      <c r="K195" s="13">
        <f ca="1">MIN(K185:K194)</f>
        <v>-7.8033448730882734E-4</v>
      </c>
      <c r="N195" s="9">
        <f ca="1">SUM(N185:N194)</f>
        <v>10.253561324504364</v>
      </c>
      <c r="O195" s="9">
        <f ca="1">SUM(O185:O194)</f>
        <v>115.21246968482387</v>
      </c>
      <c r="P195" s="9">
        <f ca="1">SUM(P185:P194)</f>
        <v>87.278746897717127</v>
      </c>
      <c r="BC195">
        <v>3.3684854563490427</v>
      </c>
      <c r="BD195">
        <v>-76.813388210080944</v>
      </c>
      <c r="BE195">
        <v>-8.2438718137868889</v>
      </c>
      <c r="BF195" s="6">
        <f t="shared" ref="BF195:BF258" si="209">IF(BC195&lt;&gt;"",IF(AND(BD195=0,BE195=0),0,MOD(ATAN2(BD195,BE195),2*PI())),NA())</f>
        <v>3.248506788658732</v>
      </c>
      <c r="BG195" s="6">
        <f t="shared" ref="BG195:BG258" si="210">ABS(BC195-BF195)</f>
        <v>0.11997866769031074</v>
      </c>
      <c r="BH195" s="6">
        <f t="shared" ref="BH195:BH258" si="211">ATAN2(COS($U$13-BF195),SIN($U$13-BF195))</f>
        <v>-0.89231229846638715</v>
      </c>
      <c r="BI195" s="6">
        <f t="shared" ref="BI195:BI258" si="212">ABS(BH195)</f>
        <v>0.89231229846638715</v>
      </c>
      <c r="BV195" s="38"/>
      <c r="BW195" s="6">
        <f t="shared" si="105"/>
        <v>3.1415926535897825</v>
      </c>
      <c r="BX195" s="9">
        <f t="shared" ca="1" si="109"/>
        <v>-157.18955126399084</v>
      </c>
      <c r="BY195" s="9">
        <f t="shared" ca="1" si="110"/>
        <v>27.021630248829691</v>
      </c>
      <c r="BZ195">
        <f t="shared" ca="1" si="111"/>
        <v>159.49521474915562</v>
      </c>
      <c r="CA195" s="6">
        <f t="shared" ca="1" si="112"/>
        <v>-0.98554399585723629</v>
      </c>
      <c r="CB195" s="6">
        <f t="shared" ca="1" si="113"/>
        <v>0.16941969256775302</v>
      </c>
      <c r="CC195" s="6">
        <f t="shared" ca="1" si="114"/>
        <v>2.9713518337061879</v>
      </c>
      <c r="CD195" s="6">
        <f t="shared" ca="1" si="106"/>
        <v>0.21852855046432929</v>
      </c>
      <c r="CE195" s="9">
        <f t="shared" ca="1" si="107"/>
        <v>-79.796532593169033</v>
      </c>
      <c r="CF195" s="9">
        <f t="shared" ca="1" si="108"/>
        <v>1.2239573585557579</v>
      </c>
      <c r="CG195">
        <f t="shared" ca="1" si="115"/>
        <v>79.805918862627294</v>
      </c>
      <c r="CH195">
        <f t="shared" ca="1" si="116"/>
        <v>-0.99988238629926163</v>
      </c>
      <c r="CI195">
        <f t="shared" ca="1" si="117"/>
        <v>1.5336673971044658E-2</v>
      </c>
      <c r="CJ195">
        <f t="shared" ca="1" si="118"/>
        <v>3.1262553783227993</v>
      </c>
      <c r="CK195" s="38">
        <f t="shared" ca="1" si="119"/>
        <v>0.77006088813045448</v>
      </c>
    </row>
    <row r="196" spans="1:89" x14ac:dyDescent="0.25">
      <c r="A196" t="s">
        <v>196</v>
      </c>
      <c r="B196" s="9">
        <f ca="1">N195</f>
        <v>10.253561324504364</v>
      </c>
      <c r="C196" t="s">
        <v>68</v>
      </c>
      <c r="BC196">
        <v>3.3859387488689858</v>
      </c>
      <c r="BD196">
        <v>-76.560608360085638</v>
      </c>
      <c r="BE196">
        <v>-8.9433822030177765</v>
      </c>
      <c r="BF196" s="6">
        <f t="shared" si="209"/>
        <v>3.2578800361932552</v>
      </c>
      <c r="BG196" s="6">
        <f t="shared" si="210"/>
        <v>0.12805871267573066</v>
      </c>
      <c r="BH196" s="6">
        <f t="shared" si="211"/>
        <v>-0.90168554600091033</v>
      </c>
      <c r="BI196" s="6">
        <f t="shared" si="212"/>
        <v>0.90168554600091033</v>
      </c>
      <c r="BV196" s="38"/>
      <c r="BW196" s="6">
        <f t="shared" si="105"/>
        <v>3.1590459461097256</v>
      </c>
      <c r="BX196" s="9">
        <f t="shared" ca="1" si="109"/>
        <v>-156.95758307735949</v>
      </c>
      <c r="BY196" s="9">
        <f t="shared" ca="1" si="110"/>
        <v>26.255076732887769</v>
      </c>
      <c r="BZ196">
        <f t="shared" ca="1" si="111"/>
        <v>159.13834214209984</v>
      </c>
      <c r="CA196" s="6">
        <f t="shared" ca="1" si="112"/>
        <v>-0.98629645731263749</v>
      </c>
      <c r="CB196" s="6">
        <f t="shared" ca="1" si="113"/>
        <v>0.16498272119388896</v>
      </c>
      <c r="CC196" s="6">
        <f t="shared" ca="1" si="114"/>
        <v>2.975852161182734</v>
      </c>
      <c r="CD196" s="6">
        <f t="shared" ca="1" si="106"/>
        <v>0.22302887794087534</v>
      </c>
      <c r="CE196" s="9">
        <f t="shared" ca="1" si="107"/>
        <v>-79.564564406537684</v>
      </c>
      <c r="CF196" s="9">
        <f t="shared" ca="1" si="108"/>
        <v>0.45740384261383582</v>
      </c>
      <c r="CG196">
        <f t="shared" ca="1" si="115"/>
        <v>79.565879166118194</v>
      </c>
      <c r="CH196">
        <f t="shared" ca="1" si="116"/>
        <v>-0.99998347583669922</v>
      </c>
      <c r="CI196">
        <f t="shared" ca="1" si="117"/>
        <v>5.7487436500118965E-3</v>
      </c>
      <c r="CJ196">
        <f t="shared" ca="1" si="118"/>
        <v>3.1358438782751792</v>
      </c>
      <c r="CK196" s="38">
        <f t="shared" ca="1" si="119"/>
        <v>0.77964938808283435</v>
      </c>
    </row>
    <row r="197" spans="1:89" x14ac:dyDescent="0.25">
      <c r="A197" t="s">
        <v>100</v>
      </c>
      <c r="B197" s="9">
        <f ca="1">O195</f>
        <v>115.21246968482387</v>
      </c>
      <c r="C197" t="s">
        <v>69</v>
      </c>
      <c r="BC197">
        <v>3.4033920413889289</v>
      </c>
      <c r="BD197">
        <v>-76.303137776745046</v>
      </c>
      <c r="BE197">
        <v>-9.6399364713508469</v>
      </c>
      <c r="BF197" s="6">
        <f t="shared" si="209"/>
        <v>3.2672642092574997</v>
      </c>
      <c r="BG197" s="6">
        <f t="shared" si="210"/>
        <v>0.13612783213142921</v>
      </c>
      <c r="BH197" s="6">
        <f t="shared" si="211"/>
        <v>-0.91106971906515488</v>
      </c>
      <c r="BI197" s="6">
        <f t="shared" si="212"/>
        <v>0.91106971906515488</v>
      </c>
      <c r="BV197" s="38"/>
      <c r="BW197" s="6">
        <f t="shared" si="105"/>
        <v>3.1764992386296687</v>
      </c>
      <c r="BX197" s="9">
        <f t="shared" ca="1" si="109"/>
        <v>-156.73270409518858</v>
      </c>
      <c r="BY197" s="9">
        <f t="shared" ca="1" si="110"/>
        <v>25.498979053445538</v>
      </c>
      <c r="BZ197">
        <f t="shared" ca="1" si="111"/>
        <v>158.79338294071954</v>
      </c>
      <c r="CA197" s="6">
        <f t="shared" ca="1" si="112"/>
        <v>-0.98702289221774275</v>
      </c>
      <c r="CB197" s="6">
        <f t="shared" ca="1" si="113"/>
        <v>0.16057960716766626</v>
      </c>
      <c r="CC197" s="6">
        <f t="shared" ca="1" si="114"/>
        <v>2.9803148009677005</v>
      </c>
      <c r="CD197" s="6">
        <f t="shared" ca="1" si="106"/>
        <v>0.22749151772584186</v>
      </c>
      <c r="CE197" s="9">
        <f t="shared" ca="1" si="107"/>
        <v>-79.339685424366778</v>
      </c>
      <c r="CF197" s="9">
        <f t="shared" ca="1" si="108"/>
        <v>-0.29869383682839512</v>
      </c>
      <c r="CG197">
        <f t="shared" ca="1" si="115"/>
        <v>79.340247675726587</v>
      </c>
      <c r="CH197">
        <f t="shared" ca="1" si="116"/>
        <v>-0.99999291341562091</v>
      </c>
      <c r="CI197">
        <f t="shared" ca="1" si="117"/>
        <v>-3.7647202470200724E-3</v>
      </c>
      <c r="CJ197">
        <f t="shared" ca="1" si="118"/>
        <v>-3.1378279244497453</v>
      </c>
      <c r="CK197" s="38">
        <f t="shared" ca="1" si="119"/>
        <v>-5.4940224146420906</v>
      </c>
    </row>
    <row r="198" spans="1:89" x14ac:dyDescent="0.25">
      <c r="A198" t="s">
        <v>101</v>
      </c>
      <c r="B198" s="9">
        <f ca="1">P195</f>
        <v>87.278746897717127</v>
      </c>
      <c r="C198" t="s">
        <v>69</v>
      </c>
      <c r="BC198">
        <v>3.420845333908872</v>
      </c>
      <c r="BD198">
        <v>-76.040786955351763</v>
      </c>
      <c r="BE198">
        <v>-10.333833072295636</v>
      </c>
      <c r="BF198" s="6">
        <f t="shared" si="209"/>
        <v>3.2766637481939718</v>
      </c>
      <c r="BG198" s="6">
        <f t="shared" si="210"/>
        <v>0.14418158571490025</v>
      </c>
      <c r="BH198" s="6">
        <f t="shared" si="211"/>
        <v>-0.92046925800162693</v>
      </c>
      <c r="BI198" s="6">
        <f t="shared" si="212"/>
        <v>0.92046925800162693</v>
      </c>
      <c r="BV198" s="38"/>
      <c r="BW198" s="6">
        <f t="shared" si="105"/>
        <v>3.1939525311496118</v>
      </c>
      <c r="BX198" s="9">
        <f t="shared" ca="1" si="109"/>
        <v>-156.51212745527792</v>
      </c>
      <c r="BY198" s="9">
        <f t="shared" ca="1" si="110"/>
        <v>24.751699126652518</v>
      </c>
      <c r="BZ198">
        <f t="shared" ca="1" si="111"/>
        <v>158.45722656361713</v>
      </c>
      <c r="CA198" s="6">
        <f t="shared" ca="1" si="112"/>
        <v>-0.98772476869296777</v>
      </c>
      <c r="CB198" s="6">
        <f t="shared" ca="1" si="113"/>
        <v>0.15620429350828788</v>
      </c>
      <c r="CC198" s="6">
        <f t="shared" ca="1" si="114"/>
        <v>2.9847460572608462</v>
      </c>
      <c r="CD198" s="6">
        <f t="shared" ca="1" si="106"/>
        <v>0.23192277401898753</v>
      </c>
      <c r="CE198" s="9">
        <f t="shared" ca="1" si="107"/>
        <v>-79.119108784456117</v>
      </c>
      <c r="CF198" s="9">
        <f t="shared" ca="1" si="108"/>
        <v>-1.045973763621415</v>
      </c>
      <c r="CG198">
        <f t="shared" ca="1" si="115"/>
        <v>79.126022495515244</v>
      </c>
      <c r="CH198">
        <f t="shared" ca="1" si="116"/>
        <v>-0.99991262405412173</v>
      </c>
      <c r="CI198">
        <f t="shared" ca="1" si="117"/>
        <v>-1.321908685199865E-2</v>
      </c>
      <c r="CJ198">
        <f t="shared" ca="1" si="118"/>
        <v>-3.1283731817142653</v>
      </c>
      <c r="CK198" s="38">
        <f t="shared" ca="1" si="119"/>
        <v>-5.4845676719066105</v>
      </c>
    </row>
    <row r="199" spans="1:89" x14ac:dyDescent="0.25">
      <c r="BC199">
        <v>3.4382986264288151</v>
      </c>
      <c r="BD199">
        <v>-75.773341377981311</v>
      </c>
      <c r="BE199">
        <v>-11.025390571787646</v>
      </c>
      <c r="BF199" s="6">
        <f t="shared" si="209"/>
        <v>3.2860835184756128</v>
      </c>
      <c r="BG199" s="6">
        <f t="shared" si="210"/>
        <v>0.15221510795320237</v>
      </c>
      <c r="BH199" s="6">
        <f t="shared" si="211"/>
        <v>-0.92988902828326792</v>
      </c>
      <c r="BI199" s="6">
        <f t="shared" si="212"/>
        <v>0.92988902828326792</v>
      </c>
      <c r="BV199" s="38"/>
      <c r="BW199" s="6">
        <f t="shared" si="105"/>
        <v>3.2114058236695548</v>
      </c>
      <c r="BX199" s="9">
        <f t="shared" ca="1" si="109"/>
        <v>-156.2935369238503</v>
      </c>
      <c r="BY199" s="9">
        <f t="shared" ca="1" si="110"/>
        <v>24.011806879615612</v>
      </c>
      <c r="BZ199">
        <f t="shared" ca="1" si="111"/>
        <v>158.12727960029829</v>
      </c>
      <c r="CA199" s="6">
        <f t="shared" ca="1" si="112"/>
        <v>-0.98840337555238289</v>
      </c>
      <c r="CB199" s="6">
        <f t="shared" ca="1" si="113"/>
        <v>0.15185113498639052</v>
      </c>
      <c r="CC199" s="6">
        <f t="shared" ca="1" si="114"/>
        <v>2.9891517953129521</v>
      </c>
      <c r="CD199" s="6">
        <f t="shared" ca="1" si="106"/>
        <v>0.2363285120710934</v>
      </c>
      <c r="CE199" s="9">
        <f t="shared" ca="1" si="107"/>
        <v>-78.900518253028494</v>
      </c>
      <c r="CF199" s="9">
        <f t="shared" ca="1" si="108"/>
        <v>-1.7858660106583208</v>
      </c>
      <c r="CG199">
        <f t="shared" ca="1" si="115"/>
        <v>78.920726669262919</v>
      </c>
      <c r="CH199">
        <f t="shared" ca="1" si="116"/>
        <v>-0.99974394031723612</v>
      </c>
      <c r="CI199">
        <f t="shared" ca="1" si="117"/>
        <v>-2.2628605767182553E-2</v>
      </c>
      <c r="CJ199">
        <f t="shared" ca="1" si="118"/>
        <v>-3.118962116200227</v>
      </c>
      <c r="CK199" s="38">
        <f t="shared" ca="1" si="119"/>
        <v>-5.4751566063925718</v>
      </c>
    </row>
    <row r="200" spans="1:89" x14ac:dyDescent="0.25">
      <c r="A200" t="s">
        <v>99</v>
      </c>
      <c r="B200" s="9">
        <f ca="1">B178+B196</f>
        <v>130.76923077062474</v>
      </c>
      <c r="C200" t="s">
        <v>68</v>
      </c>
      <c r="BC200">
        <v>3.4557519189487582</v>
      </c>
      <c r="BD200">
        <v>-75.500564704448905</v>
      </c>
      <c r="BE200">
        <v>-11.714941211467711</v>
      </c>
      <c r="BF200" s="6">
        <f t="shared" si="209"/>
        <v>3.2955287346260795</v>
      </c>
      <c r="BG200" s="6">
        <f t="shared" si="210"/>
        <v>0.16022318432267868</v>
      </c>
      <c r="BH200" s="6">
        <f t="shared" si="211"/>
        <v>-0.93933424443373481</v>
      </c>
      <c r="BI200" s="6">
        <f t="shared" si="212"/>
        <v>0.93933424443373481</v>
      </c>
      <c r="BV200" s="38"/>
      <c r="BW200" s="6">
        <f t="shared" si="105"/>
        <v>3.2288591161894979</v>
      </c>
      <c r="BX200" s="9">
        <f t="shared" ca="1" si="109"/>
        <v>-156.07497736230971</v>
      </c>
      <c r="BY200" s="9">
        <f t="shared" ca="1" si="110"/>
        <v>23.27803591179643</v>
      </c>
      <c r="BZ200">
        <f t="shared" ca="1" si="111"/>
        <v>157.801348265965</v>
      </c>
      <c r="CA200" s="6">
        <f t="shared" ca="1" si="112"/>
        <v>-0.9890598469365065</v>
      </c>
      <c r="CB200" s="6">
        <f t="shared" ca="1" si="113"/>
        <v>0.1475148100291428</v>
      </c>
      <c r="CC200" s="6">
        <f t="shared" ca="1" si="114"/>
        <v>2.9935375335226659</v>
      </c>
      <c r="CD200" s="6">
        <f t="shared" ca="1" si="106"/>
        <v>0.24071425028080728</v>
      </c>
      <c r="CE200" s="9">
        <f t="shared" ca="1" si="107"/>
        <v>-78.681958691487907</v>
      </c>
      <c r="CF200" s="9">
        <f t="shared" ca="1" si="108"/>
        <v>-2.5196369784775037</v>
      </c>
      <c r="CG200">
        <f t="shared" ca="1" si="115"/>
        <v>78.722291595407214</v>
      </c>
      <c r="CH200">
        <f t="shared" ca="1" si="116"/>
        <v>-0.99948765587101307</v>
      </c>
      <c r="CI200">
        <f t="shared" ca="1" si="117"/>
        <v>-3.2006651831569692E-2</v>
      </c>
      <c r="CJ200">
        <f t="shared" ca="1" si="118"/>
        <v>-3.1095805344977081</v>
      </c>
      <c r="CK200" s="38">
        <f t="shared" ca="1" si="119"/>
        <v>-5.4657750246900534</v>
      </c>
    </row>
    <row r="201" spans="1:89" x14ac:dyDescent="0.25">
      <c r="A201" t="s">
        <v>100</v>
      </c>
      <c r="B201" s="9">
        <f ca="1">B197+B179</f>
        <v>796.24178850756982</v>
      </c>
      <c r="C201" t="s">
        <v>69</v>
      </c>
      <c r="BC201">
        <v>3.4732052114687013</v>
      </c>
      <c r="BD201">
        <v>-75.222201437075938</v>
      </c>
      <c r="BE201">
        <v>-12.40282606124031</v>
      </c>
      <c r="BF201" s="6">
        <f t="shared" si="209"/>
        <v>3.3050049029503374</v>
      </c>
      <c r="BG201" s="6">
        <f t="shared" si="210"/>
        <v>0.16820030851836387</v>
      </c>
      <c r="BH201" s="6">
        <f t="shared" si="211"/>
        <v>-0.94881041275799261</v>
      </c>
      <c r="BI201" s="6">
        <f t="shared" si="212"/>
        <v>0.94881041275799261</v>
      </c>
      <c r="BV201" s="38"/>
      <c r="BW201" s="6">
        <f t="shared" si="105"/>
        <v>3.246312408709441</v>
      </c>
      <c r="BX201" s="9">
        <f t="shared" ca="1" si="109"/>
        <v>-155.85477246054651</v>
      </c>
      <c r="BY201" s="9">
        <f t="shared" ca="1" si="110"/>
        <v>22.549249799250759</v>
      </c>
      <c r="BZ201">
        <f t="shared" ca="1" si="111"/>
        <v>157.47755003567252</v>
      </c>
      <c r="CA201" s="6">
        <f t="shared" ca="1" si="112"/>
        <v>-0.98969518147343283</v>
      </c>
      <c r="CB201" s="6">
        <f t="shared" ca="1" si="113"/>
        <v>0.14319025025562565</v>
      </c>
      <c r="CC201" s="6">
        <f t="shared" ca="1" si="114"/>
        <v>2.9979085171221378</v>
      </c>
      <c r="CD201" s="6">
        <f t="shared" ca="1" si="106"/>
        <v>0.24508523388027914</v>
      </c>
      <c r="CE201" s="9">
        <f t="shared" ca="1" si="107"/>
        <v>-78.46175378972471</v>
      </c>
      <c r="CF201" s="9">
        <f t="shared" ca="1" si="108"/>
        <v>-3.2484230910231737</v>
      </c>
      <c r="CG201">
        <f t="shared" ca="1" si="115"/>
        <v>78.528969561160508</v>
      </c>
      <c r="CH201">
        <f t="shared" ca="1" si="116"/>
        <v>-0.99914406400833455</v>
      </c>
      <c r="CI201">
        <f t="shared" ca="1" si="117"/>
        <v>-4.136592023524787E-2</v>
      </c>
      <c r="CJ201">
        <f t="shared" ca="1" si="118"/>
        <v>-3.1002149271189743</v>
      </c>
      <c r="CK201" s="38">
        <f t="shared" ca="1" si="119"/>
        <v>-5.4564094173113187</v>
      </c>
    </row>
    <row r="202" spans="1:89" x14ac:dyDescent="0.25">
      <c r="A202" t="s">
        <v>101</v>
      </c>
      <c r="B202" s="9">
        <f ca="1">B198+B180</f>
        <v>596.71029241335305</v>
      </c>
      <c r="C202" t="s">
        <v>69</v>
      </c>
      <c r="BC202">
        <v>3.4906585039886444</v>
      </c>
      <c r="BD202">
        <v>-74.937979030322396</v>
      </c>
      <c r="BE202">
        <v>-13.089391365624083</v>
      </c>
      <c r="BF202" s="6">
        <f t="shared" si="209"/>
        <v>3.3145177787321236</v>
      </c>
      <c r="BG202" s="6">
        <f t="shared" si="210"/>
        <v>0.1761407252565208</v>
      </c>
      <c r="BH202" s="6">
        <f t="shared" si="211"/>
        <v>-0.95832328853977877</v>
      </c>
      <c r="BI202" s="6">
        <f t="shared" si="212"/>
        <v>0.95832328853977877</v>
      </c>
      <c r="BV202" s="38"/>
      <c r="BW202" s="6">
        <f t="shared" si="105"/>
        <v>3.2637657012293841</v>
      </c>
      <c r="BX202" s="9">
        <f t="shared" ca="1" si="109"/>
        <v>-155.63153343972266</v>
      </c>
      <c r="BY202" s="9">
        <f t="shared" ca="1" si="110"/>
        <v>21.824505328132062</v>
      </c>
      <c r="BZ202">
        <f t="shared" ca="1" si="111"/>
        <v>157.15432935053738</v>
      </c>
      <c r="CA202" s="6">
        <f t="shared" ca="1" si="112"/>
        <v>-0.99031018797186243</v>
      </c>
      <c r="CB202" s="6">
        <f t="shared" ca="1" si="113"/>
        <v>0.13887307730130588</v>
      </c>
      <c r="CC202" s="6">
        <f t="shared" ca="1" si="114"/>
        <v>3.002269279147908</v>
      </c>
      <c r="CD202" s="6">
        <f t="shared" ca="1" si="106"/>
        <v>0.24944599590604932</v>
      </c>
      <c r="CE202" s="9">
        <f t="shared" ca="1" si="107"/>
        <v>-78.238514768900856</v>
      </c>
      <c r="CF202" s="9">
        <f t="shared" ca="1" si="108"/>
        <v>-3.9731675621418709</v>
      </c>
      <c r="CG202">
        <f t="shared" ca="1" si="115"/>
        <v>78.339334013765864</v>
      </c>
      <c r="CH202">
        <f t="shared" ca="1" si="116"/>
        <v>-0.99871304439673569</v>
      </c>
      <c r="CI202">
        <f t="shared" ca="1" si="117"/>
        <v>-5.0717402849553228E-2</v>
      </c>
      <c r="CJ202">
        <f t="shared" ca="1" si="118"/>
        <v>-3.0908534825186735</v>
      </c>
      <c r="CK202" s="38">
        <f t="shared" ca="1" si="119"/>
        <v>-5.4470479727110188</v>
      </c>
    </row>
    <row r="203" spans="1:89" x14ac:dyDescent="0.25">
      <c r="BC203">
        <v>3.5081117965085875</v>
      </c>
      <c r="BD203">
        <v>-74.647609493354707</v>
      </c>
      <c r="BE203">
        <v>-13.774985772250746</v>
      </c>
      <c r="BF203" s="6">
        <f t="shared" si="209"/>
        <v>3.324073334407784</v>
      </c>
      <c r="BG203" s="6">
        <f t="shared" si="210"/>
        <v>0.18403846210080355</v>
      </c>
      <c r="BH203" s="6">
        <f t="shared" si="211"/>
        <v>-0.96787884421543913</v>
      </c>
      <c r="BI203" s="6">
        <f t="shared" si="212"/>
        <v>0.96787884421543913</v>
      </c>
      <c r="BV203" s="38"/>
      <c r="BW203" s="6">
        <f t="shared" si="105"/>
        <v>3.2812189937493272</v>
      </c>
      <c r="BX203" s="9">
        <f t="shared" ca="1" si="109"/>
        <v>-155.404487826099</v>
      </c>
      <c r="BY203" s="9">
        <f t="shared" ca="1" si="110"/>
        <v>21.103453382168208</v>
      </c>
      <c r="BZ203">
        <f t="shared" ca="1" si="111"/>
        <v>156.83083428058876</v>
      </c>
      <c r="CA203" s="6">
        <f t="shared" ca="1" si="112"/>
        <v>-0.9909051911823803</v>
      </c>
      <c r="CB203" s="6">
        <f t="shared" ca="1" si="113"/>
        <v>0.13456188943311781</v>
      </c>
      <c r="CC203" s="6">
        <f t="shared" ca="1" si="114"/>
        <v>3.006621336081154</v>
      </c>
      <c r="CD203" s="6">
        <f t="shared" ca="1" si="106"/>
        <v>0.25379805283929535</v>
      </c>
      <c r="CE203" s="9">
        <f t="shared" ca="1" si="107"/>
        <v>-78.011469155277197</v>
      </c>
      <c r="CF203" s="9">
        <f t="shared" ca="1" si="108"/>
        <v>-4.694219508105725</v>
      </c>
      <c r="CG203">
        <f t="shared" ca="1" si="115"/>
        <v>78.152575239431783</v>
      </c>
      <c r="CH203">
        <f t="shared" ca="1" si="116"/>
        <v>-0.99819447940490402</v>
      </c>
      <c r="CI203">
        <f t="shared" ca="1" si="117"/>
        <v>-6.0064809044670639E-2</v>
      </c>
      <c r="CJ203">
        <f t="shared" ca="1" si="118"/>
        <v>-3.0814916690009078</v>
      </c>
      <c r="CK203" s="38">
        <f t="shared" ca="1" si="119"/>
        <v>-5.4376861591932526</v>
      </c>
    </row>
    <row r="204" spans="1:89" x14ac:dyDescent="0.25">
      <c r="A204" s="8" t="s">
        <v>64</v>
      </c>
      <c r="B204">
        <f ca="1">((B201*COS(-1*B27))+(B202*SIN(-1*B27)))</f>
        <v>-703.58516144140754</v>
      </c>
      <c r="C204" t="s">
        <v>69</v>
      </c>
      <c r="BC204">
        <v>3.5255650890285306</v>
      </c>
      <c r="BD204">
        <v>-74.350790579455818</v>
      </c>
      <c r="BE204">
        <v>-14.459958198780624</v>
      </c>
      <c r="BF204" s="6">
        <f t="shared" si="209"/>
        <v>3.3336777358872247</v>
      </c>
      <c r="BG204" s="6">
        <f t="shared" si="210"/>
        <v>0.19188735314130589</v>
      </c>
      <c r="BH204" s="6">
        <f t="shared" si="211"/>
        <v>-0.97748324569487988</v>
      </c>
      <c r="BI204" s="6">
        <f t="shared" si="212"/>
        <v>0.97748324569487988</v>
      </c>
      <c r="BV204" s="38"/>
      <c r="BW204" s="6">
        <f t="shared" si="105"/>
        <v>3.2986722862692703</v>
      </c>
      <c r="BX204" s="9">
        <f t="shared" ca="1" si="109"/>
        <v>-155.17335998286688</v>
      </c>
      <c r="BY204" s="9">
        <f t="shared" ca="1" si="110"/>
        <v>20.386121051879769</v>
      </c>
      <c r="BZ204">
        <f t="shared" ca="1" si="111"/>
        <v>156.50675889530871</v>
      </c>
      <c r="CA204" s="6">
        <f t="shared" ca="1" si="112"/>
        <v>-0.99148024710336147</v>
      </c>
      <c r="CB204" s="6">
        <f t="shared" ca="1" si="113"/>
        <v>0.13025712880244716</v>
      </c>
      <c r="CC204" s="6">
        <f t="shared" ca="1" si="114"/>
        <v>3.0109643400008541</v>
      </c>
      <c r="CD204" s="6">
        <f t="shared" ca="1" si="106"/>
        <v>0.25814105675899546</v>
      </c>
      <c r="CE204" s="9">
        <f t="shared" ca="1" si="107"/>
        <v>-77.780341312045081</v>
      </c>
      <c r="CF204" s="9">
        <f t="shared" ca="1" si="108"/>
        <v>-5.4115518383941641</v>
      </c>
      <c r="CG204">
        <f t="shared" ca="1" si="115"/>
        <v>77.968367867474655</v>
      </c>
      <c r="CH204">
        <f t="shared" ca="1" si="116"/>
        <v>-0.99758842514506441</v>
      </c>
      <c r="CI204">
        <f t="shared" ca="1" si="117"/>
        <v>-6.94070170558444E-2</v>
      </c>
      <c r="CJ204">
        <f t="shared" ca="1" si="118"/>
        <v>-3.0721297892525787</v>
      </c>
      <c r="CK204" s="38">
        <f t="shared" ca="1" si="119"/>
        <v>-5.428324279444924</v>
      </c>
    </row>
    <row r="205" spans="1:89" x14ac:dyDescent="0.25">
      <c r="A205" s="8" t="s">
        <v>65</v>
      </c>
      <c r="B205">
        <f ca="1">(-1*(B201)*SIN(-1*B27))+((B202)*COS(-1*B27))</f>
        <v>703.58516146748798</v>
      </c>
      <c r="C205" t="s">
        <v>69</v>
      </c>
      <c r="BC205">
        <v>3.5430183815484737</v>
      </c>
      <c r="BD205">
        <v>-74.047206650587185</v>
      </c>
      <c r="BE205">
        <v>-15.144656151831118</v>
      </c>
      <c r="BF205" s="6">
        <f t="shared" si="209"/>
        <v>3.3433373248173748</v>
      </c>
      <c r="BG205" s="6">
        <f t="shared" si="210"/>
        <v>0.19968105673109893</v>
      </c>
      <c r="BH205" s="6">
        <f t="shared" si="211"/>
        <v>-0.98714283462502994</v>
      </c>
      <c r="BI205" s="6">
        <f t="shared" si="212"/>
        <v>0.98714283462502994</v>
      </c>
      <c r="BV205" s="38"/>
      <c r="BW205" s="6">
        <f t="shared" si="105"/>
        <v>3.3161255787892134</v>
      </c>
      <c r="BX205" s="9">
        <f t="shared" ca="1" si="109"/>
        <v>-154.93805177236936</v>
      </c>
      <c r="BY205" s="9">
        <f t="shared" ca="1" si="110"/>
        <v>19.672555243195816</v>
      </c>
      <c r="BZ205">
        <f t="shared" ca="1" si="111"/>
        <v>156.18197500612547</v>
      </c>
      <c r="CA205" s="6">
        <f t="shared" ca="1" si="112"/>
        <v>-0.99203542384639887</v>
      </c>
      <c r="CB205" s="6">
        <f t="shared" ca="1" si="113"/>
        <v>0.12595919114497212</v>
      </c>
      <c r="CC205" s="6">
        <f t="shared" ca="1" si="114"/>
        <v>3.0152979895847336</v>
      </c>
      <c r="CD205" s="6">
        <f t="shared" ca="1" si="106"/>
        <v>0.26247470634287495</v>
      </c>
      <c r="CE205" s="9">
        <f t="shared" ca="1" si="107"/>
        <v>-77.54503310154756</v>
      </c>
      <c r="CF205" s="9">
        <f t="shared" ca="1" si="108"/>
        <v>-6.1251176470781168</v>
      </c>
      <c r="CG205">
        <f t="shared" ca="1" si="115"/>
        <v>77.786561981557298</v>
      </c>
      <c r="CH205">
        <f t="shared" ca="1" si="116"/>
        <v>-0.99689497936588323</v>
      </c>
      <c r="CI205">
        <f t="shared" ca="1" si="117"/>
        <v>-7.8742619432522851E-2</v>
      </c>
      <c r="CJ205">
        <f t="shared" ca="1" si="118"/>
        <v>-3.0627684336470571</v>
      </c>
      <c r="CK205" s="38">
        <f t="shared" ca="1" si="119"/>
        <v>-5.4189629238394019</v>
      </c>
    </row>
    <row r="206" spans="1:89" x14ac:dyDescent="0.25">
      <c r="BC206">
        <v>3.5604716740684168</v>
      </c>
      <c r="BD206">
        <v>-73.736529284925936</v>
      </c>
      <c r="BE206">
        <v>-15.829424355459876</v>
      </c>
      <c r="BF206" s="6">
        <f t="shared" si="209"/>
        <v>3.3530586050947573</v>
      </c>
      <c r="BG206" s="6">
        <f t="shared" si="210"/>
        <v>0.20741306897365952</v>
      </c>
      <c r="BH206" s="6">
        <f t="shared" si="211"/>
        <v>-0.99686411490241245</v>
      </c>
      <c r="BI206" s="6">
        <f t="shared" si="212"/>
        <v>0.99686411490241245</v>
      </c>
      <c r="BV206" s="38"/>
      <c r="BW206" s="6">
        <f t="shared" si="105"/>
        <v>3.3335788713091565</v>
      </c>
      <c r="BX206" s="9">
        <f t="shared" ca="1" si="109"/>
        <v>-154.69850654332839</v>
      </c>
      <c r="BY206" s="9">
        <f t="shared" ca="1" si="110"/>
        <v>18.962729910990195</v>
      </c>
      <c r="BZ206">
        <f t="shared" ca="1" si="111"/>
        <v>155.85638598534672</v>
      </c>
      <c r="CA206" s="6">
        <f t="shared" ca="1" si="112"/>
        <v>-0.99257085659533262</v>
      </c>
      <c r="CB206" s="6">
        <f t="shared" ca="1" si="113"/>
        <v>0.12166796882338225</v>
      </c>
      <c r="CC206" s="6">
        <f t="shared" ca="1" si="114"/>
        <v>3.0196224902942754</v>
      </c>
      <c r="CD206" s="6">
        <f t="shared" ca="1" si="106"/>
        <v>0.26679920705241678</v>
      </c>
      <c r="CE206" s="9">
        <f t="shared" ca="1" si="107"/>
        <v>-77.305487872506589</v>
      </c>
      <c r="CF206" s="9">
        <f t="shared" ca="1" si="108"/>
        <v>-6.8349429792837384</v>
      </c>
      <c r="CG206">
        <f t="shared" ca="1" si="115"/>
        <v>77.607054452132914</v>
      </c>
      <c r="CH206">
        <f t="shared" ca="1" si="116"/>
        <v>-0.99611418598792034</v>
      </c>
      <c r="CI206">
        <f t="shared" ca="1" si="117"/>
        <v>-8.8071155741382356E-2</v>
      </c>
      <c r="CJ206">
        <f t="shared" ca="1" si="118"/>
        <v>-3.053407244197619</v>
      </c>
      <c r="CK206" s="38">
        <f t="shared" ca="1" si="119"/>
        <v>-5.4096017343899643</v>
      </c>
    </row>
    <row r="207" spans="1:89" x14ac:dyDescent="0.25">
      <c r="BC207">
        <v>3.5779249665883599</v>
      </c>
      <c r="BD207">
        <v>-73.418417726852695</v>
      </c>
      <c r="BE207">
        <v>-16.51460357026134</v>
      </c>
      <c r="BF207" s="6">
        <f t="shared" si="209"/>
        <v>3.3628482320605042</v>
      </c>
      <c r="BG207" s="6">
        <f t="shared" si="210"/>
        <v>0.2150767345278557</v>
      </c>
      <c r="BH207" s="6">
        <f t="shared" si="211"/>
        <v>-1.0066537418681594</v>
      </c>
      <c r="BI207" s="6">
        <f t="shared" si="212"/>
        <v>1.0066537418681594</v>
      </c>
      <c r="BV207" s="38"/>
      <c r="BW207" s="6">
        <f t="shared" ref="BW207:BW270" si="213">BC194</f>
        <v>3.3510321638290996</v>
      </c>
      <c r="BX207" s="9">
        <f t="shared" ca="1" si="109"/>
        <v>-154.45465697171218</v>
      </c>
      <c r="BY207" s="9">
        <f t="shared" ca="1" si="110"/>
        <v>18.25653742540397</v>
      </c>
      <c r="BZ207">
        <f t="shared" ca="1" si="111"/>
        <v>155.52987564778175</v>
      </c>
      <c r="CA207" s="6">
        <f t="shared" ca="1" si="112"/>
        <v>-0.99308673866296571</v>
      </c>
      <c r="CB207" s="6">
        <f t="shared" ca="1" si="113"/>
        <v>0.11738283303683947</v>
      </c>
      <c r="CC207" s="6">
        <f t="shared" ca="1" si="114"/>
        <v>3.0239385709162492</v>
      </c>
      <c r="CD207" s="6">
        <f t="shared" ref="CD207:CD270" ca="1" si="214">CC207-$BZ$11</f>
        <v>0.27111528767439053</v>
      </c>
      <c r="CE207" s="9">
        <f t="shared" ref="CE207:CE270" ca="1" si="215">BX207+$BW$5</f>
        <v>-77.06163830089038</v>
      </c>
      <c r="CF207" s="9">
        <f t="shared" ref="CF207:CF270" ca="1" si="216">BY207+$BX$5</f>
        <v>-7.5411354648699636</v>
      </c>
      <c r="CG207">
        <f t="shared" ca="1" si="115"/>
        <v>77.429741196240442</v>
      </c>
      <c r="CH207">
        <f t="shared" ca="1" si="116"/>
        <v>-0.99524597538796966</v>
      </c>
      <c r="CI207">
        <f t="shared" ca="1" si="117"/>
        <v>-9.7393267087868288E-2</v>
      </c>
      <c r="CJ207">
        <f t="shared" ca="1" si="118"/>
        <v>-3.0440447557516497</v>
      </c>
      <c r="CK207" s="38">
        <f t="shared" ca="1" si="119"/>
        <v>-5.400239245943995</v>
      </c>
    </row>
    <row r="208" spans="1:89" x14ac:dyDescent="0.25">
      <c r="BC208">
        <v>3.595378259108303</v>
      </c>
      <c r="BD208">
        <v>-73.092519228328399</v>
      </c>
      <c r="BE208">
        <v>-17.200529512547043</v>
      </c>
      <c r="BF208" s="6">
        <f t="shared" si="209"/>
        <v>3.3727130032194785</v>
      </c>
      <c r="BG208" s="6">
        <f t="shared" si="210"/>
        <v>0.22266525588882446</v>
      </c>
      <c r="BH208" s="6">
        <f t="shared" si="211"/>
        <v>-1.0165185130271337</v>
      </c>
      <c r="BI208" s="6">
        <f t="shared" si="212"/>
        <v>1.0165185130271337</v>
      </c>
      <c r="BV208" s="38"/>
      <c r="BW208" s="6">
        <f t="shared" si="213"/>
        <v>3.3684854563490427</v>
      </c>
      <c r="BX208" s="9">
        <f t="shared" ref="BX208:BX271" ca="1" si="217">BD195-$BW$5</f>
        <v>-154.20640688090276</v>
      </c>
      <c r="BY208" s="9">
        <f t="shared" ref="BY208:BY271" ca="1" si="218">BE195-$BX$5</f>
        <v>17.553801076487044</v>
      </c>
      <c r="BZ208">
        <f t="shared" ref="BZ208:BZ271" ca="1" si="219">SQRT(POWER(BX208,2)+POWER(BY208,2))</f>
        <v>155.20229333148211</v>
      </c>
      <c r="CA208" s="6">
        <f t="shared" ref="CA208:CA271" ca="1" si="220">BX208/BZ208</f>
        <v>-0.99358330067679912</v>
      </c>
      <c r="CB208" s="6">
        <f t="shared" ref="CB208:CB271" ca="1" si="221">BY208/BZ208</f>
        <v>0.11310271710351287</v>
      </c>
      <c r="CC208" s="6">
        <f t="shared" ref="CC208:CC271" ca="1" si="222">ATAN2(CA208,CB208)</f>
        <v>3.028247398478471</v>
      </c>
      <c r="CD208" s="6">
        <f t="shared" ca="1" si="214"/>
        <v>0.27542411523661237</v>
      </c>
      <c r="CE208" s="9">
        <f t="shared" ca="1" si="215"/>
        <v>-76.813388210080959</v>
      </c>
      <c r="CF208" s="9">
        <f t="shared" ca="1" si="216"/>
        <v>-8.2438718137868889</v>
      </c>
      <c r="CG208">
        <f t="shared" ref="CG208:CG271" ca="1" si="223">SQRT(POWER(CE208,2)+POWER(CF208,2))</f>
        <v>77.254501686275574</v>
      </c>
      <c r="CH208">
        <f t="shared" ref="CH208:CH271" ca="1" si="224">CE208/CG208</f>
        <v>-0.99429012592708266</v>
      </c>
      <c r="CI208">
        <f t="shared" ref="CI208:CI271" ca="1" si="225">CF208/CG208</f>
        <v>-0.10671056875448631</v>
      </c>
      <c r="CJ208">
        <f t="shared" ref="CJ208:CJ271" ca="1" si="226">ATAN2(CH208,CI208)</f>
        <v>-3.0346785185208542</v>
      </c>
      <c r="CK208" s="38">
        <f t="shared" ref="CK208:CK271" ca="1" si="227">CJ208-$U$13</f>
        <v>-5.3908730087131991</v>
      </c>
    </row>
    <row r="209" spans="55:89" x14ac:dyDescent="0.25">
      <c r="BC209">
        <v>3.6128315516282461</v>
      </c>
      <c r="BD209">
        <v>-72.758469370604828</v>
      </c>
      <c r="BE209">
        <v>-17.887531789960992</v>
      </c>
      <c r="BF209" s="6">
        <f t="shared" si="209"/>
        <v>3.3826598492297473</v>
      </c>
      <c r="BG209" s="6">
        <f t="shared" si="210"/>
        <v>0.23017170239849882</v>
      </c>
      <c r="BH209" s="6">
        <f t="shared" si="211"/>
        <v>-1.0264653590374024</v>
      </c>
      <c r="BI209" s="6">
        <f t="shared" si="212"/>
        <v>1.0264653590374024</v>
      </c>
      <c r="BV209" s="38"/>
      <c r="BW209" s="6">
        <f t="shared" si="213"/>
        <v>3.3859387488689858</v>
      </c>
      <c r="BX209" s="9">
        <f t="shared" ca="1" si="217"/>
        <v>-153.95362703090746</v>
      </c>
      <c r="BY209" s="9">
        <f t="shared" ca="1" si="218"/>
        <v>16.854290687256157</v>
      </c>
      <c r="BZ209">
        <f t="shared" ca="1" si="219"/>
        <v>154.87345282695253</v>
      </c>
      <c r="CA209" s="6">
        <f t="shared" ca="1" si="220"/>
        <v>-0.99406079105711653</v>
      </c>
      <c r="CB209" s="6">
        <f t="shared" ca="1" si="221"/>
        <v>0.10882620862135912</v>
      </c>
      <c r="CC209" s="6">
        <f t="shared" ca="1" si="222"/>
        <v>3.0325504846306526</v>
      </c>
      <c r="CD209" s="6">
        <f t="shared" ca="1" si="214"/>
        <v>0.27972720138879392</v>
      </c>
      <c r="CE209" s="9">
        <f t="shared" ca="1" si="215"/>
        <v>-76.560608360085652</v>
      </c>
      <c r="CF209" s="9">
        <f t="shared" ca="1" si="216"/>
        <v>-8.9433822030177765</v>
      </c>
      <c r="CG209">
        <f t="shared" ca="1" si="223"/>
        <v>77.08119639507207</v>
      </c>
      <c r="CH209">
        <f t="shared" ca="1" si="224"/>
        <v>-0.99324623826129799</v>
      </c>
      <c r="CI209">
        <f t="shared" ca="1" si="225"/>
        <v>-0.11602547211617413</v>
      </c>
      <c r="CJ209">
        <f t="shared" ca="1" si="226"/>
        <v>-3.0253052709863311</v>
      </c>
      <c r="CK209" s="38">
        <f t="shared" ca="1" si="227"/>
        <v>-5.3814997611786755</v>
      </c>
    </row>
    <row r="210" spans="55:89" x14ac:dyDescent="0.25">
      <c r="BC210">
        <v>3.6302848441481892</v>
      </c>
      <c r="BD210">
        <v>-72.415892413059467</v>
      </c>
      <c r="BE210">
        <v>-18.575932785062051</v>
      </c>
      <c r="BF210" s="6">
        <f t="shared" si="209"/>
        <v>3.3926958241473493</v>
      </c>
      <c r="BG210" s="6">
        <f t="shared" si="210"/>
        <v>0.23758902000083992</v>
      </c>
      <c r="BH210" s="6">
        <f t="shared" si="211"/>
        <v>-1.0365013339550044</v>
      </c>
      <c r="BI210" s="6">
        <f t="shared" si="212"/>
        <v>1.0365013339550044</v>
      </c>
      <c r="BV210" s="38"/>
      <c r="BW210" s="6">
        <f t="shared" si="213"/>
        <v>3.4033920413889289</v>
      </c>
      <c r="BX210" s="9">
        <f t="shared" ca="1" si="217"/>
        <v>-153.69615644756686</v>
      </c>
      <c r="BY210" s="9">
        <f t="shared" ca="1" si="218"/>
        <v>16.157736418923086</v>
      </c>
      <c r="BZ210">
        <f t="shared" ca="1" si="219"/>
        <v>154.54313622072752</v>
      </c>
      <c r="CA210" s="6">
        <f t="shared" ca="1" si="220"/>
        <v>-0.99451946043109318</v>
      </c>
      <c r="CB210" s="6">
        <f t="shared" ca="1" si="221"/>
        <v>0.10455162755235965</v>
      </c>
      <c r="CC210" s="6">
        <f t="shared" ca="1" si="222"/>
        <v>3.0368496065615589</v>
      </c>
      <c r="CD210" s="6">
        <f t="shared" ca="1" si="214"/>
        <v>0.28402632331970024</v>
      </c>
      <c r="CE210" s="9">
        <f t="shared" ca="1" si="215"/>
        <v>-76.303137776745061</v>
      </c>
      <c r="CF210" s="9">
        <f t="shared" ca="1" si="216"/>
        <v>-9.6399364713508469</v>
      </c>
      <c r="CG210">
        <f t="shared" ca="1" si="223"/>
        <v>76.909669156411141</v>
      </c>
      <c r="CH210">
        <f t="shared" ca="1" si="224"/>
        <v>-0.99211371747767396</v>
      </c>
      <c r="CI210">
        <f t="shared" ca="1" si="225"/>
        <v>-0.12534102118871573</v>
      </c>
      <c r="CJ210">
        <f t="shared" ca="1" si="226"/>
        <v>-3.0159210979220865</v>
      </c>
      <c r="CK210" s="38">
        <f t="shared" ca="1" si="227"/>
        <v>-5.3721155881144309</v>
      </c>
    </row>
    <row r="211" spans="55:89" x14ac:dyDescent="0.25">
      <c r="BC211">
        <v>3.6477381366681323</v>
      </c>
      <c r="BD211">
        <v>-72.064401749802627</v>
      </c>
      <c r="BE211">
        <v>-19.26604641735922</v>
      </c>
      <c r="BF211" s="6">
        <f t="shared" si="209"/>
        <v>3.402828093728882</v>
      </c>
      <c r="BG211" s="6">
        <f t="shared" si="210"/>
        <v>0.24491004293925034</v>
      </c>
      <c r="BH211" s="6">
        <f t="shared" si="211"/>
        <v>-1.0466336035365371</v>
      </c>
      <c r="BI211" s="6">
        <f t="shared" si="212"/>
        <v>1.0466336035365371</v>
      </c>
      <c r="BV211" s="38"/>
      <c r="BW211" s="6">
        <f t="shared" si="213"/>
        <v>3.420845333908872</v>
      </c>
      <c r="BX211" s="9">
        <f t="shared" ca="1" si="217"/>
        <v>-153.43380562617358</v>
      </c>
      <c r="BY211" s="9">
        <f t="shared" ca="1" si="218"/>
        <v>15.463839817978297</v>
      </c>
      <c r="BZ211">
        <f t="shared" ca="1" si="219"/>
        <v>154.21109898722111</v>
      </c>
      <c r="CA211" s="6">
        <f t="shared" ca="1" si="220"/>
        <v>-0.99495954982389467</v>
      </c>
      <c r="CB211" s="6">
        <f t="shared" ca="1" si="221"/>
        <v>0.10027708718462429</v>
      </c>
      <c r="CC211" s="6">
        <f t="shared" ca="1" si="222"/>
        <v>3.0411467454286769</v>
      </c>
      <c r="CD211" s="6">
        <f t="shared" ca="1" si="214"/>
        <v>0.28832346218681826</v>
      </c>
      <c r="CE211" s="9">
        <f t="shared" ca="1" si="215"/>
        <v>-76.040786955351777</v>
      </c>
      <c r="CF211" s="9">
        <f t="shared" ca="1" si="216"/>
        <v>-10.333833072295636</v>
      </c>
      <c r="CG211">
        <f t="shared" ca="1" si="223"/>
        <v>76.739751020936126</v>
      </c>
      <c r="CH211">
        <f t="shared" ca="1" si="224"/>
        <v>-0.99089176005544166</v>
      </c>
      <c r="CI211">
        <f t="shared" ca="1" si="225"/>
        <v>-0.13466075840507175</v>
      </c>
      <c r="CJ211">
        <f t="shared" ca="1" si="226"/>
        <v>-3.0065215589856145</v>
      </c>
      <c r="CK211" s="38">
        <f t="shared" ca="1" si="227"/>
        <v>-5.3627160491779593</v>
      </c>
    </row>
    <row r="212" spans="55:89" x14ac:dyDescent="0.25">
      <c r="BC212">
        <v>3.6651914291880754</v>
      </c>
      <c r="BD212">
        <v>-71.703600541268742</v>
      </c>
      <c r="BE212">
        <v>-19.958176717453554</v>
      </c>
      <c r="BF212" s="6">
        <f t="shared" si="209"/>
        <v>3.4130639205956945</v>
      </c>
      <c r="BG212" s="6">
        <f t="shared" si="210"/>
        <v>0.25212750859238087</v>
      </c>
      <c r="BH212" s="6">
        <f t="shared" si="211"/>
        <v>-1.0568694304033497</v>
      </c>
      <c r="BI212" s="6">
        <f t="shared" si="212"/>
        <v>1.0568694304033497</v>
      </c>
      <c r="BV212" s="38"/>
      <c r="BW212" s="6">
        <f t="shared" si="213"/>
        <v>3.4382986264288151</v>
      </c>
      <c r="BX212" s="9">
        <f t="shared" ca="1" si="217"/>
        <v>-153.16636004880311</v>
      </c>
      <c r="BY212" s="9">
        <f t="shared" ca="1" si="218"/>
        <v>14.772282318486287</v>
      </c>
      <c r="BZ212">
        <f t="shared" ca="1" si="219"/>
        <v>153.87707488608123</v>
      </c>
      <c r="CA212" s="6">
        <f t="shared" ca="1" si="220"/>
        <v>-0.99538128185888464</v>
      </c>
      <c r="CB212" s="6">
        <f t="shared" ca="1" si="221"/>
        <v>9.6000540232666562E-2</v>
      </c>
      <c r="CC212" s="6">
        <f t="shared" ca="1" si="222"/>
        <v>3.0454440399449965</v>
      </c>
      <c r="CD212" s="6">
        <f t="shared" ca="1" si="214"/>
        <v>0.29262075670313781</v>
      </c>
      <c r="CE212" s="9">
        <f t="shared" ca="1" si="215"/>
        <v>-75.773341377981311</v>
      </c>
      <c r="CF212" s="9">
        <f t="shared" ca="1" si="216"/>
        <v>-11.025390571787646</v>
      </c>
      <c r="CG212">
        <f t="shared" ca="1" si="223"/>
        <v>76.571264197769125</v>
      </c>
      <c r="CH212">
        <f t="shared" ca="1" si="224"/>
        <v>-0.98957934378976775</v>
      </c>
      <c r="CI212">
        <f t="shared" ca="1" si="225"/>
        <v>-0.14398861880236355</v>
      </c>
      <c r="CJ212">
        <f t="shared" ca="1" si="226"/>
        <v>-2.9971017887039735</v>
      </c>
      <c r="CK212" s="38">
        <f t="shared" ca="1" si="227"/>
        <v>-5.3532962788963179</v>
      </c>
    </row>
    <row r="213" spans="55:89" x14ac:dyDescent="0.25">
      <c r="BC213">
        <v>3.6826447217080185</v>
      </c>
      <c r="BD213">
        <v>-71.333082606928244</v>
      </c>
      <c r="BE213">
        <v>-20.652616142039186</v>
      </c>
      <c r="BF213" s="6">
        <f t="shared" si="209"/>
        <v>3.4234106448554402</v>
      </c>
      <c r="BG213" s="6">
        <f t="shared" si="210"/>
        <v>0.25923407685257827</v>
      </c>
      <c r="BH213" s="6">
        <f t="shared" si="211"/>
        <v>-1.0672161546630954</v>
      </c>
      <c r="BI213" s="6">
        <f t="shared" si="212"/>
        <v>1.0672161546630954</v>
      </c>
      <c r="BV213" s="38"/>
      <c r="BW213" s="6">
        <f t="shared" si="213"/>
        <v>3.4557519189487582</v>
      </c>
      <c r="BX213" s="9">
        <f t="shared" ca="1" si="217"/>
        <v>-152.89358337527071</v>
      </c>
      <c r="BY213" s="9">
        <f t="shared" ca="1" si="218"/>
        <v>14.082731678806223</v>
      </c>
      <c r="BZ213">
        <f t="shared" ca="1" si="219"/>
        <v>153.54078014934049</v>
      </c>
      <c r="CA213" s="6">
        <f t="shared" ca="1" si="220"/>
        <v>-0.99578485420329188</v>
      </c>
      <c r="CB213" s="6">
        <f t="shared" ca="1" si="221"/>
        <v>9.1719813232085584E-2</v>
      </c>
      <c r="CC213" s="6">
        <f t="shared" ca="1" si="222"/>
        <v>3.0497437518857002</v>
      </c>
      <c r="CD213" s="6">
        <f t="shared" ca="1" si="214"/>
        <v>0.29692046864384158</v>
      </c>
      <c r="CE213" s="9">
        <f t="shared" ca="1" si="215"/>
        <v>-75.500564704448905</v>
      </c>
      <c r="CF213" s="9">
        <f t="shared" ca="1" si="216"/>
        <v>-11.714941211467711</v>
      </c>
      <c r="CG213">
        <f t="shared" ca="1" si="223"/>
        <v>76.404025537132668</v>
      </c>
      <c r="CH213">
        <f t="shared" ca="1" si="224"/>
        <v>-0.9881752194817971</v>
      </c>
      <c r="CI213">
        <f t="shared" ca="1" si="225"/>
        <v>-0.15332884791226348</v>
      </c>
      <c r="CJ213">
        <f t="shared" ca="1" si="226"/>
        <v>-2.9876565725535067</v>
      </c>
      <c r="CK213" s="38">
        <f t="shared" ca="1" si="227"/>
        <v>-5.343851062745852</v>
      </c>
    </row>
    <row r="214" spans="55:89" x14ac:dyDescent="0.25">
      <c r="BC214">
        <v>3.7000980142279616</v>
      </c>
      <c r="BD214">
        <v>-70.952433666182728</v>
      </c>
      <c r="BE214">
        <v>-21.349643553397534</v>
      </c>
      <c r="BF214" s="6">
        <f t="shared" si="209"/>
        <v>3.4338756586116341</v>
      </c>
      <c r="BG214" s="6">
        <f t="shared" si="210"/>
        <v>0.26622235561632746</v>
      </c>
      <c r="BH214" s="6">
        <f t="shared" si="211"/>
        <v>-1.0776811684192893</v>
      </c>
      <c r="BI214" s="6">
        <f t="shared" si="212"/>
        <v>1.0776811684192893</v>
      </c>
      <c r="BV214" s="38"/>
      <c r="BW214" s="6">
        <f t="shared" si="213"/>
        <v>3.4732052114687013</v>
      </c>
      <c r="BX214" s="9">
        <f t="shared" ca="1" si="217"/>
        <v>-152.61522010789776</v>
      </c>
      <c r="BY214" s="9">
        <f t="shared" ca="1" si="218"/>
        <v>13.394846829033623</v>
      </c>
      <c r="BZ214">
        <f t="shared" ca="1" si="219"/>
        <v>153.20191686188315</v>
      </c>
      <c r="CA214" s="6">
        <f t="shared" ca="1" si="220"/>
        <v>-0.99617043463944177</v>
      </c>
      <c r="CB214" s="6">
        <f t="shared" ca="1" si="221"/>
        <v>8.7432632067584004E-2</v>
      </c>
      <c r="CC214" s="6">
        <f t="shared" ca="1" si="222"/>
        <v>3.0540482406148222</v>
      </c>
      <c r="CD214" s="6">
        <f t="shared" ca="1" si="214"/>
        <v>0.30122495737296351</v>
      </c>
      <c r="CE214" s="9">
        <f t="shared" ca="1" si="215"/>
        <v>-75.222201437075952</v>
      </c>
      <c r="CF214" s="9">
        <f t="shared" ca="1" si="216"/>
        <v>-12.40282606124031</v>
      </c>
      <c r="CG214">
        <f t="shared" ca="1" si="223"/>
        <v>76.237849414483179</v>
      </c>
      <c r="CH214">
        <f t="shared" ca="1" si="224"/>
        <v>-0.98667790362388841</v>
      </c>
      <c r="CI214">
        <f t="shared" ca="1" si="225"/>
        <v>-0.16268593823797056</v>
      </c>
      <c r="CJ214">
        <f t="shared" ca="1" si="226"/>
        <v>-2.9781804042292488</v>
      </c>
      <c r="CK214" s="38">
        <f t="shared" ca="1" si="227"/>
        <v>-5.3343748944215932</v>
      </c>
    </row>
    <row r="215" spans="55:89" x14ac:dyDescent="0.25">
      <c r="BC215">
        <v>3.7175513067479047</v>
      </c>
      <c r="BD215">
        <v>-70.558542047426016</v>
      </c>
      <c r="BE215">
        <v>-22.055107526692911</v>
      </c>
      <c r="BF215" s="6">
        <f t="shared" si="209"/>
        <v>3.444549350009273</v>
      </c>
      <c r="BG215" s="6">
        <f t="shared" si="210"/>
        <v>0.2730019567386317</v>
      </c>
      <c r="BH215" s="6">
        <f t="shared" si="211"/>
        <v>-1.0883548598169281</v>
      </c>
      <c r="BI215" s="6">
        <f t="shared" si="212"/>
        <v>1.0883548598169281</v>
      </c>
      <c r="BV215" s="38"/>
      <c r="BW215" s="6">
        <f t="shared" si="213"/>
        <v>3.4906585039886444</v>
      </c>
      <c r="BX215" s="9">
        <f t="shared" ca="1" si="217"/>
        <v>-152.33099770114421</v>
      </c>
      <c r="BY215" s="9">
        <f t="shared" ca="1" si="218"/>
        <v>12.70828152464985</v>
      </c>
      <c r="BZ215">
        <f t="shared" ca="1" si="219"/>
        <v>152.86017558519211</v>
      </c>
      <c r="CA215" s="6">
        <f t="shared" ca="1" si="220"/>
        <v>-0.99653815729295059</v>
      </c>
      <c r="CB215" s="6">
        <f t="shared" ca="1" si="221"/>
        <v>8.313664089419591E-2</v>
      </c>
      <c r="CC215" s="6">
        <f t="shared" ca="1" si="222"/>
        <v>3.0583599443283402</v>
      </c>
      <c r="CD215" s="6">
        <f t="shared" ca="1" si="214"/>
        <v>0.30553666108648159</v>
      </c>
      <c r="CE215" s="9">
        <f t="shared" ca="1" si="215"/>
        <v>-74.93797903032241</v>
      </c>
      <c r="CF215" s="9">
        <f t="shared" ca="1" si="216"/>
        <v>-13.089391365624083</v>
      </c>
      <c r="CG215">
        <f t="shared" ca="1" si="223"/>
        <v>76.072550026087043</v>
      </c>
      <c r="CH215">
        <f t="shared" ca="1" si="224"/>
        <v>-0.98508567156779203</v>
      </c>
      <c r="CI215">
        <f t="shared" ca="1" si="225"/>
        <v>-0.17206457994553129</v>
      </c>
      <c r="CJ215">
        <f t="shared" ca="1" si="226"/>
        <v>-2.9686675284474626</v>
      </c>
      <c r="CK215" s="38">
        <f t="shared" ca="1" si="227"/>
        <v>-5.3248620186398075</v>
      </c>
    </row>
    <row r="216" spans="55:89" x14ac:dyDescent="0.25">
      <c r="BC216">
        <v>3.7350045992678478</v>
      </c>
      <c r="BD216">
        <v>-70.150910138560519</v>
      </c>
      <c r="BE216">
        <v>-22.769215074158886</v>
      </c>
      <c r="BF216" s="6">
        <f t="shared" si="209"/>
        <v>3.455439892825384</v>
      </c>
      <c r="BG216" s="6">
        <f t="shared" si="210"/>
        <v>0.27956470644246378</v>
      </c>
      <c r="BH216" s="6">
        <f t="shared" si="211"/>
        <v>-1.0992454026330392</v>
      </c>
      <c r="BI216" s="6">
        <f t="shared" si="212"/>
        <v>1.0992454026330392</v>
      </c>
      <c r="BV216" s="38"/>
      <c r="BW216" s="6">
        <f t="shared" si="213"/>
        <v>3.5081117965085875</v>
      </c>
      <c r="BX216" s="9">
        <f t="shared" ca="1" si="217"/>
        <v>-152.0406281641765</v>
      </c>
      <c r="BY216" s="9">
        <f t="shared" ca="1" si="218"/>
        <v>12.022687118023187</v>
      </c>
      <c r="BZ216">
        <f t="shared" ca="1" si="219"/>
        <v>152.515237330882</v>
      </c>
      <c r="CA216" s="6">
        <f t="shared" ca="1" si="220"/>
        <v>-0.9968881196724243</v>
      </c>
      <c r="CB216" s="6">
        <f t="shared" ca="1" si="221"/>
        <v>7.8829416184429832E-2</v>
      </c>
      <c r="CC216" s="6">
        <f t="shared" ca="1" si="222"/>
        <v>3.0626813662505143</v>
      </c>
      <c r="CD216" s="6">
        <f t="shared" ca="1" si="214"/>
        <v>0.30985808300865569</v>
      </c>
      <c r="CE216" s="9">
        <f t="shared" ca="1" si="215"/>
        <v>-74.647609493354693</v>
      </c>
      <c r="CF216" s="9">
        <f t="shared" ca="1" si="216"/>
        <v>-13.774985772250746</v>
      </c>
      <c r="CG216">
        <f t="shared" ca="1" si="223"/>
        <v>75.907943168670357</v>
      </c>
      <c r="CH216">
        <f t="shared" ca="1" si="224"/>
        <v>-0.98339655083901889</v>
      </c>
      <c r="CI216">
        <f t="shared" ca="1" si="225"/>
        <v>-0.18146962224549018</v>
      </c>
      <c r="CJ216">
        <f t="shared" ca="1" si="226"/>
        <v>-2.9591119727718023</v>
      </c>
      <c r="CK216" s="38">
        <f t="shared" ca="1" si="227"/>
        <v>-5.3153064629641467</v>
      </c>
    </row>
    <row r="217" spans="55:89" x14ac:dyDescent="0.25">
      <c r="BC217">
        <v>3.7524578917877909</v>
      </c>
      <c r="BD217">
        <v>-69.731535879428122</v>
      </c>
      <c r="BE217">
        <v>-23.48706215082661</v>
      </c>
      <c r="BF217" s="6">
        <f t="shared" si="209"/>
        <v>3.4664790294805328</v>
      </c>
      <c r="BG217" s="6">
        <f t="shared" si="210"/>
        <v>0.28597886230725811</v>
      </c>
      <c r="BH217" s="6">
        <f t="shared" si="211"/>
        <v>-1.1102845392881879</v>
      </c>
      <c r="BI217" s="6">
        <f t="shared" si="212"/>
        <v>1.1102845392881879</v>
      </c>
      <c r="BV217" s="38"/>
      <c r="BW217" s="6">
        <f t="shared" si="213"/>
        <v>3.5255650890285306</v>
      </c>
      <c r="BX217" s="9">
        <f t="shared" ca="1" si="217"/>
        <v>-151.74380925027762</v>
      </c>
      <c r="BY217" s="9">
        <f t="shared" ca="1" si="218"/>
        <v>11.337714691493309</v>
      </c>
      <c r="BZ217">
        <f t="shared" ca="1" si="219"/>
        <v>152.1667750207329</v>
      </c>
      <c r="CA217" s="6">
        <f t="shared" ca="1" si="220"/>
        <v>-0.9972203802676527</v>
      </c>
      <c r="CB217" s="6">
        <f t="shared" ca="1" si="221"/>
        <v>7.4508477228018608E-2</v>
      </c>
      <c r="CC217" s="6">
        <f t="shared" ca="1" si="222"/>
        <v>3.0670150644358749</v>
      </c>
      <c r="CD217" s="6">
        <f t="shared" ca="1" si="214"/>
        <v>0.31419178119401625</v>
      </c>
      <c r="CE217" s="9">
        <f t="shared" ca="1" si="215"/>
        <v>-74.350790579455818</v>
      </c>
      <c r="CF217" s="9">
        <f t="shared" ca="1" si="216"/>
        <v>-14.459958198780624</v>
      </c>
      <c r="CG217">
        <f t="shared" ca="1" si="223"/>
        <v>75.743847610882426</v>
      </c>
      <c r="CH217">
        <f t="shared" ca="1" si="224"/>
        <v>-0.98160831439956497</v>
      </c>
      <c r="CI217">
        <f t="shared" ca="1" si="225"/>
        <v>-0.19090604260118288</v>
      </c>
      <c r="CJ217">
        <f t="shared" ca="1" si="226"/>
        <v>-2.9495075712923615</v>
      </c>
      <c r="CK217" s="38">
        <f t="shared" ca="1" si="227"/>
        <v>-5.3057020614847064</v>
      </c>
    </row>
    <row r="218" spans="55:89" x14ac:dyDescent="0.25">
      <c r="BC218">
        <v>3.769911184307734</v>
      </c>
      <c r="BD218">
        <v>-69.299955218816237</v>
      </c>
      <c r="BE218">
        <v>-24.208883544704296</v>
      </c>
      <c r="BF218" s="6">
        <f t="shared" si="209"/>
        <v>3.477674712786313</v>
      </c>
      <c r="BG218" s="6">
        <f t="shared" si="210"/>
        <v>0.29223647152142096</v>
      </c>
      <c r="BH218" s="6">
        <f t="shared" si="211"/>
        <v>-1.1214802225939682</v>
      </c>
      <c r="BI218" s="6">
        <f t="shared" si="212"/>
        <v>1.1214802225939682</v>
      </c>
      <c r="BV218" s="38"/>
      <c r="BW218" s="6">
        <f t="shared" si="213"/>
        <v>3.5430183815484737</v>
      </c>
      <c r="BX218" s="9">
        <f t="shared" ca="1" si="217"/>
        <v>-151.440225321409</v>
      </c>
      <c r="BY218" s="9">
        <f t="shared" ca="1" si="218"/>
        <v>10.653016738442815</v>
      </c>
      <c r="BZ218">
        <f t="shared" ca="1" si="219"/>
        <v>151.81445455235371</v>
      </c>
      <c r="CA218" s="6">
        <f t="shared" ca="1" si="220"/>
        <v>-0.99753495652276214</v>
      </c>
      <c r="CB218" s="6">
        <f t="shared" ca="1" si="221"/>
        <v>7.017129409616979E-2</v>
      </c>
      <c r="CC218" s="6">
        <f t="shared" ca="1" si="222"/>
        <v>3.0713636441510141</v>
      </c>
      <c r="CD218" s="6">
        <f t="shared" ca="1" si="214"/>
        <v>0.3185403609091555</v>
      </c>
      <c r="CE218" s="9">
        <f t="shared" ca="1" si="215"/>
        <v>-74.047206650587199</v>
      </c>
      <c r="CF218" s="9">
        <f t="shared" ca="1" si="216"/>
        <v>-15.144656151831118</v>
      </c>
      <c r="CG218">
        <f t="shared" ca="1" si="223"/>
        <v>75.580086151789757</v>
      </c>
      <c r="CH218">
        <f t="shared" ca="1" si="224"/>
        <v>-0.97971847375082333</v>
      </c>
      <c r="CI218">
        <f t="shared" ca="1" si="225"/>
        <v>-0.2003789215245885</v>
      </c>
      <c r="CJ218">
        <f t="shared" ca="1" si="226"/>
        <v>-2.9398479823622115</v>
      </c>
      <c r="CK218" s="38">
        <f t="shared" ca="1" si="227"/>
        <v>-5.2960424725545563</v>
      </c>
    </row>
    <row r="219" spans="55:89" x14ac:dyDescent="0.25">
      <c r="BC219">
        <v>3.7873644768276771</v>
      </c>
      <c r="BD219">
        <v>-68.855707509903382</v>
      </c>
      <c r="BE219">
        <v>-24.934886089559942</v>
      </c>
      <c r="BF219" s="6">
        <f t="shared" si="209"/>
        <v>3.4890347424078278</v>
      </c>
      <c r="BG219" s="6">
        <f t="shared" si="210"/>
        <v>0.29832973441984922</v>
      </c>
      <c r="BH219" s="6">
        <f t="shared" si="211"/>
        <v>-1.132840252215483</v>
      </c>
      <c r="BI219" s="6">
        <f t="shared" si="212"/>
        <v>1.132840252215483</v>
      </c>
      <c r="BV219" s="38"/>
      <c r="BW219" s="6">
        <f t="shared" si="213"/>
        <v>3.5604716740684168</v>
      </c>
      <c r="BX219" s="9">
        <f t="shared" ca="1" si="217"/>
        <v>-151.12954795574774</v>
      </c>
      <c r="BY219" s="9">
        <f t="shared" ca="1" si="218"/>
        <v>9.968248534814057</v>
      </c>
      <c r="BZ219">
        <f t="shared" ca="1" si="219"/>
        <v>151.45793556020919</v>
      </c>
      <c r="CA219" s="6">
        <f t="shared" ca="1" si="220"/>
        <v>-0.99783182305207829</v>
      </c>
      <c r="CB219" s="6">
        <f t="shared" ca="1" si="221"/>
        <v>6.5815293850029877E-2</v>
      </c>
      <c r="CC219" s="6">
        <f t="shared" ca="1" si="222"/>
        <v>3.0757297520474616</v>
      </c>
      <c r="CD219" s="6">
        <f t="shared" ca="1" si="214"/>
        <v>0.32290646880560292</v>
      </c>
      <c r="CE219" s="9">
        <f t="shared" ca="1" si="215"/>
        <v>-73.736529284925936</v>
      </c>
      <c r="CF219" s="9">
        <f t="shared" ca="1" si="216"/>
        <v>-15.829424355459876</v>
      </c>
      <c r="CG219">
        <f t="shared" ca="1" si="223"/>
        <v>75.416486436401726</v>
      </c>
      <c r="CH219">
        <f t="shared" ca="1" si="224"/>
        <v>-0.97772427182891253</v>
      </c>
      <c r="CI219">
        <f t="shared" ca="1" si="225"/>
        <v>-0.20989342123235527</v>
      </c>
      <c r="CJ219">
        <f t="shared" ca="1" si="226"/>
        <v>-2.9301267020848289</v>
      </c>
      <c r="CK219" s="38">
        <f t="shared" ca="1" si="227"/>
        <v>-5.2863211922771738</v>
      </c>
    </row>
    <row r="220" spans="55:89" x14ac:dyDescent="0.25">
      <c r="BC220">
        <v>3.8048177693476202</v>
      </c>
      <c r="BD220">
        <v>-68.398341555709607</v>
      </c>
      <c r="BE220">
        <v>-25.665242790667342</v>
      </c>
      <c r="BF220" s="6">
        <f t="shared" si="209"/>
        <v>3.5005666580846153</v>
      </c>
      <c r="BG220" s="6">
        <f t="shared" si="210"/>
        <v>0.30425111126300486</v>
      </c>
      <c r="BH220" s="6">
        <f t="shared" si="211"/>
        <v>-1.1443721678922705</v>
      </c>
      <c r="BI220" s="6">
        <f t="shared" si="212"/>
        <v>1.1443721678922705</v>
      </c>
      <c r="BV220" s="38"/>
      <c r="BW220" s="6">
        <f t="shared" si="213"/>
        <v>3.5779249665883599</v>
      </c>
      <c r="BX220" s="9">
        <f t="shared" ca="1" si="217"/>
        <v>-150.8114363976745</v>
      </c>
      <c r="BY220" s="9">
        <f t="shared" ca="1" si="218"/>
        <v>9.2830693200125936</v>
      </c>
      <c r="BZ220">
        <f t="shared" ca="1" si="219"/>
        <v>151.09687198724527</v>
      </c>
      <c r="CA220" s="6">
        <f t="shared" ca="1" si="220"/>
        <v>-0.99811091000219476</v>
      </c>
      <c r="CB220" s="6">
        <f t="shared" ca="1" si="221"/>
        <v>6.1437865641561507E-2</v>
      </c>
      <c r="CC220" s="6">
        <f t="shared" ca="1" si="222"/>
        <v>3.0801160714719318</v>
      </c>
      <c r="CD220" s="6">
        <f t="shared" ca="1" si="214"/>
        <v>0.32729278823007313</v>
      </c>
      <c r="CE220" s="9">
        <f t="shared" ca="1" si="215"/>
        <v>-73.418417726852695</v>
      </c>
      <c r="CF220" s="9">
        <f t="shared" ca="1" si="216"/>
        <v>-16.51460357026134</v>
      </c>
      <c r="CG220">
        <f t="shared" ca="1" si="223"/>
        <v>75.252881623214449</v>
      </c>
      <c r="CH220">
        <f t="shared" ca="1" si="224"/>
        <v>-0.97562267574620232</v>
      </c>
      <c r="CI220">
        <f t="shared" ca="1" si="225"/>
        <v>-0.21945476656892324</v>
      </c>
      <c r="CJ220">
        <f t="shared" ca="1" si="226"/>
        <v>-2.920337075119082</v>
      </c>
      <c r="CK220" s="38">
        <f t="shared" ca="1" si="227"/>
        <v>-5.2765315653114264</v>
      </c>
    </row>
    <row r="221" spans="55:89" x14ac:dyDescent="0.25">
      <c r="BC221">
        <v>3.8222710618675633</v>
      </c>
      <c r="BD221">
        <v>-67.927397602238102</v>
      </c>
      <c r="BE221">
        <v>-26.400121654670247</v>
      </c>
      <c r="BF221" s="6">
        <f t="shared" si="209"/>
        <v>3.5122781913116636</v>
      </c>
      <c r="BG221" s="6">
        <f t="shared" si="210"/>
        <v>0.30999287055589964</v>
      </c>
      <c r="BH221" s="6">
        <f t="shared" si="211"/>
        <v>-1.1560837011193188</v>
      </c>
      <c r="BI221" s="6">
        <f t="shared" si="212"/>
        <v>1.1560837011193188</v>
      </c>
      <c r="BV221" s="38"/>
      <c r="BW221" s="6">
        <f t="shared" si="213"/>
        <v>3.595378259108303</v>
      </c>
      <c r="BX221" s="9">
        <f t="shared" ca="1" si="217"/>
        <v>-150.48553789915019</v>
      </c>
      <c r="BY221" s="9">
        <f t="shared" ca="1" si="218"/>
        <v>8.5971433777268906</v>
      </c>
      <c r="BZ221">
        <f t="shared" ca="1" si="219"/>
        <v>150.7309125264415</v>
      </c>
      <c r="CA221" s="6">
        <f t="shared" ca="1" si="220"/>
        <v>-0.9983721014941227</v>
      </c>
      <c r="CB221" s="6">
        <f t="shared" ca="1" si="221"/>
        <v>5.7036365226136101E-2</v>
      </c>
      <c r="CC221" s="6">
        <f t="shared" ca="1" si="222"/>
        <v>3.0845253183917527</v>
      </c>
      <c r="CD221" s="6">
        <f t="shared" ca="1" si="214"/>
        <v>0.33170203514989405</v>
      </c>
      <c r="CE221" s="9">
        <f t="shared" ca="1" si="215"/>
        <v>-73.092519228328385</v>
      </c>
      <c r="CF221" s="9">
        <f t="shared" ca="1" si="216"/>
        <v>-17.200529512547043</v>
      </c>
      <c r="CG221">
        <f t="shared" ca="1" si="223"/>
        <v>75.089110945965771</v>
      </c>
      <c r="CH221">
        <f t="shared" ca="1" si="224"/>
        <v>-0.97341036945990567</v>
      </c>
      <c r="CI221">
        <f t="shared" ca="1" si="225"/>
        <v>-0.22906822701529345</v>
      </c>
      <c r="CJ221">
        <f t="shared" ca="1" si="226"/>
        <v>-2.9104723039601077</v>
      </c>
      <c r="CK221" s="38">
        <f t="shared" ca="1" si="227"/>
        <v>-5.266666794152453</v>
      </c>
    </row>
    <row r="222" spans="55:89" x14ac:dyDescent="0.25">
      <c r="BC222">
        <v>3.8397243543875064</v>
      </c>
      <c r="BD222">
        <v>-67.441999584351848</v>
      </c>
      <c r="BE222">
        <v>-27.14024135447043</v>
      </c>
      <c r="BF222" s="6">
        <f t="shared" si="209"/>
        <v>3.5241864541699828</v>
      </c>
      <c r="BG222" s="6">
        <f t="shared" si="210"/>
        <v>0.31553790021752359</v>
      </c>
      <c r="BH222" s="6">
        <f t="shared" si="211"/>
        <v>-1.1679919639776379</v>
      </c>
      <c r="BI222" s="6">
        <f t="shared" si="212"/>
        <v>1.1679919639776379</v>
      </c>
      <c r="BV222" s="38"/>
      <c r="BW222" s="6">
        <f t="shared" si="213"/>
        <v>3.6128315516282461</v>
      </c>
      <c r="BX222" s="9">
        <f t="shared" ca="1" si="217"/>
        <v>-150.15148804142663</v>
      </c>
      <c r="BY222" s="9">
        <f t="shared" ca="1" si="218"/>
        <v>7.9101411003129414</v>
      </c>
      <c r="BZ222">
        <f t="shared" ca="1" si="219"/>
        <v>150.35970102817294</v>
      </c>
      <c r="CA222" s="6">
        <f t="shared" ca="1" si="220"/>
        <v>-0.99861523409981179</v>
      </c>
      <c r="CB222" s="6">
        <f t="shared" ca="1" si="221"/>
        <v>5.2608119371232429E-2</v>
      </c>
      <c r="CC222" s="6">
        <f t="shared" ca="1" si="222"/>
        <v>3.0889602374499674</v>
      </c>
      <c r="CD222" s="6">
        <f t="shared" ca="1" si="214"/>
        <v>0.33613695420810874</v>
      </c>
      <c r="CE222" s="9">
        <f t="shared" ca="1" si="215"/>
        <v>-72.758469370604828</v>
      </c>
      <c r="CF222" s="9">
        <f t="shared" ca="1" si="216"/>
        <v>-17.887531789960992</v>
      </c>
      <c r="CG222">
        <f t="shared" ca="1" si="223"/>
        <v>74.925020244842813</v>
      </c>
      <c r="CH222">
        <f t="shared" ca="1" si="224"/>
        <v>-0.97108374656212237</v>
      </c>
      <c r="CI222">
        <f t="shared" ca="1" si="225"/>
        <v>-0.23873909852152778</v>
      </c>
      <c r="CJ222">
        <f t="shared" ca="1" si="226"/>
        <v>-2.900525457949839</v>
      </c>
      <c r="CK222" s="38">
        <f t="shared" ca="1" si="227"/>
        <v>-5.2567199481421838</v>
      </c>
    </row>
    <row r="223" spans="55:89" x14ac:dyDescent="0.25">
      <c r="BC223">
        <v>3.8571776469074495</v>
      </c>
      <c r="BD223">
        <v>-66.940872321082452</v>
      </c>
      <c r="BE223">
        <v>-27.886787603095755</v>
      </c>
      <c r="BF223" s="6">
        <f t="shared" si="209"/>
        <v>3.5363170407770852</v>
      </c>
      <c r="BG223" s="6">
        <f t="shared" si="210"/>
        <v>0.32086060613036427</v>
      </c>
      <c r="BH223" s="6">
        <f t="shared" si="211"/>
        <v>-1.1801225505847404</v>
      </c>
      <c r="BI223" s="6">
        <f t="shared" si="212"/>
        <v>1.1801225505847404</v>
      </c>
      <c r="BV223" s="38"/>
      <c r="BW223" s="6">
        <f t="shared" si="213"/>
        <v>3.6302848441481892</v>
      </c>
      <c r="BX223" s="9">
        <f t="shared" ca="1" si="217"/>
        <v>-149.80891108388127</v>
      </c>
      <c r="BY223" s="9">
        <f t="shared" ca="1" si="218"/>
        <v>7.2217401052118824</v>
      </c>
      <c r="BZ223">
        <f t="shared" ca="1" si="219"/>
        <v>149.98287692361907</v>
      </c>
      <c r="CA223" s="6">
        <f t="shared" ca="1" si="220"/>
        <v>-0.99884009532750595</v>
      </c>
      <c r="CB223" s="6">
        <f t="shared" ca="1" si="221"/>
        <v>4.8150430591417825E-2</v>
      </c>
      <c r="CC223" s="6">
        <f t="shared" ca="1" si="222"/>
        <v>3.0934235977201947</v>
      </c>
      <c r="CD223" s="6">
        <f t="shared" ca="1" si="214"/>
        <v>0.34060031447833605</v>
      </c>
      <c r="CE223" s="9">
        <f t="shared" ca="1" si="215"/>
        <v>-72.415892413059467</v>
      </c>
      <c r="CF223" s="9">
        <f t="shared" ca="1" si="216"/>
        <v>-18.575932785062051</v>
      </c>
      <c r="CG223">
        <f t="shared" ca="1" si="223"/>
        <v>74.760462497331758</v>
      </c>
      <c r="CH223">
        <f t="shared" ca="1" si="224"/>
        <v>-0.96863890342631342</v>
      </c>
      <c r="CI223">
        <f t="shared" ca="1" si="225"/>
        <v>-0.24847268415073057</v>
      </c>
      <c r="CJ223">
        <f t="shared" ca="1" si="226"/>
        <v>-2.890489483032237</v>
      </c>
      <c r="CK223" s="38">
        <f t="shared" ca="1" si="227"/>
        <v>-5.2466839732245818</v>
      </c>
    </row>
    <row r="224" spans="55:89" x14ac:dyDescent="0.25">
      <c r="BC224">
        <v>3.8746309394273926</v>
      </c>
      <c r="BD224">
        <v>-66.422647905883608</v>
      </c>
      <c r="BE224">
        <v>-28.640960095503644</v>
      </c>
      <c r="BF224" s="6">
        <f t="shared" si="209"/>
        <v>3.5486968488031172</v>
      </c>
      <c r="BG224" s="6">
        <f t="shared" si="210"/>
        <v>0.32593409062427536</v>
      </c>
      <c r="BH224" s="6">
        <f t="shared" si="211"/>
        <v>-1.1925023586107724</v>
      </c>
      <c r="BI224" s="6">
        <f t="shared" si="212"/>
        <v>1.1925023586107724</v>
      </c>
      <c r="BV224" s="38"/>
      <c r="BW224" s="6">
        <f t="shared" si="213"/>
        <v>3.6477381366681323</v>
      </c>
      <c r="BX224" s="9">
        <f t="shared" ca="1" si="217"/>
        <v>-149.45742042062443</v>
      </c>
      <c r="BY224" s="9">
        <f t="shared" ca="1" si="218"/>
        <v>6.5316264729147129</v>
      </c>
      <c r="BZ224">
        <f t="shared" ca="1" si="219"/>
        <v>149.60007574586641</v>
      </c>
      <c r="CA224" s="6">
        <f t="shared" ca="1" si="220"/>
        <v>-0.99904642210553218</v>
      </c>
      <c r="CB224" s="6">
        <f t="shared" ca="1" si="221"/>
        <v>4.3660582659131364E-2</v>
      </c>
      <c r="CC224" s="6">
        <f t="shared" ca="1" si="222"/>
        <v>3.0979181877128643</v>
      </c>
      <c r="CD224" s="6">
        <f t="shared" ca="1" si="214"/>
        <v>0.34509490447100566</v>
      </c>
      <c r="CE224" s="9">
        <f t="shared" ca="1" si="215"/>
        <v>-72.064401749802627</v>
      </c>
      <c r="CF224" s="9">
        <f t="shared" ca="1" si="216"/>
        <v>-19.26604641735922</v>
      </c>
      <c r="CG224">
        <f t="shared" ca="1" si="223"/>
        <v>74.595298404878008</v>
      </c>
      <c r="CH224">
        <f t="shared" ca="1" si="224"/>
        <v>-0.96607163307614197</v>
      </c>
      <c r="CI224">
        <f t="shared" ca="1" si="225"/>
        <v>-0.25827427236485667</v>
      </c>
      <c r="CJ224">
        <f t="shared" ca="1" si="226"/>
        <v>-2.8803572134507043</v>
      </c>
      <c r="CK224" s="38">
        <f t="shared" ca="1" si="227"/>
        <v>-5.2365517036430491</v>
      </c>
    </row>
    <row r="225" spans="55:89" x14ac:dyDescent="0.25">
      <c r="BC225">
        <v>3.8920842319473357</v>
      </c>
      <c r="BD225">
        <v>-65.885862994185871</v>
      </c>
      <c r="BE225">
        <v>-29.403969008660596</v>
      </c>
      <c r="BF225" s="6">
        <f t="shared" si="209"/>
        <v>3.5613541147453955</v>
      </c>
      <c r="BG225" s="6">
        <f t="shared" si="210"/>
        <v>0.33073011720194012</v>
      </c>
      <c r="BH225" s="6">
        <f t="shared" si="211"/>
        <v>-1.2051596245530507</v>
      </c>
      <c r="BI225" s="6">
        <f t="shared" si="212"/>
        <v>1.2051596245530507</v>
      </c>
      <c r="BV225" s="38"/>
      <c r="BW225" s="6">
        <f t="shared" si="213"/>
        <v>3.6651914291880754</v>
      </c>
      <c r="BX225" s="9">
        <f t="shared" ca="1" si="217"/>
        <v>-149.09661921209056</v>
      </c>
      <c r="BY225" s="9">
        <f t="shared" ca="1" si="218"/>
        <v>5.8394961728203789</v>
      </c>
      <c r="BZ225">
        <f t="shared" ca="1" si="219"/>
        <v>149.21092981423149</v>
      </c>
      <c r="CA225" s="6">
        <f t="shared" ca="1" si="220"/>
        <v>-0.99923389927076223</v>
      </c>
      <c r="CB225" s="6">
        <f t="shared" ca="1" si="221"/>
        <v>3.9135847354416914E-2</v>
      </c>
      <c r="CC225" s="6">
        <f t="shared" ca="1" si="222"/>
        <v>3.1024468091714068</v>
      </c>
      <c r="CD225" s="6">
        <f t="shared" ca="1" si="214"/>
        <v>0.34962352592954815</v>
      </c>
      <c r="CE225" s="9">
        <f t="shared" ca="1" si="215"/>
        <v>-71.703600541268756</v>
      </c>
      <c r="CF225" s="9">
        <f t="shared" ca="1" si="216"/>
        <v>-19.958176717453554</v>
      </c>
      <c r="CG225">
        <f t="shared" ca="1" si="223"/>
        <v>74.429397071768236</v>
      </c>
      <c r="CH225">
        <f t="shared" ca="1" si="224"/>
        <v>-0.96337742024335971</v>
      </c>
      <c r="CI225">
        <f t="shared" ca="1" si="225"/>
        <v>-0.26814911181141188</v>
      </c>
      <c r="CJ225">
        <f t="shared" ca="1" si="226"/>
        <v>-2.8701213865838917</v>
      </c>
      <c r="CK225" s="38">
        <f t="shared" ca="1" si="227"/>
        <v>-5.226315876776237</v>
      </c>
    </row>
    <row r="226" spans="55:89" x14ac:dyDescent="0.25">
      <c r="BC226">
        <v>3.9095375244672788</v>
      </c>
      <c r="BD226">
        <v>-65.328944867444051</v>
      </c>
      <c r="BE226">
        <v>-30.177045350318696</v>
      </c>
      <c r="BF226" s="6">
        <f t="shared" si="209"/>
        <v>3.574318693809067</v>
      </c>
      <c r="BG226" s="6">
        <f t="shared" si="210"/>
        <v>0.33521883065821179</v>
      </c>
      <c r="BH226" s="6">
        <f t="shared" si="211"/>
        <v>-1.2181242036167221</v>
      </c>
      <c r="BI226" s="6">
        <f t="shared" si="212"/>
        <v>1.2181242036167221</v>
      </c>
      <c r="BV226" s="38"/>
      <c r="BW226" s="6">
        <f t="shared" si="213"/>
        <v>3.6826447217080185</v>
      </c>
      <c r="BX226" s="9">
        <f t="shared" ca="1" si="217"/>
        <v>-148.72610127775005</v>
      </c>
      <c r="BY226" s="9">
        <f t="shared" ca="1" si="218"/>
        <v>5.1450567482347473</v>
      </c>
      <c r="BZ226">
        <f t="shared" ca="1" si="219"/>
        <v>148.81506916378504</v>
      </c>
      <c r="CA226" s="6">
        <f t="shared" ca="1" si="220"/>
        <v>-0.99940215808429267</v>
      </c>
      <c r="CB226" s="6">
        <f t="shared" ca="1" si="221"/>
        <v>3.4573492974506008E-2</v>
      </c>
      <c r="CC226" s="6">
        <f t="shared" ca="1" si="222"/>
        <v>3.1070122691394961</v>
      </c>
      <c r="CD226" s="6">
        <f t="shared" ca="1" si="214"/>
        <v>0.35418898589763748</v>
      </c>
      <c r="CE226" s="9">
        <f t="shared" ca="1" si="215"/>
        <v>-71.333082606928244</v>
      </c>
      <c r="CF226" s="9">
        <f t="shared" ca="1" si="216"/>
        <v>-20.652616142039186</v>
      </c>
      <c r="CG226">
        <f t="shared" ca="1" si="223"/>
        <v>74.262636821737388</v>
      </c>
      <c r="CH226">
        <f t="shared" ca="1" si="224"/>
        <v>-0.96055143824422307</v>
      </c>
      <c r="CI226">
        <f t="shared" ca="1" si="225"/>
        <v>-0.27810238130399872</v>
      </c>
      <c r="CJ226">
        <f t="shared" ca="1" si="226"/>
        <v>-2.859774662324146</v>
      </c>
      <c r="CK226" s="38">
        <f t="shared" ca="1" si="227"/>
        <v>-5.2159691525164913</v>
      </c>
    </row>
    <row r="227" spans="55:89" x14ac:dyDescent="0.25">
      <c r="BC227">
        <v>3.9269908169872219</v>
      </c>
      <c r="BD227">
        <v>-64.750195981991737</v>
      </c>
      <c r="BE227">
        <v>-30.961451192529452</v>
      </c>
      <c r="BF227" s="6">
        <f t="shared" si="209"/>
        <v>3.5876223603304966</v>
      </c>
      <c r="BG227" s="6">
        <f t="shared" si="210"/>
        <v>0.33936845665672521</v>
      </c>
      <c r="BH227" s="6">
        <f t="shared" si="211"/>
        <v>-1.2314278701381518</v>
      </c>
      <c r="BI227" s="6">
        <f t="shared" si="212"/>
        <v>1.2314278701381518</v>
      </c>
      <c r="BV227" s="38"/>
      <c r="BW227" s="6">
        <f t="shared" si="213"/>
        <v>3.7000980142279616</v>
      </c>
      <c r="BX227" s="9">
        <f t="shared" ca="1" si="217"/>
        <v>-148.34545233700453</v>
      </c>
      <c r="BY227" s="9">
        <f t="shared" ca="1" si="218"/>
        <v>4.4480293368763988</v>
      </c>
      <c r="BZ227">
        <f t="shared" ca="1" si="219"/>
        <v>148.41212280016816</v>
      </c>
      <c r="CA227" s="6">
        <f t="shared" ca="1" si="220"/>
        <v>-0.99955077481606136</v>
      </c>
      <c r="CB227" s="6">
        <f t="shared" ca="1" si="221"/>
        <v>2.9970795194847511E-2</v>
      </c>
      <c r="CC227" s="6">
        <f t="shared" ca="1" si="222"/>
        <v>3.1116173697097018</v>
      </c>
      <c r="CD227" s="6">
        <f t="shared" ca="1" si="214"/>
        <v>0.35879408646784317</v>
      </c>
      <c r="CE227" s="9">
        <f t="shared" ca="1" si="215"/>
        <v>-70.952433666182728</v>
      </c>
      <c r="CF227" s="9">
        <f t="shared" ca="1" si="216"/>
        <v>-21.349643553397534</v>
      </c>
      <c r="CG227">
        <f t="shared" ca="1" si="223"/>
        <v>74.094906188018015</v>
      </c>
      <c r="CH227">
        <f t="shared" ca="1" si="224"/>
        <v>-0.95758854847779729</v>
      </c>
      <c r="CI227">
        <f t="shared" ca="1" si="225"/>
        <v>-0.28813915357719977</v>
      </c>
      <c r="CJ227">
        <f t="shared" ca="1" si="226"/>
        <v>-2.8493096485679521</v>
      </c>
      <c r="CK227" s="38">
        <f t="shared" ca="1" si="227"/>
        <v>-5.2055041387602969</v>
      </c>
    </row>
    <row r="228" spans="55:89" x14ac:dyDescent="0.25">
      <c r="BC228">
        <v>3.944444109507165</v>
      </c>
      <c r="BD228">
        <v>-64.147776709085761</v>
      </c>
      <c r="BE228">
        <v>-31.758489996269962</v>
      </c>
      <c r="BF228" s="6">
        <f t="shared" si="209"/>
        <v>3.6012991347244232</v>
      </c>
      <c r="BG228" s="6">
        <f t="shared" si="210"/>
        <v>0.34314497478274175</v>
      </c>
      <c r="BH228" s="6">
        <f t="shared" si="211"/>
        <v>-1.2451046445320784</v>
      </c>
      <c r="BI228" s="6">
        <f t="shared" si="212"/>
        <v>1.2451046445320784</v>
      </c>
      <c r="BV228" s="38"/>
      <c r="BW228" s="6">
        <f t="shared" si="213"/>
        <v>3.7175513067479047</v>
      </c>
      <c r="BX228" s="9">
        <f t="shared" ca="1" si="217"/>
        <v>-147.95156071824783</v>
      </c>
      <c r="BY228" s="9">
        <f t="shared" ca="1" si="218"/>
        <v>3.7425653635810221</v>
      </c>
      <c r="BZ228">
        <f t="shared" ca="1" si="219"/>
        <v>147.99888889605236</v>
      </c>
      <c r="CA228" s="6">
        <f t="shared" ca="1" si="220"/>
        <v>-0.9996802126140435</v>
      </c>
      <c r="CB228" s="6">
        <f t="shared" ca="1" si="221"/>
        <v>2.5287793655056616E-2</v>
      </c>
      <c r="CC228" s="6">
        <f t="shared" ca="1" si="222"/>
        <v>3.1163021640174087</v>
      </c>
      <c r="CD228" s="6">
        <f t="shared" ca="1" si="214"/>
        <v>0.36347888077555002</v>
      </c>
      <c r="CE228" s="9">
        <f t="shared" ca="1" si="215"/>
        <v>-70.55854204742603</v>
      </c>
      <c r="CF228" s="9">
        <f t="shared" ca="1" si="216"/>
        <v>-22.055107526692911</v>
      </c>
      <c r="CG228">
        <f t="shared" ca="1" si="223"/>
        <v>73.925202900447786</v>
      </c>
      <c r="CH228">
        <f t="shared" ca="1" si="224"/>
        <v>-0.95445855106335642</v>
      </c>
      <c r="CI228">
        <f t="shared" ca="1" si="225"/>
        <v>-0.29834355079679215</v>
      </c>
      <c r="CJ228">
        <f t="shared" ca="1" si="226"/>
        <v>-2.8386359571703133</v>
      </c>
      <c r="CK228" s="38">
        <f t="shared" ca="1" si="227"/>
        <v>-5.1948304473626585</v>
      </c>
    </row>
    <row r="229" spans="55:89" x14ac:dyDescent="0.25">
      <c r="BC229">
        <v>3.9618974020271081</v>
      </c>
      <c r="BD229">
        <v>-63.519685871826596</v>
      </c>
      <c r="BE229">
        <v>-32.569517232399626</v>
      </c>
      <c r="BF229" s="6">
        <f t="shared" si="209"/>
        <v>3.6153856438647765</v>
      </c>
      <c r="BG229" s="6">
        <f t="shared" si="210"/>
        <v>0.3465117581623316</v>
      </c>
      <c r="BH229" s="6">
        <f t="shared" si="211"/>
        <v>-1.2591911536724316</v>
      </c>
      <c r="BI229" s="6">
        <f t="shared" si="212"/>
        <v>1.2591911536724316</v>
      </c>
      <c r="BV229" s="38"/>
      <c r="BW229" s="6">
        <f t="shared" si="213"/>
        <v>3.7350045992678478</v>
      </c>
      <c r="BX229" s="9">
        <f t="shared" ca="1" si="217"/>
        <v>-147.54392880938232</v>
      </c>
      <c r="BY229" s="9">
        <f t="shared" ca="1" si="218"/>
        <v>3.0284578161150471</v>
      </c>
      <c r="BZ229">
        <f t="shared" ca="1" si="219"/>
        <v>147.57500630273429</v>
      </c>
      <c r="CA229" s="6">
        <f t="shared" ca="1" si="220"/>
        <v>-0.99978941221734918</v>
      </c>
      <c r="CB229" s="6">
        <f t="shared" ca="1" si="221"/>
        <v>2.0521481868701334E-2</v>
      </c>
      <c r="CC229" s="6">
        <f t="shared" ca="1" si="222"/>
        <v>3.1210697310752837</v>
      </c>
      <c r="CD229" s="6">
        <f t="shared" ca="1" si="214"/>
        <v>0.36824644783342508</v>
      </c>
      <c r="CE229" s="9">
        <f t="shared" ca="1" si="215"/>
        <v>-70.150910138560519</v>
      </c>
      <c r="CF229" s="9">
        <f t="shared" ca="1" si="216"/>
        <v>-22.769215074158886</v>
      </c>
      <c r="CG229">
        <f t="shared" ca="1" si="223"/>
        <v>73.753558208141371</v>
      </c>
      <c r="CH229">
        <f t="shared" ca="1" si="224"/>
        <v>-0.95115289137083059</v>
      </c>
      <c r="CI229">
        <f t="shared" ca="1" si="225"/>
        <v>-0.30872022485886624</v>
      </c>
      <c r="CJ229">
        <f t="shared" ca="1" si="226"/>
        <v>-2.8277454143542022</v>
      </c>
      <c r="CK229" s="38">
        <f t="shared" ca="1" si="227"/>
        <v>-5.1839399045465466</v>
      </c>
    </row>
    <row r="230" spans="55:89" x14ac:dyDescent="0.25">
      <c r="BC230">
        <v>3.9793506945470511</v>
      </c>
      <c r="BD230">
        <v>-62.863738711932534</v>
      </c>
      <c r="BE230">
        <v>-33.395951497049424</v>
      </c>
      <c r="BF230" s="6">
        <f t="shared" si="209"/>
        <v>3.6299215219348651</v>
      </c>
      <c r="BG230" s="6">
        <f t="shared" si="210"/>
        <v>0.34942917261218609</v>
      </c>
      <c r="BH230" s="6">
        <f t="shared" si="211"/>
        <v>-1.2737270317425202</v>
      </c>
      <c r="BI230" s="6">
        <f t="shared" si="212"/>
        <v>1.2737270317425202</v>
      </c>
      <c r="BV230" s="38"/>
      <c r="BW230" s="6">
        <f t="shared" si="213"/>
        <v>3.7524578917877909</v>
      </c>
      <c r="BX230" s="9">
        <f t="shared" ca="1" si="217"/>
        <v>-147.12455455024991</v>
      </c>
      <c r="BY230" s="9">
        <f t="shared" ca="1" si="218"/>
        <v>2.3106107394473234</v>
      </c>
      <c r="BZ230">
        <f t="shared" ca="1" si="219"/>
        <v>147.1426976563863</v>
      </c>
      <c r="CA230" s="6">
        <f t="shared" ca="1" si="220"/>
        <v>-0.99987669720329064</v>
      </c>
      <c r="CB230" s="6">
        <f t="shared" ca="1" si="221"/>
        <v>1.5703196803168288E-2</v>
      </c>
      <c r="CC230" s="6">
        <f t="shared" ca="1" si="222"/>
        <v>3.1258888113387626</v>
      </c>
      <c r="CD230" s="6">
        <f t="shared" ca="1" si="214"/>
        <v>0.37306552809690396</v>
      </c>
      <c r="CE230" s="9">
        <f t="shared" ca="1" si="215"/>
        <v>-69.731535879428108</v>
      </c>
      <c r="CF230" s="9">
        <f t="shared" ca="1" si="216"/>
        <v>-23.48706215082661</v>
      </c>
      <c r="CG230">
        <f t="shared" ca="1" si="223"/>
        <v>73.580766403869163</v>
      </c>
      <c r="CH230">
        <f t="shared" ca="1" si="224"/>
        <v>-0.94768700147381657</v>
      </c>
      <c r="CI230">
        <f t="shared" ca="1" si="225"/>
        <v>-0.31920110782634586</v>
      </c>
      <c r="CJ230">
        <f t="shared" ca="1" si="226"/>
        <v>-2.816706277699053</v>
      </c>
      <c r="CK230" s="38">
        <f t="shared" ca="1" si="227"/>
        <v>-5.1729007678913979</v>
      </c>
    </row>
    <row r="231" spans="55:89" x14ac:dyDescent="0.25">
      <c r="BC231">
        <v>3.9968039870669942</v>
      </c>
      <c r="BD231">
        <v>-62.177541747030659</v>
      </c>
      <c r="BE231">
        <v>-34.239286336657415</v>
      </c>
      <c r="BF231" s="6">
        <f t="shared" si="209"/>
        <v>3.64494986043686</v>
      </c>
      <c r="BG231" s="6">
        <f t="shared" si="210"/>
        <v>0.35185412663013427</v>
      </c>
      <c r="BH231" s="6">
        <f t="shared" si="211"/>
        <v>-1.2887553702445151</v>
      </c>
      <c r="BI231" s="6">
        <f t="shared" si="212"/>
        <v>1.2887553702445151</v>
      </c>
      <c r="BV231" s="38"/>
      <c r="BW231" s="6">
        <f t="shared" si="213"/>
        <v>3.769911184307734</v>
      </c>
      <c r="BX231" s="9">
        <f t="shared" ca="1" si="217"/>
        <v>-146.69297388963804</v>
      </c>
      <c r="BY231" s="9">
        <f t="shared" ca="1" si="218"/>
        <v>1.5887893455696371</v>
      </c>
      <c r="BZ231">
        <f t="shared" ca="1" si="219"/>
        <v>146.70157749721244</v>
      </c>
      <c r="CA231" s="6">
        <f t="shared" ca="1" si="220"/>
        <v>-0.99994135299891673</v>
      </c>
      <c r="CB231" s="6">
        <f t="shared" ca="1" si="221"/>
        <v>1.0830076763147463E-2</v>
      </c>
      <c r="CC231" s="6">
        <f t="shared" ca="1" si="222"/>
        <v>3.1307623651045042</v>
      </c>
      <c r="CD231" s="6">
        <f t="shared" ca="1" si="214"/>
        <v>0.37793908186264558</v>
      </c>
      <c r="CE231" s="9">
        <f t="shared" ca="1" si="215"/>
        <v>-69.299955218816237</v>
      </c>
      <c r="CF231" s="9">
        <f t="shared" ca="1" si="216"/>
        <v>-24.208883544704296</v>
      </c>
      <c r="CG231">
        <f t="shared" ca="1" si="223"/>
        <v>73.406769686528165</v>
      </c>
      <c r="CH231">
        <f t="shared" ca="1" si="224"/>
        <v>-0.94405400911592463</v>
      </c>
      <c r="CI231">
        <f t="shared" ca="1" si="225"/>
        <v>-0.32979088506529369</v>
      </c>
      <c r="CJ231">
        <f t="shared" ca="1" si="226"/>
        <v>-2.8055105943932732</v>
      </c>
      <c r="CK231" s="38">
        <f t="shared" ca="1" si="227"/>
        <v>-5.1617050845856181</v>
      </c>
    </row>
    <row r="232" spans="55:89" x14ac:dyDescent="0.25">
      <c r="BC232">
        <v>4.0142572795869373</v>
      </c>
      <c r="BD232">
        <v>-61.458463962231583</v>
      </c>
      <c r="BE232">
        <v>-35.101103006069287</v>
      </c>
      <c r="BF232" s="6">
        <f t="shared" si="209"/>
        <v>3.6605177166886098</v>
      </c>
      <c r="BG232" s="6">
        <f t="shared" si="210"/>
        <v>0.35373956289832753</v>
      </c>
      <c r="BH232" s="6">
        <f t="shared" si="211"/>
        <v>-1.304323226496265</v>
      </c>
      <c r="BI232" s="6">
        <f t="shared" si="212"/>
        <v>1.304323226496265</v>
      </c>
      <c r="BV232" s="38"/>
      <c r="BW232" s="6">
        <f t="shared" si="213"/>
        <v>3.7873644768276771</v>
      </c>
      <c r="BX232" s="9">
        <f t="shared" ca="1" si="217"/>
        <v>-146.24872618072519</v>
      </c>
      <c r="BY232" s="9">
        <f t="shared" ca="1" si="218"/>
        <v>0.86278680071399094</v>
      </c>
      <c r="BZ232">
        <f t="shared" ca="1" si="219"/>
        <v>146.25127114164928</v>
      </c>
      <c r="CA232" s="6">
        <f t="shared" ca="1" si="220"/>
        <v>-0.99998259870902839</v>
      </c>
      <c r="CB232" s="6">
        <f t="shared" ca="1" si="221"/>
        <v>5.8993456534018962E-3</v>
      </c>
      <c r="CC232" s="6">
        <f t="shared" ca="1" si="222"/>
        <v>3.1356932737174095</v>
      </c>
      <c r="CD232" s="6">
        <f t="shared" ca="1" si="214"/>
        <v>0.38286999047555081</v>
      </c>
      <c r="CE232" s="9">
        <f t="shared" ca="1" si="215"/>
        <v>-68.855707509903382</v>
      </c>
      <c r="CF232" s="9">
        <f t="shared" ca="1" si="216"/>
        <v>-24.934886089559942</v>
      </c>
      <c r="CG232">
        <f t="shared" ca="1" si="223"/>
        <v>73.231530101375697</v>
      </c>
      <c r="CH232">
        <f t="shared" ca="1" si="224"/>
        <v>-0.9402467409131724</v>
      </c>
      <c r="CI232">
        <f t="shared" ca="1" si="225"/>
        <v>-0.34049385633540824</v>
      </c>
      <c r="CJ232">
        <f t="shared" ca="1" si="226"/>
        <v>-2.7941505647717584</v>
      </c>
      <c r="CK232" s="38">
        <f t="shared" ca="1" si="227"/>
        <v>-5.1503450549641032</v>
      </c>
    </row>
    <row r="233" spans="55:89" x14ac:dyDescent="0.25">
      <c r="BC233">
        <v>4.0317105721068804</v>
      </c>
      <c r="BD233">
        <v>-60.703603620935802</v>
      </c>
      <c r="BE233">
        <v>-35.983084409953989</v>
      </c>
      <c r="BF233" s="6">
        <f t="shared" si="209"/>
        <v>3.6766766918837295</v>
      </c>
      <c r="BG233" s="6">
        <f t="shared" si="210"/>
        <v>0.35503388022315097</v>
      </c>
      <c r="BH233" s="6">
        <f t="shared" si="211"/>
        <v>-1.3204822016913846</v>
      </c>
      <c r="BI233" s="6">
        <f t="shared" si="212"/>
        <v>1.3204822016913846</v>
      </c>
      <c r="BV233" s="38"/>
      <c r="BW233" s="6">
        <f t="shared" si="213"/>
        <v>3.8048177693476202</v>
      </c>
      <c r="BX233" s="9">
        <f t="shared" ca="1" si="217"/>
        <v>-145.79136022653142</v>
      </c>
      <c r="BY233" s="9">
        <f t="shared" ca="1" si="218"/>
        <v>0.1324300996065908</v>
      </c>
      <c r="BZ233">
        <f t="shared" ca="1" si="219"/>
        <v>145.79142037319457</v>
      </c>
      <c r="CA233" s="6">
        <f t="shared" ca="1" si="220"/>
        <v>-0.99999958744716944</v>
      </c>
      <c r="CB233" s="6">
        <f t="shared" ca="1" si="221"/>
        <v>9.0835317515666097E-4</v>
      </c>
      <c r="CC233" s="6">
        <f t="shared" ca="1" si="222"/>
        <v>3.1406843002897218</v>
      </c>
      <c r="CD233" s="6">
        <f t="shared" ca="1" si="214"/>
        <v>0.38786101704786313</v>
      </c>
      <c r="CE233" s="9">
        <f t="shared" ca="1" si="215"/>
        <v>-68.398341555709621</v>
      </c>
      <c r="CF233" s="9">
        <f t="shared" ca="1" si="216"/>
        <v>-25.665242790667342</v>
      </c>
      <c r="CG233">
        <f t="shared" ca="1" si="223"/>
        <v>73.055032784028072</v>
      </c>
      <c r="CH233">
        <f t="shared" ca="1" si="224"/>
        <v>-0.93625776280075068</v>
      </c>
      <c r="CI233">
        <f t="shared" ca="1" si="225"/>
        <v>-0.3513138220954779</v>
      </c>
      <c r="CJ233">
        <f t="shared" ca="1" si="226"/>
        <v>-2.7826186490949709</v>
      </c>
      <c r="CK233" s="38">
        <f t="shared" ca="1" si="227"/>
        <v>-5.1388131392873158</v>
      </c>
    </row>
    <row r="234" spans="55:89" x14ac:dyDescent="0.25">
      <c r="BC234">
        <v>4.0491638646268235</v>
      </c>
      <c r="BD234">
        <v>-59.90974982977103</v>
      </c>
      <c r="BE234">
        <v>-36.887030509390321</v>
      </c>
      <c r="BF234" s="6">
        <f t="shared" si="209"/>
        <v>3.6934835915649815</v>
      </c>
      <c r="BG234" s="6">
        <f t="shared" si="210"/>
        <v>0.35568027306184202</v>
      </c>
      <c r="BH234" s="6">
        <f t="shared" si="211"/>
        <v>-1.3372891013726367</v>
      </c>
      <c r="BI234" s="6">
        <f t="shared" si="212"/>
        <v>1.3372891013726367</v>
      </c>
      <c r="BV234" s="38"/>
      <c r="BW234" s="6">
        <f t="shared" si="213"/>
        <v>3.8222710618675633</v>
      </c>
      <c r="BX234" s="9">
        <f t="shared" ca="1" si="217"/>
        <v>-145.32041627305989</v>
      </c>
      <c r="BY234" s="9">
        <f t="shared" ca="1" si="218"/>
        <v>-0.60244876439631412</v>
      </c>
      <c r="BZ234">
        <f t="shared" ca="1" si="219"/>
        <v>145.32166504100184</v>
      </c>
      <c r="CA234" s="6">
        <f t="shared" ca="1" si="220"/>
        <v>-0.99999140687012089</v>
      </c>
      <c r="CB234" s="6">
        <f t="shared" ca="1" si="221"/>
        <v>-4.1456225004464133E-3</v>
      </c>
      <c r="CC234" s="6">
        <f t="shared" ca="1" si="222"/>
        <v>-3.1374470192146817</v>
      </c>
      <c r="CD234" s="6">
        <f t="shared" ca="1" si="214"/>
        <v>-5.8902703024565408</v>
      </c>
      <c r="CE234" s="9">
        <f t="shared" ca="1" si="215"/>
        <v>-67.927397602238088</v>
      </c>
      <c r="CF234" s="9">
        <f t="shared" ca="1" si="216"/>
        <v>-26.400121654670247</v>
      </c>
      <c r="CG234">
        <f t="shared" ca="1" si="223"/>
        <v>72.877278821275496</v>
      </c>
      <c r="CH234">
        <f t="shared" ca="1" si="224"/>
        <v>-0.93207922552684064</v>
      </c>
      <c r="CI234">
        <f t="shared" ca="1" si="225"/>
        <v>-0.3622544925066975</v>
      </c>
      <c r="CJ234">
        <f t="shared" ca="1" si="226"/>
        <v>-2.7709071158679222</v>
      </c>
      <c r="CK234" s="38">
        <f t="shared" ca="1" si="227"/>
        <v>-5.1271016060602665</v>
      </c>
    </row>
    <row r="235" spans="55:89" x14ac:dyDescent="0.25">
      <c r="BC235">
        <v>4.0666171571467666</v>
      </c>
      <c r="BD235">
        <v>-59.073337845993493</v>
      </c>
      <c r="BE235">
        <v>-37.814875514577203</v>
      </c>
      <c r="BF235" s="6">
        <f t="shared" si="209"/>
        <v>3.7110011831070104</v>
      </c>
      <c r="BG235" s="6">
        <f t="shared" si="210"/>
        <v>0.3556159740397562</v>
      </c>
      <c r="BH235" s="6">
        <f t="shared" si="211"/>
        <v>-1.3548066929146656</v>
      </c>
      <c r="BI235" s="6">
        <f t="shared" si="212"/>
        <v>1.3548066929146656</v>
      </c>
      <c r="BV235" s="38"/>
      <c r="BW235" s="6">
        <f t="shared" si="213"/>
        <v>3.8397243543875064</v>
      </c>
      <c r="BX235" s="9">
        <f t="shared" ca="1" si="217"/>
        <v>-144.83501825517365</v>
      </c>
      <c r="BY235" s="9">
        <f t="shared" ca="1" si="218"/>
        <v>-1.3425684641964963</v>
      </c>
      <c r="BZ235">
        <f t="shared" ca="1" si="219"/>
        <v>144.84124068461145</v>
      </c>
      <c r="CA235" s="6">
        <f t="shared" ca="1" si="220"/>
        <v>-0.99995703965660343</v>
      </c>
      <c r="CB235" s="6">
        <f t="shared" ca="1" si="221"/>
        <v>-9.2692416735086457E-3</v>
      </c>
      <c r="CC235" s="6">
        <f t="shared" ca="1" si="222"/>
        <v>-3.1323232791774016</v>
      </c>
      <c r="CD235" s="6">
        <f t="shared" ca="1" si="214"/>
        <v>-5.8851465624192603</v>
      </c>
      <c r="CE235" s="9">
        <f t="shared" ca="1" si="215"/>
        <v>-67.441999584351848</v>
      </c>
      <c r="CF235" s="9">
        <f t="shared" ca="1" si="216"/>
        <v>-27.14024135447043</v>
      </c>
      <c r="CG235">
        <f t="shared" ca="1" si="223"/>
        <v>72.698115578841666</v>
      </c>
      <c r="CH235">
        <f t="shared" ca="1" si="224"/>
        <v>-0.92769941899264885</v>
      </c>
      <c r="CI235">
        <f t="shared" ca="1" si="225"/>
        <v>-0.37332798984365184</v>
      </c>
      <c r="CJ235">
        <f t="shared" ca="1" si="226"/>
        <v>-2.7589988530096035</v>
      </c>
      <c r="CK235" s="38">
        <f t="shared" ca="1" si="227"/>
        <v>-5.1151933432019483</v>
      </c>
    </row>
    <row r="236" spans="55:89" x14ac:dyDescent="0.25">
      <c r="BC236">
        <v>4.0840704496667097</v>
      </c>
      <c r="BD236">
        <v>-58.190396832546469</v>
      </c>
      <c r="BE236">
        <v>-38.768707242327039</v>
      </c>
      <c r="BF236" s="6">
        <f t="shared" si="209"/>
        <v>3.7292990675807469</v>
      </c>
      <c r="BG236" s="6">
        <f t="shared" si="210"/>
        <v>0.35477138208596282</v>
      </c>
      <c r="BH236" s="6">
        <f t="shared" si="211"/>
        <v>-1.3731045773884021</v>
      </c>
      <c r="BI236" s="6">
        <f t="shared" si="212"/>
        <v>1.3731045773884021</v>
      </c>
      <c r="BV236" s="38"/>
      <c r="BW236" s="6">
        <f t="shared" si="213"/>
        <v>3.8571776469074495</v>
      </c>
      <c r="BX236" s="9">
        <f t="shared" ca="1" si="217"/>
        <v>-144.33389099190424</v>
      </c>
      <c r="BY236" s="9">
        <f t="shared" ca="1" si="218"/>
        <v>-2.0891147128218215</v>
      </c>
      <c r="BZ236">
        <f t="shared" ca="1" si="219"/>
        <v>144.34900931127385</v>
      </c>
      <c r="CA236" s="6">
        <f t="shared" ca="1" si="220"/>
        <v>-0.99989526551348196</v>
      </c>
      <c r="CB236" s="6">
        <f t="shared" ca="1" si="221"/>
        <v>-1.4472664016119845E-2</v>
      </c>
      <c r="CC236" s="6">
        <f t="shared" ca="1" si="222"/>
        <v>-3.1271194842901604</v>
      </c>
      <c r="CD236" s="6">
        <f t="shared" ca="1" si="214"/>
        <v>-5.8799427675320191</v>
      </c>
      <c r="CE236" s="9">
        <f t="shared" ca="1" si="215"/>
        <v>-66.940872321082438</v>
      </c>
      <c r="CF236" s="9">
        <f t="shared" ca="1" si="216"/>
        <v>-27.886787603095755</v>
      </c>
      <c r="CG236">
        <f t="shared" ca="1" si="223"/>
        <v>72.51726215135011</v>
      </c>
      <c r="CH236">
        <f t="shared" ca="1" si="224"/>
        <v>-0.92310258737251771</v>
      </c>
      <c r="CI236">
        <f t="shared" ca="1" si="225"/>
        <v>-0.38455378451676092</v>
      </c>
      <c r="CJ236">
        <f t="shared" ca="1" si="226"/>
        <v>-2.746868266402501</v>
      </c>
      <c r="CK236" s="38">
        <f t="shared" ca="1" si="227"/>
        <v>-5.1030627565948459</v>
      </c>
    </row>
    <row r="237" spans="55:89" x14ac:dyDescent="0.25">
      <c r="BC237">
        <v>4.1015237421866528</v>
      </c>
      <c r="BD237">
        <v>-57.256488519770102</v>
      </c>
      <c r="BE237">
        <v>-39.750789082448961</v>
      </c>
      <c r="BF237" s="6">
        <f t="shared" si="209"/>
        <v>3.7484546856860357</v>
      </c>
      <c r="BG237" s="6">
        <f t="shared" si="210"/>
        <v>0.35306905650061715</v>
      </c>
      <c r="BH237" s="6">
        <f t="shared" si="211"/>
        <v>-1.3922601954936908</v>
      </c>
      <c r="BI237" s="6">
        <f t="shared" si="212"/>
        <v>1.3922601954936908</v>
      </c>
      <c r="BV237" s="38"/>
      <c r="BW237" s="6">
        <f t="shared" si="213"/>
        <v>3.8746309394273926</v>
      </c>
      <c r="BX237" s="9">
        <f t="shared" ca="1" si="217"/>
        <v>-143.81566657670541</v>
      </c>
      <c r="BY237" s="9">
        <f t="shared" ca="1" si="218"/>
        <v>-2.8432872052297107</v>
      </c>
      <c r="BZ237">
        <f t="shared" ca="1" si="219"/>
        <v>143.84377023365843</v>
      </c>
      <c r="CA237" s="6">
        <f t="shared" ca="1" si="220"/>
        <v>-0.99980462374625356</v>
      </c>
      <c r="CB237" s="6">
        <f t="shared" ca="1" si="221"/>
        <v>-1.9766495278948141E-2</v>
      </c>
      <c r="CC237" s="6">
        <f t="shared" ca="1" si="222"/>
        <v>-3.1218248709089678</v>
      </c>
      <c r="CD237" s="6">
        <f t="shared" ca="1" si="214"/>
        <v>-5.874648154150826</v>
      </c>
      <c r="CE237" s="9">
        <f t="shared" ca="1" si="215"/>
        <v>-66.422647905883608</v>
      </c>
      <c r="CF237" s="9">
        <f t="shared" ca="1" si="216"/>
        <v>-28.640960095503644</v>
      </c>
      <c r="CG237">
        <f t="shared" ca="1" si="223"/>
        <v>72.334450644359052</v>
      </c>
      <c r="CH237">
        <f t="shared" ca="1" si="224"/>
        <v>-0.91827127066269532</v>
      </c>
      <c r="CI237">
        <f t="shared" ca="1" si="225"/>
        <v>-0.39595185752250112</v>
      </c>
      <c r="CJ237">
        <f t="shared" ca="1" si="226"/>
        <v>-2.734488458376469</v>
      </c>
      <c r="CK237" s="38">
        <f t="shared" ca="1" si="227"/>
        <v>-5.0906829485688139</v>
      </c>
    </row>
    <row r="238" spans="55:89" x14ac:dyDescent="0.25">
      <c r="BC238">
        <v>4.1189770347065959</v>
      </c>
      <c r="BD238">
        <v>-56.266634822018545</v>
      </c>
      <c r="BE238">
        <v>-40.763585107010542</v>
      </c>
      <c r="BF238" s="6">
        <f t="shared" si="209"/>
        <v>3.7685544807209945</v>
      </c>
      <c r="BG238" s="6">
        <f t="shared" si="210"/>
        <v>0.3504225539856014</v>
      </c>
      <c r="BH238" s="6">
        <f t="shared" si="211"/>
        <v>-1.4123599905286497</v>
      </c>
      <c r="BI238" s="6">
        <f t="shared" si="212"/>
        <v>1.4123599905286497</v>
      </c>
      <c r="BV238" s="38"/>
      <c r="BW238" s="6">
        <f t="shared" si="213"/>
        <v>3.8920842319473357</v>
      </c>
      <c r="BX238" s="9">
        <f t="shared" ca="1" si="217"/>
        <v>-143.27888166500767</v>
      </c>
      <c r="BY238" s="9">
        <f t="shared" ca="1" si="218"/>
        <v>-3.6062961183866626</v>
      </c>
      <c r="BZ238">
        <f t="shared" ca="1" si="219"/>
        <v>143.32425929642463</v>
      </c>
      <c r="CA238" s="6">
        <f t="shared" ca="1" si="220"/>
        <v>-0.99968339183024768</v>
      </c>
      <c r="CB238" s="6">
        <f t="shared" ca="1" si="221"/>
        <v>-2.5161798400981691E-2</v>
      </c>
      <c r="CC238" s="6">
        <f t="shared" ca="1" si="222"/>
        <v>-3.1164281993754877</v>
      </c>
      <c r="CD238" s="6">
        <f t="shared" ca="1" si="214"/>
        <v>-5.8692514826173463</v>
      </c>
      <c r="CE238" s="9">
        <f t="shared" ca="1" si="215"/>
        <v>-65.885862994185871</v>
      </c>
      <c r="CF238" s="9">
        <f t="shared" ca="1" si="216"/>
        <v>-29.403969008660596</v>
      </c>
      <c r="CG238">
        <f t="shared" ca="1" si="223"/>
        <v>72.149430600323541</v>
      </c>
      <c r="CH238">
        <f t="shared" ca="1" si="224"/>
        <v>-0.91318618104091343</v>
      </c>
      <c r="CI238">
        <f t="shared" ca="1" si="225"/>
        <v>-0.4075426342800374</v>
      </c>
      <c r="CJ238">
        <f t="shared" ca="1" si="226"/>
        <v>-2.7218311924341907</v>
      </c>
      <c r="CK238" s="38">
        <f t="shared" ca="1" si="227"/>
        <v>-5.0780256826265351</v>
      </c>
    </row>
    <row r="239" spans="55:89" x14ac:dyDescent="0.25">
      <c r="BC239">
        <v>4.136430327226539</v>
      </c>
      <c r="BD239">
        <v>-55.215232016403164</v>
      </c>
      <c r="BE239">
        <v>-41.809788964951316</v>
      </c>
      <c r="BF239" s="6">
        <f t="shared" si="209"/>
        <v>3.7896952443977998</v>
      </c>
      <c r="BG239" s="6">
        <f t="shared" si="210"/>
        <v>0.34673508282873922</v>
      </c>
      <c r="BH239" s="6">
        <f t="shared" si="211"/>
        <v>-1.433500754205455</v>
      </c>
      <c r="BI239" s="6">
        <f t="shared" si="212"/>
        <v>1.433500754205455</v>
      </c>
      <c r="BV239" s="38"/>
      <c r="BW239" s="6">
        <f t="shared" si="213"/>
        <v>3.9095375244672788</v>
      </c>
      <c r="BX239" s="9">
        <f t="shared" ca="1" si="217"/>
        <v>-142.72196353826587</v>
      </c>
      <c r="BY239" s="9">
        <f t="shared" ca="1" si="218"/>
        <v>-4.3793724600447632</v>
      </c>
      <c r="BZ239">
        <f t="shared" ca="1" si="219"/>
        <v>142.78913746977355</v>
      </c>
      <c r="CA239" s="6">
        <f t="shared" ca="1" si="220"/>
        <v>-0.99952955853156611</v>
      </c>
      <c r="CB239" s="6">
        <f t="shared" ca="1" si="221"/>
        <v>-3.0670207395655812E-2</v>
      </c>
      <c r="CC239" s="6">
        <f t="shared" ca="1" si="222"/>
        <v>-3.110917635776449</v>
      </c>
      <c r="CD239" s="6">
        <f t="shared" ca="1" si="214"/>
        <v>-5.8637409190183076</v>
      </c>
      <c r="CE239" s="9">
        <f t="shared" ca="1" si="215"/>
        <v>-65.328944867444065</v>
      </c>
      <c r="CF239" s="9">
        <f t="shared" ca="1" si="216"/>
        <v>-30.177045350318696</v>
      </c>
      <c r="CG239">
        <f t="shared" ca="1" si="223"/>
        <v>71.961969842193298</v>
      </c>
      <c r="CH239">
        <f t="shared" ca="1" si="224"/>
        <v>-0.90782596711436736</v>
      </c>
      <c r="CI239">
        <f t="shared" ca="1" si="225"/>
        <v>-0.41934712760774173</v>
      </c>
      <c r="CJ239">
        <f t="shared" ca="1" si="226"/>
        <v>-2.7088666133705193</v>
      </c>
      <c r="CK239" s="38">
        <f t="shared" ca="1" si="227"/>
        <v>-5.0650611035628641</v>
      </c>
    </row>
    <row r="240" spans="55:89" x14ac:dyDescent="0.25">
      <c r="BC240">
        <v>4.1538836197464821</v>
      </c>
      <c r="BD240">
        <v>-54.0950015863856</v>
      </c>
      <c r="BE240">
        <v>-42.892946557727953</v>
      </c>
      <c r="BF240" s="6">
        <f t="shared" si="209"/>
        <v>3.812000883536228</v>
      </c>
      <c r="BG240" s="6">
        <f t="shared" si="210"/>
        <v>0.34188273621025411</v>
      </c>
      <c r="BH240" s="6">
        <f t="shared" si="211"/>
        <v>-1.4558063933438832</v>
      </c>
      <c r="BI240" s="6">
        <f t="shared" si="212"/>
        <v>1.4558063933438832</v>
      </c>
      <c r="BV240" s="38"/>
      <c r="BW240" s="6">
        <f t="shared" si="213"/>
        <v>3.9269908169872219</v>
      </c>
      <c r="BX240" s="9">
        <f t="shared" ca="1" si="217"/>
        <v>-142.14321465281353</v>
      </c>
      <c r="BY240" s="9">
        <f t="shared" ca="1" si="218"/>
        <v>-5.163778302255519</v>
      </c>
      <c r="BZ240">
        <f t="shared" ca="1" si="219"/>
        <v>142.23697858922154</v>
      </c>
      <c r="CA240" s="6">
        <f t="shared" ca="1" si="220"/>
        <v>-0.99934079071885518</v>
      </c>
      <c r="CB240" s="6">
        <f t="shared" ca="1" si="221"/>
        <v>-3.6304049435473745E-2</v>
      </c>
      <c r="CC240" s="6">
        <f t="shared" ca="1" si="222"/>
        <v>-3.1052806247281248</v>
      </c>
      <c r="CD240" s="6">
        <f t="shared" ca="1" si="214"/>
        <v>-5.8581039079699835</v>
      </c>
      <c r="CE240" s="9">
        <f t="shared" ca="1" si="215"/>
        <v>-64.750195981991723</v>
      </c>
      <c r="CF240" s="9">
        <f t="shared" ca="1" si="216"/>
        <v>-30.961451192529452</v>
      </c>
      <c r="CG240">
        <f t="shared" ca="1" si="223"/>
        <v>71.771856180913417</v>
      </c>
      <c r="CH240">
        <f t="shared" ca="1" si="224"/>
        <v>-0.90216694157634181</v>
      </c>
      <c r="CI240">
        <f t="shared" ca="1" si="225"/>
        <v>-0.43138707621669614</v>
      </c>
      <c r="CJ240">
        <f t="shared" ca="1" si="226"/>
        <v>-2.6955629468490896</v>
      </c>
      <c r="CK240" s="38">
        <f t="shared" ca="1" si="227"/>
        <v>-5.0517574370414344</v>
      </c>
    </row>
    <row r="241" spans="55:89" x14ac:dyDescent="0.25">
      <c r="BC241">
        <v>4.1713369122664252</v>
      </c>
      <c r="BD241">
        <v>-52.888351563141846</v>
      </c>
      <c r="BE241">
        <v>-44.022695835208303</v>
      </c>
      <c r="BF241" s="6">
        <f t="shared" si="209"/>
        <v>3.835762344025988</v>
      </c>
      <c r="BG241" s="6">
        <f t="shared" si="210"/>
        <v>0.33557456824043719</v>
      </c>
      <c r="BH241" s="6">
        <f t="shared" si="211"/>
        <v>-1.4795678538336432</v>
      </c>
      <c r="BI241" s="6">
        <f t="shared" si="212"/>
        <v>1.4795678538336432</v>
      </c>
      <c r="BV241" s="38"/>
      <c r="BW241" s="6">
        <f t="shared" si="213"/>
        <v>3.944444109507165</v>
      </c>
      <c r="BX241" s="9">
        <f t="shared" ca="1" si="217"/>
        <v>-141.54079537990756</v>
      </c>
      <c r="BY241" s="9">
        <f t="shared" ca="1" si="218"/>
        <v>-5.9608171059960284</v>
      </c>
      <c r="BZ241">
        <f t="shared" ca="1" si="219"/>
        <v>141.66625602926052</v>
      </c>
      <c r="CA241" s="6">
        <f t="shared" ca="1" si="220"/>
        <v>-0.99911439284929615</v>
      </c>
      <c r="CB241" s="6">
        <f t="shared" ca="1" si="221"/>
        <v>-4.2076478005918704E-2</v>
      </c>
      <c r="CC241" s="6">
        <f t="shared" ca="1" si="222"/>
        <v>-3.0995037501055265</v>
      </c>
      <c r="CD241" s="6">
        <f t="shared" ca="1" si="214"/>
        <v>-5.8523270333473851</v>
      </c>
      <c r="CE241" s="9">
        <f t="shared" ca="1" si="215"/>
        <v>-64.147776709085761</v>
      </c>
      <c r="CF241" s="9">
        <f t="shared" ca="1" si="216"/>
        <v>-31.758489996269962</v>
      </c>
      <c r="CG241">
        <f t="shared" ca="1" si="223"/>
        <v>71.578900128193538</v>
      </c>
      <c r="CH241">
        <f t="shared" ca="1" si="224"/>
        <v>-0.89618276606934333</v>
      </c>
      <c r="CI241">
        <f t="shared" ca="1" si="225"/>
        <v>-0.44368507953310826</v>
      </c>
      <c r="CJ241">
        <f t="shared" ca="1" si="226"/>
        <v>-2.681886172455163</v>
      </c>
      <c r="CK241" s="38">
        <f t="shared" ca="1" si="227"/>
        <v>-5.0380806626475074</v>
      </c>
    </row>
    <row r="242" spans="55:89" x14ac:dyDescent="0.25">
      <c r="BC242">
        <v>4.1887902047863683</v>
      </c>
      <c r="BD242">
        <v>-51.596985803935723</v>
      </c>
      <c r="BE242">
        <v>-45.196374361031204</v>
      </c>
      <c r="BF242" s="6">
        <f t="shared" si="209"/>
        <v>3.8609603943487607</v>
      </c>
      <c r="BG242" s="6">
        <f t="shared" si="210"/>
        <v>0.32782981043760762</v>
      </c>
      <c r="BH242" s="6">
        <f t="shared" si="211"/>
        <v>-1.5047659041564159</v>
      </c>
      <c r="BI242" s="6">
        <f t="shared" si="212"/>
        <v>1.5047659041564159</v>
      </c>
      <c r="BV242" s="38"/>
      <c r="BW242" s="6">
        <f t="shared" si="213"/>
        <v>3.9618974020271081</v>
      </c>
      <c r="BX242" s="9">
        <f t="shared" ca="1" si="217"/>
        <v>-140.91270454264838</v>
      </c>
      <c r="BY242" s="9">
        <f t="shared" ca="1" si="218"/>
        <v>-6.7718443421256929</v>
      </c>
      <c r="BZ242">
        <f t="shared" ca="1" si="219"/>
        <v>141.07532802484528</v>
      </c>
      <c r="CA242" s="6">
        <f t="shared" ca="1" si="220"/>
        <v>-0.99884725781273209</v>
      </c>
      <c r="CB242" s="6">
        <f t="shared" ca="1" si="221"/>
        <v>-4.8001620389165986E-2</v>
      </c>
      <c r="CC242" s="6">
        <f t="shared" ca="1" si="222"/>
        <v>-3.0935725801940968</v>
      </c>
      <c r="CD242" s="6">
        <f t="shared" ca="1" si="214"/>
        <v>-5.846395863435955</v>
      </c>
      <c r="CE242" s="9">
        <f t="shared" ca="1" si="215"/>
        <v>-63.519685871826582</v>
      </c>
      <c r="CF242" s="9">
        <f t="shared" ca="1" si="216"/>
        <v>-32.569517232399626</v>
      </c>
      <c r="CG242">
        <f t="shared" ca="1" si="223"/>
        <v>71.38293875995231</v>
      </c>
      <c r="CH242">
        <f t="shared" ca="1" si="224"/>
        <v>-0.88984408564953588</v>
      </c>
      <c r="CI242">
        <f t="shared" ca="1" si="225"/>
        <v>-0.45626472933434303</v>
      </c>
      <c r="CJ242">
        <f t="shared" ca="1" si="226"/>
        <v>-2.6677996633148098</v>
      </c>
      <c r="CK242" s="38">
        <f t="shared" ca="1" si="227"/>
        <v>-5.0239941535071546</v>
      </c>
    </row>
    <row r="243" spans="55:89" x14ac:dyDescent="0.25">
      <c r="BC243">
        <v>4.2062434973063114</v>
      </c>
      <c r="BD243">
        <v>-50.211346732905042</v>
      </c>
      <c r="BE243">
        <v>-46.418057349169679</v>
      </c>
      <c r="BF243" s="6">
        <f t="shared" si="209"/>
        <v>3.8877549064994898</v>
      </c>
      <c r="BG243" s="6">
        <f t="shared" si="210"/>
        <v>0.31848859080682157</v>
      </c>
      <c r="BH243" s="6">
        <f t="shared" si="211"/>
        <v>-1.531560416307145</v>
      </c>
      <c r="BI243" s="6">
        <f t="shared" si="212"/>
        <v>1.531560416307145</v>
      </c>
      <c r="BV243" s="38"/>
      <c r="BW243" s="6">
        <f t="shared" si="213"/>
        <v>3.9793506945470511</v>
      </c>
      <c r="BX243" s="9">
        <f t="shared" ca="1" si="217"/>
        <v>-140.25675738275433</v>
      </c>
      <c r="BY243" s="9">
        <f t="shared" ca="1" si="218"/>
        <v>-7.5982786067754908</v>
      </c>
      <c r="BZ243">
        <f t="shared" ca="1" si="219"/>
        <v>140.46242141338371</v>
      </c>
      <c r="CA243" s="6">
        <f t="shared" ca="1" si="220"/>
        <v>-0.99853580745255621</v>
      </c>
      <c r="CB243" s="6">
        <f t="shared" ca="1" si="221"/>
        <v>-5.4094743137124236E-2</v>
      </c>
      <c r="CC243" s="6">
        <f t="shared" ca="1" si="222"/>
        <v>-3.087471493273501</v>
      </c>
      <c r="CD243" s="6">
        <f t="shared" ca="1" si="214"/>
        <v>-5.8402947765153597</v>
      </c>
      <c r="CE243" s="9">
        <f t="shared" ca="1" si="215"/>
        <v>-62.863738711932527</v>
      </c>
      <c r="CF243" s="9">
        <f t="shared" ca="1" si="216"/>
        <v>-33.395951497049424</v>
      </c>
      <c r="CG243">
        <f t="shared" ca="1" si="223"/>
        <v>71.183841012096295</v>
      </c>
      <c r="CH243">
        <f t="shared" ca="1" si="224"/>
        <v>-0.88311810402658752</v>
      </c>
      <c r="CI243">
        <f t="shared" ca="1" si="225"/>
        <v>-0.46915073733341306</v>
      </c>
      <c r="CJ243">
        <f t="shared" ca="1" si="226"/>
        <v>-2.6532637852447212</v>
      </c>
      <c r="CK243" s="38">
        <f t="shared" ca="1" si="227"/>
        <v>-5.0094582754370656</v>
      </c>
    </row>
    <row r="244" spans="55:89" x14ac:dyDescent="0.25">
      <c r="BC244">
        <v>4.2236967898262545</v>
      </c>
      <c r="BD244">
        <v>-48.720446289098568</v>
      </c>
      <c r="BE244">
        <v>-47.692295670671918</v>
      </c>
      <c r="BF244" s="6">
        <f t="shared" si="209"/>
        <v>3.9163271679121494</v>
      </c>
      <c r="BG244" s="6">
        <f t="shared" si="210"/>
        <v>0.30736962191410511</v>
      </c>
      <c r="BH244" s="6">
        <f t="shared" si="211"/>
        <v>-1.5601326777198046</v>
      </c>
      <c r="BI244" s="6">
        <f t="shared" si="212"/>
        <v>1.5601326777198046</v>
      </c>
      <c r="BV244" s="38"/>
      <c r="BW244" s="6">
        <f t="shared" si="213"/>
        <v>3.9968039870669942</v>
      </c>
      <c r="BX244" s="9">
        <f t="shared" ca="1" si="217"/>
        <v>-139.57056041785245</v>
      </c>
      <c r="BY244" s="9">
        <f t="shared" ca="1" si="218"/>
        <v>-8.4416134463834815</v>
      </c>
      <c r="BZ244">
        <f t="shared" ca="1" si="219"/>
        <v>139.82561343663602</v>
      </c>
      <c r="CA244" s="6">
        <f t="shared" ca="1" si="220"/>
        <v>-0.99817592061629568</v>
      </c>
      <c r="CB244" s="6">
        <f t="shared" ca="1" si="221"/>
        <v>-6.0372439919306485E-2</v>
      </c>
      <c r="CC244" s="6">
        <f t="shared" ca="1" si="222"/>
        <v>-3.0811834788251793</v>
      </c>
      <c r="CD244" s="6">
        <f t="shared" ca="1" si="214"/>
        <v>-5.8340067620670375</v>
      </c>
      <c r="CE244" s="9">
        <f t="shared" ca="1" si="215"/>
        <v>-62.177541747030645</v>
      </c>
      <c r="CF244" s="9">
        <f t="shared" ca="1" si="216"/>
        <v>-34.239286336657415</v>
      </c>
      <c r="CG244">
        <f t="shared" ca="1" si="223"/>
        <v>70.981514681974446</v>
      </c>
      <c r="CH244">
        <f t="shared" ca="1" si="224"/>
        <v>-0.8759680886722534</v>
      </c>
      <c r="CI244">
        <f t="shared" ca="1" si="225"/>
        <v>-0.48236905749423781</v>
      </c>
      <c r="CJ244">
        <f t="shared" ca="1" si="226"/>
        <v>-2.6382354467427263</v>
      </c>
      <c r="CK244" s="38">
        <f t="shared" ca="1" si="227"/>
        <v>-4.9944299369350711</v>
      </c>
    </row>
    <row r="245" spans="55:89" x14ac:dyDescent="0.25">
      <c r="BC245">
        <v>4.2411500823461976</v>
      </c>
      <c r="BD245">
        <v>-47.111590275450567</v>
      </c>
      <c r="BE245">
        <v>-49.024194113270383</v>
      </c>
      <c r="BF245" s="6">
        <f t="shared" si="209"/>
        <v>3.9468830097987131</v>
      </c>
      <c r="BG245" s="6">
        <f t="shared" si="210"/>
        <v>0.29426707254748452</v>
      </c>
      <c r="BH245" s="6">
        <f t="shared" si="211"/>
        <v>-1.590688519606368</v>
      </c>
      <c r="BI245" s="6">
        <f t="shared" si="212"/>
        <v>1.590688519606368</v>
      </c>
      <c r="BV245" s="38"/>
      <c r="BW245" s="6">
        <f t="shared" si="213"/>
        <v>4.0142572795869373</v>
      </c>
      <c r="BX245" s="9">
        <f t="shared" ca="1" si="217"/>
        <v>-138.85148263305339</v>
      </c>
      <c r="BY245" s="9">
        <f t="shared" ca="1" si="218"/>
        <v>-9.3034301157953543</v>
      </c>
      <c r="BZ245">
        <f t="shared" ca="1" si="219"/>
        <v>139.16281127268383</v>
      </c>
      <c r="CA245" s="6">
        <f t="shared" ca="1" si="220"/>
        <v>-0.99776284600186471</v>
      </c>
      <c r="CB245" s="6">
        <f t="shared" ca="1" si="221"/>
        <v>-6.6852846897190552E-2</v>
      </c>
      <c r="CC245" s="6">
        <f t="shared" ca="1" si="222"/>
        <v>-3.0746899086666786</v>
      </c>
      <c r="CD245" s="6">
        <f t="shared" ca="1" si="214"/>
        <v>-5.8275131919085368</v>
      </c>
      <c r="CE245" s="9">
        <f t="shared" ca="1" si="215"/>
        <v>-61.45846396223159</v>
      </c>
      <c r="CF245" s="9">
        <f t="shared" ca="1" si="216"/>
        <v>-35.101103006069287</v>
      </c>
      <c r="CG245">
        <f t="shared" ca="1" si="223"/>
        <v>70.775915570479242</v>
      </c>
      <c r="CH245">
        <f t="shared" ca="1" si="224"/>
        <v>-0.86835279299256463</v>
      </c>
      <c r="CI245">
        <f t="shared" ca="1" si="225"/>
        <v>-0.49594700009377229</v>
      </c>
      <c r="CJ245">
        <f t="shared" ca="1" si="226"/>
        <v>-2.6226675904909769</v>
      </c>
      <c r="CK245" s="38">
        <f t="shared" ca="1" si="227"/>
        <v>-4.9788620806833217</v>
      </c>
    </row>
    <row r="246" spans="55:89" x14ac:dyDescent="0.25">
      <c r="BC246">
        <v>4.2586033748661407</v>
      </c>
      <c r="BD246">
        <v>-45.370037279329935</v>
      </c>
      <c r="BE246">
        <v>-50.419505539302918</v>
      </c>
      <c r="BF246" s="6">
        <f t="shared" si="209"/>
        <v>3.9796562621252676</v>
      </c>
      <c r="BG246" s="6">
        <f t="shared" si="210"/>
        <v>0.27894711274087314</v>
      </c>
      <c r="BH246" s="6">
        <f t="shared" si="211"/>
        <v>-1.6234617719329225</v>
      </c>
      <c r="BI246" s="6">
        <f t="shared" si="212"/>
        <v>1.6234617719329225</v>
      </c>
      <c r="BV246" s="38"/>
      <c r="BW246" s="6">
        <f t="shared" si="213"/>
        <v>4.0317105721068804</v>
      </c>
      <c r="BX246" s="9">
        <f t="shared" ca="1" si="217"/>
        <v>-138.0966222917576</v>
      </c>
      <c r="BY246" s="9">
        <f t="shared" ca="1" si="218"/>
        <v>-10.185411519680056</v>
      </c>
      <c r="BZ246">
        <f t="shared" ca="1" si="219"/>
        <v>138.47172886989458</v>
      </c>
      <c r="CA246" s="6">
        <f t="shared" ca="1" si="220"/>
        <v>-0.99729109630392909</v>
      </c>
      <c r="CB246" s="6">
        <f t="shared" ca="1" si="221"/>
        <v>-7.3555891897977788E-2</v>
      </c>
      <c r="CC246" s="6">
        <f t="shared" ca="1" si="222"/>
        <v>-3.0679702710303722</v>
      </c>
      <c r="CD246" s="6">
        <f t="shared" ca="1" si="214"/>
        <v>-5.8207935542722309</v>
      </c>
      <c r="CE246" s="9">
        <f t="shared" ca="1" si="215"/>
        <v>-60.703603620935795</v>
      </c>
      <c r="CF246" s="9">
        <f t="shared" ca="1" si="216"/>
        <v>-35.983084409953989</v>
      </c>
      <c r="CG246">
        <f t="shared" ca="1" si="223"/>
        <v>70.567059285629611</v>
      </c>
      <c r="CH246">
        <f t="shared" ca="1" si="224"/>
        <v>-0.86022578006587802</v>
      </c>
      <c r="CI246">
        <f t="shared" ca="1" si="225"/>
        <v>-0.50991333313618248</v>
      </c>
      <c r="CJ246">
        <f t="shared" ca="1" si="226"/>
        <v>-2.6065086152958568</v>
      </c>
      <c r="CK246" s="38">
        <f t="shared" ca="1" si="227"/>
        <v>-4.9627031054882016</v>
      </c>
    </row>
    <row r="247" spans="55:89" x14ac:dyDescent="0.25">
      <c r="BC247">
        <v>4.2760566673860838</v>
      </c>
      <c r="BD247">
        <v>-43.478573438316531</v>
      </c>
      <c r="BE247">
        <v>-51.884744966187426</v>
      </c>
      <c r="BF247" s="6">
        <f t="shared" si="209"/>
        <v>4.014912462236687</v>
      </c>
      <c r="BG247" s="6">
        <f t="shared" si="210"/>
        <v>0.26114420514939685</v>
      </c>
      <c r="BH247" s="6">
        <f t="shared" si="211"/>
        <v>-1.6587179720443419</v>
      </c>
      <c r="BI247" s="6">
        <f t="shared" si="212"/>
        <v>1.6587179720443419</v>
      </c>
      <c r="BV247" s="38"/>
      <c r="BW247" s="6">
        <f t="shared" si="213"/>
        <v>4.0491638646268235</v>
      </c>
      <c r="BX247" s="9">
        <f t="shared" ca="1" si="217"/>
        <v>-137.30276850059283</v>
      </c>
      <c r="BY247" s="9">
        <f t="shared" ca="1" si="218"/>
        <v>-11.089357619116388</v>
      </c>
      <c r="BZ247">
        <f t="shared" ca="1" si="219"/>
        <v>137.74986058189694</v>
      </c>
      <c r="CA247" s="6">
        <f t="shared" ca="1" si="220"/>
        <v>-0.99675431917378754</v>
      </c>
      <c r="CB247" s="6">
        <f t="shared" ca="1" si="221"/>
        <v>-8.0503585065506408E-2</v>
      </c>
      <c r="CC247" s="6">
        <f t="shared" ca="1" si="222"/>
        <v>-3.0610018589778742</v>
      </c>
      <c r="CD247" s="6">
        <f t="shared" ca="1" si="214"/>
        <v>-5.8138251422197325</v>
      </c>
      <c r="CE247" s="9">
        <f t="shared" ca="1" si="215"/>
        <v>-59.90974982977103</v>
      </c>
      <c r="CF247" s="9">
        <f t="shared" ca="1" si="216"/>
        <v>-36.887030509390321</v>
      </c>
      <c r="CG247">
        <f t="shared" ca="1" si="223"/>
        <v>70.355036383093733</v>
      </c>
      <c r="CH247">
        <f t="shared" ca="1" si="224"/>
        <v>-0.85153462935550839</v>
      </c>
      <c r="CI247">
        <f t="shared" ca="1" si="225"/>
        <v>-0.52429836449141898</v>
      </c>
      <c r="CJ247">
        <f t="shared" ca="1" si="226"/>
        <v>-2.5897017156146047</v>
      </c>
      <c r="CK247" s="38">
        <f t="shared" ca="1" si="227"/>
        <v>-4.9458962058069496</v>
      </c>
    </row>
    <row r="248" spans="55:89" x14ac:dyDescent="0.25">
      <c r="BC248">
        <v>4.2935099599060269</v>
      </c>
      <c r="BD248">
        <v>-41.41697792252571</v>
      </c>
      <c r="BE248">
        <v>-53.427328813623468</v>
      </c>
      <c r="BF248" s="6">
        <f t="shared" si="209"/>
        <v>4.0529526562148135</v>
      </c>
      <c r="BG248" s="6">
        <f t="shared" si="210"/>
        <v>0.24055730369121342</v>
      </c>
      <c r="BH248" s="6">
        <f t="shared" si="211"/>
        <v>-1.6967581660224684</v>
      </c>
      <c r="BI248" s="6">
        <f t="shared" si="212"/>
        <v>1.6967581660224684</v>
      </c>
      <c r="BV248" s="38"/>
      <c r="BW248" s="6">
        <f t="shared" si="213"/>
        <v>4.0666171571467666</v>
      </c>
      <c r="BX248" s="9">
        <f t="shared" ca="1" si="217"/>
        <v>-136.4663565168153</v>
      </c>
      <c r="BY248" s="9">
        <f t="shared" ca="1" si="218"/>
        <v>-12.01720262430327</v>
      </c>
      <c r="BZ248">
        <f t="shared" ca="1" si="219"/>
        <v>136.99445105509966</v>
      </c>
      <c r="CA248" s="6">
        <f t="shared" ca="1" si="220"/>
        <v>-0.99614513920660941</v>
      </c>
      <c r="CB248" s="6">
        <f t="shared" ca="1" si="221"/>
        <v>-8.7720360436131156E-2</v>
      </c>
      <c r="CC248" s="6">
        <f t="shared" ca="1" si="222"/>
        <v>-3.0537594024705808</v>
      </c>
      <c r="CD248" s="6">
        <f t="shared" ca="1" si="214"/>
        <v>-5.8065826857124394</v>
      </c>
      <c r="CE248" s="9">
        <f t="shared" ca="1" si="215"/>
        <v>-59.073337845993493</v>
      </c>
      <c r="CF248" s="9">
        <f t="shared" ca="1" si="216"/>
        <v>-37.814875514577203</v>
      </c>
      <c r="CG248">
        <f t="shared" ca="1" si="223"/>
        <v>70.14003175398382</v>
      </c>
      <c r="CH248">
        <f t="shared" ca="1" si="224"/>
        <v>-0.84222000430785715</v>
      </c>
      <c r="CI248">
        <f t="shared" ca="1" si="225"/>
        <v>-0.53913399479505353</v>
      </c>
      <c r="CJ248">
        <f t="shared" ca="1" si="226"/>
        <v>-2.5721841240725758</v>
      </c>
      <c r="CK248" s="38">
        <f t="shared" ca="1" si="227"/>
        <v>-4.9283786142649202</v>
      </c>
    </row>
    <row r="249" spans="55:89" x14ac:dyDescent="0.25">
      <c r="BC249">
        <v>4.31096325242597</v>
      </c>
      <c r="BD249">
        <v>-39.161345118015802</v>
      </c>
      <c r="BE249">
        <v>-55.055746217912272</v>
      </c>
      <c r="BF249" s="6">
        <f t="shared" si="209"/>
        <v>4.0941169888933189</v>
      </c>
      <c r="BG249" s="6">
        <f t="shared" si="210"/>
        <v>0.21684626353265113</v>
      </c>
      <c r="BH249" s="6">
        <f t="shared" si="211"/>
        <v>-1.737922498700974</v>
      </c>
      <c r="BI249" s="6">
        <f t="shared" si="212"/>
        <v>1.737922498700974</v>
      </c>
      <c r="BV249" s="38"/>
      <c r="BW249" s="6">
        <f t="shared" si="213"/>
        <v>4.0840704496667097</v>
      </c>
      <c r="BX249" s="9">
        <f t="shared" ca="1" si="217"/>
        <v>-135.58341550336826</v>
      </c>
      <c r="BY249" s="9">
        <f t="shared" ca="1" si="218"/>
        <v>-12.971034352053106</v>
      </c>
      <c r="BZ249">
        <f t="shared" ca="1" si="219"/>
        <v>136.2024606669099</v>
      </c>
      <c r="CA249" s="6">
        <f t="shared" ca="1" si="220"/>
        <v>-0.99545496343817497</v>
      </c>
      <c r="CB249" s="6">
        <f t="shared" ca="1" si="221"/>
        <v>-9.5233480280319138E-2</v>
      </c>
      <c r="CC249" s="6">
        <f t="shared" ca="1" si="222"/>
        <v>-3.046214630611308</v>
      </c>
      <c r="CD249" s="6">
        <f t="shared" ca="1" si="214"/>
        <v>-5.7990379138531667</v>
      </c>
      <c r="CE249" s="9">
        <f t="shared" ca="1" si="215"/>
        <v>-58.190396832546455</v>
      </c>
      <c r="CF249" s="9">
        <f t="shared" ca="1" si="216"/>
        <v>-38.768707242327039</v>
      </c>
      <c r="CG249">
        <f t="shared" ca="1" si="223"/>
        <v>69.922349393956239</v>
      </c>
      <c r="CH249">
        <f t="shared" ca="1" si="224"/>
        <v>-0.8322145542434557</v>
      </c>
      <c r="CI249">
        <f t="shared" ca="1" si="225"/>
        <v>-0.55445372728963283</v>
      </c>
      <c r="CJ249">
        <f t="shared" ca="1" si="226"/>
        <v>-2.5538862395988393</v>
      </c>
      <c r="CK249" s="38">
        <f t="shared" ca="1" si="227"/>
        <v>-4.9100807297911846</v>
      </c>
    </row>
    <row r="250" spans="55:89" x14ac:dyDescent="0.25">
      <c r="BC250">
        <v>4.3284165449459131</v>
      </c>
      <c r="BD250">
        <v>-36.683216910425287</v>
      </c>
      <c r="BE250">
        <v>-56.779771592358237</v>
      </c>
      <c r="BF250" s="6">
        <f t="shared" si="209"/>
        <v>4.1387875545968775</v>
      </c>
      <c r="BG250" s="6">
        <f t="shared" si="210"/>
        <v>0.18962899034903558</v>
      </c>
      <c r="BH250" s="6">
        <f t="shared" si="211"/>
        <v>-1.7825930644045325</v>
      </c>
      <c r="BI250" s="6">
        <f t="shared" si="212"/>
        <v>1.7825930644045325</v>
      </c>
      <c r="BV250" s="38"/>
      <c r="BW250" s="6">
        <f t="shared" si="213"/>
        <v>4.1015237421866528</v>
      </c>
      <c r="BX250" s="9">
        <f t="shared" ca="1" si="217"/>
        <v>-134.64950719059192</v>
      </c>
      <c r="BY250" s="9">
        <f t="shared" ca="1" si="218"/>
        <v>-13.953116192175028</v>
      </c>
      <c r="BZ250">
        <f t="shared" ca="1" si="219"/>
        <v>135.37052573637143</v>
      </c>
      <c r="CA250" s="6">
        <f t="shared" ca="1" si="220"/>
        <v>-0.9946737405217464</v>
      </c>
      <c r="CB250" s="6">
        <f t="shared" ca="1" si="221"/>
        <v>-0.10307351704719055</v>
      </c>
      <c r="CC250" s="6">
        <f t="shared" ca="1" si="222"/>
        <v>-3.0383357470052452</v>
      </c>
      <c r="CD250" s="6">
        <f t="shared" ca="1" si="214"/>
        <v>-5.7911590302471039</v>
      </c>
      <c r="CE250" s="9">
        <f t="shared" ca="1" si="215"/>
        <v>-57.256488519770116</v>
      </c>
      <c r="CF250" s="9">
        <f t="shared" ca="1" si="216"/>
        <v>-39.750789082448961</v>
      </c>
      <c r="CG250">
        <f t="shared" ca="1" si="223"/>
        <v>69.70244407688952</v>
      </c>
      <c r="CH250">
        <f t="shared" ca="1" si="224"/>
        <v>-0.82144161912902025</v>
      </c>
      <c r="CI250">
        <f t="shared" ca="1" si="225"/>
        <v>-0.57029261468363202</v>
      </c>
      <c r="CJ250">
        <f t="shared" ca="1" si="226"/>
        <v>-2.5347306214935506</v>
      </c>
      <c r="CK250" s="38">
        <f t="shared" ca="1" si="227"/>
        <v>-4.8909251116858954</v>
      </c>
    </row>
    <row r="251" spans="55:89" x14ac:dyDescent="0.25">
      <c r="BC251">
        <v>4.3458698374658562</v>
      </c>
      <c r="BD251">
        <v>-33.948460362277565</v>
      </c>
      <c r="BE251">
        <v>-58.610730786639301</v>
      </c>
      <c r="BF251" s="6">
        <f t="shared" si="209"/>
        <v>4.1873896440374994</v>
      </c>
      <c r="BG251" s="6">
        <f t="shared" si="210"/>
        <v>0.15848019342835684</v>
      </c>
      <c r="BH251" s="6">
        <f t="shared" si="211"/>
        <v>-1.8311951538451543</v>
      </c>
      <c r="BI251" s="6">
        <f t="shared" si="212"/>
        <v>1.8311951538451543</v>
      </c>
      <c r="BV251" s="38"/>
      <c r="BW251" s="6">
        <f t="shared" si="213"/>
        <v>4.1189770347065959</v>
      </c>
      <c r="BX251" s="9">
        <f t="shared" ca="1" si="217"/>
        <v>-133.65965349284033</v>
      </c>
      <c r="BY251" s="9">
        <f t="shared" ca="1" si="218"/>
        <v>-14.965912216736609</v>
      </c>
      <c r="BZ251">
        <f t="shared" ca="1" si="219"/>
        <v>134.49491254432345</v>
      </c>
      <c r="CA251" s="6">
        <f t="shared" ca="1" si="220"/>
        <v>-0.99378966062223462</v>
      </c>
      <c r="CB251" s="6">
        <f t="shared" ca="1" si="221"/>
        <v>-0.11127493176966466</v>
      </c>
      <c r="CC251" s="6">
        <f t="shared" ca="1" si="222"/>
        <v>-3.0300867963711662</v>
      </c>
      <c r="CD251" s="6">
        <f t="shared" ca="1" si="214"/>
        <v>-5.7829100796130248</v>
      </c>
      <c r="CE251" s="9">
        <f t="shared" ca="1" si="215"/>
        <v>-56.266634822018531</v>
      </c>
      <c r="CF251" s="9">
        <f t="shared" ca="1" si="216"/>
        <v>-40.763585107010542</v>
      </c>
      <c r="CG251">
        <f t="shared" ca="1" si="223"/>
        <v>69.480961888641701</v>
      </c>
      <c r="CH251">
        <f t="shared" ca="1" si="224"/>
        <v>-0.8098136999340626</v>
      </c>
      <c r="CI251">
        <f t="shared" ca="1" si="225"/>
        <v>-0.58668711541937235</v>
      </c>
      <c r="CJ251">
        <f t="shared" ca="1" si="226"/>
        <v>-2.5146308264585917</v>
      </c>
      <c r="CK251" s="38">
        <f t="shared" ca="1" si="227"/>
        <v>-4.8708253166509365</v>
      </c>
    </row>
    <row r="252" spans="55:89" x14ac:dyDescent="0.25">
      <c r="BC252">
        <v>4.3633231299857993</v>
      </c>
      <c r="BD252">
        <v>-30.915799754911411</v>
      </c>
      <c r="BE252">
        <v>-60.561837679167262</v>
      </c>
      <c r="BF252" s="6">
        <f t="shared" si="209"/>
        <v>4.240390038219747</v>
      </c>
      <c r="BG252" s="6">
        <f t="shared" si="210"/>
        <v>0.12293309176605227</v>
      </c>
      <c r="BH252" s="6">
        <f t="shared" si="211"/>
        <v>-1.884195548027402</v>
      </c>
      <c r="BI252" s="6">
        <f t="shared" si="212"/>
        <v>1.884195548027402</v>
      </c>
      <c r="BV252" s="38"/>
      <c r="BW252" s="6">
        <f t="shared" si="213"/>
        <v>4.136430327226539</v>
      </c>
      <c r="BX252" s="9">
        <f t="shared" ca="1" si="217"/>
        <v>-132.60825068722497</v>
      </c>
      <c r="BY252" s="9">
        <f t="shared" ca="1" si="218"/>
        <v>-16.012116074677383</v>
      </c>
      <c r="BZ252">
        <f t="shared" ca="1" si="219"/>
        <v>133.57146406143357</v>
      </c>
      <c r="CA252" s="6">
        <f t="shared" ca="1" si="220"/>
        <v>-0.99278877879360827</v>
      </c>
      <c r="CB252" s="6">
        <f t="shared" ca="1" si="221"/>
        <v>-0.1198767729858297</v>
      </c>
      <c r="CC252" s="6">
        <f t="shared" ca="1" si="222"/>
        <v>-3.0214268942114626</v>
      </c>
      <c r="CD252" s="6">
        <f t="shared" ca="1" si="214"/>
        <v>-5.7742501774533217</v>
      </c>
      <c r="CE252" s="9">
        <f t="shared" ca="1" si="215"/>
        <v>-55.215232016403164</v>
      </c>
      <c r="CF252" s="9">
        <f t="shared" ca="1" si="216"/>
        <v>-41.809788964951316</v>
      </c>
      <c r="CG252">
        <f t="shared" ca="1" si="223"/>
        <v>69.258792221053042</v>
      </c>
      <c r="CH252">
        <f t="shared" ca="1" si="224"/>
        <v>-0.79723065109441849</v>
      </c>
      <c r="CI252">
        <f t="shared" ca="1" si="225"/>
        <v>-0.60367482054129906</v>
      </c>
      <c r="CJ252">
        <f t="shared" ca="1" si="226"/>
        <v>-2.4934900627817864</v>
      </c>
      <c r="CK252" s="38">
        <f t="shared" ca="1" si="227"/>
        <v>-4.8496845529741313</v>
      </c>
    </row>
    <row r="253" spans="55:89" x14ac:dyDescent="0.25">
      <c r="BC253">
        <v>4.3807764225057424</v>
      </c>
      <c r="BD253">
        <v>-27.53487295208361</v>
      </c>
      <c r="BE253">
        <v>-62.64862446023983</v>
      </c>
      <c r="BF253" s="6">
        <f t="shared" si="209"/>
        <v>4.2982903480229231</v>
      </c>
      <c r="BG253" s="6">
        <f t="shared" si="210"/>
        <v>8.2486074482819305E-2</v>
      </c>
      <c r="BH253" s="6">
        <f t="shared" si="211"/>
        <v>-1.942095857830578</v>
      </c>
      <c r="BI253" s="6">
        <f t="shared" si="212"/>
        <v>1.942095857830578</v>
      </c>
      <c r="BV253" s="38"/>
      <c r="BW253" s="6">
        <f t="shared" si="213"/>
        <v>4.1538836197464821</v>
      </c>
      <c r="BX253" s="9">
        <f t="shared" ca="1" si="217"/>
        <v>-131.48802025720741</v>
      </c>
      <c r="BY253" s="9">
        <f t="shared" ca="1" si="218"/>
        <v>-17.09527366745402</v>
      </c>
      <c r="BZ253">
        <f t="shared" ca="1" si="219"/>
        <v>132.59467505493927</v>
      </c>
      <c r="CA253" s="6">
        <f t="shared" ca="1" si="220"/>
        <v>-0.99165385188150779</v>
      </c>
      <c r="CB253" s="6">
        <f t="shared" ca="1" si="221"/>
        <v>-0.12892881000214199</v>
      </c>
      <c r="CC253" s="6">
        <f t="shared" ca="1" si="222"/>
        <v>-3.0123039555138327</v>
      </c>
      <c r="CD253" s="6">
        <f t="shared" ca="1" si="214"/>
        <v>-5.7651272387556913</v>
      </c>
      <c r="CE253" s="9">
        <f t="shared" ca="1" si="215"/>
        <v>-54.095001586385607</v>
      </c>
      <c r="CF253" s="9">
        <f t="shared" ca="1" si="216"/>
        <v>-42.892946557727953</v>
      </c>
      <c r="CG253">
        <f t="shared" ca="1" si="223"/>
        <v>69.036758766871202</v>
      </c>
      <c r="CH253">
        <f t="shared" ca="1" si="224"/>
        <v>-0.78356809549906437</v>
      </c>
      <c r="CI253">
        <f t="shared" ca="1" si="225"/>
        <v>-0.62130591476016794</v>
      </c>
      <c r="CJ253">
        <f t="shared" ca="1" si="226"/>
        <v>-2.4711844236433582</v>
      </c>
      <c r="CK253" s="38">
        <f t="shared" ca="1" si="227"/>
        <v>-4.8273789138357035</v>
      </c>
    </row>
    <row r="254" spans="55:89" x14ac:dyDescent="0.25">
      <c r="BC254">
        <v>4.3982297150256855</v>
      </c>
      <c r="BD254">
        <v>-23.743623223614925</v>
      </c>
      <c r="BE254">
        <v>-64.889498222659611</v>
      </c>
      <c r="BF254" s="6">
        <f t="shared" si="209"/>
        <v>4.3616126075270305</v>
      </c>
      <c r="BG254" s="6">
        <f t="shared" si="210"/>
        <v>3.6617107498654988E-2</v>
      </c>
      <c r="BH254" s="6">
        <f t="shared" si="211"/>
        <v>-2.0054181173346857</v>
      </c>
      <c r="BI254" s="6">
        <f t="shared" si="212"/>
        <v>2.0054181173346857</v>
      </c>
      <c r="BV254" s="38"/>
      <c r="BW254" s="6">
        <f t="shared" si="213"/>
        <v>4.1713369122664252</v>
      </c>
      <c r="BX254" s="9">
        <f t="shared" ca="1" si="217"/>
        <v>-130.28137023396366</v>
      </c>
      <c r="BY254" s="9">
        <f t="shared" ca="1" si="218"/>
        <v>-18.22502294493437</v>
      </c>
      <c r="BZ254">
        <f t="shared" ca="1" si="219"/>
        <v>131.54994067418843</v>
      </c>
      <c r="CA254" s="6">
        <f t="shared" ca="1" si="220"/>
        <v>-0.99035673878890862</v>
      </c>
      <c r="CB254" s="6">
        <f t="shared" ca="1" si="221"/>
        <v>-0.13854071580368507</v>
      </c>
      <c r="CC254" s="6">
        <f t="shared" ca="1" si="222"/>
        <v>-3.0026048847866056</v>
      </c>
      <c r="CD254" s="6">
        <f t="shared" ca="1" si="214"/>
        <v>-5.7554281680284642</v>
      </c>
      <c r="CE254" s="9">
        <f t="shared" ca="1" si="215"/>
        <v>-52.888351563141853</v>
      </c>
      <c r="CF254" s="9">
        <f t="shared" ca="1" si="216"/>
        <v>-44.022695835208303</v>
      </c>
      <c r="CG254">
        <f t="shared" ca="1" si="223"/>
        <v>68.812611341713776</v>
      </c>
      <c r="CH254">
        <f t="shared" ca="1" si="224"/>
        <v>-0.76858515513247594</v>
      </c>
      <c r="CI254">
        <f t="shared" ca="1" si="225"/>
        <v>-0.63974749652498686</v>
      </c>
      <c r="CJ254">
        <f t="shared" ca="1" si="226"/>
        <v>-2.4474229631535982</v>
      </c>
      <c r="CK254" s="38">
        <f t="shared" ca="1" si="227"/>
        <v>-4.803617453345943</v>
      </c>
    </row>
    <row r="255" spans="55:89" x14ac:dyDescent="0.25">
      <c r="BC255">
        <v>4.4156830075456286</v>
      </c>
      <c r="BD255">
        <v>-19.464747270434138</v>
      </c>
      <c r="BE255">
        <v>-67.306470359030897</v>
      </c>
      <c r="BF255" s="6">
        <f t="shared" si="209"/>
        <v>4.430873548786189</v>
      </c>
      <c r="BG255" s="6">
        <f t="shared" si="210"/>
        <v>1.5190541240560407E-2</v>
      </c>
      <c r="BH255" s="6">
        <f t="shared" si="211"/>
        <v>-2.0746790585938442</v>
      </c>
      <c r="BI255" s="6">
        <f t="shared" si="212"/>
        <v>2.0746790585938442</v>
      </c>
      <c r="BV255" s="38"/>
      <c r="BW255" s="6">
        <f t="shared" si="213"/>
        <v>4.1887902047863683</v>
      </c>
      <c r="BX255" s="9">
        <f t="shared" ca="1" si="217"/>
        <v>-128.99000447475754</v>
      </c>
      <c r="BY255" s="9">
        <f t="shared" ca="1" si="218"/>
        <v>-19.39870147075727</v>
      </c>
      <c r="BZ255">
        <f t="shared" ca="1" si="219"/>
        <v>130.44052619163082</v>
      </c>
      <c r="CA255" s="6">
        <f t="shared" ca="1" si="220"/>
        <v>-0.98887982317134848</v>
      </c>
      <c r="CB255" s="6">
        <f t="shared" ca="1" si="221"/>
        <v>-0.14871682932540875</v>
      </c>
      <c r="CC255" s="6">
        <f t="shared" ca="1" si="222"/>
        <v>-2.9923221080307187</v>
      </c>
      <c r="CD255" s="6">
        <f t="shared" ca="1" si="214"/>
        <v>-5.7451453912725778</v>
      </c>
      <c r="CE255" s="9">
        <f t="shared" ca="1" si="215"/>
        <v>-51.596985803935738</v>
      </c>
      <c r="CF255" s="9">
        <f t="shared" ca="1" si="216"/>
        <v>-45.196374361031204</v>
      </c>
      <c r="CG255">
        <f t="shared" ca="1" si="223"/>
        <v>68.592719726178117</v>
      </c>
      <c r="CH255">
        <f t="shared" ca="1" si="224"/>
        <v>-0.75222248089754584</v>
      </c>
      <c r="CI255">
        <f t="shared" ca="1" si="225"/>
        <v>-0.65890920408834874</v>
      </c>
      <c r="CJ255">
        <f t="shared" ca="1" si="226"/>
        <v>-2.422224912830826</v>
      </c>
      <c r="CK255" s="38">
        <f t="shared" ca="1" si="227"/>
        <v>-4.7784194030231708</v>
      </c>
    </row>
    <row r="256" spans="55:89" x14ac:dyDescent="0.25">
      <c r="BC256">
        <v>4.4331363000655717</v>
      </c>
      <c r="BD256">
        <v>-14.620443888643681</v>
      </c>
      <c r="BE256">
        <v>-69.919656263287237</v>
      </c>
      <c r="BF256" s="6">
        <f t="shared" si="209"/>
        <v>4.5062555881188722</v>
      </c>
      <c r="BG256" s="6">
        <f t="shared" si="210"/>
        <v>7.311928805330048E-2</v>
      </c>
      <c r="BH256" s="6">
        <f t="shared" si="211"/>
        <v>-2.1500610979265273</v>
      </c>
      <c r="BI256" s="6">
        <f t="shared" si="212"/>
        <v>2.1500610979265273</v>
      </c>
      <c r="BV256" s="38"/>
      <c r="BW256" s="6">
        <f t="shared" si="213"/>
        <v>4.2062434973063114</v>
      </c>
      <c r="BX256" s="9">
        <f t="shared" ca="1" si="217"/>
        <v>-127.60436540372685</v>
      </c>
      <c r="BY256" s="9">
        <f t="shared" ca="1" si="218"/>
        <v>-20.620384458895746</v>
      </c>
      <c r="BZ256">
        <f t="shared" ca="1" si="219"/>
        <v>129.25971656057627</v>
      </c>
      <c r="CA256" s="6">
        <f t="shared" ca="1" si="220"/>
        <v>-0.98719360369265818</v>
      </c>
      <c r="CB256" s="6">
        <f t="shared" ca="1" si="221"/>
        <v>-0.15952676524114309</v>
      </c>
      <c r="CC256" s="6">
        <f t="shared" ca="1" si="222"/>
        <v>-2.9813813930348756</v>
      </c>
      <c r="CD256" s="6">
        <f t="shared" ca="1" si="214"/>
        <v>-5.7342046762767342</v>
      </c>
      <c r="CE256" s="9">
        <f t="shared" ca="1" si="215"/>
        <v>-50.211346732905042</v>
      </c>
      <c r="CF256" s="9">
        <f t="shared" ca="1" si="216"/>
        <v>-46.418057349169679</v>
      </c>
      <c r="CG256">
        <f t="shared" ca="1" si="223"/>
        <v>68.379934109377572</v>
      </c>
      <c r="CH256">
        <f t="shared" ca="1" si="224"/>
        <v>-0.73429943135933928</v>
      </c>
      <c r="CI256">
        <f t="shared" ca="1" si="225"/>
        <v>-0.67882571040389383</v>
      </c>
      <c r="CJ256">
        <f t="shared" ca="1" si="226"/>
        <v>-2.3954304006800959</v>
      </c>
      <c r="CK256" s="38">
        <f t="shared" ca="1" si="227"/>
        <v>-4.7516248908724403</v>
      </c>
    </row>
    <row r="257" spans="55:89" x14ac:dyDescent="0.25">
      <c r="BC257">
        <v>4.4505895925855148</v>
      </c>
      <c r="BD257">
        <v>-9.2179637752277106</v>
      </c>
      <c r="BE257">
        <v>-72.719585945564845</v>
      </c>
      <c r="BF257" s="6">
        <f t="shared" si="209"/>
        <v>4.5863010464829834</v>
      </c>
      <c r="BG257" s="6">
        <f t="shared" si="210"/>
        <v>0.13571145389746864</v>
      </c>
      <c r="BH257" s="6">
        <f t="shared" si="211"/>
        <v>-2.2301065562906386</v>
      </c>
      <c r="BI257" s="6">
        <f t="shared" si="212"/>
        <v>2.2301065562906386</v>
      </c>
      <c r="BV257" s="38"/>
      <c r="BW257" s="6">
        <f t="shared" si="213"/>
        <v>4.2236967898262545</v>
      </c>
      <c r="BX257" s="9">
        <f t="shared" ca="1" si="217"/>
        <v>-126.11346495992038</v>
      </c>
      <c r="BY257" s="9">
        <f t="shared" ca="1" si="218"/>
        <v>-21.894622780397984</v>
      </c>
      <c r="BZ257">
        <f t="shared" ca="1" si="219"/>
        <v>127.99992402690319</v>
      </c>
      <c r="CA257" s="6">
        <f t="shared" ca="1" si="220"/>
        <v>-0.98526202979162458</v>
      </c>
      <c r="CB257" s="6">
        <f t="shared" ca="1" si="221"/>
        <v>-0.17105184199793858</v>
      </c>
      <c r="CC257" s="6">
        <f t="shared" ca="1" si="222"/>
        <v>-2.9696955072734443</v>
      </c>
      <c r="CD257" s="6">
        <f t="shared" ca="1" si="214"/>
        <v>-5.722518790515303</v>
      </c>
      <c r="CE257" s="9">
        <f t="shared" ca="1" si="215"/>
        <v>-48.720446289098575</v>
      </c>
      <c r="CF257" s="9">
        <f t="shared" ca="1" si="216"/>
        <v>-47.692295670671918</v>
      </c>
      <c r="CG257">
        <f t="shared" ca="1" si="223"/>
        <v>68.177979971158805</v>
      </c>
      <c r="CH257">
        <f t="shared" ca="1" si="224"/>
        <v>-0.71460677347302881</v>
      </c>
      <c r="CI257">
        <f t="shared" ca="1" si="225"/>
        <v>-0.69952638213756246</v>
      </c>
      <c r="CJ257">
        <f t="shared" ca="1" si="226"/>
        <v>-2.3668581392674368</v>
      </c>
      <c r="CK257" s="38">
        <f t="shared" ca="1" si="227"/>
        <v>-4.7230526294597812</v>
      </c>
    </row>
    <row r="258" spans="55:89" x14ac:dyDescent="0.25">
      <c r="BC258">
        <v>4.4680428851054579</v>
      </c>
      <c r="BD258">
        <v>-3.2894798013750073</v>
      </c>
      <c r="BE258">
        <v>-75.689041507073824</v>
      </c>
      <c r="BF258" s="6">
        <f t="shared" si="209"/>
        <v>4.6689558623052179</v>
      </c>
      <c r="BG258" s="6">
        <f t="shared" si="210"/>
        <v>0.20091297719975998</v>
      </c>
      <c r="BH258" s="6">
        <f t="shared" si="211"/>
        <v>-2.312761372112873</v>
      </c>
      <c r="BI258" s="6">
        <f t="shared" si="212"/>
        <v>2.312761372112873</v>
      </c>
      <c r="BV258" s="38"/>
      <c r="BW258" s="6">
        <f t="shared" si="213"/>
        <v>4.2411500823461976</v>
      </c>
      <c r="BX258" s="9">
        <f t="shared" ca="1" si="217"/>
        <v>-124.50460894627237</v>
      </c>
      <c r="BY258" s="9">
        <f t="shared" ca="1" si="218"/>
        <v>-23.22652122299645</v>
      </c>
      <c r="BZ258">
        <f t="shared" ca="1" si="219"/>
        <v>126.65255203503209</v>
      </c>
      <c r="CA258" s="6">
        <f t="shared" ca="1" si="220"/>
        <v>-0.98304066476161023</v>
      </c>
      <c r="CB258" s="6">
        <f t="shared" ca="1" si="221"/>
        <v>-0.18338770794426626</v>
      </c>
      <c r="CC258" s="6">
        <f t="shared" ca="1" si="222"/>
        <v>-2.9571611501620056</v>
      </c>
      <c r="CD258" s="6">
        <f t="shared" ca="1" si="214"/>
        <v>-5.7099844334038643</v>
      </c>
      <c r="CE258" s="9">
        <f t="shared" ca="1" si="215"/>
        <v>-47.111590275450567</v>
      </c>
      <c r="CF258" s="9">
        <f t="shared" ca="1" si="216"/>
        <v>-49.024194113270383</v>
      </c>
      <c r="CG258">
        <f t="shared" ca="1" si="223"/>
        <v>67.991716750921526</v>
      </c>
      <c r="CH258">
        <f t="shared" ca="1" si="224"/>
        <v>-0.69290190815504071</v>
      </c>
      <c r="CI258">
        <f t="shared" ca="1" si="225"/>
        <v>-0.72103186176139511</v>
      </c>
      <c r="CJ258">
        <f t="shared" ca="1" si="226"/>
        <v>-2.3363022973808736</v>
      </c>
      <c r="CK258" s="38">
        <f t="shared" ca="1" si="227"/>
        <v>-4.6924967875732184</v>
      </c>
    </row>
    <row r="259" spans="55:89" x14ac:dyDescent="0.25">
      <c r="BC259">
        <v>4.485496177625401</v>
      </c>
      <c r="BD259">
        <v>3.1386169303067826</v>
      </c>
      <c r="BE259">
        <v>-78.813180781707771</v>
      </c>
      <c r="BF259" s="6">
        <f t="shared" ref="BF259:BF322" si="228">IF(BC259&lt;&gt;"",IF(AND(BD259=0,BE259=0),0,MOD(ATAN2(BD259,BE259),2*PI())),NA())</f>
        <v>4.7521914510725525</v>
      </c>
      <c r="BG259" s="6">
        <f t="shared" ref="BG259:BG322" si="229">ABS(BC259-BF259)</f>
        <v>0.26669527344715149</v>
      </c>
      <c r="BH259" s="6">
        <f t="shared" ref="BH259:BH322" si="230">ATAN2(COS($U$13-BF259),SIN($U$13-BF259))</f>
        <v>-2.3959969608802076</v>
      </c>
      <c r="BI259" s="6">
        <f t="shared" ref="BI259:BI322" si="231">ABS(BH259)</f>
        <v>2.3959969608802076</v>
      </c>
      <c r="BV259" s="38"/>
      <c r="BW259" s="6">
        <f t="shared" si="213"/>
        <v>4.2586033748661407</v>
      </c>
      <c r="BX259" s="9">
        <f t="shared" ca="1" si="217"/>
        <v>-122.76305595015174</v>
      </c>
      <c r="BY259" s="9">
        <f t="shared" ca="1" si="218"/>
        <v>-24.621832649028985</v>
      </c>
      <c r="BZ259">
        <f t="shared" ca="1" si="219"/>
        <v>125.20783741130934</v>
      </c>
      <c r="CA259" s="6">
        <f t="shared" ca="1" si="220"/>
        <v>-0.98047421382156397</v>
      </c>
      <c r="CB259" s="6">
        <f t="shared" ca="1" si="221"/>
        <v>-0.19664769520893449</v>
      </c>
      <c r="CC259" s="6">
        <f t="shared" ca="1" si="222"/>
        <v>-2.9436549772896541</v>
      </c>
      <c r="CD259" s="6">
        <f t="shared" ca="1" si="214"/>
        <v>-5.6964782605315127</v>
      </c>
      <c r="CE259" s="9">
        <f t="shared" ca="1" si="215"/>
        <v>-45.370037279329935</v>
      </c>
      <c r="CF259" s="9">
        <f t="shared" ca="1" si="216"/>
        <v>-50.419505539302918</v>
      </c>
      <c r="CG259">
        <f t="shared" ca="1" si="223"/>
        <v>67.827478366482012</v>
      </c>
      <c r="CH259">
        <f t="shared" ca="1" si="224"/>
        <v>-0.66890349415894301</v>
      </c>
      <c r="CI259">
        <f t="shared" ca="1" si="225"/>
        <v>-0.74334925539880436</v>
      </c>
      <c r="CJ259">
        <f t="shared" ca="1" si="226"/>
        <v>-2.3035290450543187</v>
      </c>
      <c r="CK259" s="38">
        <f t="shared" ca="1" si="227"/>
        <v>-4.6597235352466635</v>
      </c>
    </row>
    <row r="260" spans="55:89" x14ac:dyDescent="0.25">
      <c r="BC260">
        <v>4.5029494701453441</v>
      </c>
      <c r="BD260">
        <v>10.043400968832678</v>
      </c>
      <c r="BE260">
        <v>-82.078377578724599</v>
      </c>
      <c r="BF260" s="6">
        <f t="shared" si="228"/>
        <v>4.8341472406518635</v>
      </c>
      <c r="BG260" s="6">
        <f t="shared" si="229"/>
        <v>0.33119777050651944</v>
      </c>
      <c r="BH260" s="6">
        <f t="shared" si="230"/>
        <v>-2.4779527504595187</v>
      </c>
      <c r="BI260" s="6">
        <f t="shared" si="231"/>
        <v>2.4779527504595187</v>
      </c>
      <c r="BV260" s="38"/>
      <c r="BW260" s="6">
        <f t="shared" si="213"/>
        <v>4.2760566673860838</v>
      </c>
      <c r="BX260" s="9">
        <f t="shared" ca="1" si="217"/>
        <v>-120.87159210913833</v>
      </c>
      <c r="BY260" s="9">
        <f t="shared" ca="1" si="218"/>
        <v>-26.087072075913493</v>
      </c>
      <c r="BZ260">
        <f t="shared" ca="1" si="219"/>
        <v>123.65466876948811</v>
      </c>
      <c r="CA260" s="6">
        <f t="shared" ca="1" si="220"/>
        <v>-0.97749315340823995</v>
      </c>
      <c r="CB260" s="6">
        <f t="shared" ca="1" si="221"/>
        <v>-0.21096714208619108</v>
      </c>
      <c r="CC260" s="6">
        <f t="shared" ca="1" si="222"/>
        <v>-2.929028388688026</v>
      </c>
      <c r="CD260" s="6">
        <f t="shared" ca="1" si="214"/>
        <v>-5.6818516719298842</v>
      </c>
      <c r="CE260" s="9">
        <f t="shared" ca="1" si="215"/>
        <v>-43.478573438316531</v>
      </c>
      <c r="CF260" s="9">
        <f t="shared" ca="1" si="216"/>
        <v>-51.884744966187426</v>
      </c>
      <c r="CG260">
        <f t="shared" ca="1" si="223"/>
        <v>67.69352338619548</v>
      </c>
      <c r="CH260">
        <f t="shared" ca="1" si="224"/>
        <v>-0.64228557273151143</v>
      </c>
      <c r="CI260">
        <f t="shared" ca="1" si="225"/>
        <v>-0.76646542196041334</v>
      </c>
      <c r="CJ260">
        <f t="shared" ca="1" si="226"/>
        <v>-2.2682728449428997</v>
      </c>
      <c r="CK260" s="38">
        <f t="shared" ca="1" si="227"/>
        <v>-4.624467335135245</v>
      </c>
    </row>
    <row r="261" spans="55:89" x14ac:dyDescent="0.25">
      <c r="BC261">
        <v>4.5204027626652872</v>
      </c>
      <c r="BD261">
        <v>17.802605903006693</v>
      </c>
      <c r="BE261">
        <v>-86.162268726553975</v>
      </c>
      <c r="BF261" s="6">
        <f t="shared" si="228"/>
        <v>4.916139051547165</v>
      </c>
      <c r="BG261" s="6">
        <f t="shared" si="229"/>
        <v>0.39573628888187784</v>
      </c>
      <c r="BH261" s="6">
        <f t="shared" si="230"/>
        <v>-2.5599445613548202</v>
      </c>
      <c r="BI261" s="6">
        <f t="shared" si="231"/>
        <v>2.5599445613548202</v>
      </c>
      <c r="BV261" s="38"/>
      <c r="BW261" s="6">
        <f t="shared" si="213"/>
        <v>4.2935099599060269</v>
      </c>
      <c r="BX261" s="9">
        <f t="shared" ca="1" si="217"/>
        <v>-118.80999659334751</v>
      </c>
      <c r="BY261" s="9">
        <f t="shared" ca="1" si="218"/>
        <v>-27.629655923349535</v>
      </c>
      <c r="BZ261">
        <f t="shared" ca="1" si="219"/>
        <v>121.98038029516849</v>
      </c>
      <c r="CA261" s="6">
        <f t="shared" ca="1" si="220"/>
        <v>-0.97400906855553915</v>
      </c>
      <c r="CB261" s="6">
        <f t="shared" ca="1" si="221"/>
        <v>-0.22650901609333576</v>
      </c>
      <c r="CC261" s="6">
        <f t="shared" ca="1" si="222"/>
        <v>-2.9131006123755889</v>
      </c>
      <c r="CD261" s="6">
        <f t="shared" ca="1" si="214"/>
        <v>-5.665923895617448</v>
      </c>
      <c r="CE261" s="9">
        <f t="shared" ca="1" si="215"/>
        <v>-41.416977922525703</v>
      </c>
      <c r="CF261" s="9">
        <f t="shared" ca="1" si="216"/>
        <v>-53.427328813623468</v>
      </c>
      <c r="CG261">
        <f t="shared" ca="1" si="223"/>
        <v>67.600632573919171</v>
      </c>
      <c r="CH261">
        <f t="shared" ca="1" si="224"/>
        <v>-0.61267145506719245</v>
      </c>
      <c r="CI261">
        <f t="shared" ca="1" si="225"/>
        <v>-0.79033770512727619</v>
      </c>
      <c r="CJ261">
        <f t="shared" ca="1" si="226"/>
        <v>-2.2302326509647723</v>
      </c>
      <c r="CK261" s="38">
        <f t="shared" ca="1" si="227"/>
        <v>-4.5864271411571167</v>
      </c>
    </row>
    <row r="262" spans="55:89" x14ac:dyDescent="0.25">
      <c r="BC262">
        <v>4.5378560551852303</v>
      </c>
      <c r="BD262">
        <v>26.000186999455948</v>
      </c>
      <c r="BE262">
        <v>-90.447359402722256</v>
      </c>
      <c r="BF262" s="6">
        <f t="shared" si="228"/>
        <v>4.9923037871371729</v>
      </c>
      <c r="BG262" s="6">
        <f t="shared" si="229"/>
        <v>0.45444773195194266</v>
      </c>
      <c r="BH262" s="6">
        <f t="shared" si="230"/>
        <v>-2.6361092969448281</v>
      </c>
      <c r="BI262" s="6">
        <f t="shared" si="231"/>
        <v>2.6361092969448281</v>
      </c>
      <c r="BV262" s="38"/>
      <c r="BW262" s="6">
        <f t="shared" si="213"/>
        <v>4.31096325242597</v>
      </c>
      <c r="BX262" s="9">
        <f t="shared" ca="1" si="217"/>
        <v>-116.55436378883761</v>
      </c>
      <c r="BY262" s="9">
        <f t="shared" ca="1" si="218"/>
        <v>-29.258073327638339</v>
      </c>
      <c r="BZ262">
        <f t="shared" ca="1" si="219"/>
        <v>120.17052289586728</v>
      </c>
      <c r="CA262" s="6">
        <f t="shared" ca="1" si="220"/>
        <v>-0.96990810208787037</v>
      </c>
      <c r="CB262" s="6">
        <f t="shared" ca="1" si="221"/>
        <v>-0.24347129913873861</v>
      </c>
      <c r="CC262" s="6">
        <f t="shared" ca="1" si="222"/>
        <v>-2.8956494032209461</v>
      </c>
      <c r="CD262" s="6">
        <f t="shared" ca="1" si="214"/>
        <v>-5.6484726864628048</v>
      </c>
      <c r="CE262" s="9">
        <f t="shared" ca="1" si="215"/>
        <v>-39.161345118015802</v>
      </c>
      <c r="CF262" s="9">
        <f t="shared" ca="1" si="216"/>
        <v>-55.055746217912272</v>
      </c>
      <c r="CG262">
        <f t="shared" ca="1" si="223"/>
        <v>67.562905081586749</v>
      </c>
      <c r="CH262">
        <f t="shared" ca="1" si="224"/>
        <v>-0.57962790484994464</v>
      </c>
      <c r="CI262">
        <f t="shared" ca="1" si="225"/>
        <v>-0.81488127473839023</v>
      </c>
      <c r="CJ262">
        <f t="shared" ca="1" si="226"/>
        <v>-2.1890683182862674</v>
      </c>
      <c r="CK262" s="38">
        <f t="shared" ca="1" si="227"/>
        <v>-4.5452628084786122</v>
      </c>
    </row>
    <row r="263" spans="55:89" x14ac:dyDescent="0.25">
      <c r="BC263">
        <v>4.5553093477051734</v>
      </c>
      <c r="BD263">
        <v>34.22202182157065</v>
      </c>
      <c r="BE263">
        <v>-94.584303439046664</v>
      </c>
      <c r="BF263" s="6">
        <f t="shared" si="228"/>
        <v>5.0595504135492879</v>
      </c>
      <c r="BG263" s="6">
        <f t="shared" si="229"/>
        <v>0.50424106584411454</v>
      </c>
      <c r="BH263" s="6">
        <f t="shared" si="230"/>
        <v>-2.7033559233569431</v>
      </c>
      <c r="BI263" s="6">
        <f t="shared" si="231"/>
        <v>2.7033559233569431</v>
      </c>
      <c r="BV263" s="38"/>
      <c r="BW263" s="6">
        <f t="shared" si="213"/>
        <v>4.3284165449459131</v>
      </c>
      <c r="BX263" s="9">
        <f t="shared" ca="1" si="217"/>
        <v>-114.07623558124709</v>
      </c>
      <c r="BY263" s="9">
        <f t="shared" ca="1" si="218"/>
        <v>-30.982098702084304</v>
      </c>
      <c r="BZ263">
        <f t="shared" ca="1" si="219"/>
        <v>118.2086205163307</v>
      </c>
      <c r="CA263" s="6">
        <f t="shared" ca="1" si="220"/>
        <v>-0.96504159411527257</v>
      </c>
      <c r="CB263" s="6">
        <f t="shared" ca="1" si="221"/>
        <v>-0.26209677912453161</v>
      </c>
      <c r="CC263" s="6">
        <f t="shared" ca="1" si="222"/>
        <v>-2.8763983551989161</v>
      </c>
      <c r="CD263" s="6">
        <f t="shared" ca="1" si="214"/>
        <v>-5.6292216384407752</v>
      </c>
      <c r="CE263" s="9">
        <f t="shared" ca="1" si="215"/>
        <v>-36.683216910425287</v>
      </c>
      <c r="CF263" s="9">
        <f t="shared" ca="1" si="216"/>
        <v>-56.779771592358237</v>
      </c>
      <c r="CG263">
        <f t="shared" ca="1" si="223"/>
        <v>67.598822955563975</v>
      </c>
      <c r="CH263">
        <f t="shared" ca="1" si="224"/>
        <v>-0.54266058648001858</v>
      </c>
      <c r="CI263">
        <f t="shared" ca="1" si="225"/>
        <v>-0.83995207475257916</v>
      </c>
      <c r="CJ263">
        <f t="shared" ca="1" si="226"/>
        <v>-2.1443977525827083</v>
      </c>
      <c r="CK263" s="38">
        <f t="shared" ca="1" si="227"/>
        <v>-4.5005922427750527</v>
      </c>
    </row>
    <row r="264" spans="55:89" x14ac:dyDescent="0.25">
      <c r="BC264">
        <v>4.5727626402251165</v>
      </c>
      <c r="BD264">
        <v>42.68735143610504</v>
      </c>
      <c r="BE264">
        <v>-98.713307387847522</v>
      </c>
      <c r="BF264" s="6">
        <f t="shared" si="228"/>
        <v>5.1205424862651565</v>
      </c>
      <c r="BG264" s="6">
        <f t="shared" si="229"/>
        <v>0.54777984604004004</v>
      </c>
      <c r="BH264" s="6">
        <f t="shared" si="230"/>
        <v>-2.7643479960728117</v>
      </c>
      <c r="BI264" s="6">
        <f t="shared" si="231"/>
        <v>2.7643479960728117</v>
      </c>
      <c r="BV264" s="38"/>
      <c r="BW264" s="6">
        <f t="shared" si="213"/>
        <v>4.3458698374658562</v>
      </c>
      <c r="BX264" s="9">
        <f t="shared" ca="1" si="217"/>
        <v>-111.34147903309938</v>
      </c>
      <c r="BY264" s="9">
        <f t="shared" ca="1" si="218"/>
        <v>-32.813057896365365</v>
      </c>
      <c r="BZ264">
        <f t="shared" ca="1" si="219"/>
        <v>116.0759308460989</v>
      </c>
      <c r="CA264" s="6">
        <f t="shared" ca="1" si="220"/>
        <v>-0.95921245878892181</v>
      </c>
      <c r="CB264" s="6">
        <f t="shared" ca="1" si="221"/>
        <v>-0.28268614911967471</v>
      </c>
      <c r="CC264" s="6">
        <f t="shared" ca="1" si="222"/>
        <v>-2.8549993260318738</v>
      </c>
      <c r="CD264" s="6">
        <f t="shared" ca="1" si="214"/>
        <v>-5.6078226092737324</v>
      </c>
      <c r="CE264" s="9">
        <f t="shared" ca="1" si="215"/>
        <v>-33.948460362277572</v>
      </c>
      <c r="CF264" s="9">
        <f t="shared" ca="1" si="216"/>
        <v>-58.610730786639294</v>
      </c>
      <c r="CG264">
        <f t="shared" ca="1" si="223"/>
        <v>67.732678407937172</v>
      </c>
      <c r="CH264">
        <f t="shared" ca="1" si="224"/>
        <v>-0.5012124303990223</v>
      </c>
      <c r="CI264">
        <f t="shared" ca="1" si="225"/>
        <v>-0.86532427425416958</v>
      </c>
      <c r="CJ264">
        <f t="shared" ca="1" si="226"/>
        <v>-2.0957956631420869</v>
      </c>
      <c r="CK264" s="38">
        <f t="shared" ca="1" si="227"/>
        <v>-4.4519901533344317</v>
      </c>
    </row>
    <row r="265" spans="55:89" x14ac:dyDescent="0.25">
      <c r="BC265">
        <v>4.5902159327450596</v>
      </c>
      <c r="BD265">
        <v>51.900394938556346</v>
      </c>
      <c r="BE265">
        <v>-103.13596571265046</v>
      </c>
      <c r="BF265" s="6">
        <f t="shared" si="228"/>
        <v>5.1786117015375108</v>
      </c>
      <c r="BG265" s="6">
        <f t="shared" si="229"/>
        <v>0.58839576879245126</v>
      </c>
      <c r="BH265" s="6">
        <f t="shared" si="230"/>
        <v>-2.822417211345166</v>
      </c>
      <c r="BI265" s="6">
        <f t="shared" si="231"/>
        <v>2.822417211345166</v>
      </c>
      <c r="BV265" s="38"/>
      <c r="BW265" s="6">
        <f t="shared" si="213"/>
        <v>4.3633231299857993</v>
      </c>
      <c r="BX265" s="9">
        <f t="shared" ca="1" si="217"/>
        <v>-108.30881842573322</v>
      </c>
      <c r="BY265" s="9">
        <f t="shared" ca="1" si="218"/>
        <v>-34.764164788893325</v>
      </c>
      <c r="BZ265">
        <f t="shared" ca="1" si="219"/>
        <v>113.7512518711235</v>
      </c>
      <c r="CA265" s="6">
        <f t="shared" ca="1" si="220"/>
        <v>-0.95215495780603465</v>
      </c>
      <c r="CB265" s="6">
        <f t="shared" ca="1" si="221"/>
        <v>-0.30561566767001391</v>
      </c>
      <c r="CC265" s="6">
        <f t="shared" ca="1" si="222"/>
        <v>-2.831007686862415</v>
      </c>
      <c r="CD265" s="6">
        <f t="shared" ca="1" si="214"/>
        <v>-5.5838309701042732</v>
      </c>
      <c r="CE265" s="9">
        <f t="shared" ca="1" si="215"/>
        <v>-30.915799754911419</v>
      </c>
      <c r="CF265" s="9">
        <f t="shared" ca="1" si="216"/>
        <v>-60.561837679167255</v>
      </c>
      <c r="CG265">
        <f t="shared" ca="1" si="223"/>
        <v>67.996491509221144</v>
      </c>
      <c r="CH265">
        <f t="shared" ca="1" si="224"/>
        <v>-0.45466757282203102</v>
      </c>
      <c r="CI265">
        <f t="shared" ca="1" si="225"/>
        <v>-0.89066121405623322</v>
      </c>
      <c r="CJ265">
        <f t="shared" ca="1" si="226"/>
        <v>-2.0427952689598396</v>
      </c>
      <c r="CK265" s="38">
        <f t="shared" ca="1" si="227"/>
        <v>-4.3989897591521849</v>
      </c>
    </row>
    <row r="266" spans="55:89" x14ac:dyDescent="0.25">
      <c r="BC266">
        <v>4.6076692252650027</v>
      </c>
      <c r="BD266">
        <v>61.905656160437871</v>
      </c>
      <c r="BE266">
        <v>-107.86232911511505</v>
      </c>
      <c r="BF266" s="6">
        <f t="shared" si="228"/>
        <v>5.2334203562785113</v>
      </c>
      <c r="BG266" s="6">
        <f t="shared" si="229"/>
        <v>0.62575113101350865</v>
      </c>
      <c r="BH266" s="6">
        <f t="shared" si="230"/>
        <v>-2.8772258660861665</v>
      </c>
      <c r="BI266" s="6">
        <f t="shared" si="231"/>
        <v>2.8772258660861665</v>
      </c>
      <c r="BV266" s="38"/>
      <c r="BW266" s="6">
        <f t="shared" si="213"/>
        <v>4.3807764225057424</v>
      </c>
      <c r="BX266" s="9">
        <f t="shared" ca="1" si="217"/>
        <v>-104.92789162290541</v>
      </c>
      <c r="BY266" s="9">
        <f t="shared" ca="1" si="218"/>
        <v>-36.8509515699659</v>
      </c>
      <c r="BZ266">
        <f t="shared" ca="1" si="219"/>
        <v>111.21085860670331</v>
      </c>
      <c r="CA266" s="6">
        <f t="shared" ca="1" si="220"/>
        <v>-0.94350401514282356</v>
      </c>
      <c r="CB266" s="6">
        <f t="shared" ca="1" si="221"/>
        <v>-0.33136109217796006</v>
      </c>
      <c r="CC266" s="6">
        <f t="shared" ca="1" si="222"/>
        <v>-2.8038468503066958</v>
      </c>
      <c r="CD266" s="6">
        <f t="shared" ca="1" si="214"/>
        <v>-5.556670133548554</v>
      </c>
      <c r="CE266" s="9">
        <f t="shared" ca="1" si="215"/>
        <v>-27.534872952083603</v>
      </c>
      <c r="CF266" s="9">
        <f t="shared" ca="1" si="216"/>
        <v>-62.64862446023983</v>
      </c>
      <c r="CG266">
        <f t="shared" ca="1" si="223"/>
        <v>68.43259000832532</v>
      </c>
      <c r="CH266">
        <f t="shared" ca="1" si="224"/>
        <v>-0.4023649104722441</v>
      </c>
      <c r="CI266">
        <f t="shared" ca="1" si="225"/>
        <v>-0.91547937105139776</v>
      </c>
      <c r="CJ266">
        <f t="shared" ca="1" si="226"/>
        <v>-1.9848949591566634</v>
      </c>
      <c r="CK266" s="38">
        <f t="shared" ca="1" si="227"/>
        <v>-4.341089449349008</v>
      </c>
    </row>
    <row r="267" spans="55:89" x14ac:dyDescent="0.25">
      <c r="BC267">
        <v>4.6251225177849458</v>
      </c>
      <c r="BD267">
        <v>72.73337434885326</v>
      </c>
      <c r="BE267">
        <v>-112.89390779294375</v>
      </c>
      <c r="BF267" s="6">
        <f t="shared" si="228"/>
        <v>5.2847206238016655</v>
      </c>
      <c r="BG267" s="6">
        <f t="shared" si="229"/>
        <v>0.65959810601671975</v>
      </c>
      <c r="BH267" s="6">
        <f t="shared" si="230"/>
        <v>-2.9285261336093207</v>
      </c>
      <c r="BI267" s="6">
        <f t="shared" si="231"/>
        <v>2.9285261336093207</v>
      </c>
      <c r="BV267" s="38"/>
      <c r="BW267" s="6">
        <f t="shared" si="213"/>
        <v>4.3982297150256855</v>
      </c>
      <c r="BX267" s="9">
        <f t="shared" ca="1" si="217"/>
        <v>-101.13664189443674</v>
      </c>
      <c r="BY267" s="9">
        <f t="shared" ca="1" si="218"/>
        <v>-39.091825332385682</v>
      </c>
      <c r="BZ267">
        <f t="shared" ca="1" si="219"/>
        <v>108.42873761831449</v>
      </c>
      <c r="CA267" s="6">
        <f t="shared" ca="1" si="220"/>
        <v>-0.93274757334585023</v>
      </c>
      <c r="CB267" s="6">
        <f t="shared" ca="1" si="221"/>
        <v>-0.36053011582588745</v>
      </c>
      <c r="CC267" s="6">
        <f t="shared" ca="1" si="222"/>
        <v>-2.7727564846032724</v>
      </c>
      <c r="CD267" s="6">
        <f t="shared" ca="1" si="214"/>
        <v>-5.5255797678451311</v>
      </c>
      <c r="CE267" s="9">
        <f t="shared" ca="1" si="215"/>
        <v>-23.743623223614932</v>
      </c>
      <c r="CF267" s="9">
        <f t="shared" ca="1" si="216"/>
        <v>-64.889498222659611</v>
      </c>
      <c r="CG267">
        <f t="shared" ca="1" si="223"/>
        <v>69.09708114944894</v>
      </c>
      <c r="CH267">
        <f t="shared" ca="1" si="224"/>
        <v>-0.34362700751802006</v>
      </c>
      <c r="CI267">
        <f t="shared" ca="1" si="225"/>
        <v>-0.93910621321776511</v>
      </c>
      <c r="CJ267">
        <f t="shared" ca="1" si="226"/>
        <v>-1.9215726996525562</v>
      </c>
      <c r="CK267" s="38">
        <f t="shared" ca="1" si="227"/>
        <v>-4.2777671898449015</v>
      </c>
    </row>
    <row r="268" spans="55:89" x14ac:dyDescent="0.25">
      <c r="BC268">
        <v>4.6425758103048889</v>
      </c>
      <c r="BD268">
        <v>84.393020319689512</v>
      </c>
      <c r="BE268">
        <v>-118.22159456219482</v>
      </c>
      <c r="BF268" s="6">
        <f t="shared" si="228"/>
        <v>5.3323528914023335</v>
      </c>
      <c r="BG268" s="6">
        <f t="shared" si="229"/>
        <v>0.68977708109744462</v>
      </c>
      <c r="BH268" s="6">
        <f t="shared" si="230"/>
        <v>-2.9761584012099886</v>
      </c>
      <c r="BI268" s="6">
        <f t="shared" si="231"/>
        <v>2.9761584012099886</v>
      </c>
      <c r="BV268" s="38"/>
      <c r="BW268" s="6">
        <f t="shared" si="213"/>
        <v>4.4156830075456286</v>
      </c>
      <c r="BX268" s="9">
        <f t="shared" ca="1" si="217"/>
        <v>-96.857765941255934</v>
      </c>
      <c r="BY268" s="9">
        <f t="shared" ca="1" si="218"/>
        <v>-41.508797468756967</v>
      </c>
      <c r="BZ268">
        <f t="shared" ca="1" si="219"/>
        <v>105.37745057854362</v>
      </c>
      <c r="CA268" s="6">
        <f t="shared" ca="1" si="220"/>
        <v>-0.91915078045148291</v>
      </c>
      <c r="CB268" s="6">
        <f t="shared" ca="1" si="221"/>
        <v>-0.39390588063067794</v>
      </c>
      <c r="CC268" s="6">
        <f t="shared" ca="1" si="222"/>
        <v>-2.7367154655520789</v>
      </c>
      <c r="CD268" s="6">
        <f t="shared" ca="1" si="214"/>
        <v>-5.4895387487939376</v>
      </c>
      <c r="CE268" s="9">
        <f t="shared" ca="1" si="215"/>
        <v>-19.464747270434131</v>
      </c>
      <c r="CF268" s="9">
        <f t="shared" ca="1" si="216"/>
        <v>-67.306470359030897</v>
      </c>
      <c r="CG268">
        <f t="shared" ca="1" si="223"/>
        <v>70.064522680833122</v>
      </c>
      <c r="CH268">
        <f t="shared" ca="1" si="224"/>
        <v>-0.27781174445592727</v>
      </c>
      <c r="CI268">
        <f t="shared" ca="1" si="225"/>
        <v>-0.96063553684129044</v>
      </c>
      <c r="CJ268">
        <f t="shared" ca="1" si="226"/>
        <v>-1.8523117583933968</v>
      </c>
      <c r="CK268" s="38">
        <f t="shared" ca="1" si="227"/>
        <v>-4.2085062485857421</v>
      </c>
    </row>
    <row r="269" spans="55:89" x14ac:dyDescent="0.25">
      <c r="BC269">
        <v>4.660029102824832</v>
      </c>
      <c r="BD269">
        <v>94.959054917290132</v>
      </c>
      <c r="BE269">
        <v>-123.44666943690881</v>
      </c>
      <c r="BF269" s="6">
        <f t="shared" si="228"/>
        <v>5.3680850057637066</v>
      </c>
      <c r="BG269" s="6">
        <f t="shared" si="229"/>
        <v>0.70805590293887466</v>
      </c>
      <c r="BH269" s="6">
        <f t="shared" si="230"/>
        <v>-3.0118905155713618</v>
      </c>
      <c r="BI269" s="6">
        <f t="shared" si="231"/>
        <v>3.0118905155713618</v>
      </c>
      <c r="BV269" s="38"/>
      <c r="BW269" s="6">
        <f t="shared" si="213"/>
        <v>4.4331363000655717</v>
      </c>
      <c r="BX269" s="9">
        <f t="shared" ca="1" si="217"/>
        <v>-92.013462559465481</v>
      </c>
      <c r="BY269" s="9">
        <f t="shared" ca="1" si="218"/>
        <v>-44.121983373013308</v>
      </c>
      <c r="BZ269">
        <f t="shared" ca="1" si="219"/>
        <v>102.04521894214652</v>
      </c>
      <c r="CA269" s="6">
        <f t="shared" ca="1" si="220"/>
        <v>-0.90169302896622294</v>
      </c>
      <c r="CB269" s="6">
        <f t="shared" ca="1" si="221"/>
        <v>-0.43237678188556594</v>
      </c>
      <c r="CC269" s="6">
        <f t="shared" ca="1" si="222"/>
        <v>-2.6944656271172671</v>
      </c>
      <c r="CD269" s="6">
        <f t="shared" ca="1" si="214"/>
        <v>-5.4472889103591253</v>
      </c>
      <c r="CE269" s="9">
        <f t="shared" ca="1" si="215"/>
        <v>-14.620443888643678</v>
      </c>
      <c r="CF269" s="9">
        <f t="shared" ca="1" si="216"/>
        <v>-69.919656263287237</v>
      </c>
      <c r="CG269">
        <f t="shared" ca="1" si="223"/>
        <v>71.431895617274648</v>
      </c>
      <c r="CH269">
        <f t="shared" ca="1" si="224"/>
        <v>-0.20467668906588501</v>
      </c>
      <c r="CI269">
        <f t="shared" ca="1" si="225"/>
        <v>-0.97882963428424397</v>
      </c>
      <c r="CJ269">
        <f t="shared" ca="1" si="226"/>
        <v>-1.7769297190607136</v>
      </c>
      <c r="CK269" s="38">
        <f t="shared" ca="1" si="227"/>
        <v>-4.133124209253058</v>
      </c>
    </row>
    <row r="270" spans="55:89" x14ac:dyDescent="0.25">
      <c r="BC270">
        <v>4.6774823953447751</v>
      </c>
      <c r="BD270">
        <v>105.65677748540119</v>
      </c>
      <c r="BE270">
        <v>-129.12326117758946</v>
      </c>
      <c r="BF270" s="6">
        <f t="shared" si="228"/>
        <v>5.3981670736510887</v>
      </c>
      <c r="BG270" s="6">
        <f t="shared" si="229"/>
        <v>0.72068467830631366</v>
      </c>
      <c r="BH270" s="6">
        <f t="shared" si="230"/>
        <v>-3.0419725834587439</v>
      </c>
      <c r="BI270" s="6">
        <f t="shared" si="231"/>
        <v>3.0419725834587439</v>
      </c>
      <c r="BV270" s="38"/>
      <c r="BW270" s="6">
        <f t="shared" si="213"/>
        <v>4.4505895925855148</v>
      </c>
      <c r="BX270" s="9">
        <f t="shared" ca="1" si="217"/>
        <v>-86.610982446049519</v>
      </c>
      <c r="BY270" s="9">
        <f t="shared" ca="1" si="218"/>
        <v>-46.921913055290915</v>
      </c>
      <c r="BZ270">
        <f t="shared" ca="1" si="219"/>
        <v>98.504457792722135</v>
      </c>
      <c r="CA270" s="6">
        <f t="shared" ca="1" si="220"/>
        <v>-0.87925952171931709</v>
      </c>
      <c r="CB270" s="6">
        <f t="shared" ca="1" si="221"/>
        <v>-0.47634304179437525</v>
      </c>
      <c r="CC270" s="6">
        <f t="shared" ca="1" si="222"/>
        <v>-2.6451017836082862</v>
      </c>
      <c r="CD270" s="6">
        <f t="shared" ca="1" si="214"/>
        <v>-5.3979250668501448</v>
      </c>
      <c r="CE270" s="9">
        <f t="shared" ca="1" si="215"/>
        <v>-9.2179637752277159</v>
      </c>
      <c r="CF270" s="9">
        <f t="shared" ca="1" si="216"/>
        <v>-72.719585945564845</v>
      </c>
      <c r="CG270">
        <f t="shared" ca="1" si="223"/>
        <v>73.301494092929659</v>
      </c>
      <c r="CH270">
        <f t="shared" ca="1" si="224"/>
        <v>-0.12575410486915081</v>
      </c>
      <c r="CI270">
        <f t="shared" ca="1" si="225"/>
        <v>-0.99206144220434189</v>
      </c>
      <c r="CJ270">
        <f t="shared" ca="1" si="226"/>
        <v>-1.6968842606966026</v>
      </c>
      <c r="CK270" s="38">
        <f t="shared" ca="1" si="227"/>
        <v>-4.0530787508889476</v>
      </c>
    </row>
    <row r="271" spans="55:89" x14ac:dyDescent="0.25">
      <c r="BC271">
        <v>4.6949356878647182</v>
      </c>
      <c r="BD271">
        <v>117.93956302593406</v>
      </c>
      <c r="BE271">
        <v>-135.69130096075983</v>
      </c>
      <c r="BF271" s="6">
        <f t="shared" si="228"/>
        <v>5.4279106470367022</v>
      </c>
      <c r="BG271" s="6">
        <f t="shared" si="229"/>
        <v>0.73297495917198408</v>
      </c>
      <c r="BH271" s="6">
        <f t="shared" si="230"/>
        <v>-3.0717161568443574</v>
      </c>
      <c r="BI271" s="6">
        <f t="shared" si="231"/>
        <v>3.0717161568443574</v>
      </c>
      <c r="BV271" s="38"/>
      <c r="BW271" s="6">
        <f t="shared" ref="BW271:BW334" si="232">BC258</f>
        <v>4.4680428851054579</v>
      </c>
      <c r="BX271" s="9">
        <f t="shared" ca="1" si="217"/>
        <v>-80.682498472196812</v>
      </c>
      <c r="BY271" s="9">
        <f t="shared" ca="1" si="218"/>
        <v>-49.891368616799895</v>
      </c>
      <c r="BZ271">
        <f t="shared" ca="1" si="219"/>
        <v>94.862080001302132</v>
      </c>
      <c r="CA271" s="6">
        <f t="shared" ca="1" si="220"/>
        <v>-0.85052423972876534</v>
      </c>
      <c r="CB271" s="6">
        <f t="shared" ca="1" si="221"/>
        <v>-0.5259358493521864</v>
      </c>
      <c r="CC271" s="6">
        <f t="shared" ca="1" si="222"/>
        <v>-2.587777593734554</v>
      </c>
      <c r="CD271" s="6">
        <f t="shared" ref="CD271:CD334" ca="1" si="233">CC271-$BZ$11</f>
        <v>-5.3406008769764126</v>
      </c>
      <c r="CE271" s="9">
        <f t="shared" ref="CE271:CE334" ca="1" si="234">BX271+$BW$5</f>
        <v>-3.2894798013750091</v>
      </c>
      <c r="CF271" s="9">
        <f t="shared" ref="CF271:CF334" ca="1" si="235">BY271+$BX$5</f>
        <v>-75.689041507073824</v>
      </c>
      <c r="CG271">
        <f t="shared" ca="1" si="223"/>
        <v>75.760488921489923</v>
      </c>
      <c r="CH271">
        <f t="shared" ca="1" si="224"/>
        <v>-4.3419463736353053E-2</v>
      </c>
      <c r="CI271">
        <f t="shared" ca="1" si="225"/>
        <v>-0.99905693039428323</v>
      </c>
      <c r="CJ271">
        <f t="shared" ca="1" si="226"/>
        <v>-1.6142294448743688</v>
      </c>
      <c r="CK271" s="38">
        <f t="shared" ca="1" si="227"/>
        <v>-3.9704239350667136</v>
      </c>
    </row>
    <row r="272" spans="55:89" x14ac:dyDescent="0.25">
      <c r="BC272">
        <v>4.7123889803846613</v>
      </c>
      <c r="BD272">
        <v>127.9799999999895</v>
      </c>
      <c r="BE272">
        <v>-139.46731215160395</v>
      </c>
      <c r="BF272" s="6">
        <f t="shared" si="228"/>
        <v>5.4548618447506536</v>
      </c>
      <c r="BG272" s="6">
        <f t="shared" si="229"/>
        <v>0.74247286436599236</v>
      </c>
      <c r="BH272" s="6">
        <f t="shared" si="230"/>
        <v>-3.0986673545583088</v>
      </c>
      <c r="BI272" s="6">
        <f t="shared" si="231"/>
        <v>3.0986673545583088</v>
      </c>
      <c r="BV272" s="38"/>
      <c r="BW272" s="6">
        <f t="shared" si="232"/>
        <v>4.485496177625401</v>
      </c>
      <c r="BX272" s="9">
        <f t="shared" ref="BX272:BX335" ca="1" si="236">BD259-$BW$5</f>
        <v>-74.254401740515021</v>
      </c>
      <c r="BY272" s="9">
        <f t="shared" ref="BY272:BY335" ca="1" si="237">BE259-$BX$5</f>
        <v>-53.015507891433842</v>
      </c>
      <c r="BZ272">
        <f t="shared" ref="BZ272:BZ335" ca="1" si="238">SQRT(POWER(BX272,2)+POWER(BY272,2))</f>
        <v>91.237932105174778</v>
      </c>
      <c r="CA272" s="6">
        <f t="shared" ref="CA272:CA335" ca="1" si="239">BX272/BZ272</f>
        <v>-0.81385450138126825</v>
      </c>
      <c r="CB272" s="6">
        <f t="shared" ref="CB272:CB335" ca="1" si="240">BY272/BZ272</f>
        <v>-0.58106871416506978</v>
      </c>
      <c r="CC272" s="6">
        <f t="shared" ref="CC272:CC335" ca="1" si="241">ATAN2(CA272,CB272)</f>
        <v>-2.5215514261543048</v>
      </c>
      <c r="CD272" s="6">
        <f t="shared" ca="1" si="233"/>
        <v>-5.274374709396163</v>
      </c>
      <c r="CE272" s="9">
        <f t="shared" ca="1" si="234"/>
        <v>3.1386169303067817</v>
      </c>
      <c r="CF272" s="9">
        <f t="shared" ca="1" si="235"/>
        <v>-78.813180781707771</v>
      </c>
      <c r="CG272">
        <f t="shared" ref="CG272:CG335" ca="1" si="242">SQRT(POWER(CE272,2)+POWER(CF272,2))</f>
        <v>78.875651383461545</v>
      </c>
      <c r="CH272">
        <f t="shared" ref="CH272:CH335" ca="1" si="243">CE272/CG272</f>
        <v>3.9791962098012917E-2</v>
      </c>
      <c r="CI272">
        <f t="shared" ref="CI272:CI335" ca="1" si="244">CF272/CG272</f>
        <v>-0.99920798623329188</v>
      </c>
      <c r="CJ272">
        <f t="shared" ref="CJ272:CJ335" ca="1" si="245">ATAN2(CH272,CI272)</f>
        <v>-1.530993856107034</v>
      </c>
      <c r="CK272" s="38">
        <f t="shared" ref="CK272:CK335" ca="1" si="246">CJ272-$U$13</f>
        <v>-3.8871883462993786</v>
      </c>
    </row>
    <row r="273" spans="55:89" x14ac:dyDescent="0.25">
      <c r="BC273">
        <v>4.7298422729046044</v>
      </c>
      <c r="BD273">
        <v>134.26612309568009</v>
      </c>
      <c r="BE273">
        <v>-139.09280196207374</v>
      </c>
      <c r="BF273" s="6">
        <f t="shared" si="228"/>
        <v>5.4801320503576978</v>
      </c>
      <c r="BG273" s="6">
        <f t="shared" si="229"/>
        <v>0.75028977745309344</v>
      </c>
      <c r="BH273" s="6">
        <f t="shared" si="230"/>
        <v>-3.123937560165353</v>
      </c>
      <c r="BI273" s="6">
        <f t="shared" si="231"/>
        <v>3.123937560165353</v>
      </c>
      <c r="BV273" s="38"/>
      <c r="BW273" s="6">
        <f t="shared" si="232"/>
        <v>4.5029494701453441</v>
      </c>
      <c r="BX273" s="9">
        <f t="shared" ca="1" si="236"/>
        <v>-67.349617701989132</v>
      </c>
      <c r="BY273" s="9">
        <f t="shared" ca="1" si="237"/>
        <v>-56.280704688450669</v>
      </c>
      <c r="BZ273">
        <f t="shared" ca="1" si="238"/>
        <v>87.769520477399681</v>
      </c>
      <c r="CA273" s="6">
        <f t="shared" ca="1" si="239"/>
        <v>-0.76734631037811585</v>
      </c>
      <c r="CB273" s="6">
        <f t="shared" ca="1" si="240"/>
        <v>-0.64123290616521866</v>
      </c>
      <c r="CC273" s="6">
        <f t="shared" ca="1" si="241"/>
        <v>-2.4454887503186011</v>
      </c>
      <c r="CD273" s="6">
        <f t="shared" ca="1" si="233"/>
        <v>-5.1983120335604598</v>
      </c>
      <c r="CE273" s="9">
        <f t="shared" ca="1" si="234"/>
        <v>10.043400968832671</v>
      </c>
      <c r="CF273" s="9">
        <f t="shared" ca="1" si="235"/>
        <v>-82.078377578724599</v>
      </c>
      <c r="CG273">
        <f t="shared" ca="1" si="242"/>
        <v>82.69056759374935</v>
      </c>
      <c r="CH273">
        <f t="shared" ca="1" si="243"/>
        <v>0.12145763732297636</v>
      </c>
      <c r="CI273">
        <f t="shared" ca="1" si="244"/>
        <v>-0.99259661612153416</v>
      </c>
      <c r="CJ273">
        <f t="shared" ca="1" si="245"/>
        <v>-1.4490380665277225</v>
      </c>
      <c r="CK273" s="38">
        <f t="shared" ca="1" si="246"/>
        <v>-3.8052325567200675</v>
      </c>
    </row>
    <row r="274" spans="55:89" x14ac:dyDescent="0.25">
      <c r="BC274">
        <v>4.7472955654245474</v>
      </c>
      <c r="BD274">
        <v>136.60013776694521</v>
      </c>
      <c r="BE274">
        <v>-135.30903140522142</v>
      </c>
      <c r="BF274" s="6">
        <f t="shared" si="228"/>
        <v>5.5025354082946532</v>
      </c>
      <c r="BG274" s="6">
        <f t="shared" si="229"/>
        <v>0.7552398428701057</v>
      </c>
      <c r="BH274" s="6">
        <f t="shared" si="230"/>
        <v>3.1368443890772779</v>
      </c>
      <c r="BI274" s="6">
        <f t="shared" si="231"/>
        <v>3.1368443890772779</v>
      </c>
      <c r="BV274" s="38"/>
      <c r="BW274" s="6">
        <f t="shared" si="232"/>
        <v>4.5204027626652872</v>
      </c>
      <c r="BX274" s="9">
        <f t="shared" ca="1" si="236"/>
        <v>-59.59041276781511</v>
      </c>
      <c r="BY274" s="9">
        <f t="shared" ca="1" si="237"/>
        <v>-60.364595836280046</v>
      </c>
      <c r="BZ274">
        <f t="shared" ca="1" si="238"/>
        <v>84.822766544814016</v>
      </c>
      <c r="CA274" s="6">
        <f t="shared" ca="1" si="239"/>
        <v>-0.70252852147108391</v>
      </c>
      <c r="CB274" s="6">
        <f t="shared" ca="1" si="240"/>
        <v>-0.71165558841314025</v>
      </c>
      <c r="CC274" s="6">
        <f t="shared" ca="1" si="241"/>
        <v>-2.3497406344624272</v>
      </c>
      <c r="CD274" s="6">
        <f t="shared" ca="1" si="233"/>
        <v>-5.1025639177042859</v>
      </c>
      <c r="CE274" s="9">
        <f t="shared" ca="1" si="234"/>
        <v>17.802605903006693</v>
      </c>
      <c r="CF274" s="9">
        <f t="shared" ca="1" si="235"/>
        <v>-86.162268726553975</v>
      </c>
      <c r="CG274">
        <f t="shared" ca="1" si="242"/>
        <v>87.982210298699982</v>
      </c>
      <c r="CH274">
        <f t="shared" ca="1" si="243"/>
        <v>0.20234324464646625</v>
      </c>
      <c r="CI274">
        <f t="shared" ca="1" si="244"/>
        <v>-0.97931466411258261</v>
      </c>
      <c r="CJ274">
        <f t="shared" ca="1" si="245"/>
        <v>-1.3670462556324217</v>
      </c>
      <c r="CK274" s="38">
        <f t="shared" ca="1" si="246"/>
        <v>-3.7232407458247665</v>
      </c>
    </row>
    <row r="275" spans="55:89" x14ac:dyDescent="0.25">
      <c r="BC275">
        <v>4.7647488579444905</v>
      </c>
      <c r="BD275">
        <v>139.23747025517244</v>
      </c>
      <c r="BE275">
        <v>-131.9476121519692</v>
      </c>
      <c r="BF275" s="6">
        <f t="shared" si="228"/>
        <v>5.524662158000595</v>
      </c>
      <c r="BG275" s="6">
        <f t="shared" si="229"/>
        <v>0.75991330005610447</v>
      </c>
      <c r="BH275" s="6">
        <f t="shared" si="230"/>
        <v>3.1147176393713361</v>
      </c>
      <c r="BI275" s="6">
        <f t="shared" si="231"/>
        <v>3.1147176393713361</v>
      </c>
      <c r="BV275" s="38"/>
      <c r="BW275" s="6">
        <f t="shared" si="232"/>
        <v>4.5378560551852303</v>
      </c>
      <c r="BX275" s="9">
        <f t="shared" ca="1" si="236"/>
        <v>-51.392831671365855</v>
      </c>
      <c r="BY275" s="9">
        <f t="shared" ca="1" si="237"/>
        <v>-64.649686512448326</v>
      </c>
      <c r="BZ275">
        <f t="shared" ca="1" si="238"/>
        <v>82.588165697993247</v>
      </c>
      <c r="CA275" s="6">
        <f t="shared" ca="1" si="239"/>
        <v>-0.62227840074930507</v>
      </c>
      <c r="CB275" s="6">
        <f t="shared" ca="1" si="240"/>
        <v>-0.78279600916259606</v>
      </c>
      <c r="CC275" s="6">
        <f t="shared" ca="1" si="241"/>
        <v>-2.24244626786238</v>
      </c>
      <c r="CD275" s="6">
        <f t="shared" ca="1" si="233"/>
        <v>-4.9952695511042382</v>
      </c>
      <c r="CE275" s="9">
        <f t="shared" ca="1" si="234"/>
        <v>26.000186999455948</v>
      </c>
      <c r="CF275" s="9">
        <f t="shared" ca="1" si="235"/>
        <v>-90.447359402722256</v>
      </c>
      <c r="CG275">
        <f t="shared" ca="1" si="242"/>
        <v>94.110225517378751</v>
      </c>
      <c r="CH275">
        <f t="shared" ca="1" si="243"/>
        <v>0.27627377212750015</v>
      </c>
      <c r="CI275">
        <f t="shared" ca="1" si="244"/>
        <v>-0.96107897845829626</v>
      </c>
      <c r="CJ275">
        <f t="shared" ca="1" si="245"/>
        <v>-1.2908815200424133</v>
      </c>
      <c r="CK275" s="38">
        <f t="shared" ca="1" si="246"/>
        <v>-3.6470760102347581</v>
      </c>
    </row>
    <row r="276" spans="55:89" x14ac:dyDescent="0.25">
      <c r="BC276">
        <v>4.7822021504644336</v>
      </c>
      <c r="BD276">
        <v>142.11202004996915</v>
      </c>
      <c r="BE276">
        <v>-128.89512562760348</v>
      </c>
      <c r="BF276" s="6">
        <f t="shared" si="228"/>
        <v>5.5465180754456505</v>
      </c>
      <c r="BG276" s="6">
        <f t="shared" si="229"/>
        <v>0.76431592498121681</v>
      </c>
      <c r="BH276" s="6">
        <f t="shared" si="230"/>
        <v>3.0928617219262806</v>
      </c>
      <c r="BI276" s="6">
        <f t="shared" si="231"/>
        <v>3.0928617219262806</v>
      </c>
      <c r="BV276" s="38"/>
      <c r="BW276" s="6">
        <f t="shared" si="232"/>
        <v>4.5553093477051734</v>
      </c>
      <c r="BX276" s="9">
        <f t="shared" ca="1" si="236"/>
        <v>-43.170996849251154</v>
      </c>
      <c r="BY276" s="9">
        <f t="shared" ca="1" si="237"/>
        <v>-68.786630548772735</v>
      </c>
      <c r="BZ276">
        <f t="shared" ca="1" si="238"/>
        <v>81.211671028315919</v>
      </c>
      <c r="CA276" s="6">
        <f t="shared" ca="1" si="239"/>
        <v>-0.53158611690429081</v>
      </c>
      <c r="CB276" s="6">
        <f t="shared" ca="1" si="240"/>
        <v>-0.8470042504702191</v>
      </c>
      <c r="CC276" s="6">
        <f t="shared" ca="1" si="241"/>
        <v>-2.131268413873264</v>
      </c>
      <c r="CD276" s="6">
        <f t="shared" ca="1" si="233"/>
        <v>-4.8840916971151227</v>
      </c>
      <c r="CE276" s="9">
        <f t="shared" ca="1" si="234"/>
        <v>34.22202182157065</v>
      </c>
      <c r="CF276" s="9">
        <f t="shared" ca="1" si="235"/>
        <v>-94.584303439046664</v>
      </c>
      <c r="CG276">
        <f t="shared" ca="1" si="242"/>
        <v>100.58497519314558</v>
      </c>
      <c r="CH276">
        <f t="shared" ca="1" si="243"/>
        <v>0.34022995736546874</v>
      </c>
      <c r="CI276">
        <f t="shared" ca="1" si="244"/>
        <v>-0.94034226540717147</v>
      </c>
      <c r="CJ276">
        <f t="shared" ca="1" si="245"/>
        <v>-1.2236348936302985</v>
      </c>
      <c r="CK276" s="38">
        <f t="shared" ca="1" si="246"/>
        <v>-3.5798293838226432</v>
      </c>
    </row>
    <row r="277" spans="55:89" x14ac:dyDescent="0.25">
      <c r="BC277">
        <v>4.7996554429843767</v>
      </c>
      <c r="BD277">
        <v>145.16734920044371</v>
      </c>
      <c r="BE277">
        <v>-126.08020111609886</v>
      </c>
      <c r="BF277" s="6">
        <f t="shared" si="228"/>
        <v>5.5680393433067676</v>
      </c>
      <c r="BG277" s="6">
        <f t="shared" si="229"/>
        <v>0.7683839003223909</v>
      </c>
      <c r="BH277" s="6">
        <f t="shared" si="230"/>
        <v>3.0713404540651634</v>
      </c>
      <c r="BI277" s="6">
        <f t="shared" si="231"/>
        <v>3.0713404540651634</v>
      </c>
      <c r="BV277" s="38"/>
      <c r="BW277" s="6">
        <f t="shared" si="232"/>
        <v>4.5727626402251165</v>
      </c>
      <c r="BX277" s="9">
        <f t="shared" ca="1" si="236"/>
        <v>-34.705667234716763</v>
      </c>
      <c r="BY277" s="9">
        <f t="shared" ca="1" si="237"/>
        <v>-72.915634497573592</v>
      </c>
      <c r="BZ277">
        <f t="shared" ca="1" si="238"/>
        <v>80.753780669332357</v>
      </c>
      <c r="CA277" s="6">
        <f t="shared" ca="1" si="239"/>
        <v>-0.42977142304740218</v>
      </c>
      <c r="CB277" s="6">
        <f t="shared" ca="1" si="240"/>
        <v>-0.90293771874466011</v>
      </c>
      <c r="CC277" s="6">
        <f t="shared" ca="1" si="241"/>
        <v>-2.0150359403921159</v>
      </c>
      <c r="CD277" s="6">
        <f t="shared" ca="1" si="233"/>
        <v>-4.767859223633975</v>
      </c>
      <c r="CE277" s="9">
        <f t="shared" ca="1" si="234"/>
        <v>42.68735143610504</v>
      </c>
      <c r="CF277" s="9">
        <f t="shared" ca="1" si="235"/>
        <v>-98.713307387847522</v>
      </c>
      <c r="CG277">
        <f t="shared" ca="1" si="242"/>
        <v>107.54778950809362</v>
      </c>
      <c r="CH277">
        <f t="shared" ca="1" si="243"/>
        <v>0.39691519120337254</v>
      </c>
      <c r="CI277">
        <f t="shared" ca="1" si="244"/>
        <v>-0.91785528869859989</v>
      </c>
      <c r="CJ277">
        <f t="shared" ca="1" si="245"/>
        <v>-1.1626428209144295</v>
      </c>
      <c r="CK277" s="38">
        <f t="shared" ca="1" si="246"/>
        <v>-3.5188373111067746</v>
      </c>
    </row>
    <row r="278" spans="55:89" x14ac:dyDescent="0.25">
      <c r="BC278">
        <v>4.8171087355043198</v>
      </c>
      <c r="BD278">
        <v>148.34915273320269</v>
      </c>
      <c r="BE278">
        <v>-123.46517151889111</v>
      </c>
      <c r="BF278" s="6">
        <f t="shared" si="228"/>
        <v>5.5890803872703092</v>
      </c>
      <c r="BG278" s="6">
        <f t="shared" si="229"/>
        <v>0.77197165176598936</v>
      </c>
      <c r="BH278" s="6">
        <f t="shared" si="230"/>
        <v>3.0502994101016219</v>
      </c>
      <c r="BI278" s="6">
        <f t="shared" si="231"/>
        <v>3.0502994101016219</v>
      </c>
      <c r="BV278" s="38"/>
      <c r="BW278" s="6">
        <f t="shared" si="232"/>
        <v>4.5902159327450596</v>
      </c>
      <c r="BX278" s="9">
        <f t="shared" ca="1" si="236"/>
        <v>-25.492623732265457</v>
      </c>
      <c r="BY278" s="9">
        <f t="shared" ca="1" si="237"/>
        <v>-77.33829282237653</v>
      </c>
      <c r="BZ278">
        <f t="shared" ca="1" si="238"/>
        <v>81.431476723896651</v>
      </c>
      <c r="CA278" s="6">
        <f t="shared" ca="1" si="239"/>
        <v>-0.31305613944226146</v>
      </c>
      <c r="CB278" s="6">
        <f t="shared" ca="1" si="240"/>
        <v>-0.9497346227012613</v>
      </c>
      <c r="CC278" s="6">
        <f t="shared" ca="1" si="241"/>
        <v>-1.8892055477695329</v>
      </c>
      <c r="CD278" s="6">
        <f t="shared" ca="1" si="233"/>
        <v>-4.6420288310113911</v>
      </c>
      <c r="CE278" s="9">
        <f t="shared" ca="1" si="234"/>
        <v>51.900394938556346</v>
      </c>
      <c r="CF278" s="9">
        <f t="shared" ca="1" si="235"/>
        <v>-103.13596571265046</v>
      </c>
      <c r="CG278">
        <f t="shared" ca="1" si="242"/>
        <v>115.45855714609955</v>
      </c>
      <c r="CH278">
        <f t="shared" ca="1" si="243"/>
        <v>0.44951536050188429</v>
      </c>
      <c r="CI278">
        <f t="shared" ca="1" si="244"/>
        <v>-0.89327260154605725</v>
      </c>
      <c r="CJ278">
        <f t="shared" ca="1" si="245"/>
        <v>-1.104573605642075</v>
      </c>
      <c r="CK278" s="38">
        <f t="shared" ca="1" si="246"/>
        <v>-3.4607680958344198</v>
      </c>
    </row>
    <row r="279" spans="55:89" x14ac:dyDescent="0.25">
      <c r="BC279">
        <v>4.8345620280242629</v>
      </c>
      <c r="BD279">
        <v>151.61577659568411</v>
      </c>
      <c r="BE279">
        <v>-121.02267634881628</v>
      </c>
      <c r="BF279" s="6">
        <f t="shared" si="228"/>
        <v>5.6095309509746381</v>
      </c>
      <c r="BG279" s="6">
        <f t="shared" si="229"/>
        <v>0.77496892295037512</v>
      </c>
      <c r="BH279" s="6">
        <f t="shared" si="230"/>
        <v>3.029848846397293</v>
      </c>
      <c r="BI279" s="6">
        <f t="shared" si="231"/>
        <v>3.029848846397293</v>
      </c>
      <c r="BV279" s="38"/>
      <c r="BW279" s="6">
        <f t="shared" si="232"/>
        <v>4.6076692252650027</v>
      </c>
      <c r="BX279" s="9">
        <f t="shared" ca="1" si="236"/>
        <v>-15.487362510383932</v>
      </c>
      <c r="BY279" s="9">
        <f t="shared" ca="1" si="237"/>
        <v>-82.064656224841116</v>
      </c>
      <c r="BZ279">
        <f t="shared" ca="1" si="238"/>
        <v>83.513269597288541</v>
      </c>
      <c r="CA279" s="6">
        <f t="shared" ca="1" si="239"/>
        <v>-0.18544792444441388</v>
      </c>
      <c r="CB279" s="6">
        <f t="shared" ca="1" si="240"/>
        <v>-0.9826540934221254</v>
      </c>
      <c r="CC279" s="6">
        <f t="shared" ca="1" si="241"/>
        <v>-1.7573240007875184</v>
      </c>
      <c r="CD279" s="6">
        <f t="shared" ca="1" si="233"/>
        <v>-4.5101472840293768</v>
      </c>
      <c r="CE279" s="9">
        <f t="shared" ca="1" si="234"/>
        <v>61.905656160437871</v>
      </c>
      <c r="CF279" s="9">
        <f t="shared" ca="1" si="235"/>
        <v>-107.86232911511505</v>
      </c>
      <c r="CG279">
        <f t="shared" ca="1" si="242"/>
        <v>124.36475508274744</v>
      </c>
      <c r="CH279">
        <f t="shared" ca="1" si="243"/>
        <v>0.49777492119248956</v>
      </c>
      <c r="CI279">
        <f t="shared" ca="1" si="244"/>
        <v>-0.86730624800690259</v>
      </c>
      <c r="CJ279">
        <f t="shared" ca="1" si="245"/>
        <v>-1.0497649509010754</v>
      </c>
      <c r="CK279" s="38">
        <f t="shared" ca="1" si="246"/>
        <v>-3.4059594410934202</v>
      </c>
    </row>
    <row r="280" spans="55:89" x14ac:dyDescent="0.25">
      <c r="BC280">
        <v>4.852015320544206</v>
      </c>
      <c r="BD280">
        <v>154.93699163148489</v>
      </c>
      <c r="BE280">
        <v>-118.72899046853125</v>
      </c>
      <c r="BF280" s="6">
        <f t="shared" si="228"/>
        <v>5.6293304078863482</v>
      </c>
      <c r="BG280" s="6">
        <f t="shared" si="229"/>
        <v>0.77731508734214216</v>
      </c>
      <c r="BH280" s="6">
        <f t="shared" si="230"/>
        <v>3.0100493894855829</v>
      </c>
      <c r="BI280" s="6">
        <f t="shared" si="231"/>
        <v>3.0100493894855829</v>
      </c>
      <c r="BV280" s="38"/>
      <c r="BW280" s="6">
        <f t="shared" si="232"/>
        <v>4.6251225177849458</v>
      </c>
      <c r="BX280" s="9">
        <f t="shared" ca="1" si="236"/>
        <v>-4.6596443219685426</v>
      </c>
      <c r="BY280" s="9">
        <f t="shared" ca="1" si="237"/>
        <v>-87.096234902669821</v>
      </c>
      <c r="BZ280">
        <f t="shared" ca="1" si="238"/>
        <v>87.220791210744551</v>
      </c>
      <c r="CA280" s="6">
        <f t="shared" ca="1" si="239"/>
        <v>-5.3423550248584889E-2</v>
      </c>
      <c r="CB280" s="6">
        <f t="shared" ca="1" si="240"/>
        <v>-0.99857194246525727</v>
      </c>
      <c r="CC280" s="6">
        <f t="shared" ca="1" si="241"/>
        <v>-1.6242453222134297</v>
      </c>
      <c r="CD280" s="6">
        <f t="shared" ca="1" si="233"/>
        <v>-4.3770686054552881</v>
      </c>
      <c r="CE280" s="9">
        <f t="shared" ca="1" si="234"/>
        <v>72.73337434885326</v>
      </c>
      <c r="CF280" s="9">
        <f t="shared" ca="1" si="235"/>
        <v>-112.89390779294375</v>
      </c>
      <c r="CG280">
        <f t="shared" ca="1" si="242"/>
        <v>134.29511592359609</v>
      </c>
      <c r="CH280">
        <f t="shared" ca="1" si="243"/>
        <v>0.54159359295116238</v>
      </c>
      <c r="CI280">
        <f t="shared" ca="1" si="244"/>
        <v>-0.84064045826634504</v>
      </c>
      <c r="CJ280">
        <f t="shared" ca="1" si="245"/>
        <v>-0.99846468337792027</v>
      </c>
      <c r="CK280" s="38">
        <f t="shared" ca="1" si="246"/>
        <v>-3.3546591735702651</v>
      </c>
    </row>
    <row r="281" spans="55:89" x14ac:dyDescent="0.25">
      <c r="BC281">
        <v>4.8694686130641491</v>
      </c>
      <c r="BD281">
        <v>158.29064011484121</v>
      </c>
      <c r="BE281">
        <v>-116.56324283607081</v>
      </c>
      <c r="BF281" s="6">
        <f t="shared" si="228"/>
        <v>5.6484532964205103</v>
      </c>
      <c r="BG281" s="6">
        <f t="shared" si="229"/>
        <v>0.77898468335636117</v>
      </c>
      <c r="BH281" s="6">
        <f t="shared" si="230"/>
        <v>2.9909265009514208</v>
      </c>
      <c r="BI281" s="6">
        <f t="shared" si="231"/>
        <v>2.9909265009514208</v>
      </c>
      <c r="BV281" s="38"/>
      <c r="BW281" s="6">
        <f t="shared" si="232"/>
        <v>4.6425758103048889</v>
      </c>
      <c r="BX281" s="9">
        <f t="shared" ca="1" si="236"/>
        <v>7.000001648867709</v>
      </c>
      <c r="BY281" s="9">
        <f t="shared" ca="1" si="237"/>
        <v>-92.423921671920894</v>
      </c>
      <c r="BZ281">
        <f t="shared" ca="1" si="238"/>
        <v>92.688625625270333</v>
      </c>
      <c r="CA281" s="6">
        <f t="shared" ca="1" si="239"/>
        <v>7.552168997701969E-2</v>
      </c>
      <c r="CB281" s="6">
        <f t="shared" ca="1" si="240"/>
        <v>-0.99714415925833655</v>
      </c>
      <c r="CC281" s="6">
        <f t="shared" ca="1" si="241"/>
        <v>-1.4952026619519561</v>
      </c>
      <c r="CD281" s="6">
        <f t="shared" ca="1" si="233"/>
        <v>-4.2480259451938149</v>
      </c>
      <c r="CE281" s="9">
        <f t="shared" ca="1" si="234"/>
        <v>84.393020319689512</v>
      </c>
      <c r="CF281" s="9">
        <f t="shared" ca="1" si="235"/>
        <v>-118.22159456219482</v>
      </c>
      <c r="CG281">
        <f t="shared" ca="1" si="242"/>
        <v>145.25332113073182</v>
      </c>
      <c r="CH281">
        <f t="shared" ca="1" si="243"/>
        <v>0.58100578811367465</v>
      </c>
      <c r="CI281">
        <f t="shared" ca="1" si="244"/>
        <v>-0.81389942510018254</v>
      </c>
      <c r="CJ281">
        <f t="shared" ca="1" si="245"/>
        <v>-0.95083241577725264</v>
      </c>
      <c r="CK281" s="38">
        <f t="shared" ca="1" si="246"/>
        <v>-3.3070269059695976</v>
      </c>
    </row>
    <row r="282" spans="55:89" x14ac:dyDescent="0.25">
      <c r="BC282">
        <v>4.8869219055840922</v>
      </c>
      <c r="BD282">
        <v>161.66012542589107</v>
      </c>
      <c r="BE282">
        <v>-114.50736479908819</v>
      </c>
      <c r="BF282" s="6">
        <f t="shared" si="228"/>
        <v>5.6668961578740671</v>
      </c>
      <c r="BG282" s="6">
        <f t="shared" si="229"/>
        <v>0.77997425228997486</v>
      </c>
      <c r="BH282" s="6">
        <f t="shared" si="230"/>
        <v>2.972483639497864</v>
      </c>
      <c r="BI282" s="6">
        <f t="shared" si="231"/>
        <v>2.972483639497864</v>
      </c>
      <c r="BV282" s="38"/>
      <c r="BW282" s="6">
        <f t="shared" si="232"/>
        <v>4.660029102824832</v>
      </c>
      <c r="BX282" s="9">
        <f t="shared" ca="1" si="236"/>
        <v>17.566036246468329</v>
      </c>
      <c r="BY282" s="9">
        <f t="shared" ca="1" si="237"/>
        <v>-97.648996546634876</v>
      </c>
      <c r="BZ282">
        <f t="shared" ca="1" si="238"/>
        <v>99.216390561121244</v>
      </c>
      <c r="CA282" s="6">
        <f t="shared" ca="1" si="239"/>
        <v>0.177047725150281</v>
      </c>
      <c r="CB282" s="6">
        <f t="shared" ca="1" si="240"/>
        <v>-0.98420226733081173</v>
      </c>
      <c r="CC282" s="6">
        <f t="shared" ca="1" si="241"/>
        <v>-1.3928103525298536</v>
      </c>
      <c r="CD282" s="6">
        <f t="shared" ca="1" si="233"/>
        <v>-4.1456336357717127</v>
      </c>
      <c r="CE282" s="9">
        <f t="shared" ca="1" si="234"/>
        <v>94.959054917290132</v>
      </c>
      <c r="CF282" s="9">
        <f t="shared" ca="1" si="235"/>
        <v>-123.44666943690881</v>
      </c>
      <c r="CG282">
        <f t="shared" ca="1" si="242"/>
        <v>155.74434919396069</v>
      </c>
      <c r="CH282">
        <f t="shared" ca="1" si="243"/>
        <v>0.60971107721558582</v>
      </c>
      <c r="CI282">
        <f t="shared" ca="1" si="244"/>
        <v>-0.79262374574611982</v>
      </c>
      <c r="CJ282">
        <f t="shared" ca="1" si="245"/>
        <v>-0.91510030141587972</v>
      </c>
      <c r="CK282" s="38">
        <f t="shared" ca="1" si="246"/>
        <v>-3.2712947916082245</v>
      </c>
    </row>
    <row r="283" spans="55:89" x14ac:dyDescent="0.25">
      <c r="BC283">
        <v>4.9043751981040353</v>
      </c>
      <c r="BD283">
        <v>165.03269510361503</v>
      </c>
      <c r="BE283">
        <v>-112.54597968883567</v>
      </c>
      <c r="BF283" s="6">
        <f t="shared" si="228"/>
        <v>5.6846684374807932</v>
      </c>
      <c r="BG283" s="6">
        <f t="shared" si="229"/>
        <v>0.78029323937675787</v>
      </c>
      <c r="BH283" s="6">
        <f t="shared" si="230"/>
        <v>2.9547113598911379</v>
      </c>
      <c r="BI283" s="6">
        <f t="shared" si="231"/>
        <v>2.9547113598911379</v>
      </c>
      <c r="BV283" s="38"/>
      <c r="BW283" s="6">
        <f t="shared" si="232"/>
        <v>4.6774823953447751</v>
      </c>
      <c r="BX283" s="9">
        <f t="shared" ca="1" si="236"/>
        <v>28.26375881457939</v>
      </c>
      <c r="BY283" s="9">
        <f t="shared" ca="1" si="237"/>
        <v>-103.32558828731553</v>
      </c>
      <c r="BZ283">
        <f t="shared" ca="1" si="238"/>
        <v>107.12150697805063</v>
      </c>
      <c r="CA283" s="6">
        <f t="shared" ca="1" si="239"/>
        <v>0.26384765871871724</v>
      </c>
      <c r="CB283" s="6">
        <f t="shared" ca="1" si="240"/>
        <v>-0.96456436435763648</v>
      </c>
      <c r="CC283" s="6">
        <f t="shared" ca="1" si="241"/>
        <v>-1.3037872753908679</v>
      </c>
      <c r="CD283" s="6">
        <f t="shared" ca="1" si="233"/>
        <v>-4.0566105586327268</v>
      </c>
      <c r="CE283" s="9">
        <f t="shared" ca="1" si="234"/>
        <v>105.65677748540119</v>
      </c>
      <c r="CF283" s="9">
        <f t="shared" ca="1" si="235"/>
        <v>-129.12326117758946</v>
      </c>
      <c r="CG283">
        <f t="shared" ca="1" si="242"/>
        <v>166.84175498278469</v>
      </c>
      <c r="CH283">
        <f t="shared" ca="1" si="243"/>
        <v>0.63327539018217127</v>
      </c>
      <c r="CI283">
        <f t="shared" ca="1" si="244"/>
        <v>-0.77392653410360512</v>
      </c>
      <c r="CJ283">
        <f t="shared" ca="1" si="245"/>
        <v>-0.88501823352849751</v>
      </c>
      <c r="CK283" s="38">
        <f t="shared" ca="1" si="246"/>
        <v>-3.2412127237208423</v>
      </c>
    </row>
    <row r="284" spans="55:89" x14ac:dyDescent="0.25">
      <c r="BC284">
        <v>4.9218284906239784</v>
      </c>
      <c r="BD284">
        <v>168.39826050450364</v>
      </c>
      <c r="BE284">
        <v>-110.66619413410918</v>
      </c>
      <c r="BF284" s="6">
        <f t="shared" si="228"/>
        <v>5.7017865431839105</v>
      </c>
      <c r="BG284" s="6">
        <f t="shared" si="229"/>
        <v>0.77995805255993211</v>
      </c>
      <c r="BH284" s="6">
        <f t="shared" si="230"/>
        <v>2.9375932541880205</v>
      </c>
      <c r="BI284" s="6">
        <f t="shared" si="231"/>
        <v>2.9375932541880205</v>
      </c>
      <c r="BV284" s="38"/>
      <c r="BW284" s="6">
        <f t="shared" si="232"/>
        <v>4.6949356878647182</v>
      </c>
      <c r="BX284" s="9">
        <f t="shared" ca="1" si="236"/>
        <v>40.54654435511226</v>
      </c>
      <c r="BY284" s="9">
        <f t="shared" ca="1" si="237"/>
        <v>-109.8936280704859</v>
      </c>
      <c r="BZ284">
        <f t="shared" ca="1" si="238"/>
        <v>117.13510041672126</v>
      </c>
      <c r="CA284" s="6">
        <f t="shared" ca="1" si="239"/>
        <v>0.34615195796019621</v>
      </c>
      <c r="CB284" s="6">
        <f t="shared" ca="1" si="240"/>
        <v>-0.93817845956956536</v>
      </c>
      <c r="CC284" s="6">
        <f t="shared" ca="1" si="241"/>
        <v>-1.21732995283489</v>
      </c>
      <c r="CD284" s="6">
        <f t="shared" ca="1" si="233"/>
        <v>-3.9701532360767486</v>
      </c>
      <c r="CE284" s="9">
        <f t="shared" ca="1" si="234"/>
        <v>117.93956302593406</v>
      </c>
      <c r="CF284" s="9">
        <f t="shared" ca="1" si="235"/>
        <v>-135.69130096075983</v>
      </c>
      <c r="CG284">
        <f t="shared" ca="1" si="242"/>
        <v>179.78284034682446</v>
      </c>
      <c r="CH284">
        <f t="shared" ca="1" si="243"/>
        <v>0.65601123443379428</v>
      </c>
      <c r="CI284">
        <f t="shared" ca="1" si="244"/>
        <v>-0.75475112474023487</v>
      </c>
      <c r="CJ284">
        <f t="shared" ca="1" si="245"/>
        <v>-0.85527466014288422</v>
      </c>
      <c r="CK284" s="38">
        <f t="shared" ca="1" si="246"/>
        <v>-3.2114691503352288</v>
      </c>
    </row>
    <row r="285" spans="55:89" x14ac:dyDescent="0.25">
      <c r="BC285">
        <v>4.9392817831439215</v>
      </c>
      <c r="BD285">
        <v>171.74856456166142</v>
      </c>
      <c r="BE285">
        <v>-108.85734949263551</v>
      </c>
      <c r="BF285" s="6">
        <f t="shared" si="228"/>
        <v>5.7182699994178163</v>
      </c>
      <c r="BG285" s="6">
        <f t="shared" si="229"/>
        <v>0.77898821627389481</v>
      </c>
      <c r="BH285" s="6">
        <f t="shared" si="230"/>
        <v>2.9211097979541147</v>
      </c>
      <c r="BI285" s="6">
        <f t="shared" si="231"/>
        <v>2.9211097979541147</v>
      </c>
      <c r="BV285" s="38"/>
      <c r="BW285" s="6">
        <f t="shared" si="232"/>
        <v>4.7123889803846613</v>
      </c>
      <c r="BX285" s="9">
        <f t="shared" ca="1" si="236"/>
        <v>50.586981329167699</v>
      </c>
      <c r="BY285" s="9">
        <f t="shared" ca="1" si="237"/>
        <v>-113.66963926133002</v>
      </c>
      <c r="BZ285">
        <f t="shared" ca="1" si="238"/>
        <v>124.41796321190304</v>
      </c>
      <c r="CA285" s="6">
        <f t="shared" ca="1" si="239"/>
        <v>0.40658904890614744</v>
      </c>
      <c r="CB285" s="6">
        <f t="shared" ca="1" si="240"/>
        <v>-0.91361115651550284</v>
      </c>
      <c r="CC285" s="6">
        <f t="shared" ca="1" si="241"/>
        <v>-1.1520788624392391</v>
      </c>
      <c r="CD285" s="6">
        <f t="shared" ca="1" si="233"/>
        <v>-3.9049021456810977</v>
      </c>
      <c r="CE285" s="9">
        <f t="shared" ca="1" si="234"/>
        <v>127.9799999999895</v>
      </c>
      <c r="CF285" s="9">
        <f t="shared" ca="1" si="235"/>
        <v>-139.46731215160395</v>
      </c>
      <c r="CG285">
        <f t="shared" ca="1" si="242"/>
        <v>189.28817067844003</v>
      </c>
      <c r="CH285">
        <f t="shared" ca="1" si="243"/>
        <v>0.67611198069741008</v>
      </c>
      <c r="CI285">
        <f t="shared" ca="1" si="244"/>
        <v>-0.73679887999197258</v>
      </c>
      <c r="CJ285">
        <f t="shared" ca="1" si="245"/>
        <v>-0.82832346242893251</v>
      </c>
      <c r="CK285" s="38">
        <f t="shared" ca="1" si="246"/>
        <v>-3.1845179526212775</v>
      </c>
    </row>
    <row r="286" spans="55:89" x14ac:dyDescent="0.25">
      <c r="BC286">
        <v>4.9567350756638646</v>
      </c>
      <c r="BD286">
        <v>175.07657549703239</v>
      </c>
      <c r="BE286">
        <v>-107.11077961452793</v>
      </c>
      <c r="BF286" s="6">
        <f t="shared" si="228"/>
        <v>5.7341389295026222</v>
      </c>
      <c r="BG286" s="6">
        <f t="shared" si="229"/>
        <v>0.77740385383875754</v>
      </c>
      <c r="BH286" s="6">
        <f t="shared" si="230"/>
        <v>2.9052408678693089</v>
      </c>
      <c r="BI286" s="6">
        <f t="shared" si="231"/>
        <v>2.9052408678693089</v>
      </c>
      <c r="BV286" s="38"/>
      <c r="BW286" s="6">
        <f t="shared" si="232"/>
        <v>4.7298422729046044</v>
      </c>
      <c r="BX286" s="9">
        <f t="shared" ca="1" si="236"/>
        <v>56.873104424858283</v>
      </c>
      <c r="BY286" s="9">
        <f t="shared" ca="1" si="237"/>
        <v>-113.29512907179981</v>
      </c>
      <c r="BZ286">
        <f t="shared" ca="1" si="238"/>
        <v>126.76883007394449</v>
      </c>
      <c r="CA286" s="6">
        <f t="shared" ca="1" si="239"/>
        <v>0.4486363437422598</v>
      </c>
      <c r="CB286" s="6">
        <f t="shared" ca="1" si="240"/>
        <v>-0.89371440129024271</v>
      </c>
      <c r="CC286" s="6">
        <f t="shared" ca="1" si="241"/>
        <v>-1.1055574031597204</v>
      </c>
      <c r="CD286" s="6">
        <f t="shared" ca="1" si="233"/>
        <v>-3.8583806864015791</v>
      </c>
      <c r="CE286" s="9">
        <f t="shared" ca="1" si="234"/>
        <v>134.26612309568009</v>
      </c>
      <c r="CF286" s="9">
        <f t="shared" ca="1" si="235"/>
        <v>-139.09280196207374</v>
      </c>
      <c r="CG286">
        <f t="shared" ca="1" si="242"/>
        <v>193.32407860586065</v>
      </c>
      <c r="CH286">
        <f t="shared" ca="1" si="243"/>
        <v>0.69451319289313707</v>
      </c>
      <c r="CI286">
        <f t="shared" ca="1" si="244"/>
        <v>-0.71947996837811967</v>
      </c>
      <c r="CJ286">
        <f t="shared" ca="1" si="245"/>
        <v>-0.80305325682188844</v>
      </c>
      <c r="CK286" s="38">
        <f t="shared" ca="1" si="246"/>
        <v>-3.1592477470142333</v>
      </c>
    </row>
    <row r="287" spans="55:89" x14ac:dyDescent="0.25">
      <c r="BC287">
        <v>4.9741883681838077</v>
      </c>
      <c r="BD287">
        <v>178.25679767281184</v>
      </c>
      <c r="BE287">
        <v>-105.35785192265089</v>
      </c>
      <c r="BF287" s="6">
        <f t="shared" si="228"/>
        <v>5.7493761247845629</v>
      </c>
      <c r="BG287" s="6">
        <f t="shared" si="229"/>
        <v>0.77518775660075523</v>
      </c>
      <c r="BH287" s="6">
        <f t="shared" si="230"/>
        <v>2.8900036725873681</v>
      </c>
      <c r="BI287" s="6">
        <f t="shared" si="231"/>
        <v>2.8900036725873681</v>
      </c>
      <c r="BV287" s="38"/>
      <c r="BW287" s="6">
        <f t="shared" si="232"/>
        <v>4.7472955654245474</v>
      </c>
      <c r="BX287" s="9">
        <f t="shared" ca="1" si="236"/>
        <v>59.207119096123407</v>
      </c>
      <c r="BY287" s="9">
        <f t="shared" ca="1" si="237"/>
        <v>-109.51135851494749</v>
      </c>
      <c r="BZ287">
        <f t="shared" ca="1" si="238"/>
        <v>124.4918495141425</v>
      </c>
      <c r="CA287" s="6">
        <f t="shared" ca="1" si="239"/>
        <v>0.47559032440430865</v>
      </c>
      <c r="CB287" s="6">
        <f t="shared" ca="1" si="240"/>
        <v>-0.87966689339374626</v>
      </c>
      <c r="CC287" s="6">
        <f t="shared" ca="1" si="241"/>
        <v>-1.0751613395128019</v>
      </c>
      <c r="CD287" s="6">
        <f t="shared" ca="1" si="233"/>
        <v>-3.8279846227546606</v>
      </c>
      <c r="CE287" s="9">
        <f t="shared" ca="1" si="234"/>
        <v>136.60013776694521</v>
      </c>
      <c r="CF287" s="9">
        <f t="shared" ca="1" si="235"/>
        <v>-135.30903140522142</v>
      </c>
      <c r="CG287">
        <f t="shared" ca="1" si="242"/>
        <v>192.27098485670584</v>
      </c>
      <c r="CH287">
        <f t="shared" ca="1" si="243"/>
        <v>0.71045632740035869</v>
      </c>
      <c r="CI287">
        <f t="shared" ca="1" si="244"/>
        <v>-0.70374129256197149</v>
      </c>
      <c r="CJ287">
        <f t="shared" ca="1" si="245"/>
        <v>-0.78064989888493308</v>
      </c>
      <c r="CK287" s="38">
        <f t="shared" ca="1" si="246"/>
        <v>-3.1368443890772779</v>
      </c>
    </row>
    <row r="288" spans="55:89" x14ac:dyDescent="0.25">
      <c r="BC288">
        <v>4.9916416607037508</v>
      </c>
      <c r="BD288">
        <v>181.37074358602837</v>
      </c>
      <c r="BE288">
        <v>-103.64263515300651</v>
      </c>
      <c r="BF288" s="6">
        <f t="shared" si="228"/>
        <v>5.7640300063509402</v>
      </c>
      <c r="BG288" s="6">
        <f t="shared" si="229"/>
        <v>0.77238834564718939</v>
      </c>
      <c r="BH288" s="6">
        <f t="shared" si="230"/>
        <v>2.8753497910209909</v>
      </c>
      <c r="BI288" s="6">
        <f t="shared" si="231"/>
        <v>2.8753497910209909</v>
      </c>
      <c r="BV288" s="38"/>
      <c r="BW288" s="6">
        <f t="shared" si="232"/>
        <v>4.7647488579444905</v>
      </c>
      <c r="BX288" s="9">
        <f t="shared" ca="1" si="236"/>
        <v>61.844451584350637</v>
      </c>
      <c r="BY288" s="9">
        <f t="shared" ca="1" si="237"/>
        <v>-106.14993926169527</v>
      </c>
      <c r="BZ288">
        <f t="shared" ca="1" si="238"/>
        <v>122.85172280855765</v>
      </c>
      <c r="CA288" s="6">
        <f t="shared" ca="1" si="239"/>
        <v>0.50340727969052668</v>
      </c>
      <c r="CB288" s="6">
        <f t="shared" ca="1" si="240"/>
        <v>-0.86404925250507791</v>
      </c>
      <c r="CC288" s="6">
        <f t="shared" ca="1" si="241"/>
        <v>-1.0432586746020169</v>
      </c>
      <c r="CD288" s="6">
        <f t="shared" ca="1" si="233"/>
        <v>-3.7960819578438754</v>
      </c>
      <c r="CE288" s="9">
        <f t="shared" ca="1" si="234"/>
        <v>139.23747025517244</v>
      </c>
      <c r="CF288" s="9">
        <f t="shared" ca="1" si="235"/>
        <v>-131.9476121519692</v>
      </c>
      <c r="CG288">
        <f t="shared" ca="1" si="242"/>
        <v>191.82608132281314</v>
      </c>
      <c r="CH288">
        <f t="shared" ca="1" si="243"/>
        <v>0.72585265410733002</v>
      </c>
      <c r="CI288">
        <f t="shared" ca="1" si="244"/>
        <v>-0.68785021954299375</v>
      </c>
      <c r="CJ288">
        <f t="shared" ca="1" si="245"/>
        <v>-0.75852314917899144</v>
      </c>
      <c r="CK288" s="38">
        <f t="shared" ca="1" si="246"/>
        <v>-3.1147176393713361</v>
      </c>
    </row>
    <row r="289" spans="55:89" x14ac:dyDescent="0.25">
      <c r="BC289">
        <v>5.0090949532236939</v>
      </c>
      <c r="BD289">
        <v>184.46187085377184</v>
      </c>
      <c r="BE289">
        <v>-101.98765983922056</v>
      </c>
      <c r="BF289" s="6">
        <f t="shared" si="228"/>
        <v>5.7781237685990128</v>
      </c>
      <c r="BG289" s="6">
        <f t="shared" si="229"/>
        <v>0.76902881537531886</v>
      </c>
      <c r="BH289" s="6">
        <f t="shared" si="230"/>
        <v>2.8612560287729183</v>
      </c>
      <c r="BI289" s="6">
        <f t="shared" si="231"/>
        <v>2.8612560287729183</v>
      </c>
      <c r="BV289" s="38"/>
      <c r="BW289" s="6">
        <f t="shared" si="232"/>
        <v>4.7822021504644336</v>
      </c>
      <c r="BX289" s="9">
        <f t="shared" ca="1" si="236"/>
        <v>64.719001379147343</v>
      </c>
      <c r="BY289" s="9">
        <f t="shared" ca="1" si="237"/>
        <v>-103.09745273732955</v>
      </c>
      <c r="BZ289">
        <f t="shared" ca="1" si="238"/>
        <v>121.72770391509066</v>
      </c>
      <c r="CA289" s="6">
        <f t="shared" ca="1" si="239"/>
        <v>0.5316702714140662</v>
      </c>
      <c r="CB289" s="6">
        <f t="shared" ca="1" si="240"/>
        <v>-0.84695142865130879</v>
      </c>
      <c r="CC289" s="6">
        <f t="shared" ca="1" si="241"/>
        <v>-1.010224881143287</v>
      </c>
      <c r="CD289" s="6">
        <f t="shared" ca="1" si="233"/>
        <v>-3.7630481643851459</v>
      </c>
      <c r="CE289" s="9">
        <f t="shared" ca="1" si="234"/>
        <v>142.11202004996915</v>
      </c>
      <c r="CF289" s="9">
        <f t="shared" ca="1" si="235"/>
        <v>-128.89512562760348</v>
      </c>
      <c r="CG289">
        <f t="shared" ca="1" si="242"/>
        <v>191.85874922254266</v>
      </c>
      <c r="CH289">
        <f t="shared" ca="1" si="243"/>
        <v>0.74071169871502285</v>
      </c>
      <c r="CI289">
        <f t="shared" ca="1" si="244"/>
        <v>-0.6718230268357176</v>
      </c>
      <c r="CJ289">
        <f t="shared" ca="1" si="245"/>
        <v>-0.73666723173393578</v>
      </c>
      <c r="CK289" s="38">
        <f t="shared" ca="1" si="246"/>
        <v>-3.0928617219262806</v>
      </c>
    </row>
    <row r="290" spans="55:89" x14ac:dyDescent="0.25">
      <c r="BC290">
        <v>5.026548245743637</v>
      </c>
      <c r="BD290">
        <v>187.52413556235561</v>
      </c>
      <c r="BE290">
        <v>-100.39042125523007</v>
      </c>
      <c r="BF290" s="6">
        <f t="shared" si="228"/>
        <v>5.7916618159480455</v>
      </c>
      <c r="BG290" s="6">
        <f t="shared" si="229"/>
        <v>0.76511357020440851</v>
      </c>
      <c r="BH290" s="6">
        <f t="shared" si="230"/>
        <v>2.8477179814238855</v>
      </c>
      <c r="BI290" s="6">
        <f t="shared" si="231"/>
        <v>2.8477179814238855</v>
      </c>
      <c r="BV290" s="38"/>
      <c r="BW290" s="6">
        <f t="shared" si="232"/>
        <v>4.7996554429843767</v>
      </c>
      <c r="BX290" s="9">
        <f t="shared" ca="1" si="236"/>
        <v>67.774330529621906</v>
      </c>
      <c r="BY290" s="9">
        <f t="shared" ca="1" si="237"/>
        <v>-100.28252822582493</v>
      </c>
      <c r="BZ290">
        <f t="shared" ca="1" si="238"/>
        <v>121.03695859571908</v>
      </c>
      <c r="CA290" s="6">
        <f t="shared" ca="1" si="239"/>
        <v>0.55994740214844585</v>
      </c>
      <c r="CB290" s="6">
        <f t="shared" ca="1" si="240"/>
        <v>-0.82852815693083515</v>
      </c>
      <c r="CC290" s="6">
        <f t="shared" ca="1" si="241"/>
        <v>-0.97647401163684744</v>
      </c>
      <c r="CD290" s="6">
        <f t="shared" ca="1" si="233"/>
        <v>-3.7292972948787062</v>
      </c>
      <c r="CE290" s="9">
        <f t="shared" ca="1" si="234"/>
        <v>145.16734920044371</v>
      </c>
      <c r="CF290" s="9">
        <f t="shared" ca="1" si="235"/>
        <v>-126.08020111609886</v>
      </c>
      <c r="CG290">
        <f t="shared" ca="1" si="242"/>
        <v>192.27526202650071</v>
      </c>
      <c r="CH290">
        <f t="shared" ca="1" si="243"/>
        <v>0.75499753671086267</v>
      </c>
      <c r="CI290">
        <f t="shared" ca="1" si="244"/>
        <v>-0.65572762604646251</v>
      </c>
      <c r="CJ290">
        <f t="shared" ca="1" si="245"/>
        <v>-0.71514596387281859</v>
      </c>
      <c r="CK290" s="38">
        <f t="shared" ca="1" si="246"/>
        <v>-3.0713404540651634</v>
      </c>
    </row>
    <row r="291" spans="55:89" x14ac:dyDescent="0.25">
      <c r="BC291">
        <v>5.0440015382635801</v>
      </c>
      <c r="BD291">
        <v>190.55129624097671</v>
      </c>
      <c r="BE291">
        <v>-98.849712917173079</v>
      </c>
      <c r="BF291" s="6">
        <f t="shared" si="228"/>
        <v>5.8046453827023656</v>
      </c>
      <c r="BG291" s="6">
        <f t="shared" si="229"/>
        <v>0.76064384443878552</v>
      </c>
      <c r="BH291" s="6">
        <f t="shared" si="230"/>
        <v>2.8347344146695654</v>
      </c>
      <c r="BI291" s="6">
        <f t="shared" si="231"/>
        <v>2.8347344146695654</v>
      </c>
      <c r="BV291" s="38"/>
      <c r="BW291" s="6">
        <f t="shared" si="232"/>
        <v>4.8171087355043198</v>
      </c>
      <c r="BX291" s="9">
        <f t="shared" ca="1" si="236"/>
        <v>70.956134062380883</v>
      </c>
      <c r="BY291" s="9">
        <f t="shared" ca="1" si="237"/>
        <v>-97.667498628617182</v>
      </c>
      <c r="BZ291">
        <f t="shared" ca="1" si="238"/>
        <v>120.72163538260035</v>
      </c>
      <c r="CA291" s="6">
        <f t="shared" ca="1" si="239"/>
        <v>0.58776650794616236</v>
      </c>
      <c r="CB291" s="6">
        <f t="shared" ca="1" si="240"/>
        <v>-0.80903061260793707</v>
      </c>
      <c r="CC291" s="6">
        <f t="shared" ca="1" si="241"/>
        <v>-0.9425009651681675</v>
      </c>
      <c r="CD291" s="6">
        <f t="shared" ca="1" si="233"/>
        <v>-3.6953242484100262</v>
      </c>
      <c r="CE291" s="9">
        <f t="shared" ca="1" si="234"/>
        <v>148.34915273320269</v>
      </c>
      <c r="CF291" s="9">
        <f t="shared" ca="1" si="235"/>
        <v>-123.46517151889111</v>
      </c>
      <c r="CG291">
        <f t="shared" ca="1" si="242"/>
        <v>193.00549135930899</v>
      </c>
      <c r="CH291">
        <f t="shared" ca="1" si="243"/>
        <v>0.76862659030269886</v>
      </c>
      <c r="CI291">
        <f t="shared" ca="1" si="244"/>
        <v>-0.6396977135176013</v>
      </c>
      <c r="CJ291">
        <f t="shared" ca="1" si="245"/>
        <v>-0.69410491990927692</v>
      </c>
      <c r="CK291" s="38">
        <f t="shared" ca="1" si="246"/>
        <v>-3.0502994101016219</v>
      </c>
    </row>
    <row r="292" spans="55:89" x14ac:dyDescent="0.25">
      <c r="BC292">
        <v>5.0614548307835232</v>
      </c>
      <c r="BD292">
        <v>193.53668654635067</v>
      </c>
      <c r="BE292">
        <v>-97.365705143278376</v>
      </c>
      <c r="BF292" s="6">
        <f t="shared" si="228"/>
        <v>5.8170715030022784</v>
      </c>
      <c r="BG292" s="6">
        <f t="shared" si="229"/>
        <v>0.75561667221875517</v>
      </c>
      <c r="BH292" s="6">
        <f t="shared" si="230"/>
        <v>2.8223082943696527</v>
      </c>
      <c r="BI292" s="6">
        <f t="shared" si="231"/>
        <v>2.8223082943696527</v>
      </c>
      <c r="BV292" s="38"/>
      <c r="BW292" s="6">
        <f t="shared" si="232"/>
        <v>4.8345620280242629</v>
      </c>
      <c r="BX292" s="9">
        <f t="shared" ca="1" si="236"/>
        <v>74.222757924862307</v>
      </c>
      <c r="BY292" s="9">
        <f t="shared" ca="1" si="237"/>
        <v>-95.225003458542346</v>
      </c>
      <c r="BZ292">
        <f t="shared" ca="1" si="238"/>
        <v>120.73449829130078</v>
      </c>
      <c r="CA292" s="6">
        <f t="shared" ca="1" si="239"/>
        <v>0.61476014706071991</v>
      </c>
      <c r="CB292" s="6">
        <f t="shared" ca="1" si="240"/>
        <v>-0.78871411904813904</v>
      </c>
      <c r="CC292" s="6">
        <f t="shared" ca="1" si="241"/>
        <v>-0.90871450265677756</v>
      </c>
      <c r="CD292" s="6">
        <f t="shared" ca="1" si="233"/>
        <v>-3.661537785898636</v>
      </c>
      <c r="CE292" s="9">
        <f t="shared" ca="1" si="234"/>
        <v>151.61577659568411</v>
      </c>
      <c r="CF292" s="9">
        <f t="shared" ca="1" si="235"/>
        <v>-121.02267634881628</v>
      </c>
      <c r="CG292">
        <f t="shared" ca="1" si="242"/>
        <v>193.99441204153982</v>
      </c>
      <c r="CH292">
        <f t="shared" ca="1" si="243"/>
        <v>0.78154713324020275</v>
      </c>
      <c r="CI292">
        <f t="shared" ca="1" si="244"/>
        <v>-0.62384619781162465</v>
      </c>
      <c r="CJ292">
        <f t="shared" ca="1" si="245"/>
        <v>-0.6736543562049484</v>
      </c>
      <c r="CK292" s="38">
        <f t="shared" ca="1" si="246"/>
        <v>-3.029848846397293</v>
      </c>
    </row>
    <row r="293" spans="55:89" x14ac:dyDescent="0.25">
      <c r="BC293">
        <v>5.0789081233034663</v>
      </c>
      <c r="BD293">
        <v>196.47296937295982</v>
      </c>
      <c r="BE293">
        <v>-95.940066288109008</v>
      </c>
      <c r="BF293" s="6">
        <f t="shared" si="228"/>
        <v>5.8289319161368915</v>
      </c>
      <c r="BG293" s="6">
        <f t="shared" si="229"/>
        <v>0.75002379283342524</v>
      </c>
      <c r="BH293" s="6">
        <f t="shared" si="230"/>
        <v>2.8104478812350395</v>
      </c>
      <c r="BI293" s="6">
        <f t="shared" si="231"/>
        <v>2.8104478812350395</v>
      </c>
      <c r="BV293" s="38"/>
      <c r="BW293" s="6">
        <f t="shared" si="232"/>
        <v>4.852015320544206</v>
      </c>
      <c r="BX293" s="9">
        <f t="shared" ca="1" si="236"/>
        <v>77.543972960663083</v>
      </c>
      <c r="BY293" s="9">
        <f t="shared" ca="1" si="237"/>
        <v>-92.931317578257321</v>
      </c>
      <c r="BZ293">
        <f t="shared" ca="1" si="238"/>
        <v>121.0342824548275</v>
      </c>
      <c r="CA293" s="6">
        <f t="shared" ca="1" si="239"/>
        <v>0.64067775995288023</v>
      </c>
      <c r="CB293" s="6">
        <f t="shared" ca="1" si="240"/>
        <v>-0.76780987744477447</v>
      </c>
      <c r="CC293" s="6">
        <f t="shared" ca="1" si="241"/>
        <v>-0.87541566744187171</v>
      </c>
      <c r="CD293" s="6">
        <f t="shared" ca="1" si="233"/>
        <v>-3.6282389506837305</v>
      </c>
      <c r="CE293" s="9">
        <f t="shared" ca="1" si="234"/>
        <v>154.93699163148489</v>
      </c>
      <c r="CF293" s="9">
        <f t="shared" ca="1" si="235"/>
        <v>-118.72899046853125</v>
      </c>
      <c r="CG293">
        <f t="shared" ca="1" si="242"/>
        <v>195.19745017159266</v>
      </c>
      <c r="CH293">
        <f t="shared" ca="1" si="243"/>
        <v>0.79374495668505951</v>
      </c>
      <c r="CI293">
        <f t="shared" ca="1" si="244"/>
        <v>-0.60825072440321271</v>
      </c>
      <c r="CJ293">
        <f t="shared" ca="1" si="245"/>
        <v>-0.65385489929323803</v>
      </c>
      <c r="CK293" s="38">
        <f t="shared" ca="1" si="246"/>
        <v>-3.0100493894855829</v>
      </c>
    </row>
    <row r="294" spans="55:89" x14ac:dyDescent="0.25">
      <c r="BC294">
        <v>5.0963614158234094</v>
      </c>
      <c r="BD294">
        <v>199.35185642963171</v>
      </c>
      <c r="BE294">
        <v>-94.576142080639627</v>
      </c>
      <c r="BF294" s="6">
        <f t="shared" si="228"/>
        <v>5.8402118022651006</v>
      </c>
      <c r="BG294" s="6">
        <f t="shared" si="229"/>
        <v>0.74385038644169121</v>
      </c>
      <c r="BH294" s="6">
        <f t="shared" si="230"/>
        <v>2.7991679951068305</v>
      </c>
      <c r="BI294" s="6">
        <f t="shared" si="231"/>
        <v>2.7991679951068305</v>
      </c>
      <c r="BV294" s="38"/>
      <c r="BW294" s="6">
        <f t="shared" si="232"/>
        <v>4.8694686130641491</v>
      </c>
      <c r="BX294" s="9">
        <f t="shared" ca="1" si="236"/>
        <v>80.897621444019407</v>
      </c>
      <c r="BY294" s="9">
        <f t="shared" ca="1" si="237"/>
        <v>-90.765569945796884</v>
      </c>
      <c r="BZ294">
        <f t="shared" ca="1" si="238"/>
        <v>121.58459541769761</v>
      </c>
      <c r="CA294" s="6">
        <f t="shared" ca="1" si="239"/>
        <v>0.66536078165247659</v>
      </c>
      <c r="CB294" s="6">
        <f t="shared" ca="1" si="240"/>
        <v>-0.74652195563078072</v>
      </c>
      <c r="CC294" s="6">
        <f t="shared" ca="1" si="241"/>
        <v>-0.84281932943691151</v>
      </c>
      <c r="CD294" s="6">
        <f t="shared" ca="1" si="233"/>
        <v>-3.5956426126787702</v>
      </c>
      <c r="CE294" s="9">
        <f t="shared" ca="1" si="234"/>
        <v>158.29064011484121</v>
      </c>
      <c r="CF294" s="9">
        <f t="shared" ca="1" si="235"/>
        <v>-116.56324283607081</v>
      </c>
      <c r="CG294">
        <f t="shared" ca="1" si="242"/>
        <v>196.57801588282192</v>
      </c>
      <c r="CH294">
        <f t="shared" ca="1" si="243"/>
        <v>0.80523063275395246</v>
      </c>
      <c r="CI294">
        <f t="shared" ca="1" si="244"/>
        <v>-0.59296174250508726</v>
      </c>
      <c r="CJ294">
        <f t="shared" ca="1" si="245"/>
        <v>-0.63473201075907548</v>
      </c>
      <c r="CK294" s="38">
        <f t="shared" ca="1" si="246"/>
        <v>-2.9909265009514203</v>
      </c>
    </row>
    <row r="295" spans="55:89" x14ac:dyDescent="0.25">
      <c r="BC295">
        <v>5.1138147083433525</v>
      </c>
      <c r="BD295">
        <v>202.16748201964296</v>
      </c>
      <c r="BE295">
        <v>-93.276643961243167</v>
      </c>
      <c r="BF295" s="6">
        <f t="shared" si="228"/>
        <v>5.8509056813867186</v>
      </c>
      <c r="BG295" s="6">
        <f t="shared" si="229"/>
        <v>0.73709097304336613</v>
      </c>
      <c r="BH295" s="6">
        <f t="shared" si="230"/>
        <v>2.7884741159852124</v>
      </c>
      <c r="BI295" s="6">
        <f t="shared" si="231"/>
        <v>2.7884741159852124</v>
      </c>
      <c r="BV295" s="38"/>
      <c r="BW295" s="6">
        <f t="shared" si="232"/>
        <v>4.8869219055840922</v>
      </c>
      <c r="BX295" s="9">
        <f t="shared" ca="1" si="236"/>
        <v>84.267106755069264</v>
      </c>
      <c r="BY295" s="9">
        <f t="shared" ca="1" si="237"/>
        <v>-88.709691908814264</v>
      </c>
      <c r="BZ295">
        <f t="shared" ca="1" si="238"/>
        <v>122.35340093118371</v>
      </c>
      <c r="CA295" s="6">
        <f t="shared" ca="1" si="239"/>
        <v>0.68871895765663549</v>
      </c>
      <c r="CB295" s="6">
        <f t="shared" ca="1" si="240"/>
        <v>-0.72502841141872332</v>
      </c>
      <c r="CC295" s="6">
        <f t="shared" ca="1" si="241"/>
        <v>-0.81107564594985293</v>
      </c>
      <c r="CD295" s="6">
        <f t="shared" ca="1" si="233"/>
        <v>-3.5638989291917116</v>
      </c>
      <c r="CE295" s="9">
        <f t="shared" ca="1" si="234"/>
        <v>161.66012542589107</v>
      </c>
      <c r="CF295" s="9">
        <f t="shared" ca="1" si="235"/>
        <v>-114.50736479908819</v>
      </c>
      <c r="CG295">
        <f t="shared" ca="1" si="242"/>
        <v>198.10586247243239</v>
      </c>
      <c r="CH295">
        <f t="shared" ca="1" si="243"/>
        <v>0.81602898272829782</v>
      </c>
      <c r="CI295">
        <f t="shared" ca="1" si="244"/>
        <v>-0.57801098549025809</v>
      </c>
      <c r="CJ295">
        <f t="shared" ca="1" si="245"/>
        <v>-0.61628914930551948</v>
      </c>
      <c r="CK295" s="38">
        <f t="shared" ca="1" si="246"/>
        <v>-2.9724836394978644</v>
      </c>
    </row>
    <row r="296" spans="55:89" x14ac:dyDescent="0.25">
      <c r="BC296">
        <v>5.1312680008632956</v>
      </c>
      <c r="BD296">
        <v>204.92806420446865</v>
      </c>
      <c r="BE296">
        <v>-92.035256510488324</v>
      </c>
      <c r="BF296" s="6">
        <f t="shared" si="228"/>
        <v>5.86107169702876</v>
      </c>
      <c r="BG296" s="6">
        <f t="shared" si="229"/>
        <v>0.72980369616546437</v>
      </c>
      <c r="BH296" s="6">
        <f t="shared" si="230"/>
        <v>2.7783081003431711</v>
      </c>
      <c r="BI296" s="6">
        <f t="shared" si="231"/>
        <v>2.7783081003431711</v>
      </c>
      <c r="BV296" s="38"/>
      <c r="BW296" s="6">
        <f t="shared" si="232"/>
        <v>4.9043751981040353</v>
      </c>
      <c r="BX296" s="9">
        <f t="shared" ca="1" si="236"/>
        <v>87.639676432793223</v>
      </c>
      <c r="BY296" s="9">
        <f t="shared" ca="1" si="237"/>
        <v>-86.748306798561742</v>
      </c>
      <c r="BZ296">
        <f t="shared" ca="1" si="238"/>
        <v>123.31253633618151</v>
      </c>
      <c r="CA296" s="6">
        <f t="shared" ca="1" si="239"/>
        <v>0.71071181435977482</v>
      </c>
      <c r="CB296" s="6">
        <f t="shared" ca="1" si="240"/>
        <v>-0.70348327409358991</v>
      </c>
      <c r="CC296" s="6">
        <f t="shared" ca="1" si="241"/>
        <v>-0.78028679130045386</v>
      </c>
      <c r="CD296" s="6">
        <f t="shared" ca="1" si="233"/>
        <v>-3.5331100745423125</v>
      </c>
      <c r="CE296" s="9">
        <f t="shared" ca="1" si="234"/>
        <v>165.03269510361503</v>
      </c>
      <c r="CF296" s="9">
        <f t="shared" ca="1" si="235"/>
        <v>-112.54597968883567</v>
      </c>
      <c r="CG296">
        <f t="shared" ca="1" si="242"/>
        <v>199.75582093466656</v>
      </c>
      <c r="CH296">
        <f t="shared" ca="1" si="243"/>
        <v>0.82617214522920812</v>
      </c>
      <c r="CI296">
        <f t="shared" ca="1" si="244"/>
        <v>-0.56341777256966996</v>
      </c>
      <c r="CJ296">
        <f t="shared" ca="1" si="245"/>
        <v>-0.59851686969879325</v>
      </c>
      <c r="CK296" s="38">
        <f t="shared" ca="1" si="246"/>
        <v>-2.9547113598911379</v>
      </c>
    </row>
    <row r="297" spans="55:89" x14ac:dyDescent="0.25">
      <c r="BC297">
        <v>5.1487212933832387</v>
      </c>
      <c r="BD297">
        <v>207.64423849621497</v>
      </c>
      <c r="BE297">
        <v>-90.844088637443988</v>
      </c>
      <c r="BF297" s="6">
        <f t="shared" si="228"/>
        <v>5.8707759396200814</v>
      </c>
      <c r="BG297" s="6">
        <f t="shared" si="229"/>
        <v>0.72205464623684268</v>
      </c>
      <c r="BH297" s="6">
        <f t="shared" si="230"/>
        <v>2.7686038577518497</v>
      </c>
      <c r="BI297" s="6">
        <f t="shared" si="231"/>
        <v>2.7686038577518497</v>
      </c>
      <c r="BV297" s="38"/>
      <c r="BW297" s="6">
        <f t="shared" si="232"/>
        <v>4.9218284906239784</v>
      </c>
      <c r="BX297" s="9">
        <f t="shared" ca="1" si="236"/>
        <v>91.005241833681836</v>
      </c>
      <c r="BY297" s="9">
        <f t="shared" ca="1" si="237"/>
        <v>-84.868521243835247</v>
      </c>
      <c r="BZ297">
        <f t="shared" ca="1" si="238"/>
        <v>124.4372128397379</v>
      </c>
      <c r="CA297" s="6">
        <f t="shared" ca="1" si="239"/>
        <v>0.73133462054383247</v>
      </c>
      <c r="CB297" s="6">
        <f t="shared" ca="1" si="240"/>
        <v>-0.68201882143677561</v>
      </c>
      <c r="CC297" s="6">
        <f t="shared" ca="1" si="241"/>
        <v>-0.75051955612147192</v>
      </c>
      <c r="CD297" s="6">
        <f t="shared" ca="1" si="233"/>
        <v>-3.5033428393633308</v>
      </c>
      <c r="CE297" s="9">
        <f t="shared" ca="1" si="234"/>
        <v>168.39826050450364</v>
      </c>
      <c r="CF297" s="9">
        <f t="shared" ca="1" si="235"/>
        <v>-110.66619413410918</v>
      </c>
      <c r="CG297">
        <f t="shared" ca="1" si="242"/>
        <v>201.50677572992677</v>
      </c>
      <c r="CH297">
        <f t="shared" ca="1" si="243"/>
        <v>0.83569527572711777</v>
      </c>
      <c r="CI297">
        <f t="shared" ca="1" si="244"/>
        <v>-0.54919341413328759</v>
      </c>
      <c r="CJ297">
        <f t="shared" ca="1" si="245"/>
        <v>-0.58139876399567614</v>
      </c>
      <c r="CK297" s="38">
        <f t="shared" ca="1" si="246"/>
        <v>-2.937593254188021</v>
      </c>
    </row>
    <row r="298" spans="55:89" x14ac:dyDescent="0.25">
      <c r="BC298">
        <v>5.1661745859031818</v>
      </c>
      <c r="BD298">
        <v>210.32519554955587</v>
      </c>
      <c r="BE298">
        <v>-89.696280389273753</v>
      </c>
      <c r="BF298" s="6">
        <f t="shared" si="228"/>
        <v>5.8800746640033559</v>
      </c>
      <c r="BG298" s="6">
        <f t="shared" si="229"/>
        <v>0.71390007810017408</v>
      </c>
      <c r="BH298" s="6">
        <f t="shared" si="230"/>
        <v>2.7593051333685752</v>
      </c>
      <c r="BI298" s="6">
        <f t="shared" si="231"/>
        <v>2.7593051333685752</v>
      </c>
      <c r="BV298" s="38"/>
      <c r="BW298" s="6">
        <f t="shared" si="232"/>
        <v>4.9392817831439215</v>
      </c>
      <c r="BX298" s="9">
        <f t="shared" ca="1" si="236"/>
        <v>94.355545890839622</v>
      </c>
      <c r="BY298" s="9">
        <f t="shared" ca="1" si="237"/>
        <v>-83.059676602361577</v>
      </c>
      <c r="BZ298">
        <f t="shared" ca="1" si="238"/>
        <v>125.70552461068381</v>
      </c>
      <c r="CA298" s="6">
        <f t="shared" ca="1" si="239"/>
        <v>0.75060778898193525</v>
      </c>
      <c r="CB298" s="6">
        <f t="shared" ca="1" si="240"/>
        <v>-0.66074802089726348</v>
      </c>
      <c r="CC298" s="6">
        <f t="shared" ca="1" si="241"/>
        <v>-0.72181487790828613</v>
      </c>
      <c r="CD298" s="6">
        <f t="shared" ca="1" si="233"/>
        <v>-3.4746381611501449</v>
      </c>
      <c r="CE298" s="9">
        <f t="shared" ca="1" si="234"/>
        <v>171.74856456166142</v>
      </c>
      <c r="CF298" s="9">
        <f t="shared" ca="1" si="235"/>
        <v>-108.85734949263551</v>
      </c>
      <c r="CG298">
        <f t="shared" ca="1" si="242"/>
        <v>203.3408271045266</v>
      </c>
      <c r="CH298">
        <f t="shared" ca="1" si="243"/>
        <v>0.84463394295811889</v>
      </c>
      <c r="CI298">
        <f t="shared" ca="1" si="244"/>
        <v>-0.53534428399210643</v>
      </c>
      <c r="CJ298">
        <f t="shared" ca="1" si="245"/>
        <v>-0.56491530776176957</v>
      </c>
      <c r="CK298" s="38">
        <f t="shared" ca="1" si="246"/>
        <v>-2.9211097979541143</v>
      </c>
    </row>
    <row r="299" spans="55:89" x14ac:dyDescent="0.25">
      <c r="BC299">
        <v>5.1836278784231249</v>
      </c>
      <c r="BD299">
        <v>212.97898492600225</v>
      </c>
      <c r="BE299">
        <v>-88.585813532530821</v>
      </c>
      <c r="BF299" s="6">
        <f t="shared" si="228"/>
        <v>5.8890161824694607</v>
      </c>
      <c r="BG299" s="6">
        <f t="shared" si="229"/>
        <v>0.70538830404633579</v>
      </c>
      <c r="BH299" s="6">
        <f t="shared" si="230"/>
        <v>2.7503636149024704</v>
      </c>
      <c r="BI299" s="6">
        <f t="shared" si="231"/>
        <v>2.7503636149024704</v>
      </c>
      <c r="BV299" s="38"/>
      <c r="BW299" s="6">
        <f t="shared" si="232"/>
        <v>4.9567350756638646</v>
      </c>
      <c r="BX299" s="9">
        <f t="shared" ca="1" si="236"/>
        <v>97.683556826210591</v>
      </c>
      <c r="BY299" s="9">
        <f t="shared" ca="1" si="237"/>
        <v>-81.313106724253998</v>
      </c>
      <c r="BZ299">
        <f t="shared" ca="1" si="238"/>
        <v>127.09798817986629</v>
      </c>
      <c r="CA299" s="6">
        <f t="shared" ca="1" si="239"/>
        <v>0.76856886741567432</v>
      </c>
      <c r="CB299" s="6">
        <f t="shared" ca="1" si="240"/>
        <v>-0.63976706389074756</v>
      </c>
      <c r="CC299" s="6">
        <f t="shared" ca="1" si="241"/>
        <v>-0.69419514964909423</v>
      </c>
      <c r="CD299" s="6">
        <f t="shared" ca="1" si="233"/>
        <v>-3.4470184328909528</v>
      </c>
      <c r="CE299" s="9">
        <f t="shared" ca="1" si="234"/>
        <v>175.07657549703239</v>
      </c>
      <c r="CF299" s="9">
        <f t="shared" ca="1" si="235"/>
        <v>-107.11077961452793</v>
      </c>
      <c r="CG299">
        <f t="shared" ca="1" si="242"/>
        <v>205.2426037580893</v>
      </c>
      <c r="CH299">
        <f t="shared" ca="1" si="243"/>
        <v>0.85302258055246505</v>
      </c>
      <c r="CI299">
        <f t="shared" ca="1" si="244"/>
        <v>-0.52187400497401037</v>
      </c>
      <c r="CJ299">
        <f t="shared" ca="1" si="245"/>
        <v>-0.54904637767696374</v>
      </c>
      <c r="CK299" s="38">
        <f t="shared" ca="1" si="246"/>
        <v>-2.9052408678693085</v>
      </c>
    </row>
    <row r="300" spans="55:89" x14ac:dyDescent="0.25">
      <c r="BC300">
        <v>5.201081170943068</v>
      </c>
      <c r="BD300">
        <v>215.61275118726905</v>
      </c>
      <c r="BE300">
        <v>-87.507360017862467</v>
      </c>
      <c r="BF300" s="6">
        <f t="shared" si="228"/>
        <v>5.8976423386095114</v>
      </c>
      <c r="BG300" s="6">
        <f t="shared" si="229"/>
        <v>0.69656116766644338</v>
      </c>
      <c r="BH300" s="6">
        <f t="shared" si="230"/>
        <v>2.7417374587624197</v>
      </c>
      <c r="BI300" s="6">
        <f t="shared" si="231"/>
        <v>2.7417374587624197</v>
      </c>
      <c r="BV300" s="38"/>
      <c r="BW300" s="6">
        <f t="shared" si="232"/>
        <v>4.9741883681838077</v>
      </c>
      <c r="BX300" s="9">
        <f t="shared" ca="1" si="236"/>
        <v>100.86377900199004</v>
      </c>
      <c r="BY300" s="9">
        <f t="shared" ca="1" si="237"/>
        <v>-79.560179032376965</v>
      </c>
      <c r="BZ300">
        <f t="shared" ca="1" si="238"/>
        <v>128.46526379619573</v>
      </c>
      <c r="CA300" s="6">
        <f t="shared" ca="1" si="239"/>
        <v>0.7851443730501797</v>
      </c>
      <c r="CB300" s="6">
        <f t="shared" ca="1" si="240"/>
        <v>-0.6193127751529437</v>
      </c>
      <c r="CC300" s="6">
        <f t="shared" ca="1" si="241"/>
        <v>-0.66786711603975546</v>
      </c>
      <c r="CD300" s="6">
        <f t="shared" ca="1" si="233"/>
        <v>-3.420690399281614</v>
      </c>
      <c r="CE300" s="9">
        <f t="shared" ca="1" si="234"/>
        <v>178.25679767281184</v>
      </c>
      <c r="CF300" s="9">
        <f t="shared" ca="1" si="235"/>
        <v>-105.35785192265089</v>
      </c>
      <c r="CG300">
        <f t="shared" ca="1" si="242"/>
        <v>207.06463454274612</v>
      </c>
      <c r="CH300">
        <f t="shared" ca="1" si="243"/>
        <v>0.86087514686634126</v>
      </c>
      <c r="CI300">
        <f t="shared" ca="1" si="244"/>
        <v>-0.50881625515293383</v>
      </c>
      <c r="CJ300">
        <f t="shared" ca="1" si="245"/>
        <v>-0.53380918239502306</v>
      </c>
      <c r="CK300" s="38">
        <f t="shared" ca="1" si="246"/>
        <v>-2.8900036725873681</v>
      </c>
    </row>
    <row r="301" spans="55:89" x14ac:dyDescent="0.25">
      <c r="BC301">
        <v>5.2185344634630111</v>
      </c>
      <c r="BD301">
        <v>218.23291976350919</v>
      </c>
      <c r="BE301">
        <v>-86.456159446468334</v>
      </c>
      <c r="BF301" s="6">
        <f t="shared" si="228"/>
        <v>5.905989667685561</v>
      </c>
      <c r="BG301" s="6">
        <f t="shared" si="229"/>
        <v>0.68745520422254991</v>
      </c>
      <c r="BH301" s="6">
        <f t="shared" si="230"/>
        <v>2.7333901296863701</v>
      </c>
      <c r="BI301" s="6">
        <f t="shared" si="231"/>
        <v>2.7333901296863701</v>
      </c>
      <c r="BV301" s="38"/>
      <c r="BW301" s="6">
        <f t="shared" si="232"/>
        <v>4.9916416607037508</v>
      </c>
      <c r="BX301" s="9">
        <f t="shared" ca="1" si="236"/>
        <v>103.97772491520657</v>
      </c>
      <c r="BY301" s="9">
        <f t="shared" ca="1" si="237"/>
        <v>-77.844962262732579</v>
      </c>
      <c r="BZ301">
        <f t="shared" ca="1" si="238"/>
        <v>129.88920443296519</v>
      </c>
      <c r="CA301" s="6">
        <f t="shared" ca="1" si="239"/>
        <v>0.80051090750092835</v>
      </c>
      <c r="CB301" s="6">
        <f t="shared" ca="1" si="240"/>
        <v>-0.59931818508371693</v>
      </c>
      <c r="CC301" s="6">
        <f t="shared" ca="1" si="241"/>
        <v>-0.6426491122566238</v>
      </c>
      <c r="CD301" s="6">
        <f t="shared" ca="1" si="233"/>
        <v>-3.3954723954984827</v>
      </c>
      <c r="CE301" s="9">
        <f t="shared" ca="1" si="234"/>
        <v>181.37074358602837</v>
      </c>
      <c r="CF301" s="9">
        <f t="shared" ca="1" si="235"/>
        <v>-103.64263515300651</v>
      </c>
      <c r="CG301">
        <f t="shared" ca="1" si="242"/>
        <v>208.89505128271486</v>
      </c>
      <c r="CH301">
        <f t="shared" ca="1" si="243"/>
        <v>0.86823858426672074</v>
      </c>
      <c r="CI301">
        <f t="shared" ca="1" si="244"/>
        <v>-0.49614691452282611</v>
      </c>
      <c r="CJ301">
        <f t="shared" ca="1" si="245"/>
        <v>-0.5191553008286458</v>
      </c>
      <c r="CK301" s="38">
        <f t="shared" ca="1" si="246"/>
        <v>-2.8753497910209909</v>
      </c>
    </row>
    <row r="302" spans="55:89" x14ac:dyDescent="0.25">
      <c r="BC302">
        <v>5.2359877559829542</v>
      </c>
      <c r="BD302">
        <v>220.84534520286499</v>
      </c>
      <c r="BE302">
        <v>-85.427918915772111</v>
      </c>
      <c r="BF302" s="6">
        <f t="shared" si="228"/>
        <v>5.9140903199021011</v>
      </c>
      <c r="BG302" s="6">
        <f t="shared" si="229"/>
        <v>0.67810256391914692</v>
      </c>
      <c r="BH302" s="6">
        <f t="shared" si="230"/>
        <v>2.72528947746983</v>
      </c>
      <c r="BI302" s="6">
        <f t="shared" si="231"/>
        <v>2.72528947746983</v>
      </c>
      <c r="BV302" s="38"/>
      <c r="BW302" s="6">
        <f t="shared" si="232"/>
        <v>5.0090949532236939</v>
      </c>
      <c r="BX302" s="9">
        <f t="shared" ca="1" si="236"/>
        <v>107.06885218295004</v>
      </c>
      <c r="BY302" s="9">
        <f t="shared" ca="1" si="237"/>
        <v>-76.189986948946625</v>
      </c>
      <c r="BZ302">
        <f t="shared" ca="1" si="238"/>
        <v>131.41024777031305</v>
      </c>
      <c r="CA302" s="6">
        <f t="shared" ca="1" si="239"/>
        <v>0.81476790432730628</v>
      </c>
      <c r="CB302" s="6">
        <f t="shared" ca="1" si="240"/>
        <v>-0.57978725587761004</v>
      </c>
      <c r="CC302" s="6">
        <f t="shared" ca="1" si="241"/>
        <v>-0.61846755631502071</v>
      </c>
      <c r="CD302" s="6">
        <f t="shared" ca="1" si="233"/>
        <v>-3.3712908395568792</v>
      </c>
      <c r="CE302" s="9">
        <f t="shared" ca="1" si="234"/>
        <v>184.46187085377184</v>
      </c>
      <c r="CF302" s="9">
        <f t="shared" ca="1" si="235"/>
        <v>-101.98765983922056</v>
      </c>
      <c r="CG302">
        <f t="shared" ca="1" si="242"/>
        <v>210.77870992667681</v>
      </c>
      <c r="CH302">
        <f t="shared" ca="1" si="243"/>
        <v>0.87514469994593025</v>
      </c>
      <c r="CI302">
        <f t="shared" ca="1" si="244"/>
        <v>-0.48386129640274772</v>
      </c>
      <c r="CJ302">
        <f t="shared" ca="1" si="245"/>
        <v>-0.50506153858057334</v>
      </c>
      <c r="CK302" s="38">
        <f t="shared" ca="1" si="246"/>
        <v>-2.8612560287729183</v>
      </c>
    </row>
    <row r="303" spans="55:89" x14ac:dyDescent="0.25">
      <c r="BC303">
        <v>5.2534410485028973</v>
      </c>
      <c r="BD303">
        <v>223.45543099593471</v>
      </c>
      <c r="BE303">
        <v>-84.418730255470635</v>
      </c>
      <c r="BF303" s="6">
        <f t="shared" si="228"/>
        <v>5.9219728024079545</v>
      </c>
      <c r="BG303" s="6">
        <f t="shared" si="229"/>
        <v>0.66853175390505726</v>
      </c>
      <c r="BH303" s="6">
        <f t="shared" si="230"/>
        <v>2.7174069949639765</v>
      </c>
      <c r="BI303" s="6">
        <f t="shared" si="231"/>
        <v>2.7174069949639765</v>
      </c>
      <c r="BV303" s="38"/>
      <c r="BW303" s="6">
        <f t="shared" si="232"/>
        <v>5.026548245743637</v>
      </c>
      <c r="BX303" s="9">
        <f t="shared" ca="1" si="236"/>
        <v>110.13111689153381</v>
      </c>
      <c r="BY303" s="9">
        <f t="shared" ca="1" si="237"/>
        <v>-74.592748364956137</v>
      </c>
      <c r="BZ303">
        <f t="shared" ca="1" si="238"/>
        <v>133.0148150260502</v>
      </c>
      <c r="CA303" s="6">
        <f t="shared" ca="1" si="239"/>
        <v>0.82796128288390469</v>
      </c>
      <c r="CB303" s="6">
        <f t="shared" ca="1" si="240"/>
        <v>-0.56078526553863617</v>
      </c>
      <c r="CC303" s="6">
        <f t="shared" ca="1" si="241"/>
        <v>-0.59533392839094856</v>
      </c>
      <c r="CD303" s="6">
        <f t="shared" ca="1" si="233"/>
        <v>-3.3481572116328073</v>
      </c>
      <c r="CE303" s="9">
        <f t="shared" ca="1" si="234"/>
        <v>187.52413556235561</v>
      </c>
      <c r="CF303" s="9">
        <f t="shared" ca="1" si="235"/>
        <v>-100.39042125523007</v>
      </c>
      <c r="CG303">
        <f t="shared" ca="1" si="242"/>
        <v>212.705284603395</v>
      </c>
      <c r="CH303">
        <f t="shared" ca="1" si="243"/>
        <v>0.88161484051516847</v>
      </c>
      <c r="CI303">
        <f t="shared" ca="1" si="244"/>
        <v>-0.47196956785730809</v>
      </c>
      <c r="CJ303">
        <f t="shared" ca="1" si="245"/>
        <v>-0.49152349123154093</v>
      </c>
      <c r="CK303" s="38">
        <f t="shared" ca="1" si="246"/>
        <v>-2.8477179814238855</v>
      </c>
    </row>
    <row r="304" spans="55:89" x14ac:dyDescent="0.25">
      <c r="BC304">
        <v>5.2708943410228404</v>
      </c>
      <c r="BD304">
        <v>225.93674512436075</v>
      </c>
      <c r="BE304">
        <v>-83.402083738429937</v>
      </c>
      <c r="BF304" s="6">
        <f t="shared" si="228"/>
        <v>5.9295628464546901</v>
      </c>
      <c r="BG304" s="6">
        <f t="shared" si="229"/>
        <v>0.65866850543184974</v>
      </c>
      <c r="BH304" s="6">
        <f t="shared" si="230"/>
        <v>2.709816950917241</v>
      </c>
      <c r="BI304" s="6">
        <f t="shared" si="231"/>
        <v>2.709816950917241</v>
      </c>
      <c r="BV304" s="38"/>
      <c r="BW304" s="6">
        <f t="shared" si="232"/>
        <v>5.0440015382635801</v>
      </c>
      <c r="BX304" s="9">
        <f t="shared" ca="1" si="236"/>
        <v>113.15827757015491</v>
      </c>
      <c r="BY304" s="9">
        <f t="shared" ca="1" si="237"/>
        <v>-73.052040026899149</v>
      </c>
      <c r="BZ304">
        <f t="shared" ca="1" si="238"/>
        <v>134.69000087139318</v>
      </c>
      <c r="CA304" s="6">
        <f t="shared" ca="1" si="239"/>
        <v>0.84013866536538573</v>
      </c>
      <c r="CB304" s="6">
        <f t="shared" ca="1" si="240"/>
        <v>-0.54237166496607159</v>
      </c>
      <c r="CC304" s="6">
        <f t="shared" ca="1" si="241"/>
        <v>-0.57325749018457317</v>
      </c>
      <c r="CD304" s="6">
        <f t="shared" ca="1" si="233"/>
        <v>-3.3260807734264319</v>
      </c>
      <c r="CE304" s="9">
        <f t="shared" ca="1" si="234"/>
        <v>190.55129624097671</v>
      </c>
      <c r="CF304" s="9">
        <f t="shared" ca="1" si="235"/>
        <v>-98.849712917173079</v>
      </c>
      <c r="CG304">
        <f t="shared" ca="1" si="242"/>
        <v>214.66500004174875</v>
      </c>
      <c r="CH304">
        <f t="shared" ca="1" si="243"/>
        <v>0.88766820955403847</v>
      </c>
      <c r="CI304">
        <f t="shared" ca="1" si="244"/>
        <v>-0.46048360421097273</v>
      </c>
      <c r="CJ304">
        <f t="shared" ca="1" si="245"/>
        <v>-0.47853992447722027</v>
      </c>
      <c r="CK304" s="38">
        <f t="shared" ca="1" si="246"/>
        <v>-2.834734414669565</v>
      </c>
    </row>
    <row r="305" spans="55:89" x14ac:dyDescent="0.25">
      <c r="BC305">
        <v>5.2883476335427835</v>
      </c>
      <c r="BD305">
        <v>228.32451042246623</v>
      </c>
      <c r="BE305">
        <v>-82.38860599068677</v>
      </c>
      <c r="BF305" s="6">
        <f t="shared" si="228"/>
        <v>5.9368863398004805</v>
      </c>
      <c r="BG305" s="6">
        <f t="shared" si="229"/>
        <v>0.64853870625769705</v>
      </c>
      <c r="BH305" s="6">
        <f t="shared" si="230"/>
        <v>2.7024934575714505</v>
      </c>
      <c r="BI305" s="6">
        <f t="shared" si="231"/>
        <v>2.7024934575714505</v>
      </c>
      <c r="BV305" s="38"/>
      <c r="BW305" s="6">
        <f t="shared" si="232"/>
        <v>5.0614548307835232</v>
      </c>
      <c r="BX305" s="9">
        <f t="shared" ca="1" si="236"/>
        <v>116.14366787552886</v>
      </c>
      <c r="BY305" s="9">
        <f t="shared" ca="1" si="237"/>
        <v>-71.568032253004446</v>
      </c>
      <c r="BZ305">
        <f t="shared" ca="1" si="238"/>
        <v>136.42336613699371</v>
      </c>
      <c r="CA305" s="6">
        <f t="shared" ca="1" si="239"/>
        <v>0.85134732534674185</v>
      </c>
      <c r="CB305" s="6">
        <f t="shared" ca="1" si="240"/>
        <v>-0.52460245102834668</v>
      </c>
      <c r="CC305" s="6">
        <f t="shared" ca="1" si="241"/>
        <v>-0.55224808138475434</v>
      </c>
      <c r="CD305" s="6">
        <f t="shared" ca="1" si="233"/>
        <v>-3.3050713646266132</v>
      </c>
      <c r="CE305" s="9">
        <f t="shared" ca="1" si="234"/>
        <v>193.53668654635067</v>
      </c>
      <c r="CF305" s="9">
        <f t="shared" ca="1" si="235"/>
        <v>-97.365705143278376</v>
      </c>
      <c r="CG305">
        <f t="shared" ca="1" si="242"/>
        <v>216.64840081890338</v>
      </c>
      <c r="CH305">
        <f t="shared" ca="1" si="243"/>
        <v>0.893321556101068</v>
      </c>
      <c r="CI305">
        <f t="shared" ca="1" si="244"/>
        <v>-0.44941806528572747</v>
      </c>
      <c r="CJ305">
        <f t="shared" ca="1" si="245"/>
        <v>-0.46611380417730797</v>
      </c>
      <c r="CK305" s="38">
        <f t="shared" ca="1" si="246"/>
        <v>-2.8223082943696527</v>
      </c>
    </row>
    <row r="306" spans="55:89" x14ac:dyDescent="0.25">
      <c r="BC306">
        <v>5.3058009260627266</v>
      </c>
      <c r="BD306">
        <v>230.68407100913009</v>
      </c>
      <c r="BE306">
        <v>-81.394270032262952</v>
      </c>
      <c r="BF306" s="6">
        <f t="shared" si="228"/>
        <v>5.9439838119945954</v>
      </c>
      <c r="BG306" s="6">
        <f t="shared" si="229"/>
        <v>0.63818288593186878</v>
      </c>
      <c r="BH306" s="6">
        <f t="shared" si="230"/>
        <v>2.6953959853773357</v>
      </c>
      <c r="BI306" s="6">
        <f t="shared" si="231"/>
        <v>2.6953959853773357</v>
      </c>
      <c r="BV306" s="38"/>
      <c r="BW306" s="6">
        <f t="shared" si="232"/>
        <v>5.0789081233034663</v>
      </c>
      <c r="BX306" s="9">
        <f t="shared" ca="1" si="236"/>
        <v>119.07995070213802</v>
      </c>
      <c r="BY306" s="9">
        <f t="shared" ca="1" si="237"/>
        <v>-70.142393397835079</v>
      </c>
      <c r="BZ306">
        <f t="shared" ca="1" si="238"/>
        <v>138.20271347119157</v>
      </c>
      <c r="CA306" s="6">
        <f t="shared" ca="1" si="239"/>
        <v>0.86163250859007412</v>
      </c>
      <c r="CB306" s="6">
        <f t="shared" ca="1" si="240"/>
        <v>-0.50753267888952336</v>
      </c>
      <c r="CC306" s="6">
        <f t="shared" ca="1" si="241"/>
        <v>-0.53231882498295791</v>
      </c>
      <c r="CD306" s="6">
        <f t="shared" ca="1" si="233"/>
        <v>-3.2851421082248167</v>
      </c>
      <c r="CE306" s="9">
        <f t="shared" ca="1" si="234"/>
        <v>196.47296937295982</v>
      </c>
      <c r="CF306" s="9">
        <f t="shared" ca="1" si="235"/>
        <v>-95.940066288109008</v>
      </c>
      <c r="CG306">
        <f t="shared" ca="1" si="242"/>
        <v>218.64611593530483</v>
      </c>
      <c r="CH306">
        <f t="shared" ca="1" si="243"/>
        <v>0.89858888429142814</v>
      </c>
      <c r="CI306">
        <f t="shared" ca="1" si="244"/>
        <v>-0.43879154165490275</v>
      </c>
      <c r="CJ306">
        <f t="shared" ca="1" si="245"/>
        <v>-0.45425339104269463</v>
      </c>
      <c r="CK306" s="38">
        <f t="shared" ca="1" si="246"/>
        <v>-2.8104478812350395</v>
      </c>
    </row>
    <row r="307" spans="55:89" x14ac:dyDescent="0.25">
      <c r="BC307">
        <v>5.3232542185826697</v>
      </c>
      <c r="BD307">
        <v>233.01161789129145</v>
      </c>
      <c r="BE307">
        <v>-80.420696392853543</v>
      </c>
      <c r="BF307" s="6">
        <f t="shared" si="228"/>
        <v>5.9508502323719172</v>
      </c>
      <c r="BG307" s="6">
        <f t="shared" si="229"/>
        <v>0.62759601378924756</v>
      </c>
      <c r="BH307" s="6">
        <f t="shared" si="230"/>
        <v>2.6885295650000138</v>
      </c>
      <c r="BI307" s="6">
        <f t="shared" si="231"/>
        <v>2.6885295650000138</v>
      </c>
      <c r="BV307" s="38"/>
      <c r="BW307" s="6">
        <f t="shared" si="232"/>
        <v>5.0963614158234094</v>
      </c>
      <c r="BX307" s="9">
        <f t="shared" ca="1" si="236"/>
        <v>121.95883775880991</v>
      </c>
      <c r="BY307" s="9">
        <f t="shared" ca="1" si="237"/>
        <v>-68.778469190365698</v>
      </c>
      <c r="BZ307">
        <f t="shared" ca="1" si="238"/>
        <v>140.01584171674932</v>
      </c>
      <c r="CA307" s="6">
        <f t="shared" ca="1" si="239"/>
        <v>0.87103599323804692</v>
      </c>
      <c r="CB307" s="6">
        <f t="shared" ca="1" si="240"/>
        <v>-0.49121919596429575</v>
      </c>
      <c r="CC307" s="6">
        <f t="shared" ca="1" si="241"/>
        <v>-0.51348890929124602</v>
      </c>
      <c r="CD307" s="6">
        <f t="shared" ca="1" si="233"/>
        <v>-3.2663121925331047</v>
      </c>
      <c r="CE307" s="9">
        <f t="shared" ca="1" si="234"/>
        <v>199.35185642963171</v>
      </c>
      <c r="CF307" s="9">
        <f t="shared" ca="1" si="235"/>
        <v>-94.576142080639627</v>
      </c>
      <c r="CG307">
        <f t="shared" ca="1" si="242"/>
        <v>220.64861049369387</v>
      </c>
      <c r="CH307">
        <f t="shared" ca="1" si="243"/>
        <v>0.90348113221102377</v>
      </c>
      <c r="CI307">
        <f t="shared" ca="1" si="244"/>
        <v>-0.42862786159871424</v>
      </c>
      <c r="CJ307">
        <f t="shared" ca="1" si="245"/>
        <v>-0.44297350491448595</v>
      </c>
      <c r="CK307" s="38">
        <f t="shared" ca="1" si="246"/>
        <v>-2.7991679951068309</v>
      </c>
    </row>
    <row r="308" spans="55:89" x14ac:dyDescent="0.25">
      <c r="BC308">
        <v>5.3407075111026128</v>
      </c>
      <c r="BD308">
        <v>235.30527563703885</v>
      </c>
      <c r="BE308">
        <v>-79.468783681997053</v>
      </c>
      <c r="BF308" s="6">
        <f t="shared" si="228"/>
        <v>5.9574862933256147</v>
      </c>
      <c r="BG308" s="6">
        <f t="shared" si="229"/>
        <v>0.61677878222300198</v>
      </c>
      <c r="BH308" s="6">
        <f t="shared" si="230"/>
        <v>2.6818935040463163</v>
      </c>
      <c r="BI308" s="6">
        <f t="shared" si="231"/>
        <v>2.6818935040463163</v>
      </c>
      <c r="BV308" s="38"/>
      <c r="BW308" s="6">
        <f t="shared" si="232"/>
        <v>5.1138147083433525</v>
      </c>
      <c r="BX308" s="9">
        <f t="shared" ca="1" si="236"/>
        <v>124.77446334882116</v>
      </c>
      <c r="BY308" s="9">
        <f t="shared" ca="1" si="237"/>
        <v>-67.478971070969237</v>
      </c>
      <c r="BZ308">
        <f t="shared" ca="1" si="238"/>
        <v>141.85231136919489</v>
      </c>
      <c r="CA308" s="6">
        <f t="shared" ca="1" si="239"/>
        <v>0.87960824990771058</v>
      </c>
      <c r="CB308" s="6">
        <f t="shared" ca="1" si="240"/>
        <v>-0.47569877726802545</v>
      </c>
      <c r="CC308" s="6">
        <f t="shared" ca="1" si="241"/>
        <v>-0.49575827995066035</v>
      </c>
      <c r="CD308" s="6">
        <f t="shared" ca="1" si="233"/>
        <v>-3.248581563192519</v>
      </c>
      <c r="CE308" s="9">
        <f t="shared" ca="1" si="234"/>
        <v>202.16748201964296</v>
      </c>
      <c r="CF308" s="9">
        <f t="shared" ca="1" si="235"/>
        <v>-93.276643961243167</v>
      </c>
      <c r="CG308">
        <f t="shared" ca="1" si="242"/>
        <v>222.64820478691306</v>
      </c>
      <c r="CH308">
        <f t="shared" ca="1" si="243"/>
        <v>0.9080130792571568</v>
      </c>
      <c r="CI308">
        <f t="shared" ca="1" si="244"/>
        <v>-0.41894181922784512</v>
      </c>
      <c r="CJ308">
        <f t="shared" ca="1" si="245"/>
        <v>-0.43227962579286794</v>
      </c>
      <c r="CK308" s="38">
        <f t="shared" ca="1" si="246"/>
        <v>-2.7884741159852129</v>
      </c>
    </row>
    <row r="309" spans="55:89" x14ac:dyDescent="0.25">
      <c r="BC309">
        <v>5.3581608036225559</v>
      </c>
      <c r="BD309">
        <v>237.56451115828526</v>
      </c>
      <c r="BE309">
        <v>-78.538917269358578</v>
      </c>
      <c r="BF309" s="6">
        <f t="shared" si="228"/>
        <v>5.963896425599839</v>
      </c>
      <c r="BG309" s="6">
        <f t="shared" si="229"/>
        <v>0.60573562197728315</v>
      </c>
      <c r="BH309" s="6">
        <f t="shared" si="230"/>
        <v>2.6754833717720921</v>
      </c>
      <c r="BI309" s="6">
        <f t="shared" si="231"/>
        <v>2.6754833717720921</v>
      </c>
      <c r="BV309" s="38"/>
      <c r="BW309" s="6">
        <f t="shared" si="232"/>
        <v>5.1312680008632956</v>
      </c>
      <c r="BX309" s="9">
        <f t="shared" ca="1" si="236"/>
        <v>127.53504553364685</v>
      </c>
      <c r="BY309" s="9">
        <f t="shared" ca="1" si="237"/>
        <v>-66.237583620214394</v>
      </c>
      <c r="BZ309">
        <f t="shared" ca="1" si="238"/>
        <v>143.71014342458321</v>
      </c>
      <c r="CA309" s="6">
        <f t="shared" ca="1" si="239"/>
        <v>0.88744637291782547</v>
      </c>
      <c r="CB309" s="6">
        <f t="shared" ca="1" si="240"/>
        <v>-0.46091098402511038</v>
      </c>
      <c r="CC309" s="6">
        <f t="shared" ca="1" si="241"/>
        <v>-0.47902144810403291</v>
      </c>
      <c r="CD309" s="6">
        <f t="shared" ca="1" si="233"/>
        <v>-3.2318447313458916</v>
      </c>
      <c r="CE309" s="9">
        <f t="shared" ca="1" si="234"/>
        <v>204.92806420446865</v>
      </c>
      <c r="CF309" s="9">
        <f t="shared" ca="1" si="235"/>
        <v>-92.035256510488324</v>
      </c>
      <c r="CG309">
        <f t="shared" ca="1" si="242"/>
        <v>224.64638866347755</v>
      </c>
      <c r="CH309">
        <f t="shared" ca="1" si="243"/>
        <v>0.91222505477910376</v>
      </c>
      <c r="CI309">
        <f t="shared" ca="1" si="244"/>
        <v>-0.4096894548719322</v>
      </c>
      <c r="CJ309">
        <f t="shared" ca="1" si="245"/>
        <v>-0.42211361015082621</v>
      </c>
      <c r="CK309" s="38">
        <f t="shared" ca="1" si="246"/>
        <v>-2.7783081003431711</v>
      </c>
    </row>
    <row r="310" spans="55:89" x14ac:dyDescent="0.25">
      <c r="BC310">
        <v>5.375614096142499</v>
      </c>
      <c r="BD310">
        <v>239.78972282127742</v>
      </c>
      <c r="BE310">
        <v>-77.63111765804824</v>
      </c>
      <c r="BF310" s="6">
        <f t="shared" si="228"/>
        <v>5.970087444454558</v>
      </c>
      <c r="BG310" s="6">
        <f t="shared" si="229"/>
        <v>0.594473348312059</v>
      </c>
      <c r="BH310" s="6">
        <f t="shared" si="230"/>
        <v>2.6692923529173731</v>
      </c>
      <c r="BI310" s="6">
        <f t="shared" si="231"/>
        <v>2.6692923529173731</v>
      </c>
      <c r="BV310" s="38"/>
      <c r="BW310" s="6">
        <f t="shared" si="232"/>
        <v>5.1487212933832387</v>
      </c>
      <c r="BX310" s="9">
        <f t="shared" ca="1" si="236"/>
        <v>130.25121982539315</v>
      </c>
      <c r="BY310" s="9">
        <f t="shared" ca="1" si="237"/>
        <v>-65.046415747170059</v>
      </c>
      <c r="BZ310">
        <f t="shared" ca="1" si="238"/>
        <v>145.5898913646019</v>
      </c>
      <c r="CA310" s="6">
        <f t="shared" ca="1" si="239"/>
        <v>0.89464466663557018</v>
      </c>
      <c r="CB310" s="6">
        <f t="shared" ca="1" si="240"/>
        <v>-0.44677837958044636</v>
      </c>
      <c r="CC310" s="6">
        <f t="shared" ca="1" si="241"/>
        <v>-0.46316108196829014</v>
      </c>
      <c r="CD310" s="6">
        <f t="shared" ca="1" si="233"/>
        <v>-3.215984365210149</v>
      </c>
      <c r="CE310" s="9">
        <f t="shared" ca="1" si="234"/>
        <v>207.64423849621494</v>
      </c>
      <c r="CF310" s="9">
        <f t="shared" ca="1" si="235"/>
        <v>-90.844088637443988</v>
      </c>
      <c r="CG310">
        <f t="shared" ca="1" si="242"/>
        <v>226.64681383386085</v>
      </c>
      <c r="CH310">
        <f t="shared" ca="1" si="243"/>
        <v>0.91615776539627247</v>
      </c>
      <c r="CI310">
        <f t="shared" ca="1" si="244"/>
        <v>-0.40081785003179232</v>
      </c>
      <c r="CJ310">
        <f t="shared" ca="1" si="245"/>
        <v>-0.41240936755950458</v>
      </c>
      <c r="CK310" s="38">
        <f t="shared" ca="1" si="246"/>
        <v>-2.7686038577518493</v>
      </c>
    </row>
    <row r="311" spans="55:89" x14ac:dyDescent="0.25">
      <c r="BC311">
        <v>5.3930673886624421</v>
      </c>
      <c r="BD311">
        <v>241.98195216025422</v>
      </c>
      <c r="BE311">
        <v>-76.745147147313617</v>
      </c>
      <c r="BF311" s="6">
        <f t="shared" si="228"/>
        <v>5.9760676217976467</v>
      </c>
      <c r="BG311" s="6">
        <f t="shared" si="229"/>
        <v>0.58300023313520466</v>
      </c>
      <c r="BH311" s="6">
        <f t="shared" si="230"/>
        <v>2.6633121755742843</v>
      </c>
      <c r="BI311" s="6">
        <f t="shared" si="231"/>
        <v>2.6633121755742843</v>
      </c>
      <c r="BV311" s="38"/>
      <c r="BW311" s="6">
        <f t="shared" si="232"/>
        <v>5.1661745859031818</v>
      </c>
      <c r="BX311" s="9">
        <f t="shared" ca="1" si="236"/>
        <v>132.93217687873408</v>
      </c>
      <c r="BY311" s="9">
        <f t="shared" ca="1" si="237"/>
        <v>-63.898607498999823</v>
      </c>
      <c r="BZ311">
        <f t="shared" ca="1" si="238"/>
        <v>147.49235807332622</v>
      </c>
      <c r="CA311" s="6">
        <f t="shared" ca="1" si="239"/>
        <v>0.90128179259732566</v>
      </c>
      <c r="CB311" s="6">
        <f t="shared" ca="1" si="240"/>
        <v>-0.43323334397591273</v>
      </c>
      <c r="CC311" s="6">
        <f t="shared" ca="1" si="241"/>
        <v>-0.44807719173901689</v>
      </c>
      <c r="CD311" s="6">
        <f t="shared" ca="1" si="233"/>
        <v>-3.2009004749808754</v>
      </c>
      <c r="CE311" s="9">
        <f t="shared" ca="1" si="234"/>
        <v>210.32519554955587</v>
      </c>
      <c r="CF311" s="9">
        <f t="shared" ca="1" si="235"/>
        <v>-89.696280389273753</v>
      </c>
      <c r="CG311">
        <f t="shared" ca="1" si="242"/>
        <v>228.65281673014687</v>
      </c>
      <c r="CH311">
        <f t="shared" ca="1" si="243"/>
        <v>0.9198451983111976</v>
      </c>
      <c r="CI311">
        <f t="shared" ca="1" si="244"/>
        <v>-0.39228154575997265</v>
      </c>
      <c r="CJ311">
        <f t="shared" ca="1" si="245"/>
        <v>-0.40311064317623069</v>
      </c>
      <c r="CK311" s="38">
        <f t="shared" ca="1" si="246"/>
        <v>-2.7593051333685756</v>
      </c>
    </row>
    <row r="312" spans="55:89" x14ac:dyDescent="0.25">
      <c r="BC312">
        <v>5.4105206811823852</v>
      </c>
      <c r="BD312">
        <v>244.14268019020489</v>
      </c>
      <c r="BE312">
        <v>-75.880587187888594</v>
      </c>
      <c r="BF312" s="6">
        <f t="shared" si="228"/>
        <v>5.9818460492272791</v>
      </c>
      <c r="BG312" s="6">
        <f t="shared" si="229"/>
        <v>0.57132536804489398</v>
      </c>
      <c r="BH312" s="6">
        <f t="shared" si="230"/>
        <v>2.6575337481446519</v>
      </c>
      <c r="BI312" s="6">
        <f t="shared" si="231"/>
        <v>2.6575337481446519</v>
      </c>
      <c r="BV312" s="38"/>
      <c r="BW312" s="6">
        <f t="shared" si="232"/>
        <v>5.1836278784231249</v>
      </c>
      <c r="BX312" s="9">
        <f t="shared" ca="1" si="236"/>
        <v>135.58596625518044</v>
      </c>
      <c r="BY312" s="9">
        <f t="shared" ca="1" si="237"/>
        <v>-62.788140642256892</v>
      </c>
      <c r="BZ312">
        <f t="shared" ca="1" si="238"/>
        <v>149.41855591144883</v>
      </c>
      <c r="CA312" s="6">
        <f t="shared" ca="1" si="239"/>
        <v>0.90742388338657132</v>
      </c>
      <c r="CB312" s="6">
        <f t="shared" ca="1" si="240"/>
        <v>-0.42021648689649732</v>
      </c>
      <c r="CC312" s="6">
        <f t="shared" ca="1" si="241"/>
        <v>-0.43368387995913005</v>
      </c>
      <c r="CD312" s="6">
        <f t="shared" ca="1" si="233"/>
        <v>-3.1865071632009885</v>
      </c>
      <c r="CE312" s="9">
        <f t="shared" ca="1" si="234"/>
        <v>212.97898492600223</v>
      </c>
      <c r="CF312" s="9">
        <f t="shared" ca="1" si="235"/>
        <v>-88.585813532530821</v>
      </c>
      <c r="CG312">
        <f t="shared" ca="1" si="242"/>
        <v>230.66749744888332</v>
      </c>
      <c r="CH312">
        <f t="shared" ca="1" si="243"/>
        <v>0.92331597334470183</v>
      </c>
      <c r="CI312">
        <f t="shared" ca="1" si="244"/>
        <v>-0.38404116103163483</v>
      </c>
      <c r="CJ312">
        <f t="shared" ca="1" si="245"/>
        <v>-0.39416912471012538</v>
      </c>
      <c r="CK312" s="38">
        <f t="shared" ca="1" si="246"/>
        <v>-2.7503636149024704</v>
      </c>
    </row>
    <row r="313" spans="55:89" x14ac:dyDescent="0.25">
      <c r="BC313">
        <v>5.4279739737023283</v>
      </c>
      <c r="BD313">
        <v>246.27368283571766</v>
      </c>
      <c r="BE313">
        <v>-75.036894872401362</v>
      </c>
      <c r="BF313" s="6">
        <f t="shared" si="228"/>
        <v>5.9874322015793293</v>
      </c>
      <c r="BG313" s="6">
        <f t="shared" si="229"/>
        <v>0.55945822787700106</v>
      </c>
      <c r="BH313" s="6">
        <f t="shared" si="230"/>
        <v>2.6519475957926018</v>
      </c>
      <c r="BI313" s="6">
        <f t="shared" si="231"/>
        <v>2.6519475957926018</v>
      </c>
      <c r="BV313" s="38"/>
      <c r="BW313" s="6">
        <f t="shared" si="232"/>
        <v>5.201081170943068</v>
      </c>
      <c r="BX313" s="9">
        <f t="shared" ca="1" si="236"/>
        <v>138.21973251644727</v>
      </c>
      <c r="BY313" s="9">
        <f t="shared" ca="1" si="237"/>
        <v>-61.709687127588538</v>
      </c>
      <c r="BZ313">
        <f t="shared" ca="1" si="238"/>
        <v>151.36967973244541</v>
      </c>
      <c r="CA313" s="6">
        <f t="shared" ca="1" si="239"/>
        <v>0.91312694035396369</v>
      </c>
      <c r="CB313" s="6">
        <f t="shared" ca="1" si="240"/>
        <v>-0.40767534975738834</v>
      </c>
      <c r="CC313" s="6">
        <f t="shared" ca="1" si="241"/>
        <v>-0.41990679820165705</v>
      </c>
      <c r="CD313" s="6">
        <f t="shared" ca="1" si="233"/>
        <v>-3.1727300814435155</v>
      </c>
      <c r="CE313" s="9">
        <f t="shared" ca="1" si="234"/>
        <v>215.61275118726905</v>
      </c>
      <c r="CF313" s="9">
        <f t="shared" ca="1" si="235"/>
        <v>-87.507360017862467</v>
      </c>
      <c r="CG313">
        <f t="shared" ca="1" si="242"/>
        <v>232.69378275286812</v>
      </c>
      <c r="CH313">
        <f t="shared" ca="1" si="243"/>
        <v>0.92659437925877064</v>
      </c>
      <c r="CI313">
        <f t="shared" ca="1" si="244"/>
        <v>-0.37606230378230371</v>
      </c>
      <c r="CJ313">
        <f t="shared" ca="1" si="245"/>
        <v>-0.3855429685700747</v>
      </c>
      <c r="CK313" s="38">
        <f t="shared" ca="1" si="246"/>
        <v>-2.7417374587624197</v>
      </c>
    </row>
    <row r="314" spans="55:89" x14ac:dyDescent="0.25">
      <c r="BC314">
        <v>5.4454272662222714</v>
      </c>
      <c r="BD314">
        <v>248.37692811695842</v>
      </c>
      <c r="BE314">
        <v>-74.213444394699835</v>
      </c>
      <c r="BF314" s="6">
        <f t="shared" si="228"/>
        <v>5.9928356397100444</v>
      </c>
      <c r="BG314" s="6">
        <f t="shared" si="229"/>
        <v>0.54740837348777305</v>
      </c>
      <c r="BH314" s="6">
        <f t="shared" si="230"/>
        <v>2.6465441576618867</v>
      </c>
      <c r="BI314" s="6">
        <f t="shared" si="231"/>
        <v>2.6465441576618867</v>
      </c>
      <c r="BV314" s="38"/>
      <c r="BW314" s="6">
        <f t="shared" si="232"/>
        <v>5.2185344634630111</v>
      </c>
      <c r="BX314" s="9">
        <f t="shared" ca="1" si="236"/>
        <v>140.8399010926874</v>
      </c>
      <c r="BY314" s="9">
        <f t="shared" ca="1" si="237"/>
        <v>-60.658486556194404</v>
      </c>
      <c r="BZ314">
        <f t="shared" ca="1" si="238"/>
        <v>153.3470890857925</v>
      </c>
      <c r="CA314" s="6">
        <f t="shared" ca="1" si="239"/>
        <v>0.91843869963447589</v>
      </c>
      <c r="CB314" s="6">
        <f t="shared" ca="1" si="240"/>
        <v>-0.39556333881406797</v>
      </c>
      <c r="CC314" s="6">
        <f t="shared" ca="1" si="241"/>
        <v>-0.4066811358202555</v>
      </c>
      <c r="CD314" s="6">
        <f t="shared" ca="1" si="233"/>
        <v>-3.159504419062114</v>
      </c>
      <c r="CE314" s="9">
        <f t="shared" ca="1" si="234"/>
        <v>218.23291976350919</v>
      </c>
      <c r="CF314" s="9">
        <f t="shared" ca="1" si="235"/>
        <v>-86.456159446468334</v>
      </c>
      <c r="CG314">
        <f t="shared" ca="1" si="242"/>
        <v>234.73447717525306</v>
      </c>
      <c r="CH314">
        <f t="shared" ca="1" si="243"/>
        <v>0.92970117721810508</v>
      </c>
      <c r="CI314">
        <f t="shared" ca="1" si="244"/>
        <v>-0.36831470385971488</v>
      </c>
      <c r="CJ314">
        <f t="shared" ca="1" si="245"/>
        <v>-0.37719563949402524</v>
      </c>
      <c r="CK314" s="38">
        <f t="shared" ca="1" si="246"/>
        <v>-2.7333901296863701</v>
      </c>
    </row>
    <row r="315" spans="55:89" x14ac:dyDescent="0.25">
      <c r="BC315">
        <v>5.4628805587422145</v>
      </c>
      <c r="BD315">
        <v>250.45450310141044</v>
      </c>
      <c r="BE315">
        <v>-73.40955757592782</v>
      </c>
      <c r="BF315" s="6">
        <f t="shared" si="228"/>
        <v>5.9980658104937588</v>
      </c>
      <c r="BG315" s="6">
        <f t="shared" si="229"/>
        <v>0.5351852517515443</v>
      </c>
      <c r="BH315" s="6">
        <f t="shared" si="230"/>
        <v>2.6413139868781723</v>
      </c>
      <c r="BI315" s="6">
        <f t="shared" si="231"/>
        <v>2.6413139868781723</v>
      </c>
      <c r="BV315" s="38"/>
      <c r="BW315" s="6">
        <f t="shared" si="232"/>
        <v>5.2359877559829542</v>
      </c>
      <c r="BX315" s="9">
        <f t="shared" ca="1" si="236"/>
        <v>143.45232653204317</v>
      </c>
      <c r="BY315" s="9">
        <f t="shared" ca="1" si="237"/>
        <v>-59.630246025498181</v>
      </c>
      <c r="BZ315">
        <f t="shared" ca="1" si="238"/>
        <v>155.35229714593018</v>
      </c>
      <c r="CA315" s="6">
        <f t="shared" ca="1" si="239"/>
        <v>0.92340009879153073</v>
      </c>
      <c r="CB315" s="6">
        <f t="shared" ca="1" si="240"/>
        <v>-0.38383884320348677</v>
      </c>
      <c r="CC315" s="6">
        <f t="shared" ca="1" si="241"/>
        <v>-0.39395001379167816</v>
      </c>
      <c r="CD315" s="6">
        <f t="shared" ca="1" si="233"/>
        <v>-3.1467732970335369</v>
      </c>
      <c r="CE315" s="9">
        <f t="shared" ca="1" si="234"/>
        <v>220.84534520286496</v>
      </c>
      <c r="CF315" s="9">
        <f t="shared" ca="1" si="235"/>
        <v>-85.427918915772111</v>
      </c>
      <c r="CG315">
        <f t="shared" ca="1" si="242"/>
        <v>236.79230525515882</v>
      </c>
      <c r="CH315">
        <f t="shared" ca="1" si="243"/>
        <v>0.93265423031753503</v>
      </c>
      <c r="CI315">
        <f t="shared" ca="1" si="244"/>
        <v>-0.36077151588062828</v>
      </c>
      <c r="CJ315">
        <f t="shared" ca="1" si="245"/>
        <v>-0.36909498727748541</v>
      </c>
      <c r="CK315" s="38">
        <f t="shared" ca="1" si="246"/>
        <v>-2.7252894774698304</v>
      </c>
    </row>
    <row r="316" spans="55:89" x14ac:dyDescent="0.25">
      <c r="BC316">
        <v>5.4803338512621576</v>
      </c>
      <c r="BD316">
        <v>252.50856223644033</v>
      </c>
      <c r="BE316">
        <v>-72.624526373401636</v>
      </c>
      <c r="BF316" s="6">
        <f t="shared" si="228"/>
        <v>6.0031319149359774</v>
      </c>
      <c r="BG316" s="6">
        <f t="shared" si="229"/>
        <v>0.52279806367381987</v>
      </c>
      <c r="BH316" s="6">
        <f t="shared" si="230"/>
        <v>2.6362478824359536</v>
      </c>
      <c r="BI316" s="6">
        <f t="shared" si="231"/>
        <v>2.6362478824359536</v>
      </c>
      <c r="BV316" s="38"/>
      <c r="BW316" s="6">
        <f t="shared" si="232"/>
        <v>5.2534410485028973</v>
      </c>
      <c r="BX316" s="9">
        <f t="shared" ca="1" si="236"/>
        <v>146.06241232511292</v>
      </c>
      <c r="BY316" s="9">
        <f t="shared" ca="1" si="237"/>
        <v>-58.621057365196705</v>
      </c>
      <c r="BZ316">
        <f t="shared" ca="1" si="238"/>
        <v>157.38696471069318</v>
      </c>
      <c r="CA316" s="6">
        <f t="shared" ca="1" si="239"/>
        <v>0.92804644014580928</v>
      </c>
      <c r="CB316" s="6">
        <f t="shared" ca="1" si="240"/>
        <v>-0.3724645015738961</v>
      </c>
      <c r="CC316" s="6">
        <f t="shared" ca="1" si="241"/>
        <v>-0.38166319017016409</v>
      </c>
      <c r="CD316" s="6">
        <f t="shared" ca="1" si="233"/>
        <v>-3.1344864734120228</v>
      </c>
      <c r="CE316" s="9">
        <f t="shared" ca="1" si="234"/>
        <v>223.45543099593471</v>
      </c>
      <c r="CF316" s="9">
        <f t="shared" ca="1" si="235"/>
        <v>-84.418730255470635</v>
      </c>
      <c r="CG316">
        <f t="shared" ca="1" si="242"/>
        <v>238.86994716691518</v>
      </c>
      <c r="CH316">
        <f t="shared" ca="1" si="243"/>
        <v>0.93546900163121283</v>
      </c>
      <c r="CI316">
        <f t="shared" ca="1" si="244"/>
        <v>-0.35340875341041267</v>
      </c>
      <c r="CJ316">
        <f t="shared" ca="1" si="245"/>
        <v>-0.36121250477163191</v>
      </c>
      <c r="CK316" s="38">
        <f t="shared" ca="1" si="246"/>
        <v>-2.7174069949639765</v>
      </c>
    </row>
    <row r="317" spans="55:89" x14ac:dyDescent="0.25">
      <c r="BC317">
        <v>5.4977871437821006</v>
      </c>
      <c r="BD317">
        <v>254.54129113760214</v>
      </c>
      <c r="BE317">
        <v>-71.857629465616967</v>
      </c>
      <c r="BF317" s="6">
        <f t="shared" si="228"/>
        <v>6.0080428241034447</v>
      </c>
      <c r="BG317" s="6">
        <f t="shared" si="229"/>
        <v>0.51025568032134405</v>
      </c>
      <c r="BH317" s="6">
        <f t="shared" si="230"/>
        <v>2.6313369732684864</v>
      </c>
      <c r="BI317" s="6">
        <f t="shared" si="231"/>
        <v>2.6313369732684864</v>
      </c>
      <c r="BV317" s="38"/>
      <c r="BW317" s="6">
        <f t="shared" si="232"/>
        <v>5.2708943410228404</v>
      </c>
      <c r="BX317" s="9">
        <f t="shared" ca="1" si="236"/>
        <v>148.54372645353897</v>
      </c>
      <c r="BY317" s="9">
        <f t="shared" ca="1" si="237"/>
        <v>-57.604410848156007</v>
      </c>
      <c r="BZ317">
        <f t="shared" ca="1" si="238"/>
        <v>159.3220223882027</v>
      </c>
      <c r="CA317" s="6">
        <f t="shared" ca="1" si="239"/>
        <v>0.93234898871418148</v>
      </c>
      <c r="CB317" s="6">
        <f t="shared" ca="1" si="240"/>
        <v>-0.36155962612499098</v>
      </c>
      <c r="CC317" s="6">
        <f t="shared" ca="1" si="241"/>
        <v>-0.36994014420741311</v>
      </c>
      <c r="CD317" s="6">
        <f t="shared" ca="1" si="233"/>
        <v>-3.1227634274492719</v>
      </c>
      <c r="CE317" s="9">
        <f t="shared" ca="1" si="234"/>
        <v>225.93674512436075</v>
      </c>
      <c r="CF317" s="9">
        <f t="shared" ca="1" si="235"/>
        <v>-83.402083738429937</v>
      </c>
      <c r="CG317">
        <f t="shared" ca="1" si="242"/>
        <v>240.83878501873912</v>
      </c>
      <c r="CH317">
        <f t="shared" ca="1" si="243"/>
        <v>0.93812441840204908</v>
      </c>
      <c r="CI317">
        <f t="shared" ca="1" si="244"/>
        <v>-0.34629839098358101</v>
      </c>
      <c r="CJ317">
        <f t="shared" ca="1" si="245"/>
        <v>-0.35362246072489595</v>
      </c>
      <c r="CK317" s="38">
        <f t="shared" ca="1" si="246"/>
        <v>-2.709816950917241</v>
      </c>
    </row>
    <row r="318" spans="55:89" x14ac:dyDescent="0.25">
      <c r="BC318">
        <v>5.5152404363020437</v>
      </c>
      <c r="BD318">
        <v>256.55488160480752</v>
      </c>
      <c r="BE318">
        <v>-71.108144439944112</v>
      </c>
      <c r="BF318" s="6">
        <f t="shared" si="228"/>
        <v>6.0128070285802311</v>
      </c>
      <c r="BG318" s="6">
        <f t="shared" si="229"/>
        <v>0.49756659227818734</v>
      </c>
      <c r="BH318" s="6">
        <f t="shared" si="230"/>
        <v>2.6265727687917</v>
      </c>
      <c r="BI318" s="6">
        <f t="shared" si="231"/>
        <v>2.6265727687917</v>
      </c>
      <c r="BV318" s="38"/>
      <c r="BW318" s="6">
        <f t="shared" si="232"/>
        <v>5.2883476335427835</v>
      </c>
      <c r="BX318" s="9">
        <f t="shared" ca="1" si="236"/>
        <v>150.93149175164444</v>
      </c>
      <c r="BY318" s="9">
        <f t="shared" ca="1" si="237"/>
        <v>-56.59093310041284</v>
      </c>
      <c r="BZ318">
        <f t="shared" ca="1" si="238"/>
        <v>161.19196292480626</v>
      </c>
      <c r="CA318" s="6">
        <f t="shared" ca="1" si="239"/>
        <v>0.93634626077512206</v>
      </c>
      <c r="CB318" s="6">
        <f t="shared" ca="1" si="240"/>
        <v>-0.35107788300097631</v>
      </c>
      <c r="CC318" s="6">
        <f t="shared" ca="1" si="241"/>
        <v>-0.35872201412175586</v>
      </c>
      <c r="CD318" s="6">
        <f t="shared" ca="1" si="233"/>
        <v>-3.1115452973636146</v>
      </c>
      <c r="CE318" s="9">
        <f t="shared" ca="1" si="234"/>
        <v>228.32451042246623</v>
      </c>
      <c r="CF318" s="9">
        <f t="shared" ca="1" si="235"/>
        <v>-82.38860599068677</v>
      </c>
      <c r="CG318">
        <f t="shared" ca="1" si="242"/>
        <v>242.73434956088832</v>
      </c>
      <c r="CH318">
        <f t="shared" ca="1" si="243"/>
        <v>0.94063535233274653</v>
      </c>
      <c r="CI318">
        <f t="shared" ca="1" si="244"/>
        <v>-0.33941881789589951</v>
      </c>
      <c r="CJ318">
        <f t="shared" ca="1" si="245"/>
        <v>-0.3462989673791057</v>
      </c>
      <c r="CK318" s="38">
        <f t="shared" ca="1" si="246"/>
        <v>-2.7024934575714505</v>
      </c>
    </row>
    <row r="319" spans="55:89" x14ac:dyDescent="0.25">
      <c r="BC319">
        <v>5.5326937288219868</v>
      </c>
      <c r="BD319">
        <v>258.55151482582903</v>
      </c>
      <c r="BE319">
        <v>-70.375356700235784</v>
      </c>
      <c r="BF319" s="6">
        <f t="shared" si="228"/>
        <v>6.0174326113530903</v>
      </c>
      <c r="BG319" s="6">
        <f t="shared" si="229"/>
        <v>0.48473888253110342</v>
      </c>
      <c r="BH319" s="6">
        <f t="shared" si="230"/>
        <v>2.6219471860188408</v>
      </c>
      <c r="BI319" s="6">
        <f t="shared" si="231"/>
        <v>2.6219471860188408</v>
      </c>
      <c r="BV319" s="38"/>
      <c r="BW319" s="6">
        <f t="shared" si="232"/>
        <v>5.3058009260627266</v>
      </c>
      <c r="BX319" s="9">
        <f t="shared" ca="1" si="236"/>
        <v>153.2910523383083</v>
      </c>
      <c r="BY319" s="9">
        <f t="shared" ca="1" si="237"/>
        <v>-55.596597141989022</v>
      </c>
      <c r="BZ319">
        <f t="shared" ca="1" si="238"/>
        <v>163.06173168697367</v>
      </c>
      <c r="CA319" s="6">
        <f t="shared" ca="1" si="239"/>
        <v>0.94007987497997414</v>
      </c>
      <c r="CB319" s="6">
        <f t="shared" ca="1" si="240"/>
        <v>-0.34095429115592057</v>
      </c>
      <c r="CC319" s="6">
        <f t="shared" ca="1" si="241"/>
        <v>-0.347931828002087</v>
      </c>
      <c r="CD319" s="6">
        <f t="shared" ca="1" si="233"/>
        <v>-3.1007551112439455</v>
      </c>
      <c r="CE319" s="9">
        <f t="shared" ca="1" si="234"/>
        <v>230.68407100913009</v>
      </c>
      <c r="CF319" s="9">
        <f t="shared" ca="1" si="235"/>
        <v>-81.394270032262952</v>
      </c>
      <c r="CG319">
        <f t="shared" ca="1" si="242"/>
        <v>244.62250062377808</v>
      </c>
      <c r="CH319">
        <f t="shared" ca="1" si="243"/>
        <v>0.94302065599400908</v>
      </c>
      <c r="CI319">
        <f t="shared" ca="1" si="244"/>
        <v>-0.33273419176367935</v>
      </c>
      <c r="CJ319">
        <f t="shared" ca="1" si="245"/>
        <v>-0.33920149518499104</v>
      </c>
      <c r="CK319" s="38">
        <f t="shared" ca="1" si="246"/>
        <v>-2.6953959853773357</v>
      </c>
    </row>
    <row r="320" spans="55:89" x14ac:dyDescent="0.25">
      <c r="BC320">
        <v>5.5501470213419299</v>
      </c>
      <c r="BD320">
        <v>260.53335056427784</v>
      </c>
      <c r="BE320">
        <v>-69.658565919995596</v>
      </c>
      <c r="BF320" s="6">
        <f t="shared" si="228"/>
        <v>6.0219272369547188</v>
      </c>
      <c r="BG320" s="6">
        <f t="shared" si="229"/>
        <v>0.47178021561278882</v>
      </c>
      <c r="BH320" s="6">
        <f t="shared" si="230"/>
        <v>2.6174525604172123</v>
      </c>
      <c r="BI320" s="6">
        <f t="shared" si="231"/>
        <v>2.6174525604172123</v>
      </c>
      <c r="BV320" s="38"/>
      <c r="BW320" s="6">
        <f t="shared" si="232"/>
        <v>5.3232542185826697</v>
      </c>
      <c r="BX320" s="9">
        <f t="shared" ca="1" si="236"/>
        <v>155.61859922046966</v>
      </c>
      <c r="BY320" s="9">
        <f t="shared" ca="1" si="237"/>
        <v>-54.623023502579613</v>
      </c>
      <c r="BZ320">
        <f t="shared" ca="1" si="238"/>
        <v>164.92672045458409</v>
      </c>
      <c r="CA320" s="6">
        <f t="shared" ca="1" si="239"/>
        <v>0.94356207891323707</v>
      </c>
      <c r="CB320" s="6">
        <f t="shared" ca="1" si="240"/>
        <v>-0.33119571741936848</v>
      </c>
      <c r="CC320" s="6">
        <f t="shared" ca="1" si="241"/>
        <v>-0.33757053145908528</v>
      </c>
      <c r="CD320" s="6">
        <f t="shared" ca="1" si="233"/>
        <v>-3.0903938147009438</v>
      </c>
      <c r="CE320" s="9">
        <f t="shared" ca="1" si="234"/>
        <v>233.01161789129145</v>
      </c>
      <c r="CF320" s="9">
        <f t="shared" ca="1" si="235"/>
        <v>-80.420696392853543</v>
      </c>
      <c r="CG320">
        <f t="shared" ca="1" si="242"/>
        <v>246.49929509154532</v>
      </c>
      <c r="CH320">
        <f t="shared" ca="1" si="243"/>
        <v>0.94528310032186991</v>
      </c>
      <c r="CI320">
        <f t="shared" ca="1" si="244"/>
        <v>-0.32625122259674927</v>
      </c>
      <c r="CJ320">
        <f t="shared" ca="1" si="245"/>
        <v>-0.33233507480766883</v>
      </c>
      <c r="CK320" s="38">
        <f t="shared" ca="1" si="246"/>
        <v>-2.6885295650000138</v>
      </c>
    </row>
    <row r="321" spans="55:89" x14ac:dyDescent="0.25">
      <c r="BC321">
        <v>5.567600313861873</v>
      </c>
      <c r="BD321">
        <v>262.50252072588415</v>
      </c>
      <c r="BE321">
        <v>-68.957090661708889</v>
      </c>
      <c r="BF321" s="6">
        <f t="shared" si="228"/>
        <v>6.026298151732731</v>
      </c>
      <c r="BG321" s="6">
        <f t="shared" si="229"/>
        <v>0.45869783787085794</v>
      </c>
      <c r="BH321" s="6">
        <f t="shared" si="230"/>
        <v>2.6130816456392001</v>
      </c>
      <c r="BI321" s="6">
        <f t="shared" si="231"/>
        <v>2.6130816456392001</v>
      </c>
      <c r="BV321" s="38"/>
      <c r="BW321" s="6">
        <f t="shared" si="232"/>
        <v>5.3407075111026128</v>
      </c>
      <c r="BX321" s="9">
        <f t="shared" ca="1" si="236"/>
        <v>157.91225696621706</v>
      </c>
      <c r="BY321" s="9">
        <f t="shared" ca="1" si="237"/>
        <v>-53.671110791723123</v>
      </c>
      <c r="BZ321">
        <f t="shared" ca="1" si="238"/>
        <v>166.78389920427566</v>
      </c>
      <c r="CA321" s="6">
        <f t="shared" ca="1" si="239"/>
        <v>0.94680756187866388</v>
      </c>
      <c r="CB321" s="6">
        <f t="shared" ca="1" si="240"/>
        <v>-0.32180031194730108</v>
      </c>
      <c r="CC321" s="6">
        <f t="shared" ca="1" si="241"/>
        <v>-0.32763032938671682</v>
      </c>
      <c r="CD321" s="6">
        <f t="shared" ca="1" si="233"/>
        <v>-3.0804536126285753</v>
      </c>
      <c r="CE321" s="9">
        <f t="shared" ca="1" si="234"/>
        <v>235.30527563703885</v>
      </c>
      <c r="CF321" s="9">
        <f t="shared" ca="1" si="235"/>
        <v>-79.468783681997053</v>
      </c>
      <c r="CG321">
        <f t="shared" ca="1" si="242"/>
        <v>248.36235689516008</v>
      </c>
      <c r="CH321">
        <f t="shared" ca="1" si="243"/>
        <v>0.94742729364726974</v>
      </c>
      <c r="CI321">
        <f t="shared" ca="1" si="244"/>
        <v>-0.31997112877916034</v>
      </c>
      <c r="CJ321">
        <f t="shared" ca="1" si="245"/>
        <v>-0.32569901385397126</v>
      </c>
      <c r="CK321" s="38">
        <f t="shared" ca="1" si="246"/>
        <v>-2.6818935040463163</v>
      </c>
    </row>
    <row r="322" spans="55:89" x14ac:dyDescent="0.25">
      <c r="BC322">
        <v>5.5850536063818161</v>
      </c>
      <c r="BD322">
        <v>264.46112612664183</v>
      </c>
      <c r="BE322">
        <v>-68.270271621031341</v>
      </c>
      <c r="BF322" s="6">
        <f t="shared" si="228"/>
        <v>6.0305521916026832</v>
      </c>
      <c r="BG322" s="6">
        <f t="shared" si="229"/>
        <v>0.44549858522086705</v>
      </c>
      <c r="BH322" s="6">
        <f t="shared" si="230"/>
        <v>2.6088276057692479</v>
      </c>
      <c r="BI322" s="6">
        <f t="shared" si="231"/>
        <v>2.6088276057692479</v>
      </c>
      <c r="BV322" s="38"/>
      <c r="BW322" s="6">
        <f t="shared" si="232"/>
        <v>5.3581608036225559</v>
      </c>
      <c r="BX322" s="9">
        <f t="shared" ca="1" si="236"/>
        <v>160.17149248746347</v>
      </c>
      <c r="BY322" s="9">
        <f t="shared" ca="1" si="237"/>
        <v>-52.741244379084648</v>
      </c>
      <c r="BZ322">
        <f t="shared" ca="1" si="238"/>
        <v>168.63139050697498</v>
      </c>
      <c r="CA322" s="6">
        <f t="shared" ca="1" si="239"/>
        <v>0.94983200936624201</v>
      </c>
      <c r="CB322" s="6">
        <f t="shared" ca="1" si="240"/>
        <v>-0.31276053776537621</v>
      </c>
      <c r="CC322" s="6">
        <f t="shared" ca="1" si="241"/>
        <v>-0.3180979903291733</v>
      </c>
      <c r="CD322" s="6">
        <f t="shared" ca="1" si="233"/>
        <v>-3.0709212735710318</v>
      </c>
      <c r="CE322" s="9">
        <f t="shared" ca="1" si="234"/>
        <v>237.56451115828526</v>
      </c>
      <c r="CF322" s="9">
        <f t="shared" ca="1" si="235"/>
        <v>-78.538917269358578</v>
      </c>
      <c r="CG322">
        <f t="shared" ca="1" si="242"/>
        <v>250.21042841520054</v>
      </c>
      <c r="CH322">
        <f t="shared" ca="1" si="243"/>
        <v>0.94945887213009927</v>
      </c>
      <c r="CI322">
        <f t="shared" ca="1" si="244"/>
        <v>-0.31389146234556886</v>
      </c>
      <c r="CJ322">
        <f t="shared" ca="1" si="245"/>
        <v>-0.31928888157974694</v>
      </c>
      <c r="CK322" s="38">
        <f t="shared" ca="1" si="246"/>
        <v>-2.6754833717720916</v>
      </c>
    </row>
    <row r="323" spans="55:89" x14ac:dyDescent="0.25">
      <c r="BC323">
        <v>5.6025068989017592</v>
      </c>
      <c r="BD323">
        <v>266.41123559626908</v>
      </c>
      <c r="BE323">
        <v>-67.597473846857966</v>
      </c>
      <c r="BF323" s="6">
        <f t="shared" ref="BF323:BF362" si="247">IF(BC323&lt;&gt;"",IF(AND(BD323=0,BE323=0),0,MOD(ATAN2(BD323,BE323),2*PI())),NA())</f>
        <v>6.0346957946641968</v>
      </c>
      <c r="BG323" s="6">
        <f t="shared" ref="BG323:BG362" si="248">ABS(BC323-BF323)</f>
        <v>0.43218889576243757</v>
      </c>
      <c r="BH323" s="6">
        <f t="shared" ref="BH323:BH362" si="249">ATAN2(COS($U$13-BF323),SIN($U$13-BF323))</f>
        <v>2.6046840027077343</v>
      </c>
      <c r="BI323" s="6">
        <f t="shared" ref="BI323:BI362" si="250">ABS(BH323)</f>
        <v>2.6046840027077343</v>
      </c>
      <c r="BV323" s="38"/>
      <c r="BW323" s="6">
        <f t="shared" si="232"/>
        <v>5.375614096142499</v>
      </c>
      <c r="BX323" s="9">
        <f t="shared" ca="1" si="236"/>
        <v>162.39670415045561</v>
      </c>
      <c r="BY323" s="9">
        <f t="shared" ca="1" si="237"/>
        <v>-51.83344476777431</v>
      </c>
      <c r="BZ323">
        <f t="shared" ca="1" si="238"/>
        <v>170.4681656950192</v>
      </c>
      <c r="CA323" s="6">
        <f t="shared" ca="1" si="239"/>
        <v>0.95265120902981937</v>
      </c>
      <c r="CB323" s="6">
        <f t="shared" ca="1" si="240"/>
        <v>-0.30406524617920966</v>
      </c>
      <c r="CC323" s="6">
        <f t="shared" ca="1" si="241"/>
        <v>-0.30895706235011994</v>
      </c>
      <c r="CD323" s="6">
        <f t="shared" ca="1" si="233"/>
        <v>-3.0617803455919788</v>
      </c>
      <c r="CE323" s="9">
        <f t="shared" ca="1" si="234"/>
        <v>239.78972282127739</v>
      </c>
      <c r="CF323" s="9">
        <f t="shared" ca="1" si="235"/>
        <v>-77.63111765804824</v>
      </c>
      <c r="CG323">
        <f t="shared" ca="1" si="242"/>
        <v>252.04305505120107</v>
      </c>
      <c r="CH323">
        <f t="shared" ca="1" si="243"/>
        <v>0.95138397196687496</v>
      </c>
      <c r="CI323">
        <f t="shared" ca="1" si="244"/>
        <v>-0.308007366607574</v>
      </c>
      <c r="CJ323">
        <f t="shared" ca="1" si="245"/>
        <v>-0.31309786272502821</v>
      </c>
      <c r="CK323" s="38">
        <f t="shared" ca="1" si="246"/>
        <v>-2.6692923529173731</v>
      </c>
    </row>
    <row r="324" spans="55:89" x14ac:dyDescent="0.25">
      <c r="BC324">
        <v>5.6199601914217023</v>
      </c>
      <c r="BD324">
        <v>268.35488677701409</v>
      </c>
      <c r="BE324">
        <v>-66.93808820383137</v>
      </c>
      <c r="BF324" s="6">
        <f t="shared" si="247"/>
        <v>6.0387350168078644</v>
      </c>
      <c r="BG324" s="6">
        <f t="shared" si="248"/>
        <v>0.41877482538616206</v>
      </c>
      <c r="BH324" s="6">
        <f t="shared" si="249"/>
        <v>2.6006447805640667</v>
      </c>
      <c r="BI324" s="6">
        <f t="shared" si="250"/>
        <v>2.6006447805640667</v>
      </c>
      <c r="BV324" s="38"/>
      <c r="BW324" s="6">
        <f t="shared" si="232"/>
        <v>5.3930673886624421</v>
      </c>
      <c r="BX324" s="9">
        <f t="shared" ca="1" si="236"/>
        <v>164.58893348943241</v>
      </c>
      <c r="BY324" s="9">
        <f t="shared" ca="1" si="237"/>
        <v>-50.947474257039687</v>
      </c>
      <c r="BZ324">
        <f t="shared" ca="1" si="238"/>
        <v>172.2938250790217</v>
      </c>
      <c r="CA324" s="6">
        <f t="shared" ca="1" si="239"/>
        <v>0.95528051231055156</v>
      </c>
      <c r="CB324" s="6">
        <f t="shared" ca="1" si="240"/>
        <v>-0.29570110381885645</v>
      </c>
      <c r="CC324" s="6">
        <f t="shared" ca="1" si="241"/>
        <v>-0.3001893599364398</v>
      </c>
      <c r="CD324" s="6">
        <f t="shared" ca="1" si="233"/>
        <v>-3.0530126431782985</v>
      </c>
      <c r="CE324" s="9">
        <f t="shared" ca="1" si="234"/>
        <v>241.9819521602542</v>
      </c>
      <c r="CF324" s="9">
        <f t="shared" ca="1" si="235"/>
        <v>-76.745147147313617</v>
      </c>
      <c r="CG324">
        <f t="shared" ca="1" si="242"/>
        <v>253.86036079299654</v>
      </c>
      <c r="CH324">
        <f t="shared" ca="1" si="243"/>
        <v>0.95320888776949197</v>
      </c>
      <c r="CI324">
        <f t="shared" ca="1" si="244"/>
        <v>-0.30231244810170793</v>
      </c>
      <c r="CJ324">
        <f t="shared" ca="1" si="245"/>
        <v>-0.30711768538193918</v>
      </c>
      <c r="CK324" s="38">
        <f t="shared" ca="1" si="246"/>
        <v>-2.6633121755742839</v>
      </c>
    </row>
    <row r="325" spans="55:89" x14ac:dyDescent="0.25">
      <c r="BC325">
        <v>5.6374134839416454</v>
      </c>
      <c r="BD325">
        <v>270.29408814391883</v>
      </c>
      <c r="BE325">
        <v>-66.291532281324109</v>
      </c>
      <c r="BF325" s="6">
        <f t="shared" si="247"/>
        <v>6.0426755489774147</v>
      </c>
      <c r="BG325" s="6">
        <f t="shared" si="248"/>
        <v>0.40526206503576923</v>
      </c>
      <c r="BH325" s="6">
        <f t="shared" si="249"/>
        <v>2.5967042483945164</v>
      </c>
      <c r="BI325" s="6">
        <f t="shared" si="250"/>
        <v>2.5967042483945164</v>
      </c>
      <c r="BV325" s="38"/>
      <c r="BW325" s="6">
        <f t="shared" si="232"/>
        <v>5.4105206811823852</v>
      </c>
      <c r="BX325" s="9">
        <f t="shared" ca="1" si="236"/>
        <v>166.7496615193831</v>
      </c>
      <c r="BY325" s="9">
        <f t="shared" ca="1" si="237"/>
        <v>-50.082914297614664</v>
      </c>
      <c r="BZ325">
        <f t="shared" ca="1" si="238"/>
        <v>174.10843724923569</v>
      </c>
      <c r="CA325" s="6">
        <f t="shared" ca="1" si="239"/>
        <v>0.95773452541350113</v>
      </c>
      <c r="CB325" s="6">
        <f t="shared" ca="1" si="240"/>
        <v>-0.28765357434069166</v>
      </c>
      <c r="CC325" s="6">
        <f t="shared" ca="1" si="241"/>
        <v>-0.29177595821315983</v>
      </c>
      <c r="CD325" s="6">
        <f t="shared" ca="1" si="233"/>
        <v>-3.0445992414550185</v>
      </c>
      <c r="CE325" s="9">
        <f t="shared" ca="1" si="234"/>
        <v>244.14268019020489</v>
      </c>
      <c r="CF325" s="9">
        <f t="shared" ca="1" si="235"/>
        <v>-75.880587187888594</v>
      </c>
      <c r="CG325">
        <f t="shared" ca="1" si="242"/>
        <v>255.66288702593386</v>
      </c>
      <c r="CH325">
        <f t="shared" ca="1" si="243"/>
        <v>0.95493985470577747</v>
      </c>
      <c r="CI325">
        <f t="shared" ca="1" si="244"/>
        <v>-0.29679938324482519</v>
      </c>
      <c r="CJ325">
        <f t="shared" ca="1" si="245"/>
        <v>-0.30133925795230704</v>
      </c>
      <c r="CK325" s="38">
        <f t="shared" ca="1" si="246"/>
        <v>-2.6575337481446519</v>
      </c>
    </row>
    <row r="326" spans="55:89" x14ac:dyDescent="0.25">
      <c r="BC326">
        <v>5.6548667764615885</v>
      </c>
      <c r="BD326">
        <v>272.23082189426219</v>
      </c>
      <c r="BE326">
        <v>-65.657250902230487</v>
      </c>
      <c r="BF326" s="6">
        <f t="shared" si="247"/>
        <v>6.0465227351514539</v>
      </c>
      <c r="BG326" s="6">
        <f t="shared" si="248"/>
        <v>0.39165595868986536</v>
      </c>
      <c r="BH326" s="6">
        <f t="shared" si="249"/>
        <v>2.5928570622204772</v>
      </c>
      <c r="BI326" s="6">
        <f t="shared" si="250"/>
        <v>2.5928570622204772</v>
      </c>
      <c r="BV326" s="38"/>
      <c r="BW326" s="6">
        <f t="shared" si="232"/>
        <v>5.4279739737023283</v>
      </c>
      <c r="BX326" s="9">
        <f t="shared" ca="1" si="236"/>
        <v>168.88066416489585</v>
      </c>
      <c r="BY326" s="9">
        <f t="shared" ca="1" si="237"/>
        <v>-49.239221982127432</v>
      </c>
      <c r="BZ326">
        <f t="shared" ca="1" si="238"/>
        <v>175.91242056825197</v>
      </c>
      <c r="CA326" s="6">
        <f t="shared" ca="1" si="239"/>
        <v>0.96002694761039975</v>
      </c>
      <c r="CB326" s="6">
        <f t="shared" ca="1" si="240"/>
        <v>-0.27990759164741974</v>
      </c>
      <c r="CC326" s="6">
        <f t="shared" ca="1" si="241"/>
        <v>-0.28369785185879026</v>
      </c>
      <c r="CD326" s="6">
        <f t="shared" ca="1" si="233"/>
        <v>-3.0365211351006489</v>
      </c>
      <c r="CE326" s="9">
        <f t="shared" ca="1" si="234"/>
        <v>246.27368283571764</v>
      </c>
      <c r="CF326" s="9">
        <f t="shared" ca="1" si="235"/>
        <v>-75.036894872401362</v>
      </c>
      <c r="CG326">
        <f t="shared" ca="1" si="242"/>
        <v>257.45147591256773</v>
      </c>
      <c r="CH326">
        <f t="shared" ca="1" si="243"/>
        <v>0.95658291319857824</v>
      </c>
      <c r="CI326">
        <f t="shared" ca="1" si="244"/>
        <v>-0.29146034065807569</v>
      </c>
      <c r="CJ326">
        <f t="shared" ca="1" si="245"/>
        <v>-0.29575310560025669</v>
      </c>
      <c r="CK326" s="38">
        <f t="shared" ca="1" si="246"/>
        <v>-2.6519475957926018</v>
      </c>
    </row>
    <row r="327" spans="55:89" x14ac:dyDescent="0.25">
      <c r="BC327">
        <v>5.6723200689815316</v>
      </c>
      <c r="BD327">
        <v>274.16704744525612</v>
      </c>
      <c r="BE327">
        <v>-65.034716357371096</v>
      </c>
      <c r="BF327" s="6">
        <f t="shared" si="247"/>
        <v>6.0502815903622631</v>
      </c>
      <c r="BG327" s="6">
        <f t="shared" si="248"/>
        <v>0.37796152138073147</v>
      </c>
      <c r="BH327" s="6">
        <f t="shared" si="249"/>
        <v>2.589098207009668</v>
      </c>
      <c r="BI327" s="6">
        <f t="shared" si="250"/>
        <v>2.589098207009668</v>
      </c>
      <c r="BV327" s="38"/>
      <c r="BW327" s="6">
        <f t="shared" si="232"/>
        <v>5.4454272662222714</v>
      </c>
      <c r="BX327" s="9">
        <f t="shared" ca="1" si="236"/>
        <v>170.98390944613664</v>
      </c>
      <c r="BY327" s="9">
        <f t="shared" ca="1" si="237"/>
        <v>-48.415771504425905</v>
      </c>
      <c r="BZ327">
        <f t="shared" ca="1" si="238"/>
        <v>177.70645520029214</v>
      </c>
      <c r="CA327" s="6">
        <f t="shared" ca="1" si="239"/>
        <v>0.96217050333608556</v>
      </c>
      <c r="CB327" s="6">
        <f t="shared" ca="1" si="240"/>
        <v>-0.27244801799606383</v>
      </c>
      <c r="CC327" s="6">
        <f t="shared" ca="1" si="241"/>
        <v>-0.27593638468968762</v>
      </c>
      <c r="CD327" s="6">
        <f t="shared" ca="1" si="233"/>
        <v>-3.0287596679315465</v>
      </c>
      <c r="CE327" s="9">
        <f t="shared" ca="1" si="234"/>
        <v>248.37692811695842</v>
      </c>
      <c r="CF327" s="9">
        <f t="shared" ca="1" si="235"/>
        <v>-74.213444394699835</v>
      </c>
      <c r="CG327">
        <f t="shared" ca="1" si="242"/>
        <v>259.22718559160018</v>
      </c>
      <c r="CH327">
        <f t="shared" ca="1" si="243"/>
        <v>0.95814382874280857</v>
      </c>
      <c r="CI327">
        <f t="shared" ca="1" si="244"/>
        <v>-0.2862872743278535</v>
      </c>
      <c r="CJ327">
        <f t="shared" ca="1" si="245"/>
        <v>-0.29034966746954194</v>
      </c>
      <c r="CK327" s="38">
        <f t="shared" ca="1" si="246"/>
        <v>-2.6465441576618867</v>
      </c>
    </row>
    <row r="328" spans="55:89" x14ac:dyDescent="0.25">
      <c r="BC328">
        <v>5.6897733615014747</v>
      </c>
      <c r="BD328">
        <v>276.10470534584823</v>
      </c>
      <c r="BE328">
        <v>-64.423428457858861</v>
      </c>
      <c r="BF328" s="6">
        <f t="shared" si="247"/>
        <v>6.053956818294961</v>
      </c>
      <c r="BG328" s="6">
        <f t="shared" si="248"/>
        <v>0.36418345679348629</v>
      </c>
      <c r="BH328" s="6">
        <f t="shared" si="249"/>
        <v>2.5854229790769701</v>
      </c>
      <c r="BI328" s="6">
        <f t="shared" si="250"/>
        <v>2.5854229790769701</v>
      </c>
      <c r="BV328" s="38"/>
      <c r="BW328" s="6">
        <f t="shared" si="232"/>
        <v>5.4628805587422145</v>
      </c>
      <c r="BX328" s="9">
        <f t="shared" ca="1" si="236"/>
        <v>173.06148443058862</v>
      </c>
      <c r="BY328" s="9">
        <f t="shared" ca="1" si="237"/>
        <v>-47.611884685653891</v>
      </c>
      <c r="BZ328">
        <f t="shared" ca="1" si="238"/>
        <v>179.49141750133592</v>
      </c>
      <c r="CA328" s="6">
        <f t="shared" ca="1" si="239"/>
        <v>0.96417693302411278</v>
      </c>
      <c r="CB328" s="6">
        <f t="shared" ca="1" si="240"/>
        <v>-0.26525995141410885</v>
      </c>
      <c r="CC328" s="6">
        <f t="shared" ca="1" si="241"/>
        <v>-0.26847352198377916</v>
      </c>
      <c r="CD328" s="6">
        <f t="shared" ca="1" si="233"/>
        <v>-3.0212968052256377</v>
      </c>
      <c r="CE328" s="9">
        <f t="shared" ca="1" si="234"/>
        <v>250.45450310141041</v>
      </c>
      <c r="CF328" s="9">
        <f t="shared" ca="1" si="235"/>
        <v>-73.40955757592782</v>
      </c>
      <c r="CG328">
        <f t="shared" ca="1" si="242"/>
        <v>260.99122833395734</v>
      </c>
      <c r="CH328">
        <f t="shared" ca="1" si="243"/>
        <v>0.95962804842213156</v>
      </c>
      <c r="CI328">
        <f t="shared" ca="1" si="244"/>
        <v>-0.28127212567464116</v>
      </c>
      <c r="CJ328">
        <f t="shared" ca="1" si="245"/>
        <v>-0.2851194966858272</v>
      </c>
      <c r="CK328" s="38">
        <f t="shared" ca="1" si="246"/>
        <v>-2.6413139868781719</v>
      </c>
    </row>
    <row r="329" spans="55:89" x14ac:dyDescent="0.25">
      <c r="BC329">
        <v>5.7072266540214178</v>
      </c>
      <c r="BD329">
        <v>278.0457214591454</v>
      </c>
      <c r="BE329">
        <v>-63.822914480710047</v>
      </c>
      <c r="BF329" s="6">
        <f t="shared" si="247"/>
        <v>6.0575528281459556</v>
      </c>
      <c r="BG329" s="6">
        <f t="shared" si="248"/>
        <v>0.35032617412453781</v>
      </c>
      <c r="BH329" s="6">
        <f t="shared" si="249"/>
        <v>2.5818269692259754</v>
      </c>
      <c r="BI329" s="6">
        <f t="shared" si="250"/>
        <v>2.5818269692259754</v>
      </c>
      <c r="BV329" s="38"/>
      <c r="BW329" s="6">
        <f t="shared" si="232"/>
        <v>5.4803338512621576</v>
      </c>
      <c r="BX329" s="9">
        <f t="shared" ca="1" si="236"/>
        <v>175.11554356561851</v>
      </c>
      <c r="BY329" s="9">
        <f t="shared" ca="1" si="237"/>
        <v>-46.826853483127707</v>
      </c>
      <c r="BZ329">
        <f t="shared" ca="1" si="238"/>
        <v>181.26833095003755</v>
      </c>
      <c r="CA329" s="6">
        <f t="shared" ca="1" si="239"/>
        <v>0.96605701971120972</v>
      </c>
      <c r="CB329" s="6">
        <f t="shared" ca="1" si="240"/>
        <v>-0.25832892727430945</v>
      </c>
      <c r="CC329" s="6">
        <f t="shared" ca="1" si="241"/>
        <v>-0.26129201495294446</v>
      </c>
      <c r="CD329" s="6">
        <f t="shared" ca="1" si="233"/>
        <v>-3.0141152981948029</v>
      </c>
      <c r="CE329" s="9">
        <f t="shared" ca="1" si="234"/>
        <v>252.5085622364403</v>
      </c>
      <c r="CF329" s="9">
        <f t="shared" ca="1" si="235"/>
        <v>-72.624526373401636</v>
      </c>
      <c r="CG329">
        <f t="shared" ca="1" si="242"/>
        <v>262.74492541945534</v>
      </c>
      <c r="CH329">
        <f t="shared" ca="1" si="243"/>
        <v>0.96104068169281154</v>
      </c>
      <c r="CI329">
        <f t="shared" ca="1" si="244"/>
        <v>-0.27640696107626533</v>
      </c>
      <c r="CJ329">
        <f t="shared" ca="1" si="245"/>
        <v>-0.28005339224360881</v>
      </c>
      <c r="CK329" s="38">
        <f t="shared" ca="1" si="246"/>
        <v>-2.6362478824359536</v>
      </c>
    </row>
    <row r="330" spans="55:89" x14ac:dyDescent="0.25">
      <c r="BC330">
        <v>5.7246799465413609</v>
      </c>
      <c r="BD330">
        <v>279.9920113116284</v>
      </c>
      <c r="BE330">
        <v>-63.23272907059939</v>
      </c>
      <c r="BF330" s="6">
        <f t="shared" si="247"/>
        <v>6.0610737505169068</v>
      </c>
      <c r="BG330" s="6">
        <f t="shared" si="248"/>
        <v>0.33639380397554586</v>
      </c>
      <c r="BH330" s="6">
        <f t="shared" si="249"/>
        <v>2.5783060468550243</v>
      </c>
      <c r="BI330" s="6">
        <f t="shared" si="250"/>
        <v>2.5783060468550243</v>
      </c>
      <c r="BV330" s="38"/>
      <c r="BW330" s="6">
        <f t="shared" si="232"/>
        <v>5.4977871437821006</v>
      </c>
      <c r="BX330" s="9">
        <f t="shared" ca="1" si="236"/>
        <v>177.14827246678033</v>
      </c>
      <c r="BY330" s="9">
        <f t="shared" ca="1" si="237"/>
        <v>-46.059956575343037</v>
      </c>
      <c r="BZ330">
        <f t="shared" ca="1" si="238"/>
        <v>183.0383294222473</v>
      </c>
      <c r="CA330" s="6">
        <f t="shared" ca="1" si="239"/>
        <v>0.96782063639862381</v>
      </c>
      <c r="CB330" s="6">
        <f t="shared" ca="1" si="240"/>
        <v>-0.2516410454615125</v>
      </c>
      <c r="CC330" s="6">
        <f t="shared" ca="1" si="241"/>
        <v>-0.25437549142805699</v>
      </c>
      <c r="CD330" s="6">
        <f t="shared" ca="1" si="233"/>
        <v>-3.0071987746699156</v>
      </c>
      <c r="CE330" s="9">
        <f t="shared" ca="1" si="234"/>
        <v>254.54129113760212</v>
      </c>
      <c r="CF330" s="9">
        <f t="shared" ca="1" si="235"/>
        <v>-71.857629465616967</v>
      </c>
      <c r="CG330">
        <f t="shared" ca="1" si="242"/>
        <v>264.48967429072809</v>
      </c>
      <c r="CH330">
        <f t="shared" ca="1" si="243"/>
        <v>0.96238649701617207</v>
      </c>
      <c r="CI330">
        <f t="shared" ca="1" si="244"/>
        <v>-0.27168406350196789</v>
      </c>
      <c r="CJ330">
        <f t="shared" ca="1" si="245"/>
        <v>-0.27514248307614153</v>
      </c>
      <c r="CK330" s="38">
        <f t="shared" ca="1" si="246"/>
        <v>-2.6313369732684864</v>
      </c>
    </row>
    <row r="331" spans="55:89" x14ac:dyDescent="0.25">
      <c r="BC331">
        <v>5.742133239061304</v>
      </c>
      <c r="BD331">
        <v>281.94548453417792</v>
      </c>
      <c r="BE331">
        <v>-62.652454144385445</v>
      </c>
      <c r="BF331" s="6">
        <f t="shared" si="247"/>
        <v>6.0645234522128497</v>
      </c>
      <c r="BG331" s="6">
        <f t="shared" si="248"/>
        <v>0.3223902131515457</v>
      </c>
      <c r="BH331" s="6">
        <f t="shared" si="249"/>
        <v>2.5748563451590814</v>
      </c>
      <c r="BI331" s="6">
        <f t="shared" si="250"/>
        <v>2.5748563451590814</v>
      </c>
      <c r="BV331" s="38"/>
      <c r="BW331" s="6">
        <f t="shared" si="232"/>
        <v>5.5152404363020437</v>
      </c>
      <c r="BX331" s="9">
        <f t="shared" ca="1" si="236"/>
        <v>179.16186293398573</v>
      </c>
      <c r="BY331" s="9">
        <f t="shared" ca="1" si="237"/>
        <v>-45.310471549670183</v>
      </c>
      <c r="BZ331">
        <f t="shared" ca="1" si="238"/>
        <v>184.80262974868558</v>
      </c>
      <c r="CA331" s="6">
        <f t="shared" ca="1" si="239"/>
        <v>0.9694768044027795</v>
      </c>
      <c r="CB331" s="6">
        <f t="shared" ca="1" si="240"/>
        <v>-0.24518304534566537</v>
      </c>
      <c r="CC331" s="6">
        <f t="shared" ca="1" si="241"/>
        <v>-0.24770849640814638</v>
      </c>
      <c r="CD331" s="6">
        <f t="shared" ca="1" si="233"/>
        <v>-3.0005317796500051</v>
      </c>
      <c r="CE331" s="9">
        <f t="shared" ca="1" si="234"/>
        <v>256.55488160480752</v>
      </c>
      <c r="CF331" s="9">
        <f t="shared" ca="1" si="235"/>
        <v>-71.108144439944112</v>
      </c>
      <c r="CG331">
        <f t="shared" ca="1" si="242"/>
        <v>266.22692478588402</v>
      </c>
      <c r="CH331">
        <f t="shared" ca="1" si="243"/>
        <v>0.9636699286187701</v>
      </c>
      <c r="CI331">
        <f t="shared" ca="1" si="244"/>
        <v>-0.26709599150098595</v>
      </c>
      <c r="CJ331">
        <f t="shared" ca="1" si="245"/>
        <v>-0.2703782785993552</v>
      </c>
      <c r="CK331" s="38">
        <f t="shared" ca="1" si="246"/>
        <v>-2.6265727687917</v>
      </c>
    </row>
    <row r="332" spans="55:89" x14ac:dyDescent="0.25">
      <c r="BC332">
        <v>5.7595865315812471</v>
      </c>
      <c r="BD332">
        <v>283.90804934626476</v>
      </c>
      <c r="BE332">
        <v>-62.081698841532031</v>
      </c>
      <c r="BF332" s="6">
        <f t="shared" si="247"/>
        <v>6.0679055498529868</v>
      </c>
      <c r="BG332" s="6">
        <f t="shared" si="248"/>
        <v>0.30831901827173969</v>
      </c>
      <c r="BH332" s="6">
        <f t="shared" si="249"/>
        <v>2.5714742475189443</v>
      </c>
      <c r="BI332" s="6">
        <f t="shared" si="250"/>
        <v>2.5714742475189443</v>
      </c>
      <c r="BV332" s="38"/>
      <c r="BW332" s="6">
        <f t="shared" si="232"/>
        <v>5.5326937288219868</v>
      </c>
      <c r="BX332" s="9">
        <f t="shared" ca="1" si="236"/>
        <v>181.15849615500724</v>
      </c>
      <c r="BY332" s="9">
        <f t="shared" ca="1" si="237"/>
        <v>-44.577683809961854</v>
      </c>
      <c r="BZ332">
        <f t="shared" ca="1" si="238"/>
        <v>186.5625113011848</v>
      </c>
      <c r="CA332" s="6">
        <f t="shared" ca="1" si="239"/>
        <v>0.97103375641501011</v>
      </c>
      <c r="CB332" s="6">
        <f t="shared" ca="1" si="240"/>
        <v>-0.23894234430622588</v>
      </c>
      <c r="CC332" s="6">
        <f t="shared" ca="1" si="241"/>
        <v>-0.24127649892221653</v>
      </c>
      <c r="CD332" s="6">
        <f t="shared" ca="1" si="233"/>
        <v>-2.9940997821640751</v>
      </c>
      <c r="CE332" s="9">
        <f t="shared" ca="1" si="234"/>
        <v>258.55151482582903</v>
      </c>
      <c r="CF332" s="9">
        <f t="shared" ca="1" si="235"/>
        <v>-70.375356700235784</v>
      </c>
      <c r="CG332">
        <f t="shared" ca="1" si="242"/>
        <v>267.95816212501592</v>
      </c>
      <c r="CH332">
        <f t="shared" ca="1" si="243"/>
        <v>0.96489508949983682</v>
      </c>
      <c r="CI332">
        <f t="shared" ca="1" si="244"/>
        <v>-0.26263561498605204</v>
      </c>
      <c r="CJ332">
        <f t="shared" ca="1" si="245"/>
        <v>-0.26575269582649641</v>
      </c>
      <c r="CK332" s="38">
        <f t="shared" ca="1" si="246"/>
        <v>-2.6219471860188412</v>
      </c>
    </row>
    <row r="333" spans="55:89" x14ac:dyDescent="0.25">
      <c r="BC333">
        <v>5.7770398241011902</v>
      </c>
      <c r="BD333">
        <v>285.88161705473101</v>
      </c>
      <c r="BE333">
        <v>-61.520099552133956</v>
      </c>
      <c r="BF333" s="6">
        <f t="shared" si="247"/>
        <v>6.0712234222598962</v>
      </c>
      <c r="BG333" s="6">
        <f t="shared" si="248"/>
        <v>0.29418359815870598</v>
      </c>
      <c r="BH333" s="6">
        <f t="shared" si="249"/>
        <v>2.5681563751120349</v>
      </c>
      <c r="BI333" s="6">
        <f t="shared" si="250"/>
        <v>2.5681563751120349</v>
      </c>
      <c r="BV333" s="38"/>
      <c r="BW333" s="6">
        <f t="shared" si="232"/>
        <v>5.5501470213419299</v>
      </c>
      <c r="BX333" s="9">
        <f t="shared" ca="1" si="236"/>
        <v>183.14033189345605</v>
      </c>
      <c r="BY333" s="9">
        <f t="shared" ca="1" si="237"/>
        <v>-43.860893029721666</v>
      </c>
      <c r="BZ333">
        <f t="shared" ca="1" si="238"/>
        <v>188.31930093171522</v>
      </c>
      <c r="CA333" s="6">
        <f t="shared" ca="1" si="239"/>
        <v>0.97249900030089287</v>
      </c>
      <c r="CB333" s="6">
        <f t="shared" ca="1" si="240"/>
        <v>-0.23290705101770567</v>
      </c>
      <c r="CC333" s="6">
        <f t="shared" ca="1" si="241"/>
        <v>-0.23506587667435935</v>
      </c>
      <c r="CD333" s="6">
        <f t="shared" ca="1" si="233"/>
        <v>-2.9878891599162181</v>
      </c>
      <c r="CE333" s="9">
        <f t="shared" ca="1" si="234"/>
        <v>260.53335056427784</v>
      </c>
      <c r="CF333" s="9">
        <f t="shared" ca="1" si="235"/>
        <v>-69.658565919995596</v>
      </c>
      <c r="CG333">
        <f t="shared" ca="1" si="242"/>
        <v>269.68489494645274</v>
      </c>
      <c r="CH333">
        <f t="shared" ca="1" si="243"/>
        <v>0.9660657880598319</v>
      </c>
      <c r="CI333">
        <f t="shared" ca="1" si="244"/>
        <v>-0.25829613458264561</v>
      </c>
      <c r="CJ333">
        <f t="shared" ca="1" si="245"/>
        <v>-0.2612580702248673</v>
      </c>
      <c r="CK333" s="38">
        <f t="shared" ca="1" si="246"/>
        <v>-2.6174525604172123</v>
      </c>
    </row>
    <row r="334" spans="55:89" x14ac:dyDescent="0.25">
      <c r="BC334">
        <v>5.7944931166211333</v>
      </c>
      <c r="BD334">
        <v>287.86810656426644</v>
      </c>
      <c r="BE334">
        <v>-60.967320056937758</v>
      </c>
      <c r="BF334" s="6">
        <f t="shared" si="247"/>
        <v>6.0744802216027907</v>
      </c>
      <c r="BG334" s="6">
        <f t="shared" si="248"/>
        <v>0.27998710498165735</v>
      </c>
      <c r="BH334" s="6">
        <f t="shared" si="249"/>
        <v>2.5648995757691404</v>
      </c>
      <c r="BI334" s="6">
        <f t="shared" si="250"/>
        <v>2.5648995757691404</v>
      </c>
      <c r="BV334" s="38"/>
      <c r="BW334" s="6">
        <f t="shared" si="232"/>
        <v>5.567600313861873</v>
      </c>
      <c r="BX334" s="9">
        <f t="shared" ca="1" si="236"/>
        <v>185.10950205506236</v>
      </c>
      <c r="BY334" s="9">
        <f t="shared" ca="1" si="237"/>
        <v>-43.15941777143496</v>
      </c>
      <c r="BZ334">
        <f t="shared" ca="1" si="238"/>
        <v>190.07436200982602</v>
      </c>
      <c r="CA334" s="6">
        <f t="shared" ca="1" si="239"/>
        <v>0.97387938119446649</v>
      </c>
      <c r="CB334" s="6">
        <f t="shared" ca="1" si="240"/>
        <v>-0.22706596152722483</v>
      </c>
      <c r="CC334" s="6">
        <f t="shared" ca="1" si="241"/>
        <v>-0.22906388650522524</v>
      </c>
      <c r="CD334" s="6">
        <f t="shared" ca="1" si="233"/>
        <v>-2.9818871697470839</v>
      </c>
      <c r="CE334" s="9">
        <f t="shared" ca="1" si="234"/>
        <v>262.50252072588415</v>
      </c>
      <c r="CF334" s="9">
        <f t="shared" ca="1" si="235"/>
        <v>-68.957090661708889</v>
      </c>
      <c r="CG334">
        <f t="shared" ca="1" si="242"/>
        <v>271.40864713558847</v>
      </c>
      <c r="CH334">
        <f t="shared" ca="1" si="243"/>
        <v>0.96718554657820077</v>
      </c>
      <c r="CI334">
        <f t="shared" ca="1" si="244"/>
        <v>-0.25407108944196527</v>
      </c>
      <c r="CJ334">
        <f t="shared" ca="1" si="245"/>
        <v>-0.25688715544685486</v>
      </c>
      <c r="CK334" s="38">
        <f t="shared" ca="1" si="246"/>
        <v>-2.6130816456391996</v>
      </c>
    </row>
    <row r="335" spans="55:89" x14ac:dyDescent="0.25">
      <c r="BC335">
        <v>5.8119464091410764</v>
      </c>
      <c r="BD335">
        <v>289.86944891842802</v>
      </c>
      <c r="BE335">
        <v>-60.423051801835776</v>
      </c>
      <c r="BF335" s="6">
        <f t="shared" si="247"/>
        <v>6.0776788833233963</v>
      </c>
      <c r="BG335" s="6">
        <f t="shared" si="248"/>
        <v>0.26573247418231993</v>
      </c>
      <c r="BH335" s="6">
        <f t="shared" si="249"/>
        <v>2.5617009140485347</v>
      </c>
      <c r="BI335" s="6">
        <f t="shared" si="250"/>
        <v>2.5617009140485347</v>
      </c>
      <c r="BV335" s="38"/>
      <c r="BW335" s="6">
        <f t="shared" ref="BW335:BW375" si="251">BC322</f>
        <v>5.5850536063818161</v>
      </c>
      <c r="BX335" s="9">
        <f t="shared" ca="1" si="236"/>
        <v>187.06810745582004</v>
      </c>
      <c r="BY335" s="9">
        <f t="shared" ca="1" si="237"/>
        <v>-42.472598730757412</v>
      </c>
      <c r="BZ335">
        <f t="shared" ca="1" si="238"/>
        <v>191.82908661109286</v>
      </c>
      <c r="CA335" s="6">
        <f t="shared" ca="1" si="239"/>
        <v>0.97518114046528792</v>
      </c>
      <c r="CB335" s="6">
        <f t="shared" ca="1" si="240"/>
        <v>-0.22140854382977268</v>
      </c>
      <c r="CC335" s="6">
        <f t="shared" ca="1" si="241"/>
        <v>-0.22325862623119608</v>
      </c>
      <c r="CD335" s="6">
        <f t="shared" ref="CD335:CD375" ca="1" si="252">CC335-$BZ$11</f>
        <v>-2.9760819094730548</v>
      </c>
      <c r="CE335" s="9">
        <f t="shared" ref="CE335:CE375" ca="1" si="253">BX335+$BW$5</f>
        <v>264.46112612664183</v>
      </c>
      <c r="CF335" s="9">
        <f t="shared" ref="CF335:CF375" ca="1" si="254">BY335+$BX$5</f>
        <v>-68.270271621031341</v>
      </c>
      <c r="CG335">
        <f t="shared" ca="1" si="242"/>
        <v>273.13095251066102</v>
      </c>
      <c r="CH335">
        <f t="shared" ca="1" si="243"/>
        <v>0.96825762036735552</v>
      </c>
      <c r="CI335">
        <f t="shared" ca="1" si="244"/>
        <v>-0.24995435703453117</v>
      </c>
      <c r="CJ335">
        <f t="shared" ca="1" si="245"/>
        <v>-0.25263311557690282</v>
      </c>
      <c r="CK335" s="38">
        <f t="shared" ca="1" si="246"/>
        <v>-2.6088276057692479</v>
      </c>
    </row>
    <row r="336" spans="55:89" x14ac:dyDescent="0.25">
      <c r="BC336">
        <v>5.8293997016610195</v>
      </c>
      <c r="BD336">
        <v>291.88759192369946</v>
      </c>
      <c r="BE336">
        <v>-59.887014329322049</v>
      </c>
      <c r="BF336" s="6">
        <f t="shared" si="247"/>
        <v>6.080822134890802</v>
      </c>
      <c r="BG336" s="6">
        <f t="shared" si="248"/>
        <v>0.25142243322978253</v>
      </c>
      <c r="BH336" s="6">
        <f t="shared" si="249"/>
        <v>2.558557662481129</v>
      </c>
      <c r="BI336" s="6">
        <f t="shared" si="250"/>
        <v>2.558557662481129</v>
      </c>
      <c r="BV336" s="38"/>
      <c r="BW336" s="6">
        <f t="shared" si="251"/>
        <v>5.6025068989017592</v>
      </c>
      <c r="BX336" s="9">
        <f t="shared" ref="BX336:BX375" ca="1" si="255">BD323-$BW$5</f>
        <v>189.01821692544729</v>
      </c>
      <c r="BY336" s="9">
        <f t="shared" ref="BY336:BY375" ca="1" si="256">BE323-$BX$5</f>
        <v>-41.799800956584036</v>
      </c>
      <c r="BZ336">
        <f t="shared" ref="BZ336:BZ375" ca="1" si="257">SQRT(POWER(BX336,2)+POWER(BY336,2))</f>
        <v>193.58489013785527</v>
      </c>
      <c r="CA336" s="6">
        <f t="shared" ref="CA336:CA375" ca="1" si="258">BX336/BZ336</f>
        <v>0.97640997079288594</v>
      </c>
      <c r="CB336" s="6">
        <f t="shared" ref="CB336:CB375" ca="1" si="259">BY336/BZ336</f>
        <v>-0.21592491504278899</v>
      </c>
      <c r="CC336" s="6">
        <f t="shared" ref="CC336:CC375" ca="1" si="260">ATAN2(CA336,CB336)</f>
        <v>-0.21763899174513363</v>
      </c>
      <c r="CD336" s="6">
        <f t="shared" ca="1" si="252"/>
        <v>-2.9704622749869922</v>
      </c>
      <c r="CE336" s="9">
        <f t="shared" ca="1" si="253"/>
        <v>266.41123559626908</v>
      </c>
      <c r="CF336" s="9">
        <f t="shared" ca="1" si="254"/>
        <v>-67.597473846857966</v>
      </c>
      <c r="CG336">
        <f t="shared" ref="CG336:CG375" ca="1" si="261">SQRT(POWER(CE336,2)+POWER(CF336,2))</f>
        <v>274.8533516666796</v>
      </c>
      <c r="CH336">
        <f t="shared" ref="CH336:CH375" ca="1" si="262">CE336/CG336</f>
        <v>0.96928501683090829</v>
      </c>
      <c r="CI336">
        <f t="shared" ref="CI336:CI375" ca="1" si="263">CF336/CG336</f>
        <v>-0.24594014748939586</v>
      </c>
      <c r="CJ336">
        <f t="shared" ref="CJ336:CJ375" ca="1" si="264">ATAN2(CH336,CI336)</f>
        <v>-0.24848951251538903</v>
      </c>
      <c r="CK336" s="38">
        <f t="shared" ref="CK336:CK375" ca="1" si="265">CJ336-$U$13</f>
        <v>-2.6046840027077338</v>
      </c>
    </row>
    <row r="337" spans="55:89" x14ac:dyDescent="0.25">
      <c r="BC337">
        <v>5.8468529941809626</v>
      </c>
      <c r="BD337">
        <v>293.92450495642123</v>
      </c>
      <c r="BE337">
        <v>-59.358955887629193</v>
      </c>
      <c r="BF337" s="6">
        <f t="shared" si="247"/>
        <v>6.0839125034609252</v>
      </c>
      <c r="BG337" s="6">
        <f t="shared" si="248"/>
        <v>0.23705950927996255</v>
      </c>
      <c r="BH337" s="6">
        <f t="shared" si="249"/>
        <v>2.5554672939110059</v>
      </c>
      <c r="BI337" s="6">
        <f t="shared" si="250"/>
        <v>2.5554672939110059</v>
      </c>
      <c r="BV337" s="38"/>
      <c r="BW337" s="6">
        <f t="shared" si="251"/>
        <v>5.6199601914217023</v>
      </c>
      <c r="BX337" s="9">
        <f t="shared" ca="1" si="255"/>
        <v>190.9618681061923</v>
      </c>
      <c r="BY337" s="9">
        <f t="shared" ca="1" si="256"/>
        <v>-41.14041531355744</v>
      </c>
      <c r="BZ337">
        <f t="shared" ca="1" si="257"/>
        <v>195.34320782350937</v>
      </c>
      <c r="CA337" s="6">
        <f t="shared" ca="1" si="258"/>
        <v>0.9775710670151605</v>
      </c>
      <c r="CB337" s="6">
        <f t="shared" ca="1" si="259"/>
        <v>-0.21060581410502582</v>
      </c>
      <c r="CC337" s="6">
        <f t="shared" ca="1" si="260"/>
        <v>-0.21219463205464476</v>
      </c>
      <c r="CD337" s="6">
        <f t="shared" ca="1" si="252"/>
        <v>-2.9650179152965035</v>
      </c>
      <c r="CE337" s="9">
        <f t="shared" ca="1" si="253"/>
        <v>268.35488677701409</v>
      </c>
      <c r="CF337" s="9">
        <f t="shared" ca="1" si="254"/>
        <v>-66.93808820383137</v>
      </c>
      <c r="CG337">
        <f t="shared" ca="1" si="261"/>
        <v>276.57739045245177</v>
      </c>
      <c r="CH337">
        <f t="shared" ca="1" si="262"/>
        <v>0.97027051393468378</v>
      </c>
      <c r="CI337">
        <f t="shared" ca="1" si="263"/>
        <v>-0.24202299433922506</v>
      </c>
      <c r="CJ337">
        <f t="shared" ca="1" si="264"/>
        <v>-0.24445029037172192</v>
      </c>
      <c r="CK337" s="38">
        <f t="shared" ca="1" si="265"/>
        <v>-2.6006447805640667</v>
      </c>
    </row>
    <row r="338" spans="55:89" x14ac:dyDescent="0.25">
      <c r="BC338">
        <v>5.8643062867009057</v>
      </c>
      <c r="BD338">
        <v>295.98218410979695</v>
      </c>
      <c r="BE338">
        <v>-58.838654221310819</v>
      </c>
      <c r="BF338" s="6">
        <f t="shared" si="247"/>
        <v>6.0869523225964155</v>
      </c>
      <c r="BG338" s="6">
        <f t="shared" si="248"/>
        <v>0.2226460358955098</v>
      </c>
      <c r="BH338" s="6">
        <f t="shared" si="249"/>
        <v>2.5524274747755156</v>
      </c>
      <c r="BI338" s="6">
        <f t="shared" si="250"/>
        <v>2.5524274747755156</v>
      </c>
      <c r="BV338" s="38"/>
      <c r="BW338" s="6">
        <f t="shared" si="251"/>
        <v>5.6374134839416454</v>
      </c>
      <c r="BX338" s="9">
        <f t="shared" ca="1" si="255"/>
        <v>192.90106947309704</v>
      </c>
      <c r="BY338" s="9">
        <f t="shared" ca="1" si="256"/>
        <v>-40.493859391050179</v>
      </c>
      <c r="BZ338">
        <f t="shared" ca="1" si="257"/>
        <v>197.10549269933284</v>
      </c>
      <c r="CA338" s="6">
        <f t="shared" ca="1" si="258"/>
        <v>0.97866917269195897</v>
      </c>
      <c r="CB338" s="6">
        <f t="shared" ca="1" si="259"/>
        <v>-0.20544257207900346</v>
      </c>
      <c r="CC338" s="6">
        <f t="shared" ca="1" si="260"/>
        <v>-0.20691590408274202</v>
      </c>
      <c r="CD338" s="6">
        <f t="shared" ca="1" si="252"/>
        <v>-2.9597391873246006</v>
      </c>
      <c r="CE338" s="9">
        <f t="shared" ca="1" si="253"/>
        <v>270.29408814391883</v>
      </c>
      <c r="CF338" s="9">
        <f t="shared" ca="1" si="254"/>
        <v>-66.291532281324109</v>
      </c>
      <c r="CG338">
        <f t="shared" ca="1" si="261"/>
        <v>278.30461968454347</v>
      </c>
      <c r="CH338">
        <f t="shared" ca="1" si="262"/>
        <v>0.97121667779103149</v>
      </c>
      <c r="CI338">
        <f t="shared" ca="1" si="263"/>
        <v>-0.2381977430215321</v>
      </c>
      <c r="CJ338">
        <f t="shared" ca="1" si="264"/>
        <v>-0.24050975820217191</v>
      </c>
      <c r="CK338" s="38">
        <f t="shared" ca="1" si="265"/>
        <v>-2.5967042483945169</v>
      </c>
    </row>
    <row r="339" spans="55:89" x14ac:dyDescent="0.25">
      <c r="BC339">
        <v>5.8817595792208488</v>
      </c>
      <c r="BD339">
        <v>298.06265794543339</v>
      </c>
      <c r="BE339">
        <v>-58.325917550219494</v>
      </c>
      <c r="BF339" s="6">
        <f t="shared" si="247"/>
        <v>6.0899437382410904</v>
      </c>
      <c r="BG339" s="6">
        <f t="shared" si="248"/>
        <v>0.20818415902024157</v>
      </c>
      <c r="BH339" s="6">
        <f t="shared" si="249"/>
        <v>2.5494360591308407</v>
      </c>
      <c r="BI339" s="6">
        <f t="shared" si="250"/>
        <v>2.5494360591308407</v>
      </c>
      <c r="BV339" s="38"/>
      <c r="BW339" s="6">
        <f t="shared" si="251"/>
        <v>5.6548667764615885</v>
      </c>
      <c r="BX339" s="9">
        <f t="shared" ca="1" si="255"/>
        <v>194.8378032234404</v>
      </c>
      <c r="BY339" s="9">
        <f t="shared" ca="1" si="256"/>
        <v>-39.859578011956557</v>
      </c>
      <c r="BZ339">
        <f t="shared" ca="1" si="257"/>
        <v>198.87321469777507</v>
      </c>
      <c r="CA339" s="6">
        <f t="shared" ca="1" si="258"/>
        <v>0.97970862249867474</v>
      </c>
      <c r="CB339" s="6">
        <f t="shared" ca="1" si="259"/>
        <v>-0.20042708150783714</v>
      </c>
      <c r="CC339" s="6">
        <f t="shared" ca="1" si="260"/>
        <v>-0.20179382843616675</v>
      </c>
      <c r="CD339" s="6">
        <f t="shared" ca="1" si="252"/>
        <v>-2.9546171116780253</v>
      </c>
      <c r="CE339" s="9">
        <f t="shared" ca="1" si="253"/>
        <v>272.23082189426219</v>
      </c>
      <c r="CF339" s="9">
        <f t="shared" ca="1" si="254"/>
        <v>-65.657250902230487</v>
      </c>
      <c r="CG339">
        <f t="shared" ca="1" si="261"/>
        <v>280.03659579644932</v>
      </c>
      <c r="CH339">
        <f t="shared" ca="1" si="262"/>
        <v>0.97212587919094362</v>
      </c>
      <c r="CI339">
        <f t="shared" ca="1" si="263"/>
        <v>-0.23445953810249459</v>
      </c>
      <c r="CJ339">
        <f t="shared" ca="1" si="264"/>
        <v>-0.23666257202813271</v>
      </c>
      <c r="CK339" s="38">
        <f t="shared" ca="1" si="265"/>
        <v>-2.5928570622204776</v>
      </c>
    </row>
    <row r="340" spans="55:89" x14ac:dyDescent="0.25">
      <c r="BC340">
        <v>5.8992128717407919</v>
      </c>
      <c r="BD340">
        <v>300.16799424729044</v>
      </c>
      <c r="BE340">
        <v>-57.820585708624698</v>
      </c>
      <c r="BF340" s="6">
        <f t="shared" si="247"/>
        <v>6.0928887143102664</v>
      </c>
      <c r="BG340" s="6">
        <f t="shared" si="248"/>
        <v>0.19367584256947445</v>
      </c>
      <c r="BH340" s="6">
        <f t="shared" si="249"/>
        <v>2.5464910830616647</v>
      </c>
      <c r="BI340" s="6">
        <f t="shared" si="250"/>
        <v>2.5464910830616647</v>
      </c>
      <c r="BV340" s="38"/>
      <c r="BW340" s="6">
        <f t="shared" si="251"/>
        <v>5.6723200689815316</v>
      </c>
      <c r="BX340" s="9">
        <f t="shared" ca="1" si="255"/>
        <v>196.77402877443433</v>
      </c>
      <c r="BY340" s="9">
        <f t="shared" ca="1" si="256"/>
        <v>-39.237043467097166</v>
      </c>
      <c r="BZ340">
        <f t="shared" ca="1" si="257"/>
        <v>200.64786064187373</v>
      </c>
      <c r="CA340" s="6">
        <f t="shared" ca="1" si="258"/>
        <v>0.98069338065680345</v>
      </c>
      <c r="CB340" s="6">
        <f t="shared" ca="1" si="259"/>
        <v>-0.19555176587269668</v>
      </c>
      <c r="CC340" s="6">
        <f t="shared" ca="1" si="260"/>
        <v>-0.19682004696010033</v>
      </c>
      <c r="CD340" s="6">
        <f t="shared" ca="1" si="252"/>
        <v>-2.9496433302019591</v>
      </c>
      <c r="CE340" s="9">
        <f t="shared" ca="1" si="253"/>
        <v>274.16704744525612</v>
      </c>
      <c r="CF340" s="9">
        <f t="shared" ca="1" si="254"/>
        <v>-65.034716357371096</v>
      </c>
      <c r="CG340">
        <f t="shared" ca="1" si="261"/>
        <v>281.77488219593494</v>
      </c>
      <c r="CH340">
        <f t="shared" ca="1" si="262"/>
        <v>0.97300030900061329</v>
      </c>
      <c r="CI340">
        <f t="shared" ca="1" si="263"/>
        <v>-0.23080380994409774</v>
      </c>
      <c r="CJ340">
        <f t="shared" ca="1" si="264"/>
        <v>-0.2329037168173233</v>
      </c>
      <c r="CK340" s="38">
        <f t="shared" ca="1" si="265"/>
        <v>-2.589098207009668</v>
      </c>
    </row>
    <row r="341" spans="55:89" x14ac:dyDescent="0.25">
      <c r="BC341">
        <v>5.916666164260735</v>
      </c>
      <c r="BD341">
        <v>302.30030840722196</v>
      </c>
      <c r="BE341">
        <v>-57.322531394232257</v>
      </c>
      <c r="BF341" s="6">
        <f t="shared" si="247"/>
        <v>6.0957890384233826</v>
      </c>
      <c r="BG341" s="6">
        <f t="shared" si="248"/>
        <v>0.17912287416264761</v>
      </c>
      <c r="BH341" s="6">
        <f t="shared" si="249"/>
        <v>2.5435907589485485</v>
      </c>
      <c r="BI341" s="6">
        <f t="shared" si="250"/>
        <v>2.5435907589485485</v>
      </c>
      <c r="BV341" s="38"/>
      <c r="BW341" s="6">
        <f t="shared" si="251"/>
        <v>5.6897733615014747</v>
      </c>
      <c r="BX341" s="9">
        <f t="shared" ca="1" si="255"/>
        <v>198.71168667502644</v>
      </c>
      <c r="BY341" s="9">
        <f t="shared" ca="1" si="256"/>
        <v>-38.625755567584932</v>
      </c>
      <c r="BZ341">
        <f t="shared" ca="1" si="257"/>
        <v>202.43093492448406</v>
      </c>
      <c r="CA341" s="6">
        <f t="shared" ca="1" si="258"/>
        <v>0.98162707566980778</v>
      </c>
      <c r="CB341" s="6">
        <f t="shared" ca="1" si="259"/>
        <v>-0.19080954984471168</v>
      </c>
      <c r="CC341" s="6">
        <f t="shared" ca="1" si="260"/>
        <v>-0.19198678256538568</v>
      </c>
      <c r="CD341" s="6">
        <f t="shared" ca="1" si="252"/>
        <v>-2.9448100658072445</v>
      </c>
      <c r="CE341" s="9">
        <f t="shared" ca="1" si="253"/>
        <v>276.10470534584823</v>
      </c>
      <c r="CF341" s="9">
        <f t="shared" ca="1" si="254"/>
        <v>-64.423428457858861</v>
      </c>
      <c r="CG341">
        <f t="shared" ca="1" si="261"/>
        <v>283.52105115561091</v>
      </c>
      <c r="CH341">
        <f t="shared" ca="1" si="262"/>
        <v>0.97384199240397074</v>
      </c>
      <c r="CI341">
        <f t="shared" ca="1" si="263"/>
        <v>-0.22722626131383794</v>
      </c>
      <c r="CJ341">
        <f t="shared" ca="1" si="264"/>
        <v>-0.22922848888462519</v>
      </c>
      <c r="CK341" s="38">
        <f t="shared" ca="1" si="265"/>
        <v>-2.5854229790769701</v>
      </c>
    </row>
    <row r="342" spans="55:89" x14ac:dyDescent="0.25">
      <c r="BC342">
        <v>5.9341194567806781</v>
      </c>
      <c r="BD342">
        <v>304.4617744077504</v>
      </c>
      <c r="BE342">
        <v>-56.831661411780807</v>
      </c>
      <c r="BF342" s="6">
        <f t="shared" si="247"/>
        <v>6.0986463286419426</v>
      </c>
      <c r="BG342" s="6">
        <f t="shared" si="248"/>
        <v>0.16452687186126447</v>
      </c>
      <c r="BH342" s="6">
        <f t="shared" si="249"/>
        <v>2.5407334687299885</v>
      </c>
      <c r="BI342" s="6">
        <f t="shared" si="250"/>
        <v>2.5407334687299885</v>
      </c>
      <c r="BV342" s="38"/>
      <c r="BW342" s="6">
        <f t="shared" si="251"/>
        <v>5.7072266540214178</v>
      </c>
      <c r="BX342" s="9">
        <f t="shared" ca="1" si="255"/>
        <v>200.65270278832361</v>
      </c>
      <c r="BY342" s="9">
        <f t="shared" ca="1" si="256"/>
        <v>-38.02524159043611</v>
      </c>
      <c r="BZ342">
        <f t="shared" ca="1" si="257"/>
        <v>204.22396072515673</v>
      </c>
      <c r="CA342" s="6">
        <f t="shared" ca="1" si="258"/>
        <v>0.98251303165332649</v>
      </c>
      <c r="CB342" s="6">
        <f t="shared" ca="1" si="259"/>
        <v>-0.18619383080915874</v>
      </c>
      <c r="CC342" s="6">
        <f t="shared" ca="1" si="260"/>
        <v>-0.18728680162040118</v>
      </c>
      <c r="CD342" s="6">
        <f t="shared" ca="1" si="252"/>
        <v>-2.9401100848622597</v>
      </c>
      <c r="CE342" s="9">
        <f t="shared" ca="1" si="253"/>
        <v>278.0457214591454</v>
      </c>
      <c r="CF342" s="9">
        <f t="shared" ca="1" si="254"/>
        <v>-63.82291448071004</v>
      </c>
      <c r="CG342">
        <f t="shared" ca="1" si="261"/>
        <v>285.27668610412013</v>
      </c>
      <c r="CH342">
        <f t="shared" ca="1" si="262"/>
        <v>0.97465280200872928</v>
      </c>
      <c r="CI342">
        <f t="shared" ca="1" si="263"/>
        <v>-0.22372285430088032</v>
      </c>
      <c r="CJ342">
        <f t="shared" ca="1" si="264"/>
        <v>-0.22563247903363037</v>
      </c>
      <c r="CK342" s="38">
        <f t="shared" ca="1" si="265"/>
        <v>-2.5818269692259754</v>
      </c>
    </row>
    <row r="343" spans="55:89" x14ac:dyDescent="0.25">
      <c r="BC343">
        <v>5.9515727493006212</v>
      </c>
      <c r="BD343">
        <v>306.65463990099403</v>
      </c>
      <c r="BE343">
        <v>-56.347917696871569</v>
      </c>
      <c r="BF343" s="6">
        <f t="shared" si="247"/>
        <v>6.1014620425882207</v>
      </c>
      <c r="BG343" s="6">
        <f t="shared" si="248"/>
        <v>0.14988929328759948</v>
      </c>
      <c r="BH343" s="6">
        <f t="shared" si="249"/>
        <v>2.5379177547837104</v>
      </c>
      <c r="BI343" s="6">
        <f t="shared" si="250"/>
        <v>2.5379177547837104</v>
      </c>
      <c r="BV343" s="38"/>
      <c r="BW343" s="6">
        <f t="shared" si="251"/>
        <v>5.7246799465413609</v>
      </c>
      <c r="BX343" s="9">
        <f t="shared" ca="1" si="255"/>
        <v>202.59899264080661</v>
      </c>
      <c r="BY343" s="9">
        <f t="shared" ca="1" si="256"/>
        <v>-37.435056180325461</v>
      </c>
      <c r="BZ343">
        <f t="shared" ca="1" si="257"/>
        <v>206.02848164827535</v>
      </c>
      <c r="CA343" s="6">
        <f t="shared" ca="1" si="258"/>
        <v>0.98335429655146689</v>
      </c>
      <c r="CB343" s="6">
        <f t="shared" ca="1" si="259"/>
        <v>-0.18169845198506723</v>
      </c>
      <c r="CC343" s="6">
        <f t="shared" ca="1" si="260"/>
        <v>-0.18271337906632071</v>
      </c>
      <c r="CD343" s="6">
        <f t="shared" ca="1" si="252"/>
        <v>-2.9355366623081793</v>
      </c>
      <c r="CE343" s="9">
        <f t="shared" ca="1" si="253"/>
        <v>279.9920113116284</v>
      </c>
      <c r="CF343" s="9">
        <f t="shared" ca="1" si="254"/>
        <v>-63.23272907059939</v>
      </c>
      <c r="CG343">
        <f t="shared" ca="1" si="261"/>
        <v>287.04338421926201</v>
      </c>
      <c r="CH343">
        <f t="shared" ca="1" si="262"/>
        <v>0.97543446985614091</v>
      </c>
      <c r="CI343">
        <f t="shared" ca="1" si="263"/>
        <v>-0.22028979780386859</v>
      </c>
      <c r="CJ343">
        <f t="shared" ca="1" si="264"/>
        <v>-0.22211155666267954</v>
      </c>
      <c r="CK343" s="38">
        <f t="shared" ca="1" si="265"/>
        <v>-2.5783060468550243</v>
      </c>
    </row>
    <row r="344" spans="55:89" x14ac:dyDescent="0.25">
      <c r="BC344">
        <v>5.9690260418205643</v>
      </c>
      <c r="BD344">
        <v>308.88124771440312</v>
      </c>
      <c r="BE344">
        <v>-55.871277726454849</v>
      </c>
      <c r="BF344" s="6">
        <f t="shared" si="247"/>
        <v>6.1042374911821327</v>
      </c>
      <c r="BG344" s="6">
        <f t="shared" si="248"/>
        <v>0.13521144936156837</v>
      </c>
      <c r="BH344" s="6">
        <f t="shared" si="249"/>
        <v>2.5351423061897984</v>
      </c>
      <c r="BI344" s="6">
        <f t="shared" si="250"/>
        <v>2.5351423061897984</v>
      </c>
      <c r="BV344" s="38"/>
      <c r="BW344" s="6">
        <f t="shared" si="251"/>
        <v>5.742133239061304</v>
      </c>
      <c r="BX344" s="9">
        <f t="shared" ca="1" si="255"/>
        <v>204.55246586335613</v>
      </c>
      <c r="BY344" s="9">
        <f t="shared" ca="1" si="256"/>
        <v>-36.854781254111515</v>
      </c>
      <c r="BZ344">
        <f t="shared" ca="1" si="257"/>
        <v>207.84606369154042</v>
      </c>
      <c r="CA344" s="6">
        <f t="shared" ca="1" si="258"/>
        <v>0.98415366752832889</v>
      </c>
      <c r="CB344" s="6">
        <f t="shared" ca="1" si="259"/>
        <v>-0.17731767732107187</v>
      </c>
      <c r="CC344" s="6">
        <f t="shared" ca="1" si="260"/>
        <v>-0.17826026629151795</v>
      </c>
      <c r="CD344" s="6">
        <f t="shared" ca="1" si="252"/>
        <v>-2.9310835495333767</v>
      </c>
      <c r="CE344" s="9">
        <f t="shared" ca="1" si="253"/>
        <v>281.94548453417792</v>
      </c>
      <c r="CF344" s="9">
        <f t="shared" ca="1" si="254"/>
        <v>-62.652454144385445</v>
      </c>
      <c r="CG344">
        <f t="shared" ca="1" si="261"/>
        <v>288.82275924782431</v>
      </c>
      <c r="CH344">
        <f t="shared" ca="1" si="262"/>
        <v>0.9761885983931573</v>
      </c>
      <c r="CI344">
        <f t="shared" ca="1" si="263"/>
        <v>-0.21692353576134393</v>
      </c>
      <c r="CJ344">
        <f t="shared" ca="1" si="264"/>
        <v>-0.21866185496673687</v>
      </c>
      <c r="CK344" s="38">
        <f t="shared" ca="1" si="265"/>
        <v>-2.5748563451590818</v>
      </c>
    </row>
    <row r="345" spans="55:89" x14ac:dyDescent="0.25">
      <c r="BC345">
        <v>5.9864793343405074</v>
      </c>
      <c r="BD345">
        <v>311.14406743908864</v>
      </c>
      <c r="BE345">
        <v>-55.401753609740403</v>
      </c>
      <c r="BF345" s="6">
        <f t="shared" si="247"/>
        <v>6.1069738606697106</v>
      </c>
      <c r="BG345" s="6">
        <f t="shared" si="248"/>
        <v>0.12049452632920321</v>
      </c>
      <c r="BH345" s="6">
        <f t="shared" si="249"/>
        <v>2.5324059367022205</v>
      </c>
      <c r="BI345" s="6">
        <f t="shared" si="250"/>
        <v>2.5324059367022205</v>
      </c>
      <c r="BV345" s="38"/>
      <c r="BW345" s="6">
        <f t="shared" si="251"/>
        <v>5.7595865315812471</v>
      </c>
      <c r="BX345" s="9">
        <f t="shared" ca="1" si="255"/>
        <v>206.51503067544297</v>
      </c>
      <c r="BY345" s="9">
        <f t="shared" ca="1" si="256"/>
        <v>-36.284025951258101</v>
      </c>
      <c r="BZ345">
        <f t="shared" ca="1" si="257"/>
        <v>209.67829747999846</v>
      </c>
      <c r="CA345" s="6">
        <f t="shared" ca="1" si="258"/>
        <v>0.98491371380551562</v>
      </c>
      <c r="CB345" s="6">
        <f t="shared" ca="1" si="259"/>
        <v>-0.17304616828415106</v>
      </c>
      <c r="CC345" s="6">
        <f t="shared" ca="1" si="260"/>
        <v>-0.17392166175515808</v>
      </c>
      <c r="CD345" s="6">
        <f t="shared" ca="1" si="252"/>
        <v>-2.9267449449970169</v>
      </c>
      <c r="CE345" s="9">
        <f t="shared" ca="1" si="253"/>
        <v>283.90804934626476</v>
      </c>
      <c r="CF345" s="9">
        <f t="shared" ca="1" si="254"/>
        <v>-62.081698841532031</v>
      </c>
      <c r="CG345">
        <f t="shared" ca="1" si="261"/>
        <v>290.61644450142836</v>
      </c>
      <c r="CH345">
        <f t="shared" ca="1" si="262"/>
        <v>0.97691667047034347</v>
      </c>
      <c r="CI345">
        <f t="shared" ca="1" si="263"/>
        <v>-0.21362073625268271</v>
      </c>
      <c r="CJ345">
        <f t="shared" ca="1" si="264"/>
        <v>-0.21527975732659974</v>
      </c>
      <c r="CK345" s="38">
        <f t="shared" ca="1" si="265"/>
        <v>-2.5714742475189447</v>
      </c>
    </row>
    <row r="346" spans="55:89" x14ac:dyDescent="0.25">
      <c r="BC346">
        <v>6.0039326268604505</v>
      </c>
      <c r="BD346">
        <v>313.44574289154758</v>
      </c>
      <c r="BE346">
        <v>-54.939388591848626</v>
      </c>
      <c r="BF346" s="6">
        <f t="shared" si="247"/>
        <v>6.1096722490741788</v>
      </c>
      <c r="BG346" s="6">
        <f t="shared" si="248"/>
        <v>0.10573962221372835</v>
      </c>
      <c r="BH346" s="6">
        <f t="shared" si="249"/>
        <v>2.5297075482977522</v>
      </c>
      <c r="BI346" s="6">
        <f t="shared" si="250"/>
        <v>2.5297075482977522</v>
      </c>
      <c r="BV346" s="38"/>
      <c r="BW346" s="6">
        <f t="shared" si="251"/>
        <v>5.7770398241011902</v>
      </c>
      <c r="BX346" s="9">
        <f t="shared" ca="1" si="255"/>
        <v>208.48859838390922</v>
      </c>
      <c r="BY346" s="9">
        <f t="shared" ca="1" si="256"/>
        <v>-35.722426661860027</v>
      </c>
      <c r="BZ346">
        <f t="shared" ca="1" si="257"/>
        <v>211.52680071966995</v>
      </c>
      <c r="CA346" s="6">
        <f t="shared" ca="1" si="258"/>
        <v>0.98563679720288888</v>
      </c>
      <c r="CB346" s="6">
        <f t="shared" ca="1" si="259"/>
        <v>-0.1688789625726996</v>
      </c>
      <c r="CC346" s="6">
        <f t="shared" ca="1" si="260"/>
        <v>-0.16969218428062649</v>
      </c>
      <c r="CD346" s="6">
        <f t="shared" ca="1" si="252"/>
        <v>-2.9225154675224854</v>
      </c>
      <c r="CE346" s="9">
        <f t="shared" ca="1" si="253"/>
        <v>285.88161705473101</v>
      </c>
      <c r="CF346" s="9">
        <f t="shared" ca="1" si="254"/>
        <v>-61.520099552133956</v>
      </c>
      <c r="CG346">
        <f t="shared" ca="1" si="261"/>
        <v>292.42609599475276</v>
      </c>
      <c r="CH346">
        <f t="shared" ca="1" si="262"/>
        <v>0.97762005843644273</v>
      </c>
      <c r="CI346">
        <f t="shared" ca="1" si="263"/>
        <v>-0.21037828153762947</v>
      </c>
      <c r="CJ346">
        <f t="shared" ca="1" si="264"/>
        <v>-0.21196188491968973</v>
      </c>
      <c r="CK346" s="38">
        <f t="shared" ca="1" si="265"/>
        <v>-2.5681563751120344</v>
      </c>
    </row>
    <row r="347" spans="55:89" x14ac:dyDescent="0.25">
      <c r="BC347">
        <v>6.0213859193803936</v>
      </c>
      <c r="BD347">
        <v>315.78916474076954</v>
      </c>
      <c r="BE347">
        <v>-54.484248678153797</v>
      </c>
      <c r="BF347" s="6">
        <f t="shared" si="247"/>
        <v>6.1123337274932545</v>
      </c>
      <c r="BG347" s="6">
        <f t="shared" si="248"/>
        <v>9.0947808112860962E-2</v>
      </c>
      <c r="BH347" s="6">
        <f t="shared" si="249"/>
        <v>2.5270460698786765</v>
      </c>
      <c r="BI347" s="6">
        <f t="shared" si="250"/>
        <v>2.5270460698786765</v>
      </c>
      <c r="BV347" s="38"/>
      <c r="BW347" s="6">
        <f t="shared" si="251"/>
        <v>5.7944931166211333</v>
      </c>
      <c r="BX347" s="9">
        <f t="shared" ca="1" si="255"/>
        <v>210.47508789344465</v>
      </c>
      <c r="BY347" s="9">
        <f t="shared" ca="1" si="256"/>
        <v>-35.169647166663822</v>
      </c>
      <c r="BZ347">
        <f t="shared" ca="1" si="257"/>
        <v>213.39322085197759</v>
      </c>
      <c r="CA347" s="6">
        <f t="shared" ca="1" si="258"/>
        <v>0.98632509061495854</v>
      </c>
      <c r="CB347" s="6">
        <f t="shared" ca="1" si="259"/>
        <v>-0.16481145476996953</v>
      </c>
      <c r="CC347" s="6">
        <f t="shared" ca="1" si="260"/>
        <v>-0.16556684893888443</v>
      </c>
      <c r="CD347" s="6">
        <f t="shared" ca="1" si="252"/>
        <v>-2.9183901321807433</v>
      </c>
      <c r="CE347" s="9">
        <f t="shared" ca="1" si="253"/>
        <v>287.86810656426644</v>
      </c>
      <c r="CF347" s="9">
        <f t="shared" ca="1" si="254"/>
        <v>-60.967320056937751</v>
      </c>
      <c r="CG347">
        <f t="shared" ca="1" si="261"/>
        <v>294.25339571841977</v>
      </c>
      <c r="CH347">
        <f t="shared" ca="1" si="262"/>
        <v>0.97830003239703101</v>
      </c>
      <c r="CI347">
        <f t="shared" ca="1" si="263"/>
        <v>-0.20719325908911271</v>
      </c>
      <c r="CJ347">
        <f t="shared" ca="1" si="264"/>
        <v>-0.20870508557679518</v>
      </c>
      <c r="CK347" s="38">
        <f t="shared" ca="1" si="265"/>
        <v>-2.56489957576914</v>
      </c>
    </row>
    <row r="348" spans="55:89" x14ac:dyDescent="0.25">
      <c r="BC348">
        <v>6.0388392119003367</v>
      </c>
      <c r="BD348">
        <v>318.17758346360699</v>
      </c>
      <c r="BE348">
        <v>-54.03640518182204</v>
      </c>
      <c r="BF348" s="6">
        <f t="shared" si="247"/>
        <v>6.1149594443463666</v>
      </c>
      <c r="BG348" s="6">
        <f t="shared" si="248"/>
        <v>7.6120232446029945E-2</v>
      </c>
      <c r="BH348" s="6">
        <f t="shared" si="249"/>
        <v>2.5244203530255644</v>
      </c>
      <c r="BI348" s="6">
        <f t="shared" si="250"/>
        <v>2.5244203530255644</v>
      </c>
      <c r="BV348" s="38"/>
      <c r="BW348" s="6">
        <f t="shared" si="251"/>
        <v>5.8119464091410764</v>
      </c>
      <c r="BX348" s="9">
        <f t="shared" ca="1" si="255"/>
        <v>212.47643024760623</v>
      </c>
      <c r="BY348" s="9">
        <f t="shared" ca="1" si="256"/>
        <v>-34.625378911561839</v>
      </c>
      <c r="BZ348">
        <f t="shared" ca="1" si="257"/>
        <v>215.27923791098647</v>
      </c>
      <c r="CA348" s="6">
        <f t="shared" ca="1" si="258"/>
        <v>0.98698059464266996</v>
      </c>
      <c r="CB348" s="6">
        <f t="shared" ca="1" si="259"/>
        <v>-0.16083937888092451</v>
      </c>
      <c r="CC348" s="6">
        <f t="shared" ca="1" si="260"/>
        <v>-0.16154104538085712</v>
      </c>
      <c r="CD348" s="6">
        <f t="shared" ca="1" si="252"/>
        <v>-2.9143643286227157</v>
      </c>
      <c r="CE348" s="9">
        <f t="shared" ca="1" si="253"/>
        <v>289.86944891842802</v>
      </c>
      <c r="CF348" s="9">
        <f t="shared" ca="1" si="254"/>
        <v>-60.423051801835769</v>
      </c>
      <c r="CG348">
        <f t="shared" ca="1" si="261"/>
        <v>296.10005505794908</v>
      </c>
      <c r="CH348">
        <f t="shared" ca="1" si="262"/>
        <v>0.97895776771030429</v>
      </c>
      <c r="CI348">
        <f t="shared" ca="1" si="263"/>
        <v>-0.20406295361887219</v>
      </c>
      <c r="CJ348">
        <f t="shared" ca="1" si="264"/>
        <v>-0.20550642385618978</v>
      </c>
      <c r="CK348" s="38">
        <f t="shared" ca="1" si="265"/>
        <v>-2.5617009140485347</v>
      </c>
    </row>
    <row r="349" spans="55:89" x14ac:dyDescent="0.25">
      <c r="BC349">
        <v>6.0562925044202798</v>
      </c>
      <c r="BD349">
        <v>318.86079640242394</v>
      </c>
      <c r="BE349">
        <v>-53.256849972176674</v>
      </c>
      <c r="BF349" s="6">
        <f t="shared" si="247"/>
        <v>6.11769066967498</v>
      </c>
      <c r="BG349" s="6">
        <f t="shared" si="248"/>
        <v>6.139816525470021E-2</v>
      </c>
      <c r="BH349" s="6">
        <f t="shared" si="249"/>
        <v>2.5216891276969511</v>
      </c>
      <c r="BI349" s="6">
        <f t="shared" si="250"/>
        <v>2.5216891276969511</v>
      </c>
      <c r="BV349" s="38"/>
      <c r="BW349" s="6">
        <f t="shared" si="251"/>
        <v>5.8293997016610195</v>
      </c>
      <c r="BX349" s="9">
        <f t="shared" ca="1" si="255"/>
        <v>214.49457325287767</v>
      </c>
      <c r="BY349" s="9">
        <f t="shared" ca="1" si="256"/>
        <v>-34.089341439048113</v>
      </c>
      <c r="BZ349">
        <f t="shared" ca="1" si="257"/>
        <v>217.18656762028843</v>
      </c>
      <c r="CA349" s="6">
        <f t="shared" ca="1" si="258"/>
        <v>0.98760515257961434</v>
      </c>
      <c r="CB349" s="6">
        <f t="shared" ca="1" si="259"/>
        <v>-0.15695879267564641</v>
      </c>
      <c r="CC349" s="6">
        <f t="shared" ca="1" si="260"/>
        <v>-0.157610518469285</v>
      </c>
      <c r="CD349" s="6">
        <f t="shared" ca="1" si="252"/>
        <v>-2.9104338017111435</v>
      </c>
      <c r="CE349" s="9">
        <f t="shared" ca="1" si="253"/>
        <v>291.88759192369946</v>
      </c>
      <c r="CF349" s="9">
        <f t="shared" ca="1" si="254"/>
        <v>-59.887014329322042</v>
      </c>
      <c r="CG349">
        <f t="shared" ca="1" si="261"/>
        <v>297.9678184037607</v>
      </c>
      <c r="CH349">
        <f t="shared" ca="1" si="262"/>
        <v>0.97959435179062782</v>
      </c>
      <c r="CI349">
        <f t="shared" ca="1" si="263"/>
        <v>-0.20098484007481729</v>
      </c>
      <c r="CJ349">
        <f t="shared" ca="1" si="264"/>
        <v>-0.20236317228878439</v>
      </c>
      <c r="CK349" s="38">
        <f t="shared" ca="1" si="265"/>
        <v>-2.558557662481129</v>
      </c>
    </row>
    <row r="350" spans="55:89" x14ac:dyDescent="0.25">
      <c r="BC350">
        <v>6.0737457969402229</v>
      </c>
      <c r="BD350">
        <v>319.17916174457184</v>
      </c>
      <c r="BE350">
        <v>-52.416346180656141</v>
      </c>
      <c r="BF350" s="6">
        <f t="shared" si="247"/>
        <v>6.1204158401779223</v>
      </c>
      <c r="BG350" s="6">
        <f t="shared" si="248"/>
        <v>4.667004323769941E-2</v>
      </c>
      <c r="BH350" s="6">
        <f t="shared" si="249"/>
        <v>2.5189639571940088</v>
      </c>
      <c r="BI350" s="6">
        <f t="shared" si="250"/>
        <v>2.5189639571940088</v>
      </c>
      <c r="BV350" s="38"/>
      <c r="BW350" s="6">
        <f t="shared" si="251"/>
        <v>5.8468529941809626</v>
      </c>
      <c r="BX350" s="9">
        <f t="shared" ca="1" si="255"/>
        <v>216.53148628559944</v>
      </c>
      <c r="BY350" s="9">
        <f t="shared" ca="1" si="256"/>
        <v>-33.561282997355264</v>
      </c>
      <c r="BZ350">
        <f t="shared" ca="1" si="257"/>
        <v>219.11696481440981</v>
      </c>
      <c r="CA350" s="6">
        <f t="shared" ca="1" si="258"/>
        <v>0.98820046393486582</v>
      </c>
      <c r="CB350" s="6">
        <f t="shared" ca="1" si="259"/>
        <v>-0.15316606373121947</v>
      </c>
      <c r="CC350" s="6">
        <f t="shared" ca="1" si="260"/>
        <v>-0.15377135103880474</v>
      </c>
      <c r="CD350" s="6">
        <f t="shared" ca="1" si="252"/>
        <v>-2.9065946342806632</v>
      </c>
      <c r="CE350" s="9">
        <f t="shared" ca="1" si="253"/>
        <v>293.92450495642123</v>
      </c>
      <c r="CF350" s="9">
        <f t="shared" ca="1" si="254"/>
        <v>-59.358955887629193</v>
      </c>
      <c r="CG350">
        <f t="shared" ca="1" si="261"/>
        <v>299.85846704394856</v>
      </c>
      <c r="CH350">
        <f t="shared" ca="1" si="262"/>
        <v>0.98021079029041513</v>
      </c>
      <c r="CI350">
        <f t="shared" ca="1" si="263"/>
        <v>-0.1979565775574024</v>
      </c>
      <c r="CJ350">
        <f t="shared" ca="1" si="264"/>
        <v>-0.19927280371866088</v>
      </c>
      <c r="CK350" s="38">
        <f t="shared" ca="1" si="265"/>
        <v>-2.5554672939110059</v>
      </c>
    </row>
    <row r="351" spans="55:89" x14ac:dyDescent="0.25">
      <c r="BC351">
        <v>6.091199089460166</v>
      </c>
      <c r="BD351">
        <v>319.47787377769674</v>
      </c>
      <c r="BE351">
        <v>-51.582056189423348</v>
      </c>
      <c r="BF351" s="6">
        <f t="shared" si="247"/>
        <v>6.1231093796675875</v>
      </c>
      <c r="BG351" s="6">
        <f t="shared" si="248"/>
        <v>3.1910290207421532E-2</v>
      </c>
      <c r="BH351" s="6">
        <f t="shared" si="249"/>
        <v>2.5162704177043436</v>
      </c>
      <c r="BI351" s="6">
        <f t="shared" si="250"/>
        <v>2.5162704177043436</v>
      </c>
      <c r="BV351" s="38"/>
      <c r="BW351" s="6">
        <f t="shared" si="251"/>
        <v>5.8643062867009057</v>
      </c>
      <c r="BX351" s="9">
        <f t="shared" ca="1" si="255"/>
        <v>218.58916543897516</v>
      </c>
      <c r="BY351" s="9">
        <f t="shared" ca="1" si="256"/>
        <v>-33.040981331036889</v>
      </c>
      <c r="BZ351">
        <f t="shared" ca="1" si="257"/>
        <v>221.07222732542769</v>
      </c>
      <c r="CA351" s="6">
        <f t="shared" ca="1" si="258"/>
        <v>0.98876809666916066</v>
      </c>
      <c r="CB351" s="6">
        <f t="shared" ca="1" si="259"/>
        <v>-0.14945785696725788</v>
      </c>
      <c r="CC351" s="6">
        <f t="shared" ca="1" si="260"/>
        <v>-0.15001994852381315</v>
      </c>
      <c r="CD351" s="6">
        <f t="shared" ca="1" si="252"/>
        <v>-2.9028432317656718</v>
      </c>
      <c r="CE351" s="9">
        <f t="shared" ca="1" si="253"/>
        <v>295.98218410979695</v>
      </c>
      <c r="CF351" s="9">
        <f t="shared" ca="1" si="254"/>
        <v>-58.838654221310819</v>
      </c>
      <c r="CG351">
        <f t="shared" ca="1" si="261"/>
        <v>301.77382348537242</v>
      </c>
      <c r="CH351">
        <f t="shared" ca="1" si="262"/>
        <v>0.98080801274052121</v>
      </c>
      <c r="CI351">
        <f t="shared" ca="1" si="263"/>
        <v>-0.19497600402098111</v>
      </c>
      <c r="CJ351">
        <f t="shared" ca="1" si="264"/>
        <v>-0.1962329845831704</v>
      </c>
      <c r="CK351" s="38">
        <f t="shared" ca="1" si="265"/>
        <v>-2.5524274747755151</v>
      </c>
    </row>
    <row r="352" spans="55:89" x14ac:dyDescent="0.25">
      <c r="BC352">
        <v>6.1086523819801091</v>
      </c>
      <c r="BD352">
        <v>319.75750463382303</v>
      </c>
      <c r="BE352">
        <v>-50.753408414520663</v>
      </c>
      <c r="BF352" s="6">
        <f t="shared" si="247"/>
        <v>6.1257737760591979</v>
      </c>
      <c r="BG352" s="6">
        <f t="shared" si="248"/>
        <v>1.7121394079088859E-2</v>
      </c>
      <c r="BH352" s="6">
        <f t="shared" si="249"/>
        <v>2.5136060213127331</v>
      </c>
      <c r="BI352" s="6">
        <f t="shared" si="250"/>
        <v>2.5136060213127331</v>
      </c>
      <c r="BV352" s="38"/>
      <c r="BW352" s="6">
        <f t="shared" si="251"/>
        <v>5.8817595792208488</v>
      </c>
      <c r="BX352" s="9">
        <f t="shared" ca="1" si="255"/>
        <v>220.6696392746116</v>
      </c>
      <c r="BY352" s="9">
        <f t="shared" ca="1" si="256"/>
        <v>-32.528244659945557</v>
      </c>
      <c r="BZ352">
        <f t="shared" ca="1" si="257"/>
        <v>223.05420058417297</v>
      </c>
      <c r="CA352" s="6">
        <f t="shared" ca="1" si="258"/>
        <v>0.98930949830437498</v>
      </c>
      <c r="CB352" s="6">
        <f t="shared" ca="1" si="259"/>
        <v>-0.14583112344333779</v>
      </c>
      <c r="CC352" s="6">
        <f t="shared" ca="1" si="260"/>
        <v>-0.14635302517431326</v>
      </c>
      <c r="CD352" s="6">
        <f t="shared" ca="1" si="252"/>
        <v>-2.8991763084161719</v>
      </c>
      <c r="CE352" s="9">
        <f t="shared" ca="1" si="253"/>
        <v>298.06265794543339</v>
      </c>
      <c r="CF352" s="9">
        <f t="shared" ca="1" si="254"/>
        <v>-58.325917550219486</v>
      </c>
      <c r="CG352">
        <f t="shared" ca="1" si="261"/>
        <v>303.71575645588661</v>
      </c>
      <c r="CH352">
        <f t="shared" ca="1" si="262"/>
        <v>0.98138687772929456</v>
      </c>
      <c r="CI352">
        <f t="shared" ca="1" si="263"/>
        <v>-0.19204113158577951</v>
      </c>
      <c r="CJ352">
        <f t="shared" ca="1" si="264"/>
        <v>-0.19324156893849587</v>
      </c>
      <c r="CK352" s="38">
        <f t="shared" ca="1" si="265"/>
        <v>-2.5494360591308407</v>
      </c>
    </row>
    <row r="353" spans="55:89" x14ac:dyDescent="0.25">
      <c r="BC353">
        <v>6.1261056745000522</v>
      </c>
      <c r="BD353">
        <v>320.01857254017779</v>
      </c>
      <c r="BE353">
        <v>-49.929845810898314</v>
      </c>
      <c r="BF353" s="6">
        <f t="shared" si="247"/>
        <v>6.1284114196347854</v>
      </c>
      <c r="BG353" s="6">
        <f t="shared" si="248"/>
        <v>2.3057451347332503E-3</v>
      </c>
      <c r="BH353" s="6">
        <f t="shared" si="249"/>
        <v>2.5109683777371457</v>
      </c>
      <c r="BI353" s="6">
        <f t="shared" si="250"/>
        <v>2.5109683777371457</v>
      </c>
      <c r="BV353" s="38"/>
      <c r="BW353" s="6">
        <f t="shared" si="251"/>
        <v>5.8992128717407919</v>
      </c>
      <c r="BX353" s="9">
        <f t="shared" ca="1" si="255"/>
        <v>222.77497557646865</v>
      </c>
      <c r="BY353" s="9">
        <f t="shared" ca="1" si="256"/>
        <v>-32.022912818350761</v>
      </c>
      <c r="BZ353">
        <f t="shared" ca="1" si="257"/>
        <v>225.06478331464453</v>
      </c>
      <c r="CA353" s="6">
        <f t="shared" ca="1" si="258"/>
        <v>0.98982600607499449</v>
      </c>
      <c r="CB353" s="6">
        <f t="shared" ca="1" si="259"/>
        <v>-0.14228308999183656</v>
      </c>
      <c r="CC353" s="6">
        <f t="shared" ca="1" si="260"/>
        <v>-0.14276759138999739</v>
      </c>
      <c r="CD353" s="6">
        <f t="shared" ca="1" si="252"/>
        <v>-2.8955908746318562</v>
      </c>
      <c r="CE353" s="9">
        <f t="shared" ca="1" si="253"/>
        <v>300.16799424729044</v>
      </c>
      <c r="CF353" s="9">
        <f t="shared" ca="1" si="254"/>
        <v>-57.820585708624691</v>
      </c>
      <c r="CG353">
        <f t="shared" ca="1" si="261"/>
        <v>305.6861869665193</v>
      </c>
      <c r="CH353">
        <f t="shared" ca="1" si="262"/>
        <v>0.9819481777243888</v>
      </c>
      <c r="CI353">
        <f t="shared" ca="1" si="263"/>
        <v>-0.18915014211930214</v>
      </c>
      <c r="CJ353">
        <f t="shared" ca="1" si="264"/>
        <v>-0.19029659286932021</v>
      </c>
      <c r="CK353" s="38">
        <f t="shared" ca="1" si="265"/>
        <v>-2.5464910830616652</v>
      </c>
    </row>
    <row r="354" spans="55:89" x14ac:dyDescent="0.25">
      <c r="BC354">
        <v>6.1435589670199953</v>
      </c>
      <c r="BD354">
        <v>320.26154449424166</v>
      </c>
      <c r="BE354">
        <v>-49.110824312841842</v>
      </c>
      <c r="BF354" s="6">
        <f t="shared" si="247"/>
        <v>6.1310246126634356</v>
      </c>
      <c r="BG354" s="6">
        <f t="shared" si="248"/>
        <v>1.2534354356559696E-2</v>
      </c>
      <c r="BH354" s="6">
        <f t="shared" si="249"/>
        <v>2.5083551847084955</v>
      </c>
      <c r="BI354" s="6">
        <f t="shared" si="250"/>
        <v>2.5083551847084955</v>
      </c>
      <c r="BV354" s="38"/>
      <c r="BW354" s="6">
        <f t="shared" si="251"/>
        <v>5.916666164260735</v>
      </c>
      <c r="BX354" s="9">
        <f t="shared" ca="1" si="255"/>
        <v>224.90728973640017</v>
      </c>
      <c r="BY354" s="9">
        <f t="shared" ca="1" si="256"/>
        <v>-31.524858503958324</v>
      </c>
      <c r="BZ354">
        <f t="shared" ca="1" si="257"/>
        <v>227.10593492964392</v>
      </c>
      <c r="CA354" s="6">
        <f t="shared" ca="1" si="258"/>
        <v>0.99031885629089844</v>
      </c>
      <c r="CB354" s="6">
        <f t="shared" ca="1" si="259"/>
        <v>-0.13881124909273965</v>
      </c>
      <c r="CC354" s="6">
        <f t="shared" ca="1" si="260"/>
        <v>-0.13926094154085786</v>
      </c>
      <c r="CD354" s="6">
        <f t="shared" ca="1" si="252"/>
        <v>-2.8920842247827165</v>
      </c>
      <c r="CE354" s="9">
        <f t="shared" ca="1" si="253"/>
        <v>302.30030840722196</v>
      </c>
      <c r="CF354" s="9">
        <f t="shared" ca="1" si="254"/>
        <v>-57.322531394232257</v>
      </c>
      <c r="CG354">
        <f t="shared" ca="1" si="261"/>
        <v>307.68709603840108</v>
      </c>
      <c r="CH354">
        <f t="shared" ca="1" si="262"/>
        <v>0.98249264366125122</v>
      </c>
      <c r="CI354">
        <f t="shared" ca="1" si="263"/>
        <v>-0.18630138258082193</v>
      </c>
      <c r="CJ354">
        <f t="shared" ca="1" si="264"/>
        <v>-0.1873962687562033</v>
      </c>
      <c r="CK354" s="38">
        <f t="shared" ca="1" si="265"/>
        <v>-2.543590758948548</v>
      </c>
    </row>
    <row r="355" spans="55:89" x14ac:dyDescent="0.25">
      <c r="BC355">
        <v>6.1610122595399384</v>
      </c>
      <c r="BD355">
        <v>320.48683863708902</v>
      </c>
      <c r="BE355">
        <v>-48.295811345445408</v>
      </c>
      <c r="BF355" s="6">
        <f t="shared" si="247"/>
        <v>6.1336155783697111</v>
      </c>
      <c r="BG355" s="6">
        <f t="shared" si="248"/>
        <v>2.7396681170227311E-2</v>
      </c>
      <c r="BH355" s="6">
        <f t="shared" si="249"/>
        <v>2.50576421900222</v>
      </c>
      <c r="BI355" s="6">
        <f t="shared" si="250"/>
        <v>2.50576421900222</v>
      </c>
      <c r="BV355" s="38"/>
      <c r="BW355" s="6">
        <f t="shared" si="251"/>
        <v>5.9341194567806781</v>
      </c>
      <c r="BX355" s="9">
        <f t="shared" ca="1" si="255"/>
        <v>227.06875573692861</v>
      </c>
      <c r="BY355" s="9">
        <f t="shared" ca="1" si="256"/>
        <v>-31.033988521506874</v>
      </c>
      <c r="BZ355">
        <f t="shared" ca="1" si="257"/>
        <v>229.17968556455864</v>
      </c>
      <c r="CA355" s="6">
        <f t="shared" ca="1" si="258"/>
        <v>0.99078919310657931</v>
      </c>
      <c r="CB355" s="6">
        <f t="shared" ca="1" si="259"/>
        <v>-0.13541334802453411</v>
      </c>
      <c r="CC355" s="6">
        <f t="shared" ca="1" si="260"/>
        <v>-0.1358306412729603</v>
      </c>
      <c r="CD355" s="6">
        <f t="shared" ca="1" si="252"/>
        <v>-2.8886539245148191</v>
      </c>
      <c r="CE355" s="9">
        <f t="shared" ca="1" si="253"/>
        <v>304.4617744077504</v>
      </c>
      <c r="CF355" s="9">
        <f t="shared" ca="1" si="254"/>
        <v>-56.831661411780807</v>
      </c>
      <c r="CG355">
        <f t="shared" ca="1" si="261"/>
        <v>309.72053502204079</v>
      </c>
      <c r="CH355">
        <f t="shared" ca="1" si="262"/>
        <v>0.98302094947008867</v>
      </c>
      <c r="CI355">
        <f t="shared" ca="1" si="263"/>
        <v>-0.18349335928835481</v>
      </c>
      <c r="CJ355">
        <f t="shared" ca="1" si="264"/>
        <v>-0.18453897853764389</v>
      </c>
      <c r="CK355" s="38">
        <f t="shared" ca="1" si="265"/>
        <v>-2.5407334687299885</v>
      </c>
    </row>
    <row r="356" spans="55:89" x14ac:dyDescent="0.25">
      <c r="BC356">
        <v>6.1784655520598815</v>
      </c>
      <c r="BD356">
        <v>320.69482633260697</v>
      </c>
      <c r="BE356">
        <v>-47.484284398696666</v>
      </c>
      <c r="BF356" s="6">
        <f t="shared" si="247"/>
        <v>6.136186469321105</v>
      </c>
      <c r="BG356" s="6">
        <f t="shared" si="248"/>
        <v>4.2279082738776452E-2</v>
      </c>
      <c r="BH356" s="6">
        <f t="shared" si="249"/>
        <v>2.5031933280508261</v>
      </c>
      <c r="BI356" s="6">
        <f t="shared" si="250"/>
        <v>2.5031933280508261</v>
      </c>
      <c r="BV356" s="38"/>
      <c r="BW356" s="6">
        <f t="shared" si="251"/>
        <v>5.9515727493006212</v>
      </c>
      <c r="BX356" s="9">
        <f t="shared" ca="1" si="255"/>
        <v>229.26162123017224</v>
      </c>
      <c r="BY356" s="9">
        <f t="shared" ca="1" si="256"/>
        <v>-30.550244806597636</v>
      </c>
      <c r="BZ356">
        <f t="shared" ca="1" si="257"/>
        <v>231.28815020841429</v>
      </c>
      <c r="CA356" s="6">
        <f t="shared" ca="1" si="258"/>
        <v>0.99123807693383359</v>
      </c>
      <c r="CB356" s="6">
        <f t="shared" ca="1" si="259"/>
        <v>-0.13208737576511698</v>
      </c>
      <c r="CC356" s="6">
        <f t="shared" ca="1" si="260"/>
        <v>-0.13247451273949098</v>
      </c>
      <c r="CD356" s="6">
        <f t="shared" ca="1" si="252"/>
        <v>-2.8852977959813497</v>
      </c>
      <c r="CE356" s="9">
        <f t="shared" ca="1" si="253"/>
        <v>306.65463990099403</v>
      </c>
      <c r="CF356" s="9">
        <f t="shared" ca="1" si="254"/>
        <v>-56.347917696871569</v>
      </c>
      <c r="CG356">
        <f t="shared" ca="1" si="261"/>
        <v>311.7886399495365</v>
      </c>
      <c r="CH356">
        <f t="shared" ca="1" si="262"/>
        <v>0.98353371678527668</v>
      </c>
      <c r="CI356">
        <f t="shared" ca="1" si="263"/>
        <v>-0.18072472975920986</v>
      </c>
      <c r="CJ356">
        <f t="shared" ca="1" si="264"/>
        <v>-0.18172326459136559</v>
      </c>
      <c r="CK356" s="38">
        <f t="shared" ca="1" si="265"/>
        <v>-2.5379177547837104</v>
      </c>
    </row>
    <row r="357" spans="55:89" x14ac:dyDescent="0.25">
      <c r="BC357">
        <v>6.1959188445798246</v>
      </c>
      <c r="BD357">
        <v>320.88583397684181</v>
      </c>
      <c r="BE357">
        <v>-46.675729655842034</v>
      </c>
      <c r="BF357" s="6">
        <f t="shared" si="247"/>
        <v>6.1387393753089396</v>
      </c>
      <c r="BG357" s="6">
        <f t="shared" si="248"/>
        <v>5.7179469270884908E-2</v>
      </c>
      <c r="BH357" s="6">
        <f t="shared" si="249"/>
        <v>2.5006404220629914</v>
      </c>
      <c r="BI357" s="6">
        <f t="shared" si="250"/>
        <v>2.5006404220629914</v>
      </c>
      <c r="BV357" s="38"/>
      <c r="BW357" s="6">
        <f t="shared" si="251"/>
        <v>5.9690260418205643</v>
      </c>
      <c r="BX357" s="9">
        <f t="shared" ca="1" si="255"/>
        <v>231.48822904358133</v>
      </c>
      <c r="BY357" s="9">
        <f t="shared" ca="1" si="256"/>
        <v>-30.073604836180916</v>
      </c>
      <c r="BZ357">
        <f t="shared" ca="1" si="257"/>
        <v>233.43354920314331</v>
      </c>
      <c r="CA357" s="6">
        <f t="shared" ca="1" si="258"/>
        <v>0.9916664928147535</v>
      </c>
      <c r="CB357" s="6">
        <f t="shared" ca="1" si="259"/>
        <v>-0.12883154516067288</v>
      </c>
      <c r="CC357" s="6">
        <f t="shared" ca="1" si="260"/>
        <v>-0.12919061524062686</v>
      </c>
      <c r="CD357" s="6">
        <f t="shared" ca="1" si="252"/>
        <v>-2.8820138984824855</v>
      </c>
      <c r="CE357" s="9">
        <f t="shared" ca="1" si="253"/>
        <v>308.88124771440312</v>
      </c>
      <c r="CF357" s="9">
        <f t="shared" ca="1" si="254"/>
        <v>-55.871277726454849</v>
      </c>
      <c r="CG357">
        <f t="shared" ca="1" si="261"/>
        <v>313.89365215689389</v>
      </c>
      <c r="CH357">
        <f t="shared" ca="1" si="262"/>
        <v>0.98403152020422058</v>
      </c>
      <c r="CI357">
        <f t="shared" ca="1" si="263"/>
        <v>-0.17799428992125216</v>
      </c>
      <c r="CJ357">
        <f t="shared" ca="1" si="264"/>
        <v>-0.17894781599745341</v>
      </c>
      <c r="CK357" s="38">
        <f t="shared" ca="1" si="265"/>
        <v>-2.5351423061897984</v>
      </c>
    </row>
    <row r="358" spans="55:89" x14ac:dyDescent="0.25">
      <c r="BC358">
        <v>6.2133721370997677</v>
      </c>
      <c r="BD358">
        <v>321.06014455879563</v>
      </c>
      <c r="BE358">
        <v>-45.869640668209264</v>
      </c>
      <c r="BF358" s="6">
        <f t="shared" si="247"/>
        <v>6.1412763307901761</v>
      </c>
      <c r="BG358" s="6">
        <f t="shared" si="248"/>
        <v>7.2095806309591559E-2</v>
      </c>
      <c r="BH358" s="6">
        <f t="shared" si="249"/>
        <v>2.498103466581755</v>
      </c>
      <c r="BI358" s="6">
        <f t="shared" si="250"/>
        <v>2.498103466581755</v>
      </c>
      <c r="BV358" s="38"/>
      <c r="BW358" s="6">
        <f t="shared" si="251"/>
        <v>5.9864793343405074</v>
      </c>
      <c r="BX358" s="9">
        <f t="shared" ca="1" si="255"/>
        <v>233.75104876826686</v>
      </c>
      <c r="BY358" s="9">
        <f t="shared" ca="1" si="256"/>
        <v>-29.60408071946647</v>
      </c>
      <c r="BZ358">
        <f t="shared" ca="1" si="257"/>
        <v>235.61823867330253</v>
      </c>
      <c r="CA358" s="6">
        <f t="shared" ca="1" si="258"/>
        <v>0.99207535921009649</v>
      </c>
      <c r="CB358" s="6">
        <f t="shared" ca="1" si="259"/>
        <v>-0.125644266276492</v>
      </c>
      <c r="CC358" s="6">
        <f t="shared" ca="1" si="260"/>
        <v>-0.12597721714823606</v>
      </c>
      <c r="CD358" s="6">
        <f t="shared" ca="1" si="252"/>
        <v>-2.8788005003900947</v>
      </c>
      <c r="CE358" s="9">
        <f t="shared" ca="1" si="253"/>
        <v>311.14406743908864</v>
      </c>
      <c r="CF358" s="9">
        <f t="shared" ca="1" si="254"/>
        <v>-55.401753609740403</v>
      </c>
      <c r="CG358">
        <f t="shared" ca="1" si="261"/>
        <v>316.03794867954468</v>
      </c>
      <c r="CH358">
        <f t="shared" ca="1" si="262"/>
        <v>0.98451489366734779</v>
      </c>
      <c r="CI358">
        <f t="shared" ca="1" si="263"/>
        <v>-0.17530095306977367</v>
      </c>
      <c r="CJ358">
        <f t="shared" ca="1" si="264"/>
        <v>-0.17621144650987564</v>
      </c>
      <c r="CK358" s="38">
        <f t="shared" ca="1" si="265"/>
        <v>-2.5324059367022205</v>
      </c>
    </row>
    <row r="359" spans="55:89" x14ac:dyDescent="0.25">
      <c r="BC359">
        <v>6.2308254296197108</v>
      </c>
      <c r="BD359">
        <v>321.2179989778914</v>
      </c>
      <c r="BE359">
        <v>-45.065517069093694</v>
      </c>
      <c r="BF359" s="6">
        <f t="shared" si="247"/>
        <v>6.1437993219459432</v>
      </c>
      <c r="BG359" s="6">
        <f t="shared" si="248"/>
        <v>8.7026107673767505E-2</v>
      </c>
      <c r="BH359" s="6">
        <f t="shared" si="249"/>
        <v>2.4955804754259878</v>
      </c>
      <c r="BI359" s="6">
        <f t="shared" si="250"/>
        <v>2.4955804754259878</v>
      </c>
      <c r="BV359" s="38"/>
      <c r="BW359" s="6">
        <f t="shared" si="251"/>
        <v>6.0039326268604505</v>
      </c>
      <c r="BX359" s="9">
        <f t="shared" ca="1" si="255"/>
        <v>236.05272422072579</v>
      </c>
      <c r="BY359" s="9">
        <f t="shared" ca="1" si="256"/>
        <v>-29.141715701574693</v>
      </c>
      <c r="BZ359">
        <f t="shared" ca="1" si="257"/>
        <v>237.84475652420306</v>
      </c>
      <c r="CA359" s="6">
        <f t="shared" ca="1" si="258"/>
        <v>0.99246553790100089</v>
      </c>
      <c r="CB359" s="6">
        <f t="shared" ca="1" si="259"/>
        <v>-0.12252410407294068</v>
      </c>
      <c r="CC359" s="6">
        <f t="shared" ca="1" si="260"/>
        <v>-0.12283275221212135</v>
      </c>
      <c r="CD359" s="6">
        <f t="shared" ca="1" si="252"/>
        <v>-2.87565603545398</v>
      </c>
      <c r="CE359" s="9">
        <f t="shared" ca="1" si="253"/>
        <v>313.44574289154758</v>
      </c>
      <c r="CF359" s="9">
        <f t="shared" ca="1" si="254"/>
        <v>-54.939388591848626</v>
      </c>
      <c r="CG359">
        <f t="shared" ca="1" si="261"/>
        <v>318.22408795639637</v>
      </c>
      <c r="CH359">
        <f t="shared" ca="1" si="262"/>
        <v>0.98498433888039449</v>
      </c>
      <c r="CI359">
        <f t="shared" ca="1" si="263"/>
        <v>-0.17264371451156935</v>
      </c>
      <c r="CJ359">
        <f t="shared" ca="1" si="264"/>
        <v>-0.17351305810540718</v>
      </c>
      <c r="CK359" s="38">
        <f t="shared" ca="1" si="265"/>
        <v>-2.5297075482977522</v>
      </c>
    </row>
    <row r="360" spans="55:89" x14ac:dyDescent="0.25">
      <c r="BC360">
        <v>6.2482787221396539</v>
      </c>
      <c r="BD360">
        <v>321.35959713654364</v>
      </c>
      <c r="BE360">
        <v>-44.262863319673372</v>
      </c>
      <c r="BF360" s="6">
        <f t="shared" si="247"/>
        <v>6.146310293414933</v>
      </c>
      <c r="BG360" s="6">
        <f t="shared" si="248"/>
        <v>0.10196842872472089</v>
      </c>
      <c r="BH360" s="6">
        <f t="shared" si="249"/>
        <v>2.4930695039569981</v>
      </c>
      <c r="BI360" s="6">
        <f t="shared" si="250"/>
        <v>2.4930695039569981</v>
      </c>
      <c r="BV360" s="38"/>
      <c r="BW360" s="6">
        <f t="shared" si="251"/>
        <v>6.0213859193803936</v>
      </c>
      <c r="BX360" s="9">
        <f t="shared" ca="1" si="255"/>
        <v>238.39614606994775</v>
      </c>
      <c r="BY360" s="9">
        <f t="shared" ca="1" si="256"/>
        <v>-28.686575787879864</v>
      </c>
      <c r="BZ360">
        <f t="shared" ca="1" si="257"/>
        <v>240.11589304216753</v>
      </c>
      <c r="CA360" s="6">
        <f t="shared" ca="1" si="258"/>
        <v>0.99283784613158543</v>
      </c>
      <c r="CB360" s="6">
        <f t="shared" ca="1" si="259"/>
        <v>-0.11946970866623194</v>
      </c>
      <c r="CC360" s="6">
        <f t="shared" ca="1" si="260"/>
        <v>-0.11975574844396335</v>
      </c>
      <c r="CD360" s="6">
        <f t="shared" ca="1" si="252"/>
        <v>-2.872579031685822</v>
      </c>
      <c r="CE360" s="9">
        <f t="shared" ca="1" si="253"/>
        <v>315.78916474076954</v>
      </c>
      <c r="CF360" s="9">
        <f t="shared" ca="1" si="254"/>
        <v>-54.484248678153797</v>
      </c>
      <c r="CG360">
        <f t="shared" ca="1" si="261"/>
        <v>320.45487969712019</v>
      </c>
      <c r="CH360">
        <f t="shared" ca="1" si="262"/>
        <v>0.98544033730813996</v>
      </c>
      <c r="CI360">
        <f t="shared" ca="1" si="263"/>
        <v>-0.17002159158771402</v>
      </c>
      <c r="CJ360">
        <f t="shared" ca="1" si="264"/>
        <v>-0.1708515796863315</v>
      </c>
      <c r="CK360" s="38">
        <f t="shared" ca="1" si="265"/>
        <v>-2.5270460698786765</v>
      </c>
    </row>
    <row r="361" spans="55:89" x14ac:dyDescent="0.25">
      <c r="BC361">
        <v>6.2657320146595969</v>
      </c>
      <c r="BD361">
        <v>321.48509880847411</v>
      </c>
      <c r="BE361">
        <v>-43.461187480207315</v>
      </c>
      <c r="BF361" s="6">
        <f t="shared" si="247"/>
        <v>6.1488111547489943</v>
      </c>
      <c r="BG361" s="6">
        <f t="shared" si="248"/>
        <v>0.11692085991060264</v>
      </c>
      <c r="BH361" s="6">
        <f t="shared" si="249"/>
        <v>2.4905686426229368</v>
      </c>
      <c r="BI361" s="6">
        <f t="shared" si="250"/>
        <v>2.4905686426229368</v>
      </c>
      <c r="BV361" s="38"/>
      <c r="BW361" s="6">
        <f t="shared" si="251"/>
        <v>6.0388392119003367</v>
      </c>
      <c r="BX361" s="9">
        <f t="shared" ca="1" si="255"/>
        <v>240.7845647927852</v>
      </c>
      <c r="BY361" s="9">
        <f t="shared" ca="1" si="256"/>
        <v>-28.238732291548107</v>
      </c>
      <c r="BZ361">
        <f t="shared" ca="1" si="257"/>
        <v>242.43480081020689</v>
      </c>
      <c r="CA361" s="6">
        <f t="shared" ca="1" si="258"/>
        <v>0.99319307289256054</v>
      </c>
      <c r="CB361" s="6">
        <f t="shared" ca="1" si="259"/>
        <v>-0.11647969762251728</v>
      </c>
      <c r="CC361" s="6">
        <f t="shared" ca="1" si="260"/>
        <v>-0.11674470893190911</v>
      </c>
      <c r="CD361" s="6">
        <f t="shared" ca="1" si="252"/>
        <v>-2.8695679921737676</v>
      </c>
      <c r="CE361" s="9">
        <f t="shared" ca="1" si="253"/>
        <v>318.17758346360699</v>
      </c>
      <c r="CF361" s="9">
        <f t="shared" ca="1" si="254"/>
        <v>-54.03640518182204</v>
      </c>
      <c r="CG361">
        <f t="shared" ca="1" si="261"/>
        <v>322.73349330944046</v>
      </c>
      <c r="CH361">
        <f t="shared" ca="1" si="262"/>
        <v>0.98588336835103385</v>
      </c>
      <c r="CI361">
        <f t="shared" ca="1" si="263"/>
        <v>-0.16743352116233978</v>
      </c>
      <c r="CJ361">
        <f t="shared" ca="1" si="264"/>
        <v>-0.16822586283322005</v>
      </c>
      <c r="CK361" s="38">
        <f t="shared" ca="1" si="265"/>
        <v>-2.5244203530255649</v>
      </c>
    </row>
    <row r="362" spans="55:89" x14ac:dyDescent="0.25">
      <c r="BC362">
        <v>6.28318530717954</v>
      </c>
      <c r="BD362">
        <v>321.59462430293019</v>
      </c>
      <c r="BE362">
        <v>-42.660000000002135</v>
      </c>
      <c r="BF362" s="6">
        <f t="shared" si="247"/>
        <v>6.1513037866442835</v>
      </c>
      <c r="BG362" s="6">
        <f t="shared" si="248"/>
        <v>0.13188152053525659</v>
      </c>
      <c r="BH362" s="6">
        <f t="shared" si="249"/>
        <v>2.4880760107276476</v>
      </c>
      <c r="BI362" s="6">
        <f t="shared" si="250"/>
        <v>2.4880760107276476</v>
      </c>
      <c r="BV362" s="38"/>
      <c r="BW362" s="6">
        <f t="shared" si="251"/>
        <v>6.0562925044202798</v>
      </c>
      <c r="BX362" s="9">
        <f t="shared" ca="1" si="255"/>
        <v>241.46777773160215</v>
      </c>
      <c r="BY362" s="9">
        <f t="shared" ca="1" si="256"/>
        <v>-27.459177081902741</v>
      </c>
      <c r="BZ362">
        <f t="shared" ca="1" si="257"/>
        <v>243.02406071962037</v>
      </c>
      <c r="CA362" s="6">
        <f t="shared" ca="1" si="258"/>
        <v>0.99359617733565186</v>
      </c>
      <c r="CB362" s="6">
        <f t="shared" ca="1" si="259"/>
        <v>-0.11298954103800737</v>
      </c>
      <c r="CC362" s="6">
        <f t="shared" ca="1" si="260"/>
        <v>-0.11323134887724998</v>
      </c>
      <c r="CD362" s="6">
        <f t="shared" ca="1" si="252"/>
        <v>-2.8660546321191087</v>
      </c>
      <c r="CE362" s="9">
        <f t="shared" ca="1" si="253"/>
        <v>318.86079640242394</v>
      </c>
      <c r="CF362" s="9">
        <f t="shared" ca="1" si="254"/>
        <v>-53.256849972176674</v>
      </c>
      <c r="CG362">
        <f t="shared" ca="1" si="261"/>
        <v>323.27774366842357</v>
      </c>
      <c r="CH362">
        <f t="shared" ca="1" si="262"/>
        <v>0.98633698931489089</v>
      </c>
      <c r="CI362">
        <f t="shared" ca="1" si="263"/>
        <v>-0.16474023039086988</v>
      </c>
      <c r="CJ362">
        <f t="shared" ca="1" si="264"/>
        <v>-0.16549463750460652</v>
      </c>
      <c r="CK362" s="38">
        <f t="shared" ca="1" si="265"/>
        <v>-2.5216891276969515</v>
      </c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si="251"/>
        <v>6.0737457969402229</v>
      </c>
      <c r="BX363" s="9">
        <f t="shared" ca="1" si="255"/>
        <v>241.78614307375005</v>
      </c>
      <c r="BY363" s="9">
        <f t="shared" ca="1" si="256"/>
        <v>-26.618673290382208</v>
      </c>
      <c r="BZ363">
        <f t="shared" ca="1" si="257"/>
        <v>243.24697891283262</v>
      </c>
      <c r="CA363" s="6">
        <f t="shared" ca="1" si="258"/>
        <v>0.99399443378243946</v>
      </c>
      <c r="CB363" s="6">
        <f t="shared" ca="1" si="259"/>
        <v>-0.10943064291836894</v>
      </c>
      <c r="CC363" s="6">
        <f t="shared" ca="1" si="260"/>
        <v>-0.1096502348426573</v>
      </c>
      <c r="CD363" s="6">
        <f t="shared" ca="1" si="252"/>
        <v>-2.8624735180845158</v>
      </c>
      <c r="CE363" s="9">
        <f t="shared" ca="1" si="253"/>
        <v>319.17916174457184</v>
      </c>
      <c r="CF363" s="9">
        <f t="shared" ca="1" si="254"/>
        <v>-52.416346180656141</v>
      </c>
      <c r="CG363">
        <f t="shared" ca="1" si="261"/>
        <v>323.4544954686794</v>
      </c>
      <c r="CH363">
        <f t="shared" ca="1" si="262"/>
        <v>0.98678227143539099</v>
      </c>
      <c r="CI363">
        <f t="shared" ca="1" si="263"/>
        <v>-0.16205168552289204</v>
      </c>
      <c r="CJ363">
        <f t="shared" ca="1" si="264"/>
        <v>-0.16276946700166392</v>
      </c>
      <c r="CK363" s="38">
        <f t="shared" ca="1" si="265"/>
        <v>-2.5189639571940088</v>
      </c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51"/>
        <v>6.091199089460166</v>
      </c>
      <c r="BX364" s="9">
        <f t="shared" ca="1" si="255"/>
        <v>242.08485510687495</v>
      </c>
      <c r="BY364" s="9">
        <f t="shared" ca="1" si="256"/>
        <v>-25.784383299149415</v>
      </c>
      <c r="BZ364">
        <f t="shared" ca="1" si="257"/>
        <v>243.45412605711593</v>
      </c>
      <c r="CA364" s="6">
        <f t="shared" ca="1" si="258"/>
        <v>0.9943756510829489</v>
      </c>
      <c r="CB364" s="6">
        <f t="shared" ca="1" si="259"/>
        <v>-0.10591064409851172</v>
      </c>
      <c r="CC364" s="6">
        <f t="shared" ca="1" si="260"/>
        <v>-0.10610965135721616</v>
      </c>
      <c r="CD364" s="6">
        <f t="shared" ca="1" si="252"/>
        <v>-2.8589329345990748</v>
      </c>
      <c r="CE364" s="9">
        <f t="shared" ca="1" si="253"/>
        <v>319.47787377769674</v>
      </c>
      <c r="CF364" s="9">
        <f t="shared" ca="1" si="254"/>
        <v>-51.582056189423348</v>
      </c>
      <c r="CG364">
        <f t="shared" ca="1" si="261"/>
        <v>323.61523504657004</v>
      </c>
      <c r="CH364">
        <f t="shared" ca="1" si="262"/>
        <v>0.98721518389491802</v>
      </c>
      <c r="CI364">
        <f t="shared" ca="1" si="263"/>
        <v>-0.15939316386634395</v>
      </c>
      <c r="CJ364">
        <f t="shared" ca="1" si="264"/>
        <v>-0.16007592751199845</v>
      </c>
      <c r="CK364" s="38">
        <f t="shared" ca="1" si="265"/>
        <v>-2.5162704177043431</v>
      </c>
    </row>
    <row r="365" spans="55:89" x14ac:dyDescent="0.25">
      <c r="BW365" s="6">
        <f t="shared" si="251"/>
        <v>6.1086523819801091</v>
      </c>
      <c r="BX365" s="9">
        <f t="shared" ca="1" si="255"/>
        <v>242.36448596300124</v>
      </c>
      <c r="BY365" s="9">
        <f t="shared" ca="1" si="256"/>
        <v>-24.95573552424673</v>
      </c>
      <c r="BZ365">
        <f t="shared" ca="1" si="257"/>
        <v>243.6459168376642</v>
      </c>
      <c r="CA365" s="6">
        <f t="shared" ca="1" si="258"/>
        <v>0.99474060188943469</v>
      </c>
      <c r="CB365" s="6">
        <f t="shared" ca="1" si="259"/>
        <v>-0.10242624152357199</v>
      </c>
      <c r="CC365" s="6">
        <f t="shared" ca="1" si="260"/>
        <v>-0.10260618693607665</v>
      </c>
      <c r="CD365" s="6">
        <f t="shared" ca="1" si="252"/>
        <v>-2.8554294701779352</v>
      </c>
      <c r="CE365" s="9">
        <f t="shared" ca="1" si="253"/>
        <v>319.75750463382303</v>
      </c>
      <c r="CF365" s="9">
        <f t="shared" ca="1" si="254"/>
        <v>-50.753408414520663</v>
      </c>
      <c r="CG365">
        <f t="shared" ca="1" si="261"/>
        <v>323.76035927108262</v>
      </c>
      <c r="CH365">
        <f t="shared" ca="1" si="262"/>
        <v>0.98763636584085945</v>
      </c>
      <c r="CI365">
        <f t="shared" ca="1" si="263"/>
        <v>-0.15676226863840714</v>
      </c>
      <c r="CJ365">
        <f t="shared" ca="1" si="264"/>
        <v>-0.15741153112038808</v>
      </c>
      <c r="CK365" s="38">
        <f t="shared" ca="1" si="265"/>
        <v>-2.5136060213127331</v>
      </c>
    </row>
    <row r="366" spans="55:89" x14ac:dyDescent="0.25">
      <c r="BW366" s="6">
        <f t="shared" si="251"/>
        <v>6.1261056745000522</v>
      </c>
      <c r="BX366" s="9">
        <f t="shared" ca="1" si="255"/>
        <v>242.625553869356</v>
      </c>
      <c r="BY366" s="9">
        <f t="shared" ca="1" si="256"/>
        <v>-24.132172920624381</v>
      </c>
      <c r="BZ366">
        <f t="shared" ca="1" si="257"/>
        <v>243.82272486436264</v>
      </c>
      <c r="CA366" s="6">
        <f t="shared" ca="1" si="258"/>
        <v>0.99508999419281929</v>
      </c>
      <c r="CB366" s="6">
        <f t="shared" ca="1" si="259"/>
        <v>-9.8974256538429659E-2</v>
      </c>
      <c r="CC366" s="6">
        <f t="shared" ca="1" si="260"/>
        <v>-9.9136563412406578E-2</v>
      </c>
      <c r="CD366" s="6">
        <f t="shared" ca="1" si="252"/>
        <v>-2.8519598466542653</v>
      </c>
      <c r="CE366" s="9">
        <f t="shared" ca="1" si="253"/>
        <v>320.01857254017779</v>
      </c>
      <c r="CF366" s="9">
        <f t="shared" ca="1" si="254"/>
        <v>-49.929845810898314</v>
      </c>
      <c r="CG366">
        <f t="shared" ca="1" si="261"/>
        <v>323.89022256522827</v>
      </c>
      <c r="CH366">
        <f t="shared" ca="1" si="262"/>
        <v>0.98804641278027228</v>
      </c>
      <c r="CI366">
        <f t="shared" ca="1" si="263"/>
        <v>-0.15415669363357501</v>
      </c>
      <c r="CJ366">
        <f t="shared" ca="1" si="264"/>
        <v>-0.1547738875448007</v>
      </c>
      <c r="CK366" s="38">
        <f t="shared" ca="1" si="265"/>
        <v>-2.5109683777371457</v>
      </c>
    </row>
    <row r="367" spans="55:89" x14ac:dyDescent="0.25">
      <c r="BW367" s="6">
        <f t="shared" si="251"/>
        <v>6.1435589670199953</v>
      </c>
      <c r="BX367" s="9">
        <f t="shared" ca="1" si="255"/>
        <v>242.86852582341987</v>
      </c>
      <c r="BY367" s="9">
        <f t="shared" ca="1" si="256"/>
        <v>-23.313151422567909</v>
      </c>
      <c r="BZ367">
        <f t="shared" ca="1" si="257"/>
        <v>243.98488450084923</v>
      </c>
      <c r="CA367" s="6">
        <f t="shared" ca="1" si="258"/>
        <v>0.99542447607066631</v>
      </c>
      <c r="CB367" s="6">
        <f t="shared" ca="1" si="259"/>
        <v>-9.5551621856667782E-2</v>
      </c>
      <c r="CC367" s="6">
        <f t="shared" ca="1" si="260"/>
        <v>-9.5697622013290809E-2</v>
      </c>
      <c r="CD367" s="6">
        <f t="shared" ca="1" si="252"/>
        <v>-2.8485209052551497</v>
      </c>
      <c r="CE367" s="9">
        <f t="shared" ca="1" si="253"/>
        <v>320.26154449424166</v>
      </c>
      <c r="CF367" s="9">
        <f t="shared" ca="1" si="254"/>
        <v>-49.110824312841842</v>
      </c>
      <c r="CG367">
        <f t="shared" ca="1" si="261"/>
        <v>324.00513876561274</v>
      </c>
      <c r="CH367">
        <f t="shared" ca="1" si="262"/>
        <v>0.98844587994612265</v>
      </c>
      <c r="CI367">
        <f t="shared" ca="1" si="263"/>
        <v>-0.15157421422370992</v>
      </c>
      <c r="CJ367">
        <f t="shared" ca="1" si="264"/>
        <v>-0.15216069451615052</v>
      </c>
      <c r="CK367" s="38">
        <f t="shared" ca="1" si="265"/>
        <v>-2.5083551847084955</v>
      </c>
    </row>
    <row r="368" spans="55:89" x14ac:dyDescent="0.25">
      <c r="BW368" s="6">
        <f t="shared" si="251"/>
        <v>6.1610122595399384</v>
      </c>
      <c r="BX368" s="9">
        <f t="shared" ca="1" si="255"/>
        <v>243.09381996626723</v>
      </c>
      <c r="BY368" s="9">
        <f t="shared" ca="1" si="256"/>
        <v>-22.498138455171475</v>
      </c>
      <c r="BZ368">
        <f t="shared" ca="1" si="257"/>
        <v>244.13269248451755</v>
      </c>
      <c r="CA368" s="6">
        <f t="shared" ca="1" si="258"/>
        <v>0.99574463990185913</v>
      </c>
      <c r="CB368" s="6">
        <f t="shared" ca="1" si="259"/>
        <v>-9.2155369386254016E-2</v>
      </c>
      <c r="CC368" s="6">
        <f t="shared" ca="1" si="260"/>
        <v>-9.2286310387733397E-2</v>
      </c>
      <c r="CD368" s="6">
        <f t="shared" ca="1" si="252"/>
        <v>-2.845109593629592</v>
      </c>
      <c r="CE368" s="9">
        <f t="shared" ca="1" si="253"/>
        <v>320.48683863708902</v>
      </c>
      <c r="CF368" s="9">
        <f t="shared" ca="1" si="254"/>
        <v>-48.295811345445408</v>
      </c>
      <c r="CG368">
        <f t="shared" ca="1" si="261"/>
        <v>324.10538275861819</v>
      </c>
      <c r="CH368">
        <f t="shared" ca="1" si="262"/>
        <v>0.98883528532994425</v>
      </c>
      <c r="CI368">
        <f t="shared" ca="1" si="263"/>
        <v>-0.1490126789452749</v>
      </c>
      <c r="CJ368">
        <f t="shared" ca="1" si="264"/>
        <v>-0.14956972880987512</v>
      </c>
      <c r="CK368" s="38">
        <f t="shared" ca="1" si="265"/>
        <v>-2.50576421900222</v>
      </c>
    </row>
    <row r="369" spans="75:89" x14ac:dyDescent="0.25">
      <c r="BW369" s="6">
        <f t="shared" si="251"/>
        <v>6.1784655520598815</v>
      </c>
      <c r="BX369" s="9">
        <f t="shared" ca="1" si="255"/>
        <v>243.30180766178518</v>
      </c>
      <c r="BY369" s="9">
        <f t="shared" ca="1" si="256"/>
        <v>-21.686611508422732</v>
      </c>
      <c r="BZ369">
        <f t="shared" ca="1" si="257"/>
        <v>244.26640933662893</v>
      </c>
      <c r="CA369" s="6">
        <f t="shared" ca="1" si="258"/>
        <v>0.99605102610111895</v>
      </c>
      <c r="CB369" s="6">
        <f t="shared" ca="1" si="259"/>
        <v>-8.8782618810824429E-2</v>
      </c>
      <c r="CC369" s="6">
        <f t="shared" ca="1" si="260"/>
        <v>-8.889967047341113E-2</v>
      </c>
      <c r="CD369" s="6">
        <f t="shared" ca="1" si="252"/>
        <v>-2.8417229537152697</v>
      </c>
      <c r="CE369" s="9">
        <f t="shared" ca="1" si="253"/>
        <v>320.69482633260697</v>
      </c>
      <c r="CF369" s="9">
        <f t="shared" ca="1" si="254"/>
        <v>-47.484284398696666</v>
      </c>
      <c r="CG369">
        <f t="shared" ca="1" si="261"/>
        <v>324.1911918935449</v>
      </c>
      <c r="CH369">
        <f t="shared" ca="1" si="262"/>
        <v>0.98921511241401638</v>
      </c>
      <c r="CI369">
        <f t="shared" ca="1" si="263"/>
        <v>-0.14647000161031254</v>
      </c>
      <c r="CJ369">
        <f t="shared" ca="1" si="264"/>
        <v>-0.14699883785848081</v>
      </c>
      <c r="CK369" s="38">
        <f t="shared" ca="1" si="265"/>
        <v>-2.5031933280508256</v>
      </c>
    </row>
    <row r="370" spans="75:89" x14ac:dyDescent="0.25">
      <c r="BW370" s="6">
        <f t="shared" si="251"/>
        <v>6.1959188445798246</v>
      </c>
      <c r="BX370" s="9">
        <f t="shared" ca="1" si="255"/>
        <v>243.49281530602002</v>
      </c>
      <c r="BY370" s="9">
        <f t="shared" ca="1" si="256"/>
        <v>-20.8780567655681</v>
      </c>
      <c r="BZ370">
        <f t="shared" ca="1" si="257"/>
        <v>244.38626057934979</v>
      </c>
      <c r="CA370" s="6">
        <f t="shared" ca="1" si="258"/>
        <v>0.99634412642015246</v>
      </c>
      <c r="CB370" s="6">
        <f t="shared" ca="1" si="259"/>
        <v>-8.5430566825131324E-2</v>
      </c>
      <c r="CC370" s="6">
        <f t="shared" ca="1" si="260"/>
        <v>-8.5534827090067364E-2</v>
      </c>
      <c r="CD370" s="6">
        <f t="shared" ca="1" si="252"/>
        <v>-2.8383581103319262</v>
      </c>
      <c r="CE370" s="9">
        <f t="shared" ca="1" si="253"/>
        <v>320.88583397684181</v>
      </c>
      <c r="CF370" s="9">
        <f t="shared" ca="1" si="254"/>
        <v>-46.675729655842034</v>
      </c>
      <c r="CG370">
        <f t="shared" ca="1" si="261"/>
        <v>324.2627671903121</v>
      </c>
      <c r="CH370">
        <f t="shared" ca="1" si="262"/>
        <v>0.98958581263359058</v>
      </c>
      <c r="CI370">
        <f t="shared" ca="1" si="263"/>
        <v>-0.14394415387335457</v>
      </c>
      <c r="CJ370">
        <f t="shared" ca="1" si="264"/>
        <v>-0.14444593187064683</v>
      </c>
      <c r="CK370" s="38">
        <f t="shared" ca="1" si="265"/>
        <v>-2.5006404220629919</v>
      </c>
    </row>
    <row r="371" spans="75:89" x14ac:dyDescent="0.25">
      <c r="BW371" s="6">
        <f t="shared" si="251"/>
        <v>6.2133721370997677</v>
      </c>
      <c r="BX371" s="9">
        <f t="shared" ca="1" si="255"/>
        <v>243.66712588797384</v>
      </c>
      <c r="BY371" s="9">
        <f t="shared" ca="1" si="256"/>
        <v>-20.071967777935331</v>
      </c>
      <c r="BZ371">
        <f t="shared" ca="1" si="257"/>
        <v>244.49243777463582</v>
      </c>
      <c r="CA371" s="6">
        <f t="shared" ca="1" si="258"/>
        <v>0.99662438685558563</v>
      </c>
      <c r="CB371" s="6">
        <f t="shared" ca="1" si="259"/>
        <v>-8.2096476932496928E-2</v>
      </c>
      <c r="CC371" s="6">
        <f t="shared" ca="1" si="260"/>
        <v>-8.218897715809248E-2</v>
      </c>
      <c r="CD371" s="6">
        <f t="shared" ca="1" si="252"/>
        <v>-2.8350122603999512</v>
      </c>
      <c r="CE371" s="9">
        <f t="shared" ca="1" si="253"/>
        <v>321.06014455879563</v>
      </c>
      <c r="CF371" s="9">
        <f t="shared" ca="1" si="254"/>
        <v>-45.869640668209264</v>
      </c>
      <c r="CG371">
        <f t="shared" ca="1" si="261"/>
        <v>324.32027435722455</v>
      </c>
      <c r="CH371">
        <f t="shared" ca="1" si="262"/>
        <v>0.98994780759577794</v>
      </c>
      <c r="CI371">
        <f t="shared" ca="1" si="263"/>
        <v>-0.14143315819252752</v>
      </c>
      <c r="CJ371">
        <f t="shared" ca="1" si="264"/>
        <v>-0.14190897638941044</v>
      </c>
      <c r="CK371" s="38">
        <f t="shared" ca="1" si="265"/>
        <v>-2.4981034665817554</v>
      </c>
    </row>
    <row r="372" spans="75:89" x14ac:dyDescent="0.25">
      <c r="BW372" s="6">
        <f t="shared" si="251"/>
        <v>6.2308254296197108</v>
      </c>
      <c r="BX372" s="9">
        <f t="shared" ca="1" si="255"/>
        <v>243.82498030706961</v>
      </c>
      <c r="BY372" s="9">
        <f t="shared" ca="1" si="256"/>
        <v>-19.267844178819761</v>
      </c>
      <c r="BZ372">
        <f t="shared" ca="1" si="257"/>
        <v>244.58509938473799</v>
      </c>
      <c r="CA372" s="6">
        <f t="shared" ca="1" si="258"/>
        <v>0.9968922101976756</v>
      </c>
      <c r="CB372" s="6">
        <f t="shared" ca="1" si="259"/>
        <v>-7.8777669724315463E-2</v>
      </c>
      <c r="CC372" s="6">
        <f t="shared" ca="1" si="260"/>
        <v>-7.8859379454215006E-2</v>
      </c>
      <c r="CD372" s="6">
        <f t="shared" ca="1" si="252"/>
        <v>-2.8316826626960738</v>
      </c>
      <c r="CE372" s="9">
        <f t="shared" ca="1" si="253"/>
        <v>321.2179989778914</v>
      </c>
      <c r="CF372" s="9">
        <f t="shared" ca="1" si="254"/>
        <v>-45.065517069093694</v>
      </c>
      <c r="CG372">
        <f t="shared" ca="1" si="261"/>
        <v>324.36384461907193</v>
      </c>
      <c r="CH372">
        <f t="shared" ca="1" si="262"/>
        <v>0.99030149107748133</v>
      </c>
      <c r="CI372">
        <f t="shared" ca="1" si="263"/>
        <v>-0.13893508113402087</v>
      </c>
      <c r="CJ372">
        <f t="shared" ca="1" si="264"/>
        <v>-0.13938598523364271</v>
      </c>
      <c r="CK372" s="38">
        <f t="shared" ca="1" si="265"/>
        <v>-2.4955804754259874</v>
      </c>
    </row>
    <row r="373" spans="75:89" x14ac:dyDescent="0.25">
      <c r="BW373" s="6">
        <f t="shared" si="251"/>
        <v>6.2482787221396539</v>
      </c>
      <c r="BX373" s="9">
        <f t="shared" ca="1" si="255"/>
        <v>243.96657846572185</v>
      </c>
      <c r="BY373" s="9">
        <f t="shared" ca="1" si="256"/>
        <v>-18.465190429399438</v>
      </c>
      <c r="BZ373">
        <f t="shared" ca="1" si="257"/>
        <v>244.66437146806888</v>
      </c>
      <c r="CA373" s="6">
        <f t="shared" ca="1" si="258"/>
        <v>0.99714795824925373</v>
      </c>
      <c r="CB373" s="6">
        <f t="shared" ca="1" si="259"/>
        <v>-7.5471513562036269E-2</v>
      </c>
      <c r="CC373" s="6">
        <f t="shared" ca="1" si="260"/>
        <v>-7.55433448175718E-2</v>
      </c>
      <c r="CD373" s="6">
        <f t="shared" ca="1" si="252"/>
        <v>-2.8283666280594306</v>
      </c>
      <c r="CE373" s="9">
        <f t="shared" ca="1" si="253"/>
        <v>321.35959713654364</v>
      </c>
      <c r="CF373" s="9">
        <f t="shared" ca="1" si="254"/>
        <v>-44.262863319673372</v>
      </c>
      <c r="CG373">
        <f t="shared" ca="1" si="261"/>
        <v>324.39357536951576</v>
      </c>
      <c r="CH373">
        <f t="shared" ca="1" si="262"/>
        <v>0.99064723082287887</v>
      </c>
      <c r="CI373">
        <f t="shared" ca="1" si="263"/>
        <v>-0.13644802696617428</v>
      </c>
      <c r="CJ373">
        <f t="shared" ca="1" si="264"/>
        <v>-0.13687501376465333</v>
      </c>
      <c r="CK373" s="38">
        <f t="shared" ca="1" si="265"/>
        <v>-2.4930695039569981</v>
      </c>
    </row>
    <row r="374" spans="75:89" x14ac:dyDescent="0.25">
      <c r="BW374" s="6">
        <f t="shared" si="251"/>
        <v>6.2657320146595969</v>
      </c>
      <c r="BX374" s="9">
        <f t="shared" ca="1" si="255"/>
        <v>244.09208013765232</v>
      </c>
      <c r="BY374" s="9">
        <f t="shared" ca="1" si="256"/>
        <v>-17.663514589933381</v>
      </c>
      <c r="BZ374">
        <f t="shared" ca="1" si="257"/>
        <v>244.73034820715404</v>
      </c>
      <c r="CA374" s="6">
        <f t="shared" ca="1" si="258"/>
        <v>0.99739195373938072</v>
      </c>
      <c r="CB374" s="6">
        <f t="shared" ca="1" si="259"/>
        <v>-7.2175415592437897E-2</v>
      </c>
      <c r="CC374" s="6">
        <f t="shared" ca="1" si="260"/>
        <v>-7.2238226730647143E-2</v>
      </c>
      <c r="CD374" s="6">
        <f t="shared" ca="1" si="252"/>
        <v>-2.8250615099725058</v>
      </c>
      <c r="CE374" s="9">
        <f t="shared" ca="1" si="253"/>
        <v>321.48509880847411</v>
      </c>
      <c r="CF374" s="9">
        <f t="shared" ca="1" si="254"/>
        <v>-43.461187480207315</v>
      </c>
      <c r="CG374">
        <f t="shared" ca="1" si="261"/>
        <v>324.40953064465305</v>
      </c>
      <c r="CH374">
        <f t="shared" ca="1" si="262"/>
        <v>0.99098537015738219</v>
      </c>
      <c r="CI374">
        <f t="shared" ca="1" si="263"/>
        <v>-0.1339701314996605</v>
      </c>
      <c r="CJ374">
        <f t="shared" ca="1" si="264"/>
        <v>-0.13437415243059181</v>
      </c>
      <c r="CK374" s="38">
        <f t="shared" ca="1" si="265"/>
        <v>-2.4905686426229368</v>
      </c>
    </row>
    <row r="375" spans="75:89" x14ac:dyDescent="0.25">
      <c r="BW375" s="6">
        <f t="shared" si="251"/>
        <v>6.28318530717954</v>
      </c>
      <c r="BX375" s="9">
        <f t="shared" ca="1" si="255"/>
        <v>244.2016056321084</v>
      </c>
      <c r="BY375" s="9">
        <f t="shared" ca="1" si="256"/>
        <v>-16.862327109728202</v>
      </c>
      <c r="BZ375">
        <f t="shared" ca="1" si="257"/>
        <v>244.78309228550748</v>
      </c>
      <c r="CA375" s="6">
        <f t="shared" ca="1" si="258"/>
        <v>0.99762448195269604</v>
      </c>
      <c r="CB375" s="6">
        <f t="shared" ca="1" si="259"/>
        <v>-6.8886813024081339E-2</v>
      </c>
      <c r="CC375" s="6">
        <f t="shared" ca="1" si="260"/>
        <v>-6.8941412197320029E-2</v>
      </c>
      <c r="CD375" s="6">
        <f t="shared" ca="1" si="252"/>
        <v>-2.8217646954391786</v>
      </c>
      <c r="CE375" s="9">
        <f t="shared" ca="1" si="253"/>
        <v>321.59462430293019</v>
      </c>
      <c r="CF375" s="9">
        <f t="shared" ca="1" si="254"/>
        <v>-42.660000000002135</v>
      </c>
      <c r="CG375">
        <f t="shared" ca="1" si="261"/>
        <v>324.41174143446625</v>
      </c>
      <c r="CH375">
        <f t="shared" ca="1" si="262"/>
        <v>0.99131622943399189</v>
      </c>
      <c r="CI375">
        <f t="shared" ca="1" si="263"/>
        <v>-0.13149955612386427</v>
      </c>
      <c r="CJ375">
        <f t="shared" ca="1" si="264"/>
        <v>-0.13188152053530305</v>
      </c>
      <c r="CK375" s="38">
        <f t="shared" ca="1" si="265"/>
        <v>-2.4880760107276481</v>
      </c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2020-11-13T00:09:24Z</dcterms:modified>
</cp:coreProperties>
</file>