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56739" documentId="114_{E47FFB45-1E57-4E4B-AA59-D4BC55DAC61C}" xr6:coauthVersionLast="45" xr6:coauthVersionMax="45" xr10:uidLastSave="{9D60D2AE-F5FB-439D-9C94-62498873D249}"/>
  <bookViews>
    <workbookView xWindow="-120" yWindow="-120" windowWidth="27930" windowHeight="18240" xr2:uid="{2AFCDE7C-57C4-4CF6-8D68-85BA7869C158}"/>
  </bookViews>
  <sheets>
    <sheet name="L_Section_Capacity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11" i="1" l="1"/>
  <c r="AE11" i="1"/>
  <c r="BW16" i="1" l="1"/>
  <c r="BW17" i="1"/>
  <c r="BW18" i="1"/>
  <c r="BW19" i="1"/>
  <c r="BW20" i="1"/>
  <c r="BW21" i="1"/>
  <c r="BW22" i="1"/>
  <c r="BW23" i="1"/>
  <c r="BW24" i="1"/>
  <c r="BW25" i="1"/>
  <c r="BW26" i="1"/>
  <c r="BW27" i="1"/>
  <c r="BW28" i="1"/>
  <c r="BW29" i="1"/>
  <c r="BW30" i="1"/>
  <c r="BW31" i="1"/>
  <c r="BW32" i="1"/>
  <c r="BW33" i="1"/>
  <c r="BW34" i="1"/>
  <c r="BW35" i="1"/>
  <c r="BW36" i="1"/>
  <c r="BW37" i="1"/>
  <c r="BW38" i="1"/>
  <c r="BW39" i="1"/>
  <c r="BW40" i="1"/>
  <c r="BW41" i="1"/>
  <c r="BW42" i="1"/>
  <c r="BW43" i="1"/>
  <c r="BW44" i="1"/>
  <c r="BW45" i="1"/>
  <c r="BW46" i="1"/>
  <c r="BW47" i="1"/>
  <c r="BW48" i="1"/>
  <c r="BW49" i="1"/>
  <c r="BW50" i="1"/>
  <c r="BW51" i="1"/>
  <c r="BW52" i="1"/>
  <c r="BW53" i="1"/>
  <c r="BW54" i="1"/>
  <c r="BW55" i="1"/>
  <c r="BW56" i="1"/>
  <c r="BW57" i="1"/>
  <c r="BW58" i="1"/>
  <c r="BW59" i="1"/>
  <c r="BW60" i="1"/>
  <c r="BW61" i="1"/>
  <c r="BW62" i="1"/>
  <c r="BW63" i="1"/>
  <c r="BW64" i="1"/>
  <c r="BW65" i="1"/>
  <c r="BW66" i="1"/>
  <c r="BW67" i="1"/>
  <c r="BW68" i="1"/>
  <c r="BW69" i="1"/>
  <c r="BW70" i="1"/>
  <c r="BW71" i="1"/>
  <c r="BW72" i="1"/>
  <c r="BW73" i="1"/>
  <c r="BW74" i="1"/>
  <c r="BW75" i="1"/>
  <c r="BW76" i="1"/>
  <c r="BW77" i="1"/>
  <c r="BW78" i="1"/>
  <c r="BW79" i="1"/>
  <c r="BW80" i="1"/>
  <c r="BW81" i="1"/>
  <c r="BW82" i="1"/>
  <c r="BW83" i="1"/>
  <c r="BW84" i="1"/>
  <c r="BW85" i="1"/>
  <c r="BW86" i="1"/>
  <c r="BW87" i="1"/>
  <c r="BW88" i="1"/>
  <c r="BW89" i="1"/>
  <c r="BW90" i="1"/>
  <c r="BW91" i="1"/>
  <c r="BW92" i="1"/>
  <c r="BW93" i="1"/>
  <c r="BW94" i="1"/>
  <c r="BW95" i="1"/>
  <c r="BW96" i="1"/>
  <c r="BW97" i="1"/>
  <c r="BW98" i="1"/>
  <c r="BW99" i="1"/>
  <c r="BW100" i="1"/>
  <c r="BW101" i="1"/>
  <c r="BW102" i="1"/>
  <c r="BW103" i="1"/>
  <c r="BW104" i="1"/>
  <c r="BW105" i="1"/>
  <c r="BW106" i="1"/>
  <c r="BW107" i="1"/>
  <c r="BW108" i="1"/>
  <c r="BW109" i="1"/>
  <c r="BW110" i="1"/>
  <c r="BW111" i="1"/>
  <c r="BW112" i="1"/>
  <c r="BW113" i="1"/>
  <c r="BW114" i="1"/>
  <c r="BW115" i="1"/>
  <c r="BW116" i="1"/>
  <c r="BW117" i="1"/>
  <c r="BW118" i="1"/>
  <c r="BW119" i="1"/>
  <c r="BW120" i="1"/>
  <c r="BW121" i="1"/>
  <c r="BW122" i="1"/>
  <c r="BW123" i="1"/>
  <c r="BW124" i="1"/>
  <c r="BW125" i="1"/>
  <c r="BW126" i="1"/>
  <c r="BW127" i="1"/>
  <c r="BW128" i="1"/>
  <c r="BW129" i="1"/>
  <c r="BW130" i="1"/>
  <c r="BW131" i="1"/>
  <c r="BW132" i="1"/>
  <c r="BW133" i="1"/>
  <c r="BW134" i="1"/>
  <c r="BW135" i="1"/>
  <c r="BW136" i="1"/>
  <c r="BW137" i="1"/>
  <c r="BW138" i="1"/>
  <c r="BW139" i="1"/>
  <c r="BW140" i="1"/>
  <c r="BW141" i="1"/>
  <c r="BW142" i="1"/>
  <c r="BW143" i="1"/>
  <c r="BW144" i="1"/>
  <c r="BW145" i="1"/>
  <c r="BW146" i="1"/>
  <c r="BW147" i="1"/>
  <c r="BW148" i="1"/>
  <c r="BW149" i="1"/>
  <c r="BW150" i="1"/>
  <c r="BW151" i="1"/>
  <c r="BW152" i="1"/>
  <c r="BW153" i="1"/>
  <c r="BW154" i="1"/>
  <c r="BW155" i="1"/>
  <c r="BW156" i="1"/>
  <c r="BW157" i="1"/>
  <c r="BW158" i="1"/>
  <c r="BW159" i="1"/>
  <c r="BW160" i="1"/>
  <c r="BW161" i="1"/>
  <c r="BW162" i="1"/>
  <c r="BW163" i="1"/>
  <c r="BW164" i="1"/>
  <c r="BW165" i="1"/>
  <c r="BW166" i="1"/>
  <c r="BW167" i="1"/>
  <c r="BW168" i="1"/>
  <c r="BW169" i="1"/>
  <c r="BW170" i="1"/>
  <c r="BW171" i="1"/>
  <c r="BW172" i="1"/>
  <c r="BW173" i="1"/>
  <c r="BW174" i="1"/>
  <c r="BW175" i="1"/>
  <c r="BW176" i="1"/>
  <c r="BW177" i="1"/>
  <c r="BW178" i="1"/>
  <c r="BW179" i="1"/>
  <c r="BW180" i="1"/>
  <c r="BW181" i="1"/>
  <c r="BW182" i="1"/>
  <c r="BW183" i="1"/>
  <c r="BW184" i="1"/>
  <c r="BW185" i="1"/>
  <c r="BW186" i="1"/>
  <c r="BW187" i="1"/>
  <c r="BW188" i="1"/>
  <c r="BW189" i="1"/>
  <c r="BW190" i="1"/>
  <c r="BW191" i="1"/>
  <c r="BW192" i="1"/>
  <c r="BW193" i="1"/>
  <c r="BW194" i="1"/>
  <c r="BW195" i="1"/>
  <c r="BW196" i="1"/>
  <c r="BW197" i="1"/>
  <c r="BW198" i="1"/>
  <c r="BW199" i="1"/>
  <c r="BW200" i="1"/>
  <c r="BW201" i="1"/>
  <c r="BW202" i="1"/>
  <c r="BW203" i="1"/>
  <c r="BW204" i="1"/>
  <c r="BW205" i="1"/>
  <c r="BW206" i="1"/>
  <c r="BW207" i="1"/>
  <c r="BW208" i="1"/>
  <c r="BW209" i="1"/>
  <c r="BW210" i="1"/>
  <c r="BW211" i="1"/>
  <c r="BW212" i="1"/>
  <c r="BW213" i="1"/>
  <c r="BW214" i="1"/>
  <c r="BW215" i="1"/>
  <c r="BW216" i="1"/>
  <c r="BW217" i="1"/>
  <c r="BW218" i="1"/>
  <c r="BW219" i="1"/>
  <c r="BW220" i="1"/>
  <c r="BW221" i="1"/>
  <c r="BW222" i="1"/>
  <c r="BW223" i="1"/>
  <c r="BW224" i="1"/>
  <c r="BW225" i="1"/>
  <c r="BW226" i="1"/>
  <c r="BW227" i="1"/>
  <c r="BW228" i="1"/>
  <c r="BW229" i="1"/>
  <c r="BW230" i="1"/>
  <c r="BW231" i="1"/>
  <c r="BW232" i="1"/>
  <c r="BW233" i="1"/>
  <c r="BW234" i="1"/>
  <c r="BW235" i="1"/>
  <c r="BW236" i="1"/>
  <c r="BW237" i="1"/>
  <c r="BW238" i="1"/>
  <c r="BW239" i="1"/>
  <c r="BW240" i="1"/>
  <c r="BW241" i="1"/>
  <c r="BW242" i="1"/>
  <c r="BW243" i="1"/>
  <c r="BW244" i="1"/>
  <c r="BW245" i="1"/>
  <c r="BW246" i="1"/>
  <c r="BW247" i="1"/>
  <c r="BW248" i="1"/>
  <c r="BW249" i="1"/>
  <c r="BW250" i="1"/>
  <c r="BW251" i="1"/>
  <c r="BW252" i="1"/>
  <c r="BW253" i="1"/>
  <c r="BW254" i="1"/>
  <c r="BW255" i="1"/>
  <c r="BW256" i="1"/>
  <c r="BW257" i="1"/>
  <c r="BW258" i="1"/>
  <c r="BW259" i="1"/>
  <c r="BW260" i="1"/>
  <c r="BW261" i="1"/>
  <c r="BW262" i="1"/>
  <c r="BW263" i="1"/>
  <c r="BW264" i="1"/>
  <c r="BW265" i="1"/>
  <c r="BW266" i="1"/>
  <c r="BW267" i="1"/>
  <c r="BW268" i="1"/>
  <c r="BW269" i="1"/>
  <c r="BW270" i="1"/>
  <c r="BW271" i="1"/>
  <c r="BW272" i="1"/>
  <c r="BW273" i="1"/>
  <c r="BW274" i="1"/>
  <c r="BW275" i="1"/>
  <c r="BW276" i="1"/>
  <c r="BW277" i="1"/>
  <c r="BW278" i="1"/>
  <c r="BW279" i="1"/>
  <c r="BW280" i="1"/>
  <c r="BW281" i="1"/>
  <c r="BW282" i="1"/>
  <c r="BW283" i="1"/>
  <c r="BW284" i="1"/>
  <c r="BW285" i="1"/>
  <c r="BW286" i="1"/>
  <c r="BW287" i="1"/>
  <c r="BW288" i="1"/>
  <c r="BW289" i="1"/>
  <c r="BW290" i="1"/>
  <c r="BW291" i="1"/>
  <c r="BW292" i="1"/>
  <c r="BW293" i="1"/>
  <c r="BW294" i="1"/>
  <c r="BW295" i="1"/>
  <c r="BW296" i="1"/>
  <c r="BW297" i="1"/>
  <c r="BW298" i="1"/>
  <c r="BW299" i="1"/>
  <c r="BW300" i="1"/>
  <c r="BW301" i="1"/>
  <c r="BW302" i="1"/>
  <c r="BW303" i="1"/>
  <c r="BW304" i="1"/>
  <c r="BW305" i="1"/>
  <c r="BW306" i="1"/>
  <c r="BW307" i="1"/>
  <c r="BW308" i="1"/>
  <c r="BW309" i="1"/>
  <c r="BW310" i="1"/>
  <c r="BW311" i="1"/>
  <c r="BW312" i="1"/>
  <c r="BW313" i="1"/>
  <c r="BW314" i="1"/>
  <c r="BW315" i="1"/>
  <c r="BW316" i="1"/>
  <c r="BW317" i="1"/>
  <c r="BW318" i="1"/>
  <c r="BW319" i="1"/>
  <c r="BW320" i="1"/>
  <c r="BW321" i="1"/>
  <c r="BW322" i="1"/>
  <c r="BW323" i="1"/>
  <c r="BW324" i="1"/>
  <c r="BW325" i="1"/>
  <c r="BW326" i="1"/>
  <c r="BW327" i="1"/>
  <c r="BW328" i="1"/>
  <c r="BW329" i="1"/>
  <c r="BW330" i="1"/>
  <c r="BW331" i="1"/>
  <c r="BW332" i="1"/>
  <c r="BW333" i="1"/>
  <c r="BW334" i="1"/>
  <c r="BW335" i="1"/>
  <c r="BW336" i="1"/>
  <c r="BW337" i="1"/>
  <c r="BW338" i="1"/>
  <c r="BW339" i="1"/>
  <c r="BW340" i="1"/>
  <c r="BW341" i="1"/>
  <c r="BW342" i="1"/>
  <c r="BW343" i="1"/>
  <c r="BW344" i="1"/>
  <c r="BW345" i="1"/>
  <c r="BW346" i="1"/>
  <c r="BW347" i="1"/>
  <c r="BW348" i="1"/>
  <c r="BW349" i="1"/>
  <c r="BW350" i="1"/>
  <c r="BW351" i="1"/>
  <c r="BW352" i="1"/>
  <c r="BW353" i="1"/>
  <c r="BW354" i="1"/>
  <c r="BW355" i="1"/>
  <c r="BW356" i="1"/>
  <c r="BW357" i="1"/>
  <c r="BW358" i="1"/>
  <c r="BW359" i="1"/>
  <c r="BW360" i="1"/>
  <c r="BW361" i="1"/>
  <c r="BW362" i="1"/>
  <c r="BW363" i="1"/>
  <c r="BW364" i="1"/>
  <c r="BW365" i="1"/>
  <c r="BW366" i="1"/>
  <c r="BW367" i="1"/>
  <c r="BW368" i="1"/>
  <c r="BW369" i="1"/>
  <c r="BW370" i="1"/>
  <c r="BW371" i="1"/>
  <c r="BW372" i="1"/>
  <c r="BW373" i="1"/>
  <c r="BW374" i="1"/>
  <c r="BW375" i="1"/>
  <c r="CD8" i="1"/>
  <c r="BX6" i="1"/>
  <c r="BW6" i="1"/>
  <c r="CE15" i="1" l="1"/>
  <c r="CE17" i="1"/>
  <c r="CE19" i="1"/>
  <c r="CE21" i="1"/>
  <c r="CE23" i="1"/>
  <c r="CE25" i="1"/>
  <c r="CE27" i="1"/>
  <c r="CE29" i="1"/>
  <c r="CE31" i="1"/>
  <c r="CE33" i="1"/>
  <c r="CE35" i="1"/>
  <c r="CE37" i="1"/>
  <c r="CE39" i="1"/>
  <c r="CE41" i="1"/>
  <c r="CE43" i="1"/>
  <c r="CE45" i="1"/>
  <c r="CE47" i="1"/>
  <c r="CE49" i="1"/>
  <c r="CE51" i="1"/>
  <c r="CE53" i="1"/>
  <c r="CE55" i="1"/>
  <c r="CE57" i="1"/>
  <c r="CE59" i="1"/>
  <c r="CE61" i="1"/>
  <c r="CE63" i="1"/>
  <c r="CE65" i="1"/>
  <c r="CE67" i="1"/>
  <c r="CE69" i="1"/>
  <c r="CE71" i="1"/>
  <c r="CE73" i="1"/>
  <c r="CE75" i="1"/>
  <c r="CE77" i="1"/>
  <c r="CE79" i="1"/>
  <c r="CE81" i="1"/>
  <c r="CE83" i="1"/>
  <c r="CE85" i="1"/>
  <c r="CE87" i="1"/>
  <c r="CE89" i="1"/>
  <c r="CE91" i="1"/>
  <c r="CE93" i="1"/>
  <c r="CE95" i="1"/>
  <c r="CE97" i="1"/>
  <c r="CE99" i="1"/>
  <c r="CE101" i="1"/>
  <c r="CE103" i="1"/>
  <c r="CE105" i="1"/>
  <c r="CE107" i="1"/>
  <c r="CE109" i="1"/>
  <c r="CE111" i="1"/>
  <c r="CE113" i="1"/>
  <c r="CE115" i="1"/>
  <c r="CE117" i="1"/>
  <c r="CE119" i="1"/>
  <c r="CE121" i="1"/>
  <c r="CE123" i="1"/>
  <c r="CE125" i="1"/>
  <c r="CE127" i="1"/>
  <c r="CE129" i="1"/>
  <c r="CE131" i="1"/>
  <c r="CE133" i="1"/>
  <c r="CE135" i="1"/>
  <c r="CE137" i="1"/>
  <c r="CE139" i="1"/>
  <c r="CE141" i="1"/>
  <c r="CE143" i="1"/>
  <c r="CE145" i="1"/>
  <c r="CE147" i="1"/>
  <c r="CE149" i="1"/>
  <c r="CE151" i="1"/>
  <c r="CE153" i="1"/>
  <c r="CE155" i="1"/>
  <c r="CE157" i="1"/>
  <c r="CE159" i="1"/>
  <c r="CE161" i="1"/>
  <c r="CE163" i="1"/>
  <c r="CE165" i="1"/>
  <c r="CE167" i="1"/>
  <c r="CE169" i="1"/>
  <c r="CE171" i="1"/>
  <c r="CE173" i="1"/>
  <c r="CE175" i="1"/>
  <c r="CE177" i="1"/>
  <c r="CE179" i="1"/>
  <c r="CE181" i="1"/>
  <c r="CE183" i="1"/>
  <c r="CE16" i="1"/>
  <c r="CE18" i="1"/>
  <c r="CE20" i="1"/>
  <c r="CE22" i="1"/>
  <c r="CE24" i="1"/>
  <c r="CE26" i="1"/>
  <c r="CE28" i="1"/>
  <c r="CE30" i="1"/>
  <c r="CE32" i="1"/>
  <c r="CE34" i="1"/>
  <c r="CE36" i="1"/>
  <c r="CE38" i="1"/>
  <c r="CE40" i="1"/>
  <c r="CE42" i="1"/>
  <c r="CE44" i="1"/>
  <c r="CE46" i="1"/>
  <c r="CE48" i="1"/>
  <c r="CE50" i="1"/>
  <c r="CE52" i="1"/>
  <c r="CE54" i="1"/>
  <c r="CE56" i="1"/>
  <c r="CE58" i="1"/>
  <c r="CE60" i="1"/>
  <c r="CE62" i="1"/>
  <c r="CE64" i="1"/>
  <c r="CE66" i="1"/>
  <c r="CE68" i="1"/>
  <c r="CE70" i="1"/>
  <c r="CE72" i="1"/>
  <c r="CE74" i="1"/>
  <c r="CE76" i="1"/>
  <c r="CE78" i="1"/>
  <c r="CE80" i="1"/>
  <c r="CE82" i="1"/>
  <c r="CE84" i="1"/>
  <c r="CE86" i="1"/>
  <c r="CE88" i="1"/>
  <c r="CE90" i="1"/>
  <c r="CE92" i="1"/>
  <c r="CE94" i="1"/>
  <c r="CE96" i="1"/>
  <c r="CE98" i="1"/>
  <c r="CE100" i="1"/>
  <c r="CE102" i="1"/>
  <c r="CE104" i="1"/>
  <c r="CE106" i="1"/>
  <c r="CE108" i="1"/>
  <c r="CE110" i="1"/>
  <c r="CE112" i="1"/>
  <c r="CE114" i="1"/>
  <c r="CE116" i="1"/>
  <c r="CE118" i="1"/>
  <c r="CE120" i="1"/>
  <c r="CE122" i="1"/>
  <c r="CE124" i="1"/>
  <c r="CE126" i="1"/>
  <c r="CE128" i="1"/>
  <c r="CE130" i="1"/>
  <c r="CE132" i="1"/>
  <c r="CE134" i="1"/>
  <c r="CE136" i="1"/>
  <c r="CE138" i="1"/>
  <c r="CE140" i="1"/>
  <c r="CE142" i="1"/>
  <c r="CE144" i="1"/>
  <c r="CE146" i="1"/>
  <c r="CE148" i="1"/>
  <c r="CE150" i="1"/>
  <c r="CE152" i="1"/>
  <c r="CE154" i="1"/>
  <c r="CE156" i="1"/>
  <c r="CE158" i="1"/>
  <c r="CE160" i="1"/>
  <c r="CE162" i="1"/>
  <c r="CE164" i="1"/>
  <c r="CE166" i="1"/>
  <c r="CE168" i="1"/>
  <c r="CE170" i="1"/>
  <c r="CE172" i="1"/>
  <c r="CE174" i="1"/>
  <c r="CE176" i="1"/>
  <c r="CE178" i="1"/>
  <c r="CE180" i="1"/>
  <c r="CE182" i="1"/>
  <c r="CE184" i="1"/>
  <c r="CE185" i="1"/>
  <c r="CE187" i="1"/>
  <c r="CE189" i="1"/>
  <c r="CE191" i="1"/>
  <c r="CE193" i="1"/>
  <c r="CE195" i="1"/>
  <c r="CE197" i="1"/>
  <c r="CE199" i="1"/>
  <c r="CE201" i="1"/>
  <c r="CE203" i="1"/>
  <c r="CE205" i="1"/>
  <c r="CE207" i="1"/>
  <c r="CE209" i="1"/>
  <c r="CE211" i="1"/>
  <c r="CE213" i="1"/>
  <c r="CE215" i="1"/>
  <c r="CE217" i="1"/>
  <c r="CE219" i="1"/>
  <c r="CE221" i="1"/>
  <c r="CE223" i="1"/>
  <c r="CE225" i="1"/>
  <c r="CE227" i="1"/>
  <c r="CE229" i="1"/>
  <c r="CE231" i="1"/>
  <c r="CE233" i="1"/>
  <c r="CE235" i="1"/>
  <c r="CE237" i="1"/>
  <c r="CE239" i="1"/>
  <c r="CE241" i="1"/>
  <c r="CE243" i="1"/>
  <c r="CE245" i="1"/>
  <c r="CE247" i="1"/>
  <c r="CE249" i="1"/>
  <c r="CE251" i="1"/>
  <c r="CE253" i="1"/>
  <c r="CE255" i="1"/>
  <c r="CE257" i="1"/>
  <c r="CE259" i="1"/>
  <c r="CE261" i="1"/>
  <c r="CE263" i="1"/>
  <c r="CE265" i="1"/>
  <c r="CE267" i="1"/>
  <c r="CE269" i="1"/>
  <c r="CE271" i="1"/>
  <c r="CE273" i="1"/>
  <c r="CE275" i="1"/>
  <c r="CE277" i="1"/>
  <c r="CE279" i="1"/>
  <c r="CE281" i="1"/>
  <c r="CE283" i="1"/>
  <c r="CE285" i="1"/>
  <c r="CE287" i="1"/>
  <c r="CE289" i="1"/>
  <c r="CE291" i="1"/>
  <c r="CE293" i="1"/>
  <c r="CE295" i="1"/>
  <c r="CE297" i="1"/>
  <c r="CE299" i="1"/>
  <c r="CE301" i="1"/>
  <c r="CE303" i="1"/>
  <c r="CE305" i="1"/>
  <c r="CE307" i="1"/>
  <c r="CE309" i="1"/>
  <c r="CE311" i="1"/>
  <c r="CE313" i="1"/>
  <c r="CE315" i="1"/>
  <c r="CE317" i="1"/>
  <c r="CE319" i="1"/>
  <c r="CE321" i="1"/>
  <c r="CE323" i="1"/>
  <c r="CE325" i="1"/>
  <c r="CE327" i="1"/>
  <c r="CE329" i="1"/>
  <c r="CE331" i="1"/>
  <c r="CE333" i="1"/>
  <c r="CE335" i="1"/>
  <c r="CE337" i="1"/>
  <c r="CE339" i="1"/>
  <c r="CE341" i="1"/>
  <c r="CE343" i="1"/>
  <c r="CE345" i="1"/>
  <c r="CE347" i="1"/>
  <c r="CE349" i="1"/>
  <c r="CE351" i="1"/>
  <c r="CE353" i="1"/>
  <c r="CE355" i="1"/>
  <c r="CE186" i="1"/>
  <c r="CE188" i="1"/>
  <c r="CE190" i="1"/>
  <c r="CE192" i="1"/>
  <c r="CE194" i="1"/>
  <c r="CE196" i="1"/>
  <c r="CE198" i="1"/>
  <c r="CE200" i="1"/>
  <c r="CE202" i="1"/>
  <c r="CE204" i="1"/>
  <c r="CE206" i="1"/>
  <c r="CE208" i="1"/>
  <c r="CE210" i="1"/>
  <c r="CE212" i="1"/>
  <c r="CE214" i="1"/>
  <c r="CE216" i="1"/>
  <c r="CE218" i="1"/>
  <c r="CE220" i="1"/>
  <c r="CE222" i="1"/>
  <c r="CE224" i="1"/>
  <c r="CE226" i="1"/>
  <c r="CE228" i="1"/>
  <c r="CE230" i="1"/>
  <c r="CE232" i="1"/>
  <c r="CE234" i="1"/>
  <c r="CE236" i="1"/>
  <c r="CE238" i="1"/>
  <c r="CE240" i="1"/>
  <c r="CE242" i="1"/>
  <c r="CE244" i="1"/>
  <c r="CE246" i="1"/>
  <c r="CE248" i="1"/>
  <c r="CE250" i="1"/>
  <c r="CE252" i="1"/>
  <c r="CE254" i="1"/>
  <c r="CE256" i="1"/>
  <c r="CE258" i="1"/>
  <c r="CE260" i="1"/>
  <c r="CE262" i="1"/>
  <c r="CE264" i="1"/>
  <c r="CE266" i="1"/>
  <c r="CE268" i="1"/>
  <c r="CE270" i="1"/>
  <c r="CE272" i="1"/>
  <c r="CE274" i="1"/>
  <c r="CE276" i="1"/>
  <c r="CE278" i="1"/>
  <c r="CE280" i="1"/>
  <c r="CE282" i="1"/>
  <c r="CE284" i="1"/>
  <c r="CE286" i="1"/>
  <c r="CE288" i="1"/>
  <c r="CE290" i="1"/>
  <c r="CE292" i="1"/>
  <c r="CE294" i="1"/>
  <c r="CE296" i="1"/>
  <c r="CE298" i="1"/>
  <c r="CE300" i="1"/>
  <c r="CE302" i="1"/>
  <c r="CE304" i="1"/>
  <c r="CE306" i="1"/>
  <c r="CE308" i="1"/>
  <c r="CE310" i="1"/>
  <c r="CE312" i="1"/>
  <c r="CE314" i="1"/>
  <c r="CE316" i="1"/>
  <c r="CE318" i="1"/>
  <c r="CE320" i="1"/>
  <c r="CE322" i="1"/>
  <c r="CE324" i="1"/>
  <c r="CE326" i="1"/>
  <c r="CE328" i="1"/>
  <c r="CE330" i="1"/>
  <c r="CE332" i="1"/>
  <c r="CE334" i="1"/>
  <c r="CE336" i="1"/>
  <c r="CE338" i="1"/>
  <c r="CE340" i="1"/>
  <c r="CE342" i="1"/>
  <c r="CE344" i="1"/>
  <c r="CE346" i="1"/>
  <c r="CE348" i="1"/>
  <c r="CE350" i="1"/>
  <c r="CE352" i="1"/>
  <c r="CE354" i="1"/>
  <c r="CE356" i="1"/>
  <c r="CE358" i="1"/>
  <c r="CE360" i="1"/>
  <c r="CE362" i="1"/>
  <c r="CE364" i="1"/>
  <c r="CE366" i="1"/>
  <c r="CE368" i="1"/>
  <c r="CE370" i="1"/>
  <c r="CE372" i="1"/>
  <c r="CE374" i="1"/>
  <c r="CE371" i="1"/>
  <c r="CE375" i="1"/>
  <c r="CE357" i="1"/>
  <c r="CE359" i="1"/>
  <c r="CE361" i="1"/>
  <c r="CE363" i="1"/>
  <c r="CE365" i="1"/>
  <c r="CE367" i="1"/>
  <c r="CE369" i="1"/>
  <c r="CE373" i="1"/>
  <c r="CD16" i="1"/>
  <c r="CF16" i="1" s="1"/>
  <c r="CD18" i="1"/>
  <c r="CD20" i="1"/>
  <c r="CD22" i="1"/>
  <c r="CD24" i="1"/>
  <c r="CF24" i="1" s="1"/>
  <c r="CD26" i="1"/>
  <c r="CD28" i="1"/>
  <c r="CF28" i="1" s="1"/>
  <c r="CD30" i="1"/>
  <c r="CD32" i="1"/>
  <c r="CF32" i="1" s="1"/>
  <c r="CD34" i="1"/>
  <c r="CD36" i="1"/>
  <c r="CD38" i="1"/>
  <c r="CD40" i="1"/>
  <c r="CF40" i="1" s="1"/>
  <c r="CD42" i="1"/>
  <c r="CD44" i="1"/>
  <c r="CF44" i="1" s="1"/>
  <c r="CD46" i="1"/>
  <c r="CF46" i="1" s="1"/>
  <c r="CD48" i="1"/>
  <c r="CF48" i="1" s="1"/>
  <c r="CD50" i="1"/>
  <c r="CD52" i="1"/>
  <c r="CD54" i="1"/>
  <c r="CD56" i="1"/>
  <c r="CF56" i="1" s="1"/>
  <c r="CD58" i="1"/>
  <c r="CD60" i="1"/>
  <c r="CF60" i="1" s="1"/>
  <c r="CD62" i="1"/>
  <c r="CD64" i="1"/>
  <c r="CF64" i="1" s="1"/>
  <c r="CD66" i="1"/>
  <c r="CD68" i="1"/>
  <c r="CD70" i="1"/>
  <c r="CD72" i="1"/>
  <c r="CF72" i="1" s="1"/>
  <c r="CD74" i="1"/>
  <c r="CD76" i="1"/>
  <c r="CF76" i="1" s="1"/>
  <c r="CD78" i="1"/>
  <c r="CD80" i="1"/>
  <c r="CF80" i="1" s="1"/>
  <c r="CD82" i="1"/>
  <c r="CD84" i="1"/>
  <c r="CD86" i="1"/>
  <c r="CD88" i="1"/>
  <c r="CF88" i="1" s="1"/>
  <c r="CD90" i="1"/>
  <c r="CD92" i="1"/>
  <c r="CF92" i="1" s="1"/>
  <c r="CD94" i="1"/>
  <c r="CD96" i="1"/>
  <c r="CF96" i="1" s="1"/>
  <c r="CD98" i="1"/>
  <c r="CD100" i="1"/>
  <c r="CD102" i="1"/>
  <c r="CD104" i="1"/>
  <c r="CF104" i="1" s="1"/>
  <c r="CD106" i="1"/>
  <c r="CD108" i="1"/>
  <c r="CF108" i="1" s="1"/>
  <c r="CD110" i="1"/>
  <c r="CD112" i="1"/>
  <c r="CF112" i="1" s="1"/>
  <c r="CD114" i="1"/>
  <c r="CD116" i="1"/>
  <c r="CD118" i="1"/>
  <c r="CD120" i="1"/>
  <c r="CF120" i="1" s="1"/>
  <c r="CD122" i="1"/>
  <c r="CD124" i="1"/>
  <c r="CF124" i="1" s="1"/>
  <c r="CD126" i="1"/>
  <c r="CD128" i="1"/>
  <c r="CF128" i="1" s="1"/>
  <c r="CD130" i="1"/>
  <c r="CD132" i="1"/>
  <c r="CD134" i="1"/>
  <c r="CD136" i="1"/>
  <c r="CF136" i="1" s="1"/>
  <c r="CD138" i="1"/>
  <c r="CD140" i="1"/>
  <c r="CF140" i="1" s="1"/>
  <c r="CD142" i="1"/>
  <c r="CD144" i="1"/>
  <c r="CD146" i="1"/>
  <c r="CD148" i="1"/>
  <c r="CD150" i="1"/>
  <c r="CD152" i="1"/>
  <c r="CD154" i="1"/>
  <c r="CD156" i="1"/>
  <c r="CD158" i="1"/>
  <c r="CD160" i="1"/>
  <c r="CD162" i="1"/>
  <c r="CD164" i="1"/>
  <c r="CD166" i="1"/>
  <c r="CD168" i="1"/>
  <c r="CD170" i="1"/>
  <c r="CD172" i="1"/>
  <c r="CD174" i="1"/>
  <c r="CD176" i="1"/>
  <c r="CD178" i="1"/>
  <c r="CD180" i="1"/>
  <c r="CD182" i="1"/>
  <c r="CD184" i="1"/>
  <c r="CF184" i="1" s="1"/>
  <c r="CD17" i="1"/>
  <c r="CD21" i="1"/>
  <c r="CF21" i="1" s="1"/>
  <c r="CD25" i="1"/>
  <c r="CD29" i="1"/>
  <c r="CD33" i="1"/>
  <c r="CD37" i="1"/>
  <c r="CD41" i="1"/>
  <c r="CD45" i="1"/>
  <c r="CD49" i="1"/>
  <c r="CD53" i="1"/>
  <c r="CF53" i="1" s="1"/>
  <c r="CD57" i="1"/>
  <c r="CD61" i="1"/>
  <c r="CD65" i="1"/>
  <c r="CD69" i="1"/>
  <c r="CD73" i="1"/>
  <c r="CD77" i="1"/>
  <c r="CD81" i="1"/>
  <c r="CD85" i="1"/>
  <c r="CF85" i="1" s="1"/>
  <c r="CD89" i="1"/>
  <c r="CD93" i="1"/>
  <c r="CD97" i="1"/>
  <c r="CD101" i="1"/>
  <c r="CD105" i="1"/>
  <c r="CD109" i="1"/>
  <c r="CD113" i="1"/>
  <c r="CD117" i="1"/>
  <c r="CF117" i="1" s="1"/>
  <c r="CD121" i="1"/>
  <c r="CD125" i="1"/>
  <c r="CD129" i="1"/>
  <c r="CD133" i="1"/>
  <c r="CD137" i="1"/>
  <c r="CD141" i="1"/>
  <c r="CD145" i="1"/>
  <c r="CF145" i="1" s="1"/>
  <c r="CD149" i="1"/>
  <c r="CF149" i="1" s="1"/>
  <c r="CD153" i="1"/>
  <c r="CD157" i="1"/>
  <c r="CD161" i="1"/>
  <c r="CD165" i="1"/>
  <c r="CD169" i="1"/>
  <c r="CD173" i="1"/>
  <c r="CD177" i="1"/>
  <c r="CD181" i="1"/>
  <c r="CF181" i="1" s="1"/>
  <c r="CD185" i="1"/>
  <c r="CD187" i="1"/>
  <c r="CD189" i="1"/>
  <c r="CD191" i="1"/>
  <c r="CD193" i="1"/>
  <c r="CD195" i="1"/>
  <c r="CD197" i="1"/>
  <c r="CD199" i="1"/>
  <c r="CD201" i="1"/>
  <c r="CD203" i="1"/>
  <c r="CD205" i="1"/>
  <c r="CD207" i="1"/>
  <c r="CD209" i="1"/>
  <c r="CD211" i="1"/>
  <c r="CD213" i="1"/>
  <c r="CD215" i="1"/>
  <c r="CD217" i="1"/>
  <c r="CD219" i="1"/>
  <c r="CD221" i="1"/>
  <c r="CD223" i="1"/>
  <c r="CD225" i="1"/>
  <c r="CD227" i="1"/>
  <c r="CD229" i="1"/>
  <c r="CD231" i="1"/>
  <c r="CD233" i="1"/>
  <c r="CD235" i="1"/>
  <c r="CD237" i="1"/>
  <c r="CD239" i="1"/>
  <c r="CD241" i="1"/>
  <c r="CD243" i="1"/>
  <c r="CD245" i="1"/>
  <c r="CD247" i="1"/>
  <c r="CD249" i="1"/>
  <c r="CD251" i="1"/>
  <c r="CD253" i="1"/>
  <c r="CD255" i="1"/>
  <c r="CD257" i="1"/>
  <c r="CD259" i="1"/>
  <c r="CD261" i="1"/>
  <c r="CD263" i="1"/>
  <c r="CD265" i="1"/>
  <c r="CD267" i="1"/>
  <c r="CD269" i="1"/>
  <c r="CD271" i="1"/>
  <c r="CF271" i="1" s="1"/>
  <c r="CD273" i="1"/>
  <c r="CD275" i="1"/>
  <c r="CD277" i="1"/>
  <c r="CD279" i="1"/>
  <c r="CF279" i="1" s="1"/>
  <c r="CD281" i="1"/>
  <c r="CD283" i="1"/>
  <c r="CD285" i="1"/>
  <c r="CD287" i="1"/>
  <c r="CF287" i="1" s="1"/>
  <c r="CD289" i="1"/>
  <c r="CD291" i="1"/>
  <c r="CD293" i="1"/>
  <c r="CD295" i="1"/>
  <c r="CF295" i="1" s="1"/>
  <c r="CD297" i="1"/>
  <c r="CD299" i="1"/>
  <c r="CD301" i="1"/>
  <c r="CD303" i="1"/>
  <c r="CD305" i="1"/>
  <c r="CD307" i="1"/>
  <c r="CD309" i="1"/>
  <c r="CD311" i="1"/>
  <c r="CF311" i="1" s="1"/>
  <c r="CD313" i="1"/>
  <c r="CD315" i="1"/>
  <c r="CD317" i="1"/>
  <c r="CD319" i="1"/>
  <c r="CD321" i="1"/>
  <c r="CD323" i="1"/>
  <c r="CD325" i="1"/>
  <c r="CD327" i="1"/>
  <c r="CF327" i="1" s="1"/>
  <c r="CD329" i="1"/>
  <c r="CD331" i="1"/>
  <c r="CD333" i="1"/>
  <c r="CD335" i="1"/>
  <c r="CD337" i="1"/>
  <c r="CD339" i="1"/>
  <c r="CD341" i="1"/>
  <c r="CD343" i="1"/>
  <c r="CF343" i="1" s="1"/>
  <c r="CD345" i="1"/>
  <c r="CD347" i="1"/>
  <c r="CD349" i="1"/>
  <c r="CD351" i="1"/>
  <c r="CD353" i="1"/>
  <c r="CD355" i="1"/>
  <c r="CD357" i="1"/>
  <c r="CD359" i="1"/>
  <c r="CF359" i="1" s="1"/>
  <c r="CD361" i="1"/>
  <c r="CD363" i="1"/>
  <c r="CF363" i="1" s="1"/>
  <c r="CD365" i="1"/>
  <c r="CD367" i="1"/>
  <c r="CD369" i="1"/>
  <c r="CD371" i="1"/>
  <c r="CD373" i="1"/>
  <c r="CF373" i="1" s="1"/>
  <c r="CD375" i="1"/>
  <c r="CF375" i="1" s="1"/>
  <c r="CD19" i="1"/>
  <c r="CD23" i="1"/>
  <c r="CF23" i="1" s="1"/>
  <c r="CD27" i="1"/>
  <c r="CD31" i="1"/>
  <c r="CF31" i="1" s="1"/>
  <c r="CD35" i="1"/>
  <c r="CD39" i="1"/>
  <c r="CF39" i="1" s="1"/>
  <c r="CD43" i="1"/>
  <c r="CD47" i="1"/>
  <c r="CF47" i="1" s="1"/>
  <c r="CD51" i="1"/>
  <c r="CD55" i="1"/>
  <c r="CF55" i="1" s="1"/>
  <c r="CD59" i="1"/>
  <c r="CD63" i="1"/>
  <c r="CF63" i="1" s="1"/>
  <c r="CD67" i="1"/>
  <c r="CF67" i="1" s="1"/>
  <c r="CD71" i="1"/>
  <c r="CF71" i="1" s="1"/>
  <c r="CD75" i="1"/>
  <c r="CD79" i="1"/>
  <c r="CF79" i="1" s="1"/>
  <c r="CD83" i="1"/>
  <c r="CD87" i="1"/>
  <c r="CF87" i="1" s="1"/>
  <c r="CD91" i="1"/>
  <c r="CD95" i="1"/>
  <c r="CF95" i="1" s="1"/>
  <c r="CD99" i="1"/>
  <c r="CD103" i="1"/>
  <c r="CF103" i="1" s="1"/>
  <c r="CD107" i="1"/>
  <c r="CF107" i="1" s="1"/>
  <c r="CD111" i="1"/>
  <c r="CF111" i="1" s="1"/>
  <c r="CD115" i="1"/>
  <c r="CD119" i="1"/>
  <c r="CF119" i="1" s="1"/>
  <c r="CD123" i="1"/>
  <c r="CD127" i="1"/>
  <c r="CF127" i="1" s="1"/>
  <c r="CD131" i="1"/>
  <c r="CD135" i="1"/>
  <c r="CF135" i="1" s="1"/>
  <c r="CD139" i="1"/>
  <c r="CF139" i="1" s="1"/>
  <c r="CD143" i="1"/>
  <c r="CF143" i="1" s="1"/>
  <c r="CD147" i="1"/>
  <c r="CD155" i="1"/>
  <c r="CF155" i="1" s="1"/>
  <c r="CD163" i="1"/>
  <c r="CD171" i="1"/>
  <c r="CF171" i="1" s="1"/>
  <c r="CD179" i="1"/>
  <c r="CD186" i="1"/>
  <c r="CF186" i="1" s="1"/>
  <c r="CD190" i="1"/>
  <c r="CD194" i="1"/>
  <c r="CF194" i="1" s="1"/>
  <c r="CD198" i="1"/>
  <c r="CD202" i="1"/>
  <c r="CF202" i="1" s="1"/>
  <c r="CD206" i="1"/>
  <c r="CD210" i="1"/>
  <c r="CF210" i="1" s="1"/>
  <c r="CD214" i="1"/>
  <c r="CF214" i="1" s="1"/>
  <c r="CD218" i="1"/>
  <c r="CF218" i="1" s="1"/>
  <c r="CD222" i="1"/>
  <c r="CD226" i="1"/>
  <c r="CF226" i="1" s="1"/>
  <c r="CD230" i="1"/>
  <c r="CD234" i="1"/>
  <c r="CF234" i="1" s="1"/>
  <c r="CD238" i="1"/>
  <c r="CD242" i="1"/>
  <c r="CD246" i="1"/>
  <c r="CF246" i="1" s="1"/>
  <c r="CD250" i="1"/>
  <c r="CF250" i="1" s="1"/>
  <c r="CD254" i="1"/>
  <c r="CD258" i="1"/>
  <c r="CF258" i="1" s="1"/>
  <c r="CD262" i="1"/>
  <c r="CD266" i="1"/>
  <c r="CF266" i="1" s="1"/>
  <c r="CD270" i="1"/>
  <c r="CF270" i="1" s="1"/>
  <c r="CD274" i="1"/>
  <c r="CF274" i="1" s="1"/>
  <c r="CD278" i="1"/>
  <c r="CF278" i="1" s="1"/>
  <c r="CD282" i="1"/>
  <c r="CF282" i="1" s="1"/>
  <c r="CD286" i="1"/>
  <c r="CF286" i="1" s="1"/>
  <c r="CD290" i="1"/>
  <c r="CF290" i="1" s="1"/>
  <c r="CD294" i="1"/>
  <c r="CD298" i="1"/>
  <c r="CF298" i="1" s="1"/>
  <c r="CD302" i="1"/>
  <c r="CD306" i="1"/>
  <c r="CF306" i="1" s="1"/>
  <c r="CD310" i="1"/>
  <c r="CD314" i="1"/>
  <c r="CD318" i="1"/>
  <c r="CD322" i="1"/>
  <c r="CF322" i="1" s="1"/>
  <c r="CD326" i="1"/>
  <c r="CD330" i="1"/>
  <c r="CF330" i="1" s="1"/>
  <c r="CD334" i="1"/>
  <c r="CD338" i="1"/>
  <c r="CF338" i="1" s="1"/>
  <c r="CD342" i="1"/>
  <c r="CD346" i="1"/>
  <c r="CF346" i="1" s="1"/>
  <c r="CD350" i="1"/>
  <c r="CD354" i="1"/>
  <c r="CF354" i="1" s="1"/>
  <c r="CD358" i="1"/>
  <c r="CD362" i="1"/>
  <c r="CF362" i="1" s="1"/>
  <c r="CD366" i="1"/>
  <c r="CD370" i="1"/>
  <c r="CF370" i="1" s="1"/>
  <c r="CD374" i="1"/>
  <c r="CD151" i="1"/>
  <c r="CF151" i="1" s="1"/>
  <c r="CD159" i="1"/>
  <c r="CD167" i="1"/>
  <c r="CF167" i="1" s="1"/>
  <c r="CD175" i="1"/>
  <c r="CD183" i="1"/>
  <c r="CF183" i="1" s="1"/>
  <c r="CD188" i="1"/>
  <c r="CD192" i="1"/>
  <c r="CF192" i="1" s="1"/>
  <c r="CD196" i="1"/>
  <c r="CF196" i="1" s="1"/>
  <c r="CD200" i="1"/>
  <c r="CD204" i="1"/>
  <c r="CD208" i="1"/>
  <c r="CF208" i="1" s="1"/>
  <c r="CD212" i="1"/>
  <c r="CD216" i="1"/>
  <c r="CD220" i="1"/>
  <c r="CD224" i="1"/>
  <c r="CF224" i="1" s="1"/>
  <c r="CD228" i="1"/>
  <c r="CD232" i="1"/>
  <c r="CD236" i="1"/>
  <c r="CF236" i="1" s="1"/>
  <c r="CD240" i="1"/>
  <c r="CF240" i="1" s="1"/>
  <c r="CD244" i="1"/>
  <c r="CD248" i="1"/>
  <c r="CD252" i="1"/>
  <c r="CD256" i="1"/>
  <c r="CF256" i="1" s="1"/>
  <c r="CD260" i="1"/>
  <c r="CF260" i="1" s="1"/>
  <c r="CD264" i="1"/>
  <c r="CD268" i="1"/>
  <c r="CF268" i="1" s="1"/>
  <c r="CD272" i="1"/>
  <c r="CF272" i="1" s="1"/>
  <c r="CD276" i="1"/>
  <c r="CD280" i="1"/>
  <c r="CD284" i="1"/>
  <c r="CD288" i="1"/>
  <c r="CF288" i="1" s="1"/>
  <c r="CD292" i="1"/>
  <c r="CD296" i="1"/>
  <c r="CD300" i="1"/>
  <c r="CD304" i="1"/>
  <c r="CF304" i="1" s="1"/>
  <c r="CD308" i="1"/>
  <c r="CD312" i="1"/>
  <c r="CD316" i="1"/>
  <c r="CD320" i="1"/>
  <c r="CF320" i="1" s="1"/>
  <c r="CD324" i="1"/>
  <c r="CD328" i="1"/>
  <c r="CD332" i="1"/>
  <c r="CD336" i="1"/>
  <c r="CF336" i="1" s="1"/>
  <c r="CD340" i="1"/>
  <c r="CD344" i="1"/>
  <c r="CD348" i="1"/>
  <c r="CD352" i="1"/>
  <c r="CF352" i="1" s="1"/>
  <c r="CD356" i="1"/>
  <c r="CD360" i="1"/>
  <c r="CD364" i="1"/>
  <c r="CD368" i="1"/>
  <c r="CF368" i="1" s="1"/>
  <c r="CD372" i="1"/>
  <c r="CD15" i="1"/>
  <c r="CF15" i="1" s="1"/>
  <c r="CF6" i="1"/>
  <c r="CE6" i="1"/>
  <c r="CF18" i="1"/>
  <c r="CF22" i="1"/>
  <c r="CF26" i="1"/>
  <c r="CF30" i="1"/>
  <c r="CF34" i="1"/>
  <c r="CF38" i="1"/>
  <c r="CF42" i="1"/>
  <c r="CF50" i="1"/>
  <c r="CF54" i="1"/>
  <c r="CF58" i="1"/>
  <c r="CF62" i="1"/>
  <c r="CF66" i="1"/>
  <c r="CF70" i="1"/>
  <c r="CF74" i="1"/>
  <c r="CF78" i="1"/>
  <c r="CF82" i="1"/>
  <c r="CF86" i="1"/>
  <c r="CF90" i="1"/>
  <c r="CF94" i="1"/>
  <c r="CF98" i="1"/>
  <c r="CF102" i="1"/>
  <c r="CF106" i="1"/>
  <c r="CF110" i="1"/>
  <c r="CF114" i="1"/>
  <c r="CF118" i="1"/>
  <c r="CF122" i="1"/>
  <c r="CF126" i="1"/>
  <c r="CF130" i="1"/>
  <c r="CF134" i="1"/>
  <c r="CF138" i="1"/>
  <c r="CF144" i="1"/>
  <c r="CF146" i="1"/>
  <c r="CF152" i="1"/>
  <c r="CF154" i="1"/>
  <c r="CF160" i="1"/>
  <c r="CF162" i="1"/>
  <c r="CF168" i="1"/>
  <c r="CF170" i="1"/>
  <c r="CF176" i="1"/>
  <c r="CF178" i="1"/>
  <c r="CF188" i="1"/>
  <c r="CF190" i="1"/>
  <c r="CF198" i="1"/>
  <c r="CF204" i="1"/>
  <c r="CF206" i="1"/>
  <c r="CF212" i="1"/>
  <c r="CF220" i="1"/>
  <c r="CF222" i="1"/>
  <c r="CF228" i="1"/>
  <c r="CF230" i="1"/>
  <c r="CF238" i="1"/>
  <c r="CF242" i="1"/>
  <c r="CF244" i="1"/>
  <c r="CF252" i="1"/>
  <c r="CF254" i="1"/>
  <c r="CF262" i="1"/>
  <c r="CF276" i="1"/>
  <c r="CF284" i="1"/>
  <c r="CF17" i="1"/>
  <c r="CF19" i="1"/>
  <c r="CF25" i="1"/>
  <c r="CF27" i="1"/>
  <c r="CF33" i="1"/>
  <c r="CF35" i="1"/>
  <c r="CF37" i="1"/>
  <c r="CF41" i="1"/>
  <c r="CF43" i="1"/>
  <c r="CF49" i="1"/>
  <c r="CF51" i="1"/>
  <c r="CF57" i="1"/>
  <c r="CF59" i="1"/>
  <c r="CF65" i="1"/>
  <c r="CF69" i="1"/>
  <c r="CF73" i="1"/>
  <c r="CF75" i="1"/>
  <c r="CF81" i="1"/>
  <c r="CF83" i="1"/>
  <c r="CF89" i="1"/>
  <c r="CF91" i="1"/>
  <c r="CF97" i="1"/>
  <c r="CF99" i="1"/>
  <c r="CF101" i="1"/>
  <c r="CF105" i="1"/>
  <c r="CF113" i="1"/>
  <c r="CF115" i="1"/>
  <c r="CF121" i="1"/>
  <c r="CF123" i="1"/>
  <c r="CF129" i="1"/>
  <c r="CF131" i="1"/>
  <c r="CF133" i="1"/>
  <c r="CF137" i="1"/>
  <c r="CF147" i="1"/>
  <c r="CF153" i="1"/>
  <c r="CF159" i="1"/>
  <c r="CF161" i="1"/>
  <c r="CF163" i="1"/>
  <c r="CF165" i="1"/>
  <c r="CF169" i="1"/>
  <c r="CF175" i="1"/>
  <c r="CF177" i="1"/>
  <c r="CF179" i="1"/>
  <c r="CF185" i="1"/>
  <c r="CF365" i="1"/>
  <c r="CF361" i="1"/>
  <c r="CF357" i="1"/>
  <c r="CF353" i="1"/>
  <c r="CF351" i="1"/>
  <c r="CF349" i="1"/>
  <c r="CF347" i="1"/>
  <c r="CF345" i="1"/>
  <c r="CF341" i="1"/>
  <c r="CF337" i="1"/>
  <c r="CF335" i="1"/>
  <c r="CF333" i="1"/>
  <c r="CF331" i="1"/>
  <c r="CF329" i="1"/>
  <c r="CF325" i="1"/>
  <c r="CF321" i="1"/>
  <c r="CF319" i="1"/>
  <c r="CF317" i="1"/>
  <c r="CF315" i="1"/>
  <c r="CF313" i="1"/>
  <c r="CF309" i="1"/>
  <c r="CF305" i="1"/>
  <c r="CF303" i="1"/>
  <c r="CF301" i="1"/>
  <c r="CF299" i="1"/>
  <c r="CF297" i="1"/>
  <c r="CF293" i="1"/>
  <c r="CF285" i="1"/>
  <c r="CF277" i="1"/>
  <c r="CF269" i="1"/>
  <c r="BY6" i="1"/>
  <c r="CA6" i="1" s="1"/>
  <c r="I2" i="1"/>
  <c r="CF314" i="1" l="1"/>
  <c r="CF369" i="1"/>
  <c r="CF367" i="1"/>
  <c r="CF339" i="1"/>
  <c r="CF323" i="1"/>
  <c r="CF307" i="1"/>
  <c r="CF173" i="1"/>
  <c r="CF157" i="1"/>
  <c r="CF296" i="1"/>
  <c r="CF232" i="1"/>
  <c r="CF371" i="1"/>
  <c r="CF355" i="1"/>
  <c r="CF141" i="1"/>
  <c r="CF109" i="1"/>
  <c r="CF77" i="1"/>
  <c r="CF45" i="1"/>
  <c r="CF360" i="1"/>
  <c r="CF328" i="1"/>
  <c r="CF264" i="1"/>
  <c r="CF200" i="1"/>
  <c r="CF132" i="1"/>
  <c r="CF116" i="1"/>
  <c r="CF100" i="1"/>
  <c r="CF84" i="1"/>
  <c r="CF68" i="1"/>
  <c r="CF52" i="1"/>
  <c r="CF36" i="1"/>
  <c r="CF20" i="1"/>
  <c r="CF312" i="1"/>
  <c r="CF280" i="1"/>
  <c r="CF216" i="1"/>
  <c r="CF125" i="1"/>
  <c r="CF93" i="1"/>
  <c r="CF61" i="1"/>
  <c r="CF29" i="1"/>
  <c r="CF344" i="1"/>
  <c r="CF248" i="1"/>
  <c r="CF273" i="1"/>
  <c r="CF281" i="1"/>
  <c r="CF289" i="1"/>
  <c r="CF294" i="1"/>
  <c r="CF302" i="1"/>
  <c r="CF310" i="1"/>
  <c r="CF318" i="1"/>
  <c r="CF326" i="1"/>
  <c r="CF334" i="1"/>
  <c r="CF342" i="1"/>
  <c r="CF350" i="1"/>
  <c r="CF358" i="1"/>
  <c r="CF366" i="1"/>
  <c r="CF374" i="1"/>
  <c r="CF265" i="1"/>
  <c r="CF261" i="1"/>
  <c r="CF257" i="1"/>
  <c r="CF253" i="1"/>
  <c r="CF249" i="1"/>
  <c r="CF245" i="1"/>
  <c r="CF241" i="1"/>
  <c r="CF237" i="1"/>
  <c r="CF233" i="1"/>
  <c r="CF229" i="1"/>
  <c r="CF225" i="1"/>
  <c r="CF221" i="1"/>
  <c r="CF217" i="1"/>
  <c r="CF213" i="1"/>
  <c r="CF209" i="1"/>
  <c r="CF205" i="1"/>
  <c r="CF201" i="1"/>
  <c r="CF197" i="1"/>
  <c r="CF193" i="1"/>
  <c r="CF189" i="1"/>
  <c r="CF182" i="1"/>
  <c r="CF174" i="1"/>
  <c r="CF166" i="1"/>
  <c r="CF158" i="1"/>
  <c r="CF150" i="1"/>
  <c r="CF142" i="1"/>
  <c r="CF275" i="1"/>
  <c r="CF283" i="1"/>
  <c r="CF291" i="1"/>
  <c r="CF300" i="1"/>
  <c r="CF308" i="1"/>
  <c r="CF316" i="1"/>
  <c r="CF324" i="1"/>
  <c r="CF332" i="1"/>
  <c r="CF340" i="1"/>
  <c r="CF348" i="1"/>
  <c r="CF356" i="1"/>
  <c r="CF364" i="1"/>
  <c r="CF372" i="1"/>
  <c r="CF267" i="1"/>
  <c r="CF263" i="1"/>
  <c r="CF259" i="1"/>
  <c r="CF255" i="1"/>
  <c r="CF251" i="1"/>
  <c r="CF247" i="1"/>
  <c r="CF243" i="1"/>
  <c r="CF239" i="1"/>
  <c r="CF235" i="1"/>
  <c r="CF231" i="1"/>
  <c r="CF227" i="1"/>
  <c r="CF223" i="1"/>
  <c r="CF219" i="1"/>
  <c r="CF215" i="1"/>
  <c r="CF211" i="1"/>
  <c r="CF207" i="1"/>
  <c r="CF203" i="1"/>
  <c r="CF199" i="1"/>
  <c r="CF195" i="1"/>
  <c r="CF191" i="1"/>
  <c r="CF187" i="1"/>
  <c r="CF292" i="1"/>
  <c r="CF180" i="1"/>
  <c r="CF172" i="1"/>
  <c r="CF164" i="1"/>
  <c r="CF156" i="1"/>
  <c r="CF148" i="1"/>
  <c r="BZ6" i="1"/>
  <c r="CB6" i="1" s="1"/>
  <c r="CG6" i="1"/>
  <c r="AB17" i="1"/>
  <c r="AA17" i="1"/>
  <c r="Z17" i="1"/>
  <c r="ED4" i="1" l="1"/>
  <c r="ED6" i="1" s="1"/>
  <c r="EC4" i="1"/>
  <c r="EC6" i="1" s="1"/>
  <c r="EB4" i="1"/>
  <c r="DV4" i="1"/>
  <c r="DV5" i="1"/>
  <c r="DW3" i="1"/>
  <c r="DX3" i="1"/>
  <c r="DY3" i="1"/>
  <c r="EG4" i="1" l="1"/>
  <c r="EJ4" i="1" s="1"/>
  <c r="EF6" i="1"/>
  <c r="EF4" i="1"/>
  <c r="AF10" i="1"/>
  <c r="AE10" i="1"/>
  <c r="EH4" i="1" l="1"/>
  <c r="EI4" i="1"/>
  <c r="B184" i="1" l="1"/>
  <c r="C184" i="1"/>
  <c r="D184" i="1"/>
  <c r="E184" i="1"/>
  <c r="B185" i="1"/>
  <c r="D185" i="1"/>
  <c r="E185" i="1"/>
  <c r="B186" i="1"/>
  <c r="D186" i="1"/>
  <c r="E186" i="1"/>
  <c r="B187" i="1"/>
  <c r="D187" i="1"/>
  <c r="E187" i="1"/>
  <c r="B188" i="1"/>
  <c r="D188" i="1"/>
  <c r="E188" i="1"/>
  <c r="B189" i="1"/>
  <c r="D189" i="1"/>
  <c r="E189" i="1"/>
  <c r="B190" i="1"/>
  <c r="D190" i="1"/>
  <c r="E190" i="1"/>
  <c r="B191" i="1"/>
  <c r="D191" i="1"/>
  <c r="E191" i="1"/>
  <c r="B192" i="1"/>
  <c r="D192" i="1"/>
  <c r="E192" i="1"/>
  <c r="B193" i="1"/>
  <c r="D193" i="1"/>
  <c r="E193" i="1"/>
  <c r="B194" i="1"/>
  <c r="D194" i="1"/>
  <c r="E194" i="1"/>
  <c r="A185" i="1"/>
  <c r="A186" i="1"/>
  <c r="A187" i="1"/>
  <c r="A188" i="1"/>
  <c r="A189" i="1"/>
  <c r="A190" i="1"/>
  <c r="A191" i="1"/>
  <c r="A192" i="1"/>
  <c r="A193" i="1"/>
  <c r="A194" i="1"/>
  <c r="A184" i="1"/>
  <c r="BF156" i="1"/>
  <c r="BG156" i="1" s="1"/>
  <c r="BF157" i="1"/>
  <c r="BG157" i="1" s="1"/>
  <c r="B143" i="1" l="1"/>
  <c r="A168" i="1"/>
  <c r="A169" i="1"/>
  <c r="A170" i="1"/>
  <c r="A171" i="1"/>
  <c r="A172" i="1"/>
  <c r="A173" i="1"/>
  <c r="A174" i="1"/>
  <c r="A175" i="1"/>
  <c r="C156" i="1"/>
  <c r="C167" i="1" s="1"/>
  <c r="D156" i="1"/>
  <c r="D167" i="1" s="1"/>
  <c r="E156" i="1"/>
  <c r="E167" i="1" s="1"/>
  <c r="B156" i="1"/>
  <c r="B167" i="1" s="1"/>
  <c r="B150" i="1"/>
  <c r="L175" i="1" l="1"/>
  <c r="M175" i="1" s="1"/>
  <c r="L173" i="1"/>
  <c r="M173" i="1" s="1"/>
  <c r="L169" i="1"/>
  <c r="M169" i="1" s="1"/>
  <c r="L168" i="1"/>
  <c r="M168" i="1" s="1"/>
  <c r="L170" i="1"/>
  <c r="M170" i="1" s="1"/>
  <c r="L171" i="1"/>
  <c r="M171" i="1" s="1"/>
  <c r="L172" i="1"/>
  <c r="M172" i="1" s="1"/>
  <c r="L174" i="1"/>
  <c r="M174" i="1" s="1"/>
  <c r="AC53" i="1"/>
  <c r="AC52" i="1"/>
  <c r="AC50" i="1"/>
  <c r="AC51" i="1" s="1"/>
  <c r="AD49" i="1"/>
  <c r="AD53" i="1" s="1"/>
  <c r="AD50" i="1" l="1"/>
  <c r="AD51" i="1" s="1"/>
  <c r="AD52" i="1" s="1"/>
  <c r="AE37" i="1"/>
  <c r="BF3" i="1"/>
  <c r="BF4" i="1"/>
  <c r="BF5" i="1"/>
  <c r="BF6" i="1"/>
  <c r="BF7" i="1"/>
  <c r="BF8" i="1"/>
  <c r="BF9" i="1"/>
  <c r="BF10" i="1"/>
  <c r="BF11" i="1"/>
  <c r="BF12" i="1"/>
  <c r="BF13" i="1"/>
  <c r="BF14" i="1"/>
  <c r="BF15" i="1"/>
  <c r="BF16" i="1"/>
  <c r="BF17" i="1"/>
  <c r="BF18" i="1"/>
  <c r="BF19" i="1"/>
  <c r="BF20" i="1"/>
  <c r="BF21" i="1"/>
  <c r="BF22" i="1"/>
  <c r="BF23" i="1"/>
  <c r="BF24" i="1"/>
  <c r="BF25" i="1"/>
  <c r="BF26" i="1"/>
  <c r="BF27" i="1"/>
  <c r="BF28" i="1"/>
  <c r="BF29" i="1"/>
  <c r="BF30" i="1"/>
  <c r="BF31" i="1"/>
  <c r="BF32" i="1"/>
  <c r="BF33" i="1"/>
  <c r="BF34" i="1"/>
  <c r="BG34" i="1" s="1"/>
  <c r="BF35" i="1"/>
  <c r="BF36" i="1"/>
  <c r="BF37" i="1"/>
  <c r="BF38" i="1"/>
  <c r="BF39" i="1"/>
  <c r="BF40" i="1"/>
  <c r="BF41" i="1"/>
  <c r="BF42" i="1"/>
  <c r="BG42" i="1" s="1"/>
  <c r="BF43" i="1"/>
  <c r="BF44" i="1"/>
  <c r="BF45" i="1"/>
  <c r="BF46" i="1"/>
  <c r="BF47" i="1"/>
  <c r="BF48" i="1"/>
  <c r="BF49" i="1"/>
  <c r="BF50" i="1"/>
  <c r="BG50" i="1" s="1"/>
  <c r="BF51" i="1"/>
  <c r="BF52" i="1"/>
  <c r="BF53" i="1"/>
  <c r="BF54" i="1"/>
  <c r="BF55" i="1"/>
  <c r="BF56" i="1"/>
  <c r="BF57" i="1"/>
  <c r="BF58" i="1"/>
  <c r="BG58" i="1" s="1"/>
  <c r="BF59" i="1"/>
  <c r="BF60" i="1"/>
  <c r="BF61" i="1"/>
  <c r="BF62" i="1"/>
  <c r="BF63" i="1"/>
  <c r="BF64" i="1"/>
  <c r="BF65" i="1"/>
  <c r="BF66" i="1"/>
  <c r="BG66" i="1" s="1"/>
  <c r="BF67" i="1"/>
  <c r="BF68" i="1"/>
  <c r="BF69" i="1"/>
  <c r="BF70" i="1"/>
  <c r="BF71" i="1"/>
  <c r="BF72" i="1"/>
  <c r="BF73" i="1"/>
  <c r="BF74" i="1"/>
  <c r="BF75" i="1"/>
  <c r="BF76" i="1"/>
  <c r="BF77" i="1"/>
  <c r="BF78" i="1"/>
  <c r="BF79" i="1"/>
  <c r="BF80" i="1"/>
  <c r="BF81" i="1"/>
  <c r="BF82" i="1"/>
  <c r="BF83" i="1"/>
  <c r="BF84" i="1"/>
  <c r="BF85" i="1"/>
  <c r="BF86" i="1"/>
  <c r="BF87" i="1"/>
  <c r="BF88" i="1"/>
  <c r="BF89" i="1"/>
  <c r="BF90" i="1"/>
  <c r="BF91" i="1"/>
  <c r="BF92" i="1"/>
  <c r="BF93" i="1"/>
  <c r="BF94" i="1"/>
  <c r="BF95" i="1"/>
  <c r="BF96" i="1"/>
  <c r="BF97" i="1"/>
  <c r="BF98" i="1"/>
  <c r="BF99" i="1"/>
  <c r="BF100" i="1"/>
  <c r="BF101" i="1"/>
  <c r="BF102" i="1"/>
  <c r="BF103" i="1"/>
  <c r="BF104" i="1"/>
  <c r="BF105" i="1"/>
  <c r="BF106" i="1"/>
  <c r="BG106" i="1" s="1"/>
  <c r="BF107" i="1"/>
  <c r="BF108" i="1"/>
  <c r="BF109" i="1"/>
  <c r="BF110" i="1"/>
  <c r="BF111" i="1"/>
  <c r="BF112" i="1"/>
  <c r="BF113" i="1"/>
  <c r="BF114" i="1"/>
  <c r="BG114" i="1" s="1"/>
  <c r="BF115" i="1"/>
  <c r="BF116" i="1"/>
  <c r="BF117" i="1"/>
  <c r="BF118" i="1"/>
  <c r="BF119" i="1"/>
  <c r="BF120" i="1"/>
  <c r="BF121" i="1"/>
  <c r="BF122" i="1"/>
  <c r="BG122" i="1" s="1"/>
  <c r="BF123" i="1"/>
  <c r="BF124" i="1"/>
  <c r="BF125" i="1"/>
  <c r="BF126" i="1"/>
  <c r="BF127" i="1"/>
  <c r="BF128" i="1"/>
  <c r="BF129" i="1"/>
  <c r="BF130" i="1"/>
  <c r="BG130" i="1" s="1"/>
  <c r="BF131" i="1"/>
  <c r="BF132" i="1"/>
  <c r="BF133" i="1"/>
  <c r="BF134" i="1"/>
  <c r="BF135" i="1"/>
  <c r="BF136" i="1"/>
  <c r="BF137" i="1"/>
  <c r="BF138" i="1"/>
  <c r="BF139" i="1"/>
  <c r="BF140" i="1"/>
  <c r="BF141" i="1"/>
  <c r="BF142" i="1"/>
  <c r="BF143" i="1"/>
  <c r="BF144" i="1"/>
  <c r="BF145" i="1"/>
  <c r="BF146" i="1"/>
  <c r="BF147" i="1"/>
  <c r="BF148" i="1"/>
  <c r="BF149" i="1"/>
  <c r="BF150" i="1"/>
  <c r="BF151" i="1"/>
  <c r="BF152" i="1"/>
  <c r="BF153" i="1"/>
  <c r="BF154" i="1"/>
  <c r="BF155" i="1"/>
  <c r="BF158" i="1"/>
  <c r="BF159" i="1"/>
  <c r="BF160" i="1"/>
  <c r="BF161" i="1"/>
  <c r="BF162" i="1"/>
  <c r="BG162" i="1" s="1"/>
  <c r="BF163" i="1"/>
  <c r="BF164" i="1"/>
  <c r="BF165" i="1"/>
  <c r="BF166" i="1"/>
  <c r="BF167" i="1"/>
  <c r="BF168" i="1"/>
  <c r="BF169" i="1"/>
  <c r="BF170" i="1"/>
  <c r="BG170" i="1" s="1"/>
  <c r="BF171" i="1"/>
  <c r="BF172" i="1"/>
  <c r="BF173" i="1"/>
  <c r="BF174" i="1"/>
  <c r="BF175" i="1"/>
  <c r="BF176" i="1"/>
  <c r="BF177" i="1"/>
  <c r="BF178" i="1"/>
  <c r="BG178" i="1" s="1"/>
  <c r="BF179" i="1"/>
  <c r="BF180" i="1"/>
  <c r="BF181" i="1"/>
  <c r="BF182" i="1"/>
  <c r="BF183" i="1"/>
  <c r="BF184" i="1"/>
  <c r="BF185" i="1"/>
  <c r="BF186" i="1"/>
  <c r="BG186" i="1" s="1"/>
  <c r="BF187" i="1"/>
  <c r="BF188" i="1"/>
  <c r="BF189" i="1"/>
  <c r="BF190" i="1"/>
  <c r="BF191" i="1"/>
  <c r="BF192" i="1"/>
  <c r="BF193" i="1"/>
  <c r="BF194" i="1"/>
  <c r="BG194" i="1" s="1"/>
  <c r="BF195" i="1"/>
  <c r="BF196" i="1"/>
  <c r="BF197" i="1"/>
  <c r="BF198" i="1"/>
  <c r="BF199" i="1"/>
  <c r="BF200" i="1"/>
  <c r="BF201" i="1"/>
  <c r="BF202" i="1"/>
  <c r="BF203" i="1"/>
  <c r="BF204" i="1"/>
  <c r="BF205" i="1"/>
  <c r="BF206" i="1"/>
  <c r="BF207" i="1"/>
  <c r="BF208" i="1"/>
  <c r="BF209" i="1"/>
  <c r="BF210" i="1"/>
  <c r="BF211" i="1"/>
  <c r="BF212" i="1"/>
  <c r="BF213" i="1"/>
  <c r="BF214" i="1"/>
  <c r="BF215" i="1"/>
  <c r="BF216" i="1"/>
  <c r="BF217" i="1"/>
  <c r="BF218" i="1"/>
  <c r="BF219" i="1"/>
  <c r="BF220" i="1"/>
  <c r="BF221" i="1"/>
  <c r="BF222" i="1"/>
  <c r="BF223" i="1"/>
  <c r="BF224" i="1"/>
  <c r="BF225" i="1"/>
  <c r="BF226" i="1"/>
  <c r="BG226" i="1" s="1"/>
  <c r="BF227" i="1"/>
  <c r="BF228" i="1"/>
  <c r="BF229" i="1"/>
  <c r="BF230" i="1"/>
  <c r="BF231" i="1"/>
  <c r="BF232" i="1"/>
  <c r="BF233" i="1"/>
  <c r="BF234" i="1"/>
  <c r="BG234" i="1" s="1"/>
  <c r="BF235" i="1"/>
  <c r="BF236" i="1"/>
  <c r="BF237" i="1"/>
  <c r="BF238" i="1"/>
  <c r="BF239" i="1"/>
  <c r="BF240" i="1"/>
  <c r="BF241" i="1"/>
  <c r="BF242" i="1"/>
  <c r="BG242" i="1" s="1"/>
  <c r="BF243" i="1"/>
  <c r="BF244" i="1"/>
  <c r="BF245" i="1"/>
  <c r="BF246" i="1"/>
  <c r="BF247" i="1"/>
  <c r="BF248" i="1"/>
  <c r="BF249" i="1"/>
  <c r="BF250" i="1"/>
  <c r="BG250" i="1" s="1"/>
  <c r="BF251" i="1"/>
  <c r="BF252" i="1"/>
  <c r="BF253" i="1"/>
  <c r="BF254" i="1"/>
  <c r="BF255" i="1"/>
  <c r="BF256" i="1"/>
  <c r="BF257" i="1"/>
  <c r="BF258" i="1"/>
  <c r="BG258" i="1" s="1"/>
  <c r="BF259" i="1"/>
  <c r="BF260" i="1"/>
  <c r="BF261" i="1"/>
  <c r="BF262" i="1"/>
  <c r="BF263" i="1"/>
  <c r="BF264" i="1"/>
  <c r="BF265" i="1"/>
  <c r="BF266" i="1"/>
  <c r="BF267" i="1"/>
  <c r="BF268" i="1"/>
  <c r="BF269" i="1"/>
  <c r="BF270" i="1"/>
  <c r="BF271" i="1"/>
  <c r="BF272" i="1"/>
  <c r="BF273" i="1"/>
  <c r="BF274" i="1"/>
  <c r="BF275" i="1"/>
  <c r="BF276" i="1"/>
  <c r="BF277" i="1"/>
  <c r="BF278" i="1"/>
  <c r="BF279" i="1"/>
  <c r="BF280" i="1"/>
  <c r="BF281" i="1"/>
  <c r="BF282" i="1"/>
  <c r="BF283" i="1"/>
  <c r="BF284" i="1"/>
  <c r="BF285" i="1"/>
  <c r="BF286" i="1"/>
  <c r="BF287" i="1"/>
  <c r="BF288" i="1"/>
  <c r="BF289" i="1"/>
  <c r="BF290" i="1"/>
  <c r="BG290" i="1" s="1"/>
  <c r="BF291" i="1"/>
  <c r="BF292" i="1"/>
  <c r="BF293" i="1"/>
  <c r="BF294" i="1"/>
  <c r="BF295" i="1"/>
  <c r="BF296" i="1"/>
  <c r="BF297" i="1"/>
  <c r="BF298" i="1"/>
  <c r="BG298" i="1" s="1"/>
  <c r="BF299" i="1"/>
  <c r="BF300" i="1"/>
  <c r="BF301" i="1"/>
  <c r="BF302" i="1"/>
  <c r="BF303" i="1"/>
  <c r="BF304" i="1"/>
  <c r="BF305" i="1"/>
  <c r="BF306" i="1"/>
  <c r="BG306" i="1" s="1"/>
  <c r="BF307" i="1"/>
  <c r="BF308" i="1"/>
  <c r="BF309" i="1"/>
  <c r="BF310" i="1"/>
  <c r="BF311" i="1"/>
  <c r="BF312" i="1"/>
  <c r="BF313" i="1"/>
  <c r="BF314" i="1"/>
  <c r="BG314" i="1" s="1"/>
  <c r="BF315" i="1"/>
  <c r="BF316" i="1"/>
  <c r="BF317" i="1"/>
  <c r="BF318" i="1"/>
  <c r="BF319" i="1"/>
  <c r="BF320" i="1"/>
  <c r="BF321" i="1"/>
  <c r="BF322" i="1"/>
  <c r="BF323" i="1"/>
  <c r="BF324" i="1"/>
  <c r="BF325" i="1"/>
  <c r="BF326" i="1"/>
  <c r="BF327" i="1"/>
  <c r="BF328" i="1"/>
  <c r="BF329" i="1"/>
  <c r="BF330" i="1"/>
  <c r="BF331" i="1"/>
  <c r="BF332" i="1"/>
  <c r="BF333" i="1"/>
  <c r="BF334" i="1"/>
  <c r="BF335" i="1"/>
  <c r="BF336" i="1"/>
  <c r="BF337" i="1"/>
  <c r="BF338" i="1"/>
  <c r="BF339" i="1"/>
  <c r="BF340" i="1"/>
  <c r="BF341" i="1"/>
  <c r="BF342" i="1"/>
  <c r="BF343" i="1"/>
  <c r="BF344" i="1"/>
  <c r="BF345" i="1"/>
  <c r="BF346" i="1"/>
  <c r="BF347" i="1"/>
  <c r="BF348" i="1"/>
  <c r="BF349" i="1"/>
  <c r="BF350" i="1"/>
  <c r="BF351" i="1"/>
  <c r="BF352" i="1"/>
  <c r="BF353" i="1"/>
  <c r="BF354" i="1"/>
  <c r="BF355" i="1"/>
  <c r="BF356" i="1"/>
  <c r="BF357" i="1"/>
  <c r="BF358" i="1"/>
  <c r="BF359" i="1"/>
  <c r="BF360" i="1"/>
  <c r="BF361" i="1"/>
  <c r="BF362" i="1"/>
  <c r="BF2" i="1"/>
  <c r="U13" i="1"/>
  <c r="I3" i="1"/>
  <c r="F189" i="1" l="1"/>
  <c r="F190" i="1"/>
  <c r="F192" i="1"/>
  <c r="F194" i="1"/>
  <c r="F188" i="1"/>
  <c r="F186" i="1"/>
  <c r="F193" i="1"/>
  <c r="F185" i="1"/>
  <c r="F191" i="1"/>
  <c r="F187" i="1"/>
  <c r="G186" i="1"/>
  <c r="G191" i="1"/>
  <c r="G190" i="1"/>
  <c r="G192" i="1"/>
  <c r="G189" i="1"/>
  <c r="G194" i="1"/>
  <c r="G188" i="1"/>
  <c r="G185" i="1"/>
  <c r="G187" i="1"/>
  <c r="G193" i="1"/>
  <c r="BH3" i="1"/>
  <c r="BH157" i="1"/>
  <c r="BI157" i="1" s="1"/>
  <c r="BH156" i="1"/>
  <c r="BI156" i="1" s="1"/>
  <c r="BH362" i="1"/>
  <c r="BH354" i="1"/>
  <c r="BH346" i="1"/>
  <c r="BH338" i="1"/>
  <c r="BH330" i="1"/>
  <c r="BH322" i="1"/>
  <c r="BH314" i="1"/>
  <c r="BH306" i="1"/>
  <c r="BH298" i="1"/>
  <c r="BH290" i="1"/>
  <c r="BH282" i="1"/>
  <c r="BH274" i="1"/>
  <c r="BH266" i="1"/>
  <c r="BH258" i="1"/>
  <c r="BH250" i="1"/>
  <c r="BH242" i="1"/>
  <c r="BH234" i="1"/>
  <c r="BH226" i="1"/>
  <c r="BH218" i="1"/>
  <c r="BH210" i="1"/>
  <c r="BH202" i="1"/>
  <c r="BH194" i="1"/>
  <c r="BH186" i="1"/>
  <c r="BH178" i="1"/>
  <c r="BH170" i="1"/>
  <c r="BH162" i="1"/>
  <c r="BH154" i="1"/>
  <c r="BH146" i="1"/>
  <c r="BH138" i="1"/>
  <c r="BH130" i="1"/>
  <c r="BH122" i="1"/>
  <c r="BH114" i="1"/>
  <c r="BH106" i="1"/>
  <c r="BH98" i="1"/>
  <c r="BH90" i="1"/>
  <c r="BH82" i="1"/>
  <c r="BH74" i="1"/>
  <c r="BH66" i="1"/>
  <c r="BH58" i="1"/>
  <c r="BH50" i="1"/>
  <c r="BH42" i="1"/>
  <c r="BH34" i="1"/>
  <c r="BH26" i="1"/>
  <c r="BH18" i="1"/>
  <c r="BH10" i="1"/>
  <c r="BH361" i="1"/>
  <c r="BH353" i="1"/>
  <c r="BH345" i="1"/>
  <c r="BH337" i="1"/>
  <c r="BH329" i="1"/>
  <c r="BH321" i="1"/>
  <c r="BH313" i="1"/>
  <c r="BH305" i="1"/>
  <c r="BH297" i="1"/>
  <c r="BH289" i="1"/>
  <c r="BH281" i="1"/>
  <c r="BH273" i="1"/>
  <c r="BH265" i="1"/>
  <c r="BH257" i="1"/>
  <c r="BH249" i="1"/>
  <c r="BH241" i="1"/>
  <c r="BH233" i="1"/>
  <c r="BH225" i="1"/>
  <c r="BH217" i="1"/>
  <c r="BH209" i="1"/>
  <c r="BH201" i="1"/>
  <c r="BH193" i="1"/>
  <c r="BH185" i="1"/>
  <c r="BH177" i="1"/>
  <c r="BH169" i="1"/>
  <c r="BH161" i="1"/>
  <c r="BH153" i="1"/>
  <c r="BH145" i="1"/>
  <c r="BH137" i="1"/>
  <c r="BH129" i="1"/>
  <c r="BH121" i="1"/>
  <c r="BH113" i="1"/>
  <c r="BH105" i="1"/>
  <c r="BH97" i="1"/>
  <c r="BH89" i="1"/>
  <c r="BH81" i="1"/>
  <c r="BH73" i="1"/>
  <c r="BH65" i="1"/>
  <c r="BH57" i="1"/>
  <c r="BH49" i="1"/>
  <c r="BH41" i="1"/>
  <c r="BH33" i="1"/>
  <c r="BH25" i="1"/>
  <c r="BH17" i="1"/>
  <c r="BH9" i="1"/>
  <c r="BH360" i="1"/>
  <c r="BH352" i="1"/>
  <c r="BH344" i="1"/>
  <c r="BH336" i="1"/>
  <c r="BH328" i="1"/>
  <c r="BH320" i="1"/>
  <c r="BH312" i="1"/>
  <c r="BH304" i="1"/>
  <c r="BH296" i="1"/>
  <c r="BH288" i="1"/>
  <c r="BH280" i="1"/>
  <c r="BH272" i="1"/>
  <c r="BH264" i="1"/>
  <c r="BH256" i="1"/>
  <c r="BH248" i="1"/>
  <c r="BH240" i="1"/>
  <c r="BH232" i="1"/>
  <c r="BH224" i="1"/>
  <c r="BH216" i="1"/>
  <c r="BH208" i="1"/>
  <c r="BH200" i="1"/>
  <c r="BH192" i="1"/>
  <c r="BH184" i="1"/>
  <c r="BH176" i="1"/>
  <c r="BH168" i="1"/>
  <c r="BH160" i="1"/>
  <c r="BH152" i="1"/>
  <c r="BH144" i="1"/>
  <c r="BH136" i="1"/>
  <c r="BH128" i="1"/>
  <c r="BH120" i="1"/>
  <c r="BH112" i="1"/>
  <c r="BH104" i="1"/>
  <c r="BH96" i="1"/>
  <c r="BH88" i="1"/>
  <c r="BH80" i="1"/>
  <c r="BH72" i="1"/>
  <c r="BH64" i="1"/>
  <c r="BH56" i="1"/>
  <c r="BH48" i="1"/>
  <c r="BH40" i="1"/>
  <c r="BH32" i="1"/>
  <c r="BH24" i="1"/>
  <c r="BH16" i="1"/>
  <c r="BH8" i="1"/>
  <c r="BH359" i="1"/>
  <c r="BH351" i="1"/>
  <c r="BH343" i="1"/>
  <c r="BH335" i="1"/>
  <c r="BH327" i="1"/>
  <c r="BH319" i="1"/>
  <c r="BH311" i="1"/>
  <c r="BH303" i="1"/>
  <c r="BH295" i="1"/>
  <c r="BH287" i="1"/>
  <c r="BH279" i="1"/>
  <c r="BH271" i="1"/>
  <c r="BH263" i="1"/>
  <c r="BH255" i="1"/>
  <c r="BH247" i="1"/>
  <c r="BH239" i="1"/>
  <c r="BH231" i="1"/>
  <c r="BH223" i="1"/>
  <c r="BH215" i="1"/>
  <c r="BH207" i="1"/>
  <c r="BH199" i="1"/>
  <c r="BH191" i="1"/>
  <c r="BH183" i="1"/>
  <c r="BH175" i="1"/>
  <c r="BH167" i="1"/>
  <c r="BH159" i="1"/>
  <c r="BH151" i="1"/>
  <c r="BH143" i="1"/>
  <c r="BH135" i="1"/>
  <c r="BH127" i="1"/>
  <c r="BH119" i="1"/>
  <c r="BH111" i="1"/>
  <c r="BH103" i="1"/>
  <c r="BH95" i="1"/>
  <c r="BH87" i="1"/>
  <c r="BH79" i="1"/>
  <c r="BH71" i="1"/>
  <c r="BH63" i="1"/>
  <c r="BH55" i="1"/>
  <c r="BH47" i="1"/>
  <c r="BH39" i="1"/>
  <c r="BH31" i="1"/>
  <c r="BH23" i="1"/>
  <c r="BH15" i="1"/>
  <c r="BH7" i="1"/>
  <c r="BH358" i="1"/>
  <c r="BH350" i="1"/>
  <c r="BH342" i="1"/>
  <c r="BH334" i="1"/>
  <c r="BH326" i="1"/>
  <c r="BH318" i="1"/>
  <c r="BH310" i="1"/>
  <c r="BH302" i="1"/>
  <c r="BH294" i="1"/>
  <c r="BH286" i="1"/>
  <c r="BH278" i="1"/>
  <c r="BH270" i="1"/>
  <c r="BH262" i="1"/>
  <c r="BH254" i="1"/>
  <c r="BH246" i="1"/>
  <c r="BH238" i="1"/>
  <c r="BH230" i="1"/>
  <c r="BH222" i="1"/>
  <c r="BH214" i="1"/>
  <c r="BH206" i="1"/>
  <c r="BH198" i="1"/>
  <c r="BH190" i="1"/>
  <c r="BH182" i="1"/>
  <c r="BH174" i="1"/>
  <c r="BH166" i="1"/>
  <c r="BH158" i="1"/>
  <c r="BH150" i="1"/>
  <c r="BH142" i="1"/>
  <c r="BH134" i="1"/>
  <c r="BH126" i="1"/>
  <c r="BH118" i="1"/>
  <c r="BH110" i="1"/>
  <c r="BH102" i="1"/>
  <c r="BH94" i="1"/>
  <c r="BH86" i="1"/>
  <c r="BH78" i="1"/>
  <c r="BH70" i="1"/>
  <c r="BH62" i="1"/>
  <c r="BH54" i="1"/>
  <c r="BH46" i="1"/>
  <c r="BH38" i="1"/>
  <c r="BH30" i="1"/>
  <c r="BH22" i="1"/>
  <c r="BH14" i="1"/>
  <c r="BH6" i="1"/>
  <c r="BH357" i="1"/>
  <c r="BH349" i="1"/>
  <c r="BH341" i="1"/>
  <c r="BH333" i="1"/>
  <c r="BH325" i="1"/>
  <c r="BH317" i="1"/>
  <c r="BH309" i="1"/>
  <c r="BH301" i="1"/>
  <c r="BH293" i="1"/>
  <c r="BH285" i="1"/>
  <c r="BH277" i="1"/>
  <c r="BH269" i="1"/>
  <c r="BH261" i="1"/>
  <c r="BH253" i="1"/>
  <c r="BH245" i="1"/>
  <c r="BH237" i="1"/>
  <c r="BH229" i="1"/>
  <c r="BH221" i="1"/>
  <c r="BH213" i="1"/>
  <c r="BH205" i="1"/>
  <c r="BH197" i="1"/>
  <c r="BH189" i="1"/>
  <c r="BH181" i="1"/>
  <c r="BH173" i="1"/>
  <c r="BH165" i="1"/>
  <c r="BH149" i="1"/>
  <c r="BH141" i="1"/>
  <c r="BH133" i="1"/>
  <c r="BH125" i="1"/>
  <c r="BH117" i="1"/>
  <c r="BH109" i="1"/>
  <c r="BH101" i="1"/>
  <c r="BH93" i="1"/>
  <c r="BH85" i="1"/>
  <c r="BH77" i="1"/>
  <c r="BH69" i="1"/>
  <c r="BH61" i="1"/>
  <c r="BH53" i="1"/>
  <c r="BH45" i="1"/>
  <c r="BH37" i="1"/>
  <c r="BH29" i="1"/>
  <c r="BH21" i="1"/>
  <c r="BH13" i="1"/>
  <c r="BH5" i="1"/>
  <c r="BH356" i="1"/>
  <c r="BH348" i="1"/>
  <c r="BH340" i="1"/>
  <c r="BH332" i="1"/>
  <c r="BH324" i="1"/>
  <c r="BH316" i="1"/>
  <c r="BH308" i="1"/>
  <c r="BH300" i="1"/>
  <c r="BH292" i="1"/>
  <c r="BH284" i="1"/>
  <c r="BH276" i="1"/>
  <c r="BH268" i="1"/>
  <c r="BH260" i="1"/>
  <c r="BH252" i="1"/>
  <c r="BH244" i="1"/>
  <c r="BH236" i="1"/>
  <c r="BH228" i="1"/>
  <c r="BH220" i="1"/>
  <c r="BH212" i="1"/>
  <c r="BH204" i="1"/>
  <c r="BH196" i="1"/>
  <c r="BH188" i="1"/>
  <c r="BH180" i="1"/>
  <c r="BH172" i="1"/>
  <c r="BH164" i="1"/>
  <c r="BH148" i="1"/>
  <c r="BH140" i="1"/>
  <c r="BH132" i="1"/>
  <c r="BH124" i="1"/>
  <c r="BH116" i="1"/>
  <c r="BH108" i="1"/>
  <c r="BH100" i="1"/>
  <c r="BH92" i="1"/>
  <c r="BH84" i="1"/>
  <c r="BH76" i="1"/>
  <c r="BH68" i="1"/>
  <c r="BH60" i="1"/>
  <c r="BH52" i="1"/>
  <c r="BH44" i="1"/>
  <c r="BH36" i="1"/>
  <c r="BH28" i="1"/>
  <c r="BH20" i="1"/>
  <c r="BH12" i="1"/>
  <c r="BH4" i="1"/>
  <c r="BH2" i="1"/>
  <c r="BH355" i="1"/>
  <c r="BH347" i="1"/>
  <c r="BH339" i="1"/>
  <c r="BH331" i="1"/>
  <c r="BH323" i="1"/>
  <c r="BH315" i="1"/>
  <c r="BH307" i="1"/>
  <c r="BH299" i="1"/>
  <c r="BH291" i="1"/>
  <c r="BH283" i="1"/>
  <c r="BH275" i="1"/>
  <c r="BH267" i="1"/>
  <c r="BH259" i="1"/>
  <c r="BH251" i="1"/>
  <c r="BH243" i="1"/>
  <c r="BH235" i="1"/>
  <c r="BH227" i="1"/>
  <c r="BH219" i="1"/>
  <c r="BH211" i="1"/>
  <c r="BH203" i="1"/>
  <c r="BH195" i="1"/>
  <c r="BH187" i="1"/>
  <c r="BH179" i="1"/>
  <c r="BH171" i="1"/>
  <c r="BH163" i="1"/>
  <c r="BH155" i="1"/>
  <c r="BH147" i="1"/>
  <c r="BH139" i="1"/>
  <c r="BH131" i="1"/>
  <c r="BH123" i="1"/>
  <c r="BH115" i="1"/>
  <c r="BH107" i="1"/>
  <c r="BH99" i="1"/>
  <c r="BH91" i="1"/>
  <c r="BH83" i="1"/>
  <c r="BH75" i="1"/>
  <c r="BH67" i="1"/>
  <c r="BH59" i="1"/>
  <c r="BH51" i="1"/>
  <c r="BH43" i="1"/>
  <c r="BH35" i="1"/>
  <c r="BH27" i="1"/>
  <c r="BH19" i="1"/>
  <c r="BH11" i="1"/>
  <c r="AD46" i="1"/>
  <c r="BG274" i="1"/>
  <c r="BG210" i="1"/>
  <c r="BG146" i="1"/>
  <c r="BG82" i="1"/>
  <c r="BG18" i="1"/>
  <c r="BG263" i="1"/>
  <c r="BG199" i="1"/>
  <c r="BG135" i="1"/>
  <c r="BG87" i="1"/>
  <c r="BG7" i="1"/>
  <c r="BG320" i="1"/>
  <c r="BG312" i="1"/>
  <c r="BG304" i="1"/>
  <c r="BG296" i="1"/>
  <c r="BG288" i="1"/>
  <c r="BG280" i="1"/>
  <c r="BG272" i="1"/>
  <c r="BG264" i="1"/>
  <c r="BG256" i="1"/>
  <c r="BG248" i="1"/>
  <c r="BG240" i="1"/>
  <c r="BG232" i="1"/>
  <c r="BG224" i="1"/>
  <c r="BG216" i="1"/>
  <c r="BG208" i="1"/>
  <c r="BG200" i="1"/>
  <c r="BG192" i="1"/>
  <c r="BG184" i="1"/>
  <c r="BG176" i="1"/>
  <c r="BG168" i="1"/>
  <c r="BG160" i="1"/>
  <c r="BG152" i="1"/>
  <c r="BG144" i="1"/>
  <c r="BG136" i="1"/>
  <c r="BG128" i="1"/>
  <c r="BG120" i="1"/>
  <c r="BG112" i="1"/>
  <c r="BG104" i="1"/>
  <c r="BG96" i="1"/>
  <c r="BG88" i="1"/>
  <c r="BG80" i="1"/>
  <c r="BG72" i="1"/>
  <c r="BG64" i="1"/>
  <c r="BG56" i="1"/>
  <c r="BG48" i="1"/>
  <c r="BG40" i="1"/>
  <c r="BG32" i="1"/>
  <c r="BG24" i="1"/>
  <c r="BG16" i="1"/>
  <c r="BG8" i="1"/>
  <c r="BG362" i="1"/>
  <c r="BG354" i="1"/>
  <c r="BG346" i="1"/>
  <c r="BG338" i="1"/>
  <c r="BG330" i="1"/>
  <c r="BG322" i="1"/>
  <c r="BG282" i="1"/>
  <c r="BG218" i="1"/>
  <c r="BG154" i="1"/>
  <c r="BG90" i="1"/>
  <c r="BG26" i="1"/>
  <c r="BG239" i="1"/>
  <c r="BG175" i="1"/>
  <c r="BG111" i="1"/>
  <c r="BG71" i="1"/>
  <c r="BG15" i="1"/>
  <c r="BG361" i="1"/>
  <c r="BG353" i="1"/>
  <c r="BG345" i="1"/>
  <c r="BG337" i="1"/>
  <c r="BG329" i="1"/>
  <c r="BG319" i="1"/>
  <c r="BG295" i="1"/>
  <c r="BG231" i="1"/>
  <c r="BG159" i="1"/>
  <c r="BG55" i="1"/>
  <c r="BG318" i="1"/>
  <c r="BG310" i="1"/>
  <c r="BG302" i="1"/>
  <c r="BG294" i="1"/>
  <c r="BG286" i="1"/>
  <c r="BG278" i="1"/>
  <c r="BG270" i="1"/>
  <c r="BG262" i="1"/>
  <c r="BG254" i="1"/>
  <c r="BG246" i="1"/>
  <c r="BG238" i="1"/>
  <c r="BG230" i="1"/>
  <c r="BG222" i="1"/>
  <c r="BG214" i="1"/>
  <c r="BG206" i="1"/>
  <c r="BG198" i="1"/>
  <c r="BG190" i="1"/>
  <c r="BG182" i="1"/>
  <c r="BG174" i="1"/>
  <c r="BG166" i="1"/>
  <c r="BG158" i="1"/>
  <c r="BG150" i="1"/>
  <c r="BG142" i="1"/>
  <c r="BG134" i="1"/>
  <c r="BG126" i="1"/>
  <c r="BG118" i="1"/>
  <c r="BG110" i="1"/>
  <c r="BG102" i="1"/>
  <c r="BG94" i="1"/>
  <c r="BG86" i="1"/>
  <c r="BG78" i="1"/>
  <c r="BG70" i="1"/>
  <c r="BG62" i="1"/>
  <c r="BG54" i="1"/>
  <c r="BG46" i="1"/>
  <c r="BG38" i="1"/>
  <c r="BG30" i="1"/>
  <c r="BG22" i="1"/>
  <c r="BG14" i="1"/>
  <c r="BG6" i="1"/>
  <c r="BG360" i="1"/>
  <c r="BG352" i="1"/>
  <c r="BG344" i="1"/>
  <c r="BG336" i="1"/>
  <c r="BG328" i="1"/>
  <c r="BG266" i="1"/>
  <c r="BG202" i="1"/>
  <c r="BG138" i="1"/>
  <c r="BG74" i="1"/>
  <c r="BG10" i="1"/>
  <c r="BG271" i="1"/>
  <c r="BG207" i="1"/>
  <c r="BG143" i="1"/>
  <c r="BG95" i="1"/>
  <c r="BG23" i="1"/>
  <c r="BG317" i="1"/>
  <c r="BG309" i="1"/>
  <c r="BG301" i="1"/>
  <c r="BG293" i="1"/>
  <c r="BG285" i="1"/>
  <c r="BG277" i="1"/>
  <c r="BG269" i="1"/>
  <c r="BG261" i="1"/>
  <c r="BG253" i="1"/>
  <c r="BG245" i="1"/>
  <c r="BG237" i="1"/>
  <c r="BG229" i="1"/>
  <c r="BG221" i="1"/>
  <c r="BG213" i="1"/>
  <c r="BG205" i="1"/>
  <c r="BG197" i="1"/>
  <c r="BG189" i="1"/>
  <c r="BG181" i="1"/>
  <c r="BG173" i="1"/>
  <c r="BG165" i="1"/>
  <c r="BG149" i="1"/>
  <c r="BG141" i="1"/>
  <c r="BG133" i="1"/>
  <c r="BG125" i="1"/>
  <c r="BG117" i="1"/>
  <c r="BG109" i="1"/>
  <c r="BG101" i="1"/>
  <c r="BG93" i="1"/>
  <c r="BG85" i="1"/>
  <c r="BG77" i="1"/>
  <c r="BG69" i="1"/>
  <c r="BG61" i="1"/>
  <c r="BG53" i="1"/>
  <c r="BG45" i="1"/>
  <c r="BG37" i="1"/>
  <c r="BG29" i="1"/>
  <c r="BG21" i="1"/>
  <c r="BG13" i="1"/>
  <c r="BG5" i="1"/>
  <c r="BG359" i="1"/>
  <c r="BG351" i="1"/>
  <c r="BG343" i="1"/>
  <c r="BG335" i="1"/>
  <c r="BG327" i="1"/>
  <c r="BG311" i="1"/>
  <c r="BG279" i="1"/>
  <c r="BG215" i="1"/>
  <c r="BG167" i="1"/>
  <c r="BG103" i="1"/>
  <c r="BG31" i="1"/>
  <c r="BG316" i="1"/>
  <c r="BG308" i="1"/>
  <c r="BG300" i="1"/>
  <c r="BG292" i="1"/>
  <c r="BG284" i="1"/>
  <c r="BG276" i="1"/>
  <c r="BG268" i="1"/>
  <c r="BG260" i="1"/>
  <c r="BG252" i="1"/>
  <c r="BG244" i="1"/>
  <c r="BG236" i="1"/>
  <c r="BG228" i="1"/>
  <c r="BG220" i="1"/>
  <c r="BG212" i="1"/>
  <c r="BG204" i="1"/>
  <c r="BG196" i="1"/>
  <c r="BG188" i="1"/>
  <c r="BG180" i="1"/>
  <c r="BG172" i="1"/>
  <c r="BG164" i="1"/>
  <c r="BG148" i="1"/>
  <c r="BG140" i="1"/>
  <c r="BG132" i="1"/>
  <c r="BG124" i="1"/>
  <c r="BG116" i="1"/>
  <c r="BG108" i="1"/>
  <c r="BG100" i="1"/>
  <c r="BG92" i="1"/>
  <c r="BG84" i="1"/>
  <c r="BG76" i="1"/>
  <c r="BG68" i="1"/>
  <c r="BG60" i="1"/>
  <c r="BG52" i="1"/>
  <c r="BG44" i="1"/>
  <c r="BG36" i="1"/>
  <c r="BG28" i="1"/>
  <c r="BG20" i="1"/>
  <c r="BG12" i="1"/>
  <c r="BG4" i="1"/>
  <c r="BG358" i="1"/>
  <c r="BG350" i="1"/>
  <c r="BG342" i="1"/>
  <c r="BG334" i="1"/>
  <c r="BG326" i="1"/>
  <c r="BG287" i="1"/>
  <c r="BG223" i="1"/>
  <c r="BG151" i="1"/>
  <c r="BG47" i="1"/>
  <c r="BG315" i="1"/>
  <c r="BG307" i="1"/>
  <c r="BG299" i="1"/>
  <c r="BG291" i="1"/>
  <c r="BG283" i="1"/>
  <c r="BG275" i="1"/>
  <c r="BG267" i="1"/>
  <c r="BG259" i="1"/>
  <c r="BG251" i="1"/>
  <c r="BG243" i="1"/>
  <c r="BG235" i="1"/>
  <c r="BG227" i="1"/>
  <c r="BG219" i="1"/>
  <c r="BG211" i="1"/>
  <c r="BG203" i="1"/>
  <c r="BG195" i="1"/>
  <c r="BG187" i="1"/>
  <c r="BG179" i="1"/>
  <c r="BG171" i="1"/>
  <c r="BG163" i="1"/>
  <c r="BG155" i="1"/>
  <c r="BG147" i="1"/>
  <c r="BG139" i="1"/>
  <c r="BG131" i="1"/>
  <c r="BG123" i="1"/>
  <c r="BG115" i="1"/>
  <c r="BG107" i="1"/>
  <c r="BG99" i="1"/>
  <c r="BG91" i="1"/>
  <c r="BG83" i="1"/>
  <c r="BG75" i="1"/>
  <c r="BG67" i="1"/>
  <c r="BG59" i="1"/>
  <c r="BG51" i="1"/>
  <c r="BG43" i="1"/>
  <c r="BG35" i="1"/>
  <c r="BG27" i="1"/>
  <c r="BG19" i="1"/>
  <c r="BG11" i="1"/>
  <c r="BG3" i="1"/>
  <c r="BG357" i="1"/>
  <c r="BG349" i="1"/>
  <c r="BG341" i="1"/>
  <c r="BG333" i="1"/>
  <c r="BG325" i="1"/>
  <c r="BG303" i="1"/>
  <c r="BG255" i="1"/>
  <c r="BG183" i="1"/>
  <c r="BG119" i="1"/>
  <c r="BG79" i="1"/>
  <c r="BG39" i="1"/>
  <c r="BG2" i="1"/>
  <c r="BG356" i="1"/>
  <c r="BG348" i="1"/>
  <c r="BG340" i="1"/>
  <c r="BG332" i="1"/>
  <c r="BG324" i="1"/>
  <c r="BG247" i="1"/>
  <c r="BG191" i="1"/>
  <c r="BG127" i="1"/>
  <c r="BG63" i="1"/>
  <c r="BG321" i="1"/>
  <c r="BG313" i="1"/>
  <c r="BG305" i="1"/>
  <c r="BG297" i="1"/>
  <c r="BG289" i="1"/>
  <c r="BG281" i="1"/>
  <c r="BG273" i="1"/>
  <c r="BG265" i="1"/>
  <c r="BG257" i="1"/>
  <c r="BG249" i="1"/>
  <c r="BG241" i="1"/>
  <c r="BG233" i="1"/>
  <c r="BG225" i="1"/>
  <c r="BG217" i="1"/>
  <c r="BG209" i="1"/>
  <c r="BG201" i="1"/>
  <c r="BG193" i="1"/>
  <c r="BG185" i="1"/>
  <c r="BG177" i="1"/>
  <c r="BG169" i="1"/>
  <c r="BG161" i="1"/>
  <c r="BG153" i="1"/>
  <c r="BG145" i="1"/>
  <c r="BG137" i="1"/>
  <c r="BG129" i="1"/>
  <c r="BG121" i="1"/>
  <c r="BG113" i="1"/>
  <c r="BG105" i="1"/>
  <c r="BG97" i="1"/>
  <c r="BG89" i="1"/>
  <c r="BG81" i="1"/>
  <c r="BG73" i="1"/>
  <c r="BG65" i="1"/>
  <c r="BG57" i="1"/>
  <c r="BG49" i="1"/>
  <c r="BG41" i="1"/>
  <c r="BG33" i="1"/>
  <c r="BG25" i="1"/>
  <c r="BG17" i="1"/>
  <c r="BG9" i="1"/>
  <c r="BG355" i="1"/>
  <c r="BG347" i="1"/>
  <c r="BG339" i="1"/>
  <c r="BG331" i="1"/>
  <c r="BG323" i="1"/>
  <c r="BG98" i="1"/>
  <c r="AD45" i="1"/>
  <c r="I185" i="1" l="1"/>
  <c r="H185" i="1"/>
  <c r="I188" i="1"/>
  <c r="H188" i="1"/>
  <c r="I194" i="1"/>
  <c r="H194" i="1"/>
  <c r="H189" i="1"/>
  <c r="I189" i="1"/>
  <c r="I192" i="1"/>
  <c r="H192" i="1"/>
  <c r="H190" i="1"/>
  <c r="I190" i="1"/>
  <c r="I193" i="1"/>
  <c r="H193" i="1"/>
  <c r="H191" i="1"/>
  <c r="I191" i="1"/>
  <c r="I187" i="1"/>
  <c r="H187" i="1"/>
  <c r="H186" i="1"/>
  <c r="I186" i="1"/>
  <c r="BW15" i="1"/>
  <c r="D112" i="1" l="1"/>
  <c r="D110" i="1"/>
  <c r="D105" i="1"/>
  <c r="D113" i="1"/>
  <c r="A90" i="1"/>
  <c r="D111" i="1"/>
  <c r="D106" i="1"/>
  <c r="D109" i="1"/>
  <c r="D107" i="1"/>
  <c r="D104" i="1"/>
  <c r="A97" i="1"/>
  <c r="A98" i="1"/>
  <c r="D108" i="1"/>
  <c r="E105" i="1"/>
  <c r="E113" i="1"/>
  <c r="B90" i="1"/>
  <c r="B98" i="1"/>
  <c r="E106" i="1"/>
  <c r="B91" i="1"/>
  <c r="E107" i="1"/>
  <c r="E104" i="1"/>
  <c r="E108" i="1"/>
  <c r="E109" i="1"/>
  <c r="E112" i="1"/>
  <c r="E110" i="1"/>
  <c r="E111" i="1"/>
  <c r="B130" i="1"/>
  <c r="C125" i="1"/>
  <c r="B104" i="1"/>
  <c r="B105" i="1"/>
  <c r="B106" i="1"/>
  <c r="B107" i="1"/>
  <c r="B108" i="1"/>
  <c r="B109" i="1"/>
  <c r="B110" i="1"/>
  <c r="B111" i="1"/>
  <c r="B112" i="1"/>
  <c r="B113" i="1"/>
  <c r="A105" i="1"/>
  <c r="A106" i="1"/>
  <c r="A107" i="1"/>
  <c r="A108" i="1"/>
  <c r="A109" i="1"/>
  <c r="A110" i="1"/>
  <c r="A111" i="1"/>
  <c r="A112" i="1"/>
  <c r="A113" i="1"/>
  <c r="A104" i="1"/>
  <c r="AE46" i="1" l="1"/>
  <c r="AE41" i="1" l="1"/>
  <c r="AE38" i="1"/>
  <c r="AD38" i="1"/>
  <c r="AD39" i="1" s="1"/>
  <c r="BI3" i="1" l="1"/>
  <c r="AE40" i="1"/>
  <c r="AD40" i="1"/>
  <c r="AD41" i="1" s="1"/>
  <c r="BI328" i="1"/>
  <c r="BI264" i="1"/>
  <c r="BI200" i="1"/>
  <c r="BI136" i="1"/>
  <c r="BI72" i="1"/>
  <c r="BI360" i="1"/>
  <c r="BI320" i="1"/>
  <c r="BI256" i="1"/>
  <c r="BI192" i="1"/>
  <c r="BI128" i="1"/>
  <c r="BI64" i="1"/>
  <c r="BI359" i="1"/>
  <c r="BI312" i="1"/>
  <c r="BI248" i="1"/>
  <c r="BI184" i="1"/>
  <c r="BI120" i="1"/>
  <c r="BI56" i="1"/>
  <c r="BI352" i="1"/>
  <c r="BI304" i="1"/>
  <c r="BI240" i="1"/>
  <c r="BI176" i="1"/>
  <c r="BI112" i="1"/>
  <c r="BI48" i="1"/>
  <c r="BI351" i="1"/>
  <c r="BI296" i="1"/>
  <c r="BI232" i="1"/>
  <c r="BI168" i="1"/>
  <c r="BI104" i="1"/>
  <c r="BI40" i="1"/>
  <c r="BI344" i="1"/>
  <c r="BI288" i="1"/>
  <c r="BI224" i="1"/>
  <c r="BI160" i="1"/>
  <c r="BI96" i="1"/>
  <c r="BI32" i="1"/>
  <c r="BI336" i="1"/>
  <c r="BI280" i="1"/>
  <c r="BI216" i="1"/>
  <c r="BI152" i="1"/>
  <c r="BI88" i="1"/>
  <c r="BI24" i="1"/>
  <c r="BI335" i="1"/>
  <c r="BI272" i="1"/>
  <c r="BI208" i="1"/>
  <c r="BI144" i="1"/>
  <c r="BI80" i="1"/>
  <c r="BI16" i="1"/>
  <c r="BI287" i="1"/>
  <c r="BI239" i="1"/>
  <c r="BI207" i="1"/>
  <c r="BI167" i="1"/>
  <c r="BI151" i="1"/>
  <c r="BI119" i="1"/>
  <c r="BI95" i="1"/>
  <c r="BI63" i="1"/>
  <c r="BI47" i="1"/>
  <c r="BI362" i="1"/>
  <c r="BI354" i="1"/>
  <c r="BI346" i="1"/>
  <c r="BI338" i="1"/>
  <c r="BI330" i="1"/>
  <c r="BI322" i="1"/>
  <c r="BI314" i="1"/>
  <c r="BI306" i="1"/>
  <c r="BI298" i="1"/>
  <c r="BI290" i="1"/>
  <c r="BI282" i="1"/>
  <c r="BI274" i="1"/>
  <c r="BI266" i="1"/>
  <c r="BI258" i="1"/>
  <c r="BI250" i="1"/>
  <c r="BI242" i="1"/>
  <c r="BI234" i="1"/>
  <c r="BI226" i="1"/>
  <c r="BI218" i="1"/>
  <c r="BI210" i="1"/>
  <c r="BI202" i="1"/>
  <c r="BI194" i="1"/>
  <c r="BI186" i="1"/>
  <c r="BI178" i="1"/>
  <c r="BI170" i="1"/>
  <c r="BI162" i="1"/>
  <c r="BI154" i="1"/>
  <c r="BI146" i="1"/>
  <c r="BI138" i="1"/>
  <c r="BI130" i="1"/>
  <c r="BI122" i="1"/>
  <c r="BI114" i="1"/>
  <c r="BI106" i="1"/>
  <c r="BI98" i="1"/>
  <c r="BI90" i="1"/>
  <c r="BI82" i="1"/>
  <c r="BI74" i="1"/>
  <c r="BI66" i="1"/>
  <c r="BI58" i="1"/>
  <c r="BI50" i="1"/>
  <c r="BI42" i="1"/>
  <c r="BI34" i="1"/>
  <c r="BI26" i="1"/>
  <c r="BI18" i="1"/>
  <c r="BI10" i="1"/>
  <c r="BI311" i="1"/>
  <c r="BI295" i="1"/>
  <c r="BI247" i="1"/>
  <c r="BI215" i="1"/>
  <c r="BI175" i="1"/>
  <c r="BI143" i="1"/>
  <c r="BI111" i="1"/>
  <c r="BI87" i="1"/>
  <c r="BI55" i="1"/>
  <c r="BI39" i="1"/>
  <c r="BI361" i="1"/>
  <c r="BI353" i="1"/>
  <c r="BI345" i="1"/>
  <c r="BI337" i="1"/>
  <c r="BI329" i="1"/>
  <c r="BI321" i="1"/>
  <c r="BI313" i="1"/>
  <c r="BI305" i="1"/>
  <c r="BI297" i="1"/>
  <c r="BI289" i="1"/>
  <c r="BI281" i="1"/>
  <c r="BI273" i="1"/>
  <c r="BI265" i="1"/>
  <c r="BI257" i="1"/>
  <c r="BI249" i="1"/>
  <c r="BI241" i="1"/>
  <c r="BI233" i="1"/>
  <c r="BI225" i="1"/>
  <c r="BI217" i="1"/>
  <c r="BI209" i="1"/>
  <c r="BI201" i="1"/>
  <c r="BI193" i="1"/>
  <c r="BI185" i="1"/>
  <c r="BI177" i="1"/>
  <c r="BI169" i="1"/>
  <c r="BI161" i="1"/>
  <c r="BI153" i="1"/>
  <c r="BI145" i="1"/>
  <c r="BI137" i="1"/>
  <c r="BI129" i="1"/>
  <c r="BI121" i="1"/>
  <c r="BI113" i="1"/>
  <c r="BI105" i="1"/>
  <c r="BI97" i="1"/>
  <c r="BI89" i="1"/>
  <c r="BI81" i="1"/>
  <c r="BI73" i="1"/>
  <c r="BI65" i="1"/>
  <c r="BI57" i="1"/>
  <c r="BI49" i="1"/>
  <c r="BI41" i="1"/>
  <c r="BI33" i="1"/>
  <c r="BI25" i="1"/>
  <c r="BI17" i="1"/>
  <c r="BI9" i="1"/>
  <c r="BI8" i="1"/>
  <c r="BI7" i="1"/>
  <c r="BI327" i="1"/>
  <c r="BI271" i="1"/>
  <c r="BI231" i="1"/>
  <c r="BI183" i="1"/>
  <c r="BI127" i="1"/>
  <c r="BI71" i="1"/>
  <c r="BI23" i="1"/>
  <c r="BI358" i="1"/>
  <c r="BI350" i="1"/>
  <c r="BI342" i="1"/>
  <c r="BI334" i="1"/>
  <c r="BI326" i="1"/>
  <c r="BI318" i="1"/>
  <c r="BI310" i="1"/>
  <c r="BI302" i="1"/>
  <c r="BI294" i="1"/>
  <c r="BI286" i="1"/>
  <c r="BI278" i="1"/>
  <c r="BI270" i="1"/>
  <c r="BI262" i="1"/>
  <c r="BI254" i="1"/>
  <c r="BI246" i="1"/>
  <c r="BI238" i="1"/>
  <c r="BI230" i="1"/>
  <c r="BI222" i="1"/>
  <c r="BI214" i="1"/>
  <c r="BI206" i="1"/>
  <c r="BI198" i="1"/>
  <c r="BI190" i="1"/>
  <c r="BI182" i="1"/>
  <c r="BI174" i="1"/>
  <c r="BI166" i="1"/>
  <c r="BI158" i="1"/>
  <c r="BI150" i="1"/>
  <c r="BI142" i="1"/>
  <c r="BI134" i="1"/>
  <c r="BI126" i="1"/>
  <c r="BI118" i="1"/>
  <c r="BI110" i="1"/>
  <c r="BI102" i="1"/>
  <c r="BI94" i="1"/>
  <c r="BI86" i="1"/>
  <c r="BI78" i="1"/>
  <c r="BI70" i="1"/>
  <c r="BI62" i="1"/>
  <c r="BI54" i="1"/>
  <c r="BI46" i="1"/>
  <c r="BI38" i="1"/>
  <c r="BI30" i="1"/>
  <c r="BI22" i="1"/>
  <c r="BI14" i="1"/>
  <c r="BI6" i="1"/>
  <c r="BI343" i="1"/>
  <c r="BI303" i="1"/>
  <c r="BI279" i="1"/>
  <c r="BI255" i="1"/>
  <c r="BI199" i="1"/>
  <c r="BI135" i="1"/>
  <c r="BI79" i="1"/>
  <c r="BI31" i="1"/>
  <c r="BI357" i="1"/>
  <c r="BI349" i="1"/>
  <c r="BI341" i="1"/>
  <c r="BI333" i="1"/>
  <c r="BI325" i="1"/>
  <c r="BI317" i="1"/>
  <c r="BI309" i="1"/>
  <c r="BI301" i="1"/>
  <c r="BI293" i="1"/>
  <c r="BI285" i="1"/>
  <c r="BI277" i="1"/>
  <c r="BI269" i="1"/>
  <c r="BI261" i="1"/>
  <c r="BI253" i="1"/>
  <c r="BI245" i="1"/>
  <c r="BI237" i="1"/>
  <c r="BI229" i="1"/>
  <c r="BI221" i="1"/>
  <c r="BI213" i="1"/>
  <c r="BI205" i="1"/>
  <c r="BI197" i="1"/>
  <c r="BI189" i="1"/>
  <c r="BI181" i="1"/>
  <c r="BI173" i="1"/>
  <c r="BI165" i="1"/>
  <c r="BI149" i="1"/>
  <c r="BI141" i="1"/>
  <c r="BI133" i="1"/>
  <c r="BI125" i="1"/>
  <c r="BI117" i="1"/>
  <c r="BI109" i="1"/>
  <c r="BI101" i="1"/>
  <c r="BI93" i="1"/>
  <c r="BI85" i="1"/>
  <c r="BI77" i="1"/>
  <c r="BI69" i="1"/>
  <c r="BI61" i="1"/>
  <c r="BI53" i="1"/>
  <c r="BI45" i="1"/>
  <c r="BI37" i="1"/>
  <c r="BI29" i="1"/>
  <c r="BI21" i="1"/>
  <c r="BI13" i="1"/>
  <c r="BI5" i="1"/>
  <c r="BI319" i="1"/>
  <c r="BI263" i="1"/>
  <c r="BI223" i="1"/>
  <c r="BI191" i="1"/>
  <c r="BI159" i="1"/>
  <c r="BI103" i="1"/>
  <c r="BI15" i="1"/>
  <c r="BI356" i="1"/>
  <c r="BI348" i="1"/>
  <c r="BI340" i="1"/>
  <c r="BI332" i="1"/>
  <c r="BI324" i="1"/>
  <c r="BI316" i="1"/>
  <c r="BI308" i="1"/>
  <c r="BI300" i="1"/>
  <c r="BI292" i="1"/>
  <c r="BI284" i="1"/>
  <c r="BI276" i="1"/>
  <c r="BI268" i="1"/>
  <c r="BI260" i="1"/>
  <c r="BI252" i="1"/>
  <c r="BI244" i="1"/>
  <c r="BI236" i="1"/>
  <c r="BI228" i="1"/>
  <c r="BI220" i="1"/>
  <c r="BI212" i="1"/>
  <c r="BI204" i="1"/>
  <c r="BI196" i="1"/>
  <c r="BI188" i="1"/>
  <c r="BI180" i="1"/>
  <c r="BI172" i="1"/>
  <c r="BI164" i="1"/>
  <c r="BI148" i="1"/>
  <c r="BI140" i="1"/>
  <c r="BI132" i="1"/>
  <c r="BI124" i="1"/>
  <c r="BI116" i="1"/>
  <c r="BI108" i="1"/>
  <c r="BI100" i="1"/>
  <c r="BI92" i="1"/>
  <c r="BI84" i="1"/>
  <c r="BI76" i="1"/>
  <c r="BI68" i="1"/>
  <c r="BI60" i="1"/>
  <c r="BI52" i="1"/>
  <c r="BI44" i="1"/>
  <c r="BI36" i="1"/>
  <c r="BI28" i="1"/>
  <c r="BI20" i="1"/>
  <c r="BI12" i="1"/>
  <c r="BI4" i="1"/>
  <c r="BI2" i="1"/>
  <c r="BI355" i="1"/>
  <c r="BI347" i="1"/>
  <c r="BI339" i="1"/>
  <c r="BI331" i="1"/>
  <c r="BI323" i="1"/>
  <c r="BI315" i="1"/>
  <c r="BI307" i="1"/>
  <c r="BI299" i="1"/>
  <c r="BI291" i="1"/>
  <c r="BI283" i="1"/>
  <c r="BI275" i="1"/>
  <c r="BI267" i="1"/>
  <c r="BI259" i="1"/>
  <c r="BI251" i="1"/>
  <c r="BI243" i="1"/>
  <c r="BI235" i="1"/>
  <c r="BI227" i="1"/>
  <c r="BI219" i="1"/>
  <c r="BI211" i="1"/>
  <c r="BI203" i="1"/>
  <c r="BI195" i="1"/>
  <c r="BI187" i="1"/>
  <c r="BI179" i="1"/>
  <c r="BI171" i="1"/>
  <c r="BI163" i="1"/>
  <c r="BI155" i="1"/>
  <c r="BI147" i="1"/>
  <c r="BI139" i="1"/>
  <c r="BI131" i="1"/>
  <c r="BI123" i="1"/>
  <c r="BI115" i="1"/>
  <c r="BI107" i="1"/>
  <c r="BI99" i="1"/>
  <c r="BI91" i="1"/>
  <c r="BI83" i="1"/>
  <c r="BI75" i="1"/>
  <c r="BI67" i="1"/>
  <c r="BI59" i="1"/>
  <c r="BI51" i="1"/>
  <c r="BI43" i="1"/>
  <c r="BI35" i="1"/>
  <c r="BI27" i="1"/>
  <c r="BI19" i="1"/>
  <c r="BI11" i="1"/>
  <c r="AB6" i="1"/>
  <c r="U14" i="1"/>
  <c r="AA6" i="1" s="1"/>
  <c r="U15" i="1" l="1"/>
  <c r="U16" i="1" s="1"/>
  <c r="W16" i="1" l="1"/>
  <c r="V16" i="1"/>
  <c r="W12" i="1"/>
  <c r="W11" i="1"/>
  <c r="W10" i="1"/>
  <c r="E6" i="1" l="1"/>
  <c r="A93" i="1" s="1"/>
  <c r="F27" i="1" l="1" a="1"/>
  <c r="F27" i="1" s="1"/>
  <c r="I26" i="1" l="1"/>
  <c r="C16" i="1" s="1"/>
  <c r="F28" i="1"/>
  <c r="H27" i="1" s="1"/>
  <c r="I27" i="1" s="1"/>
  <c r="C17" i="1"/>
  <c r="C18" i="1"/>
  <c r="C19" i="1"/>
  <c r="C20" i="1"/>
  <c r="C21" i="1"/>
  <c r="C22" i="1"/>
  <c r="C192" i="1" s="1"/>
  <c r="C23" i="1"/>
  <c r="C24" i="1"/>
  <c r="C110" i="1" l="1"/>
  <c r="J110" i="1" s="1"/>
  <c r="L110" i="1" s="1"/>
  <c r="C191" i="1"/>
  <c r="C109" i="1"/>
  <c r="J109" i="1" s="1"/>
  <c r="L109" i="1" s="1"/>
  <c r="C190" i="1"/>
  <c r="C108" i="1"/>
  <c r="J108" i="1" s="1"/>
  <c r="L108" i="1" s="1"/>
  <c r="C189" i="1"/>
  <c r="C107" i="1"/>
  <c r="J107" i="1" s="1"/>
  <c r="L107" i="1" s="1"/>
  <c r="C188" i="1"/>
  <c r="C106" i="1"/>
  <c r="J106" i="1" s="1"/>
  <c r="L106" i="1" s="1"/>
  <c r="C187" i="1"/>
  <c r="C113" i="1"/>
  <c r="J113" i="1" s="1"/>
  <c r="L113" i="1" s="1"/>
  <c r="C194" i="1"/>
  <c r="C112" i="1"/>
  <c r="J112" i="1" s="1"/>
  <c r="L112" i="1" s="1"/>
  <c r="C193" i="1"/>
  <c r="C105" i="1"/>
  <c r="J105" i="1" s="1"/>
  <c r="L105" i="1" s="1"/>
  <c r="C186" i="1"/>
  <c r="C111" i="1"/>
  <c r="J111" i="1" s="1"/>
  <c r="L111" i="1" s="1"/>
  <c r="B82" i="1"/>
  <c r="K110" i="1" l="1"/>
  <c r="K109" i="1"/>
  <c r="K106" i="1"/>
  <c r="K105" i="1"/>
  <c r="K107" i="1"/>
  <c r="K113" i="1"/>
  <c r="K112" i="1"/>
  <c r="K108" i="1"/>
  <c r="K111" i="1"/>
  <c r="E61" i="1"/>
  <c r="E62" i="1"/>
  <c r="E63" i="1"/>
  <c r="E64" i="1"/>
  <c r="E65" i="1"/>
  <c r="E66" i="1"/>
  <c r="E67" i="1"/>
  <c r="E68" i="1"/>
  <c r="E69" i="1"/>
  <c r="E70" i="1"/>
  <c r="E71" i="1"/>
  <c r="B61" i="1"/>
  <c r="C61" i="1"/>
  <c r="D61" i="1"/>
  <c r="B62" i="1"/>
  <c r="D62" i="1"/>
  <c r="B63" i="1"/>
  <c r="D63" i="1"/>
  <c r="B64" i="1"/>
  <c r="D64" i="1"/>
  <c r="B65" i="1"/>
  <c r="D65" i="1"/>
  <c r="B66" i="1"/>
  <c r="B67" i="1"/>
  <c r="D67" i="1"/>
  <c r="B68" i="1"/>
  <c r="D68" i="1"/>
  <c r="B69" i="1"/>
  <c r="D69" i="1"/>
  <c r="B70" i="1"/>
  <c r="D70" i="1"/>
  <c r="B71" i="1"/>
  <c r="D71" i="1"/>
  <c r="A68" i="1"/>
  <c r="A69" i="1"/>
  <c r="A70" i="1"/>
  <c r="A71" i="1"/>
  <c r="A62" i="1"/>
  <c r="A63" i="1"/>
  <c r="A64" i="1"/>
  <c r="A65" i="1"/>
  <c r="A66" i="1"/>
  <c r="A67" i="1"/>
  <c r="A61" i="1"/>
  <c r="B31" i="1"/>
  <c r="F108" i="1" l="1"/>
  <c r="H108" i="1" s="1"/>
  <c r="F105" i="1"/>
  <c r="H105" i="1" s="1"/>
  <c r="F107" i="1"/>
  <c r="H107" i="1" s="1"/>
  <c r="F106" i="1"/>
  <c r="H106" i="1" s="1"/>
  <c r="F113" i="1"/>
  <c r="H113" i="1" s="1"/>
  <c r="F112" i="1"/>
  <c r="H112" i="1" s="1"/>
  <c r="F109" i="1"/>
  <c r="H109" i="1" s="1"/>
  <c r="F111" i="1"/>
  <c r="H111" i="1" s="1"/>
  <c r="F110" i="1"/>
  <c r="H110" i="1" s="1"/>
  <c r="K16" i="1"/>
  <c r="L16" i="1"/>
  <c r="K17" i="1"/>
  <c r="L17" i="1"/>
  <c r="K18" i="1"/>
  <c r="L18" i="1"/>
  <c r="K19" i="1"/>
  <c r="L19" i="1"/>
  <c r="K20" i="1"/>
  <c r="L20" i="1"/>
  <c r="K21" i="1"/>
  <c r="L21" i="1"/>
  <c r="K22" i="1"/>
  <c r="L22" i="1"/>
  <c r="K23" i="1"/>
  <c r="L23" i="1"/>
  <c r="K24" i="1"/>
  <c r="L24" i="1"/>
  <c r="L15" i="1"/>
  <c r="K15" i="1"/>
  <c r="D66" i="1"/>
  <c r="C63" i="1"/>
  <c r="C64" i="1"/>
  <c r="C65" i="1"/>
  <c r="C66" i="1"/>
  <c r="C67" i="1"/>
  <c r="C68" i="1"/>
  <c r="C69" i="1"/>
  <c r="C70" i="1"/>
  <c r="C71" i="1"/>
  <c r="F7" i="1"/>
  <c r="B94" i="1" s="1"/>
  <c r="F5" i="1"/>
  <c r="B92" i="1" s="1"/>
  <c r="E4" i="1"/>
  <c r="A91" i="1" s="1"/>
  <c r="B4" i="1"/>
  <c r="B29" i="1" s="1"/>
  <c r="B3" i="1"/>
  <c r="B144" i="1" s="1"/>
  <c r="B145" i="1" s="1"/>
  <c r="B151" i="1" l="1"/>
  <c r="B147" i="1"/>
  <c r="G112" i="1"/>
  <c r="G113" i="1"/>
  <c r="G106" i="1"/>
  <c r="F8" i="1"/>
  <c r="B95" i="1" s="1"/>
  <c r="G107" i="1"/>
  <c r="G105" i="1"/>
  <c r="G109" i="1"/>
  <c r="D91" i="1"/>
  <c r="C91" i="1"/>
  <c r="E91" i="1"/>
  <c r="G110" i="1"/>
  <c r="G108" i="1"/>
  <c r="G111" i="1"/>
  <c r="E5" i="1"/>
  <c r="A92" i="1" s="1"/>
  <c r="E92" i="1" s="1"/>
  <c r="G4" i="1"/>
  <c r="F6" i="1"/>
  <c r="B93" i="1" s="1"/>
  <c r="E7" i="1"/>
  <c r="A94" i="1" s="1"/>
  <c r="G5" i="1" l="1"/>
  <c r="E8" i="1"/>
  <c r="F9" i="1"/>
  <c r="B96" i="1" s="1"/>
  <c r="E93" i="1"/>
  <c r="C94" i="1"/>
  <c r="D92" i="1"/>
  <c r="C92" i="1"/>
  <c r="G7" i="1"/>
  <c r="G6" i="1"/>
  <c r="A95" i="1" l="1"/>
  <c r="E95" i="1" s="1"/>
  <c r="E94" i="1"/>
  <c r="G8" i="1"/>
  <c r="E9" i="1"/>
  <c r="A96" i="1" s="1"/>
  <c r="D93" i="1"/>
  <c r="C93" i="1"/>
  <c r="F10" i="1"/>
  <c r="B97" i="1" s="1"/>
  <c r="D94" i="1"/>
  <c r="C95" i="1"/>
  <c r="D95" i="1"/>
  <c r="X4" i="1" l="1" a="1"/>
  <c r="X4" i="1" s="1"/>
  <c r="G9" i="1"/>
  <c r="E96" i="1"/>
  <c r="D96" i="1"/>
  <c r="D97" i="1"/>
  <c r="G11" i="1"/>
  <c r="C96" i="1"/>
  <c r="G10" i="1"/>
  <c r="G12" i="1" l="1"/>
  <c r="E97" i="1"/>
  <c r="E98" i="1"/>
  <c r="D98" i="1"/>
  <c r="C98" i="1"/>
  <c r="C97" i="1"/>
  <c r="Y4" i="1"/>
  <c r="X5" i="1"/>
  <c r="C15" i="1"/>
  <c r="C104" i="1" l="1"/>
  <c r="J104" i="1" s="1"/>
  <c r="C185" i="1"/>
  <c r="C99" i="1"/>
  <c r="B100" i="1" s="1"/>
  <c r="Y5" i="1"/>
  <c r="Y6" i="1" s="1"/>
  <c r="X6" i="1"/>
  <c r="C62" i="1"/>
  <c r="C25" i="1"/>
  <c r="D25" i="1" s="1"/>
  <c r="F104" i="1" l="1"/>
  <c r="F114" i="1" s="1"/>
  <c r="J114" i="1"/>
  <c r="J115" i="1" s="1"/>
  <c r="L104" i="1"/>
  <c r="L114" i="1" s="1"/>
  <c r="J117" i="1" s="1"/>
  <c r="D99" i="1"/>
  <c r="B102" i="1" s="1"/>
  <c r="E99" i="1"/>
  <c r="B101" i="1" s="1"/>
  <c r="K104" i="1"/>
  <c r="K114" i="1" s="1"/>
  <c r="J116" i="1" s="1"/>
  <c r="D127" i="1" l="1"/>
  <c r="Z16" i="1"/>
  <c r="B115" i="1"/>
  <c r="G104" i="1"/>
  <c r="G114" i="1" s="1"/>
  <c r="B116" i="1" s="1"/>
  <c r="H104" i="1"/>
  <c r="H114" i="1" s="1"/>
  <c r="B117" i="1" s="1"/>
  <c r="D126" i="1"/>
  <c r="K117" i="1"/>
  <c r="AB16" i="1" s="1"/>
  <c r="D125" i="1"/>
  <c r="K116" i="1"/>
  <c r="AA16" i="1" s="1"/>
  <c r="J119" i="1"/>
  <c r="J120" i="1"/>
  <c r="DY5" i="1" l="1"/>
  <c r="DY8" i="1" s="1"/>
  <c r="AE16" i="1"/>
  <c r="DX5" i="1"/>
  <c r="DX8" i="1" s="1"/>
  <c r="AD16" i="1"/>
  <c r="DW5" i="1"/>
  <c r="DW8" i="1" s="1"/>
  <c r="AC16" i="1"/>
  <c r="B127" i="1"/>
  <c r="Z15" i="1"/>
  <c r="Z13" i="1" s="1"/>
  <c r="F127" i="1"/>
  <c r="F126" i="1"/>
  <c r="C117" i="1"/>
  <c r="AB15" i="1" s="1"/>
  <c r="B125" i="1"/>
  <c r="C116" i="1"/>
  <c r="AA15" i="1" s="1"/>
  <c r="F125" i="1"/>
  <c r="B120" i="1"/>
  <c r="B119" i="1"/>
  <c r="B126" i="1"/>
  <c r="DX4" i="1" l="1"/>
  <c r="DX10" i="1" s="1"/>
  <c r="AD15" i="1"/>
  <c r="DY4" i="1"/>
  <c r="DY10" i="1" s="1"/>
  <c r="AE15" i="1"/>
  <c r="DW4" i="1"/>
  <c r="DW10" i="1" s="1"/>
  <c r="AC15" i="1"/>
  <c r="DW11" i="1"/>
  <c r="EB10" i="1"/>
  <c r="DY11" i="1"/>
  <c r="ED10" i="1"/>
  <c r="DX11" i="1"/>
  <c r="EC10" i="1"/>
  <c r="B131" i="1"/>
  <c r="B132" i="1" s="1"/>
  <c r="BW5" i="1" s="1"/>
  <c r="G71" i="1"/>
  <c r="F66" i="1"/>
  <c r="B41" i="1"/>
  <c r="G65" i="1"/>
  <c r="G64" i="1"/>
  <c r="B38" i="1"/>
  <c r="B43" i="1"/>
  <c r="G69" i="1"/>
  <c r="B42" i="1"/>
  <c r="B39" i="1"/>
  <c r="B37" i="1"/>
  <c r="B44" i="1"/>
  <c r="B40" i="1"/>
  <c r="G63" i="1"/>
  <c r="G70" i="1"/>
  <c r="B45" i="1"/>
  <c r="G66" i="1"/>
  <c r="G62" i="1"/>
  <c r="G68" i="1"/>
  <c r="F69" i="1"/>
  <c r="A40" i="1"/>
  <c r="A39" i="1"/>
  <c r="A42" i="1"/>
  <c r="A43" i="1"/>
  <c r="CE5" i="1" l="1"/>
  <c r="CE7" i="1"/>
  <c r="BX17" i="1"/>
  <c r="BX19" i="1"/>
  <c r="BX21" i="1"/>
  <c r="BX23" i="1"/>
  <c r="BX25" i="1"/>
  <c r="BX27" i="1"/>
  <c r="BX29" i="1"/>
  <c r="BX31" i="1"/>
  <c r="BX33" i="1"/>
  <c r="BX35" i="1"/>
  <c r="BX37" i="1"/>
  <c r="BX39" i="1"/>
  <c r="BX41" i="1"/>
  <c r="BX43" i="1"/>
  <c r="BX45" i="1"/>
  <c r="BX47" i="1"/>
  <c r="BX49" i="1"/>
  <c r="BX51" i="1"/>
  <c r="BX53" i="1"/>
  <c r="BX55" i="1"/>
  <c r="BX57" i="1"/>
  <c r="BX59" i="1"/>
  <c r="BX61" i="1"/>
  <c r="BX63" i="1"/>
  <c r="BX65" i="1"/>
  <c r="BX67" i="1"/>
  <c r="BX69" i="1"/>
  <c r="BX71" i="1"/>
  <c r="BX73" i="1"/>
  <c r="BX75" i="1"/>
  <c r="BX77" i="1"/>
  <c r="BX79" i="1"/>
  <c r="BX81" i="1"/>
  <c r="BX83" i="1"/>
  <c r="BX85" i="1"/>
  <c r="BX87" i="1"/>
  <c r="BX89" i="1"/>
  <c r="BX91" i="1"/>
  <c r="BX93" i="1"/>
  <c r="BX95" i="1"/>
  <c r="BX97" i="1"/>
  <c r="BX99" i="1"/>
  <c r="BX102" i="1"/>
  <c r="BX104" i="1"/>
  <c r="BX106" i="1"/>
  <c r="BX108" i="1"/>
  <c r="BX16" i="1"/>
  <c r="BX18" i="1"/>
  <c r="BX20" i="1"/>
  <c r="BX22" i="1"/>
  <c r="BX24" i="1"/>
  <c r="BX26" i="1"/>
  <c r="BX28" i="1"/>
  <c r="BX30" i="1"/>
  <c r="BX32" i="1"/>
  <c r="BX34" i="1"/>
  <c r="BX36" i="1"/>
  <c r="BX38" i="1"/>
  <c r="BX40" i="1"/>
  <c r="BX42" i="1"/>
  <c r="BX44" i="1"/>
  <c r="BX46" i="1"/>
  <c r="BX48" i="1"/>
  <c r="BX50" i="1"/>
  <c r="BX52" i="1"/>
  <c r="BX54" i="1"/>
  <c r="BX56" i="1"/>
  <c r="BX58" i="1"/>
  <c r="BX60" i="1"/>
  <c r="BX62" i="1"/>
  <c r="BX64" i="1"/>
  <c r="BX66" i="1"/>
  <c r="BX68" i="1"/>
  <c r="BX70" i="1"/>
  <c r="BX72" i="1"/>
  <c r="BX74" i="1"/>
  <c r="BX76" i="1"/>
  <c r="BX78" i="1"/>
  <c r="BX80" i="1"/>
  <c r="BX82" i="1"/>
  <c r="BX84" i="1"/>
  <c r="BX86" i="1"/>
  <c r="BX88" i="1"/>
  <c r="BX90" i="1"/>
  <c r="BX92" i="1"/>
  <c r="BX94" i="1"/>
  <c r="BX96" i="1"/>
  <c r="BX98" i="1"/>
  <c r="BX100" i="1"/>
  <c r="BX101" i="1"/>
  <c r="BX103" i="1"/>
  <c r="BX105" i="1"/>
  <c r="BX107" i="1"/>
  <c r="BX109" i="1"/>
  <c r="BX111" i="1"/>
  <c r="BX113" i="1"/>
  <c r="BX115" i="1"/>
  <c r="BX117" i="1"/>
  <c r="BX119" i="1"/>
  <c r="BX121" i="1"/>
  <c r="BX123" i="1"/>
  <c r="BX125" i="1"/>
  <c r="BX127" i="1"/>
  <c r="BX129" i="1"/>
  <c r="BX131" i="1"/>
  <c r="BX133" i="1"/>
  <c r="BX135" i="1"/>
  <c r="BX137" i="1"/>
  <c r="BX139" i="1"/>
  <c r="BX141" i="1"/>
  <c r="BX143" i="1"/>
  <c r="BX145" i="1"/>
  <c r="BX147" i="1"/>
  <c r="BX149" i="1"/>
  <c r="BX151" i="1"/>
  <c r="BX153" i="1"/>
  <c r="BX155" i="1"/>
  <c r="BX157" i="1"/>
  <c r="BX159" i="1"/>
  <c r="BX161" i="1"/>
  <c r="BX163" i="1"/>
  <c r="BX165" i="1"/>
  <c r="BX167" i="1"/>
  <c r="BX169" i="1"/>
  <c r="BX171" i="1"/>
  <c r="BX173" i="1"/>
  <c r="BX175" i="1"/>
  <c r="BX177" i="1"/>
  <c r="BX179" i="1"/>
  <c r="BX181" i="1"/>
  <c r="BX183" i="1"/>
  <c r="BX185" i="1"/>
  <c r="BX187" i="1"/>
  <c r="BX189" i="1"/>
  <c r="BX191" i="1"/>
  <c r="BX193" i="1"/>
  <c r="BX195" i="1"/>
  <c r="BX197" i="1"/>
  <c r="BX199" i="1"/>
  <c r="BX201" i="1"/>
  <c r="BX203" i="1"/>
  <c r="BX205" i="1"/>
  <c r="BX207" i="1"/>
  <c r="BX209" i="1"/>
  <c r="BX211" i="1"/>
  <c r="BX213" i="1"/>
  <c r="BX215" i="1"/>
  <c r="BX217" i="1"/>
  <c r="BX219" i="1"/>
  <c r="BX221" i="1"/>
  <c r="BX223" i="1"/>
  <c r="BX225" i="1"/>
  <c r="BX227" i="1"/>
  <c r="BX229" i="1"/>
  <c r="BX231" i="1"/>
  <c r="BX233" i="1"/>
  <c r="BX235" i="1"/>
  <c r="BX237" i="1"/>
  <c r="BX239" i="1"/>
  <c r="BX241" i="1"/>
  <c r="BX243" i="1"/>
  <c r="BX245" i="1"/>
  <c r="BX247" i="1"/>
  <c r="BX249" i="1"/>
  <c r="BX251" i="1"/>
  <c r="BX253" i="1"/>
  <c r="BX255" i="1"/>
  <c r="BX257" i="1"/>
  <c r="BX259" i="1"/>
  <c r="BX261" i="1"/>
  <c r="BX263" i="1"/>
  <c r="BX265" i="1"/>
  <c r="BX267" i="1"/>
  <c r="BX269" i="1"/>
  <c r="BX110" i="1"/>
  <c r="BX112" i="1"/>
  <c r="BX114" i="1"/>
  <c r="BX116" i="1"/>
  <c r="BX118" i="1"/>
  <c r="BX120" i="1"/>
  <c r="BX122" i="1"/>
  <c r="BX124" i="1"/>
  <c r="BX126" i="1"/>
  <c r="BX128" i="1"/>
  <c r="BX130" i="1"/>
  <c r="BX132" i="1"/>
  <c r="BX134" i="1"/>
  <c r="BX136" i="1"/>
  <c r="BX138" i="1"/>
  <c r="BX140" i="1"/>
  <c r="BX142" i="1"/>
  <c r="BX144" i="1"/>
  <c r="BX146" i="1"/>
  <c r="BX148" i="1"/>
  <c r="BX150" i="1"/>
  <c r="BX152" i="1"/>
  <c r="BX154" i="1"/>
  <c r="BX156" i="1"/>
  <c r="BX158" i="1"/>
  <c r="BX160" i="1"/>
  <c r="BX162" i="1"/>
  <c r="BX164" i="1"/>
  <c r="BX166" i="1"/>
  <c r="BX168" i="1"/>
  <c r="BX170" i="1"/>
  <c r="BX172" i="1"/>
  <c r="BX174" i="1"/>
  <c r="BX176" i="1"/>
  <c r="BX178" i="1"/>
  <c r="BX180" i="1"/>
  <c r="BX182" i="1"/>
  <c r="BX184" i="1"/>
  <c r="BX186" i="1"/>
  <c r="BX188" i="1"/>
  <c r="BX190" i="1"/>
  <c r="BX192" i="1"/>
  <c r="BX194" i="1"/>
  <c r="BX196" i="1"/>
  <c r="BX198" i="1"/>
  <c r="BX200" i="1"/>
  <c r="BX202" i="1"/>
  <c r="BX204" i="1"/>
  <c r="BX206" i="1"/>
  <c r="BX208" i="1"/>
  <c r="BX210" i="1"/>
  <c r="BX212" i="1"/>
  <c r="BX214" i="1"/>
  <c r="BX216" i="1"/>
  <c r="BX218" i="1"/>
  <c r="BX220" i="1"/>
  <c r="BX222" i="1"/>
  <c r="BX224" i="1"/>
  <c r="BX226" i="1"/>
  <c r="BX228" i="1"/>
  <c r="BX230" i="1"/>
  <c r="BX232" i="1"/>
  <c r="BX234" i="1"/>
  <c r="BX236" i="1"/>
  <c r="BX238" i="1"/>
  <c r="BX240" i="1"/>
  <c r="BX242" i="1"/>
  <c r="BX244" i="1"/>
  <c r="BX246" i="1"/>
  <c r="BX248" i="1"/>
  <c r="BX250" i="1"/>
  <c r="BX252" i="1"/>
  <c r="BX254" i="1"/>
  <c r="BX256" i="1"/>
  <c r="BX258" i="1"/>
  <c r="BX260" i="1"/>
  <c r="BX262" i="1"/>
  <c r="BX264" i="1"/>
  <c r="BX266" i="1"/>
  <c r="BX268" i="1"/>
  <c r="BX270" i="1"/>
  <c r="BX271" i="1"/>
  <c r="BX272" i="1"/>
  <c r="BX274" i="1"/>
  <c r="BX276" i="1"/>
  <c r="BX278" i="1"/>
  <c r="BX280" i="1"/>
  <c r="BX282" i="1"/>
  <c r="BX284" i="1"/>
  <c r="BX286" i="1"/>
  <c r="BX288" i="1"/>
  <c r="BX290" i="1"/>
  <c r="BX292" i="1"/>
  <c r="BX294" i="1"/>
  <c r="BX296" i="1"/>
  <c r="BX298" i="1"/>
  <c r="BX300" i="1"/>
  <c r="BX302" i="1"/>
  <c r="BX304" i="1"/>
  <c r="BX306" i="1"/>
  <c r="BX308" i="1"/>
  <c r="BX310" i="1"/>
  <c r="BX312" i="1"/>
  <c r="BX314" i="1"/>
  <c r="BX316" i="1"/>
  <c r="BX318" i="1"/>
  <c r="BX320" i="1"/>
  <c r="BX322" i="1"/>
  <c r="BX324" i="1"/>
  <c r="BX326" i="1"/>
  <c r="BX328" i="1"/>
  <c r="BX330" i="1"/>
  <c r="BX332" i="1"/>
  <c r="BX334" i="1"/>
  <c r="BX336" i="1"/>
  <c r="BX338" i="1"/>
  <c r="BX340" i="1"/>
  <c r="BX342" i="1"/>
  <c r="BX344" i="1"/>
  <c r="BX346" i="1"/>
  <c r="BX348" i="1"/>
  <c r="BX350" i="1"/>
  <c r="BX352" i="1"/>
  <c r="BX354" i="1"/>
  <c r="BX356" i="1"/>
  <c r="BX358" i="1"/>
  <c r="BX360" i="1"/>
  <c r="BX362" i="1"/>
  <c r="BX364" i="1"/>
  <c r="BX366" i="1"/>
  <c r="BX368" i="1"/>
  <c r="BX370" i="1"/>
  <c r="BX372" i="1"/>
  <c r="BX374" i="1"/>
  <c r="BX273" i="1"/>
  <c r="BX275" i="1"/>
  <c r="BX277" i="1"/>
  <c r="BX279" i="1"/>
  <c r="BX281" i="1"/>
  <c r="BX283" i="1"/>
  <c r="BX285" i="1"/>
  <c r="BX287" i="1"/>
  <c r="BX289" i="1"/>
  <c r="BX291" i="1"/>
  <c r="BX293" i="1"/>
  <c r="BX295" i="1"/>
  <c r="BX297" i="1"/>
  <c r="BX299" i="1"/>
  <c r="BX301" i="1"/>
  <c r="BX303" i="1"/>
  <c r="BX305" i="1"/>
  <c r="BX307" i="1"/>
  <c r="BX311" i="1"/>
  <c r="BX313" i="1"/>
  <c r="BX315" i="1"/>
  <c r="BX317" i="1"/>
  <c r="BX319" i="1"/>
  <c r="BX323" i="1"/>
  <c r="BX325" i="1"/>
  <c r="BX327" i="1"/>
  <c r="BX329" i="1"/>
  <c r="BX333" i="1"/>
  <c r="BX337" i="1"/>
  <c r="BX343" i="1"/>
  <c r="BX345" i="1"/>
  <c r="BX347" i="1"/>
  <c r="BX351" i="1"/>
  <c r="BX355" i="1"/>
  <c r="BX359" i="1"/>
  <c r="BX365" i="1"/>
  <c r="BX369" i="1"/>
  <c r="BX371" i="1"/>
  <c r="BX375" i="1"/>
  <c r="BX309" i="1"/>
  <c r="BX321" i="1"/>
  <c r="BX331" i="1"/>
  <c r="BX335" i="1"/>
  <c r="BX339" i="1"/>
  <c r="BX341" i="1"/>
  <c r="BX349" i="1"/>
  <c r="BX353" i="1"/>
  <c r="BX357" i="1"/>
  <c r="BX361" i="1"/>
  <c r="BX363" i="1"/>
  <c r="BX367" i="1"/>
  <c r="BX373" i="1"/>
  <c r="BX15" i="1"/>
  <c r="DW14" i="1"/>
  <c r="DX18" i="1" s="1"/>
  <c r="EG10" i="1"/>
  <c r="EH10" i="1" s="1"/>
  <c r="EC12" i="1"/>
  <c r="EF10" i="1"/>
  <c r="B133" i="1"/>
  <c r="BX5" i="1" s="1"/>
  <c r="F65" i="1"/>
  <c r="I65" i="1" s="1"/>
  <c r="R65" i="1" s="1"/>
  <c r="A45" i="1"/>
  <c r="C45" i="1" s="1"/>
  <c r="D56" i="1" s="1"/>
  <c r="D164" i="1" s="1"/>
  <c r="D175" i="1" s="1"/>
  <c r="F62" i="1"/>
  <c r="H62" i="1" s="1"/>
  <c r="Q62" i="1" s="1"/>
  <c r="A44" i="1"/>
  <c r="D44" i="1" s="1"/>
  <c r="E55" i="1" s="1"/>
  <c r="F68" i="1"/>
  <c r="H68" i="1" s="1"/>
  <c r="Q68" i="1" s="1"/>
  <c r="F70" i="1"/>
  <c r="H70" i="1" s="1"/>
  <c r="Q70" i="1" s="1"/>
  <c r="A37" i="1"/>
  <c r="C37" i="1" s="1"/>
  <c r="B49" i="1" s="1"/>
  <c r="B157" i="1" s="1"/>
  <c r="B168" i="1" s="1"/>
  <c r="F71" i="1"/>
  <c r="I71" i="1" s="1"/>
  <c r="R71" i="1" s="1"/>
  <c r="A38" i="1"/>
  <c r="D38" i="1" s="1"/>
  <c r="E49" i="1" s="1"/>
  <c r="F63" i="1"/>
  <c r="I63" i="1" s="1"/>
  <c r="R63" i="1" s="1"/>
  <c r="F67" i="1"/>
  <c r="A41" i="1"/>
  <c r="C41" i="1" s="1"/>
  <c r="D52" i="1" s="1"/>
  <c r="F64" i="1"/>
  <c r="I64" i="1" s="1"/>
  <c r="R64" i="1" s="1"/>
  <c r="G67" i="1"/>
  <c r="I66" i="1"/>
  <c r="R66" i="1" s="1"/>
  <c r="H69" i="1"/>
  <c r="Q69" i="1" s="1"/>
  <c r="D39" i="1"/>
  <c r="E50" i="1" s="1"/>
  <c r="C40" i="1"/>
  <c r="D51" i="1" s="1"/>
  <c r="C43" i="1"/>
  <c r="D54" i="1" s="1"/>
  <c r="D40" i="1"/>
  <c r="E51" i="1" s="1"/>
  <c r="C42" i="1"/>
  <c r="D53" i="1" s="1"/>
  <c r="C39" i="1"/>
  <c r="D50" i="1" s="1"/>
  <c r="D42" i="1"/>
  <c r="E53" i="1" s="1"/>
  <c r="H66" i="1"/>
  <c r="Q66" i="1" s="1"/>
  <c r="I69" i="1"/>
  <c r="R69" i="1" s="1"/>
  <c r="D43" i="1"/>
  <c r="E54" i="1" s="1"/>
  <c r="BZ15" i="1" l="1"/>
  <c r="BZ367" i="1"/>
  <c r="BZ361" i="1"/>
  <c r="BZ353" i="1"/>
  <c r="BZ341" i="1"/>
  <c r="BZ335" i="1"/>
  <c r="BZ321" i="1"/>
  <c r="BZ375" i="1"/>
  <c r="BZ369" i="1"/>
  <c r="BZ359" i="1"/>
  <c r="BZ351" i="1"/>
  <c r="BZ345" i="1"/>
  <c r="BZ337" i="1"/>
  <c r="BZ329" i="1"/>
  <c r="BZ325" i="1"/>
  <c r="BZ319" i="1"/>
  <c r="BZ315" i="1"/>
  <c r="BZ311" i="1"/>
  <c r="BZ305" i="1"/>
  <c r="BZ301" i="1"/>
  <c r="BZ297" i="1"/>
  <c r="BZ293" i="1"/>
  <c r="BZ289" i="1"/>
  <c r="BZ285" i="1"/>
  <c r="BZ281" i="1"/>
  <c r="BZ277" i="1"/>
  <c r="BZ273" i="1"/>
  <c r="BZ372" i="1"/>
  <c r="BZ368" i="1"/>
  <c r="BZ364" i="1"/>
  <c r="BZ360" i="1"/>
  <c r="BZ356" i="1"/>
  <c r="BZ352" i="1"/>
  <c r="BZ348" i="1"/>
  <c r="BZ344" i="1"/>
  <c r="BZ340" i="1"/>
  <c r="BZ336" i="1"/>
  <c r="BZ332" i="1"/>
  <c r="BZ328" i="1"/>
  <c r="BZ324" i="1"/>
  <c r="BZ320" i="1"/>
  <c r="BZ316" i="1"/>
  <c r="BZ312" i="1"/>
  <c r="BZ308" i="1"/>
  <c r="BZ304" i="1"/>
  <c r="BZ300" i="1"/>
  <c r="BZ296" i="1"/>
  <c r="BZ292" i="1"/>
  <c r="BZ288" i="1"/>
  <c r="BZ284" i="1"/>
  <c r="BZ280" i="1"/>
  <c r="BZ276" i="1"/>
  <c r="BZ272" i="1"/>
  <c r="BZ270" i="1"/>
  <c r="BZ266" i="1"/>
  <c r="BZ262" i="1"/>
  <c r="BZ258" i="1"/>
  <c r="BZ254" i="1"/>
  <c r="BZ250" i="1"/>
  <c r="BZ246" i="1"/>
  <c r="BZ242" i="1"/>
  <c r="BZ238" i="1"/>
  <c r="BZ234" i="1"/>
  <c r="BZ230" i="1"/>
  <c r="BZ226" i="1"/>
  <c r="BZ222" i="1"/>
  <c r="BZ218" i="1"/>
  <c r="BZ214" i="1"/>
  <c r="BZ210" i="1"/>
  <c r="BZ206" i="1"/>
  <c r="BZ202" i="1"/>
  <c r="BZ198" i="1"/>
  <c r="BZ194" i="1"/>
  <c r="BZ190" i="1"/>
  <c r="BZ186" i="1"/>
  <c r="BZ182" i="1"/>
  <c r="BZ178" i="1"/>
  <c r="BZ174" i="1"/>
  <c r="BZ170" i="1"/>
  <c r="BZ166" i="1"/>
  <c r="BZ162" i="1"/>
  <c r="BZ158" i="1"/>
  <c r="BZ154" i="1"/>
  <c r="BZ150" i="1"/>
  <c r="BZ146" i="1"/>
  <c r="BZ142" i="1"/>
  <c r="BZ138" i="1"/>
  <c r="BZ134" i="1"/>
  <c r="BZ130" i="1"/>
  <c r="BZ126" i="1"/>
  <c r="BZ122" i="1"/>
  <c r="BZ118" i="1"/>
  <c r="BZ114" i="1"/>
  <c r="BZ110" i="1"/>
  <c r="BZ267" i="1"/>
  <c r="BZ263" i="1"/>
  <c r="BZ259" i="1"/>
  <c r="BZ255" i="1"/>
  <c r="BZ251" i="1"/>
  <c r="BZ247" i="1"/>
  <c r="BZ243" i="1"/>
  <c r="BZ239" i="1"/>
  <c r="BZ235" i="1"/>
  <c r="BZ231" i="1"/>
  <c r="BZ227" i="1"/>
  <c r="BZ223" i="1"/>
  <c r="BZ219" i="1"/>
  <c r="BZ215" i="1"/>
  <c r="BZ211" i="1"/>
  <c r="BZ207" i="1"/>
  <c r="BZ203" i="1"/>
  <c r="BZ199" i="1"/>
  <c r="BZ195" i="1"/>
  <c r="BZ191" i="1"/>
  <c r="BZ187" i="1"/>
  <c r="BZ183" i="1"/>
  <c r="BZ179" i="1"/>
  <c r="BZ175" i="1"/>
  <c r="BZ171" i="1"/>
  <c r="BZ167" i="1"/>
  <c r="BZ163" i="1"/>
  <c r="BZ159" i="1"/>
  <c r="BZ155" i="1"/>
  <c r="BZ151" i="1"/>
  <c r="BZ147" i="1"/>
  <c r="BZ143" i="1"/>
  <c r="BZ139" i="1"/>
  <c r="BZ135" i="1"/>
  <c r="BZ131" i="1"/>
  <c r="BZ127" i="1"/>
  <c r="BZ123" i="1"/>
  <c r="BZ119" i="1"/>
  <c r="BZ115" i="1"/>
  <c r="BZ111" i="1"/>
  <c r="BZ107" i="1"/>
  <c r="BZ103" i="1"/>
  <c r="BZ100" i="1"/>
  <c r="BZ96" i="1"/>
  <c r="BZ92" i="1"/>
  <c r="BZ88" i="1"/>
  <c r="BZ84" i="1"/>
  <c r="BZ80" i="1"/>
  <c r="BZ76" i="1"/>
  <c r="BZ72" i="1"/>
  <c r="BZ68" i="1"/>
  <c r="BZ64" i="1"/>
  <c r="BZ60" i="1"/>
  <c r="BZ56" i="1"/>
  <c r="BZ52" i="1"/>
  <c r="BZ48" i="1"/>
  <c r="BZ44" i="1"/>
  <c r="BZ40" i="1"/>
  <c r="BZ36" i="1"/>
  <c r="BZ32" i="1"/>
  <c r="BZ28" i="1"/>
  <c r="BZ24" i="1"/>
  <c r="BZ20" i="1"/>
  <c r="BZ16" i="1"/>
  <c r="BZ106" i="1"/>
  <c r="BZ102" i="1"/>
  <c r="BZ97" i="1"/>
  <c r="BZ93" i="1"/>
  <c r="BZ89" i="1"/>
  <c r="BZ85" i="1"/>
  <c r="BZ81" i="1"/>
  <c r="BZ77" i="1"/>
  <c r="BZ73" i="1"/>
  <c r="BZ69" i="1"/>
  <c r="BZ65" i="1"/>
  <c r="BZ61" i="1"/>
  <c r="BZ57" i="1"/>
  <c r="BZ53" i="1"/>
  <c r="BZ49" i="1"/>
  <c r="BZ45" i="1"/>
  <c r="BZ41" i="1"/>
  <c r="BZ37" i="1"/>
  <c r="BZ33" i="1"/>
  <c r="BZ29" i="1"/>
  <c r="BZ25" i="1"/>
  <c r="BZ21" i="1"/>
  <c r="BZ17" i="1"/>
  <c r="BZ373" i="1"/>
  <c r="BZ363" i="1"/>
  <c r="BZ357" i="1"/>
  <c r="BZ349" i="1"/>
  <c r="BZ339" i="1"/>
  <c r="BZ331" i="1"/>
  <c r="BZ309" i="1"/>
  <c r="BZ371" i="1"/>
  <c r="BZ365" i="1"/>
  <c r="BZ355" i="1"/>
  <c r="BZ347" i="1"/>
  <c r="BZ343" i="1"/>
  <c r="BZ333" i="1"/>
  <c r="BZ327" i="1"/>
  <c r="BZ323" i="1"/>
  <c r="BZ317" i="1"/>
  <c r="BZ313" i="1"/>
  <c r="BZ307" i="1"/>
  <c r="BZ303" i="1"/>
  <c r="BZ299" i="1"/>
  <c r="BZ295" i="1"/>
  <c r="BZ291" i="1"/>
  <c r="BZ287" i="1"/>
  <c r="BZ283" i="1"/>
  <c r="BZ279" i="1"/>
  <c r="BZ275" i="1"/>
  <c r="BZ374" i="1"/>
  <c r="BZ370" i="1"/>
  <c r="BZ366" i="1"/>
  <c r="BZ362" i="1"/>
  <c r="BZ358" i="1"/>
  <c r="BZ354" i="1"/>
  <c r="BZ350" i="1"/>
  <c r="BZ346" i="1"/>
  <c r="BZ342" i="1"/>
  <c r="BZ338" i="1"/>
  <c r="BZ334" i="1"/>
  <c r="BZ330" i="1"/>
  <c r="BZ326" i="1"/>
  <c r="BZ322" i="1"/>
  <c r="BZ318" i="1"/>
  <c r="BZ314" i="1"/>
  <c r="BZ310" i="1"/>
  <c r="BZ306" i="1"/>
  <c r="BZ302" i="1"/>
  <c r="BZ298" i="1"/>
  <c r="BZ294" i="1"/>
  <c r="BZ290" i="1"/>
  <c r="BZ286" i="1"/>
  <c r="BZ282" i="1"/>
  <c r="BZ278" i="1"/>
  <c r="BZ274" i="1"/>
  <c r="BZ271" i="1"/>
  <c r="BZ268" i="1"/>
  <c r="BZ264" i="1"/>
  <c r="BZ260" i="1"/>
  <c r="BZ256" i="1"/>
  <c r="BZ252" i="1"/>
  <c r="BZ248" i="1"/>
  <c r="BZ244" i="1"/>
  <c r="BZ240" i="1"/>
  <c r="BZ236" i="1"/>
  <c r="BZ232" i="1"/>
  <c r="BZ228" i="1"/>
  <c r="BZ224" i="1"/>
  <c r="BZ220" i="1"/>
  <c r="BZ216" i="1"/>
  <c r="BZ212" i="1"/>
  <c r="BZ208" i="1"/>
  <c r="BZ204" i="1"/>
  <c r="BZ200" i="1"/>
  <c r="BZ196" i="1"/>
  <c r="BZ192" i="1"/>
  <c r="BZ188" i="1"/>
  <c r="BZ184" i="1"/>
  <c r="BZ180" i="1"/>
  <c r="BZ176" i="1"/>
  <c r="BZ172" i="1"/>
  <c r="BZ168" i="1"/>
  <c r="BZ164" i="1"/>
  <c r="BZ160" i="1"/>
  <c r="BZ156" i="1"/>
  <c r="BZ152" i="1"/>
  <c r="BZ148" i="1"/>
  <c r="BZ144" i="1"/>
  <c r="BZ140" i="1"/>
  <c r="BZ136" i="1"/>
  <c r="BZ132" i="1"/>
  <c r="BZ128" i="1"/>
  <c r="BZ124" i="1"/>
  <c r="BZ120" i="1"/>
  <c r="BZ116" i="1"/>
  <c r="BZ112" i="1"/>
  <c r="BZ269" i="1"/>
  <c r="BZ265" i="1"/>
  <c r="BZ261" i="1"/>
  <c r="BZ257" i="1"/>
  <c r="BZ253" i="1"/>
  <c r="BZ249" i="1"/>
  <c r="BZ245" i="1"/>
  <c r="BZ241" i="1"/>
  <c r="BZ237" i="1"/>
  <c r="BZ233" i="1"/>
  <c r="BZ229" i="1"/>
  <c r="BZ225" i="1"/>
  <c r="BZ221" i="1"/>
  <c r="BZ217" i="1"/>
  <c r="BZ213" i="1"/>
  <c r="BZ209" i="1"/>
  <c r="BZ205" i="1"/>
  <c r="BZ201" i="1"/>
  <c r="BZ197" i="1"/>
  <c r="BZ193" i="1"/>
  <c r="BZ189" i="1"/>
  <c r="BZ185" i="1"/>
  <c r="BZ181" i="1"/>
  <c r="BZ177" i="1"/>
  <c r="BZ173" i="1"/>
  <c r="BZ169" i="1"/>
  <c r="BZ165" i="1"/>
  <c r="BZ161" i="1"/>
  <c r="BZ157" i="1"/>
  <c r="BZ153" i="1"/>
  <c r="BZ149" i="1"/>
  <c r="BZ145" i="1"/>
  <c r="BZ141" i="1"/>
  <c r="BZ137" i="1"/>
  <c r="BZ133" i="1"/>
  <c r="BZ129" i="1"/>
  <c r="BZ125" i="1"/>
  <c r="BZ121" i="1"/>
  <c r="BZ117" i="1"/>
  <c r="BZ113" i="1"/>
  <c r="BZ109" i="1"/>
  <c r="BZ105" i="1"/>
  <c r="BZ101" i="1"/>
  <c r="BZ98" i="1"/>
  <c r="BZ94" i="1"/>
  <c r="BZ90" i="1"/>
  <c r="BZ86" i="1"/>
  <c r="BZ82" i="1"/>
  <c r="BZ78" i="1"/>
  <c r="BZ74" i="1"/>
  <c r="BZ70" i="1"/>
  <c r="BZ66" i="1"/>
  <c r="BZ62" i="1"/>
  <c r="BZ58" i="1"/>
  <c r="BZ54" i="1"/>
  <c r="BZ50" i="1"/>
  <c r="BZ46" i="1"/>
  <c r="BZ42" i="1"/>
  <c r="BZ38" i="1"/>
  <c r="BZ34" i="1"/>
  <c r="BZ30" i="1"/>
  <c r="BZ26" i="1"/>
  <c r="BZ22" i="1"/>
  <c r="BZ18" i="1"/>
  <c r="BZ108" i="1"/>
  <c r="BZ104" i="1"/>
  <c r="BZ99" i="1"/>
  <c r="BZ95" i="1"/>
  <c r="BZ91" i="1"/>
  <c r="BZ87" i="1"/>
  <c r="BZ83" i="1"/>
  <c r="BZ79" i="1"/>
  <c r="BZ75" i="1"/>
  <c r="BZ71" i="1"/>
  <c r="BZ67" i="1"/>
  <c r="BZ63" i="1"/>
  <c r="BZ59" i="1"/>
  <c r="BZ55" i="1"/>
  <c r="BZ51" i="1"/>
  <c r="BZ47" i="1"/>
  <c r="BZ43" i="1"/>
  <c r="BZ39" i="1"/>
  <c r="BZ35" i="1"/>
  <c r="BZ31" i="1"/>
  <c r="BZ27" i="1"/>
  <c r="BZ23" i="1"/>
  <c r="BZ19" i="1"/>
  <c r="CF5" i="1"/>
  <c r="CF7" i="1"/>
  <c r="BY16" i="1"/>
  <c r="BY18" i="1"/>
  <c r="BY20" i="1"/>
  <c r="BY22" i="1"/>
  <c r="BY24" i="1"/>
  <c r="BY26" i="1"/>
  <c r="BY28" i="1"/>
  <c r="BY30" i="1"/>
  <c r="BY32" i="1"/>
  <c r="BY34" i="1"/>
  <c r="BY36" i="1"/>
  <c r="BY38" i="1"/>
  <c r="BY40" i="1"/>
  <c r="BY42" i="1"/>
  <c r="BY44" i="1"/>
  <c r="BY46" i="1"/>
  <c r="BY48" i="1"/>
  <c r="BY50" i="1"/>
  <c r="BY52" i="1"/>
  <c r="BY54" i="1"/>
  <c r="BY56" i="1"/>
  <c r="BY58" i="1"/>
  <c r="BY60" i="1"/>
  <c r="BY62" i="1"/>
  <c r="BY64" i="1"/>
  <c r="BY66" i="1"/>
  <c r="BY68" i="1"/>
  <c r="BY70" i="1"/>
  <c r="BY72" i="1"/>
  <c r="BY74" i="1"/>
  <c r="BY76" i="1"/>
  <c r="BY78" i="1"/>
  <c r="BY80" i="1"/>
  <c r="BY82" i="1"/>
  <c r="BY84" i="1"/>
  <c r="BY86" i="1"/>
  <c r="BY88" i="1"/>
  <c r="BY90" i="1"/>
  <c r="BY92" i="1"/>
  <c r="BY94" i="1"/>
  <c r="BY96" i="1"/>
  <c r="BY98" i="1"/>
  <c r="BY100" i="1"/>
  <c r="BY101" i="1"/>
  <c r="BY103" i="1"/>
  <c r="BY105" i="1"/>
  <c r="BY107" i="1"/>
  <c r="BY17" i="1"/>
  <c r="BY19" i="1"/>
  <c r="BY21" i="1"/>
  <c r="BY23" i="1"/>
  <c r="BY25" i="1"/>
  <c r="BY27" i="1"/>
  <c r="BY29" i="1"/>
  <c r="BY31" i="1"/>
  <c r="BY33" i="1"/>
  <c r="BY35" i="1"/>
  <c r="BY37" i="1"/>
  <c r="BY39" i="1"/>
  <c r="BY41" i="1"/>
  <c r="BY43" i="1"/>
  <c r="BY45" i="1"/>
  <c r="BY47" i="1"/>
  <c r="BY49" i="1"/>
  <c r="BY51" i="1"/>
  <c r="BY53" i="1"/>
  <c r="BY55" i="1"/>
  <c r="BY57" i="1"/>
  <c r="BY59" i="1"/>
  <c r="BY61" i="1"/>
  <c r="BY63" i="1"/>
  <c r="BY65" i="1"/>
  <c r="BY67" i="1"/>
  <c r="BY69" i="1"/>
  <c r="BY71" i="1"/>
  <c r="BY73" i="1"/>
  <c r="BY75" i="1"/>
  <c r="BY77" i="1"/>
  <c r="BY79" i="1"/>
  <c r="BY81" i="1"/>
  <c r="BY83" i="1"/>
  <c r="BY85" i="1"/>
  <c r="BY87" i="1"/>
  <c r="BY89" i="1"/>
  <c r="BY91" i="1"/>
  <c r="BY93" i="1"/>
  <c r="BY95" i="1"/>
  <c r="BY97" i="1"/>
  <c r="BY99" i="1"/>
  <c r="BY102" i="1"/>
  <c r="BY104" i="1"/>
  <c r="BY106" i="1"/>
  <c r="BY108" i="1"/>
  <c r="BY110" i="1"/>
  <c r="BY112" i="1"/>
  <c r="BY114" i="1"/>
  <c r="BY116" i="1"/>
  <c r="BY118" i="1"/>
  <c r="BY120" i="1"/>
  <c r="BY122" i="1"/>
  <c r="BY124" i="1"/>
  <c r="BY126" i="1"/>
  <c r="BY128" i="1"/>
  <c r="BY130" i="1"/>
  <c r="BY132" i="1"/>
  <c r="BY134" i="1"/>
  <c r="BY136" i="1"/>
  <c r="BY138" i="1"/>
  <c r="BY140" i="1"/>
  <c r="BY142" i="1"/>
  <c r="BY144" i="1"/>
  <c r="BY146" i="1"/>
  <c r="BY148" i="1"/>
  <c r="BY150" i="1"/>
  <c r="BY152" i="1"/>
  <c r="BY154" i="1"/>
  <c r="BY156" i="1"/>
  <c r="BY158" i="1"/>
  <c r="BY160" i="1"/>
  <c r="BY162" i="1"/>
  <c r="BY164" i="1"/>
  <c r="BY166" i="1"/>
  <c r="BY168" i="1"/>
  <c r="BY170" i="1"/>
  <c r="BY172" i="1"/>
  <c r="BY174" i="1"/>
  <c r="BY176" i="1"/>
  <c r="BY178" i="1"/>
  <c r="BY180" i="1"/>
  <c r="BY182" i="1"/>
  <c r="BY184" i="1"/>
  <c r="BY186" i="1"/>
  <c r="BY188" i="1"/>
  <c r="BY190" i="1"/>
  <c r="BY192" i="1"/>
  <c r="BY194" i="1"/>
  <c r="BY196" i="1"/>
  <c r="BY198" i="1"/>
  <c r="BY200" i="1"/>
  <c r="BY202" i="1"/>
  <c r="BY204" i="1"/>
  <c r="BY206" i="1"/>
  <c r="BY208" i="1"/>
  <c r="BY210" i="1"/>
  <c r="BY212" i="1"/>
  <c r="BY214" i="1"/>
  <c r="BY216" i="1"/>
  <c r="BY218" i="1"/>
  <c r="BY220" i="1"/>
  <c r="BY222" i="1"/>
  <c r="BY224" i="1"/>
  <c r="BY226" i="1"/>
  <c r="BY228" i="1"/>
  <c r="BY230" i="1"/>
  <c r="BY232" i="1"/>
  <c r="BY234" i="1"/>
  <c r="BY236" i="1"/>
  <c r="BY238" i="1"/>
  <c r="BY240" i="1"/>
  <c r="BY242" i="1"/>
  <c r="BY244" i="1"/>
  <c r="BY246" i="1"/>
  <c r="BY248" i="1"/>
  <c r="BY250" i="1"/>
  <c r="BY252" i="1"/>
  <c r="BY254" i="1"/>
  <c r="BY256" i="1"/>
  <c r="BY258" i="1"/>
  <c r="BY260" i="1"/>
  <c r="BY262" i="1"/>
  <c r="BY264" i="1"/>
  <c r="BY266" i="1"/>
  <c r="BY268" i="1"/>
  <c r="BY270" i="1"/>
  <c r="BY109" i="1"/>
  <c r="BY111" i="1"/>
  <c r="BY113" i="1"/>
  <c r="BY115" i="1"/>
  <c r="BY117" i="1"/>
  <c r="BY119" i="1"/>
  <c r="BY121" i="1"/>
  <c r="BY123" i="1"/>
  <c r="BY125" i="1"/>
  <c r="BY127" i="1"/>
  <c r="BY129" i="1"/>
  <c r="BY131" i="1"/>
  <c r="BY133" i="1"/>
  <c r="BY135" i="1"/>
  <c r="BY137" i="1"/>
  <c r="BY139" i="1"/>
  <c r="BY141" i="1"/>
  <c r="BY143" i="1"/>
  <c r="BY145" i="1"/>
  <c r="BY147" i="1"/>
  <c r="BY149" i="1"/>
  <c r="BY151" i="1"/>
  <c r="BY153" i="1"/>
  <c r="BY155" i="1"/>
  <c r="BY157" i="1"/>
  <c r="BY159" i="1"/>
  <c r="BY161" i="1"/>
  <c r="BY163" i="1"/>
  <c r="BY165" i="1"/>
  <c r="BY167" i="1"/>
  <c r="BY169" i="1"/>
  <c r="BY171" i="1"/>
  <c r="BY173" i="1"/>
  <c r="CA173" i="1" s="1"/>
  <c r="BY175" i="1"/>
  <c r="BY177" i="1"/>
  <c r="BY179" i="1"/>
  <c r="BY181" i="1"/>
  <c r="BY183" i="1"/>
  <c r="BY185" i="1"/>
  <c r="BY187" i="1"/>
  <c r="BY189" i="1"/>
  <c r="CA189" i="1" s="1"/>
  <c r="BY191" i="1"/>
  <c r="BY193" i="1"/>
  <c r="BY195" i="1"/>
  <c r="BY197" i="1"/>
  <c r="BY199" i="1"/>
  <c r="BY201" i="1"/>
  <c r="BY203" i="1"/>
  <c r="BY205" i="1"/>
  <c r="CA205" i="1" s="1"/>
  <c r="BY207" i="1"/>
  <c r="BY209" i="1"/>
  <c r="BY211" i="1"/>
  <c r="BY213" i="1"/>
  <c r="BY215" i="1"/>
  <c r="BY217" i="1"/>
  <c r="BY219" i="1"/>
  <c r="BY221" i="1"/>
  <c r="CA221" i="1" s="1"/>
  <c r="BY223" i="1"/>
  <c r="BY225" i="1"/>
  <c r="BY227" i="1"/>
  <c r="BY229" i="1"/>
  <c r="BY231" i="1"/>
  <c r="BY233" i="1"/>
  <c r="BY235" i="1"/>
  <c r="BY237" i="1"/>
  <c r="CA237" i="1" s="1"/>
  <c r="BY239" i="1"/>
  <c r="BY241" i="1"/>
  <c r="BY243" i="1"/>
  <c r="BY245" i="1"/>
  <c r="BY247" i="1"/>
  <c r="BY249" i="1"/>
  <c r="BY251" i="1"/>
  <c r="BY253" i="1"/>
  <c r="CA253" i="1" s="1"/>
  <c r="BY255" i="1"/>
  <c r="BY257" i="1"/>
  <c r="BY259" i="1"/>
  <c r="BY261" i="1"/>
  <c r="BY263" i="1"/>
  <c r="BY265" i="1"/>
  <c r="BY267" i="1"/>
  <c r="BY269" i="1"/>
  <c r="CA269" i="1" s="1"/>
  <c r="BY271" i="1"/>
  <c r="BY273" i="1"/>
  <c r="BY275" i="1"/>
  <c r="BY277" i="1"/>
  <c r="BY279" i="1"/>
  <c r="BY281" i="1"/>
  <c r="BY283" i="1"/>
  <c r="BY285" i="1"/>
  <c r="CA285" i="1" s="1"/>
  <c r="BY287" i="1"/>
  <c r="BY289" i="1"/>
  <c r="BY291" i="1"/>
  <c r="BY293" i="1"/>
  <c r="BY295" i="1"/>
  <c r="BY297" i="1"/>
  <c r="BY299" i="1"/>
  <c r="BY301" i="1"/>
  <c r="CA301" i="1" s="1"/>
  <c r="BY303" i="1"/>
  <c r="BY305" i="1"/>
  <c r="BY307" i="1"/>
  <c r="BY309" i="1"/>
  <c r="BY311" i="1"/>
  <c r="BY313" i="1"/>
  <c r="BY315" i="1"/>
  <c r="BY317" i="1"/>
  <c r="CA317" i="1" s="1"/>
  <c r="BY319" i="1"/>
  <c r="BY321" i="1"/>
  <c r="BY323" i="1"/>
  <c r="BY325" i="1"/>
  <c r="BY327" i="1"/>
  <c r="BY329" i="1"/>
  <c r="BY331" i="1"/>
  <c r="BY333" i="1"/>
  <c r="CA333" i="1" s="1"/>
  <c r="BY335" i="1"/>
  <c r="BY337" i="1"/>
  <c r="BY339" i="1"/>
  <c r="BY341" i="1"/>
  <c r="BY343" i="1"/>
  <c r="BY345" i="1"/>
  <c r="BY347" i="1"/>
  <c r="BY349" i="1"/>
  <c r="CA349" i="1" s="1"/>
  <c r="BY351" i="1"/>
  <c r="BY353" i="1"/>
  <c r="BY355" i="1"/>
  <c r="BY357" i="1"/>
  <c r="BY359" i="1"/>
  <c r="BY361" i="1"/>
  <c r="BY363" i="1"/>
  <c r="BY365" i="1"/>
  <c r="CA365" i="1" s="1"/>
  <c r="BY367" i="1"/>
  <c r="BY369" i="1"/>
  <c r="BY371" i="1"/>
  <c r="BY373" i="1"/>
  <c r="BY375" i="1"/>
  <c r="BY272" i="1"/>
  <c r="BY274" i="1"/>
  <c r="BY276" i="1"/>
  <c r="CA276" i="1" s="1"/>
  <c r="BY278" i="1"/>
  <c r="BY280" i="1"/>
  <c r="BY282" i="1"/>
  <c r="BY284" i="1"/>
  <c r="BY286" i="1"/>
  <c r="BY288" i="1"/>
  <c r="BY290" i="1"/>
  <c r="BY292" i="1"/>
  <c r="CA292" i="1" s="1"/>
  <c r="BY294" i="1"/>
  <c r="BY296" i="1"/>
  <c r="BY298" i="1"/>
  <c r="BY300" i="1"/>
  <c r="BY302" i="1"/>
  <c r="BY304" i="1"/>
  <c r="BY306" i="1"/>
  <c r="BY308" i="1"/>
  <c r="CA308" i="1" s="1"/>
  <c r="BY310" i="1"/>
  <c r="BY312" i="1"/>
  <c r="BY314" i="1"/>
  <c r="BY316" i="1"/>
  <c r="BY318" i="1"/>
  <c r="BY320" i="1"/>
  <c r="BY322" i="1"/>
  <c r="BY324" i="1"/>
  <c r="CA324" i="1" s="1"/>
  <c r="BY330" i="1"/>
  <c r="BY334" i="1"/>
  <c r="BY338" i="1"/>
  <c r="BY340" i="1"/>
  <c r="BY344" i="1"/>
  <c r="BY346" i="1"/>
  <c r="BY348" i="1"/>
  <c r="BY352" i="1"/>
  <c r="CA352" i="1" s="1"/>
  <c r="BY356" i="1"/>
  <c r="BY360" i="1"/>
  <c r="BY366" i="1"/>
  <c r="BY372" i="1"/>
  <c r="BY326" i="1"/>
  <c r="BY328" i="1"/>
  <c r="BY332" i="1"/>
  <c r="BY336" i="1"/>
  <c r="CA336" i="1" s="1"/>
  <c r="BY342" i="1"/>
  <c r="BY350" i="1"/>
  <c r="BY354" i="1"/>
  <c r="BY358" i="1"/>
  <c r="BY362" i="1"/>
  <c r="BY364" i="1"/>
  <c r="BY368" i="1"/>
  <c r="BY370" i="1"/>
  <c r="CA370" i="1" s="1"/>
  <c r="BY374" i="1"/>
  <c r="BY15" i="1"/>
  <c r="DY17" i="1"/>
  <c r="DW18" i="1"/>
  <c r="DW16" i="1"/>
  <c r="DY18" i="1"/>
  <c r="DX16" i="1"/>
  <c r="DY16" i="1"/>
  <c r="DW17" i="1"/>
  <c r="DX17" i="1"/>
  <c r="EJ10" i="1"/>
  <c r="EI10" i="1"/>
  <c r="ED12" i="1"/>
  <c r="C52" i="1"/>
  <c r="C160" i="1" s="1"/>
  <c r="C171" i="1" s="1"/>
  <c r="E159" i="1"/>
  <c r="B53" i="1"/>
  <c r="B161" i="1" s="1"/>
  <c r="B172" i="1" s="1"/>
  <c r="D160" i="1"/>
  <c r="D171" i="1" s="1"/>
  <c r="B55" i="1"/>
  <c r="B163" i="1" s="1"/>
  <c r="B174" i="1" s="1"/>
  <c r="D162" i="1"/>
  <c r="D173" i="1" s="1"/>
  <c r="B52" i="1"/>
  <c r="B160" i="1" s="1"/>
  <c r="B171" i="1" s="1"/>
  <c r="D159" i="1"/>
  <c r="D170" i="1" s="1"/>
  <c r="C51" i="1"/>
  <c r="C159" i="1" s="1"/>
  <c r="C170" i="1" s="1"/>
  <c r="E158" i="1"/>
  <c r="C50" i="1"/>
  <c r="C158" i="1" s="1"/>
  <c r="C169" i="1" s="1"/>
  <c r="E157" i="1"/>
  <c r="C54" i="1"/>
  <c r="C162" i="1" s="1"/>
  <c r="C173" i="1" s="1"/>
  <c r="E161" i="1"/>
  <c r="C56" i="1"/>
  <c r="C164" i="1" s="1"/>
  <c r="C175" i="1" s="1"/>
  <c r="E163" i="1"/>
  <c r="C55" i="1"/>
  <c r="C163" i="1" s="1"/>
  <c r="C174" i="1" s="1"/>
  <c r="E162" i="1"/>
  <c r="B51" i="1"/>
  <c r="B159" i="1" s="1"/>
  <c r="B170" i="1" s="1"/>
  <c r="D158" i="1"/>
  <c r="D169" i="1" s="1"/>
  <c r="B54" i="1"/>
  <c r="B162" i="1" s="1"/>
  <c r="B173" i="1" s="1"/>
  <c r="D161" i="1"/>
  <c r="D172" i="1" s="1"/>
  <c r="H65" i="1"/>
  <c r="Q65" i="1" s="1"/>
  <c r="D45" i="1"/>
  <c r="E56" i="1" s="1"/>
  <c r="E164" i="1" s="1"/>
  <c r="C44" i="1"/>
  <c r="D55" i="1" s="1"/>
  <c r="I62" i="1"/>
  <c r="R62" i="1" s="1"/>
  <c r="D37" i="1"/>
  <c r="C49" i="1" s="1"/>
  <c r="C157" i="1" s="1"/>
  <c r="C38" i="1"/>
  <c r="D49" i="1" s="1"/>
  <c r="I68" i="1"/>
  <c r="R68" i="1" s="1"/>
  <c r="I70" i="1"/>
  <c r="R70" i="1" s="1"/>
  <c r="H71" i="1"/>
  <c r="Q71" i="1" s="1"/>
  <c r="H64" i="1"/>
  <c r="Q64" i="1" s="1"/>
  <c r="I67" i="1"/>
  <c r="R67" i="1" s="1"/>
  <c r="H63" i="1"/>
  <c r="Q63" i="1" s="1"/>
  <c r="D41" i="1"/>
  <c r="E52" i="1" s="1"/>
  <c r="H67" i="1"/>
  <c r="Q67" i="1" s="1"/>
  <c r="CA157" i="1" l="1"/>
  <c r="CA256" i="1"/>
  <c r="CB256" i="1" s="1"/>
  <c r="CC256" i="1" s="1"/>
  <c r="CA224" i="1"/>
  <c r="CA125" i="1"/>
  <c r="CA208" i="1"/>
  <c r="CA109" i="1"/>
  <c r="CB109" i="1" s="1"/>
  <c r="CC109" i="1" s="1"/>
  <c r="CA192" i="1"/>
  <c r="CB192" i="1" s="1"/>
  <c r="CC192" i="1" s="1"/>
  <c r="CA141" i="1"/>
  <c r="CB141" i="1" s="1"/>
  <c r="CC141" i="1" s="1"/>
  <c r="CA240" i="1"/>
  <c r="CA176" i="1"/>
  <c r="CB176" i="1" s="1"/>
  <c r="CC176" i="1" s="1"/>
  <c r="CA160" i="1"/>
  <c r="CA144" i="1"/>
  <c r="CA76" i="1"/>
  <c r="CA112" i="1"/>
  <c r="CB112" i="1" s="1"/>
  <c r="CC112" i="1" s="1"/>
  <c r="CA92" i="1"/>
  <c r="CB92" i="1" s="1"/>
  <c r="CC92" i="1" s="1"/>
  <c r="CA47" i="1"/>
  <c r="CB47" i="1" s="1"/>
  <c r="CC47" i="1" s="1"/>
  <c r="CA31" i="1"/>
  <c r="CA128" i="1"/>
  <c r="CB128" i="1" s="1"/>
  <c r="CC128" i="1" s="1"/>
  <c r="CA79" i="1"/>
  <c r="CB79" i="1" s="1"/>
  <c r="CC79" i="1" s="1"/>
  <c r="CA107" i="1"/>
  <c r="CB107" i="1" s="1"/>
  <c r="CC107" i="1" s="1"/>
  <c r="CA95" i="1"/>
  <c r="CB95" i="1" s="1"/>
  <c r="CC95" i="1" s="1"/>
  <c r="CA63" i="1"/>
  <c r="CB63" i="1" s="1"/>
  <c r="CC63" i="1" s="1"/>
  <c r="CA328" i="1"/>
  <c r="CB328" i="1" s="1"/>
  <c r="CC328" i="1" s="1"/>
  <c r="CA320" i="1"/>
  <c r="CB320" i="1" s="1"/>
  <c r="CC320" i="1" s="1"/>
  <c r="CA288" i="1"/>
  <c r="CB288" i="1" s="1"/>
  <c r="CC288" i="1" s="1"/>
  <c r="CA361" i="1"/>
  <c r="CB361" i="1" s="1"/>
  <c r="CC361" i="1" s="1"/>
  <c r="CA345" i="1"/>
  <c r="CB345" i="1" s="1"/>
  <c r="CC345" i="1" s="1"/>
  <c r="CA313" i="1"/>
  <c r="CB313" i="1" s="1"/>
  <c r="CC313" i="1" s="1"/>
  <c r="CA297" i="1"/>
  <c r="CB297" i="1" s="1"/>
  <c r="CC297" i="1" s="1"/>
  <c r="CA281" i="1"/>
  <c r="CB281" i="1" s="1"/>
  <c r="CC281" i="1" s="1"/>
  <c r="CA265" i="1"/>
  <c r="CB265" i="1" s="1"/>
  <c r="CC265" i="1" s="1"/>
  <c r="CA249" i="1"/>
  <c r="CB249" i="1" s="1"/>
  <c r="CC249" i="1" s="1"/>
  <c r="CA233" i="1"/>
  <c r="CB233" i="1" s="1"/>
  <c r="CC233" i="1" s="1"/>
  <c r="CA217" i="1"/>
  <c r="CB217" i="1" s="1"/>
  <c r="CC217" i="1" s="1"/>
  <c r="CA201" i="1"/>
  <c r="CB201" i="1" s="1"/>
  <c r="CC201" i="1" s="1"/>
  <c r="CA185" i="1"/>
  <c r="CB185" i="1" s="1"/>
  <c r="CC185" i="1" s="1"/>
  <c r="CA169" i="1"/>
  <c r="CB169" i="1" s="1"/>
  <c r="CC169" i="1" s="1"/>
  <c r="CA153" i="1"/>
  <c r="CB153" i="1" s="1"/>
  <c r="CC153" i="1" s="1"/>
  <c r="CA137" i="1"/>
  <c r="CB137" i="1" s="1"/>
  <c r="CC137" i="1" s="1"/>
  <c r="CA121" i="1"/>
  <c r="CB121" i="1" s="1"/>
  <c r="CC121" i="1" s="1"/>
  <c r="CA268" i="1"/>
  <c r="CB268" i="1" s="1"/>
  <c r="CC268" i="1" s="1"/>
  <c r="CA252" i="1"/>
  <c r="CB252" i="1" s="1"/>
  <c r="CC252" i="1" s="1"/>
  <c r="CA236" i="1"/>
  <c r="CB236" i="1" s="1"/>
  <c r="CC236" i="1" s="1"/>
  <c r="CA364" i="1"/>
  <c r="CB364" i="1" s="1"/>
  <c r="CC364" i="1" s="1"/>
  <c r="CA346" i="1"/>
  <c r="CB346" i="1" s="1"/>
  <c r="CC346" i="1" s="1"/>
  <c r="CA304" i="1"/>
  <c r="CB304" i="1" s="1"/>
  <c r="CC304" i="1" s="1"/>
  <c r="CA272" i="1"/>
  <c r="CB272" i="1" s="1"/>
  <c r="CC272" i="1" s="1"/>
  <c r="CA329" i="1"/>
  <c r="CB329" i="1" s="1"/>
  <c r="CC329" i="1" s="1"/>
  <c r="CA316" i="1"/>
  <c r="CB316" i="1" s="1"/>
  <c r="CC316" i="1" s="1"/>
  <c r="CA284" i="1"/>
  <c r="CB284" i="1" s="1"/>
  <c r="CC284" i="1" s="1"/>
  <c r="CA341" i="1"/>
  <c r="CB341" i="1" s="1"/>
  <c r="CC341" i="1" s="1"/>
  <c r="CA325" i="1"/>
  <c r="CB325" i="1" s="1"/>
  <c r="CC325" i="1" s="1"/>
  <c r="CA309" i="1"/>
  <c r="CB309" i="1" s="1"/>
  <c r="CC309" i="1" s="1"/>
  <c r="CA261" i="1"/>
  <c r="CB261" i="1" s="1"/>
  <c r="CC261" i="1" s="1"/>
  <c r="CA245" i="1"/>
  <c r="CB245" i="1" s="1"/>
  <c r="CC245" i="1" s="1"/>
  <c r="CA229" i="1"/>
  <c r="CB229" i="1" s="1"/>
  <c r="CC229" i="1" s="1"/>
  <c r="CA213" i="1"/>
  <c r="CB213" i="1" s="1"/>
  <c r="CC213" i="1" s="1"/>
  <c r="CA197" i="1"/>
  <c r="CB197" i="1" s="1"/>
  <c r="CC197" i="1" s="1"/>
  <c r="CA181" i="1"/>
  <c r="CB181" i="1" s="1"/>
  <c r="CC181" i="1" s="1"/>
  <c r="CA165" i="1"/>
  <c r="CB165" i="1" s="1"/>
  <c r="CC165" i="1" s="1"/>
  <c r="CA149" i="1"/>
  <c r="CB149" i="1" s="1"/>
  <c r="CC149" i="1" s="1"/>
  <c r="CA133" i="1"/>
  <c r="CB133" i="1" s="1"/>
  <c r="CC133" i="1" s="1"/>
  <c r="CA117" i="1"/>
  <c r="CB117" i="1" s="1"/>
  <c r="CC117" i="1" s="1"/>
  <c r="CA264" i="1"/>
  <c r="CB264" i="1" s="1"/>
  <c r="CC264" i="1" s="1"/>
  <c r="CA248" i="1"/>
  <c r="CB248" i="1" s="1"/>
  <c r="CC248" i="1" s="1"/>
  <c r="CA232" i="1"/>
  <c r="CB232" i="1" s="1"/>
  <c r="CC232" i="1" s="1"/>
  <c r="CA216" i="1"/>
  <c r="CB216" i="1" s="1"/>
  <c r="CC216" i="1" s="1"/>
  <c r="CA200" i="1"/>
  <c r="CB200" i="1" s="1"/>
  <c r="CC200" i="1" s="1"/>
  <c r="CA184" i="1"/>
  <c r="CB184" i="1" s="1"/>
  <c r="CC184" i="1" s="1"/>
  <c r="CA168" i="1"/>
  <c r="CB168" i="1" s="1"/>
  <c r="CC168" i="1" s="1"/>
  <c r="CA358" i="1"/>
  <c r="CB358" i="1" s="1"/>
  <c r="CC358" i="1" s="1"/>
  <c r="CA340" i="1"/>
  <c r="CB340" i="1" s="1"/>
  <c r="CC340" i="1" s="1"/>
  <c r="CA373" i="1"/>
  <c r="CB373" i="1" s="1"/>
  <c r="CC373" i="1" s="1"/>
  <c r="CA293" i="1"/>
  <c r="CB293" i="1" s="1"/>
  <c r="CC293" i="1" s="1"/>
  <c r="CA372" i="1"/>
  <c r="CB372" i="1" s="1"/>
  <c r="CC372" i="1" s="1"/>
  <c r="CA300" i="1"/>
  <c r="CB300" i="1" s="1"/>
  <c r="CC300" i="1" s="1"/>
  <c r="CA357" i="1"/>
  <c r="CB357" i="1" s="1"/>
  <c r="CC357" i="1" s="1"/>
  <c r="CA277" i="1"/>
  <c r="CB277" i="1" s="1"/>
  <c r="CC277" i="1" s="1"/>
  <c r="CA15" i="1"/>
  <c r="CB15" i="1" s="1"/>
  <c r="CC15" i="1" s="1"/>
  <c r="CA350" i="1"/>
  <c r="CB350" i="1" s="1"/>
  <c r="CC350" i="1" s="1"/>
  <c r="CA360" i="1"/>
  <c r="CB360" i="1" s="1"/>
  <c r="CC360" i="1" s="1"/>
  <c r="CA334" i="1"/>
  <c r="CB334" i="1" s="1"/>
  <c r="CC334" i="1" s="1"/>
  <c r="CA312" i="1"/>
  <c r="CB312" i="1" s="1"/>
  <c r="CC312" i="1" s="1"/>
  <c r="CA296" i="1"/>
  <c r="CB296" i="1" s="1"/>
  <c r="CC296" i="1" s="1"/>
  <c r="CA280" i="1"/>
  <c r="CB280" i="1" s="1"/>
  <c r="CC280" i="1" s="1"/>
  <c r="CA369" i="1"/>
  <c r="CB369" i="1" s="1"/>
  <c r="CC369" i="1" s="1"/>
  <c r="CA353" i="1"/>
  <c r="CB353" i="1" s="1"/>
  <c r="CC353" i="1" s="1"/>
  <c r="CA337" i="1"/>
  <c r="CB337" i="1" s="1"/>
  <c r="CC337" i="1" s="1"/>
  <c r="CA321" i="1"/>
  <c r="CB321" i="1" s="1"/>
  <c r="CC321" i="1" s="1"/>
  <c r="CA305" i="1"/>
  <c r="CB305" i="1" s="1"/>
  <c r="CC305" i="1" s="1"/>
  <c r="CA289" i="1"/>
  <c r="CB289" i="1" s="1"/>
  <c r="CC289" i="1" s="1"/>
  <c r="CA273" i="1"/>
  <c r="CB273" i="1" s="1"/>
  <c r="CC273" i="1" s="1"/>
  <c r="CA257" i="1"/>
  <c r="CB257" i="1" s="1"/>
  <c r="CC257" i="1" s="1"/>
  <c r="CA241" i="1"/>
  <c r="CB241" i="1" s="1"/>
  <c r="CC241" i="1" s="1"/>
  <c r="CA225" i="1"/>
  <c r="CB225" i="1" s="1"/>
  <c r="CC225" i="1" s="1"/>
  <c r="CA209" i="1"/>
  <c r="CB209" i="1" s="1"/>
  <c r="CC209" i="1" s="1"/>
  <c r="CA193" i="1"/>
  <c r="CB193" i="1" s="1"/>
  <c r="CC193" i="1" s="1"/>
  <c r="CA177" i="1"/>
  <c r="CB177" i="1" s="1"/>
  <c r="CC177" i="1" s="1"/>
  <c r="CA161" i="1"/>
  <c r="CB161" i="1" s="1"/>
  <c r="CC161" i="1" s="1"/>
  <c r="CA145" i="1"/>
  <c r="CB145" i="1" s="1"/>
  <c r="CC145" i="1" s="1"/>
  <c r="CA129" i="1"/>
  <c r="CB129" i="1" s="1"/>
  <c r="CC129" i="1" s="1"/>
  <c r="CA113" i="1"/>
  <c r="CB113" i="1" s="1"/>
  <c r="CC113" i="1" s="1"/>
  <c r="CA220" i="1"/>
  <c r="CB220" i="1" s="1"/>
  <c r="CC220" i="1" s="1"/>
  <c r="CA204" i="1"/>
  <c r="CB204" i="1" s="1"/>
  <c r="CC204" i="1" s="1"/>
  <c r="CA188" i="1"/>
  <c r="CB188" i="1" s="1"/>
  <c r="CC188" i="1" s="1"/>
  <c r="CA260" i="1"/>
  <c r="CB260" i="1" s="1"/>
  <c r="CC260" i="1" s="1"/>
  <c r="CA152" i="1"/>
  <c r="CB152" i="1" s="1"/>
  <c r="CC152" i="1" s="1"/>
  <c r="CA172" i="1"/>
  <c r="CB172" i="1" s="1"/>
  <c r="CC172" i="1" s="1"/>
  <c r="CA156" i="1"/>
  <c r="CB156" i="1" s="1"/>
  <c r="CC156" i="1" s="1"/>
  <c r="CA140" i="1"/>
  <c r="CB140" i="1" s="1"/>
  <c r="CC140" i="1" s="1"/>
  <c r="CA124" i="1"/>
  <c r="CB124" i="1" s="1"/>
  <c r="CC124" i="1" s="1"/>
  <c r="CA108" i="1"/>
  <c r="CB108" i="1" s="1"/>
  <c r="CC108" i="1" s="1"/>
  <c r="CA91" i="1"/>
  <c r="CB91" i="1" s="1"/>
  <c r="CC91" i="1" s="1"/>
  <c r="CA136" i="1"/>
  <c r="CB136" i="1" s="1"/>
  <c r="CC136" i="1" s="1"/>
  <c r="CA120" i="1"/>
  <c r="CB120" i="1" s="1"/>
  <c r="CC120" i="1" s="1"/>
  <c r="CA104" i="1"/>
  <c r="CB104" i="1" s="1"/>
  <c r="CC104" i="1" s="1"/>
  <c r="CA87" i="1"/>
  <c r="CB87" i="1" s="1"/>
  <c r="CC87" i="1" s="1"/>
  <c r="CA244" i="1"/>
  <c r="CB244" i="1" s="1"/>
  <c r="CC244" i="1" s="1"/>
  <c r="CA228" i="1"/>
  <c r="CB228" i="1" s="1"/>
  <c r="CC228" i="1" s="1"/>
  <c r="CA71" i="1"/>
  <c r="CB71" i="1" s="1"/>
  <c r="CC71" i="1" s="1"/>
  <c r="CA55" i="1"/>
  <c r="CB55" i="1" s="1"/>
  <c r="CC55" i="1" s="1"/>
  <c r="CA39" i="1"/>
  <c r="CB39" i="1" s="1"/>
  <c r="CC39" i="1" s="1"/>
  <c r="CA23" i="1"/>
  <c r="CB23" i="1" s="1"/>
  <c r="CC23" i="1" s="1"/>
  <c r="CA100" i="1"/>
  <c r="CB100" i="1" s="1"/>
  <c r="CC100" i="1" s="1"/>
  <c r="CA212" i="1"/>
  <c r="CB212" i="1" s="1"/>
  <c r="CC212" i="1" s="1"/>
  <c r="CA196" i="1"/>
  <c r="CB196" i="1" s="1"/>
  <c r="CC196" i="1" s="1"/>
  <c r="CA180" i="1"/>
  <c r="CB180" i="1" s="1"/>
  <c r="CC180" i="1" s="1"/>
  <c r="CA75" i="1"/>
  <c r="CB75" i="1" s="1"/>
  <c r="CC75" i="1" s="1"/>
  <c r="CA59" i="1"/>
  <c r="CB59" i="1" s="1"/>
  <c r="CC59" i="1" s="1"/>
  <c r="CA43" i="1"/>
  <c r="CB43" i="1" s="1"/>
  <c r="CC43" i="1" s="1"/>
  <c r="CA27" i="1"/>
  <c r="CB27" i="1" s="1"/>
  <c r="CC27" i="1" s="1"/>
  <c r="CA103" i="1"/>
  <c r="CB103" i="1" s="1"/>
  <c r="CC103" i="1" s="1"/>
  <c r="CA88" i="1"/>
  <c r="CB88" i="1" s="1"/>
  <c r="CC88" i="1" s="1"/>
  <c r="CA72" i="1"/>
  <c r="CB72" i="1" s="1"/>
  <c r="CC72" i="1" s="1"/>
  <c r="CA84" i="1"/>
  <c r="CB84" i="1" s="1"/>
  <c r="CC84" i="1" s="1"/>
  <c r="CA68" i="1"/>
  <c r="CB68" i="1" s="1"/>
  <c r="CC68" i="1" s="1"/>
  <c r="CA164" i="1"/>
  <c r="CB164" i="1" s="1"/>
  <c r="CC164" i="1" s="1"/>
  <c r="CA148" i="1"/>
  <c r="CB148" i="1" s="1"/>
  <c r="CC148" i="1" s="1"/>
  <c r="CA132" i="1"/>
  <c r="CB132" i="1" s="1"/>
  <c r="CC132" i="1" s="1"/>
  <c r="CA116" i="1"/>
  <c r="CB116" i="1" s="1"/>
  <c r="CC116" i="1" s="1"/>
  <c r="CA99" i="1"/>
  <c r="CB99" i="1" s="1"/>
  <c r="CC99" i="1" s="1"/>
  <c r="CA83" i="1"/>
  <c r="CB83" i="1" s="1"/>
  <c r="CC83" i="1" s="1"/>
  <c r="CA67" i="1"/>
  <c r="CB67" i="1" s="1"/>
  <c r="CC67" i="1" s="1"/>
  <c r="CA51" i="1"/>
  <c r="CB51" i="1" s="1"/>
  <c r="CC51" i="1" s="1"/>
  <c r="CA35" i="1"/>
  <c r="CB35" i="1" s="1"/>
  <c r="CC35" i="1" s="1"/>
  <c r="CA19" i="1"/>
  <c r="CB19" i="1" s="1"/>
  <c r="CC19" i="1" s="1"/>
  <c r="CA96" i="1"/>
  <c r="CB96" i="1" s="1"/>
  <c r="CC96" i="1" s="1"/>
  <c r="CA80" i="1"/>
  <c r="CB80" i="1" s="1"/>
  <c r="CC80" i="1" s="1"/>
  <c r="CA64" i="1"/>
  <c r="CB64" i="1" s="1"/>
  <c r="CC64" i="1" s="1"/>
  <c r="CA60" i="1"/>
  <c r="CB60" i="1" s="1"/>
  <c r="CC60" i="1" s="1"/>
  <c r="CA56" i="1"/>
  <c r="CB56" i="1" s="1"/>
  <c r="CC56" i="1" s="1"/>
  <c r="CA52" i="1"/>
  <c r="CB52" i="1" s="1"/>
  <c r="CC52" i="1" s="1"/>
  <c r="CA48" i="1"/>
  <c r="CB48" i="1" s="1"/>
  <c r="CC48" i="1" s="1"/>
  <c r="CA44" i="1"/>
  <c r="CB44" i="1" s="1"/>
  <c r="CC44" i="1" s="1"/>
  <c r="CA40" i="1"/>
  <c r="CB40" i="1" s="1"/>
  <c r="CC40" i="1" s="1"/>
  <c r="CA36" i="1"/>
  <c r="CB36" i="1" s="1"/>
  <c r="CC36" i="1" s="1"/>
  <c r="CA32" i="1"/>
  <c r="CB32" i="1" s="1"/>
  <c r="CC32" i="1" s="1"/>
  <c r="CA28" i="1"/>
  <c r="CB28" i="1" s="1"/>
  <c r="CC28" i="1" s="1"/>
  <c r="CA24" i="1"/>
  <c r="CB24" i="1" s="1"/>
  <c r="CC24" i="1" s="1"/>
  <c r="CA20" i="1"/>
  <c r="CB20" i="1" s="1"/>
  <c r="CC20" i="1" s="1"/>
  <c r="CA16" i="1"/>
  <c r="CB16" i="1" s="1"/>
  <c r="CC16" i="1" s="1"/>
  <c r="CA374" i="1"/>
  <c r="CB374" i="1" s="1"/>
  <c r="CC374" i="1" s="1"/>
  <c r="CA368" i="1"/>
  <c r="CB368" i="1" s="1"/>
  <c r="CC368" i="1" s="1"/>
  <c r="CA362" i="1"/>
  <c r="CB362" i="1" s="1"/>
  <c r="CC362" i="1" s="1"/>
  <c r="CA354" i="1"/>
  <c r="CB354" i="1" s="1"/>
  <c r="CC354" i="1" s="1"/>
  <c r="CA342" i="1"/>
  <c r="CB342" i="1" s="1"/>
  <c r="CC342" i="1" s="1"/>
  <c r="CA332" i="1"/>
  <c r="CB332" i="1" s="1"/>
  <c r="CC332" i="1" s="1"/>
  <c r="CA326" i="1"/>
  <c r="CB326" i="1" s="1"/>
  <c r="CC326" i="1" s="1"/>
  <c r="CA366" i="1"/>
  <c r="CB366" i="1" s="1"/>
  <c r="CC366" i="1" s="1"/>
  <c r="CA356" i="1"/>
  <c r="CB356" i="1" s="1"/>
  <c r="CC356" i="1" s="1"/>
  <c r="CA348" i="1"/>
  <c r="CB348" i="1" s="1"/>
  <c r="CC348" i="1" s="1"/>
  <c r="CA344" i="1"/>
  <c r="CB344" i="1" s="1"/>
  <c r="CC344" i="1" s="1"/>
  <c r="CA338" i="1"/>
  <c r="CB338" i="1" s="1"/>
  <c r="CC338" i="1" s="1"/>
  <c r="CA330" i="1"/>
  <c r="CB330" i="1" s="1"/>
  <c r="CC330" i="1" s="1"/>
  <c r="CA322" i="1"/>
  <c r="CB322" i="1" s="1"/>
  <c r="CC322" i="1" s="1"/>
  <c r="CA318" i="1"/>
  <c r="CB318" i="1" s="1"/>
  <c r="CC318" i="1" s="1"/>
  <c r="CA314" i="1"/>
  <c r="CB314" i="1" s="1"/>
  <c r="CC314" i="1" s="1"/>
  <c r="CA310" i="1"/>
  <c r="CB310" i="1" s="1"/>
  <c r="CC310" i="1" s="1"/>
  <c r="CA306" i="1"/>
  <c r="CB306" i="1" s="1"/>
  <c r="CC306" i="1" s="1"/>
  <c r="CA302" i="1"/>
  <c r="CB302" i="1" s="1"/>
  <c r="CC302" i="1" s="1"/>
  <c r="CA298" i="1"/>
  <c r="CB298" i="1" s="1"/>
  <c r="CC298" i="1" s="1"/>
  <c r="CA294" i="1"/>
  <c r="CB294" i="1" s="1"/>
  <c r="CC294" i="1" s="1"/>
  <c r="CA290" i="1"/>
  <c r="CB290" i="1" s="1"/>
  <c r="CC290" i="1" s="1"/>
  <c r="CA286" i="1"/>
  <c r="CB286" i="1" s="1"/>
  <c r="CC286" i="1" s="1"/>
  <c r="CA282" i="1"/>
  <c r="CB282" i="1" s="1"/>
  <c r="CC282" i="1" s="1"/>
  <c r="CA278" i="1"/>
  <c r="CB278" i="1" s="1"/>
  <c r="CC278" i="1" s="1"/>
  <c r="CA274" i="1"/>
  <c r="CB274" i="1" s="1"/>
  <c r="CC274" i="1" s="1"/>
  <c r="CA375" i="1"/>
  <c r="CB375" i="1" s="1"/>
  <c r="CC375" i="1" s="1"/>
  <c r="CA371" i="1"/>
  <c r="CB371" i="1" s="1"/>
  <c r="CC371" i="1" s="1"/>
  <c r="CA367" i="1"/>
  <c r="CB367" i="1" s="1"/>
  <c r="CC367" i="1" s="1"/>
  <c r="CA363" i="1"/>
  <c r="CB363" i="1" s="1"/>
  <c r="CC363" i="1" s="1"/>
  <c r="CA359" i="1"/>
  <c r="CB359" i="1" s="1"/>
  <c r="CC359" i="1" s="1"/>
  <c r="CA355" i="1"/>
  <c r="CB355" i="1" s="1"/>
  <c r="CC355" i="1" s="1"/>
  <c r="CA351" i="1"/>
  <c r="CB351" i="1" s="1"/>
  <c r="CC351" i="1" s="1"/>
  <c r="CA347" i="1"/>
  <c r="CB347" i="1" s="1"/>
  <c r="CC347" i="1" s="1"/>
  <c r="CA343" i="1"/>
  <c r="CB343" i="1" s="1"/>
  <c r="CC343" i="1" s="1"/>
  <c r="CA339" i="1"/>
  <c r="CB339" i="1" s="1"/>
  <c r="CC339" i="1" s="1"/>
  <c r="CA335" i="1"/>
  <c r="CB335" i="1" s="1"/>
  <c r="CC335" i="1" s="1"/>
  <c r="CA331" i="1"/>
  <c r="CB331" i="1" s="1"/>
  <c r="CC331" i="1" s="1"/>
  <c r="CA327" i="1"/>
  <c r="CB327" i="1" s="1"/>
  <c r="CC327" i="1" s="1"/>
  <c r="CA323" i="1"/>
  <c r="CB323" i="1" s="1"/>
  <c r="CC323" i="1" s="1"/>
  <c r="CA319" i="1"/>
  <c r="CB319" i="1" s="1"/>
  <c r="CC319" i="1" s="1"/>
  <c r="CA315" i="1"/>
  <c r="CB315" i="1" s="1"/>
  <c r="CC315" i="1" s="1"/>
  <c r="CA311" i="1"/>
  <c r="CB311" i="1" s="1"/>
  <c r="CC311" i="1" s="1"/>
  <c r="CA307" i="1"/>
  <c r="CB307" i="1" s="1"/>
  <c r="CC307" i="1" s="1"/>
  <c r="CA303" i="1"/>
  <c r="CB303" i="1" s="1"/>
  <c r="CC303" i="1" s="1"/>
  <c r="CA299" i="1"/>
  <c r="CB299" i="1" s="1"/>
  <c r="CC299" i="1" s="1"/>
  <c r="CA295" i="1"/>
  <c r="CB295" i="1" s="1"/>
  <c r="CC295" i="1" s="1"/>
  <c r="CA291" i="1"/>
  <c r="CB291" i="1" s="1"/>
  <c r="CC291" i="1" s="1"/>
  <c r="CA287" i="1"/>
  <c r="CB287" i="1" s="1"/>
  <c r="CC287" i="1" s="1"/>
  <c r="CA283" i="1"/>
  <c r="CB283" i="1" s="1"/>
  <c r="CC283" i="1" s="1"/>
  <c r="CA279" i="1"/>
  <c r="CB279" i="1" s="1"/>
  <c r="CC279" i="1" s="1"/>
  <c r="CA275" i="1"/>
  <c r="CB275" i="1" s="1"/>
  <c r="CC275" i="1" s="1"/>
  <c r="CA271" i="1"/>
  <c r="CB271" i="1" s="1"/>
  <c r="CC271" i="1" s="1"/>
  <c r="CA267" i="1"/>
  <c r="CB267" i="1" s="1"/>
  <c r="CC267" i="1" s="1"/>
  <c r="CA263" i="1"/>
  <c r="CB263" i="1" s="1"/>
  <c r="CC263" i="1" s="1"/>
  <c r="CA259" i="1"/>
  <c r="CB259" i="1" s="1"/>
  <c r="CC259" i="1" s="1"/>
  <c r="CA255" i="1"/>
  <c r="CB255" i="1" s="1"/>
  <c r="CC255" i="1" s="1"/>
  <c r="CA251" i="1"/>
  <c r="CB251" i="1" s="1"/>
  <c r="CC251" i="1" s="1"/>
  <c r="CA247" i="1"/>
  <c r="CB247" i="1" s="1"/>
  <c r="CC247" i="1" s="1"/>
  <c r="CA243" i="1"/>
  <c r="CB243" i="1" s="1"/>
  <c r="CC243" i="1" s="1"/>
  <c r="CA239" i="1"/>
  <c r="CB239" i="1" s="1"/>
  <c r="CC239" i="1" s="1"/>
  <c r="CA235" i="1"/>
  <c r="CB235" i="1" s="1"/>
  <c r="CC235" i="1" s="1"/>
  <c r="CA231" i="1"/>
  <c r="CB231" i="1" s="1"/>
  <c r="CC231" i="1" s="1"/>
  <c r="CA227" i="1"/>
  <c r="CB227" i="1" s="1"/>
  <c r="CC227" i="1" s="1"/>
  <c r="CA223" i="1"/>
  <c r="CB223" i="1" s="1"/>
  <c r="CC223" i="1" s="1"/>
  <c r="CA219" i="1"/>
  <c r="CB219" i="1" s="1"/>
  <c r="CC219" i="1" s="1"/>
  <c r="CA215" i="1"/>
  <c r="CB215" i="1" s="1"/>
  <c r="CC215" i="1" s="1"/>
  <c r="CA211" i="1"/>
  <c r="CB211" i="1" s="1"/>
  <c r="CC211" i="1" s="1"/>
  <c r="CA207" i="1"/>
  <c r="CB207" i="1" s="1"/>
  <c r="CC207" i="1" s="1"/>
  <c r="CA203" i="1"/>
  <c r="CB203" i="1" s="1"/>
  <c r="CC203" i="1" s="1"/>
  <c r="CA199" i="1"/>
  <c r="CB199" i="1" s="1"/>
  <c r="CC199" i="1" s="1"/>
  <c r="CA195" i="1"/>
  <c r="CB195" i="1" s="1"/>
  <c r="CC195" i="1" s="1"/>
  <c r="CA191" i="1"/>
  <c r="CB191" i="1" s="1"/>
  <c r="CC191" i="1" s="1"/>
  <c r="CA187" i="1"/>
  <c r="CB187" i="1" s="1"/>
  <c r="CC187" i="1" s="1"/>
  <c r="CA183" i="1"/>
  <c r="CB183" i="1" s="1"/>
  <c r="CC183" i="1" s="1"/>
  <c r="CA179" i="1"/>
  <c r="CB179" i="1" s="1"/>
  <c r="CC179" i="1" s="1"/>
  <c r="CA175" i="1"/>
  <c r="CB175" i="1" s="1"/>
  <c r="CC175" i="1" s="1"/>
  <c r="CA171" i="1"/>
  <c r="CB171" i="1" s="1"/>
  <c r="CC171" i="1" s="1"/>
  <c r="CA167" i="1"/>
  <c r="CB167" i="1" s="1"/>
  <c r="CC167" i="1" s="1"/>
  <c r="CA163" i="1"/>
  <c r="CB163" i="1" s="1"/>
  <c r="CC163" i="1" s="1"/>
  <c r="CA159" i="1"/>
  <c r="CB159" i="1" s="1"/>
  <c r="CC159" i="1" s="1"/>
  <c r="CA155" i="1"/>
  <c r="CB155" i="1" s="1"/>
  <c r="CC155" i="1" s="1"/>
  <c r="CA151" i="1"/>
  <c r="CB151" i="1" s="1"/>
  <c r="CC151" i="1" s="1"/>
  <c r="CA147" i="1"/>
  <c r="CB147" i="1" s="1"/>
  <c r="CC147" i="1" s="1"/>
  <c r="CA143" i="1"/>
  <c r="CB143" i="1" s="1"/>
  <c r="CC143" i="1" s="1"/>
  <c r="CA139" i="1"/>
  <c r="CB139" i="1" s="1"/>
  <c r="CC139" i="1" s="1"/>
  <c r="CA135" i="1"/>
  <c r="CB135" i="1" s="1"/>
  <c r="CC135" i="1" s="1"/>
  <c r="CA131" i="1"/>
  <c r="CB131" i="1" s="1"/>
  <c r="CC131" i="1" s="1"/>
  <c r="CA127" i="1"/>
  <c r="CB127" i="1" s="1"/>
  <c r="CC127" i="1" s="1"/>
  <c r="CA123" i="1"/>
  <c r="CB123" i="1" s="1"/>
  <c r="CC123" i="1" s="1"/>
  <c r="CA119" i="1"/>
  <c r="CB119" i="1" s="1"/>
  <c r="CC119" i="1" s="1"/>
  <c r="CA115" i="1"/>
  <c r="CB115" i="1" s="1"/>
  <c r="CC115" i="1" s="1"/>
  <c r="CA111" i="1"/>
  <c r="CB111" i="1" s="1"/>
  <c r="CC111" i="1" s="1"/>
  <c r="CA270" i="1"/>
  <c r="CB270" i="1" s="1"/>
  <c r="CC270" i="1" s="1"/>
  <c r="CA266" i="1"/>
  <c r="CB266" i="1" s="1"/>
  <c r="CC266" i="1" s="1"/>
  <c r="CA262" i="1"/>
  <c r="CB262" i="1" s="1"/>
  <c r="CC262" i="1" s="1"/>
  <c r="CA258" i="1"/>
  <c r="CB258" i="1" s="1"/>
  <c r="CC258" i="1" s="1"/>
  <c r="CA254" i="1"/>
  <c r="CB254" i="1" s="1"/>
  <c r="CC254" i="1" s="1"/>
  <c r="CA250" i="1"/>
  <c r="CB250" i="1" s="1"/>
  <c r="CC250" i="1" s="1"/>
  <c r="CA246" i="1"/>
  <c r="CB246" i="1" s="1"/>
  <c r="CC246" i="1" s="1"/>
  <c r="CA242" i="1"/>
  <c r="CB242" i="1" s="1"/>
  <c r="CC242" i="1" s="1"/>
  <c r="CA238" i="1"/>
  <c r="CB238" i="1" s="1"/>
  <c r="CC238" i="1" s="1"/>
  <c r="CA234" i="1"/>
  <c r="CB234" i="1" s="1"/>
  <c r="CC234" i="1" s="1"/>
  <c r="CA230" i="1"/>
  <c r="CB230" i="1" s="1"/>
  <c r="CC230" i="1" s="1"/>
  <c r="CA226" i="1"/>
  <c r="CB226" i="1" s="1"/>
  <c r="CC226" i="1" s="1"/>
  <c r="CA222" i="1"/>
  <c r="CB222" i="1" s="1"/>
  <c r="CC222" i="1" s="1"/>
  <c r="CA218" i="1"/>
  <c r="CB218" i="1" s="1"/>
  <c r="CC218" i="1" s="1"/>
  <c r="CA214" i="1"/>
  <c r="CB214" i="1" s="1"/>
  <c r="CC214" i="1" s="1"/>
  <c r="CA210" i="1"/>
  <c r="CB210" i="1" s="1"/>
  <c r="CC210" i="1" s="1"/>
  <c r="CA206" i="1"/>
  <c r="CB206" i="1" s="1"/>
  <c r="CC206" i="1" s="1"/>
  <c r="CA202" i="1"/>
  <c r="CB202" i="1" s="1"/>
  <c r="CC202" i="1" s="1"/>
  <c r="CA198" i="1"/>
  <c r="CB198" i="1" s="1"/>
  <c r="CC198" i="1" s="1"/>
  <c r="CA194" i="1"/>
  <c r="CB194" i="1" s="1"/>
  <c r="CC194" i="1" s="1"/>
  <c r="CA190" i="1"/>
  <c r="CB190" i="1" s="1"/>
  <c r="CC190" i="1" s="1"/>
  <c r="CA186" i="1"/>
  <c r="CB186" i="1" s="1"/>
  <c r="CC186" i="1" s="1"/>
  <c r="CA182" i="1"/>
  <c r="CB182" i="1" s="1"/>
  <c r="CC182" i="1" s="1"/>
  <c r="CA178" i="1"/>
  <c r="CB178" i="1" s="1"/>
  <c r="CC178" i="1" s="1"/>
  <c r="CA174" i="1"/>
  <c r="CB174" i="1" s="1"/>
  <c r="CC174" i="1" s="1"/>
  <c r="CA170" i="1"/>
  <c r="CB170" i="1" s="1"/>
  <c r="CC170" i="1" s="1"/>
  <c r="CA166" i="1"/>
  <c r="CB166" i="1" s="1"/>
  <c r="CC166" i="1" s="1"/>
  <c r="CA162" i="1"/>
  <c r="CB162" i="1" s="1"/>
  <c r="CC162" i="1" s="1"/>
  <c r="CA158" i="1"/>
  <c r="CB158" i="1" s="1"/>
  <c r="CC158" i="1" s="1"/>
  <c r="CA154" i="1"/>
  <c r="CB154" i="1" s="1"/>
  <c r="CC154" i="1" s="1"/>
  <c r="CA150" i="1"/>
  <c r="CB150" i="1" s="1"/>
  <c r="CC150" i="1" s="1"/>
  <c r="CA146" i="1"/>
  <c r="CB146" i="1" s="1"/>
  <c r="CC146" i="1" s="1"/>
  <c r="CA142" i="1"/>
  <c r="CB142" i="1" s="1"/>
  <c r="CC142" i="1" s="1"/>
  <c r="CA138" i="1"/>
  <c r="CB138" i="1" s="1"/>
  <c r="CC138" i="1" s="1"/>
  <c r="CA134" i="1"/>
  <c r="CB134" i="1" s="1"/>
  <c r="CC134" i="1" s="1"/>
  <c r="CA130" i="1"/>
  <c r="CB130" i="1" s="1"/>
  <c r="CC130" i="1" s="1"/>
  <c r="CA126" i="1"/>
  <c r="CB126" i="1" s="1"/>
  <c r="CC126" i="1" s="1"/>
  <c r="CA122" i="1"/>
  <c r="CB122" i="1" s="1"/>
  <c r="CC122" i="1" s="1"/>
  <c r="CA118" i="1"/>
  <c r="CB118" i="1" s="1"/>
  <c r="CC118" i="1" s="1"/>
  <c r="CA114" i="1"/>
  <c r="CB114" i="1" s="1"/>
  <c r="CC114" i="1" s="1"/>
  <c r="CA110" i="1"/>
  <c r="CB110" i="1" s="1"/>
  <c r="CC110" i="1" s="1"/>
  <c r="CA106" i="1"/>
  <c r="CB106" i="1" s="1"/>
  <c r="CC106" i="1" s="1"/>
  <c r="CA102" i="1"/>
  <c r="CB102" i="1" s="1"/>
  <c r="CC102" i="1" s="1"/>
  <c r="CA97" i="1"/>
  <c r="CB97" i="1" s="1"/>
  <c r="CC97" i="1" s="1"/>
  <c r="CA93" i="1"/>
  <c r="CB93" i="1" s="1"/>
  <c r="CC93" i="1" s="1"/>
  <c r="CA89" i="1"/>
  <c r="CB89" i="1" s="1"/>
  <c r="CC89" i="1" s="1"/>
  <c r="CA85" i="1"/>
  <c r="CB85" i="1" s="1"/>
  <c r="CC85" i="1" s="1"/>
  <c r="CA81" i="1"/>
  <c r="CB81" i="1" s="1"/>
  <c r="CC81" i="1" s="1"/>
  <c r="CA77" i="1"/>
  <c r="CB77" i="1" s="1"/>
  <c r="CC77" i="1" s="1"/>
  <c r="CA73" i="1"/>
  <c r="CB73" i="1" s="1"/>
  <c r="CC73" i="1" s="1"/>
  <c r="CA69" i="1"/>
  <c r="CB69" i="1" s="1"/>
  <c r="CC69" i="1" s="1"/>
  <c r="CA65" i="1"/>
  <c r="CB65" i="1" s="1"/>
  <c r="CC65" i="1" s="1"/>
  <c r="CA61" i="1"/>
  <c r="CB61" i="1" s="1"/>
  <c r="CC61" i="1" s="1"/>
  <c r="CA57" i="1"/>
  <c r="CB57" i="1" s="1"/>
  <c r="CC57" i="1" s="1"/>
  <c r="CA53" i="1"/>
  <c r="CB53" i="1" s="1"/>
  <c r="CC53" i="1" s="1"/>
  <c r="CA49" i="1"/>
  <c r="CB49" i="1" s="1"/>
  <c r="CC49" i="1" s="1"/>
  <c r="CA45" i="1"/>
  <c r="CB45" i="1" s="1"/>
  <c r="CC45" i="1" s="1"/>
  <c r="CA41" i="1"/>
  <c r="CB41" i="1" s="1"/>
  <c r="CC41" i="1" s="1"/>
  <c r="CA37" i="1"/>
  <c r="CB37" i="1" s="1"/>
  <c r="CC37" i="1" s="1"/>
  <c r="CA33" i="1"/>
  <c r="CB33" i="1" s="1"/>
  <c r="CC33" i="1" s="1"/>
  <c r="CA29" i="1"/>
  <c r="CB29" i="1" s="1"/>
  <c r="CC29" i="1" s="1"/>
  <c r="CA25" i="1"/>
  <c r="CB25" i="1" s="1"/>
  <c r="CC25" i="1" s="1"/>
  <c r="CA21" i="1"/>
  <c r="CB21" i="1" s="1"/>
  <c r="CC21" i="1" s="1"/>
  <c r="CA17" i="1"/>
  <c r="CB17" i="1" s="1"/>
  <c r="CC17" i="1" s="1"/>
  <c r="CA105" i="1"/>
  <c r="CB105" i="1" s="1"/>
  <c r="CC105" i="1" s="1"/>
  <c r="CA101" i="1"/>
  <c r="CB101" i="1" s="1"/>
  <c r="CC101" i="1" s="1"/>
  <c r="CA98" i="1"/>
  <c r="CB98" i="1" s="1"/>
  <c r="CC98" i="1" s="1"/>
  <c r="CA94" i="1"/>
  <c r="CB94" i="1" s="1"/>
  <c r="CC94" i="1" s="1"/>
  <c r="CA90" i="1"/>
  <c r="CB90" i="1" s="1"/>
  <c r="CC90" i="1" s="1"/>
  <c r="CA86" i="1"/>
  <c r="CB86" i="1" s="1"/>
  <c r="CC86" i="1" s="1"/>
  <c r="CA82" i="1"/>
  <c r="CB82" i="1" s="1"/>
  <c r="CC82" i="1" s="1"/>
  <c r="CA78" i="1"/>
  <c r="CB78" i="1" s="1"/>
  <c r="CC78" i="1" s="1"/>
  <c r="CA74" i="1"/>
  <c r="CB74" i="1" s="1"/>
  <c r="CC74" i="1" s="1"/>
  <c r="CA70" i="1"/>
  <c r="CB70" i="1" s="1"/>
  <c r="CC70" i="1" s="1"/>
  <c r="CA66" i="1"/>
  <c r="CB66" i="1" s="1"/>
  <c r="CC66" i="1" s="1"/>
  <c r="CA62" i="1"/>
  <c r="CB62" i="1" s="1"/>
  <c r="CC62" i="1" s="1"/>
  <c r="CA58" i="1"/>
  <c r="CB58" i="1" s="1"/>
  <c r="CC58" i="1" s="1"/>
  <c r="CA54" i="1"/>
  <c r="CB54" i="1" s="1"/>
  <c r="CC54" i="1" s="1"/>
  <c r="CA50" i="1"/>
  <c r="CB50" i="1" s="1"/>
  <c r="CC50" i="1" s="1"/>
  <c r="CA46" i="1"/>
  <c r="CB46" i="1" s="1"/>
  <c r="CC46" i="1" s="1"/>
  <c r="CA42" i="1"/>
  <c r="CB42" i="1" s="1"/>
  <c r="CC42" i="1" s="1"/>
  <c r="CA38" i="1"/>
  <c r="CB38" i="1" s="1"/>
  <c r="CC38" i="1" s="1"/>
  <c r="CA34" i="1"/>
  <c r="CB34" i="1" s="1"/>
  <c r="CC34" i="1" s="1"/>
  <c r="CA30" i="1"/>
  <c r="CB30" i="1" s="1"/>
  <c r="CC30" i="1" s="1"/>
  <c r="CA26" i="1"/>
  <c r="CB26" i="1" s="1"/>
  <c r="CC26" i="1" s="1"/>
  <c r="CA22" i="1"/>
  <c r="CB22" i="1" s="1"/>
  <c r="CC22" i="1" s="1"/>
  <c r="CA18" i="1"/>
  <c r="CB18" i="1" s="1"/>
  <c r="CC18" i="1" s="1"/>
  <c r="CB144" i="1"/>
  <c r="CC144" i="1" s="1"/>
  <c r="CB160" i="1"/>
  <c r="CC160" i="1" s="1"/>
  <c r="CB31" i="1"/>
  <c r="CC31" i="1" s="1"/>
  <c r="CB125" i="1"/>
  <c r="CC125" i="1" s="1"/>
  <c r="CB157" i="1"/>
  <c r="CC157" i="1" s="1"/>
  <c r="CB173" i="1"/>
  <c r="CC173" i="1" s="1"/>
  <c r="CB208" i="1"/>
  <c r="CC208" i="1" s="1"/>
  <c r="CB224" i="1"/>
  <c r="CC224" i="1" s="1"/>
  <c r="CB240" i="1"/>
  <c r="CC240" i="1" s="1"/>
  <c r="CB276" i="1"/>
  <c r="CC276" i="1" s="1"/>
  <c r="CB292" i="1"/>
  <c r="CC292" i="1" s="1"/>
  <c r="CB308" i="1"/>
  <c r="CC308" i="1" s="1"/>
  <c r="CB324" i="1"/>
  <c r="CC324" i="1" s="1"/>
  <c r="CB336" i="1"/>
  <c r="CC336" i="1" s="1"/>
  <c r="CB352" i="1"/>
  <c r="CC352" i="1" s="1"/>
  <c r="CB370" i="1"/>
  <c r="CC370" i="1" s="1"/>
  <c r="CB189" i="1"/>
  <c r="CC189" i="1" s="1"/>
  <c r="CB205" i="1"/>
  <c r="CC205" i="1" s="1"/>
  <c r="CB221" i="1"/>
  <c r="CC221" i="1" s="1"/>
  <c r="CB237" i="1"/>
  <c r="CC237" i="1" s="1"/>
  <c r="CB253" i="1"/>
  <c r="CC253" i="1" s="1"/>
  <c r="CB269" i="1"/>
  <c r="CC269" i="1" s="1"/>
  <c r="CB285" i="1"/>
  <c r="CC285" i="1" s="1"/>
  <c r="CB301" i="1"/>
  <c r="CC301" i="1" s="1"/>
  <c r="CB317" i="1"/>
  <c r="CC317" i="1" s="1"/>
  <c r="CB333" i="1"/>
  <c r="CC333" i="1" s="1"/>
  <c r="CB349" i="1"/>
  <c r="CC349" i="1" s="1"/>
  <c r="CB365" i="1"/>
  <c r="CC365" i="1" s="1"/>
  <c r="CB76" i="1"/>
  <c r="CC76" i="1" s="1"/>
  <c r="BY5" i="1"/>
  <c r="BZ5" i="1" s="1"/>
  <c r="DW20" i="1" a="1"/>
  <c r="DW20" i="1" s="1"/>
  <c r="DW21" i="1" a="1"/>
  <c r="DW21" i="1" s="1"/>
  <c r="EB20" i="1" a="1"/>
  <c r="EB20" i="1" s="1"/>
  <c r="EF12" i="1"/>
  <c r="F54" i="1"/>
  <c r="G54" i="1" s="1"/>
  <c r="F51" i="1"/>
  <c r="G51" i="1" s="1"/>
  <c r="C168" i="1"/>
  <c r="E174" i="1"/>
  <c r="B56" i="1"/>
  <c r="B164" i="1" s="1"/>
  <c r="B175" i="1" s="1"/>
  <c r="D163" i="1"/>
  <c r="D174" i="1" s="1"/>
  <c r="E175" i="1"/>
  <c r="E172" i="1"/>
  <c r="E168" i="1"/>
  <c r="B50" i="1"/>
  <c r="D157" i="1"/>
  <c r="D168" i="1" s="1"/>
  <c r="E173" i="1"/>
  <c r="E169" i="1"/>
  <c r="E170" i="1"/>
  <c r="C53" i="1"/>
  <c r="E160" i="1"/>
  <c r="F55" i="1"/>
  <c r="G55" i="1" s="1"/>
  <c r="J38" i="1"/>
  <c r="N38" i="1" s="1"/>
  <c r="F49" i="1"/>
  <c r="G49" i="1" s="1"/>
  <c r="J39" i="1"/>
  <c r="N39" i="1" s="1"/>
  <c r="F52" i="1"/>
  <c r="G52" i="1" s="1"/>
  <c r="G38" i="1"/>
  <c r="G37" i="1"/>
  <c r="CA5" i="1" l="1"/>
  <c r="DZ21" i="1"/>
  <c r="DX21" i="1"/>
  <c r="DY20" i="1"/>
  <c r="DZ20" i="1"/>
  <c r="DX20" i="1"/>
  <c r="DW24" i="1" s="1"/>
  <c r="DY21" i="1"/>
  <c r="ED20" i="1"/>
  <c r="EE20" i="1"/>
  <c r="EC20" i="1"/>
  <c r="J188" i="1"/>
  <c r="K188" i="1" s="1"/>
  <c r="L188" i="1" s="1"/>
  <c r="M188" i="1" s="1"/>
  <c r="N188" i="1" s="1"/>
  <c r="J190" i="1"/>
  <c r="K190" i="1" s="1"/>
  <c r="L190" i="1" s="1"/>
  <c r="M190" i="1" s="1"/>
  <c r="N190" i="1" s="1"/>
  <c r="J189" i="1"/>
  <c r="K189" i="1" s="1"/>
  <c r="L189" i="1" s="1"/>
  <c r="M189" i="1" s="1"/>
  <c r="N189" i="1" s="1"/>
  <c r="J191" i="1"/>
  <c r="K191" i="1" s="1"/>
  <c r="J185" i="1"/>
  <c r="K185" i="1" s="1"/>
  <c r="J192" i="1"/>
  <c r="K192" i="1" s="1"/>
  <c r="J193" i="1"/>
  <c r="K193" i="1" s="1"/>
  <c r="J186" i="1"/>
  <c r="K186" i="1" s="1"/>
  <c r="J194" i="1"/>
  <c r="K194" i="1" s="1"/>
  <c r="J187" i="1"/>
  <c r="K187" i="1" s="1"/>
  <c r="F56" i="1"/>
  <c r="G56" i="1" s="1"/>
  <c r="E171" i="1"/>
  <c r="F53" i="1"/>
  <c r="G53" i="1" s="1"/>
  <c r="C161" i="1"/>
  <c r="J64" i="1"/>
  <c r="K64" i="1" s="1"/>
  <c r="L64" i="1" s="1"/>
  <c r="M64" i="1" s="1"/>
  <c r="O64" i="1" s="1"/>
  <c r="B148" i="1"/>
  <c r="F170" i="1" s="1"/>
  <c r="F50" i="1"/>
  <c r="G50" i="1" s="1"/>
  <c r="B158" i="1"/>
  <c r="B169" i="1" s="1"/>
  <c r="G41" i="1"/>
  <c r="O38" i="1" s="1"/>
  <c r="O33" i="1" s="1"/>
  <c r="J66" i="1"/>
  <c r="K66" i="1" s="1"/>
  <c r="L66" i="1" s="1"/>
  <c r="M66" i="1" s="1"/>
  <c r="N66" i="1" s="1"/>
  <c r="J68" i="1"/>
  <c r="K68" i="1" s="1"/>
  <c r="L68" i="1" s="1"/>
  <c r="M68" i="1" s="1"/>
  <c r="J71" i="1"/>
  <c r="J67" i="1"/>
  <c r="K67" i="1" s="1"/>
  <c r="L67" i="1" s="1"/>
  <c r="M67" i="1" s="1"/>
  <c r="O67" i="1" s="1"/>
  <c r="J63" i="1"/>
  <c r="K63" i="1" s="1"/>
  <c r="L63" i="1" s="1"/>
  <c r="M63" i="1" s="1"/>
  <c r="O63" i="1" s="1"/>
  <c r="J70" i="1"/>
  <c r="J65" i="1"/>
  <c r="K65" i="1" s="1"/>
  <c r="L65" i="1" s="1"/>
  <c r="M65" i="1" s="1"/>
  <c r="O65" i="1" s="1"/>
  <c r="G40" i="1"/>
  <c r="K38" i="1" s="1"/>
  <c r="K39" i="1" s="1"/>
  <c r="J34" i="1" s="1"/>
  <c r="J69" i="1"/>
  <c r="J62" i="1"/>
  <c r="K62" i="1" s="1"/>
  <c r="L62" i="1" s="1"/>
  <c r="M62" i="1" s="1"/>
  <c r="N62" i="1" s="1"/>
  <c r="CE8" i="1" l="1"/>
  <c r="CG7" i="1"/>
  <c r="CB5" i="1"/>
  <c r="L194" i="1"/>
  <c r="M194" i="1" s="1"/>
  <c r="N194" i="1" s="1"/>
  <c r="L193" i="1"/>
  <c r="M193" i="1" s="1"/>
  <c r="N193" i="1" s="1"/>
  <c r="DY28" i="1"/>
  <c r="DW26" i="1"/>
  <c r="DX28" i="1"/>
  <c r="DX26" i="1"/>
  <c r="DW28" i="1"/>
  <c r="DW27" i="1"/>
  <c r="DY27" i="1"/>
  <c r="DY26" i="1"/>
  <c r="DX27" i="1"/>
  <c r="L192" i="1"/>
  <c r="M192" i="1" s="1"/>
  <c r="N192" i="1" s="1"/>
  <c r="L191" i="1"/>
  <c r="M191" i="1" s="1"/>
  <c r="N191" i="1" s="1"/>
  <c r="O189" i="1"/>
  <c r="P189" i="1"/>
  <c r="O190" i="1"/>
  <c r="P190" i="1"/>
  <c r="P188" i="1"/>
  <c r="O188" i="1"/>
  <c r="N33" i="1"/>
  <c r="AC158" i="1"/>
  <c r="AC160" i="1"/>
  <c r="AJ162" i="1"/>
  <c r="AC159" i="1"/>
  <c r="AC162" i="1"/>
  <c r="AC164" i="1"/>
  <c r="AJ157" i="1"/>
  <c r="AQ160" i="1"/>
  <c r="AQ161" i="1"/>
  <c r="AC163" i="1"/>
  <c r="AQ164" i="1"/>
  <c r="AJ159" i="1"/>
  <c r="AQ159" i="1"/>
  <c r="AQ158" i="1"/>
  <c r="AJ161" i="1"/>
  <c r="AQ163" i="1"/>
  <c r="AJ164" i="1"/>
  <c r="AJ160" i="1"/>
  <c r="AQ162" i="1"/>
  <c r="AJ158" i="1"/>
  <c r="AC161" i="1"/>
  <c r="AJ163" i="1"/>
  <c r="AQ157" i="1"/>
  <c r="L186" i="1"/>
  <c r="M186" i="1" s="1"/>
  <c r="N186" i="1" s="1"/>
  <c r="L185" i="1"/>
  <c r="M185" i="1" s="1"/>
  <c r="N185" i="1" s="1"/>
  <c r="K195" i="1"/>
  <c r="L187" i="1"/>
  <c r="M187" i="1" s="1"/>
  <c r="N187" i="1" s="1"/>
  <c r="F173" i="1"/>
  <c r="AC157" i="1"/>
  <c r="N64" i="1"/>
  <c r="B153" i="1"/>
  <c r="B152" i="1"/>
  <c r="F171" i="1"/>
  <c r="F174" i="1"/>
  <c r="F168" i="1"/>
  <c r="F175" i="1"/>
  <c r="C172" i="1"/>
  <c r="F169" i="1"/>
  <c r="K71" i="1"/>
  <c r="L71" i="1" s="1"/>
  <c r="M71" i="1" s="1"/>
  <c r="K70" i="1"/>
  <c r="L70" i="1" s="1"/>
  <c r="M70" i="1" s="1"/>
  <c r="K69" i="1"/>
  <c r="L69" i="1" s="1"/>
  <c r="M69" i="1" s="1"/>
  <c r="H54" i="1"/>
  <c r="J52" i="1"/>
  <c r="K50" i="1"/>
  <c r="J55" i="1"/>
  <c r="O39" i="1"/>
  <c r="J53" i="1"/>
  <c r="I54" i="1"/>
  <c r="K54" i="1"/>
  <c r="J56" i="1"/>
  <c r="J49" i="1"/>
  <c r="I52" i="1"/>
  <c r="K51" i="1"/>
  <c r="K55" i="1"/>
  <c r="H51" i="1"/>
  <c r="J51" i="1"/>
  <c r="H52" i="1"/>
  <c r="J50" i="1"/>
  <c r="I55" i="1"/>
  <c r="I51" i="1"/>
  <c r="I49" i="1"/>
  <c r="K56" i="1"/>
  <c r="H53" i="1"/>
  <c r="H55" i="1"/>
  <c r="K52" i="1"/>
  <c r="K49" i="1"/>
  <c r="J54" i="1"/>
  <c r="I50" i="1"/>
  <c r="H49" i="1"/>
  <c r="I53" i="1"/>
  <c r="I56" i="1"/>
  <c r="H50" i="1"/>
  <c r="K53" i="1"/>
  <c r="H56" i="1"/>
  <c r="O66" i="1"/>
  <c r="G36" i="1"/>
  <c r="N67" i="1"/>
  <c r="N63" i="1"/>
  <c r="O62" i="1"/>
  <c r="N65" i="1"/>
  <c r="J33" i="1"/>
  <c r="K33" i="1"/>
  <c r="K34" i="1"/>
  <c r="N68" i="1"/>
  <c r="O68" i="1"/>
  <c r="CG5" i="1" l="1"/>
  <c r="CF8" i="1"/>
  <c r="CG8" i="1" s="1"/>
  <c r="O193" i="1"/>
  <c r="P193" i="1"/>
  <c r="P194" i="1"/>
  <c r="O194" i="1"/>
  <c r="DW40" i="1" a="1"/>
  <c r="DW31" i="1" a="1"/>
  <c r="DX31" i="1" s="1"/>
  <c r="EB30" i="1" a="1"/>
  <c r="EB30" i="1" s="1"/>
  <c r="DW30" i="1" a="1"/>
  <c r="DW30" i="1" s="1"/>
  <c r="P191" i="1"/>
  <c r="O191" i="1"/>
  <c r="P192" i="1"/>
  <c r="O192" i="1"/>
  <c r="O34" i="1"/>
  <c r="N34" i="1"/>
  <c r="G171" i="1"/>
  <c r="K171" i="1" s="1"/>
  <c r="F159" i="1"/>
  <c r="G170" i="1"/>
  <c r="G161" i="1"/>
  <c r="G159" i="1"/>
  <c r="P185" i="1"/>
  <c r="O185" i="1"/>
  <c r="N195" i="1"/>
  <c r="B196" i="1" s="1"/>
  <c r="O186" i="1"/>
  <c r="P186" i="1"/>
  <c r="P187" i="1"/>
  <c r="O187" i="1"/>
  <c r="F161" i="1"/>
  <c r="F163" i="1"/>
  <c r="F162" i="1"/>
  <c r="F164" i="1"/>
  <c r="F157" i="1"/>
  <c r="F158" i="1"/>
  <c r="G169" i="1"/>
  <c r="H169" i="1" s="1"/>
  <c r="G173" i="1"/>
  <c r="G175" i="1"/>
  <c r="H175" i="1" s="1"/>
  <c r="F160" i="1"/>
  <c r="G168" i="1"/>
  <c r="H168" i="1" s="1"/>
  <c r="G174" i="1"/>
  <c r="I174" i="1" s="1"/>
  <c r="G163" i="1"/>
  <c r="G162" i="1"/>
  <c r="G157" i="1"/>
  <c r="G158" i="1"/>
  <c r="G164" i="1"/>
  <c r="G160" i="1"/>
  <c r="G172" i="1"/>
  <c r="F172" i="1"/>
  <c r="K72" i="1"/>
  <c r="U3" i="1" s="1"/>
  <c r="N71" i="1"/>
  <c r="O71" i="1"/>
  <c r="N70" i="1"/>
  <c r="O70" i="1"/>
  <c r="N69" i="1"/>
  <c r="O69" i="1"/>
  <c r="M72" i="1"/>
  <c r="M53" i="1"/>
  <c r="T56" i="1"/>
  <c r="M49" i="1"/>
  <c r="S54" i="1"/>
  <c r="S52" i="1"/>
  <c r="V55" i="1"/>
  <c r="S51" i="1"/>
  <c r="L51" i="1"/>
  <c r="M51" i="1"/>
  <c r="T51" i="1"/>
  <c r="V50" i="1"/>
  <c r="M55" i="1"/>
  <c r="W54" i="1"/>
  <c r="T49" i="1"/>
  <c r="S55" i="1"/>
  <c r="T55" i="1"/>
  <c r="S53" i="1"/>
  <c r="T50" i="1"/>
  <c r="W51" i="1"/>
  <c r="T52" i="1"/>
  <c r="W56" i="1"/>
  <c r="M50" i="1"/>
  <c r="V49" i="1"/>
  <c r="L50" i="1"/>
  <c r="S50" i="1"/>
  <c r="W50" i="1"/>
  <c r="L55" i="1"/>
  <c r="S49" i="1"/>
  <c r="V51" i="1"/>
  <c r="W55" i="1"/>
  <c r="W52" i="1"/>
  <c r="M54" i="1"/>
  <c r="T53" i="1"/>
  <c r="M56" i="1"/>
  <c r="W53" i="1"/>
  <c r="L54" i="1"/>
  <c r="V54" i="1"/>
  <c r="V52" i="1"/>
  <c r="M52" i="1"/>
  <c r="V56" i="1"/>
  <c r="T54" i="1"/>
  <c r="S56" i="1"/>
  <c r="L53" i="1"/>
  <c r="V53" i="1"/>
  <c r="L56" i="1"/>
  <c r="L52" i="1"/>
  <c r="L49" i="1"/>
  <c r="W49" i="1"/>
  <c r="AC17" i="1" l="1"/>
  <c r="AD17" i="1"/>
  <c r="AE17" i="1"/>
  <c r="DX41" i="1"/>
  <c r="DY41" i="1"/>
  <c r="DY43" i="1"/>
  <c r="DZ41" i="1"/>
  <c r="DZ43" i="1"/>
  <c r="DW40" i="1"/>
  <c r="DW42" i="1"/>
  <c r="DX40" i="1"/>
  <c r="DX42" i="1"/>
  <c r="DY40" i="1"/>
  <c r="DY42" i="1"/>
  <c r="DZ40" i="1"/>
  <c r="DZ42" i="1"/>
  <c r="DW41" i="1"/>
  <c r="DW43" i="1"/>
  <c r="DX43" i="1"/>
  <c r="DW31" i="1"/>
  <c r="DY31" i="1"/>
  <c r="EE30" i="1"/>
  <c r="ED30" i="1"/>
  <c r="EC30" i="1"/>
  <c r="DX30" i="1"/>
  <c r="DZ30" i="1"/>
  <c r="DY30" i="1"/>
  <c r="I171" i="1"/>
  <c r="H171" i="1"/>
  <c r="J171" i="1"/>
  <c r="H161" i="1"/>
  <c r="J170" i="1"/>
  <c r="K170" i="1"/>
  <c r="I170" i="1"/>
  <c r="H170" i="1"/>
  <c r="H159" i="1"/>
  <c r="I159" i="1"/>
  <c r="K159" i="1"/>
  <c r="J159" i="1"/>
  <c r="O195" i="1"/>
  <c r="B197" i="1" s="1"/>
  <c r="P195" i="1"/>
  <c r="B198" i="1" s="1"/>
  <c r="K161" i="1"/>
  <c r="I161" i="1"/>
  <c r="J161" i="1"/>
  <c r="K168" i="1"/>
  <c r="I168" i="1"/>
  <c r="J168" i="1"/>
  <c r="K174" i="1"/>
  <c r="J174" i="1"/>
  <c r="H174" i="1"/>
  <c r="K175" i="1"/>
  <c r="K169" i="1"/>
  <c r="I169" i="1"/>
  <c r="J169" i="1"/>
  <c r="J172" i="1"/>
  <c r="I172" i="1"/>
  <c r="K172" i="1"/>
  <c r="H172" i="1"/>
  <c r="H173" i="1"/>
  <c r="I173" i="1"/>
  <c r="J173" i="1"/>
  <c r="K173" i="1"/>
  <c r="J158" i="1"/>
  <c r="K158" i="1"/>
  <c r="H158" i="1"/>
  <c r="I158" i="1"/>
  <c r="J175" i="1"/>
  <c r="K157" i="1"/>
  <c r="H157" i="1"/>
  <c r="J157" i="1"/>
  <c r="I157" i="1"/>
  <c r="I175" i="1"/>
  <c r="H164" i="1"/>
  <c r="I164" i="1"/>
  <c r="K164" i="1"/>
  <c r="J164" i="1"/>
  <c r="J162" i="1"/>
  <c r="H162" i="1"/>
  <c r="K162" i="1"/>
  <c r="I162" i="1"/>
  <c r="H160" i="1"/>
  <c r="J160" i="1"/>
  <c r="I160" i="1"/>
  <c r="K160" i="1"/>
  <c r="J163" i="1"/>
  <c r="H163" i="1"/>
  <c r="I163" i="1"/>
  <c r="K163" i="1"/>
  <c r="O72" i="1"/>
  <c r="O73" i="1" s="1"/>
  <c r="N72" i="1"/>
  <c r="N73" i="1" s="1"/>
  <c r="P53" i="1"/>
  <c r="O49" i="1"/>
  <c r="P51" i="1"/>
  <c r="N51" i="1"/>
  <c r="O51" i="1"/>
  <c r="O55" i="1"/>
  <c r="P49" i="1"/>
  <c r="N54" i="1"/>
  <c r="O50" i="1"/>
  <c r="N50" i="1"/>
  <c r="P50" i="1"/>
  <c r="P54" i="1"/>
  <c r="N49" i="1"/>
  <c r="N55" i="1"/>
  <c r="N53" i="1"/>
  <c r="P55" i="1"/>
  <c r="P52" i="1"/>
  <c r="O53" i="1"/>
  <c r="N56" i="1"/>
  <c r="O54" i="1"/>
  <c r="O56" i="1"/>
  <c r="P56" i="1"/>
  <c r="N52" i="1"/>
  <c r="O52" i="1"/>
  <c r="DW44" i="1" l="1" a="1"/>
  <c r="EF30" i="1"/>
  <c r="DZ31" i="1"/>
  <c r="N171" i="1"/>
  <c r="P171" i="1"/>
  <c r="O171" i="1"/>
  <c r="AM159" i="1"/>
  <c r="AD159" i="1"/>
  <c r="AF159" i="1"/>
  <c r="AR159" i="1"/>
  <c r="AT159" i="1"/>
  <c r="W159" i="1"/>
  <c r="AK159" i="1"/>
  <c r="R159" i="1"/>
  <c r="AB159" i="1"/>
  <c r="U159" i="1"/>
  <c r="AL159" i="1"/>
  <c r="S159" i="1"/>
  <c r="AP159" i="1"/>
  <c r="V159" i="1"/>
  <c r="M159" i="1"/>
  <c r="Q159" i="1"/>
  <c r="AE159" i="1"/>
  <c r="AI159" i="1"/>
  <c r="X159" i="1"/>
  <c r="AS159" i="1"/>
  <c r="P159" i="1"/>
  <c r="P170" i="1"/>
  <c r="N170" i="1"/>
  <c r="O170" i="1"/>
  <c r="AK163" i="1"/>
  <c r="AD163" i="1"/>
  <c r="AM163" i="1"/>
  <c r="AF163" i="1"/>
  <c r="AR163" i="1"/>
  <c r="AT163" i="1"/>
  <c r="N172" i="1"/>
  <c r="O172" i="1"/>
  <c r="P172" i="1"/>
  <c r="P173" i="1"/>
  <c r="N173" i="1"/>
  <c r="O173" i="1"/>
  <c r="AT162" i="1"/>
  <c r="AK162" i="1"/>
  <c r="AD162" i="1"/>
  <c r="AR162" i="1"/>
  <c r="AM162" i="1"/>
  <c r="AF162" i="1"/>
  <c r="AM160" i="1"/>
  <c r="AD160" i="1"/>
  <c r="AF160" i="1"/>
  <c r="AR160" i="1"/>
  <c r="AK160" i="1"/>
  <c r="AT160" i="1"/>
  <c r="O168" i="1"/>
  <c r="N168" i="1"/>
  <c r="P168" i="1"/>
  <c r="AK158" i="1"/>
  <c r="AD158" i="1"/>
  <c r="AM158" i="1"/>
  <c r="AF158" i="1"/>
  <c r="AR158" i="1"/>
  <c r="AT158" i="1"/>
  <c r="N174" i="1"/>
  <c r="O174" i="1"/>
  <c r="P174" i="1"/>
  <c r="AS157" i="1"/>
  <c r="AP157" i="1"/>
  <c r="AI157" i="1"/>
  <c r="AL157" i="1"/>
  <c r="AP160" i="1"/>
  <c r="AE160" i="1"/>
  <c r="AI160" i="1"/>
  <c r="AS160" i="1"/>
  <c r="AB160" i="1"/>
  <c r="AL160" i="1"/>
  <c r="Q160" i="1"/>
  <c r="AD157" i="1"/>
  <c r="AM157" i="1"/>
  <c r="AT157" i="1"/>
  <c r="AF157" i="1"/>
  <c r="AR157" i="1"/>
  <c r="AK157" i="1"/>
  <c r="N169" i="1"/>
  <c r="O169" i="1"/>
  <c r="P169" i="1"/>
  <c r="AB162" i="1"/>
  <c r="Q162" i="1"/>
  <c r="AL162" i="1"/>
  <c r="AE162" i="1"/>
  <c r="AP162" i="1"/>
  <c r="AI162" i="1"/>
  <c r="AS162" i="1"/>
  <c r="AM164" i="1"/>
  <c r="AR164" i="1"/>
  <c r="AD164" i="1"/>
  <c r="AF164" i="1"/>
  <c r="AT164" i="1"/>
  <c r="AK164" i="1"/>
  <c r="N175" i="1"/>
  <c r="P175" i="1"/>
  <c r="O175" i="1"/>
  <c r="S161" i="1"/>
  <c r="Q161" i="1"/>
  <c r="AE161" i="1"/>
  <c r="AP161" i="1"/>
  <c r="AL161" i="1"/>
  <c r="AI161" i="1"/>
  <c r="AB161" i="1"/>
  <c r="AS161" i="1"/>
  <c r="AI163" i="1"/>
  <c r="AB163" i="1"/>
  <c r="AL163" i="1"/>
  <c r="Q163" i="1"/>
  <c r="AP163" i="1"/>
  <c r="AS163" i="1"/>
  <c r="AE163" i="1"/>
  <c r="AB164" i="1"/>
  <c r="AL164" i="1"/>
  <c r="AP164" i="1"/>
  <c r="AE164" i="1"/>
  <c r="Q164" i="1"/>
  <c r="AI164" i="1"/>
  <c r="AS164" i="1"/>
  <c r="AL158" i="1"/>
  <c r="AE158" i="1"/>
  <c r="AP158" i="1"/>
  <c r="Q158" i="1"/>
  <c r="AI158" i="1"/>
  <c r="AS158" i="1"/>
  <c r="AB158" i="1"/>
  <c r="W161" i="1"/>
  <c r="AD161" i="1"/>
  <c r="AR161" i="1"/>
  <c r="AF161" i="1"/>
  <c r="AK161" i="1"/>
  <c r="AT161" i="1"/>
  <c r="AM161" i="1"/>
  <c r="AB157" i="1"/>
  <c r="AE157" i="1"/>
  <c r="P161" i="1"/>
  <c r="R161" i="1"/>
  <c r="X161" i="1"/>
  <c r="U161" i="1"/>
  <c r="V161" i="1"/>
  <c r="M161" i="1"/>
  <c r="W163" i="1"/>
  <c r="R163" i="1"/>
  <c r="X164" i="1"/>
  <c r="P164" i="1"/>
  <c r="S164" i="1"/>
  <c r="M164" i="1"/>
  <c r="U164" i="1"/>
  <c r="V164" i="1"/>
  <c r="U158" i="1"/>
  <c r="M158" i="1"/>
  <c r="V158" i="1"/>
  <c r="S158" i="1"/>
  <c r="P158" i="1"/>
  <c r="X158" i="1"/>
  <c r="U163" i="1"/>
  <c r="V163" i="1"/>
  <c r="X163" i="1"/>
  <c r="P163" i="1"/>
  <c r="M163" i="1"/>
  <c r="S163" i="1"/>
  <c r="P162" i="1"/>
  <c r="S162" i="1"/>
  <c r="U162" i="1"/>
  <c r="V162" i="1"/>
  <c r="M162" i="1"/>
  <c r="X162" i="1"/>
  <c r="R160" i="1"/>
  <c r="W160" i="1"/>
  <c r="R162" i="1"/>
  <c r="W162" i="1"/>
  <c r="R158" i="1"/>
  <c r="W158" i="1"/>
  <c r="P160" i="1"/>
  <c r="U160" i="1"/>
  <c r="S160" i="1"/>
  <c r="V160" i="1"/>
  <c r="M160" i="1"/>
  <c r="X160" i="1"/>
  <c r="P157" i="1"/>
  <c r="M157" i="1"/>
  <c r="X157" i="1"/>
  <c r="V157" i="1"/>
  <c r="S157" i="1"/>
  <c r="Q157" i="1"/>
  <c r="U157" i="1"/>
  <c r="R164" i="1"/>
  <c r="W164" i="1"/>
  <c r="W157" i="1"/>
  <c r="R157" i="1"/>
  <c r="F76" i="1"/>
  <c r="E76" i="1"/>
  <c r="P57" i="1"/>
  <c r="N57" i="1"/>
  <c r="B75" i="1" s="1"/>
  <c r="O57" i="1"/>
  <c r="DW44" i="1" l="1"/>
  <c r="DZ44" i="1"/>
  <c r="DX44" i="1"/>
  <c r="DY44" i="1"/>
  <c r="AU159" i="1"/>
  <c r="AV159" i="1" s="1"/>
  <c r="Y159" i="1"/>
  <c r="T159" i="1"/>
  <c r="AN159" i="1"/>
  <c r="AO159" i="1" s="1"/>
  <c r="AG159" i="1"/>
  <c r="AH159" i="1" s="1"/>
  <c r="AU163" i="1"/>
  <c r="AV163" i="1" s="1"/>
  <c r="T160" i="1"/>
  <c r="T161" i="1"/>
  <c r="T163" i="1"/>
  <c r="AN161" i="1"/>
  <c r="AO161" i="1" s="1"/>
  <c r="M165" i="1"/>
  <c r="T157" i="1"/>
  <c r="AN158" i="1"/>
  <c r="AO158" i="1" s="1"/>
  <c r="P176" i="1"/>
  <c r="T162" i="1"/>
  <c r="T158" i="1"/>
  <c r="AU158" i="1"/>
  <c r="AV158" i="1" s="1"/>
  <c r="AG161" i="1"/>
  <c r="AH161" i="1" s="1"/>
  <c r="N176" i="1"/>
  <c r="AU164" i="1"/>
  <c r="AV164" i="1" s="1"/>
  <c r="AG160" i="1"/>
  <c r="AH160" i="1" s="1"/>
  <c r="O176" i="1"/>
  <c r="AG158" i="1"/>
  <c r="AH158" i="1" s="1"/>
  <c r="AU161" i="1"/>
  <c r="AV161" i="1" s="1"/>
  <c r="AG164" i="1"/>
  <c r="AH164" i="1" s="1"/>
  <c r="AG162" i="1"/>
  <c r="AH162" i="1" s="1"/>
  <c r="AN157" i="1"/>
  <c r="AO157" i="1" s="1"/>
  <c r="AN164" i="1"/>
  <c r="AO164" i="1" s="1"/>
  <c r="AG163" i="1"/>
  <c r="AH163" i="1" s="1"/>
  <c r="AN162" i="1"/>
  <c r="AO162" i="1" s="1"/>
  <c r="AU160" i="1"/>
  <c r="AV160" i="1" s="1"/>
  <c r="AU157" i="1"/>
  <c r="AV157" i="1" s="1"/>
  <c r="T164" i="1"/>
  <c r="AN163" i="1"/>
  <c r="AO163" i="1" s="1"/>
  <c r="AU162" i="1"/>
  <c r="AV162" i="1" s="1"/>
  <c r="AN160" i="1"/>
  <c r="AO160" i="1" s="1"/>
  <c r="AG157" i="1"/>
  <c r="Y161" i="1"/>
  <c r="Y158" i="1"/>
  <c r="Y157" i="1"/>
  <c r="Y162" i="1"/>
  <c r="Y164" i="1"/>
  <c r="Y163" i="1"/>
  <c r="Y160" i="1"/>
  <c r="B77" i="1"/>
  <c r="P59" i="1"/>
  <c r="B76" i="1"/>
  <c r="O59" i="1"/>
  <c r="O58" i="1"/>
  <c r="P58" i="1"/>
  <c r="Z159" i="1" l="1"/>
  <c r="N159" i="1" s="1"/>
  <c r="AW159" i="1"/>
  <c r="O159" i="1" s="1"/>
  <c r="AW163" i="1"/>
  <c r="O163" i="1" s="1"/>
  <c r="B178" i="1"/>
  <c r="B200" i="1" s="1"/>
  <c r="U4" i="1" s="1"/>
  <c r="Z18" i="1" s="1"/>
  <c r="AC18" i="1" s="1"/>
  <c r="AW158" i="1"/>
  <c r="O158" i="1" s="1"/>
  <c r="AW164" i="1"/>
  <c r="O164" i="1" s="1"/>
  <c r="AW160" i="1"/>
  <c r="O160" i="1" s="1"/>
  <c r="AW162" i="1"/>
  <c r="O162" i="1" s="1"/>
  <c r="AW161" i="1"/>
  <c r="O161" i="1" s="1"/>
  <c r="AH157" i="1"/>
  <c r="AW157" i="1" s="1"/>
  <c r="O157" i="1" s="1"/>
  <c r="Z158" i="1"/>
  <c r="N158" i="1" s="1"/>
  <c r="Z161" i="1"/>
  <c r="N161" i="1" s="1"/>
  <c r="Z157" i="1"/>
  <c r="N157" i="1" s="1"/>
  <c r="Z163" i="1"/>
  <c r="N163" i="1" s="1"/>
  <c r="Z162" i="1"/>
  <c r="N162" i="1" s="1"/>
  <c r="Z164" i="1"/>
  <c r="N164" i="1" s="1"/>
  <c r="Z160" i="1"/>
  <c r="N160" i="1" s="1"/>
  <c r="B79" i="1"/>
  <c r="B80" i="1"/>
  <c r="F75" i="1"/>
  <c r="E75" i="1"/>
  <c r="S58" i="1"/>
  <c r="T58" i="1"/>
  <c r="W4" i="1" l="1"/>
  <c r="EB5" i="1"/>
  <c r="AB7" i="1"/>
  <c r="O165" i="1"/>
  <c r="B180" i="1" s="1"/>
  <c r="B202" i="1" s="1"/>
  <c r="N165" i="1"/>
  <c r="B179" i="1" s="1"/>
  <c r="B201" i="1" s="1"/>
  <c r="B83" i="1"/>
  <c r="EB11" i="1" l="1"/>
  <c r="EB6" i="1"/>
  <c r="B205" i="1"/>
  <c r="U6" i="1" s="1"/>
  <c r="BX7" i="1" s="1"/>
  <c r="CJ9" i="1" s="1"/>
  <c r="B204" i="1"/>
  <c r="U5" i="1" s="1"/>
  <c r="BW7" i="1" s="1"/>
  <c r="CI9" i="1" s="1"/>
  <c r="CK9" i="1" l="1"/>
  <c r="CJ6" i="1"/>
  <c r="CJ7" i="1"/>
  <c r="CJ10" i="1" s="1"/>
  <c r="CI6" i="1"/>
  <c r="CI7" i="1"/>
  <c r="CI10" i="1" s="1"/>
  <c r="BY7" i="1"/>
  <c r="CA7" i="1" s="1"/>
  <c r="AB18" i="1"/>
  <c r="AE18" i="1" s="1"/>
  <c r="AA18" i="1"/>
  <c r="AD18" i="1" s="1"/>
  <c r="EB12" i="1"/>
  <c r="EB22" i="1" s="1" a="1"/>
  <c r="EB22" i="1" s="1"/>
  <c r="EG6" i="1"/>
  <c r="ED5" i="1"/>
  <c r="EC5" i="1"/>
  <c r="U8" i="1"/>
  <c r="AA7" i="1" s="1"/>
  <c r="U7" i="1"/>
  <c r="W7" i="1" s="1"/>
  <c r="W8" i="1" s="1"/>
  <c r="AA9" i="1"/>
  <c r="AB9" i="1"/>
  <c r="W6" i="1"/>
  <c r="U18" i="1"/>
  <c r="U19" i="1" s="1"/>
  <c r="U21" i="1" s="1"/>
  <c r="CK10" i="1" l="1"/>
  <c r="CK11" i="1" s="1"/>
  <c r="CJ8" i="1"/>
  <c r="BZ7" i="1"/>
  <c r="CI8" i="1" s="1"/>
  <c r="EG12" i="1"/>
  <c r="EI12" i="1" s="1"/>
  <c r="ED11" i="1"/>
  <c r="EJ6" i="1"/>
  <c r="EI6" i="1"/>
  <c r="EH6" i="1"/>
  <c r="EG5" i="1"/>
  <c r="EH5" i="1" s="1"/>
  <c r="ED22" i="1"/>
  <c r="EC22" i="1"/>
  <c r="EE22" i="1"/>
  <c r="EC11" i="1"/>
  <c r="EF5" i="1"/>
  <c r="X8" i="1"/>
  <c r="X7" i="1"/>
  <c r="V19" i="1"/>
  <c r="V21" i="1" s="1"/>
  <c r="W19" i="1"/>
  <c r="W21" i="1" s="1"/>
  <c r="AC9" i="1"/>
  <c r="CK8" i="1" l="1"/>
  <c r="CL8" i="1" s="1"/>
  <c r="CK7" i="1"/>
  <c r="CB7" i="1"/>
  <c r="CK6" i="1"/>
  <c r="EH12" i="1"/>
  <c r="EJ12" i="1"/>
  <c r="EJ5" i="1"/>
  <c r="EI5" i="1"/>
  <c r="EG11" i="1"/>
  <c r="EF11" i="1"/>
  <c r="EB21" i="1" a="1"/>
  <c r="EB32" i="1" a="1"/>
  <c r="U23" i="1"/>
  <c r="V23" i="1" s="1"/>
  <c r="EH11" i="1" l="1"/>
  <c r="EJ11" i="1"/>
  <c r="EI11" i="1"/>
  <c r="EB21" i="1"/>
  <c r="EE21" i="1"/>
  <c r="EC21" i="1"/>
  <c r="ED21" i="1"/>
  <c r="EB32" i="1"/>
  <c r="EB36" i="1" s="1"/>
  <c r="ED32" i="1"/>
  <c r="ED36" i="1" s="1"/>
  <c r="EC32" i="1"/>
  <c r="EC36" i="1" s="1"/>
  <c r="EE32" i="1"/>
  <c r="EE36" i="1" l="1"/>
  <c r="EF36" i="1" s="1"/>
  <c r="EB31" i="1" a="1"/>
  <c r="EB31" i="1" s="1"/>
  <c r="EB37" i="1" s="1"/>
  <c r="EH36" i="1" l="1"/>
  <c r="EG36" i="1"/>
  <c r="ED31" i="1"/>
  <c r="ED37" i="1" s="1"/>
  <c r="EE31" i="1"/>
  <c r="EC31" i="1"/>
  <c r="EC37" i="1" s="1"/>
  <c r="EF31" i="1" l="1"/>
  <c r="EF32" i="1" s="1"/>
  <c r="EE37" i="1"/>
  <c r="EF37" i="1" s="1"/>
  <c r="EF38" i="1" s="1"/>
  <c r="EG37" i="1" l="1"/>
  <c r="EG38" i="1" s="1"/>
  <c r="EH37" i="1"/>
  <c r="EH38" i="1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<sst xmlns="http://schemas.openxmlformats.org/spreadsheetml/2006/main" count="403" uniqueCount="243">
  <si>
    <t>f'c</t>
  </si>
  <si>
    <t>ksi</t>
  </si>
  <si>
    <t>Ec</t>
  </si>
  <si>
    <t>Beta1</t>
  </si>
  <si>
    <t>in</t>
  </si>
  <si>
    <t>B,web</t>
  </si>
  <si>
    <t>H, total</t>
  </si>
  <si>
    <t>t,flange</t>
  </si>
  <si>
    <t>x</t>
  </si>
  <si>
    <t>y</t>
  </si>
  <si>
    <t>Reinf Steel:</t>
  </si>
  <si>
    <t xml:space="preserve">Fy = </t>
  </si>
  <si>
    <t xml:space="preserve">Es = </t>
  </si>
  <si>
    <t>Bar #</t>
  </si>
  <si>
    <t>As (in^2)</t>
  </si>
  <si>
    <t>NA Angle:</t>
  </si>
  <si>
    <t>radians</t>
  </si>
  <si>
    <t>NA Depth:</t>
  </si>
  <si>
    <t>Beta1*NA=</t>
  </si>
  <si>
    <t>Transformed Section so strain only varies in Y:</t>
  </si>
  <si>
    <t>Concrete:</t>
  </si>
  <si>
    <t>x'</t>
  </si>
  <si>
    <t>y'</t>
  </si>
  <si>
    <t>Transformed H:</t>
  </si>
  <si>
    <t>peak:</t>
  </si>
  <si>
    <t>Xc</t>
  </si>
  <si>
    <t>Yc</t>
  </si>
  <si>
    <t>Conrete Force and Moment by Line Integrals</t>
  </si>
  <si>
    <t>xi (in)</t>
  </si>
  <si>
    <t>yi (in)</t>
  </si>
  <si>
    <t>xj (in)</t>
  </si>
  <si>
    <t>yj (in)</t>
  </si>
  <si>
    <t>m</t>
  </si>
  <si>
    <t>b</t>
  </si>
  <si>
    <t>xi' (in)</t>
  </si>
  <si>
    <t>yi' (in)</t>
  </si>
  <si>
    <t>xj' (in)</t>
  </si>
  <si>
    <t>yj' (in)</t>
  </si>
  <si>
    <t>σi' (ksi)</t>
  </si>
  <si>
    <t>σj' (ksi)</t>
  </si>
  <si>
    <t>P (kips)</t>
  </si>
  <si>
    <t>Mx (kip-in)</t>
  </si>
  <si>
    <t>My (kip-in)</t>
  </si>
  <si>
    <t>Segment 1</t>
  </si>
  <si>
    <t>Segment 2</t>
  </si>
  <si>
    <t>Segment 3</t>
  </si>
  <si>
    <t>Segment 4</t>
  </si>
  <si>
    <t>Segment 5</t>
  </si>
  <si>
    <t>Segment 6</t>
  </si>
  <si>
    <t>0.85*F'c =</t>
  </si>
  <si>
    <t>y,na =</t>
  </si>
  <si>
    <t>y,stress block =</t>
  </si>
  <si>
    <t>NA Graph</t>
  </si>
  <si>
    <t>Whitney Block Graph</t>
  </si>
  <si>
    <t>Rebar</t>
  </si>
  <si>
    <t>x,t</t>
  </si>
  <si>
    <t>y,t</t>
  </si>
  <si>
    <t>Depth</t>
  </si>
  <si>
    <t>Strain</t>
  </si>
  <si>
    <t>Stress</t>
  </si>
  <si>
    <t>Ps</t>
  </si>
  <si>
    <t>Ps_Mx</t>
  </si>
  <si>
    <t>Ps_My</t>
  </si>
  <si>
    <t>Pn =</t>
  </si>
  <si>
    <t xml:space="preserve">Mnx = </t>
  </si>
  <si>
    <t xml:space="preserve">Mny = </t>
  </si>
  <si>
    <t xml:space="preserve">Mnx' = </t>
  </si>
  <si>
    <t xml:space="preserve">Mny' = </t>
  </si>
  <si>
    <t>kips</t>
  </si>
  <si>
    <t>kip-in</t>
  </si>
  <si>
    <t>kip-ft</t>
  </si>
  <si>
    <t>Tolerance:</t>
  </si>
  <si>
    <t>Max Iterations:</t>
  </si>
  <si>
    <t>Depth for All Fy+:</t>
  </si>
  <si>
    <t>alpha result</t>
  </si>
  <si>
    <t xml:space="preserve">P = </t>
  </si>
  <si>
    <t>My =</t>
  </si>
  <si>
    <t xml:space="preserve">Mx = </t>
  </si>
  <si>
    <t>phi</t>
  </si>
  <si>
    <t>scale pt</t>
  </si>
  <si>
    <t>web</t>
  </si>
  <si>
    <t>p1</t>
  </si>
  <si>
    <t>p2</t>
  </si>
  <si>
    <t>c1</t>
  </si>
  <si>
    <t>c2</t>
  </si>
  <si>
    <t>--</t>
  </si>
  <si>
    <t>% As based:</t>
  </si>
  <si>
    <t>Min As %:</t>
  </si>
  <si>
    <t>NA Original Orientation</t>
  </si>
  <si>
    <t>Whitney Block Original Orientation</t>
  </si>
  <si>
    <t>d:</t>
  </si>
  <si>
    <t>B,Flange Right</t>
  </si>
  <si>
    <t>B, Flange Left</t>
  </si>
  <si>
    <t>Segment 7</t>
  </si>
  <si>
    <t>Segment 8</t>
  </si>
  <si>
    <t>Error</t>
  </si>
  <si>
    <t>tan-1(My/Mx) =</t>
  </si>
  <si>
    <t>rad</t>
  </si>
  <si>
    <t>User:</t>
  </si>
  <si>
    <t>P</t>
  </si>
  <si>
    <t>Mx</t>
  </si>
  <si>
    <t>My</t>
  </si>
  <si>
    <t>eu</t>
  </si>
  <si>
    <t>|User|</t>
  </si>
  <si>
    <t>User - Unit Vector</t>
  </si>
  <si>
    <t>|Result|</t>
  </si>
  <si>
    <t>Result - Unit Vector</t>
  </si>
  <si>
    <t>Difference Vector</t>
  </si>
  <si>
    <t>|D.V.|</t>
  </si>
  <si>
    <t>|M|</t>
  </si>
  <si>
    <t>Result chart</t>
  </si>
  <si>
    <t>Alpha</t>
  </si>
  <si>
    <t>Tan-1(My/Mx)</t>
  </si>
  <si>
    <t>NA Bisection Steps</t>
  </si>
  <si>
    <t>a</t>
  </si>
  <si>
    <t>c</t>
  </si>
  <si>
    <t>f_a</t>
  </si>
  <si>
    <t>f_b</t>
  </si>
  <si>
    <t>f_c</t>
  </si>
  <si>
    <t>Plastic Center</t>
  </si>
  <si>
    <t>Concrete</t>
  </si>
  <si>
    <t>A</t>
  </si>
  <si>
    <t>Cx</t>
  </si>
  <si>
    <t>Cy</t>
  </si>
  <si>
    <t xml:space="preserve">Cc = </t>
  </si>
  <si>
    <t xml:space="preserve">My = </t>
  </si>
  <si>
    <t>T</t>
  </si>
  <si>
    <t>Tension Center</t>
  </si>
  <si>
    <t>Parametric C to T Line</t>
  </si>
  <si>
    <t>-</t>
  </si>
  <si>
    <t>)</t>
  </si>
  <si>
    <t>Given a P Solve for T</t>
  </si>
  <si>
    <t xml:space="preserve">t = </t>
  </si>
  <si>
    <t>P =</t>
  </si>
  <si>
    <t>Alpha Search Window</t>
  </si>
  <si>
    <t>Pi bounds</t>
  </si>
  <si>
    <t>Davister Steps</t>
  </si>
  <si>
    <t>am0</t>
  </si>
  <si>
    <t>ak</t>
  </si>
  <si>
    <t>adelt</t>
  </si>
  <si>
    <t>amk</t>
  </si>
  <si>
    <t>Newton-Raphson Steps</t>
  </si>
  <si>
    <t>Newton_Raphson Relax Factor:</t>
  </si>
  <si>
    <t>Abs(Alpha - Tan-1)</t>
  </si>
  <si>
    <t>Tan-1 - User Tan-1</t>
  </si>
  <si>
    <t>abs(Tan-1 - User Tan-1)</t>
  </si>
  <si>
    <t>Try Working with a guess center point of Mx vs My instead of 0,0</t>
  </si>
  <si>
    <t>2D Vectors from Guess to Mx v My Plot</t>
  </si>
  <si>
    <t>Ux</t>
  </si>
  <si>
    <t>Uy</t>
  </si>
  <si>
    <t>Tan-1 Ux/Uy</t>
  </si>
  <si>
    <t>delta</t>
  </si>
  <si>
    <t>Screen Update:</t>
  </si>
  <si>
    <t># of Points:</t>
  </si>
  <si>
    <t>Concrete Force  and Moment by Line Integrals - PCA Parabolic Stress Block</t>
  </si>
  <si>
    <t>PCA Parabolic Strain-Strain Curve Formulas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</si>
  <si>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</si>
  <si>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</si>
  <si>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</si>
  <si>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</si>
  <si>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</si>
  <si>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</si>
  <si>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</si>
  <si>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</si>
  <si>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</si>
  <si>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</si>
  <si>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</si>
  <si>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</si>
  <si>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</si>
  <si>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</si>
  <si>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</si>
  <si>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</si>
  <si>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</si>
  <si>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</si>
  <si>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</si>
  <si>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</si>
  <si>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</si>
  <si>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</si>
  <si>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Parabolic Region</t>
  </si>
  <si>
    <t>xi'</t>
  </si>
  <si>
    <t>yi'</t>
  </si>
  <si>
    <t>xj'</t>
  </si>
  <si>
    <t>yj'</t>
  </si>
  <si>
    <t>Constant Stress Region</t>
  </si>
  <si>
    <t>tj</t>
  </si>
  <si>
    <t>ti</t>
  </si>
  <si>
    <t>Mx sub calcs:</t>
  </si>
  <si>
    <t>My sub calcs:</t>
  </si>
  <si>
    <t>Cc</t>
  </si>
  <si>
    <t>Conc Stress</t>
  </si>
  <si>
    <t>Ts</t>
  </si>
  <si>
    <t>Stress Block:</t>
  </si>
  <si>
    <t>Solver Log</t>
  </si>
  <si>
    <t>Max</t>
  </si>
  <si>
    <t>Min</t>
  </si>
  <si>
    <t>t</t>
  </si>
  <si>
    <t>3D Coordinate Transformation</t>
  </si>
  <si>
    <t>Translation</t>
  </si>
  <si>
    <t>angle</t>
  </si>
  <si>
    <t>unit v</t>
  </si>
  <si>
    <t xml:space="preserve"> t matrix</t>
  </si>
  <si>
    <t>z</t>
  </si>
  <si>
    <t>Rotation to align with Z Axis</t>
  </si>
  <si>
    <t>|V|</t>
  </si>
  <si>
    <t>User</t>
  </si>
  <si>
    <t>Result</t>
  </si>
  <si>
    <t>Tan-1</t>
  </si>
  <si>
    <t>Vector From Guess to User Point to Establish the proper cut plane</t>
  </si>
  <si>
    <t>user+5</t>
  </si>
  <si>
    <t>Rotation to Y axis</t>
  </si>
  <si>
    <t>PCA_Parabolic</t>
  </si>
  <si>
    <t>Pn</t>
  </si>
  <si>
    <t>Mxn</t>
  </si>
  <si>
    <t>Myn</t>
  </si>
  <si>
    <t>vector</t>
  </si>
  <si>
    <t>ak-1</t>
  </si>
  <si>
    <t>amk-1</t>
  </si>
  <si>
    <t>amo-amk</t>
  </si>
  <si>
    <t>f_x</t>
  </si>
  <si>
    <t>alpha+h</t>
  </si>
  <si>
    <t xml:space="preserve">h = </t>
  </si>
  <si>
    <t>f_x_p</t>
  </si>
  <si>
    <t>alpha-h</t>
  </si>
  <si>
    <t>f_x_m</t>
  </si>
  <si>
    <t>f_prime_x</t>
  </si>
  <si>
    <t>alpha j</t>
  </si>
  <si>
    <t>alpha i</t>
  </si>
  <si>
    <t>Net Steel Stress</t>
  </si>
  <si>
    <t>Tan -1 Ux/Uy</t>
  </si>
  <si>
    <t>User Point</t>
  </si>
  <si>
    <t>Calc Point</t>
  </si>
  <si>
    <t>Vector</t>
  </si>
  <si>
    <t>G0</t>
  </si>
  <si>
    <t>0U</t>
  </si>
  <si>
    <t>GU</t>
  </si>
  <si>
    <t>dMx</t>
  </si>
  <si>
    <t>dMy</t>
  </si>
  <si>
    <t>GC</t>
  </si>
  <si>
    <t>0C</t>
  </si>
  <si>
    <t xml:space="preserve">Guess - Point inside Mx/My Slice </t>
  </si>
  <si>
    <t>GC-GU</t>
  </si>
  <si>
    <t>CU</t>
  </si>
  <si>
    <t>GC-G0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</si>
</sst>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00"/>
    <numFmt numFmtId="166" formatCode="0.000%"/>
    <numFmt numFmtId="167" formatCode="0.000E+00"/>
    <numFmt numFmtId="168" formatCode="0.0000"/>
  </numFmts>
  <fonts count="1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b/>
      <sz val="12"/>
      <name val="Calibri"/>
      <family val="2"/>
    </font>
    <font>
      <b/>
      <u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75">
    <xf numFmtId="0" fontId="0" fillId="0" borderId="0" xfId="0"/>
    <xf numFmtId="0" fontId="0" fillId="0" borderId="0" xfId="0" applyAlignment="1">
      <alignment horizontal="center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2" fontId="0" fillId="0" borderId="0" xfId="0" applyNumberFormat="1"/>
    <xf numFmtId="164" fontId="0" fillId="0" borderId="0" xfId="0" applyNumberFormat="1" applyAlignment="1">
      <alignment horizontal="center"/>
    </xf>
    <xf numFmtId="164" fontId="0" fillId="2" borderId="0" xfId="0" applyNumberFormat="1" applyFill="1" applyAlignment="1">
      <alignment horizontal="center"/>
    </xf>
    <xf numFmtId="0" fontId="0" fillId="0" borderId="0" xfId="0" applyAlignment="1">
      <alignment horizontal="right"/>
    </xf>
    <xf numFmtId="164" fontId="0" fillId="0" borderId="0" xfId="0" applyNumberFormat="1"/>
    <xf numFmtId="164" fontId="0" fillId="0" borderId="0" xfId="0" applyNumberFormat="1" applyBorder="1" applyAlignment="1">
      <alignment horizontal="center"/>
    </xf>
    <xf numFmtId="164" fontId="0" fillId="0" borderId="1" xfId="0" applyNumberFormat="1" applyBorder="1" applyAlignment="1">
      <alignment horizontal="center"/>
    </xf>
    <xf numFmtId="0" fontId="0" fillId="0" borderId="1" xfId="0" applyBorder="1"/>
    <xf numFmtId="0" fontId="0" fillId="0" borderId="0" xfId="0" applyFill="1" applyBorder="1"/>
    <xf numFmtId="0" fontId="0" fillId="0" borderId="0" xfId="0" applyAlignment="1">
      <alignment horizontal="left"/>
    </xf>
    <xf numFmtId="0" fontId="0" fillId="0" borderId="4" xfId="0" applyBorder="1"/>
    <xf numFmtId="0" fontId="0" fillId="0" borderId="6" xfId="0" applyBorder="1"/>
    <xf numFmtId="0" fontId="0" fillId="0" borderId="9" xfId="0" applyBorder="1"/>
    <xf numFmtId="164" fontId="0" fillId="0" borderId="3" xfId="0" applyNumberFormat="1" applyBorder="1" applyAlignment="1">
      <alignment horizontal="center"/>
    </xf>
    <xf numFmtId="0" fontId="0" fillId="3" borderId="0" xfId="0" applyFill="1" applyAlignment="1" applyProtection="1">
      <alignment horizontal="center"/>
      <protection locked="0"/>
    </xf>
    <xf numFmtId="0" fontId="0" fillId="3" borderId="0" xfId="0" applyFill="1" applyAlignment="1">
      <alignment horizontal="center"/>
    </xf>
    <xf numFmtId="0" fontId="0" fillId="0" borderId="0" xfId="0" quotePrefix="1" applyAlignment="1">
      <alignment horizontal="center"/>
    </xf>
    <xf numFmtId="165" fontId="0" fillId="0" borderId="0" xfId="0" applyNumberFormat="1" applyAlignment="1">
      <alignment horizontal="center"/>
    </xf>
    <xf numFmtId="164" fontId="0" fillId="2" borderId="0" xfId="1" applyNumberFormat="1" applyFont="1" applyFill="1" applyAlignment="1">
      <alignment horizontal="center"/>
    </xf>
    <xf numFmtId="166" fontId="0" fillId="0" borderId="0" xfId="1" applyNumberFormat="1" applyFont="1" applyAlignment="1">
      <alignment horizontal="center"/>
    </xf>
    <xf numFmtId="0" fontId="0" fillId="0" borderId="2" xfId="0" applyBorder="1" applyAlignment="1">
      <alignment horizontal="right"/>
    </xf>
    <xf numFmtId="0" fontId="0" fillId="0" borderId="5" xfId="0" applyBorder="1" applyAlignment="1">
      <alignment horizontal="right"/>
    </xf>
    <xf numFmtId="0" fontId="4" fillId="0" borderId="7" xfId="0" applyFont="1" applyFill="1" applyBorder="1" applyAlignment="1">
      <alignment horizontal="right"/>
    </xf>
    <xf numFmtId="167" fontId="0" fillId="0" borderId="8" xfId="0" applyNumberFormat="1" applyBorder="1" applyAlignment="1">
      <alignment horizontal="center"/>
    </xf>
    <xf numFmtId="0" fontId="0" fillId="0" borderId="10" xfId="0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164" fontId="0" fillId="4" borderId="11" xfId="0" applyNumberFormat="1" applyFill="1" applyBorder="1" applyAlignment="1">
      <alignment horizontal="center"/>
    </xf>
    <xf numFmtId="167" fontId="0" fillId="0" borderId="12" xfId="0" applyNumberFormat="1" applyBorder="1" applyAlignment="1">
      <alignment horizontal="center"/>
    </xf>
    <xf numFmtId="168" fontId="0" fillId="2" borderId="0" xfId="0" applyNumberFormat="1" applyFill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" xfId="0" applyBorder="1"/>
    <xf numFmtId="0" fontId="0" fillId="0" borderId="5" xfId="0" applyFill="1" applyBorder="1" applyAlignment="1">
      <alignment horizontal="right"/>
    </xf>
    <xf numFmtId="0" fontId="0" fillId="0" borderId="0" xfId="0" applyFill="1" applyBorder="1" applyAlignment="1">
      <alignment horizontal="right"/>
    </xf>
    <xf numFmtId="167" fontId="0" fillId="0" borderId="0" xfId="0" applyNumberFormat="1"/>
    <xf numFmtId="167" fontId="0" fillId="0" borderId="0" xfId="0" applyNumberFormat="1" applyAlignment="1">
      <alignment horizontal="center"/>
    </xf>
    <xf numFmtId="0" fontId="0" fillId="0" borderId="6" xfId="0" applyFill="1" applyBorder="1"/>
    <xf numFmtId="0" fontId="0" fillId="0" borderId="13" xfId="0" applyFill="1" applyBorder="1" applyAlignment="1">
      <alignment horizontal="right"/>
    </xf>
    <xf numFmtId="164" fontId="0" fillId="0" borderId="14" xfId="0" applyNumberFormat="1" applyBorder="1" applyAlignment="1">
      <alignment horizontal="center"/>
    </xf>
    <xf numFmtId="0" fontId="0" fillId="0" borderId="15" xfId="0" applyFill="1" applyBorder="1"/>
    <xf numFmtId="164" fontId="0" fillId="2" borderId="0" xfId="0" applyNumberFormat="1" applyFill="1" applyAlignment="1" applyProtection="1">
      <alignment horizontal="center"/>
      <protection locked="0"/>
    </xf>
    <xf numFmtId="164" fontId="0" fillId="0" borderId="0" xfId="0" applyNumberFormat="1" applyFill="1" applyAlignment="1">
      <alignment horizontal="left"/>
    </xf>
    <xf numFmtId="164" fontId="0" fillId="0" borderId="0" xfId="0" applyNumberFormat="1" applyFill="1" applyBorder="1" applyAlignment="1">
      <alignment horizontal="center"/>
    </xf>
    <xf numFmtId="164" fontId="0" fillId="2" borderId="0" xfId="0" applyNumberFormat="1" applyFill="1" applyBorder="1" applyAlignment="1">
      <alignment horizontal="center"/>
    </xf>
    <xf numFmtId="165" fontId="0" fillId="0" borderId="0" xfId="0" applyNumberFormat="1"/>
    <xf numFmtId="164" fontId="0" fillId="0" borderId="0" xfId="0" applyNumberFormat="1" applyFill="1" applyAlignment="1">
      <alignment horizontal="center"/>
    </xf>
    <xf numFmtId="168" fontId="0" fillId="0" borderId="0" xfId="0" applyNumberFormat="1" applyAlignment="1">
      <alignment horizontal="center"/>
    </xf>
    <xf numFmtId="0" fontId="6" fillId="0" borderId="0" xfId="0" applyFont="1" applyAlignment="1">
      <alignment horizontal="left"/>
    </xf>
    <xf numFmtId="0" fontId="6" fillId="0" borderId="0" xfId="0" applyFont="1"/>
    <xf numFmtId="11" fontId="0" fillId="2" borderId="0" xfId="0" applyNumberFormat="1" applyFill="1" applyAlignment="1">
      <alignment horizontal="center"/>
    </xf>
    <xf numFmtId="164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165" fontId="0" fillId="0" borderId="3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7" xfId="0" applyNumberForma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7" xfId="0" applyNumberFormat="1" applyFill="1" applyBorder="1" applyAlignment="1">
      <alignment horizontal="center"/>
    </xf>
    <xf numFmtId="168" fontId="0" fillId="0" borderId="0" xfId="0" applyNumberFormat="1" applyBorder="1" applyAlignment="1">
      <alignment horizontal="center"/>
    </xf>
    <xf numFmtId="168" fontId="0" fillId="0" borderId="6" xfId="0" applyNumberFormat="1" applyBorder="1" applyAlignment="1">
      <alignment horizontal="center"/>
    </xf>
    <xf numFmtId="168" fontId="0" fillId="0" borderId="5" xfId="0" applyNumberFormat="1" applyBorder="1" applyAlignment="1">
      <alignment horizontal="center"/>
    </xf>
    <xf numFmtId="168" fontId="0" fillId="0" borderId="8" xfId="0" applyNumberFormat="1" applyBorder="1" applyAlignment="1">
      <alignment horizontal="center"/>
    </xf>
    <xf numFmtId="168" fontId="0" fillId="0" borderId="9" xfId="0" applyNumberFormat="1" applyBorder="1" applyAlignment="1">
      <alignment horizontal="center"/>
    </xf>
    <xf numFmtId="168" fontId="0" fillId="0" borderId="7" xfId="0" applyNumberFormat="1" applyBorder="1" applyAlignment="1">
      <alignment horizontal="center"/>
    </xf>
    <xf numFmtId="168" fontId="0" fillId="0" borderId="3" xfId="0" applyNumberFormat="1" applyBorder="1" applyAlignment="1">
      <alignment horizontal="center"/>
    </xf>
    <xf numFmtId="168" fontId="0" fillId="0" borderId="4" xfId="0" applyNumberFormat="1" applyBorder="1" applyAlignment="1">
      <alignment horizontal="center"/>
    </xf>
    <xf numFmtId="168" fontId="0" fillId="0" borderId="2" xfId="0" applyNumberFormat="1" applyBorder="1" applyAlignment="1">
      <alignment horizontal="center"/>
    </xf>
    <xf numFmtId="164" fontId="6" fillId="0" borderId="0" xfId="0" applyNumberFormat="1" applyFont="1" applyBorder="1" applyAlignment="1">
      <alignment horizontal="center"/>
    </xf>
    <xf numFmtId="164" fontId="6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0" fontId="11" fillId="0" borderId="0" xfId="0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L_Section_Capacity!$E$3:$E$11</c:f>
              <c:numCache>
                <c:formatCode>0.00</c:formatCode>
                <c:ptCount val="9"/>
                <c:pt idx="0" formatCode="General">
                  <c:v>0</c:v>
                </c:pt>
                <c:pt idx="1">
                  <c:v>12</c:v>
                </c:pt>
                <c:pt idx="2">
                  <c:v>12</c:v>
                </c:pt>
                <c:pt idx="3">
                  <c:v>12</c:v>
                </c:pt>
                <c:pt idx="4">
                  <c:v>12</c:v>
                </c:pt>
                <c:pt idx="5">
                  <c:v>0</c:v>
                </c:pt>
                <c:pt idx="6">
                  <c:v>0</c:v>
                </c:pt>
                <c:pt idx="7" formatCode="General">
                  <c:v>0</c:v>
                </c:pt>
                <c:pt idx="8" formatCode="General">
                  <c:v>0</c:v>
                </c:pt>
              </c:numCache>
            </c:numRef>
          </c:xVal>
          <c:yVal>
            <c:numRef>
              <c:f>L_Section_Capacity!$F$3:$F$11</c:f>
              <c:numCache>
                <c:formatCode>General</c:formatCode>
                <c:ptCount val="9"/>
                <c:pt idx="0">
                  <c:v>0</c:v>
                </c:pt>
                <c:pt idx="1">
                  <c:v>0</c:v>
                </c:pt>
                <c:pt idx="2">
                  <c:v>16</c:v>
                </c:pt>
                <c:pt idx="3">
                  <c:v>16</c:v>
                </c:pt>
                <c:pt idx="4">
                  <c:v>24</c:v>
                </c:pt>
                <c:pt idx="5">
                  <c:v>24</c:v>
                </c:pt>
                <c:pt idx="6">
                  <c:v>16</c:v>
                </c:pt>
                <c:pt idx="7">
                  <c:v>16</c:v>
                </c:pt>
                <c:pt idx="8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569-450D-85AB-B7EA4F2AD83E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L_Section_Capacity!$K$15:$K$24</c:f>
              <c:numCache>
                <c:formatCode>General</c:formatCode>
                <c:ptCount val="10"/>
                <c:pt idx="0">
                  <c:v>2</c:v>
                </c:pt>
                <c:pt idx="1">
                  <c:v>2</c:v>
                </c:pt>
                <c:pt idx="2">
                  <c:v>4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L_Section_Capacity!$L$15:$L$24</c:f>
              <c:numCache>
                <c:formatCode>General</c:formatCode>
                <c:ptCount val="10"/>
                <c:pt idx="0">
                  <c:v>2</c:v>
                </c:pt>
                <c:pt idx="1">
                  <c:v>4</c:v>
                </c:pt>
                <c:pt idx="2">
                  <c:v>2</c:v>
                </c:pt>
                <c:pt idx="3">
                  <c:v>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E569-450D-85AB-B7EA4F2AD83E}"/>
            </c:ext>
          </c:extLst>
        </c:ser>
        <c:ser>
          <c:idx val="4"/>
          <c:order val="2"/>
          <c:tx>
            <c:v>scale_pt</c:v>
          </c:tx>
          <c:spPr>
            <a:ln>
              <a:noFill/>
            </a:ln>
          </c:spPr>
          <c:marker>
            <c:symbol val="plus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L_Section_Capacity!$X$4:$X$6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xVal>
          <c:yVal>
            <c:numRef>
              <c:f>L_Section_Capacity!$Y$4:$Y$6</c:f>
              <c:numCache>
                <c:formatCode>General</c:formatCode>
                <c:ptCount val="3"/>
                <c:pt idx="0">
                  <c:v>34</c:v>
                </c:pt>
                <c:pt idx="1">
                  <c:v>34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E569-450D-85AB-B7EA4F2AD83E}"/>
            </c:ext>
          </c:extLst>
        </c:ser>
        <c:ser>
          <c:idx val="5"/>
          <c:order val="3"/>
          <c:tx>
            <c:v>Neutral_Axis</c:v>
          </c:tx>
          <c:spPr>
            <a:ln w="15875">
              <a:solidFill>
                <a:srgbClr val="C00000"/>
              </a:solidFill>
              <a:prstDash val="lgDash"/>
            </a:ln>
          </c:spPr>
          <c:marker>
            <c:symbol val="circle"/>
            <c:size val="5"/>
            <c:spPr>
              <a:noFill/>
              <a:ln>
                <a:solidFill>
                  <a:srgbClr val="C00000"/>
                </a:solidFill>
              </a:ln>
            </c:spPr>
          </c:marker>
          <c:xVal>
            <c:numRef>
              <c:f>L_Section_Capacity!$J$33:$J$34</c:f>
              <c:numCache>
                <c:formatCode>General</c:formatCode>
                <c:ptCount val="2"/>
                <c:pt idx="0">
                  <c:v>13.00060215342128</c:v>
                </c:pt>
                <c:pt idx="1">
                  <c:v>-2.2981053917303562</c:v>
                </c:pt>
              </c:numCache>
            </c:numRef>
          </c:xVal>
          <c:yVal>
            <c:numRef>
              <c:f>L_Section_Capacity!$K$33:$K$34</c:f>
              <c:numCache>
                <c:formatCode>General</c:formatCode>
                <c:ptCount val="2"/>
                <c:pt idx="0">
                  <c:v>-1.7211485012508021E-2</c:v>
                </c:pt>
                <c:pt idx="1">
                  <c:v>0.83920928904502823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E569-450D-85AB-B7EA4F2AD83E}"/>
            </c:ext>
          </c:extLst>
        </c:ser>
        <c:ser>
          <c:idx val="6"/>
          <c:order val="4"/>
          <c:tx>
            <c:v>Whitney_Block</c:v>
          </c:tx>
          <c:spPr>
            <a:ln w="12700">
              <a:solidFill>
                <a:srgbClr val="FF0000"/>
              </a:solidFill>
              <a:prstDash val="sysDash"/>
            </a:ln>
          </c:spPr>
          <c:marker>
            <c:symbol val="diamond"/>
            <c:size val="5"/>
            <c:spPr>
              <a:noFill/>
              <a:ln>
                <a:solidFill>
                  <a:srgbClr val="FF0000"/>
                </a:solidFill>
              </a:ln>
            </c:spPr>
          </c:marker>
          <c:xVal>
            <c:numRef>
              <c:f>L_Section_Capacity!$N$33:$N$34</c:f>
              <c:numCache>
                <c:formatCode>General</c:formatCode>
                <c:ptCount val="2"/>
                <c:pt idx="0">
                  <c:v>#N/A</c:v>
                </c:pt>
                <c:pt idx="1">
                  <c:v>#N/A</c:v>
                </c:pt>
              </c:numCache>
            </c:numRef>
          </c:xVal>
          <c:yVal>
            <c:numRef>
              <c:f>L_Section_Capacity!$O$33:$O$34</c:f>
              <c:numCache>
                <c:formatCode>General</c:formatCode>
                <c:ptCount val="2"/>
                <c:pt idx="0">
                  <c:v>-0.15887982738820838</c:v>
                </c:pt>
                <c:pt idx="1">
                  <c:v>0.69754094666932787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E569-450D-85AB-B7EA4F2AD83E}"/>
            </c:ext>
          </c:extLst>
        </c:ser>
        <c:ser>
          <c:idx val="2"/>
          <c:order val="5"/>
          <c:tx>
            <c:v>Load_Point</c:v>
          </c:tx>
          <c:spPr>
            <a:ln>
              <a:noFill/>
            </a:ln>
          </c:spPr>
          <c:marker>
            <c:symbol val="x"/>
            <c:size val="7"/>
            <c:spPr>
              <a:ln>
                <a:solidFill>
                  <a:srgbClr val="C00000"/>
                </a:solidFill>
              </a:ln>
            </c:spPr>
          </c:marker>
          <c:xVal>
            <c:numRef>
              <c:f>L_Section_Capacity!$I$2</c:f>
              <c:numCache>
                <c:formatCode>0.000</c:formatCode>
                <c:ptCount val="1"/>
                <c:pt idx="0">
                  <c:v>6</c:v>
                </c:pt>
              </c:numCache>
            </c:numRef>
          </c:xVal>
          <c:yVal>
            <c:numRef>
              <c:f>L_Section_Capacity!$I$3</c:f>
              <c:numCache>
                <c:formatCode>General</c:formatCode>
                <c:ptCount val="1"/>
                <c:pt idx="0">
                  <c:v>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4F-4F13-8E2E-6844DC9CF45D}"/>
            </c:ext>
          </c:extLst>
        </c:ser>
        <c:ser>
          <c:idx val="3"/>
          <c:order val="6"/>
          <c:tx>
            <c:v>Cc_center</c:v>
          </c:tx>
          <c:spPr>
            <a:ln>
              <a:noFill/>
            </a:ln>
          </c:spPr>
          <c:marker>
            <c:symbol val="plus"/>
            <c:size val="6"/>
            <c:spPr>
              <a:ln w="12700">
                <a:solidFill>
                  <a:srgbClr val="00B050"/>
                </a:solidFill>
              </a:ln>
            </c:spPr>
          </c:marker>
          <c:xVal>
            <c:numRef>
              <c:f>L_Section_Capacity!$S$58</c:f>
              <c:numCache>
                <c:formatCode>General</c:formatCode>
                <c:ptCount val="1"/>
                <c:pt idx="0">
                  <c:v>3.3848384230787598</c:v>
                </c:pt>
              </c:numCache>
            </c:numRef>
          </c:xVal>
          <c:yVal>
            <c:numRef>
              <c:f>L_Section_Capacity!$T$58</c:f>
              <c:numCache>
                <c:formatCode>General</c:formatCode>
                <c:ptCount val="1"/>
                <c:pt idx="0">
                  <c:v>0.18948306148067218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47-406D-B5D5-9DB062E223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</c:plotArea>
    <c:legend>
      <c:legendPos val="b"/>
      <c:overlay val="0"/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L_Section_Capacity!$C$37:$C$45</c:f>
              <c:numCache>
                <c:formatCode>0.000</c:formatCode>
                <c:ptCount val="9"/>
                <c:pt idx="0">
                  <c:v>5.3199115589857549</c:v>
                </c:pt>
                <c:pt idx="1">
                  <c:v>-6.6613299937790984</c:v>
                </c:pt>
                <c:pt idx="2">
                  <c:v>-5.7670510372502024</c:v>
                </c:pt>
                <c:pt idx="3">
                  <c:v>-5.7670510372502024</c:v>
                </c:pt>
                <c:pt idx="4">
                  <c:v>-5.3199115589857549</c:v>
                </c:pt>
                <c:pt idx="5">
                  <c:v>6.6613299937790984</c:v>
                </c:pt>
                <c:pt idx="6">
                  <c:v>6.2141905155146508</c:v>
                </c:pt>
                <c:pt idx="7">
                  <c:v>6.2141905155146508</c:v>
                </c:pt>
                <c:pt idx="8">
                  <c:v>5.3199115589857549</c:v>
                </c:pt>
              </c:numCache>
            </c:numRef>
          </c:xVal>
          <c:yVal>
            <c:numRef>
              <c:f>L_Section_Capacity!$D$37:$D$45</c:f>
              <c:numCache>
                <c:formatCode>0.000</c:formatCode>
                <c:ptCount val="9"/>
                <c:pt idx="0">
                  <c:v>12.316596161463188</c:v>
                </c:pt>
                <c:pt idx="1">
                  <c:v>11.645886944066518</c:v>
                </c:pt>
                <c:pt idx="2">
                  <c:v>-4.3291017929532867</c:v>
                </c:pt>
                <c:pt idx="3">
                  <c:v>-4.3291017929532867</c:v>
                </c:pt>
                <c:pt idx="4">
                  <c:v>-12.316596161463188</c:v>
                </c:pt>
                <c:pt idx="5">
                  <c:v>-11.645886944066518</c:v>
                </c:pt>
                <c:pt idx="6">
                  <c:v>-3.6583925755566149</c:v>
                </c:pt>
                <c:pt idx="7">
                  <c:v>-3.6583925755566149</c:v>
                </c:pt>
                <c:pt idx="8">
                  <c:v>12.316596161463188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BD-4B30-9120-E7E227F0CFB1}"/>
            </c:ext>
          </c:extLst>
        </c:ser>
        <c:ser>
          <c:idx val="1"/>
          <c:order val="1"/>
          <c:tx>
            <c:v>Reinforcement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L_Section_Capacity!$Q$62:$Q$71</c:f>
              <c:numCache>
                <c:formatCode>General</c:formatCode>
                <c:ptCount val="10"/>
                <c:pt idx="0">
                  <c:v>3.4348228364243911</c:v>
                </c:pt>
                <c:pt idx="1">
                  <c:v>3.5466077059905032</c:v>
                </c:pt>
                <c:pt idx="2">
                  <c:v>1.4379492442969157</c:v>
                </c:pt>
                <c:pt idx="3">
                  <c:v>1.5497341138630278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xVal>
          <c:yVal>
            <c:numRef>
              <c:f>L_Section_Capacity!$R$62:$R$71</c:f>
              <c:numCache>
                <c:formatCode>General</c:formatCode>
                <c:ptCount val="10"/>
                <c:pt idx="0">
                  <c:v>10.2079376997696</c:v>
                </c:pt>
                <c:pt idx="1">
                  <c:v>8.2110641076421249</c:v>
                </c:pt>
                <c:pt idx="2">
                  <c:v>10.096152830203488</c:v>
                </c:pt>
                <c:pt idx="3">
                  <c:v>8.0992792380760132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BD-4B30-9120-E7E227F0CFB1}"/>
            </c:ext>
          </c:extLst>
        </c:ser>
        <c:ser>
          <c:idx val="2"/>
          <c:order val="2"/>
          <c:tx>
            <c:v>NA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circle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L_Section_Capacity!$J$38:$J$39</c:f>
              <c:numCache>
                <c:formatCode>0.000</c:formatCode>
                <c:ptCount val="2"/>
                <c:pt idx="0">
                  <c:v>-7.6613299937790984</c:v>
                </c:pt>
                <c:pt idx="1">
                  <c:v>7.6613299937790984</c:v>
                </c:pt>
              </c:numCache>
            </c:numRef>
          </c:xVal>
          <c:yVal>
            <c:numRef>
              <c:f>L_Section_Capacity!$K$38:$K$39</c:f>
              <c:numCache>
                <c:formatCode>0.000</c:formatCode>
                <c:ptCount val="2"/>
                <c:pt idx="0">
                  <c:v>11.607145433414022</c:v>
                </c:pt>
                <c:pt idx="1">
                  <c:v>11.607145433414022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EBD-4B30-9120-E7E227F0CFB1}"/>
            </c:ext>
          </c:extLst>
        </c:ser>
        <c:ser>
          <c:idx val="3"/>
          <c:order val="3"/>
          <c:tx>
            <c:v>Whitney_Block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triangle"/>
            <c:size val="6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L_Section_Capacity!$N$38:$N$39</c:f>
              <c:numCache>
                <c:formatCode>0.000</c:formatCode>
                <c:ptCount val="2"/>
                <c:pt idx="0">
                  <c:v>-7.6613299937790984</c:v>
                </c:pt>
                <c:pt idx="1">
                  <c:v>7.6613299937790984</c:v>
                </c:pt>
              </c:numCache>
            </c:numRef>
          </c:xVal>
          <c:yVal>
            <c:numRef>
              <c:f>L_Section_Capacity!$O$38:$O$39</c:f>
              <c:numCache>
                <c:formatCode>0.000</c:formatCode>
                <c:ptCount val="2"/>
                <c:pt idx="0">
                  <c:v>11.749035579023856</c:v>
                </c:pt>
                <c:pt idx="1">
                  <c:v>11.749035579023856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AEBD-4B30-9120-E7E227F0CFB1}"/>
            </c:ext>
          </c:extLst>
        </c:ser>
        <c:ser>
          <c:idx val="4"/>
          <c:order val="4"/>
          <c:tx>
            <c:v>stress_nodes_i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FF0000"/>
              </a:solidFill>
              <a:ln w="9525">
                <a:solidFill>
                  <a:srgbClr val="92D050"/>
                </a:solidFill>
              </a:ln>
              <a:effectLst/>
            </c:spPr>
          </c:marker>
          <c:xVal>
            <c:numRef>
              <c:f>L_Section_Capacity!$S$49:$S$56</c:f>
              <c:numCache>
                <c:formatCode>General</c:formatCode>
                <c:ptCount val="8"/>
                <c:pt idx="0">
                  <c:v>5.3199115589857549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5.3516835679546615</c:v>
                </c:pt>
              </c:numCache>
            </c:numRef>
          </c:xVal>
          <c:yVal>
            <c:numRef>
              <c:f>L_Section_Capacity!$T$49:$T$56</c:f>
              <c:numCache>
                <c:formatCode>General</c:formatCode>
                <c:ptCount val="8"/>
                <c:pt idx="0">
                  <c:v>12.316596161463188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11.749035579023856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EBD-4B30-9120-E7E227F0CFB1}"/>
            </c:ext>
          </c:extLst>
        </c:ser>
        <c:ser>
          <c:idx val="5"/>
          <c:order val="5"/>
          <c:tx>
            <c:v>stress_nodes_j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6"/>
            <c:spPr>
              <a:solidFill>
                <a:srgbClr val="92D05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L_Section_Capacity!$V$49:$V$56</c:f>
              <c:numCache>
                <c:formatCode>General</c:formatCode>
                <c:ptCount val="8"/>
                <c:pt idx="0">
                  <c:v>-4.8187301320108187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5.3199115589857549</c:v>
                </c:pt>
              </c:numCache>
            </c:numRef>
          </c:xVal>
          <c:yVal>
            <c:numRef>
              <c:f>L_Section_Capacity!$W$49:$W$56</c:f>
              <c:numCache>
                <c:formatCode>General</c:formatCode>
                <c:ptCount val="8"/>
                <c:pt idx="0">
                  <c:v>11.749035579023856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12.316596161463188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EBD-4B30-9120-E7E227F0CF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71655087"/>
        <c:axId val="1467646175"/>
      </c:scatterChart>
      <c:valAx>
        <c:axId val="147165508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7646175"/>
        <c:crosses val="autoZero"/>
        <c:crossBetween val="midCat"/>
      </c:valAx>
      <c:valAx>
        <c:axId val="14676461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7165508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7999249114108941E-2"/>
          <c:y val="9.5394347156804546E-2"/>
          <c:w val="0.84232733481796163"/>
          <c:h val="0.75111090356007637"/>
        </c:manualLayout>
      </c:layout>
      <c:scatterChart>
        <c:scatterStyle val="lineMarker"/>
        <c:varyColors val="0"/>
        <c:ser>
          <c:idx val="0"/>
          <c:order val="0"/>
          <c:tx>
            <c:v>Result_Vector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00B0F0"/>
                </a:solidFill>
              </a:ln>
              <a:effectLst/>
            </c:spPr>
          </c:marker>
          <c:xVal>
            <c:numRef>
              <c:f>L_Section_Capacity!$AA$5:$AA$6</c:f>
              <c:numCache>
                <c:formatCode>General</c:formatCode>
                <c:ptCount val="2"/>
                <c:pt idx="0">
                  <c:v>0</c:v>
                </c:pt>
                <c:pt idx="1">
                  <c:v>12.902712893031449</c:v>
                </c:pt>
              </c:numCache>
            </c:numRef>
          </c:xVal>
          <c:yVal>
            <c:numRef>
              <c:f>L_Section_Capacity!$AB$5:$AB$6</c:f>
              <c:numCache>
                <c:formatCode>General</c:formatCode>
                <c:ptCount val="2"/>
                <c:pt idx="0">
                  <c:v>0</c:v>
                </c:pt>
                <c:pt idx="1">
                  <c:v>-160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12-6244-8B8B-DB5AF284A8E0}"/>
            </c:ext>
          </c:extLst>
        </c:ser>
        <c:ser>
          <c:idx val="1"/>
          <c:order val="1"/>
          <c:tx>
            <c:v>Capacity_Vector</c:v>
          </c:tx>
          <c:spPr>
            <a:ln w="12700" cap="rnd">
              <a:solidFill>
                <a:srgbClr val="C00000"/>
              </a:solidFill>
              <a:prstDash val="sysDot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(L_Section_Capacity!$AA$5,L_Section_Capacity!$AA$7)</c:f>
              <c:numCache>
                <c:formatCode>General</c:formatCode>
                <c:ptCount val="2"/>
                <c:pt idx="0">
                  <c:v>0</c:v>
                </c:pt>
                <c:pt idx="1">
                  <c:v>124.28334313656214</c:v>
                </c:pt>
              </c:numCache>
            </c:numRef>
          </c:xVal>
          <c:yVal>
            <c:numRef>
              <c:f>(L_Section_Capacity!$AB$5,L_Section_Capacity!$AB$7)</c:f>
              <c:numCache>
                <c:formatCode>0.000</c:formatCode>
                <c:ptCount val="2"/>
                <c:pt idx="0" formatCode="General">
                  <c:v>0</c:v>
                </c:pt>
                <c:pt idx="1">
                  <c:v>-160.00000000098825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5A6-D941-A211-2EA21BA7F3D2}"/>
            </c:ext>
          </c:extLst>
        </c:ser>
        <c:ser>
          <c:idx val="2"/>
          <c:order val="2"/>
          <c:tx>
            <c:v>Res_Cap_Vector</c:v>
          </c:tx>
          <c:spPr>
            <a:ln w="12700" cap="rnd">
              <a:solidFill>
                <a:schemeClr val="accent4">
                  <a:lumMod val="75000"/>
                </a:schemeClr>
              </a:solidFill>
              <a:prstDash val="lgDashDot"/>
              <a:round/>
            </a:ln>
            <a:effectLst/>
          </c:spPr>
          <c:marker>
            <c:symbol val="none"/>
          </c:marker>
          <c:xVal>
            <c:numRef>
              <c:f>L_Section_Capacity!$AA$6:$AA$7</c:f>
              <c:numCache>
                <c:formatCode>General</c:formatCode>
                <c:ptCount val="2"/>
                <c:pt idx="0">
                  <c:v>12.902712893031449</c:v>
                </c:pt>
                <c:pt idx="1">
                  <c:v>124.28334313656214</c:v>
                </c:pt>
              </c:numCache>
            </c:numRef>
          </c:xVal>
          <c:yVal>
            <c:numRef>
              <c:f>L_Section_Capacity!$AB$6:$AB$7</c:f>
              <c:numCache>
                <c:formatCode>0.000</c:formatCode>
                <c:ptCount val="2"/>
                <c:pt idx="0" formatCode="General">
                  <c:v>-160</c:v>
                </c:pt>
                <c:pt idx="1">
                  <c:v>-160.00000000098825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5A6-D941-A211-2EA21BA7F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3842352"/>
        <c:axId val="233843984"/>
      </c:scatterChart>
      <c:valAx>
        <c:axId val="23384235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3984"/>
        <c:crosses val="autoZero"/>
        <c:crossBetween val="midCat"/>
      </c:valAx>
      <c:valAx>
        <c:axId val="2338439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38423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L_Section_Capacity!$BD$2:$BD$362</c:f>
              <c:numCache>
                <c:formatCode>General</c:formatCode>
                <c:ptCount val="361"/>
                <c:pt idx="0">
                  <c:v>138.51255281472493</c:v>
                </c:pt>
                <c:pt idx="1">
                  <c:v>138.5005218068541</c:v>
                </c:pt>
                <c:pt idx="2">
                  <c:v>138.47760145817037</c:v>
                </c:pt>
                <c:pt idx="3">
                  <c:v>138.45092329660082</c:v>
                </c:pt>
                <c:pt idx="4">
                  <c:v>138.42495973050114</c:v>
                </c:pt>
                <c:pt idx="5">
                  <c:v>138.40183839788622</c:v>
                </c:pt>
                <c:pt idx="6">
                  <c:v>138.38088185458867</c:v>
                </c:pt>
                <c:pt idx="7">
                  <c:v>138.36155132857215</c:v>
                </c:pt>
                <c:pt idx="8">
                  <c:v>138.34349455466167</c:v>
                </c:pt>
                <c:pt idx="9">
                  <c:v>138.32646581967236</c:v>
                </c:pt>
                <c:pt idx="10">
                  <c:v>138.31028530689917</c:v>
                </c:pt>
                <c:pt idx="11">
                  <c:v>138.29481645745389</c:v>
                </c:pt>
                <c:pt idx="12">
                  <c:v>138.27995242522633</c:v>
                </c:pt>
                <c:pt idx="13">
                  <c:v>138.26560754055185</c:v>
                </c:pt>
                <c:pt idx="14">
                  <c:v>138.25171167492329</c:v>
                </c:pt>
                <c:pt idx="15">
                  <c:v>138.238206394375</c:v>
                </c:pt>
                <c:pt idx="16">
                  <c:v>138.22504224802873</c:v>
                </c:pt>
                <c:pt idx="17">
                  <c:v>138.2121767928621</c:v>
                </c:pt>
                <c:pt idx="18">
                  <c:v>138.19957315125265</c:v>
                </c:pt>
                <c:pt idx="19">
                  <c:v>138.18719890647142</c:v>
                </c:pt>
                <c:pt idx="20">
                  <c:v>138.17502526017157</c:v>
                </c:pt>
                <c:pt idx="21">
                  <c:v>138.1630263743412</c:v>
                </c:pt>
                <c:pt idx="22">
                  <c:v>138.15117884345483</c:v>
                </c:pt>
                <c:pt idx="23">
                  <c:v>138.13946127961839</c:v>
                </c:pt>
                <c:pt idx="24">
                  <c:v>138.12785396250311</c:v>
                </c:pt>
                <c:pt idx="25">
                  <c:v>138.1163385654915</c:v>
                </c:pt>
                <c:pt idx="26">
                  <c:v>138.10489791096546</c:v>
                </c:pt>
                <c:pt idx="27">
                  <c:v>138.09351577357137</c:v>
                </c:pt>
                <c:pt idx="28">
                  <c:v>138.0821767089495</c:v>
                </c:pt>
                <c:pt idx="29">
                  <c:v>138.07086590638659</c:v>
                </c:pt>
                <c:pt idx="30">
                  <c:v>138.05956905268897</c:v>
                </c:pt>
                <c:pt idx="31">
                  <c:v>138.04827222100994</c:v>
                </c:pt>
                <c:pt idx="32">
                  <c:v>138.03696176599144</c:v>
                </c:pt>
                <c:pt idx="33">
                  <c:v>138.02562421865747</c:v>
                </c:pt>
                <c:pt idx="34">
                  <c:v>138.01424620726516</c:v>
                </c:pt>
                <c:pt idx="35">
                  <c:v>138.00281435821131</c:v>
                </c:pt>
                <c:pt idx="36">
                  <c:v>137.99131522437031</c:v>
                </c:pt>
                <c:pt idx="37">
                  <c:v>137.97973519743849</c:v>
                </c:pt>
                <c:pt idx="38">
                  <c:v>137.96806043111732</c:v>
                </c:pt>
                <c:pt idx="39">
                  <c:v>137.95627675450916</c:v>
                </c:pt>
                <c:pt idx="40">
                  <c:v>137.94436959083359</c:v>
                </c:pt>
                <c:pt idx="41">
                  <c:v>137.93232386899078</c:v>
                </c:pt>
                <c:pt idx="42">
                  <c:v>137.92012393377954</c:v>
                </c:pt>
                <c:pt idx="43">
                  <c:v>137.90775344655665</c:v>
                </c:pt>
                <c:pt idx="44">
                  <c:v>137.89519527655108</c:v>
                </c:pt>
                <c:pt idx="45">
                  <c:v>137.8824313929797</c:v>
                </c:pt>
                <c:pt idx="46">
                  <c:v>137.86944273700786</c:v>
                </c:pt>
                <c:pt idx="47">
                  <c:v>137.85620908124494</c:v>
                </c:pt>
                <c:pt idx="48">
                  <c:v>137.84270888192432</c:v>
                </c:pt>
                <c:pt idx="49">
                  <c:v>137.82891910485168</c:v>
                </c:pt>
                <c:pt idx="50">
                  <c:v>137.8148150320834</c:v>
                </c:pt>
                <c:pt idx="51">
                  <c:v>137.80037005112678</c:v>
                </c:pt>
                <c:pt idx="52">
                  <c:v>137.78555540491129</c:v>
                </c:pt>
                <c:pt idx="53">
                  <c:v>137.77033990966027</c:v>
                </c:pt>
                <c:pt idx="54">
                  <c:v>137.75468964094392</c:v>
                </c:pt>
                <c:pt idx="55">
                  <c:v>137.73856755505938</c:v>
                </c:pt>
                <c:pt idx="56">
                  <c:v>137.72193306937507</c:v>
                </c:pt>
                <c:pt idx="57">
                  <c:v>137.70474155973696</c:v>
                </c:pt>
                <c:pt idx="58">
                  <c:v>137.68694378122683</c:v>
                </c:pt>
                <c:pt idx="59">
                  <c:v>137.66848518833402</c:v>
                </c:pt>
                <c:pt idx="60">
                  <c:v>137.64930512376307</c:v>
                </c:pt>
                <c:pt idx="61">
                  <c:v>137.62933586928943</c:v>
                </c:pt>
                <c:pt idx="62">
                  <c:v>137.60850150358351</c:v>
                </c:pt>
                <c:pt idx="63">
                  <c:v>137.586716526564</c:v>
                </c:pt>
                <c:pt idx="64">
                  <c:v>137.56388420882877</c:v>
                </c:pt>
                <c:pt idx="65">
                  <c:v>137.53989456908016</c:v>
                </c:pt>
                <c:pt idx="66">
                  <c:v>137.51462190280904</c:v>
                </c:pt>
                <c:pt idx="67">
                  <c:v>137.48792171682547</c:v>
                </c:pt>
                <c:pt idx="68">
                  <c:v>137.45962691798746</c:v>
                </c:pt>
                <c:pt idx="69">
                  <c:v>137.42954300443813</c:v>
                </c:pt>
                <c:pt idx="70">
                  <c:v>137.39744195018022</c:v>
                </c:pt>
                <c:pt idx="71">
                  <c:v>137.36305435460417</c:v>
                </c:pt>
                <c:pt idx="72">
                  <c:v>137.32605920766142</c:v>
                </c:pt>
                <c:pt idx="73">
                  <c:v>137.28607039473954</c:v>
                </c:pt>
                <c:pt idx="74">
                  <c:v>137.24261863017881</c:v>
                </c:pt>
                <c:pt idx="75">
                  <c:v>137.19512686798089</c:v>
                </c:pt>
                <c:pt idx="76">
                  <c:v>137.14287620427052</c:v>
                </c:pt>
                <c:pt idx="77">
                  <c:v>137.08495760750463</c:v>
                </c:pt>
                <c:pt idx="78">
                  <c:v>137.02020194127354</c:v>
                </c:pt>
                <c:pt idx="79">
                  <c:v>136.94707570048823</c:v>
                </c:pt>
                <c:pt idx="80">
                  <c:v>136.86352069095133</c:v>
                </c:pt>
                <c:pt idx="81">
                  <c:v>136.76669811980739</c:v>
                </c:pt>
                <c:pt idx="82">
                  <c:v>136.65256152813197</c:v>
                </c:pt>
                <c:pt idx="83">
                  <c:v>136.51510448472766</c:v>
                </c:pt>
                <c:pt idx="84">
                  <c:v>136.34494282636987</c:v>
                </c:pt>
                <c:pt idx="85">
                  <c:v>136.12640147437321</c:v>
                </c:pt>
                <c:pt idx="86">
                  <c:v>135.83079420222182</c:v>
                </c:pt>
                <c:pt idx="87">
                  <c:v>135.3981557285785</c:v>
                </c:pt>
                <c:pt idx="88">
                  <c:v>134.67306003042066</c:v>
                </c:pt>
                <c:pt idx="89">
                  <c:v>133.03733343871883</c:v>
                </c:pt>
                <c:pt idx="90">
                  <c:v>127.98000000000043</c:v>
                </c:pt>
                <c:pt idx="91">
                  <c:v>122.92266656128128</c:v>
                </c:pt>
                <c:pt idx="92">
                  <c:v>121.28693996957924</c:v>
                </c:pt>
                <c:pt idx="93">
                  <c:v>120.56184427142217</c:v>
                </c:pt>
                <c:pt idx="94">
                  <c:v>120.12920579777797</c:v>
                </c:pt>
                <c:pt idx="95">
                  <c:v>119.83359852562694</c:v>
                </c:pt>
                <c:pt idx="96">
                  <c:v>119.6150571736306</c:v>
                </c:pt>
                <c:pt idx="97">
                  <c:v>119.44489551527275</c:v>
                </c:pt>
                <c:pt idx="98">
                  <c:v>119.30743847186797</c:v>
                </c:pt>
                <c:pt idx="99">
                  <c:v>119.19330188019293</c:v>
                </c:pt>
                <c:pt idx="100">
                  <c:v>119.09647930904879</c:v>
                </c:pt>
                <c:pt idx="101">
                  <c:v>119.01292429951185</c:v>
                </c:pt>
                <c:pt idx="102">
                  <c:v>118.9397980587264</c:v>
                </c:pt>
                <c:pt idx="103">
                  <c:v>118.8750423924959</c:v>
                </c:pt>
                <c:pt idx="104">
                  <c:v>118.80734093104466</c:v>
                </c:pt>
                <c:pt idx="105">
                  <c:v>118.74593167447792</c:v>
                </c:pt>
                <c:pt idx="106">
                  <c:v>118.69593314242172</c:v>
                </c:pt>
                <c:pt idx="107">
                  <c:v>118.65470814350336</c:v>
                </c:pt>
                <c:pt idx="108">
                  <c:v>118.62031899253928</c:v>
                </c:pt>
                <c:pt idx="109">
                  <c:v>118.59131786079978</c:v>
                </c:pt>
                <c:pt idx="110">
                  <c:v>118.56660659866991</c:v>
                </c:pt>
                <c:pt idx="111">
                  <c:v>118.54534097881596</c:v>
                </c:pt>
                <c:pt idx="112">
                  <c:v>118.5268639867534</c:v>
                </c:pt>
                <c:pt idx="113">
                  <c:v>118.51065856274262</c:v>
                </c:pt>
                <c:pt idx="114">
                  <c:v>118.4963135712114</c:v>
                </c:pt>
                <c:pt idx="115">
                  <c:v>118.48349895272487</c:v>
                </c:pt>
                <c:pt idx="116">
                  <c:v>118.47194734593496</c:v>
                </c:pt>
                <c:pt idx="117">
                  <c:v>118.46144031395168</c:v>
                </c:pt>
                <c:pt idx="118">
                  <c:v>118.45179793458026</c:v>
                </c:pt>
                <c:pt idx="119">
                  <c:v>118.44287082057498</c:v>
                </c:pt>
                <c:pt idx="120">
                  <c:v>118.43453396027132</c:v>
                </c:pt>
                <c:pt idx="121">
                  <c:v>118.4266819279658</c:v>
                </c:pt>
                <c:pt idx="122">
                  <c:v>118.41922509507013</c:v>
                </c:pt>
                <c:pt idx="123">
                  <c:v>118.41208665039215</c:v>
                </c:pt>
                <c:pt idx="124">
                  <c:v>118.40520020072583</c:v>
                </c:pt>
                <c:pt idx="125">
                  <c:v>118.39850784394562</c:v>
                </c:pt>
                <c:pt idx="126">
                  <c:v>118.39195860495209</c:v>
                </c:pt>
                <c:pt idx="127">
                  <c:v>118.38550714841062</c:v>
                </c:pt>
                <c:pt idx="128">
                  <c:v>118.37911272178991</c:v>
                </c:pt>
                <c:pt idx="129">
                  <c:v>118.37273826722179</c:v>
                </c:pt>
                <c:pt idx="130">
                  <c:v>118.3663496743368</c:v>
                </c:pt>
                <c:pt idx="131">
                  <c:v>118.35991514182756</c:v>
                </c:pt>
                <c:pt idx="132">
                  <c:v>118.35340462537748</c:v>
                </c:pt>
                <c:pt idx="133">
                  <c:v>118.34678935200048</c:v>
                </c:pt>
                <c:pt idx="134">
                  <c:v>118.34004138500194</c:v>
                </c:pt>
                <c:pt idx="135">
                  <c:v>118.33313322745744</c:v>
                </c:pt>
                <c:pt idx="136">
                  <c:v>118.32603745591778</c:v>
                </c:pt>
                <c:pt idx="137">
                  <c:v>118.31872636088983</c:v>
                </c:pt>
                <c:pt idx="138">
                  <c:v>118.31117160980828</c:v>
                </c:pt>
                <c:pt idx="139">
                  <c:v>118.30334389634558</c:v>
                </c:pt>
                <c:pt idx="140">
                  <c:v>118.29521258650905</c:v>
                </c:pt>
                <c:pt idx="141">
                  <c:v>118.28674535531124</c:v>
                </c:pt>
                <c:pt idx="142">
                  <c:v>118.27790777959268</c:v>
                </c:pt>
                <c:pt idx="143">
                  <c:v>118.26866291005177</c:v>
                </c:pt>
                <c:pt idx="144">
                  <c:v>118.25897079550512</c:v>
                </c:pt>
                <c:pt idx="145">
                  <c:v>118.24878793608818</c:v>
                </c:pt>
                <c:pt idx="146">
                  <c:v>118.23806668287527</c:v>
                </c:pt>
                <c:pt idx="147">
                  <c:v>118.22675452213223</c:v>
                </c:pt>
                <c:pt idx="148">
                  <c:v>118.21479326620494</c:v>
                </c:pt>
                <c:pt idx="149">
                  <c:v>118.20211809645188</c:v>
                </c:pt>
                <c:pt idx="150">
                  <c:v>118.18865643052588</c:v>
                </c:pt>
                <c:pt idx="151">
                  <c:v>118.17432658239136</c:v>
                </c:pt>
                <c:pt idx="152">
                  <c:v>118.1590361468472</c:v>
                </c:pt>
                <c:pt idx="153">
                  <c:v>118.14268006424635</c:v>
                </c:pt>
                <c:pt idx="154">
                  <c:v>118.12513824553204</c:v>
                </c:pt>
                <c:pt idx="155">
                  <c:v>118.10627267462772</c:v>
                </c:pt>
                <c:pt idx="156">
                  <c:v>118.08592383142802</c:v>
                </c:pt>
                <c:pt idx="157">
                  <c:v>118.06390621655969</c:v>
                </c:pt>
                <c:pt idx="158">
                  <c:v>118.040002739</c:v>
                </c:pt>
                <c:pt idx="159">
                  <c:v>118.01395758544506</c:v>
                </c:pt>
                <c:pt idx="160">
                  <c:v>117.98546707748314</c:v>
                </c:pt>
                <c:pt idx="161">
                  <c:v>117.95416780143987</c:v>
                </c:pt>
                <c:pt idx="162">
                  <c:v>117.91962103397125</c:v>
                </c:pt>
                <c:pt idx="163">
                  <c:v>117.88129200124247</c:v>
                </c:pt>
                <c:pt idx="164">
                  <c:v>117.83852187016991</c:v>
                </c:pt>
                <c:pt idx="165">
                  <c:v>117.79048928726726</c:v>
                </c:pt>
                <c:pt idx="166">
                  <c:v>117.73615656738845</c:v>
                </c:pt>
                <c:pt idx="167">
                  <c:v>117.69439245944842</c:v>
                </c:pt>
                <c:pt idx="168">
                  <c:v>117.68004757477411</c:v>
                </c:pt>
                <c:pt idx="169">
                  <c:v>117.66518354254561</c:v>
                </c:pt>
                <c:pt idx="170">
                  <c:v>117.64971469310193</c:v>
                </c:pt>
                <c:pt idx="171">
                  <c:v>117.6335341803271</c:v>
                </c:pt>
                <c:pt idx="172">
                  <c:v>117.6165054453397</c:v>
                </c:pt>
                <c:pt idx="173">
                  <c:v>117.59844867142755</c:v>
                </c:pt>
                <c:pt idx="174">
                  <c:v>117.57911814541377</c:v>
                </c:pt>
                <c:pt idx="175">
                  <c:v>117.55816160211185</c:v>
                </c:pt>
                <c:pt idx="176">
                  <c:v>117.53504026949746</c:v>
                </c:pt>
                <c:pt idx="177">
                  <c:v>117.50907670340089</c:v>
                </c:pt>
                <c:pt idx="178">
                  <c:v>117.48239854183296</c:v>
                </c:pt>
                <c:pt idx="179">
                  <c:v>117.45947819314792</c:v>
                </c:pt>
                <c:pt idx="180">
                  <c:v>117.44744718527186</c:v>
                </c:pt>
                <c:pt idx="181">
                  <c:v>117.45947819314139</c:v>
                </c:pt>
                <c:pt idx="182">
                  <c:v>117.4823985418266</c:v>
                </c:pt>
                <c:pt idx="183">
                  <c:v>117.50907670339473</c:v>
                </c:pt>
                <c:pt idx="184">
                  <c:v>117.53504026949628</c:v>
                </c:pt>
                <c:pt idx="185">
                  <c:v>117.55816160211116</c:v>
                </c:pt>
                <c:pt idx="186">
                  <c:v>117.57911814541163</c:v>
                </c:pt>
                <c:pt idx="187">
                  <c:v>117.59844867142668</c:v>
                </c:pt>
                <c:pt idx="188">
                  <c:v>117.61650544533737</c:v>
                </c:pt>
                <c:pt idx="189">
                  <c:v>117.63353418032615</c:v>
                </c:pt>
                <c:pt idx="190">
                  <c:v>117.64971469310052</c:v>
                </c:pt>
                <c:pt idx="191">
                  <c:v>117.66518354254538</c:v>
                </c:pt>
                <c:pt idx="192">
                  <c:v>117.68004757477324</c:v>
                </c:pt>
                <c:pt idx="193">
                  <c:v>117.69439245944814</c:v>
                </c:pt>
                <c:pt idx="194">
                  <c:v>117.7082883250755</c:v>
                </c:pt>
                <c:pt idx="195">
                  <c:v>117.72179360562394</c:v>
                </c:pt>
                <c:pt idx="196">
                  <c:v>117.7349577519709</c:v>
                </c:pt>
                <c:pt idx="197">
                  <c:v>117.74782320713798</c:v>
                </c:pt>
                <c:pt idx="198">
                  <c:v>117.76042684874693</c:v>
                </c:pt>
                <c:pt idx="199">
                  <c:v>117.7728010935279</c:v>
                </c:pt>
                <c:pt idx="200">
                  <c:v>117.78497473982813</c:v>
                </c:pt>
                <c:pt idx="201">
                  <c:v>117.79697362565875</c:v>
                </c:pt>
                <c:pt idx="202">
                  <c:v>117.80882115654467</c:v>
                </c:pt>
                <c:pt idx="203">
                  <c:v>117.82053872038149</c:v>
                </c:pt>
                <c:pt idx="204">
                  <c:v>117.83214603749677</c:v>
                </c:pt>
                <c:pt idx="205">
                  <c:v>117.84366143450852</c:v>
                </c:pt>
                <c:pt idx="206">
                  <c:v>117.85510208903413</c:v>
                </c:pt>
                <c:pt idx="207">
                  <c:v>117.86648422642862</c:v>
                </c:pt>
                <c:pt idx="208">
                  <c:v>117.87782329105083</c:v>
                </c:pt>
                <c:pt idx="209">
                  <c:v>117.88913409361304</c:v>
                </c:pt>
                <c:pt idx="210">
                  <c:v>117.90043094731043</c:v>
                </c:pt>
                <c:pt idx="211">
                  <c:v>117.91172777899007</c:v>
                </c:pt>
                <c:pt idx="212">
                  <c:v>117.92303823400778</c:v>
                </c:pt>
                <c:pt idx="213">
                  <c:v>117.9343757813419</c:v>
                </c:pt>
                <c:pt idx="214">
                  <c:v>117.94575379273461</c:v>
                </c:pt>
                <c:pt idx="215">
                  <c:v>117.95718564178803</c:v>
                </c:pt>
                <c:pt idx="216">
                  <c:v>117.96868477562958</c:v>
                </c:pt>
                <c:pt idx="217">
                  <c:v>117.98026480256154</c:v>
                </c:pt>
                <c:pt idx="218">
                  <c:v>117.99193956888223</c:v>
                </c:pt>
                <c:pt idx="219">
                  <c:v>118.00372324549099</c:v>
                </c:pt>
                <c:pt idx="220">
                  <c:v>118.01563040916625</c:v>
                </c:pt>
                <c:pt idx="221">
                  <c:v>118.0276761310087</c:v>
                </c:pt>
                <c:pt idx="222">
                  <c:v>118.03987606622042</c:v>
                </c:pt>
                <c:pt idx="223">
                  <c:v>118.05224655344367</c:v>
                </c:pt>
                <c:pt idx="224">
                  <c:v>118.06480472344929</c:v>
                </c:pt>
                <c:pt idx="225">
                  <c:v>118.07756860702077</c:v>
                </c:pt>
                <c:pt idx="226">
                  <c:v>118.09055726299202</c:v>
                </c:pt>
                <c:pt idx="227">
                  <c:v>118.10379091875454</c:v>
                </c:pt>
                <c:pt idx="228">
                  <c:v>118.11729111807554</c:v>
                </c:pt>
                <c:pt idx="229">
                  <c:v>118.13108089514867</c:v>
                </c:pt>
                <c:pt idx="230">
                  <c:v>118.14518496791612</c:v>
                </c:pt>
                <c:pt idx="231">
                  <c:v>118.15962994887316</c:v>
                </c:pt>
                <c:pt idx="232">
                  <c:v>118.17444459508886</c:v>
                </c:pt>
                <c:pt idx="233">
                  <c:v>118.18966009033944</c:v>
                </c:pt>
                <c:pt idx="234">
                  <c:v>118.20531035905613</c:v>
                </c:pt>
                <c:pt idx="235">
                  <c:v>118.2214324449406</c:v>
                </c:pt>
                <c:pt idx="236">
                  <c:v>118.23806693062507</c:v>
                </c:pt>
                <c:pt idx="237">
                  <c:v>118.25525844026322</c:v>
                </c:pt>
                <c:pt idx="238">
                  <c:v>118.27305621877306</c:v>
                </c:pt>
                <c:pt idx="239">
                  <c:v>118.29151481166626</c:v>
                </c:pt>
                <c:pt idx="240">
                  <c:v>118.3106948762364</c:v>
                </c:pt>
                <c:pt idx="241">
                  <c:v>118.3306641307104</c:v>
                </c:pt>
                <c:pt idx="242">
                  <c:v>118.35149849641662</c:v>
                </c:pt>
                <c:pt idx="243">
                  <c:v>118.37328347343562</c:v>
                </c:pt>
                <c:pt idx="244">
                  <c:v>118.39611579117086</c:v>
                </c:pt>
                <c:pt idx="245">
                  <c:v>118.42010543091929</c:v>
                </c:pt>
                <c:pt idx="246">
                  <c:v>118.44537809719108</c:v>
                </c:pt>
                <c:pt idx="247">
                  <c:v>118.47207828317443</c:v>
                </c:pt>
                <c:pt idx="248">
                  <c:v>118.50037308201274</c:v>
                </c:pt>
                <c:pt idx="249">
                  <c:v>118.53045699556195</c:v>
                </c:pt>
                <c:pt idx="250">
                  <c:v>118.56255804981986</c:v>
                </c:pt>
                <c:pt idx="251">
                  <c:v>118.59694564539555</c:v>
                </c:pt>
                <c:pt idx="252">
                  <c:v>118.63394079233866</c:v>
                </c:pt>
                <c:pt idx="253">
                  <c:v>118.67392960526061</c:v>
                </c:pt>
                <c:pt idx="254">
                  <c:v>118.71738136982124</c:v>
                </c:pt>
                <c:pt idx="255">
                  <c:v>118.76487313201974</c:v>
                </c:pt>
                <c:pt idx="256">
                  <c:v>118.8171237957295</c:v>
                </c:pt>
                <c:pt idx="257">
                  <c:v>118.87504239249562</c:v>
                </c:pt>
                <c:pt idx="258">
                  <c:v>118.93979805872677</c:v>
                </c:pt>
                <c:pt idx="259">
                  <c:v>119.01292429951236</c:v>
                </c:pt>
                <c:pt idx="260">
                  <c:v>119.09647930904904</c:v>
                </c:pt>
                <c:pt idx="261">
                  <c:v>119.19330188019337</c:v>
                </c:pt>
                <c:pt idx="262">
                  <c:v>119.30743847130067</c:v>
                </c:pt>
                <c:pt idx="263">
                  <c:v>119.44489551634554</c:v>
                </c:pt>
                <c:pt idx="264">
                  <c:v>119.61505717418578</c:v>
                </c:pt>
                <c:pt idx="265">
                  <c:v>119.83359852510422</c:v>
                </c:pt>
                <c:pt idx="266">
                  <c:v>120.12920579811332</c:v>
                </c:pt>
                <c:pt idx="267">
                  <c:v>120.56184427181765</c:v>
                </c:pt>
                <c:pt idx="268">
                  <c:v>121.28693996948407</c:v>
                </c:pt>
                <c:pt idx="269">
                  <c:v>122.92266656123917</c:v>
                </c:pt>
                <c:pt idx="270">
                  <c:v>127.97999999998966</c:v>
                </c:pt>
                <c:pt idx="271">
                  <c:v>133.03733343864306</c:v>
                </c:pt>
                <c:pt idx="272">
                  <c:v>134.67306002989687</c:v>
                </c:pt>
                <c:pt idx="273">
                  <c:v>135.39815572844276</c:v>
                </c:pt>
                <c:pt idx="274">
                  <c:v>135.83079420172263</c:v>
                </c:pt>
                <c:pt idx="275">
                  <c:v>136.12640147419486</c:v>
                </c:pt>
                <c:pt idx="276">
                  <c:v>136.34494282578717</c:v>
                </c:pt>
                <c:pt idx="277">
                  <c:v>136.5151044842643</c:v>
                </c:pt>
                <c:pt idx="278">
                  <c:v>136.65256152824941</c:v>
                </c:pt>
                <c:pt idx="279">
                  <c:v>136.76669811994179</c:v>
                </c:pt>
                <c:pt idx="280">
                  <c:v>136.86352069192364</c:v>
                </c:pt>
                <c:pt idx="281">
                  <c:v>136.94707570119613</c:v>
                </c:pt>
                <c:pt idx="282">
                  <c:v>137.02020194135224</c:v>
                </c:pt>
                <c:pt idx="283">
                  <c:v>137.08495760816334</c:v>
                </c:pt>
                <c:pt idx="284">
                  <c:v>137.14287620388774</c:v>
                </c:pt>
                <c:pt idx="285">
                  <c:v>137.19512686807661</c:v>
                </c:pt>
                <c:pt idx="286">
                  <c:v>137.24261862930453</c:v>
                </c:pt>
                <c:pt idx="287">
                  <c:v>137.28607039473948</c:v>
                </c:pt>
                <c:pt idx="288">
                  <c:v>137.3260592076617</c:v>
                </c:pt>
                <c:pt idx="289">
                  <c:v>137.36305435460454</c:v>
                </c:pt>
                <c:pt idx="290">
                  <c:v>137.39744195018056</c:v>
                </c:pt>
                <c:pt idx="291">
                  <c:v>137.42954300443819</c:v>
                </c:pt>
                <c:pt idx="292">
                  <c:v>137.45962691798744</c:v>
                </c:pt>
                <c:pt idx="293">
                  <c:v>137.48792171682558</c:v>
                </c:pt>
                <c:pt idx="294">
                  <c:v>137.51462190280913</c:v>
                </c:pt>
                <c:pt idx="295">
                  <c:v>137.53989456908027</c:v>
                </c:pt>
                <c:pt idx="296">
                  <c:v>137.56388420882894</c:v>
                </c:pt>
                <c:pt idx="297">
                  <c:v>137.58671652656415</c:v>
                </c:pt>
                <c:pt idx="298">
                  <c:v>137.60850150358331</c:v>
                </c:pt>
                <c:pt idx="299">
                  <c:v>137.62933586928932</c:v>
                </c:pt>
                <c:pt idx="300">
                  <c:v>137.64930512376279</c:v>
                </c:pt>
                <c:pt idx="301">
                  <c:v>137.66848518833348</c:v>
                </c:pt>
                <c:pt idx="302">
                  <c:v>137.68694378122686</c:v>
                </c:pt>
                <c:pt idx="303">
                  <c:v>137.70474155973653</c:v>
                </c:pt>
                <c:pt idx="304">
                  <c:v>137.72193306937456</c:v>
                </c:pt>
                <c:pt idx="305">
                  <c:v>137.73856755505895</c:v>
                </c:pt>
                <c:pt idx="306">
                  <c:v>137.75468964094341</c:v>
                </c:pt>
                <c:pt idx="307">
                  <c:v>137.77033990965998</c:v>
                </c:pt>
                <c:pt idx="308">
                  <c:v>137.78555540491129</c:v>
                </c:pt>
                <c:pt idx="309">
                  <c:v>137.80037005112661</c:v>
                </c:pt>
                <c:pt idx="310">
                  <c:v>137.81481503208335</c:v>
                </c:pt>
                <c:pt idx="311">
                  <c:v>137.82891910485108</c:v>
                </c:pt>
                <c:pt idx="312">
                  <c:v>137.84270888192387</c:v>
                </c:pt>
                <c:pt idx="313">
                  <c:v>137.85620908124503</c:v>
                </c:pt>
                <c:pt idx="314">
                  <c:v>137.86944273700786</c:v>
                </c:pt>
                <c:pt idx="315">
                  <c:v>137.88243139297884</c:v>
                </c:pt>
                <c:pt idx="316">
                  <c:v>137.89519527655028</c:v>
                </c:pt>
                <c:pt idx="317">
                  <c:v>137.90775344655592</c:v>
                </c:pt>
                <c:pt idx="318">
                  <c:v>137.92012393377914</c:v>
                </c:pt>
                <c:pt idx="319">
                  <c:v>137.93232386899035</c:v>
                </c:pt>
                <c:pt idx="320">
                  <c:v>137.94436959083319</c:v>
                </c:pt>
                <c:pt idx="321">
                  <c:v>137.95627675450856</c:v>
                </c:pt>
                <c:pt idx="322">
                  <c:v>137.9680604311167</c:v>
                </c:pt>
                <c:pt idx="323">
                  <c:v>137.9797351974378</c:v>
                </c:pt>
                <c:pt idx="324">
                  <c:v>137.9913152243698</c:v>
                </c:pt>
                <c:pt idx="325">
                  <c:v>138.00281435821105</c:v>
                </c:pt>
                <c:pt idx="326">
                  <c:v>138.01424620726507</c:v>
                </c:pt>
                <c:pt idx="327">
                  <c:v>138.02562421865741</c:v>
                </c:pt>
                <c:pt idx="328">
                  <c:v>138.03696176599149</c:v>
                </c:pt>
                <c:pt idx="329">
                  <c:v>138.0482722210094</c:v>
                </c:pt>
                <c:pt idx="330">
                  <c:v>138.05956905268866</c:v>
                </c:pt>
                <c:pt idx="331">
                  <c:v>138.07086590638602</c:v>
                </c:pt>
                <c:pt idx="332">
                  <c:v>138.08217670894871</c:v>
                </c:pt>
                <c:pt idx="333">
                  <c:v>138.09351577357049</c:v>
                </c:pt>
                <c:pt idx="334">
                  <c:v>138.10489791096487</c:v>
                </c:pt>
                <c:pt idx="335">
                  <c:v>138.11633856549122</c:v>
                </c:pt>
                <c:pt idx="336">
                  <c:v>138.12785396250223</c:v>
                </c:pt>
                <c:pt idx="337">
                  <c:v>138.13946127961773</c:v>
                </c:pt>
                <c:pt idx="338">
                  <c:v>138.15117884345429</c:v>
                </c:pt>
                <c:pt idx="339">
                  <c:v>138.16302637434015</c:v>
                </c:pt>
                <c:pt idx="340">
                  <c:v>138.17502526017026</c:v>
                </c:pt>
                <c:pt idx="341">
                  <c:v>138.1871989064706</c:v>
                </c:pt>
                <c:pt idx="342">
                  <c:v>138.19957315125171</c:v>
                </c:pt>
                <c:pt idx="343">
                  <c:v>138.21217679286079</c:v>
                </c:pt>
                <c:pt idx="344">
                  <c:v>138.22504224802725</c:v>
                </c:pt>
                <c:pt idx="345">
                  <c:v>138.23820639437437</c:v>
                </c:pt>
                <c:pt idx="346">
                  <c:v>138.25171167492243</c:v>
                </c:pt>
                <c:pt idx="347">
                  <c:v>138.26560754055004</c:v>
                </c:pt>
                <c:pt idx="348">
                  <c:v>138.27995242522465</c:v>
                </c:pt>
                <c:pt idx="349">
                  <c:v>138.29481645745216</c:v>
                </c:pt>
                <c:pt idx="350">
                  <c:v>138.31028530689724</c:v>
                </c:pt>
                <c:pt idx="351">
                  <c:v>138.32646581966955</c:v>
                </c:pt>
                <c:pt idx="352">
                  <c:v>138.34349455465923</c:v>
                </c:pt>
                <c:pt idx="353">
                  <c:v>138.36155132856936</c:v>
                </c:pt>
                <c:pt idx="354">
                  <c:v>138.38088185458432</c:v>
                </c:pt>
                <c:pt idx="355">
                  <c:v>138.40183839788327</c:v>
                </c:pt>
                <c:pt idx="356">
                  <c:v>138.42495973049733</c:v>
                </c:pt>
                <c:pt idx="357">
                  <c:v>138.45092329659545</c:v>
                </c:pt>
                <c:pt idx="358">
                  <c:v>138.47760145816065</c:v>
                </c:pt>
                <c:pt idx="359">
                  <c:v>138.50052180684116</c:v>
                </c:pt>
                <c:pt idx="360">
                  <c:v>138.5125528147145</c:v>
                </c:pt>
              </c:numCache>
            </c:numRef>
          </c:xVal>
          <c:yVal>
            <c:numRef>
              <c:f>L_Section_Capacity!$BE$2:$BE$362</c:f>
              <c:numCache>
                <c:formatCode>General</c:formatCode>
                <c:ptCount val="361"/>
                <c:pt idx="0">
                  <c:v>-42.660000000000004</c:v>
                </c:pt>
                <c:pt idx="1">
                  <c:v>-41.861632403007505</c:v>
                </c:pt>
                <c:pt idx="2">
                  <c:v>-41.138866491241643</c:v>
                </c:pt>
                <c:pt idx="3">
                  <c:v>-40.556120576698795</c:v>
                </c:pt>
                <c:pt idx="4">
                  <c:v>-40.129205797927398</c:v>
                </c:pt>
                <c:pt idx="5">
                  <c:v>-39.83359852541799</c:v>
                </c:pt>
                <c:pt idx="6">
                  <c:v>-39.615057174129355</c:v>
                </c:pt>
                <c:pt idx="7">
                  <c:v>-39.444895515625916</c:v>
                </c:pt>
                <c:pt idx="8">
                  <c:v>-39.307438471347979</c:v>
                </c:pt>
                <c:pt idx="9">
                  <c:v>-39.193301880548994</c:v>
                </c:pt>
                <c:pt idx="10">
                  <c:v>-39.09647930835731</c:v>
                </c:pt>
                <c:pt idx="11">
                  <c:v>-39.012924299388594</c:v>
                </c:pt>
                <c:pt idx="12">
                  <c:v>-38.939798058788156</c:v>
                </c:pt>
                <c:pt idx="13">
                  <c:v>-38.875042391643362</c:v>
                </c:pt>
                <c:pt idx="14">
                  <c:v>-38.817123795494204</c:v>
                </c:pt>
                <c:pt idx="15">
                  <c:v>-38.764873132397661</c:v>
                </c:pt>
                <c:pt idx="16">
                  <c:v>-38.717381369944036</c:v>
                </c:pt>
                <c:pt idx="17">
                  <c:v>-38.673929605360833</c:v>
                </c:pt>
                <c:pt idx="18">
                  <c:v>-38.633940791766257</c:v>
                </c:pt>
                <c:pt idx="19">
                  <c:v>-38.596945644576145</c:v>
                </c:pt>
                <c:pt idx="20">
                  <c:v>-38.562558049690281</c:v>
                </c:pt>
                <c:pt idx="21">
                  <c:v>-38.53045699575636</c:v>
                </c:pt>
                <c:pt idx="22">
                  <c:v>-38.500373081190908</c:v>
                </c:pt>
                <c:pt idx="23">
                  <c:v>-38.472078282426921</c:v>
                </c:pt>
                <c:pt idx="24">
                  <c:v>-38.445378097435679</c:v>
                </c:pt>
                <c:pt idx="25">
                  <c:v>-38.420105430841907</c:v>
                </c:pt>
                <c:pt idx="26">
                  <c:v>-38.396115791370995</c:v>
                </c:pt>
                <c:pt idx="27">
                  <c:v>-38.373283473459523</c:v>
                </c:pt>
                <c:pt idx="28">
                  <c:v>-38.351498496661783</c:v>
                </c:pt>
                <c:pt idx="29">
                  <c:v>-38.33066412995975</c:v>
                </c:pt>
                <c:pt idx="30">
                  <c:v>-38.310694876037623</c:v>
                </c:pt>
                <c:pt idx="31">
                  <c:v>-38.291514811919939</c:v>
                </c:pt>
                <c:pt idx="32">
                  <c:v>-38.27305621802136</c:v>
                </c:pt>
                <c:pt idx="33">
                  <c:v>-38.25525844037503</c:v>
                </c:pt>
                <c:pt idx="34">
                  <c:v>-38.238066930357668</c:v>
                </c:pt>
                <c:pt idx="35">
                  <c:v>-38.221432444831414</c:v>
                </c:pt>
                <c:pt idx="36">
                  <c:v>-38.20531035949503</c:v>
                </c:pt>
                <c:pt idx="37">
                  <c:v>-38.189660090567187</c:v>
                </c:pt>
                <c:pt idx="38">
                  <c:v>-38.174444595816347</c:v>
                </c:pt>
                <c:pt idx="39">
                  <c:v>-38.159629948774288</c:v>
                </c:pt>
                <c:pt idx="40">
                  <c:v>-38.145184967859798</c:v>
                </c:pt>
                <c:pt idx="41">
                  <c:v>-38.13108089570423</c:v>
                </c:pt>
                <c:pt idx="42">
                  <c:v>-38.117291117976677</c:v>
                </c:pt>
                <c:pt idx="43">
                  <c:v>-38.103790918257566</c:v>
                </c:pt>
                <c:pt idx="44">
                  <c:v>-38.090557263000342</c:v>
                </c:pt>
                <c:pt idx="45">
                  <c:v>-38.077568606982581</c:v>
                </c:pt>
                <c:pt idx="46">
                  <c:v>-38.064804723837078</c:v>
                </c:pt>
                <c:pt idx="47">
                  <c:v>-38.052246554326402</c:v>
                </c:pt>
                <c:pt idx="48">
                  <c:v>-38.03987606626837</c:v>
                </c:pt>
                <c:pt idx="49">
                  <c:v>-38.027676130970747</c:v>
                </c:pt>
                <c:pt idx="50">
                  <c:v>-38.015630409687127</c:v>
                </c:pt>
                <c:pt idx="51">
                  <c:v>-38.003723245726377</c:v>
                </c:pt>
                <c:pt idx="52">
                  <c:v>-37.991939568480042</c:v>
                </c:pt>
                <c:pt idx="53">
                  <c:v>-37.980264802333501</c:v>
                </c:pt>
                <c:pt idx="54">
                  <c:v>-37.968684775962636</c:v>
                </c:pt>
                <c:pt idx="55">
                  <c:v>-37.95718564241178</c:v>
                </c:pt>
                <c:pt idx="56">
                  <c:v>-37.945753793402318</c:v>
                </c:pt>
                <c:pt idx="57">
                  <c:v>-37.934375780823999</c:v>
                </c:pt>
                <c:pt idx="58">
                  <c:v>-37.923038234630312</c:v>
                </c:pt>
                <c:pt idx="59">
                  <c:v>-37.911727778775692</c:v>
                </c:pt>
                <c:pt idx="60">
                  <c:v>-37.900430948109154</c:v>
                </c:pt>
                <c:pt idx="61">
                  <c:v>-37.889134094573073</c:v>
                </c:pt>
                <c:pt idx="62">
                  <c:v>-37.877823290660224</c:v>
                </c:pt>
                <c:pt idx="63">
                  <c:v>-37.866484226257143</c:v>
                </c:pt>
                <c:pt idx="64">
                  <c:v>-37.855102088652536</c:v>
                </c:pt>
                <c:pt idx="65">
                  <c:v>-37.843661434064913</c:v>
                </c:pt>
                <c:pt idx="66">
                  <c:v>-37.832146036976894</c:v>
                </c:pt>
                <c:pt idx="67">
                  <c:v>-37.820538721233888</c:v>
                </c:pt>
                <c:pt idx="68">
                  <c:v>-37.80882115698023</c:v>
                </c:pt>
                <c:pt idx="69">
                  <c:v>-37.796973625809777</c:v>
                </c:pt>
                <c:pt idx="70">
                  <c:v>-37.784974739823511</c:v>
                </c:pt>
                <c:pt idx="71">
                  <c:v>-37.772801094246638</c:v>
                </c:pt>
                <c:pt idx="72">
                  <c:v>-37.760426849291875</c:v>
                </c:pt>
                <c:pt idx="73">
                  <c:v>-37.747823207198913</c:v>
                </c:pt>
                <c:pt idx="74">
                  <c:v>-37.734957752166387</c:v>
                </c:pt>
                <c:pt idx="75">
                  <c:v>-37.721793604979617</c:v>
                </c:pt>
                <c:pt idx="76">
                  <c:v>-37.708288325930916</c:v>
                </c:pt>
                <c:pt idx="77">
                  <c:v>-37.694392460659657</c:v>
                </c:pt>
                <c:pt idx="78">
                  <c:v>-37.680047574709917</c:v>
                </c:pt>
                <c:pt idx="79">
                  <c:v>-37.665183542560207</c:v>
                </c:pt>
                <c:pt idx="80">
                  <c:v>-37.649714693536602</c:v>
                </c:pt>
                <c:pt idx="81">
                  <c:v>-37.633534180788693</c:v>
                </c:pt>
                <c:pt idx="82">
                  <c:v>-37.616505445362186</c:v>
                </c:pt>
                <c:pt idx="83">
                  <c:v>-37.598448671375792</c:v>
                </c:pt>
                <c:pt idx="84">
                  <c:v>-37.579118144232936</c:v>
                </c:pt>
                <c:pt idx="85">
                  <c:v>-37.558161602485946</c:v>
                </c:pt>
                <c:pt idx="86">
                  <c:v>-37.535040269202689</c:v>
                </c:pt>
                <c:pt idx="87">
                  <c:v>-37.508849703133293</c:v>
                </c:pt>
                <c:pt idx="88">
                  <c:v>-37.477830180683988</c:v>
                </c:pt>
                <c:pt idx="89">
                  <c:v>-37.437445807152628</c:v>
                </c:pt>
                <c:pt idx="90">
                  <c:v>-37.393723592868852</c:v>
                </c:pt>
                <c:pt idx="91">
                  <c:v>-37.43744580715412</c:v>
                </c:pt>
                <c:pt idx="92">
                  <c:v>-37.47783018068445</c:v>
                </c:pt>
                <c:pt idx="93">
                  <c:v>-37.508849703134167</c:v>
                </c:pt>
                <c:pt idx="94">
                  <c:v>-37.535040269202653</c:v>
                </c:pt>
                <c:pt idx="95">
                  <c:v>-37.558161602486081</c:v>
                </c:pt>
                <c:pt idx="96">
                  <c:v>-37.579118144233497</c:v>
                </c:pt>
                <c:pt idx="97">
                  <c:v>-37.598448671376111</c:v>
                </c:pt>
                <c:pt idx="98">
                  <c:v>-37.616505445362364</c:v>
                </c:pt>
                <c:pt idx="99">
                  <c:v>-37.633534180789091</c:v>
                </c:pt>
                <c:pt idx="100">
                  <c:v>-37.649714693536538</c:v>
                </c:pt>
                <c:pt idx="101">
                  <c:v>-37.665183542560207</c:v>
                </c:pt>
                <c:pt idx="102">
                  <c:v>-37.680047574710017</c:v>
                </c:pt>
                <c:pt idx="103">
                  <c:v>-37.694392460659991</c:v>
                </c:pt>
                <c:pt idx="104">
                  <c:v>-37.736156567182739</c:v>
                </c:pt>
                <c:pt idx="105">
                  <c:v>-37.790489286934786</c:v>
                </c:pt>
                <c:pt idx="106">
                  <c:v>-37.838521870573224</c:v>
                </c:pt>
                <c:pt idx="107">
                  <c:v>-37.881292000823457</c:v>
                </c:pt>
                <c:pt idx="108">
                  <c:v>-37.919621033788715</c:v>
                </c:pt>
                <c:pt idx="109">
                  <c:v>-37.954167801848953</c:v>
                </c:pt>
                <c:pt idx="110">
                  <c:v>-37.98546707717712</c:v>
                </c:pt>
                <c:pt idx="111">
                  <c:v>-38.013957585657089</c:v>
                </c:pt>
                <c:pt idx="112">
                  <c:v>-38.040002738528713</c:v>
                </c:pt>
                <c:pt idx="113">
                  <c:v>-38.063906216329507</c:v>
                </c:pt>
                <c:pt idx="114">
                  <c:v>-38.085923831587408</c:v>
                </c:pt>
                <c:pt idx="115">
                  <c:v>-38.10627267449744</c:v>
                </c:pt>
                <c:pt idx="116">
                  <c:v>-38.12513824484698</c:v>
                </c:pt>
                <c:pt idx="117">
                  <c:v>-38.142680064290992</c:v>
                </c:pt>
                <c:pt idx="118">
                  <c:v>-38.159036147456064</c:v>
                </c:pt>
                <c:pt idx="119">
                  <c:v>-38.174326582628076</c:v>
                </c:pt>
                <c:pt idx="120">
                  <c:v>-38.188656431163537</c:v>
                </c:pt>
                <c:pt idx="121">
                  <c:v>-38.202118097329702</c:v>
                </c:pt>
                <c:pt idx="122">
                  <c:v>-38.214793266728783</c:v>
                </c:pt>
                <c:pt idx="123">
                  <c:v>-38.226754521904127</c:v>
                </c:pt>
                <c:pt idx="124">
                  <c:v>-38.238066682874923</c:v>
                </c:pt>
                <c:pt idx="125">
                  <c:v>-38.248787936806011</c:v>
                </c:pt>
                <c:pt idx="126">
                  <c:v>-38.258970795518756</c:v>
                </c:pt>
                <c:pt idx="127">
                  <c:v>-38.268662910778019</c:v>
                </c:pt>
                <c:pt idx="128">
                  <c:v>-38.277907779668858</c:v>
                </c:pt>
                <c:pt idx="129">
                  <c:v>-38.286745355694883</c:v>
                </c:pt>
                <c:pt idx="130">
                  <c:v>-38.295212587055765</c:v>
                </c:pt>
                <c:pt idx="131">
                  <c:v>-38.303343895656297</c:v>
                </c:pt>
                <c:pt idx="132">
                  <c:v>-38.31117160984244</c:v>
                </c:pt>
                <c:pt idx="133">
                  <c:v>-38.318726361341227</c:v>
                </c:pt>
                <c:pt idx="134">
                  <c:v>-38.326037456017815</c:v>
                </c:pt>
                <c:pt idx="135">
                  <c:v>-38.333133227709219</c:v>
                </c:pt>
                <c:pt idx="136">
                  <c:v>-38.340041384720493</c:v>
                </c:pt>
                <c:pt idx="137">
                  <c:v>-38.346789351709852</c:v>
                </c:pt>
                <c:pt idx="138">
                  <c:v>-38.353404625462737</c:v>
                </c:pt>
                <c:pt idx="139">
                  <c:v>-38.359915142242428</c:v>
                </c:pt>
                <c:pt idx="140">
                  <c:v>-38.36634967421989</c:v>
                </c:pt>
                <c:pt idx="141">
                  <c:v>-38.372738267078077</c:v>
                </c:pt>
                <c:pt idx="142">
                  <c:v>-38.379112721522496</c:v>
                </c:pt>
                <c:pt idx="143">
                  <c:v>-38.38550714761228</c:v>
                </c:pt>
                <c:pt idx="144">
                  <c:v>-38.391958604352148</c:v>
                </c:pt>
                <c:pt idx="145">
                  <c:v>-38.398507843625055</c:v>
                </c:pt>
                <c:pt idx="146">
                  <c:v>-38.405200200746343</c:v>
                </c:pt>
                <c:pt idx="147">
                  <c:v>-38.412086650729584</c:v>
                </c:pt>
                <c:pt idx="148">
                  <c:v>-38.419225094916918</c:v>
                </c:pt>
                <c:pt idx="149">
                  <c:v>-38.426681927165731</c:v>
                </c:pt>
                <c:pt idx="150">
                  <c:v>-38.434533960332239</c:v>
                </c:pt>
                <c:pt idx="151">
                  <c:v>-38.442870819929027</c:v>
                </c:pt>
                <c:pt idx="152">
                  <c:v>-38.451797934643849</c:v>
                </c:pt>
                <c:pt idx="153">
                  <c:v>-38.461440314281518</c:v>
                </c:pt>
                <c:pt idx="154">
                  <c:v>-38.471947346047337</c:v>
                </c:pt>
                <c:pt idx="155">
                  <c:v>-38.483498953417161</c:v>
                </c:pt>
                <c:pt idx="156">
                  <c:v>-38.496313571062196</c:v>
                </c:pt>
                <c:pt idx="157">
                  <c:v>-38.510658562626467</c:v>
                </c:pt>
                <c:pt idx="158">
                  <c:v>-38.526863986537244</c:v>
                </c:pt>
                <c:pt idx="159">
                  <c:v>-38.545340978395146</c:v>
                </c:pt>
                <c:pt idx="160">
                  <c:v>-38.566606599424276</c:v>
                </c:pt>
                <c:pt idx="161">
                  <c:v>-38.591317860804622</c:v>
                </c:pt>
                <c:pt idx="162">
                  <c:v>-38.620318993269954</c:v>
                </c:pt>
                <c:pt idx="163">
                  <c:v>-38.654708144089355</c:v>
                </c:pt>
                <c:pt idx="164">
                  <c:v>-38.695933142620568</c:v>
                </c:pt>
                <c:pt idx="165">
                  <c:v>-38.745931675275337</c:v>
                </c:pt>
                <c:pt idx="166">
                  <c:v>-38.807340931399537</c:v>
                </c:pt>
                <c:pt idx="167">
                  <c:v>-38.875042391643376</c:v>
                </c:pt>
                <c:pt idx="168">
                  <c:v>-38.939798058788206</c:v>
                </c:pt>
                <c:pt idx="169">
                  <c:v>-39.012924299388473</c:v>
                </c:pt>
                <c:pt idx="170">
                  <c:v>-39.096479308357537</c:v>
                </c:pt>
                <c:pt idx="171">
                  <c:v>-39.193301880548809</c:v>
                </c:pt>
                <c:pt idx="172">
                  <c:v>-39.307438471348114</c:v>
                </c:pt>
                <c:pt idx="173">
                  <c:v>-39.444895515625781</c:v>
                </c:pt>
                <c:pt idx="174">
                  <c:v>-39.615057174129952</c:v>
                </c:pt>
                <c:pt idx="175">
                  <c:v>-39.833598525417685</c:v>
                </c:pt>
                <c:pt idx="176">
                  <c:v>-40.129205797927185</c:v>
                </c:pt>
                <c:pt idx="177">
                  <c:v>-40.556120576698703</c:v>
                </c:pt>
                <c:pt idx="178">
                  <c:v>-41.138866491241338</c:v>
                </c:pt>
                <c:pt idx="179">
                  <c:v>-41.86163240300646</c:v>
                </c:pt>
                <c:pt idx="180">
                  <c:v>-42.659999999999251</c:v>
                </c:pt>
                <c:pt idx="181">
                  <c:v>-43.458367596992595</c:v>
                </c:pt>
                <c:pt idx="182">
                  <c:v>-44.181133508757959</c:v>
                </c:pt>
                <c:pt idx="183">
                  <c:v>-44.763879423300914</c:v>
                </c:pt>
                <c:pt idx="184">
                  <c:v>-45.19079420207273</c:v>
                </c:pt>
                <c:pt idx="185">
                  <c:v>-45.486401474582237</c:v>
                </c:pt>
                <c:pt idx="186">
                  <c:v>-45.704942825870326</c:v>
                </c:pt>
                <c:pt idx="187">
                  <c:v>-45.87510448437412</c:v>
                </c:pt>
                <c:pt idx="188">
                  <c:v>-46.012561528652263</c:v>
                </c:pt>
                <c:pt idx="189">
                  <c:v>-46.126698119451419</c:v>
                </c:pt>
                <c:pt idx="190">
                  <c:v>-46.223520691642655</c:v>
                </c:pt>
                <c:pt idx="191">
                  <c:v>-46.307075700611556</c:v>
                </c:pt>
                <c:pt idx="192">
                  <c:v>-46.380201941211951</c:v>
                </c:pt>
                <c:pt idx="193">
                  <c:v>-46.444957608356667</c:v>
                </c:pt>
                <c:pt idx="194">
                  <c:v>-46.502876204506158</c:v>
                </c:pt>
                <c:pt idx="195">
                  <c:v>-46.555126867602681</c:v>
                </c:pt>
                <c:pt idx="196">
                  <c:v>-46.602618630056064</c:v>
                </c:pt>
                <c:pt idx="197">
                  <c:v>-46.646070394639104</c:v>
                </c:pt>
                <c:pt idx="198">
                  <c:v>-46.68605920823385</c:v>
                </c:pt>
                <c:pt idx="199">
                  <c:v>-46.723054355424061</c:v>
                </c:pt>
                <c:pt idx="200">
                  <c:v>-46.757441950309797</c:v>
                </c:pt>
                <c:pt idx="201">
                  <c:v>-46.789543004243718</c:v>
                </c:pt>
                <c:pt idx="202">
                  <c:v>-46.819626918809298</c:v>
                </c:pt>
                <c:pt idx="203">
                  <c:v>-46.847921717573108</c:v>
                </c:pt>
                <c:pt idx="204">
                  <c:v>-46.874621902564385</c:v>
                </c:pt>
                <c:pt idx="205">
                  <c:v>-46.899894569158043</c:v>
                </c:pt>
                <c:pt idx="206">
                  <c:v>-46.923884208629126</c:v>
                </c:pt>
                <c:pt idx="207">
                  <c:v>-46.946716526540442</c:v>
                </c:pt>
                <c:pt idx="208">
                  <c:v>-46.968501503338075</c:v>
                </c:pt>
                <c:pt idx="209">
                  <c:v>-46.989335870040385</c:v>
                </c:pt>
                <c:pt idx="210">
                  <c:v>-47.009305123962605</c:v>
                </c:pt>
                <c:pt idx="211">
                  <c:v>-47.028485188080019</c:v>
                </c:pt>
                <c:pt idx="212">
                  <c:v>-47.046943781978953</c:v>
                </c:pt>
                <c:pt idx="213">
                  <c:v>-47.064741559625169</c:v>
                </c:pt>
                <c:pt idx="214">
                  <c:v>-47.081933069642382</c:v>
                </c:pt>
                <c:pt idx="215">
                  <c:v>-47.098567555168906</c:v>
                </c:pt>
                <c:pt idx="216">
                  <c:v>-47.114689640505013</c:v>
                </c:pt>
                <c:pt idx="217">
                  <c:v>-47.13033990943277</c:v>
                </c:pt>
                <c:pt idx="218">
                  <c:v>-47.14555540418381</c:v>
                </c:pt>
                <c:pt idx="219">
                  <c:v>-47.160370051225598</c:v>
                </c:pt>
                <c:pt idx="220">
                  <c:v>-47.174815032140216</c:v>
                </c:pt>
                <c:pt idx="221">
                  <c:v>-47.188919104296005</c:v>
                </c:pt>
                <c:pt idx="222">
                  <c:v>-47.202708882023387</c:v>
                </c:pt>
                <c:pt idx="223">
                  <c:v>-47.216209081742072</c:v>
                </c:pt>
                <c:pt idx="224">
                  <c:v>-47.229442736999374</c:v>
                </c:pt>
                <c:pt idx="225">
                  <c:v>-47.242431393017156</c:v>
                </c:pt>
                <c:pt idx="226">
                  <c:v>-47.255195276163064</c:v>
                </c:pt>
                <c:pt idx="227">
                  <c:v>-47.267753445673911</c:v>
                </c:pt>
                <c:pt idx="228">
                  <c:v>-47.280123933731588</c:v>
                </c:pt>
                <c:pt idx="229">
                  <c:v>-47.292323869029076</c:v>
                </c:pt>
                <c:pt idx="230">
                  <c:v>-47.304369590313101</c:v>
                </c:pt>
                <c:pt idx="231">
                  <c:v>-47.316276754273588</c:v>
                </c:pt>
                <c:pt idx="232">
                  <c:v>-47.328060431520022</c:v>
                </c:pt>
                <c:pt idx="233">
                  <c:v>-47.339735197666705</c:v>
                </c:pt>
                <c:pt idx="234">
                  <c:v>-47.351315224037414</c:v>
                </c:pt>
                <c:pt idx="235">
                  <c:v>-47.362814357588157</c:v>
                </c:pt>
                <c:pt idx="236">
                  <c:v>-47.374246206597491</c:v>
                </c:pt>
                <c:pt idx="237">
                  <c:v>-47.38562421917571</c:v>
                </c:pt>
                <c:pt idx="238">
                  <c:v>-47.396961765369788</c:v>
                </c:pt>
                <c:pt idx="239">
                  <c:v>-47.408272221224003</c:v>
                </c:pt>
                <c:pt idx="240">
                  <c:v>-47.419569051891123</c:v>
                </c:pt>
                <c:pt idx="241">
                  <c:v>-47.430865905427034</c:v>
                </c:pt>
                <c:pt idx="242">
                  <c:v>-47.442176709339599</c:v>
                </c:pt>
                <c:pt idx="243">
                  <c:v>-47.453515773743185</c:v>
                </c:pt>
                <c:pt idx="244">
                  <c:v>-47.464897911348025</c:v>
                </c:pt>
                <c:pt idx="245">
                  <c:v>-47.476338565935784</c:v>
                </c:pt>
                <c:pt idx="246">
                  <c:v>-47.487853963022999</c:v>
                </c:pt>
                <c:pt idx="247">
                  <c:v>-47.499461278766283</c:v>
                </c:pt>
                <c:pt idx="248">
                  <c:v>-47.511178843019735</c:v>
                </c:pt>
                <c:pt idx="249">
                  <c:v>-47.523026374189968</c:v>
                </c:pt>
                <c:pt idx="250">
                  <c:v>-47.535025260176603</c:v>
                </c:pt>
                <c:pt idx="251">
                  <c:v>-47.547198905753376</c:v>
                </c:pt>
                <c:pt idx="252">
                  <c:v>-47.559573150708324</c:v>
                </c:pt>
                <c:pt idx="253">
                  <c:v>-47.572176792801088</c:v>
                </c:pt>
                <c:pt idx="254">
                  <c:v>-47.585042247833613</c:v>
                </c:pt>
                <c:pt idx="255">
                  <c:v>-47.59820639501973</c:v>
                </c:pt>
                <c:pt idx="256">
                  <c:v>-47.611711674069184</c:v>
                </c:pt>
                <c:pt idx="257">
                  <c:v>-47.625607539340159</c:v>
                </c:pt>
                <c:pt idx="258">
                  <c:v>-47.63995242528965</c:v>
                </c:pt>
                <c:pt idx="259">
                  <c:v>-47.654816457439168</c:v>
                </c:pt>
                <c:pt idx="260">
                  <c:v>-47.670285306463157</c:v>
                </c:pt>
                <c:pt idx="261">
                  <c:v>-47.686465819210675</c:v>
                </c:pt>
                <c:pt idx="262">
                  <c:v>-47.703494554999459</c:v>
                </c:pt>
                <c:pt idx="263">
                  <c:v>-47.721551327916821</c:v>
                </c:pt>
                <c:pt idx="264">
                  <c:v>-47.740881855385545</c:v>
                </c:pt>
                <c:pt idx="265">
                  <c:v>-47.761838397891914</c:v>
                </c:pt>
                <c:pt idx="266">
                  <c:v>-47.784959730535789</c:v>
                </c:pt>
                <c:pt idx="267">
                  <c:v>-47.811150296520282</c:v>
                </c:pt>
                <c:pt idx="268">
                  <c:v>-47.842169819416938</c:v>
                </c:pt>
                <c:pt idx="269">
                  <c:v>-47.882554192932211</c:v>
                </c:pt>
                <c:pt idx="270">
                  <c:v>-47.926276407553352</c:v>
                </c:pt>
                <c:pt idx="271">
                  <c:v>-47.88255419268517</c:v>
                </c:pt>
                <c:pt idx="272">
                  <c:v>-47.842169818749902</c:v>
                </c:pt>
                <c:pt idx="273">
                  <c:v>-47.81115029674924</c:v>
                </c:pt>
                <c:pt idx="274">
                  <c:v>-47.784959730409177</c:v>
                </c:pt>
                <c:pt idx="275">
                  <c:v>-47.761838397385404</c:v>
                </c:pt>
                <c:pt idx="276">
                  <c:v>-47.740881855367057</c:v>
                </c:pt>
                <c:pt idx="277">
                  <c:v>-47.721551328319023</c:v>
                </c:pt>
                <c:pt idx="278">
                  <c:v>-47.70349455471289</c:v>
                </c:pt>
                <c:pt idx="279">
                  <c:v>-47.686465819294398</c:v>
                </c:pt>
                <c:pt idx="280">
                  <c:v>-47.670285307053156</c:v>
                </c:pt>
                <c:pt idx="281">
                  <c:v>-47.654816457860463</c:v>
                </c:pt>
                <c:pt idx="282">
                  <c:v>-47.639952425336041</c:v>
                </c:pt>
                <c:pt idx="283">
                  <c:v>-47.625607539718558</c:v>
                </c:pt>
                <c:pt idx="284">
                  <c:v>-47.611711673852497</c:v>
                </c:pt>
                <c:pt idx="285">
                  <c:v>-47.598206395073774</c:v>
                </c:pt>
                <c:pt idx="286">
                  <c:v>-47.585042247351694</c:v>
                </c:pt>
                <c:pt idx="287">
                  <c:v>-47.572176792801088</c:v>
                </c:pt>
                <c:pt idx="288">
                  <c:v>-47.559573150708395</c:v>
                </c:pt>
                <c:pt idx="289">
                  <c:v>-47.547198905753426</c:v>
                </c:pt>
                <c:pt idx="290">
                  <c:v>-47.535025260176752</c:v>
                </c:pt>
                <c:pt idx="291">
                  <c:v>-47.523026374190017</c:v>
                </c:pt>
                <c:pt idx="292">
                  <c:v>-47.511178843019785</c:v>
                </c:pt>
                <c:pt idx="293">
                  <c:v>-47.499461278766383</c:v>
                </c:pt>
                <c:pt idx="294">
                  <c:v>-47.487853963023227</c:v>
                </c:pt>
                <c:pt idx="295">
                  <c:v>-47.476338565935372</c:v>
                </c:pt>
                <c:pt idx="296">
                  <c:v>-47.464897911347663</c:v>
                </c:pt>
                <c:pt idx="297">
                  <c:v>-47.453515773743035</c:v>
                </c:pt>
                <c:pt idx="298">
                  <c:v>-47.442176709339599</c:v>
                </c:pt>
                <c:pt idx="299">
                  <c:v>-47.430865905426842</c:v>
                </c:pt>
                <c:pt idx="300">
                  <c:v>-47.419569051890583</c:v>
                </c:pt>
                <c:pt idx="301">
                  <c:v>-47.408272221223889</c:v>
                </c:pt>
                <c:pt idx="302">
                  <c:v>-47.396961765369845</c:v>
                </c:pt>
                <c:pt idx="303">
                  <c:v>-47.385624219175668</c:v>
                </c:pt>
                <c:pt idx="304">
                  <c:v>-47.374246206597476</c:v>
                </c:pt>
                <c:pt idx="305">
                  <c:v>-47.362814357587922</c:v>
                </c:pt>
                <c:pt idx="306">
                  <c:v>-47.35131522403718</c:v>
                </c:pt>
                <c:pt idx="307">
                  <c:v>-47.339735197666336</c:v>
                </c:pt>
                <c:pt idx="308">
                  <c:v>-47.328060431520107</c:v>
                </c:pt>
                <c:pt idx="309">
                  <c:v>-47.316276754273687</c:v>
                </c:pt>
                <c:pt idx="310">
                  <c:v>-47.304369590312952</c:v>
                </c:pt>
                <c:pt idx="311">
                  <c:v>-47.292323869028927</c:v>
                </c:pt>
                <c:pt idx="312">
                  <c:v>-47.280123933731474</c:v>
                </c:pt>
                <c:pt idx="313">
                  <c:v>-47.26775344567374</c:v>
                </c:pt>
                <c:pt idx="314">
                  <c:v>-47.255195276163128</c:v>
                </c:pt>
                <c:pt idx="315">
                  <c:v>-47.242431393017114</c:v>
                </c:pt>
                <c:pt idx="316">
                  <c:v>-47.22944273699926</c:v>
                </c:pt>
                <c:pt idx="317">
                  <c:v>-47.216209081742029</c:v>
                </c:pt>
                <c:pt idx="318">
                  <c:v>-47.202708882023231</c:v>
                </c:pt>
                <c:pt idx="319">
                  <c:v>-47.188919104295508</c:v>
                </c:pt>
                <c:pt idx="320">
                  <c:v>-47.174815032139961</c:v>
                </c:pt>
                <c:pt idx="321">
                  <c:v>-47.160370051225534</c:v>
                </c:pt>
                <c:pt idx="322">
                  <c:v>-47.145555404183398</c:v>
                </c:pt>
                <c:pt idx="323">
                  <c:v>-47.13033990943255</c:v>
                </c:pt>
                <c:pt idx="324">
                  <c:v>-47.1146896405048</c:v>
                </c:pt>
                <c:pt idx="325">
                  <c:v>-47.09856755516855</c:v>
                </c:pt>
                <c:pt idx="326">
                  <c:v>-47.081933069642432</c:v>
                </c:pt>
                <c:pt idx="327">
                  <c:v>-47.064741559624984</c:v>
                </c:pt>
                <c:pt idx="328">
                  <c:v>-47.046943781978761</c:v>
                </c:pt>
                <c:pt idx="329">
                  <c:v>-47.028485188079898</c:v>
                </c:pt>
                <c:pt idx="330">
                  <c:v>-47.009305123962328</c:v>
                </c:pt>
                <c:pt idx="331">
                  <c:v>-46.98933587004008</c:v>
                </c:pt>
                <c:pt idx="332">
                  <c:v>-46.968501503337968</c:v>
                </c:pt>
                <c:pt idx="333">
                  <c:v>-46.946716526540207</c:v>
                </c:pt>
                <c:pt idx="334">
                  <c:v>-46.92388420862887</c:v>
                </c:pt>
                <c:pt idx="335">
                  <c:v>-46.899894569158072</c:v>
                </c:pt>
                <c:pt idx="336">
                  <c:v>-46.87462190256408</c:v>
                </c:pt>
                <c:pt idx="337">
                  <c:v>-46.847921717572937</c:v>
                </c:pt>
                <c:pt idx="338">
                  <c:v>-46.819626918809014</c:v>
                </c:pt>
                <c:pt idx="339">
                  <c:v>-46.789543004243406</c:v>
                </c:pt>
                <c:pt idx="340">
                  <c:v>-46.757441950309342</c:v>
                </c:pt>
                <c:pt idx="341">
                  <c:v>-46.723054355423677</c:v>
                </c:pt>
                <c:pt idx="342">
                  <c:v>-46.686059208233573</c:v>
                </c:pt>
                <c:pt idx="343">
                  <c:v>-46.646070394638841</c:v>
                </c:pt>
                <c:pt idx="344">
                  <c:v>-46.602618630055666</c:v>
                </c:pt>
                <c:pt idx="345">
                  <c:v>-46.555126867602311</c:v>
                </c:pt>
                <c:pt idx="346">
                  <c:v>-46.502876204505696</c:v>
                </c:pt>
                <c:pt idx="347">
                  <c:v>-46.444957608356304</c:v>
                </c:pt>
                <c:pt idx="348">
                  <c:v>-46.380201941211517</c:v>
                </c:pt>
                <c:pt idx="349">
                  <c:v>-46.307075700611087</c:v>
                </c:pt>
                <c:pt idx="350">
                  <c:v>-46.223520691642406</c:v>
                </c:pt>
                <c:pt idx="351">
                  <c:v>-46.126698119450552</c:v>
                </c:pt>
                <c:pt idx="352">
                  <c:v>-46.01256152865195</c:v>
                </c:pt>
                <c:pt idx="353">
                  <c:v>-45.875104484373956</c:v>
                </c:pt>
                <c:pt idx="354">
                  <c:v>-45.704942825870056</c:v>
                </c:pt>
                <c:pt idx="355">
                  <c:v>-45.486401474582237</c:v>
                </c:pt>
                <c:pt idx="356">
                  <c:v>-45.190794202073064</c:v>
                </c:pt>
                <c:pt idx="357">
                  <c:v>-44.763879423302079</c:v>
                </c:pt>
                <c:pt idx="358">
                  <c:v>-44.181133508759999</c:v>
                </c:pt>
                <c:pt idx="359">
                  <c:v>-43.458367596994641</c:v>
                </c:pt>
                <c:pt idx="360">
                  <c:v>-42.660000000002782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4ED-4941-BD89-5FFD428C5440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L_Section_Capacity!$U$5</c:f>
              <c:numCache>
                <c:formatCode>0.000</c:formatCode>
                <c:ptCount val="1"/>
                <c:pt idx="0">
                  <c:v>117.51457213794784</c:v>
                </c:pt>
              </c:numCache>
            </c:numRef>
          </c:xVal>
          <c:yVal>
            <c:numRef>
              <c:f>L_Section_Capacity!$U$6</c:f>
              <c:numCache>
                <c:formatCode>0.000</c:formatCode>
                <c:ptCount val="1"/>
                <c:pt idx="0">
                  <c:v>-40.455836617668623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4ED-4941-BD89-5FFD428C5440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5875">
                <a:solidFill>
                  <a:srgbClr val="7030A0"/>
                </a:solidFill>
              </a:ln>
              <a:effectLst/>
            </c:spPr>
          </c:marker>
          <c:xVal>
            <c:numRef>
              <c:f>L_Section_Capacity!$U$11</c:f>
              <c:numCache>
                <c:formatCode>0.000</c:formatCode>
                <c:ptCount val="1"/>
                <c:pt idx="0">
                  <c:v>-12.2</c:v>
                </c:pt>
              </c:numCache>
            </c:numRef>
          </c:xVal>
          <c:yVal>
            <c:numRef>
              <c:f>L_Section_Capacity!$U$12</c:f>
              <c:numCache>
                <c:formatCode>0.000</c:formatCode>
                <c:ptCount val="1"/>
                <c:pt idx="0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4ED-4941-BD89-5FFD428C5440}"/>
            </c:ext>
          </c:extLst>
        </c:ser>
        <c:ser>
          <c:idx val="3"/>
          <c:order val="3"/>
          <c:tx>
            <c:v>guess_center</c:v>
          </c:tx>
          <c:spPr>
            <a:ln w="19050" cap="rnd">
              <a:noFill/>
              <a:round/>
            </a:ln>
            <a:effectLst/>
          </c:spPr>
          <c:marker>
            <c:symbol val="x"/>
            <c:size val="7"/>
            <c:spPr>
              <a:noFill/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L_Section_Capacity!$B$132</c:f>
              <c:numCache>
                <c:formatCode>General</c:formatCode>
                <c:ptCount val="1"/>
                <c:pt idx="0">
                  <c:v>125.87451775409772</c:v>
                </c:pt>
              </c:numCache>
            </c:numRef>
          </c:xVal>
          <c:yVal>
            <c:numRef>
              <c:f>L_Section_Capacity!$B$133</c:f>
              <c:numCache>
                <c:formatCode>General</c:formatCode>
                <c:ptCount val="1"/>
                <c:pt idx="0">
                  <c:v>-41.958172584699234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E9-4F4C-9CBB-68A73CE28800}"/>
            </c:ext>
          </c:extLst>
        </c:ser>
        <c:ser>
          <c:idx val="4"/>
          <c:order val="4"/>
          <c:tx>
            <c:v>Slice</c:v>
          </c:tx>
          <c:spPr>
            <a:ln w="1270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L_Section_Capacity!$AE$9:$AE$11</c:f>
              <c:numCache>
                <c:formatCode>0.000</c:formatCode>
                <c:ptCount val="3"/>
                <c:pt idx="0">
                  <c:v>0</c:v>
                </c:pt>
                <c:pt idx="1">
                  <c:v>122</c:v>
                </c:pt>
                <c:pt idx="2">
                  <c:v>-12.2</c:v>
                </c:pt>
              </c:numCache>
            </c:numRef>
          </c:xVal>
          <c:yVal>
            <c:numRef>
              <c:f>L_Section_Capacity!$AF$9:$AF$11</c:f>
              <c:numCache>
                <c:formatCode>0.000</c:formatCode>
                <c:ptCount val="3"/>
                <c:pt idx="0">
                  <c:v>0</c:v>
                </c:pt>
                <c:pt idx="1">
                  <c:v>-42</c:v>
                </c:pt>
                <c:pt idx="2">
                  <c:v>4.2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0-4AF9-A14F-753F28718B82}"/>
            </c:ext>
          </c:extLst>
        </c:ser>
        <c:ser>
          <c:idx val="5"/>
          <c:order val="5"/>
          <c:tx>
            <c:v>mx_my_nominal</c:v>
          </c:tx>
          <c:spPr>
            <a:ln w="19050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L_Section_Capacity!$BJ$2:$BJ$362</c:f>
              <c:numCache>
                <c:formatCode>General</c:formatCode>
                <c:ptCount val="361"/>
                <c:pt idx="0">
                  <c:v>153.90283646080547</c:v>
                </c:pt>
                <c:pt idx="1">
                  <c:v>153.88946867428231</c:v>
                </c:pt>
                <c:pt idx="2">
                  <c:v>153.8640016201893</c:v>
                </c:pt>
                <c:pt idx="3">
                  <c:v>153.83435921844534</c:v>
                </c:pt>
                <c:pt idx="4">
                  <c:v>153.80551081166794</c:v>
                </c:pt>
                <c:pt idx="5">
                  <c:v>153.7798204420958</c:v>
                </c:pt>
                <c:pt idx="6">
                  <c:v>153.75653539398741</c:v>
                </c:pt>
                <c:pt idx="7">
                  <c:v>153.73505703174683</c:v>
                </c:pt>
                <c:pt idx="8">
                  <c:v>153.71499394962407</c:v>
                </c:pt>
                <c:pt idx="9">
                  <c:v>153.6960731329693</c:v>
                </c:pt>
                <c:pt idx="10">
                  <c:v>153.67809478544353</c:v>
                </c:pt>
                <c:pt idx="11">
                  <c:v>153.66090717494876</c:v>
                </c:pt>
                <c:pt idx="12">
                  <c:v>153.64439158358479</c:v>
                </c:pt>
                <c:pt idx="13">
                  <c:v>153.62845282283538</c:v>
                </c:pt>
                <c:pt idx="14">
                  <c:v>153.61301297213697</c:v>
                </c:pt>
                <c:pt idx="15">
                  <c:v>153.5980071048611</c:v>
                </c:pt>
                <c:pt idx="16">
                  <c:v>153.58338027558747</c:v>
                </c:pt>
                <c:pt idx="17">
                  <c:v>153.56908532540231</c:v>
                </c:pt>
                <c:pt idx="18">
                  <c:v>153.5550812791696</c:v>
                </c:pt>
                <c:pt idx="19">
                  <c:v>153.54133211830157</c:v>
                </c:pt>
                <c:pt idx="20">
                  <c:v>153.52780584463508</c:v>
                </c:pt>
                <c:pt idx="21">
                  <c:v>153.51447374926801</c:v>
                </c:pt>
                <c:pt idx="22">
                  <c:v>153.50130982606092</c:v>
                </c:pt>
                <c:pt idx="23">
                  <c:v>153.48829031068709</c:v>
                </c:pt>
                <c:pt idx="24">
                  <c:v>153.47539329167012</c:v>
                </c:pt>
                <c:pt idx="25">
                  <c:v>153.46259840610168</c:v>
                </c:pt>
                <c:pt idx="26">
                  <c:v>153.44988656773941</c:v>
                </c:pt>
                <c:pt idx="27">
                  <c:v>153.43723974841262</c:v>
                </c:pt>
                <c:pt idx="28">
                  <c:v>153.42464078772167</c:v>
                </c:pt>
                <c:pt idx="29">
                  <c:v>153.41207322931842</c:v>
                </c:pt>
                <c:pt idx="30">
                  <c:v>153.39952116965441</c:v>
                </c:pt>
                <c:pt idx="31">
                  <c:v>153.38696913445548</c:v>
                </c:pt>
                <c:pt idx="32">
                  <c:v>153.37440196221272</c:v>
                </c:pt>
                <c:pt idx="33">
                  <c:v>153.36180468739718</c:v>
                </c:pt>
                <c:pt idx="34">
                  <c:v>153.34916245251685</c:v>
                </c:pt>
                <c:pt idx="35">
                  <c:v>153.33646039801258</c:v>
                </c:pt>
                <c:pt idx="36">
                  <c:v>153.32368358263366</c:v>
                </c:pt>
                <c:pt idx="37">
                  <c:v>153.31081688604277</c:v>
                </c:pt>
                <c:pt idx="38">
                  <c:v>153.29784492346369</c:v>
                </c:pt>
                <c:pt idx="39">
                  <c:v>153.28475194945463</c:v>
                </c:pt>
                <c:pt idx="40">
                  <c:v>153.27152176759287</c:v>
                </c:pt>
                <c:pt idx="41">
                  <c:v>153.25813763221197</c:v>
                </c:pt>
                <c:pt idx="42">
                  <c:v>153.24458214864393</c:v>
                </c:pt>
                <c:pt idx="43">
                  <c:v>153.23083716284071</c:v>
                </c:pt>
                <c:pt idx="44">
                  <c:v>153.21688364061231</c:v>
                </c:pt>
                <c:pt idx="45">
                  <c:v>153.20270154775523</c:v>
                </c:pt>
                <c:pt idx="46">
                  <c:v>153.1882697077865</c:v>
                </c:pt>
                <c:pt idx="47">
                  <c:v>153.17356564582772</c:v>
                </c:pt>
                <c:pt idx="48">
                  <c:v>153.15856542436035</c:v>
                </c:pt>
                <c:pt idx="49">
                  <c:v>153.14324344983518</c:v>
                </c:pt>
                <c:pt idx="50">
                  <c:v>153.12757225787044</c:v>
                </c:pt>
                <c:pt idx="51">
                  <c:v>153.11152227902974</c:v>
                </c:pt>
                <c:pt idx="52">
                  <c:v>153.09506156101256</c:v>
                </c:pt>
                <c:pt idx="53">
                  <c:v>153.07815545517806</c:v>
                </c:pt>
                <c:pt idx="54">
                  <c:v>153.06076626771548</c:v>
                </c:pt>
                <c:pt idx="55">
                  <c:v>153.04285283895487</c:v>
                </c:pt>
                <c:pt idx="56">
                  <c:v>153.0243700770834</c:v>
                </c:pt>
                <c:pt idx="57">
                  <c:v>153.00526839970772</c:v>
                </c:pt>
                <c:pt idx="58">
                  <c:v>152.98549309025202</c:v>
                </c:pt>
                <c:pt idx="59">
                  <c:v>152.96498354259336</c:v>
                </c:pt>
                <c:pt idx="60">
                  <c:v>152.94367235973675</c:v>
                </c:pt>
                <c:pt idx="61">
                  <c:v>152.92148429921048</c:v>
                </c:pt>
                <c:pt idx="62">
                  <c:v>152.89833500398169</c:v>
                </c:pt>
                <c:pt idx="63">
                  <c:v>152.87412947396001</c:v>
                </c:pt>
                <c:pt idx="64">
                  <c:v>152.84876023203196</c:v>
                </c:pt>
                <c:pt idx="65">
                  <c:v>152.82210507675572</c:v>
                </c:pt>
                <c:pt idx="66">
                  <c:v>152.7940243364545</c:v>
                </c:pt>
                <c:pt idx="67">
                  <c:v>152.76435746313942</c:v>
                </c:pt>
                <c:pt idx="68">
                  <c:v>152.73291879776386</c:v>
                </c:pt>
                <c:pt idx="69">
                  <c:v>152.69949222715348</c:v>
                </c:pt>
                <c:pt idx="70">
                  <c:v>152.66382438908914</c:v>
                </c:pt>
                <c:pt idx="71">
                  <c:v>152.6256159495602</c:v>
                </c:pt>
                <c:pt idx="72">
                  <c:v>152.58451023073491</c:v>
                </c:pt>
                <c:pt idx="73">
                  <c:v>152.54007821637725</c:v>
                </c:pt>
                <c:pt idx="74">
                  <c:v>152.49179847797646</c:v>
                </c:pt>
                <c:pt idx="75">
                  <c:v>152.43902985331209</c:v>
                </c:pt>
                <c:pt idx="76">
                  <c:v>152.38097356030059</c:v>
                </c:pt>
                <c:pt idx="77">
                  <c:v>152.31661956389402</c:v>
                </c:pt>
                <c:pt idx="78">
                  <c:v>152.24466882363726</c:v>
                </c:pt>
                <c:pt idx="79">
                  <c:v>152.16341744498692</c:v>
                </c:pt>
                <c:pt idx="80">
                  <c:v>152.07057854550149</c:v>
                </c:pt>
                <c:pt idx="81">
                  <c:v>151.96299791089709</c:v>
                </c:pt>
                <c:pt idx="82">
                  <c:v>151.83617947570218</c:v>
                </c:pt>
                <c:pt idx="83">
                  <c:v>151.68344942747518</c:v>
                </c:pt>
                <c:pt idx="84">
                  <c:v>151.49438091818874</c:v>
                </c:pt>
                <c:pt idx="85">
                  <c:v>151.251557193748</c:v>
                </c:pt>
                <c:pt idx="86">
                  <c:v>150.92310466913537</c:v>
                </c:pt>
                <c:pt idx="87">
                  <c:v>150.44239525397612</c:v>
                </c:pt>
                <c:pt idx="88">
                  <c:v>149.63673336713407</c:v>
                </c:pt>
                <c:pt idx="89">
                  <c:v>147.81925937635427</c:v>
                </c:pt>
                <c:pt idx="90">
                  <c:v>142.20000000000047</c:v>
                </c:pt>
                <c:pt idx="91">
                  <c:v>136.58074062364585</c:v>
                </c:pt>
                <c:pt idx="92">
                  <c:v>134.76326663286582</c:v>
                </c:pt>
                <c:pt idx="93">
                  <c:v>133.95760474602463</c:v>
                </c:pt>
                <c:pt idx="94">
                  <c:v>133.47689533086441</c:v>
                </c:pt>
                <c:pt idx="95">
                  <c:v>133.14844280625215</c:v>
                </c:pt>
                <c:pt idx="96">
                  <c:v>132.90561908181178</c:v>
                </c:pt>
                <c:pt idx="97">
                  <c:v>132.71655057252528</c:v>
                </c:pt>
                <c:pt idx="98">
                  <c:v>132.56382052429774</c:v>
                </c:pt>
                <c:pt idx="99">
                  <c:v>132.43700208910326</c:v>
                </c:pt>
                <c:pt idx="100">
                  <c:v>132.32942145449866</c:v>
                </c:pt>
                <c:pt idx="101">
                  <c:v>132.23658255501317</c:v>
                </c:pt>
                <c:pt idx="102">
                  <c:v>132.15533117636267</c:v>
                </c:pt>
                <c:pt idx="103">
                  <c:v>132.08338043610655</c:v>
                </c:pt>
                <c:pt idx="104">
                  <c:v>132.00815659004962</c:v>
                </c:pt>
                <c:pt idx="105">
                  <c:v>131.93992408275324</c:v>
                </c:pt>
                <c:pt idx="106">
                  <c:v>131.88437015824636</c:v>
                </c:pt>
                <c:pt idx="107">
                  <c:v>131.83856460389262</c:v>
                </c:pt>
                <c:pt idx="108">
                  <c:v>131.80035443615475</c:v>
                </c:pt>
                <c:pt idx="109">
                  <c:v>131.7681309564442</c:v>
                </c:pt>
                <c:pt idx="110">
                  <c:v>131.74067399852211</c:v>
                </c:pt>
                <c:pt idx="111">
                  <c:v>131.71704553201772</c:v>
                </c:pt>
                <c:pt idx="112">
                  <c:v>131.69651554083711</c:v>
                </c:pt>
                <c:pt idx="113">
                  <c:v>131.67850951415846</c:v>
                </c:pt>
                <c:pt idx="114">
                  <c:v>131.66257063467933</c:v>
                </c:pt>
                <c:pt idx="115">
                  <c:v>131.6483321696943</c:v>
                </c:pt>
                <c:pt idx="116">
                  <c:v>131.63549705103884</c:v>
                </c:pt>
                <c:pt idx="117">
                  <c:v>131.62382257105742</c:v>
                </c:pt>
                <c:pt idx="118">
                  <c:v>131.61310881620028</c:v>
                </c:pt>
                <c:pt idx="119">
                  <c:v>131.60318980063886</c:v>
                </c:pt>
                <c:pt idx="120">
                  <c:v>131.5939266225237</c:v>
                </c:pt>
                <c:pt idx="121">
                  <c:v>131.58520214218422</c:v>
                </c:pt>
                <c:pt idx="122">
                  <c:v>131.57691677230014</c:v>
                </c:pt>
                <c:pt idx="123">
                  <c:v>131.5689851671024</c:v>
                </c:pt>
                <c:pt idx="124">
                  <c:v>131.56133355636203</c:v>
                </c:pt>
                <c:pt idx="125">
                  <c:v>131.55389760438402</c:v>
                </c:pt>
                <c:pt idx="126">
                  <c:v>131.54662067216898</c:v>
                </c:pt>
                <c:pt idx="127">
                  <c:v>131.53945238712291</c:v>
                </c:pt>
                <c:pt idx="128">
                  <c:v>131.53234746865544</c:v>
                </c:pt>
                <c:pt idx="129">
                  <c:v>131.52526474135755</c:v>
                </c:pt>
                <c:pt idx="130">
                  <c:v>131.51816630481866</c:v>
                </c:pt>
                <c:pt idx="131">
                  <c:v>131.51101682425283</c:v>
                </c:pt>
                <c:pt idx="132">
                  <c:v>131.50378291708608</c:v>
                </c:pt>
                <c:pt idx="133">
                  <c:v>131.49643261333387</c:v>
                </c:pt>
                <c:pt idx="134">
                  <c:v>131.48893487222438</c:v>
                </c:pt>
                <c:pt idx="135">
                  <c:v>131.48125914161938</c:v>
                </c:pt>
                <c:pt idx="136">
                  <c:v>131.47337495101976</c:v>
                </c:pt>
                <c:pt idx="137">
                  <c:v>131.4652515120998</c:v>
                </c:pt>
                <c:pt idx="138">
                  <c:v>131.45685734423142</c:v>
                </c:pt>
                <c:pt idx="139">
                  <c:v>131.44815988482841</c:v>
                </c:pt>
                <c:pt idx="140">
                  <c:v>131.43912509612116</c:v>
                </c:pt>
                <c:pt idx="141">
                  <c:v>131.42971706145693</c:v>
                </c:pt>
                <c:pt idx="142">
                  <c:v>131.41989753288075</c:v>
                </c:pt>
                <c:pt idx="143">
                  <c:v>131.40962545561308</c:v>
                </c:pt>
                <c:pt idx="144">
                  <c:v>131.39885643945013</c:v>
                </c:pt>
                <c:pt idx="145">
                  <c:v>131.38754215120909</c:v>
                </c:pt>
                <c:pt idx="146">
                  <c:v>131.37562964763919</c:v>
                </c:pt>
                <c:pt idx="147">
                  <c:v>131.36306058014691</c:v>
                </c:pt>
                <c:pt idx="148">
                  <c:v>131.34977029578326</c:v>
                </c:pt>
                <c:pt idx="149">
                  <c:v>131.33568677383542</c:v>
                </c:pt>
                <c:pt idx="150">
                  <c:v>131.32072936725098</c:v>
                </c:pt>
                <c:pt idx="151">
                  <c:v>131.30480731376818</c:v>
                </c:pt>
                <c:pt idx="152">
                  <c:v>131.28781794094132</c:v>
                </c:pt>
                <c:pt idx="153">
                  <c:v>131.26964451582927</c:v>
                </c:pt>
                <c:pt idx="154">
                  <c:v>131.25015360614671</c:v>
                </c:pt>
                <c:pt idx="155">
                  <c:v>131.22919186069745</c:v>
                </c:pt>
                <c:pt idx="156">
                  <c:v>131.20658203492002</c:v>
                </c:pt>
                <c:pt idx="157">
                  <c:v>131.18211801839965</c:v>
                </c:pt>
                <c:pt idx="158">
                  <c:v>131.15555859888889</c:v>
                </c:pt>
                <c:pt idx="159">
                  <c:v>131.1266195393834</c:v>
                </c:pt>
                <c:pt idx="160">
                  <c:v>131.09496341942571</c:v>
                </c:pt>
                <c:pt idx="161">
                  <c:v>131.0601864460443</c:v>
                </c:pt>
                <c:pt idx="162">
                  <c:v>131.02180114885695</c:v>
                </c:pt>
                <c:pt idx="163">
                  <c:v>130.97921333471385</c:v>
                </c:pt>
                <c:pt idx="164">
                  <c:v>130.93169096685546</c:v>
                </c:pt>
                <c:pt idx="165">
                  <c:v>130.87832143029695</c:v>
                </c:pt>
                <c:pt idx="166">
                  <c:v>130.81795174154271</c:v>
                </c:pt>
                <c:pt idx="167">
                  <c:v>130.7715471771649</c:v>
                </c:pt>
                <c:pt idx="168">
                  <c:v>130.75560841641567</c:v>
                </c:pt>
                <c:pt idx="169">
                  <c:v>130.73909282505068</c:v>
                </c:pt>
                <c:pt idx="170">
                  <c:v>130.72190521455769</c:v>
                </c:pt>
                <c:pt idx="171">
                  <c:v>130.70392686703011</c:v>
                </c:pt>
                <c:pt idx="172">
                  <c:v>130.68500605037744</c:v>
                </c:pt>
                <c:pt idx="173">
                  <c:v>130.66494296825283</c:v>
                </c:pt>
                <c:pt idx="174">
                  <c:v>130.6434646060153</c:v>
                </c:pt>
                <c:pt idx="175">
                  <c:v>130.62017955790205</c:v>
                </c:pt>
                <c:pt idx="176">
                  <c:v>130.5944891883305</c:v>
                </c:pt>
                <c:pt idx="177">
                  <c:v>130.56564078155654</c:v>
                </c:pt>
                <c:pt idx="178">
                  <c:v>130.5359983798144</c:v>
                </c:pt>
                <c:pt idx="179">
                  <c:v>130.51053132571991</c:v>
                </c:pt>
                <c:pt idx="180">
                  <c:v>130.49716353919095</c:v>
                </c:pt>
                <c:pt idx="181">
                  <c:v>130.51053132571266</c:v>
                </c:pt>
                <c:pt idx="182">
                  <c:v>130.53599837980732</c:v>
                </c:pt>
                <c:pt idx="183">
                  <c:v>130.56564078154969</c:v>
                </c:pt>
                <c:pt idx="184">
                  <c:v>130.59448918832919</c:v>
                </c:pt>
                <c:pt idx="185">
                  <c:v>130.62017955790128</c:v>
                </c:pt>
                <c:pt idx="186">
                  <c:v>130.64346460601291</c:v>
                </c:pt>
                <c:pt idx="187">
                  <c:v>130.66494296825186</c:v>
                </c:pt>
                <c:pt idx="188">
                  <c:v>130.68500605037485</c:v>
                </c:pt>
                <c:pt idx="189">
                  <c:v>130.70392686702905</c:v>
                </c:pt>
                <c:pt idx="190">
                  <c:v>130.72190521455613</c:v>
                </c:pt>
                <c:pt idx="191">
                  <c:v>130.73909282505042</c:v>
                </c:pt>
                <c:pt idx="192">
                  <c:v>130.7556084164147</c:v>
                </c:pt>
                <c:pt idx="193">
                  <c:v>130.77154717716459</c:v>
                </c:pt>
                <c:pt idx="194">
                  <c:v>130.78698702786167</c:v>
                </c:pt>
                <c:pt idx="195">
                  <c:v>130.80199289513772</c:v>
                </c:pt>
                <c:pt idx="196">
                  <c:v>130.81661972441211</c:v>
                </c:pt>
                <c:pt idx="197">
                  <c:v>130.83091467459775</c:v>
                </c:pt>
                <c:pt idx="198">
                  <c:v>130.84491872082992</c:v>
                </c:pt>
                <c:pt idx="199">
                  <c:v>130.85866788169767</c:v>
                </c:pt>
                <c:pt idx="200">
                  <c:v>130.87219415536458</c:v>
                </c:pt>
                <c:pt idx="201">
                  <c:v>130.88552625073194</c:v>
                </c:pt>
                <c:pt idx="202">
                  <c:v>130.89869017393852</c:v>
                </c:pt>
                <c:pt idx="203">
                  <c:v>130.91170968931277</c:v>
                </c:pt>
                <c:pt idx="204">
                  <c:v>130.92460670832975</c:v>
                </c:pt>
                <c:pt idx="205">
                  <c:v>130.93740159389836</c:v>
                </c:pt>
                <c:pt idx="206">
                  <c:v>130.95011343226014</c:v>
                </c:pt>
                <c:pt idx="207">
                  <c:v>130.96276025158735</c:v>
                </c:pt>
                <c:pt idx="208">
                  <c:v>130.9753592122787</c:v>
                </c:pt>
                <c:pt idx="209">
                  <c:v>130.98792677068116</c:v>
                </c:pt>
                <c:pt idx="210">
                  <c:v>131.00047883034492</c:v>
                </c:pt>
                <c:pt idx="211">
                  <c:v>131.01303086554452</c:v>
                </c:pt>
                <c:pt idx="212">
                  <c:v>131.02559803778641</c:v>
                </c:pt>
                <c:pt idx="213">
                  <c:v>131.03819531260211</c:v>
                </c:pt>
                <c:pt idx="214">
                  <c:v>131.0508375474829</c:v>
                </c:pt>
                <c:pt idx="215">
                  <c:v>131.06353960198669</c:v>
                </c:pt>
                <c:pt idx="216">
                  <c:v>131.0763164173662</c:v>
                </c:pt>
                <c:pt idx="217">
                  <c:v>131.08918311395726</c:v>
                </c:pt>
                <c:pt idx="218">
                  <c:v>131.10215507653581</c:v>
                </c:pt>
                <c:pt idx="219">
                  <c:v>131.11524805054555</c:v>
                </c:pt>
                <c:pt idx="220">
                  <c:v>131.12847823240693</c:v>
                </c:pt>
                <c:pt idx="221">
                  <c:v>131.14186236778744</c:v>
                </c:pt>
                <c:pt idx="222">
                  <c:v>131.15541785135602</c:v>
                </c:pt>
                <c:pt idx="223">
                  <c:v>131.16916283715963</c:v>
                </c:pt>
                <c:pt idx="224">
                  <c:v>131.18311635938809</c:v>
                </c:pt>
                <c:pt idx="225">
                  <c:v>131.19729845224529</c:v>
                </c:pt>
                <c:pt idx="226">
                  <c:v>131.21173029221336</c:v>
                </c:pt>
                <c:pt idx="227">
                  <c:v>131.22643435417172</c:v>
                </c:pt>
                <c:pt idx="228">
                  <c:v>131.24143457563949</c:v>
                </c:pt>
                <c:pt idx="229">
                  <c:v>131.25675655016519</c:v>
                </c:pt>
                <c:pt idx="230">
                  <c:v>131.27242774212903</c:v>
                </c:pt>
                <c:pt idx="231">
                  <c:v>131.28847772097018</c:v>
                </c:pt>
                <c:pt idx="232">
                  <c:v>131.30493843898762</c:v>
                </c:pt>
                <c:pt idx="233">
                  <c:v>131.3218445448216</c:v>
                </c:pt>
                <c:pt idx="234">
                  <c:v>131.33923373228458</c:v>
                </c:pt>
                <c:pt idx="235">
                  <c:v>131.35714716104511</c:v>
                </c:pt>
                <c:pt idx="236">
                  <c:v>131.37562992291674</c:v>
                </c:pt>
                <c:pt idx="237">
                  <c:v>131.39473160029246</c:v>
                </c:pt>
                <c:pt idx="238">
                  <c:v>131.41450690974784</c:v>
                </c:pt>
                <c:pt idx="239">
                  <c:v>131.43501645740696</c:v>
                </c:pt>
                <c:pt idx="240">
                  <c:v>131.45632764026266</c:v>
                </c:pt>
                <c:pt idx="241">
                  <c:v>131.47851570078933</c:v>
                </c:pt>
                <c:pt idx="242">
                  <c:v>131.50166499601846</c:v>
                </c:pt>
                <c:pt idx="243">
                  <c:v>131.52587052603957</c:v>
                </c:pt>
                <c:pt idx="244">
                  <c:v>131.55123976796762</c:v>
                </c:pt>
                <c:pt idx="245">
                  <c:v>131.57789492324366</c:v>
                </c:pt>
                <c:pt idx="246">
                  <c:v>131.60597566354565</c:v>
                </c:pt>
                <c:pt idx="247">
                  <c:v>131.63564253686047</c:v>
                </c:pt>
                <c:pt idx="248">
                  <c:v>131.66708120223637</c:v>
                </c:pt>
                <c:pt idx="249">
                  <c:v>131.70050777284661</c:v>
                </c:pt>
                <c:pt idx="250">
                  <c:v>131.73617561091095</c:v>
                </c:pt>
                <c:pt idx="251">
                  <c:v>131.77438405043949</c:v>
                </c:pt>
                <c:pt idx="252">
                  <c:v>131.81548976926518</c:v>
                </c:pt>
                <c:pt idx="253">
                  <c:v>131.85992178362289</c:v>
                </c:pt>
                <c:pt idx="254">
                  <c:v>131.9082015220236</c:v>
                </c:pt>
                <c:pt idx="255">
                  <c:v>131.9609701466886</c:v>
                </c:pt>
                <c:pt idx="256">
                  <c:v>132.01902643969945</c:v>
                </c:pt>
                <c:pt idx="257">
                  <c:v>132.08338043610624</c:v>
                </c:pt>
                <c:pt idx="258">
                  <c:v>132.15533117636306</c:v>
                </c:pt>
                <c:pt idx="259">
                  <c:v>132.23658255501374</c:v>
                </c:pt>
                <c:pt idx="260">
                  <c:v>132.32942145449894</c:v>
                </c:pt>
                <c:pt idx="261">
                  <c:v>132.43700208910374</c:v>
                </c:pt>
                <c:pt idx="262">
                  <c:v>132.5638205236674</c:v>
                </c:pt>
                <c:pt idx="263">
                  <c:v>132.71655057371726</c:v>
                </c:pt>
                <c:pt idx="264">
                  <c:v>132.90561908242864</c:v>
                </c:pt>
                <c:pt idx="265">
                  <c:v>133.14844280567135</c:v>
                </c:pt>
                <c:pt idx="266">
                  <c:v>133.47689533123702</c:v>
                </c:pt>
                <c:pt idx="267">
                  <c:v>133.95760474646406</c:v>
                </c:pt>
                <c:pt idx="268">
                  <c:v>134.76326663276006</c:v>
                </c:pt>
                <c:pt idx="269">
                  <c:v>136.58074062359907</c:v>
                </c:pt>
                <c:pt idx="270">
                  <c:v>142.19999999998851</c:v>
                </c:pt>
                <c:pt idx="271">
                  <c:v>147.81925937627005</c:v>
                </c:pt>
                <c:pt idx="272">
                  <c:v>149.63673336655208</c:v>
                </c:pt>
                <c:pt idx="273">
                  <c:v>150.44239525382528</c:v>
                </c:pt>
                <c:pt idx="274">
                  <c:v>150.92310466858069</c:v>
                </c:pt>
                <c:pt idx="275">
                  <c:v>151.25155719354984</c:v>
                </c:pt>
                <c:pt idx="276">
                  <c:v>151.49438091754129</c:v>
                </c:pt>
                <c:pt idx="277">
                  <c:v>151.68344942696032</c:v>
                </c:pt>
                <c:pt idx="278">
                  <c:v>151.83617947583267</c:v>
                </c:pt>
                <c:pt idx="279">
                  <c:v>151.96299791104644</c:v>
                </c:pt>
                <c:pt idx="280">
                  <c:v>152.07057854658183</c:v>
                </c:pt>
                <c:pt idx="281">
                  <c:v>152.16341744577346</c:v>
                </c:pt>
                <c:pt idx="282">
                  <c:v>152.24466882372471</c:v>
                </c:pt>
                <c:pt idx="283">
                  <c:v>152.31661956462594</c:v>
                </c:pt>
                <c:pt idx="284">
                  <c:v>152.38097355987526</c:v>
                </c:pt>
                <c:pt idx="285">
                  <c:v>152.43902985341845</c:v>
                </c:pt>
                <c:pt idx="286">
                  <c:v>152.49179847700503</c:v>
                </c:pt>
                <c:pt idx="287">
                  <c:v>152.5400782163772</c:v>
                </c:pt>
                <c:pt idx="288">
                  <c:v>152.58451023073522</c:v>
                </c:pt>
                <c:pt idx="289">
                  <c:v>152.6256159495606</c:v>
                </c:pt>
                <c:pt idx="290">
                  <c:v>152.66382438908951</c:v>
                </c:pt>
                <c:pt idx="291">
                  <c:v>152.69949222715354</c:v>
                </c:pt>
                <c:pt idx="292">
                  <c:v>152.7329187977638</c:v>
                </c:pt>
                <c:pt idx="293">
                  <c:v>152.76435746313953</c:v>
                </c:pt>
                <c:pt idx="294">
                  <c:v>152.79402433645458</c:v>
                </c:pt>
                <c:pt idx="295">
                  <c:v>152.82210507675586</c:v>
                </c:pt>
                <c:pt idx="296">
                  <c:v>152.84876023203216</c:v>
                </c:pt>
                <c:pt idx="297">
                  <c:v>152.87412947396015</c:v>
                </c:pt>
                <c:pt idx="298">
                  <c:v>152.89833500398146</c:v>
                </c:pt>
                <c:pt idx="299">
                  <c:v>152.92148429921036</c:v>
                </c:pt>
                <c:pt idx="300">
                  <c:v>152.94367235973644</c:v>
                </c:pt>
                <c:pt idx="301">
                  <c:v>152.96498354259276</c:v>
                </c:pt>
                <c:pt idx="302">
                  <c:v>152.98549309025205</c:v>
                </c:pt>
                <c:pt idx="303">
                  <c:v>153.00526839970726</c:v>
                </c:pt>
                <c:pt idx="304">
                  <c:v>153.02437007708284</c:v>
                </c:pt>
                <c:pt idx="305">
                  <c:v>153.04285283895439</c:v>
                </c:pt>
                <c:pt idx="306">
                  <c:v>153.06076626771491</c:v>
                </c:pt>
                <c:pt idx="307">
                  <c:v>153.07815545517775</c:v>
                </c:pt>
                <c:pt idx="308">
                  <c:v>153.09506156101256</c:v>
                </c:pt>
                <c:pt idx="309">
                  <c:v>153.11152227902957</c:v>
                </c:pt>
                <c:pt idx="310">
                  <c:v>153.12757225787038</c:v>
                </c:pt>
                <c:pt idx="311">
                  <c:v>153.14324344983453</c:v>
                </c:pt>
                <c:pt idx="312">
                  <c:v>153.15856542435986</c:v>
                </c:pt>
                <c:pt idx="313">
                  <c:v>153.17356564582781</c:v>
                </c:pt>
                <c:pt idx="314">
                  <c:v>153.1882697077865</c:v>
                </c:pt>
                <c:pt idx="315">
                  <c:v>153.20270154775426</c:v>
                </c:pt>
                <c:pt idx="316">
                  <c:v>153.21688364061143</c:v>
                </c:pt>
                <c:pt idx="317">
                  <c:v>153.23083716283989</c:v>
                </c:pt>
                <c:pt idx="318">
                  <c:v>153.24458214864347</c:v>
                </c:pt>
                <c:pt idx="319">
                  <c:v>153.25813763221149</c:v>
                </c:pt>
                <c:pt idx="320">
                  <c:v>153.27152176759242</c:v>
                </c:pt>
                <c:pt idx="321">
                  <c:v>153.28475194945395</c:v>
                </c:pt>
                <c:pt idx="322">
                  <c:v>153.297844923463</c:v>
                </c:pt>
                <c:pt idx="323">
                  <c:v>153.31081688604201</c:v>
                </c:pt>
                <c:pt idx="324">
                  <c:v>153.32368358263309</c:v>
                </c:pt>
                <c:pt idx="325">
                  <c:v>153.33646039801229</c:v>
                </c:pt>
                <c:pt idx="326">
                  <c:v>153.34916245251674</c:v>
                </c:pt>
                <c:pt idx="327">
                  <c:v>153.36180468739713</c:v>
                </c:pt>
                <c:pt idx="328">
                  <c:v>153.37440196221277</c:v>
                </c:pt>
                <c:pt idx="329">
                  <c:v>153.38696913445489</c:v>
                </c:pt>
                <c:pt idx="330">
                  <c:v>153.39952116965407</c:v>
                </c:pt>
                <c:pt idx="331">
                  <c:v>153.4120732293178</c:v>
                </c:pt>
                <c:pt idx="332">
                  <c:v>153.42464078772079</c:v>
                </c:pt>
                <c:pt idx="333">
                  <c:v>153.43723974841166</c:v>
                </c:pt>
                <c:pt idx="334">
                  <c:v>153.44988656773873</c:v>
                </c:pt>
                <c:pt idx="335">
                  <c:v>153.46259840610136</c:v>
                </c:pt>
                <c:pt idx="336">
                  <c:v>153.47539329166915</c:v>
                </c:pt>
                <c:pt idx="337">
                  <c:v>153.48829031068638</c:v>
                </c:pt>
                <c:pt idx="338">
                  <c:v>153.50130982606032</c:v>
                </c:pt>
                <c:pt idx="339">
                  <c:v>153.51447374926684</c:v>
                </c:pt>
                <c:pt idx="340">
                  <c:v>153.5278058446336</c:v>
                </c:pt>
                <c:pt idx="341">
                  <c:v>153.54133211830066</c:v>
                </c:pt>
                <c:pt idx="342">
                  <c:v>153.55508127916858</c:v>
                </c:pt>
                <c:pt idx="343">
                  <c:v>153.56908532540086</c:v>
                </c:pt>
                <c:pt idx="344">
                  <c:v>153.58338027558582</c:v>
                </c:pt>
                <c:pt idx="345">
                  <c:v>153.59800710486041</c:v>
                </c:pt>
                <c:pt idx="346">
                  <c:v>153.61301297213603</c:v>
                </c:pt>
                <c:pt idx="347">
                  <c:v>153.62845282283337</c:v>
                </c:pt>
                <c:pt idx="348">
                  <c:v>153.64439158358294</c:v>
                </c:pt>
                <c:pt idx="349">
                  <c:v>153.66090717494683</c:v>
                </c:pt>
                <c:pt idx="350">
                  <c:v>153.67809478544137</c:v>
                </c:pt>
                <c:pt idx="351">
                  <c:v>153.69607313296618</c:v>
                </c:pt>
                <c:pt idx="352">
                  <c:v>153.71499394962137</c:v>
                </c:pt>
                <c:pt idx="353">
                  <c:v>153.73505703174374</c:v>
                </c:pt>
                <c:pt idx="354">
                  <c:v>153.75653539398257</c:v>
                </c:pt>
                <c:pt idx="355">
                  <c:v>153.77982044209253</c:v>
                </c:pt>
                <c:pt idx="356">
                  <c:v>153.80551081166371</c:v>
                </c:pt>
                <c:pt idx="357">
                  <c:v>153.83435921843937</c:v>
                </c:pt>
                <c:pt idx="358">
                  <c:v>153.8640016201785</c:v>
                </c:pt>
                <c:pt idx="359">
                  <c:v>153.88946867426796</c:v>
                </c:pt>
                <c:pt idx="360">
                  <c:v>153.90283646079388</c:v>
                </c:pt>
              </c:numCache>
            </c:numRef>
          </c:xVal>
          <c:yVal>
            <c:numRef>
              <c:f>L_Section_Capacity!$BK$2:$BK$362</c:f>
              <c:numCache>
                <c:formatCode>General</c:formatCode>
                <c:ptCount val="361"/>
                <c:pt idx="0">
                  <c:v>-47.400000000000006</c:v>
                </c:pt>
                <c:pt idx="1">
                  <c:v>-46.512924892230558</c:v>
                </c:pt>
                <c:pt idx="2">
                  <c:v>-45.709851656935157</c:v>
                </c:pt>
                <c:pt idx="3">
                  <c:v>-45.062356196331997</c:v>
                </c:pt>
                <c:pt idx="4">
                  <c:v>-44.588006442141555</c:v>
                </c:pt>
                <c:pt idx="5">
                  <c:v>-44.2595539171311</c:v>
                </c:pt>
                <c:pt idx="6">
                  <c:v>-44.016730193477059</c:v>
                </c:pt>
                <c:pt idx="7">
                  <c:v>-43.827661684028797</c:v>
                </c:pt>
                <c:pt idx="8">
                  <c:v>-43.67493163483109</c:v>
                </c:pt>
                <c:pt idx="9">
                  <c:v>-43.54811320060999</c:v>
                </c:pt>
                <c:pt idx="10">
                  <c:v>-43.440532564841455</c:v>
                </c:pt>
                <c:pt idx="11">
                  <c:v>-43.347693665987329</c:v>
                </c:pt>
                <c:pt idx="12">
                  <c:v>-43.266442287542397</c:v>
                </c:pt>
                <c:pt idx="13">
                  <c:v>-43.194491546270399</c:v>
                </c:pt>
                <c:pt idx="14">
                  <c:v>-43.130137550549115</c:v>
                </c:pt>
                <c:pt idx="15">
                  <c:v>-43.072081258219619</c:v>
                </c:pt>
                <c:pt idx="16">
                  <c:v>-43.019312633271149</c:v>
                </c:pt>
                <c:pt idx="17">
                  <c:v>-42.971032894845372</c:v>
                </c:pt>
                <c:pt idx="18">
                  <c:v>-42.926600879740285</c:v>
                </c:pt>
                <c:pt idx="19">
                  <c:v>-42.885495160640161</c:v>
                </c:pt>
                <c:pt idx="20">
                  <c:v>-42.847286721878092</c:v>
                </c:pt>
                <c:pt idx="21">
                  <c:v>-42.811618884173733</c:v>
                </c:pt>
                <c:pt idx="22">
                  <c:v>-42.778192312434342</c:v>
                </c:pt>
                <c:pt idx="23">
                  <c:v>-42.74675364714102</c:v>
                </c:pt>
                <c:pt idx="24">
                  <c:v>-42.717086774928532</c:v>
                </c:pt>
                <c:pt idx="25">
                  <c:v>-42.689006034268786</c:v>
                </c:pt>
                <c:pt idx="26">
                  <c:v>-42.662350879301108</c:v>
                </c:pt>
                <c:pt idx="27">
                  <c:v>-42.63698163717725</c:v>
                </c:pt>
                <c:pt idx="28">
                  <c:v>-42.612776107401977</c:v>
                </c:pt>
                <c:pt idx="29">
                  <c:v>-42.589626811066388</c:v>
                </c:pt>
                <c:pt idx="30">
                  <c:v>-42.567438751152913</c:v>
                </c:pt>
                <c:pt idx="31">
                  <c:v>-42.546127568799932</c:v>
                </c:pt>
                <c:pt idx="32">
                  <c:v>-42.525618020023735</c:v>
                </c:pt>
                <c:pt idx="33">
                  <c:v>-42.505842711527812</c:v>
                </c:pt>
                <c:pt idx="34">
                  <c:v>-42.486741033730745</c:v>
                </c:pt>
                <c:pt idx="35">
                  <c:v>-42.468258272034902</c:v>
                </c:pt>
                <c:pt idx="36">
                  <c:v>-42.450344843883364</c:v>
                </c:pt>
                <c:pt idx="37">
                  <c:v>-42.432955656185761</c:v>
                </c:pt>
                <c:pt idx="38">
                  <c:v>-42.416049550907054</c:v>
                </c:pt>
                <c:pt idx="39">
                  <c:v>-42.399588831971428</c:v>
                </c:pt>
                <c:pt idx="40">
                  <c:v>-42.383538853177555</c:v>
                </c:pt>
                <c:pt idx="41">
                  <c:v>-42.367867661893591</c:v>
                </c:pt>
                <c:pt idx="42">
                  <c:v>-42.352545686640752</c:v>
                </c:pt>
                <c:pt idx="43">
                  <c:v>-42.337545464730631</c:v>
                </c:pt>
                <c:pt idx="44">
                  <c:v>-42.322841403333712</c:v>
                </c:pt>
                <c:pt idx="45">
                  <c:v>-42.30840956331398</c:v>
                </c:pt>
                <c:pt idx="46">
                  <c:v>-42.294227470930089</c:v>
                </c:pt>
                <c:pt idx="47">
                  <c:v>-42.280273949251558</c:v>
                </c:pt>
                <c:pt idx="48">
                  <c:v>-42.266528962520411</c:v>
                </c:pt>
                <c:pt idx="49">
                  <c:v>-42.252973478856383</c:v>
                </c:pt>
                <c:pt idx="50">
                  <c:v>-42.239589344096807</c:v>
                </c:pt>
                <c:pt idx="51">
                  <c:v>-42.226359161918197</c:v>
                </c:pt>
                <c:pt idx="52">
                  <c:v>-42.213266187200048</c:v>
                </c:pt>
                <c:pt idx="53">
                  <c:v>-42.200294224815003</c:v>
                </c:pt>
                <c:pt idx="54">
                  <c:v>-42.187427528847373</c:v>
                </c:pt>
                <c:pt idx="55">
                  <c:v>-42.174650713790868</c:v>
                </c:pt>
                <c:pt idx="56">
                  <c:v>-42.161948659335906</c:v>
                </c:pt>
                <c:pt idx="57">
                  <c:v>-42.149306423137773</c:v>
                </c:pt>
                <c:pt idx="58">
                  <c:v>-42.136709149589237</c:v>
                </c:pt>
                <c:pt idx="59">
                  <c:v>-42.124141976417434</c:v>
                </c:pt>
                <c:pt idx="60">
                  <c:v>-42.111589942343507</c:v>
                </c:pt>
                <c:pt idx="61">
                  <c:v>-42.099037882858973</c:v>
                </c:pt>
                <c:pt idx="62">
                  <c:v>-42.086470322955805</c:v>
                </c:pt>
                <c:pt idx="63">
                  <c:v>-42.073871362507937</c:v>
                </c:pt>
                <c:pt idx="64">
                  <c:v>-42.061224542947265</c:v>
                </c:pt>
                <c:pt idx="65">
                  <c:v>-42.048512704516568</c:v>
                </c:pt>
                <c:pt idx="66">
                  <c:v>-42.035717818863212</c:v>
                </c:pt>
                <c:pt idx="67">
                  <c:v>-42.022820801370983</c:v>
                </c:pt>
                <c:pt idx="68">
                  <c:v>-42.009801285533591</c:v>
                </c:pt>
                <c:pt idx="69">
                  <c:v>-41.996637362010866</c:v>
                </c:pt>
                <c:pt idx="70">
                  <c:v>-41.983305266470566</c:v>
                </c:pt>
                <c:pt idx="71">
                  <c:v>-41.969778993607378</c:v>
                </c:pt>
                <c:pt idx="72">
                  <c:v>-41.956029832546527</c:v>
                </c:pt>
                <c:pt idx="73">
                  <c:v>-41.942025785776572</c:v>
                </c:pt>
                <c:pt idx="74">
                  <c:v>-41.927730835740427</c:v>
                </c:pt>
                <c:pt idx="75">
                  <c:v>-41.913104005532908</c:v>
                </c:pt>
                <c:pt idx="76">
                  <c:v>-41.898098139923242</c:v>
                </c:pt>
                <c:pt idx="77">
                  <c:v>-41.882658289621837</c:v>
                </c:pt>
                <c:pt idx="78">
                  <c:v>-41.866719527455466</c:v>
                </c:pt>
                <c:pt idx="79">
                  <c:v>-41.850203936178005</c:v>
                </c:pt>
                <c:pt idx="80">
                  <c:v>-41.833016326151778</c:v>
                </c:pt>
                <c:pt idx="81">
                  <c:v>-41.815037978654104</c:v>
                </c:pt>
                <c:pt idx="82">
                  <c:v>-41.796117161513543</c:v>
                </c:pt>
                <c:pt idx="83">
                  <c:v>-41.776054079306434</c:v>
                </c:pt>
                <c:pt idx="84">
                  <c:v>-41.754575715814376</c:v>
                </c:pt>
                <c:pt idx="85">
                  <c:v>-41.73129066942883</c:v>
                </c:pt>
                <c:pt idx="86">
                  <c:v>-41.705600299114096</c:v>
                </c:pt>
                <c:pt idx="87">
                  <c:v>-41.676499670148104</c:v>
                </c:pt>
                <c:pt idx="88">
                  <c:v>-41.642033534093322</c:v>
                </c:pt>
                <c:pt idx="89">
                  <c:v>-41.597162007947361</c:v>
                </c:pt>
                <c:pt idx="90">
                  <c:v>-41.54858176985428</c:v>
                </c:pt>
                <c:pt idx="91">
                  <c:v>-41.597162007949024</c:v>
                </c:pt>
                <c:pt idx="92">
                  <c:v>-41.642033534093834</c:v>
                </c:pt>
                <c:pt idx="93">
                  <c:v>-41.676499670149077</c:v>
                </c:pt>
                <c:pt idx="94">
                  <c:v>-41.70560029911406</c:v>
                </c:pt>
                <c:pt idx="95">
                  <c:v>-41.731290669428979</c:v>
                </c:pt>
                <c:pt idx="96">
                  <c:v>-41.754575715814994</c:v>
                </c:pt>
                <c:pt idx="97">
                  <c:v>-41.776054079306789</c:v>
                </c:pt>
                <c:pt idx="98">
                  <c:v>-41.796117161513735</c:v>
                </c:pt>
                <c:pt idx="99">
                  <c:v>-41.815037978654544</c:v>
                </c:pt>
                <c:pt idx="100">
                  <c:v>-41.833016326151707</c:v>
                </c:pt>
                <c:pt idx="101">
                  <c:v>-41.850203936178005</c:v>
                </c:pt>
                <c:pt idx="102">
                  <c:v>-41.866719527455572</c:v>
                </c:pt>
                <c:pt idx="103">
                  <c:v>-41.882658289622213</c:v>
                </c:pt>
                <c:pt idx="104">
                  <c:v>-41.929062852425268</c:v>
                </c:pt>
                <c:pt idx="105">
                  <c:v>-41.989432541038653</c:v>
                </c:pt>
                <c:pt idx="106">
                  <c:v>-42.042802078414695</c:v>
                </c:pt>
                <c:pt idx="107">
                  <c:v>-42.090324445359393</c:v>
                </c:pt>
                <c:pt idx="108">
                  <c:v>-42.132912259765241</c:v>
                </c:pt>
                <c:pt idx="109">
                  <c:v>-42.171297557609947</c:v>
                </c:pt>
                <c:pt idx="110">
                  <c:v>-42.206074530196801</c:v>
                </c:pt>
                <c:pt idx="111">
                  <c:v>-42.2377306507301</c:v>
                </c:pt>
                <c:pt idx="112">
                  <c:v>-42.266669709476346</c:v>
                </c:pt>
                <c:pt idx="113">
                  <c:v>-42.293229129255003</c:v>
                </c:pt>
                <c:pt idx="114">
                  <c:v>-42.317693146208228</c:v>
                </c:pt>
                <c:pt idx="115">
                  <c:v>-42.340302971663824</c:v>
                </c:pt>
                <c:pt idx="116">
                  <c:v>-42.361264716496642</c:v>
                </c:pt>
                <c:pt idx="117">
                  <c:v>-42.380755626989988</c:v>
                </c:pt>
                <c:pt idx="118">
                  <c:v>-42.39892905272896</c:v>
                </c:pt>
                <c:pt idx="119">
                  <c:v>-42.415918425142308</c:v>
                </c:pt>
                <c:pt idx="120">
                  <c:v>-42.431840479070594</c:v>
                </c:pt>
                <c:pt idx="121">
                  <c:v>-42.446797885921889</c:v>
                </c:pt>
                <c:pt idx="122">
                  <c:v>-42.460881407476428</c:v>
                </c:pt>
                <c:pt idx="123">
                  <c:v>-42.474171691004585</c:v>
                </c:pt>
                <c:pt idx="124">
                  <c:v>-42.48674075874991</c:v>
                </c:pt>
                <c:pt idx="125">
                  <c:v>-42.498653263117788</c:v>
                </c:pt>
                <c:pt idx="126">
                  <c:v>-42.509967550576398</c:v>
                </c:pt>
                <c:pt idx="127">
                  <c:v>-42.520736567531131</c:v>
                </c:pt>
                <c:pt idx="128">
                  <c:v>-42.531008644076508</c:v>
                </c:pt>
                <c:pt idx="129">
                  <c:v>-42.540828172994317</c:v>
                </c:pt>
                <c:pt idx="130">
                  <c:v>-42.550236207839738</c:v>
                </c:pt>
                <c:pt idx="131">
                  <c:v>-42.559270995173662</c:v>
                </c:pt>
                <c:pt idx="132">
                  <c:v>-42.567968455380488</c:v>
                </c:pt>
                <c:pt idx="133">
                  <c:v>-42.576362623712477</c:v>
                </c:pt>
                <c:pt idx="134">
                  <c:v>-42.584486062242014</c:v>
                </c:pt>
                <c:pt idx="135">
                  <c:v>-42.592370253010245</c:v>
                </c:pt>
                <c:pt idx="136">
                  <c:v>-42.600045983022767</c:v>
                </c:pt>
                <c:pt idx="137">
                  <c:v>-42.60754372412206</c:v>
                </c:pt>
                <c:pt idx="138">
                  <c:v>-42.614894028291928</c:v>
                </c:pt>
                <c:pt idx="139">
                  <c:v>-42.622127935824921</c:v>
                </c:pt>
                <c:pt idx="140">
                  <c:v>-42.629277415799876</c:v>
                </c:pt>
                <c:pt idx="141">
                  <c:v>-42.636375852308973</c:v>
                </c:pt>
                <c:pt idx="142">
                  <c:v>-42.643458579469439</c:v>
                </c:pt>
                <c:pt idx="143">
                  <c:v>-42.65056349734698</c:v>
                </c:pt>
                <c:pt idx="144">
                  <c:v>-42.657731782613496</c:v>
                </c:pt>
                <c:pt idx="145">
                  <c:v>-42.665008715138946</c:v>
                </c:pt>
                <c:pt idx="146">
                  <c:v>-42.672444667495938</c:v>
                </c:pt>
                <c:pt idx="147">
                  <c:v>-42.680096278588429</c:v>
                </c:pt>
                <c:pt idx="148">
                  <c:v>-42.68802788324102</c:v>
                </c:pt>
                <c:pt idx="149">
                  <c:v>-42.69631325240637</c:v>
                </c:pt>
                <c:pt idx="150">
                  <c:v>-42.70503773370249</c:v>
                </c:pt>
                <c:pt idx="151">
                  <c:v>-42.714300911032254</c:v>
                </c:pt>
                <c:pt idx="152">
                  <c:v>-42.724219927382052</c:v>
                </c:pt>
                <c:pt idx="153">
                  <c:v>-42.734933682535022</c:v>
                </c:pt>
                <c:pt idx="154">
                  <c:v>-42.746608162274818</c:v>
                </c:pt>
                <c:pt idx="155">
                  <c:v>-42.759443281574626</c:v>
                </c:pt>
                <c:pt idx="156">
                  <c:v>-42.773681745624664</c:v>
                </c:pt>
                <c:pt idx="157">
                  <c:v>-42.789620625140522</c:v>
                </c:pt>
                <c:pt idx="158">
                  <c:v>-42.807626651708048</c:v>
                </c:pt>
                <c:pt idx="159">
                  <c:v>-42.82815664266127</c:v>
                </c:pt>
                <c:pt idx="160">
                  <c:v>-42.851785110471418</c:v>
                </c:pt>
                <c:pt idx="161">
                  <c:v>-42.879242067560689</c:v>
                </c:pt>
                <c:pt idx="162">
                  <c:v>-42.911465548077729</c:v>
                </c:pt>
                <c:pt idx="163">
                  <c:v>-42.949675715654841</c:v>
                </c:pt>
                <c:pt idx="164">
                  <c:v>-42.995481269578406</c:v>
                </c:pt>
                <c:pt idx="165">
                  <c:v>-43.051035194750376</c:v>
                </c:pt>
                <c:pt idx="166">
                  <c:v>-43.119267701555039</c:v>
                </c:pt>
                <c:pt idx="167">
                  <c:v>-43.19449154627042</c:v>
                </c:pt>
                <c:pt idx="168">
                  <c:v>-43.266442287542453</c:v>
                </c:pt>
                <c:pt idx="169">
                  <c:v>-43.347693665987194</c:v>
                </c:pt>
                <c:pt idx="170">
                  <c:v>-43.44053256484171</c:v>
                </c:pt>
                <c:pt idx="171">
                  <c:v>-43.548113200609784</c:v>
                </c:pt>
                <c:pt idx="172">
                  <c:v>-43.674931634831239</c:v>
                </c:pt>
                <c:pt idx="173">
                  <c:v>-43.827661684028648</c:v>
                </c:pt>
                <c:pt idx="174">
                  <c:v>-44.01673019347772</c:v>
                </c:pt>
                <c:pt idx="175">
                  <c:v>-44.259553917130759</c:v>
                </c:pt>
                <c:pt idx="176">
                  <c:v>-44.588006442141314</c:v>
                </c:pt>
                <c:pt idx="177">
                  <c:v>-45.062356196331891</c:v>
                </c:pt>
                <c:pt idx="178">
                  <c:v>-45.709851656934816</c:v>
                </c:pt>
                <c:pt idx="179">
                  <c:v>-46.5129248922294</c:v>
                </c:pt>
                <c:pt idx="180">
                  <c:v>-47.399999999999167</c:v>
                </c:pt>
                <c:pt idx="181">
                  <c:v>-48.287075107769546</c:v>
                </c:pt>
                <c:pt idx="182">
                  <c:v>-49.090148343064399</c:v>
                </c:pt>
                <c:pt idx="183">
                  <c:v>-49.73764380366768</c:v>
                </c:pt>
                <c:pt idx="184">
                  <c:v>-50.211993557858591</c:v>
                </c:pt>
                <c:pt idx="185">
                  <c:v>-50.540446082869153</c:v>
                </c:pt>
                <c:pt idx="186">
                  <c:v>-50.783269806522583</c:v>
                </c:pt>
                <c:pt idx="187">
                  <c:v>-50.972338315971243</c:v>
                </c:pt>
                <c:pt idx="188">
                  <c:v>-51.125068365169177</c:v>
                </c:pt>
                <c:pt idx="189">
                  <c:v>-51.251886799390462</c:v>
                </c:pt>
                <c:pt idx="190">
                  <c:v>-51.359467435158507</c:v>
                </c:pt>
                <c:pt idx="191">
                  <c:v>-51.452306334012839</c:v>
                </c:pt>
                <c:pt idx="192">
                  <c:v>-51.533557712457721</c:v>
                </c:pt>
                <c:pt idx="193">
                  <c:v>-51.605508453729627</c:v>
                </c:pt>
                <c:pt idx="194">
                  <c:v>-51.669862449451287</c:v>
                </c:pt>
                <c:pt idx="195">
                  <c:v>-51.727918741780755</c:v>
                </c:pt>
                <c:pt idx="196">
                  <c:v>-51.780687366728955</c:v>
                </c:pt>
                <c:pt idx="197">
                  <c:v>-51.828967105154561</c:v>
                </c:pt>
                <c:pt idx="198">
                  <c:v>-51.873399120259833</c:v>
                </c:pt>
                <c:pt idx="199">
                  <c:v>-51.914504839360063</c:v>
                </c:pt>
                <c:pt idx="200">
                  <c:v>-51.952713278121998</c:v>
                </c:pt>
                <c:pt idx="201">
                  <c:v>-51.98838111582635</c:v>
                </c:pt>
                <c:pt idx="202">
                  <c:v>-52.021807687565882</c:v>
                </c:pt>
                <c:pt idx="203">
                  <c:v>-52.053246352859006</c:v>
                </c:pt>
                <c:pt idx="204">
                  <c:v>-52.082913225071536</c:v>
                </c:pt>
                <c:pt idx="205">
                  <c:v>-52.110993965731154</c:v>
                </c:pt>
                <c:pt idx="206">
                  <c:v>-52.137649120699024</c:v>
                </c:pt>
                <c:pt idx="207">
                  <c:v>-52.163018362822712</c:v>
                </c:pt>
                <c:pt idx="208">
                  <c:v>-52.187223892597856</c:v>
                </c:pt>
                <c:pt idx="209">
                  <c:v>-52.210373188933758</c:v>
                </c:pt>
                <c:pt idx="210">
                  <c:v>-52.23256124884734</c:v>
                </c:pt>
                <c:pt idx="211">
                  <c:v>-52.253872431200023</c:v>
                </c:pt>
                <c:pt idx="212">
                  <c:v>-52.27438197997661</c:v>
                </c:pt>
                <c:pt idx="213">
                  <c:v>-52.294157288472405</c:v>
                </c:pt>
                <c:pt idx="214">
                  <c:v>-52.313258966269309</c:v>
                </c:pt>
                <c:pt idx="215">
                  <c:v>-52.331741727965451</c:v>
                </c:pt>
                <c:pt idx="216">
                  <c:v>-52.349655156116683</c:v>
                </c:pt>
                <c:pt idx="217">
                  <c:v>-52.367044343814186</c:v>
                </c:pt>
                <c:pt idx="218">
                  <c:v>-52.38395044909312</c:v>
                </c:pt>
                <c:pt idx="219">
                  <c:v>-52.400411168028441</c:v>
                </c:pt>
                <c:pt idx="220">
                  <c:v>-52.416461146822463</c:v>
                </c:pt>
                <c:pt idx="221">
                  <c:v>-52.432132338106669</c:v>
                </c:pt>
                <c:pt idx="222">
                  <c:v>-52.447454313359316</c:v>
                </c:pt>
                <c:pt idx="223">
                  <c:v>-52.462454535268968</c:v>
                </c:pt>
                <c:pt idx="224">
                  <c:v>-52.477158596665973</c:v>
                </c:pt>
                <c:pt idx="225">
                  <c:v>-52.491590436685726</c:v>
                </c:pt>
                <c:pt idx="226">
                  <c:v>-52.505772529070072</c:v>
                </c:pt>
                <c:pt idx="227">
                  <c:v>-52.519726050748787</c:v>
                </c:pt>
                <c:pt idx="228">
                  <c:v>-52.533471037479543</c:v>
                </c:pt>
                <c:pt idx="229">
                  <c:v>-52.547026521143415</c:v>
                </c:pt>
                <c:pt idx="230">
                  <c:v>-52.560410655903446</c:v>
                </c:pt>
                <c:pt idx="231">
                  <c:v>-52.573640838081765</c:v>
                </c:pt>
                <c:pt idx="232">
                  <c:v>-52.58673381280002</c:v>
                </c:pt>
                <c:pt idx="233">
                  <c:v>-52.599705775185228</c:v>
                </c:pt>
                <c:pt idx="234">
                  <c:v>-52.612572471152681</c:v>
                </c:pt>
                <c:pt idx="235">
                  <c:v>-52.625349286209058</c:v>
                </c:pt>
                <c:pt idx="236">
                  <c:v>-52.638051340663878</c:v>
                </c:pt>
                <c:pt idx="237">
                  <c:v>-52.650693576861897</c:v>
                </c:pt>
                <c:pt idx="238">
                  <c:v>-52.663290850410874</c:v>
                </c:pt>
                <c:pt idx="239">
                  <c:v>-52.675858023582222</c:v>
                </c:pt>
                <c:pt idx="240">
                  <c:v>-52.688410057656803</c:v>
                </c:pt>
                <c:pt idx="241">
                  <c:v>-52.700962117141145</c:v>
                </c:pt>
                <c:pt idx="242">
                  <c:v>-52.713529677043994</c:v>
                </c:pt>
                <c:pt idx="243">
                  <c:v>-52.726128637492423</c:v>
                </c:pt>
                <c:pt idx="244">
                  <c:v>-52.738775457053357</c:v>
                </c:pt>
                <c:pt idx="245">
                  <c:v>-52.751487295484203</c:v>
                </c:pt>
                <c:pt idx="246">
                  <c:v>-52.764282181136664</c:v>
                </c:pt>
                <c:pt idx="247">
                  <c:v>-52.777179198629199</c:v>
                </c:pt>
                <c:pt idx="248">
                  <c:v>-52.790198714466371</c:v>
                </c:pt>
                <c:pt idx="249">
                  <c:v>-52.803362637988855</c:v>
                </c:pt>
                <c:pt idx="250">
                  <c:v>-52.816694733529559</c:v>
                </c:pt>
                <c:pt idx="251">
                  <c:v>-52.830221006392641</c:v>
                </c:pt>
                <c:pt idx="252">
                  <c:v>-52.843970167453691</c:v>
                </c:pt>
                <c:pt idx="253">
                  <c:v>-52.857974214223432</c:v>
                </c:pt>
                <c:pt idx="254">
                  <c:v>-52.872269164259571</c:v>
                </c:pt>
                <c:pt idx="255">
                  <c:v>-52.886895994466364</c:v>
                </c:pt>
                <c:pt idx="256">
                  <c:v>-52.901901860076869</c:v>
                </c:pt>
                <c:pt idx="257">
                  <c:v>-52.917341710377954</c:v>
                </c:pt>
                <c:pt idx="258">
                  <c:v>-52.933280472544055</c:v>
                </c:pt>
                <c:pt idx="259">
                  <c:v>-52.949796063821296</c:v>
                </c:pt>
                <c:pt idx="260">
                  <c:v>-52.966983673847949</c:v>
                </c:pt>
                <c:pt idx="261">
                  <c:v>-52.98496202134519</c:v>
                </c:pt>
                <c:pt idx="262">
                  <c:v>-53.003882838888288</c:v>
                </c:pt>
                <c:pt idx="263">
                  <c:v>-53.023945919907575</c:v>
                </c:pt>
                <c:pt idx="264">
                  <c:v>-53.045424283761719</c:v>
                </c:pt>
                <c:pt idx="265">
                  <c:v>-53.068709330991013</c:v>
                </c:pt>
                <c:pt idx="266">
                  <c:v>-53.094399700595318</c:v>
                </c:pt>
                <c:pt idx="267">
                  <c:v>-53.123500329466978</c:v>
                </c:pt>
                <c:pt idx="268">
                  <c:v>-53.15796646601882</c:v>
                </c:pt>
                <c:pt idx="269">
                  <c:v>-53.202837992146897</c:v>
                </c:pt>
                <c:pt idx="270">
                  <c:v>-53.251418230614831</c:v>
                </c:pt>
                <c:pt idx="271">
                  <c:v>-53.202837991872407</c:v>
                </c:pt>
                <c:pt idx="272">
                  <c:v>-53.157966465277667</c:v>
                </c:pt>
                <c:pt idx="273">
                  <c:v>-53.123500329721374</c:v>
                </c:pt>
                <c:pt idx="274">
                  <c:v>-53.094399700454638</c:v>
                </c:pt>
                <c:pt idx="275">
                  <c:v>-53.068709330428227</c:v>
                </c:pt>
                <c:pt idx="276">
                  <c:v>-53.04542428374117</c:v>
                </c:pt>
                <c:pt idx="277">
                  <c:v>-53.023945920354471</c:v>
                </c:pt>
                <c:pt idx="278">
                  <c:v>-53.003882838569879</c:v>
                </c:pt>
                <c:pt idx="279">
                  <c:v>-52.984962021438221</c:v>
                </c:pt>
                <c:pt idx="280">
                  <c:v>-52.966983674503503</c:v>
                </c:pt>
                <c:pt idx="281">
                  <c:v>-52.949796064289401</c:v>
                </c:pt>
                <c:pt idx="282">
                  <c:v>-52.933280472595598</c:v>
                </c:pt>
                <c:pt idx="283">
                  <c:v>-52.917341710798397</c:v>
                </c:pt>
                <c:pt idx="284">
                  <c:v>-52.901901859836109</c:v>
                </c:pt>
                <c:pt idx="285">
                  <c:v>-52.886895994526412</c:v>
                </c:pt>
                <c:pt idx="286">
                  <c:v>-52.872269163724106</c:v>
                </c:pt>
                <c:pt idx="287">
                  <c:v>-52.857974214223432</c:v>
                </c:pt>
                <c:pt idx="288">
                  <c:v>-52.843970167453769</c:v>
                </c:pt>
                <c:pt idx="289">
                  <c:v>-52.830221006392691</c:v>
                </c:pt>
                <c:pt idx="290">
                  <c:v>-52.816694733529722</c:v>
                </c:pt>
                <c:pt idx="291">
                  <c:v>-52.803362637988904</c:v>
                </c:pt>
                <c:pt idx="292">
                  <c:v>-52.790198714466428</c:v>
                </c:pt>
                <c:pt idx="293">
                  <c:v>-52.777179198629312</c:v>
                </c:pt>
                <c:pt idx="294">
                  <c:v>-52.76428218113692</c:v>
                </c:pt>
                <c:pt idx="295">
                  <c:v>-52.751487295483741</c:v>
                </c:pt>
                <c:pt idx="296">
                  <c:v>-52.738775457052959</c:v>
                </c:pt>
                <c:pt idx="297">
                  <c:v>-52.726128637492259</c:v>
                </c:pt>
                <c:pt idx="298">
                  <c:v>-52.713529677043994</c:v>
                </c:pt>
                <c:pt idx="299">
                  <c:v>-52.700962117140932</c:v>
                </c:pt>
                <c:pt idx="300">
                  <c:v>-52.688410057656199</c:v>
                </c:pt>
                <c:pt idx="301">
                  <c:v>-52.675858023582094</c:v>
                </c:pt>
                <c:pt idx="302">
                  <c:v>-52.663290850410938</c:v>
                </c:pt>
                <c:pt idx="303">
                  <c:v>-52.650693576861855</c:v>
                </c:pt>
                <c:pt idx="304">
                  <c:v>-52.638051340663864</c:v>
                </c:pt>
                <c:pt idx="305">
                  <c:v>-52.625349286208802</c:v>
                </c:pt>
                <c:pt idx="306">
                  <c:v>-52.612572471152419</c:v>
                </c:pt>
                <c:pt idx="307">
                  <c:v>-52.599705775184816</c:v>
                </c:pt>
                <c:pt idx="308">
                  <c:v>-52.586733812800119</c:v>
                </c:pt>
                <c:pt idx="309">
                  <c:v>-52.573640838081872</c:v>
                </c:pt>
                <c:pt idx="310">
                  <c:v>-52.560410655903276</c:v>
                </c:pt>
                <c:pt idx="311">
                  <c:v>-52.547026521143252</c:v>
                </c:pt>
                <c:pt idx="312">
                  <c:v>-52.533471037479416</c:v>
                </c:pt>
                <c:pt idx="313">
                  <c:v>-52.519726050748602</c:v>
                </c:pt>
                <c:pt idx="314">
                  <c:v>-52.505772529070143</c:v>
                </c:pt>
                <c:pt idx="315">
                  <c:v>-52.491590436685684</c:v>
                </c:pt>
                <c:pt idx="316">
                  <c:v>-52.477158596665845</c:v>
                </c:pt>
                <c:pt idx="317">
                  <c:v>-52.462454535268918</c:v>
                </c:pt>
                <c:pt idx="318">
                  <c:v>-52.447454313359145</c:v>
                </c:pt>
                <c:pt idx="319">
                  <c:v>-52.432132338106115</c:v>
                </c:pt>
                <c:pt idx="320">
                  <c:v>-52.416461146822179</c:v>
                </c:pt>
                <c:pt idx="321">
                  <c:v>-52.40041116802837</c:v>
                </c:pt>
                <c:pt idx="322">
                  <c:v>-52.383950449092666</c:v>
                </c:pt>
                <c:pt idx="323">
                  <c:v>-52.367044343813944</c:v>
                </c:pt>
                <c:pt idx="324">
                  <c:v>-52.349655156116441</c:v>
                </c:pt>
                <c:pt idx="325">
                  <c:v>-52.331741727965053</c:v>
                </c:pt>
                <c:pt idx="326">
                  <c:v>-52.313258966269366</c:v>
                </c:pt>
                <c:pt idx="327">
                  <c:v>-52.294157288472206</c:v>
                </c:pt>
                <c:pt idx="328">
                  <c:v>-52.274381979976397</c:v>
                </c:pt>
                <c:pt idx="329">
                  <c:v>-52.253872431199888</c:v>
                </c:pt>
                <c:pt idx="330">
                  <c:v>-52.232561248847027</c:v>
                </c:pt>
                <c:pt idx="331">
                  <c:v>-52.210373188933417</c:v>
                </c:pt>
                <c:pt idx="332">
                  <c:v>-52.187223892597743</c:v>
                </c:pt>
                <c:pt idx="333">
                  <c:v>-52.163018362822449</c:v>
                </c:pt>
                <c:pt idx="334">
                  <c:v>-52.13764912069874</c:v>
                </c:pt>
                <c:pt idx="335">
                  <c:v>-52.11099396573119</c:v>
                </c:pt>
                <c:pt idx="336">
                  <c:v>-52.082913225071195</c:v>
                </c:pt>
                <c:pt idx="337">
                  <c:v>-52.053246352858821</c:v>
                </c:pt>
                <c:pt idx="338">
                  <c:v>-52.02180768756557</c:v>
                </c:pt>
                <c:pt idx="339">
                  <c:v>-51.988381115826002</c:v>
                </c:pt>
                <c:pt idx="340">
                  <c:v>-51.952713278121493</c:v>
                </c:pt>
                <c:pt idx="341">
                  <c:v>-51.914504839359637</c:v>
                </c:pt>
                <c:pt idx="342">
                  <c:v>-51.873399120259521</c:v>
                </c:pt>
                <c:pt idx="343">
                  <c:v>-51.828967105154263</c:v>
                </c:pt>
                <c:pt idx="344">
                  <c:v>-51.780687366728515</c:v>
                </c:pt>
                <c:pt idx="345">
                  <c:v>-51.727918741780343</c:v>
                </c:pt>
                <c:pt idx="346">
                  <c:v>-51.669862449450775</c:v>
                </c:pt>
                <c:pt idx="347">
                  <c:v>-51.605508453729229</c:v>
                </c:pt>
                <c:pt idx="348">
                  <c:v>-51.533557712457238</c:v>
                </c:pt>
                <c:pt idx="349">
                  <c:v>-51.45230633401232</c:v>
                </c:pt>
                <c:pt idx="350">
                  <c:v>-51.35946743515823</c:v>
                </c:pt>
                <c:pt idx="351">
                  <c:v>-51.251886799389503</c:v>
                </c:pt>
                <c:pt idx="352">
                  <c:v>-51.125068365168829</c:v>
                </c:pt>
                <c:pt idx="353">
                  <c:v>-50.972338315971058</c:v>
                </c:pt>
                <c:pt idx="354">
                  <c:v>-50.783269806522284</c:v>
                </c:pt>
                <c:pt idx="355">
                  <c:v>-50.540446082869153</c:v>
                </c:pt>
                <c:pt idx="356">
                  <c:v>-50.21199355785896</c:v>
                </c:pt>
                <c:pt idx="357">
                  <c:v>-49.737643803668973</c:v>
                </c:pt>
                <c:pt idx="358">
                  <c:v>-49.090148343066666</c:v>
                </c:pt>
                <c:pt idx="359">
                  <c:v>-48.28707510777182</c:v>
                </c:pt>
                <c:pt idx="360">
                  <c:v>-47.400000000003089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AC4-495F-A8F0-947E7B0311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alphavstan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L_Section_Capacity!$BF$2:$BF$362</c:f>
              <c:numCache>
                <c:formatCode>0.000</c:formatCode>
                <c:ptCount val="361"/>
                <c:pt idx="0">
                  <c:v>5.9844176250876764</c:v>
                </c:pt>
                <c:pt idx="1">
                  <c:v>5.9896665673971956</c:v>
                </c:pt>
                <c:pt idx="2">
                  <c:v>5.9944099538729434</c:v>
                </c:pt>
                <c:pt idx="3">
                  <c:v>5.9982293571062657</c:v>
                </c:pt>
                <c:pt idx="4">
                  <c:v>6.0010213964382642</c:v>
                </c:pt>
                <c:pt idx="5">
                  <c:v>6.0029480716710095</c:v>
                </c:pt>
                <c:pt idx="6">
                  <c:v>6.0043668597528255</c:v>
                </c:pt>
                <c:pt idx="7">
                  <c:v>6.0054669179623108</c:v>
                </c:pt>
                <c:pt idx="8">
                  <c:v>6.0063516370568122</c:v>
                </c:pt>
                <c:pt idx="9">
                  <c:v>6.0070829125247975</c:v>
                </c:pt>
                <c:pt idx="10">
                  <c:v>6.0077003522231776</c:v>
                </c:pt>
                <c:pt idx="11">
                  <c:v>6.0082306292254968</c:v>
                </c:pt>
                <c:pt idx="12">
                  <c:v>6.0086924465491078</c:v>
                </c:pt>
                <c:pt idx="13">
                  <c:v>6.0090993560145725</c:v>
                </c:pt>
                <c:pt idx="14">
                  <c:v>6.0094614475328978</c:v>
                </c:pt>
                <c:pt idx="15">
                  <c:v>6.0097864074739595</c:v>
                </c:pt>
                <c:pt idx="16">
                  <c:v>6.0100802068646644</c:v>
                </c:pt>
                <c:pt idx="17">
                  <c:v>6.0103475632075236</c:v>
                </c:pt>
                <c:pt idx="18">
                  <c:v>6.0105922590529772</c:v>
                </c:pt>
                <c:pt idx="19">
                  <c:v>6.010817366915191</c:v>
                </c:pt>
                <c:pt idx="20">
                  <c:v>6.0110254114737849</c:v>
                </c:pt>
                <c:pt idx="21">
                  <c:v>6.0112184887083107</c:v>
                </c:pt>
                <c:pt idx="22">
                  <c:v>6.0113983548251788</c:v>
                </c:pt>
                <c:pt idx="23">
                  <c:v>6.011566493682067</c:v>
                </c:pt>
                <c:pt idx="24">
                  <c:v>6.0117241685136849</c:v>
                </c:pt>
                <c:pt idx="25">
                  <c:v>6.0118724621983111</c:v>
                </c:pt>
                <c:pt idx="26">
                  <c:v>6.0120123088339188</c:v>
                </c:pt>
                <c:pt idx="27">
                  <c:v>6.0121445188449618</c:v>
                </c:pt>
                <c:pt idx="28">
                  <c:v>6.0122697990850718</c:v>
                </c:pt>
                <c:pt idx="29">
                  <c:v>6.01238876908464</c:v>
                </c:pt>
                <c:pt idx="30">
                  <c:v>6.0125019742518653</c:v>
                </c:pt>
                <c:pt idx="31">
                  <c:v>6.01260989674374</c:v>
                </c:pt>
                <c:pt idx="32">
                  <c:v>6.0127129644247672</c:v>
                </c:pt>
                <c:pt idx="33">
                  <c:v>6.012811558269286</c:v>
                </c:pt>
                <c:pt idx="34">
                  <c:v>6.0129060186282368</c:v>
                </c:pt>
                <c:pt idx="35">
                  <c:v>6.0129966503876391</c:v>
                </c:pt>
                <c:pt idx="36">
                  <c:v>6.0130837274231261</c:v>
                </c:pt>
                <c:pt idx="37">
                  <c:v>6.0131674963011426</c:v>
                </c:pt>
                <c:pt idx="38">
                  <c:v>6.0132481794708674</c:v>
                </c:pt>
                <c:pt idx="39">
                  <c:v>6.0133259779490968</c:v>
                </c:pt>
                <c:pt idx="40">
                  <c:v>6.0134010736485619</c:v>
                </c:pt>
                <c:pt idx="41">
                  <c:v>6.0134736313576314</c:v>
                </c:pt>
                <c:pt idx="42">
                  <c:v>6.0135438004538111</c:v>
                </c:pt>
                <c:pt idx="43">
                  <c:v>6.0136117163586311</c:v>
                </c:pt>
                <c:pt idx="44">
                  <c:v>6.0136775017741559</c:v>
                </c:pt>
                <c:pt idx="45">
                  <c:v>6.013741267784404</c:v>
                </c:pt>
                <c:pt idx="46">
                  <c:v>6.0138031147515401</c:v>
                </c:pt>
                <c:pt idx="47">
                  <c:v>6.0138631330703864</c:v>
                </c:pt>
                <c:pt idx="48">
                  <c:v>6.0139214038317537</c:v>
                </c:pt>
                <c:pt idx="49">
                  <c:v>6.0139779993265021</c:v>
                </c:pt>
                <c:pt idx="50">
                  <c:v>6.0140329834469011</c:v>
                </c:pt>
                <c:pt idx="51">
                  <c:v>6.0140864120179698</c:v>
                </c:pt>
                <c:pt idx="52">
                  <c:v>6.0141383329759837</c:v>
                </c:pt>
                <c:pt idx="53">
                  <c:v>6.0141887864547536</c:v>
                </c:pt>
                <c:pt idx="54">
                  <c:v>6.014237804810441</c:v>
                </c:pt>
                <c:pt idx="55">
                  <c:v>6.0142854124535763</c:v>
                </c:pt>
                <c:pt idx="56">
                  <c:v>6.0143316256437753</c:v>
                </c:pt>
                <c:pt idx="57">
                  <c:v>6.0143764520817173</c:v>
                </c:pt>
                <c:pt idx="58">
                  <c:v>6.0144198903826318</c:v>
                </c:pt>
                <c:pt idx="59">
                  <c:v>6.0144619293755426</c:v>
                </c:pt>
                <c:pt idx="60">
                  <c:v>6.0145025471510758</c:v>
                </c:pt>
                <c:pt idx="61">
                  <c:v>6.0145417099238996</c:v>
                </c:pt>
                <c:pt idx="62">
                  <c:v>6.0145793705532249</c:v>
                </c:pt>
                <c:pt idx="63">
                  <c:v>6.0146154666716605</c:v>
                </c:pt>
                <c:pt idx="64">
                  <c:v>6.014649918413526</c:v>
                </c:pt>
                <c:pt idx="65">
                  <c:v>6.0146826255044861</c:v>
                </c:pt>
                <c:pt idx="66">
                  <c:v>6.0147134636607626</c:v>
                </c:pt>
                <c:pt idx="67">
                  <c:v>6.01474227999846</c:v>
                </c:pt>
                <c:pt idx="68">
                  <c:v>6.0147688872752578</c:v>
                </c:pt>
                <c:pt idx="69">
                  <c:v>6.0147930564755381</c:v>
                </c:pt>
                <c:pt idx="70">
                  <c:v>6.0148145072535879</c:v>
                </c:pt>
                <c:pt idx="71">
                  <c:v>6.0148328955653172</c:v>
                </c:pt>
                <c:pt idx="72">
                  <c:v>6.0148477972942302</c:v>
                </c:pt>
                <c:pt idx="73">
                  <c:v>6.0148586864486431</c:v>
                </c:pt>
                <c:pt idx="74">
                  <c:v>6.014864905672165</c:v>
                </c:pt>
                <c:pt idx="75">
                  <c:v>6.0148656257032087</c:v>
                </c:pt>
                <c:pt idx="76">
                  <c:v>6.0148597885805195</c:v>
                </c:pt>
                <c:pt idx="77">
                  <c:v>6.0148460264652535</c:v>
                </c:pt>
                <c:pt idx="78">
                  <c:v>6.0148225428166713</c:v>
                </c:pt>
                <c:pt idx="79">
                  <c:v>6.0147869335847925</c:v>
                </c:pt>
                <c:pt idx="80">
                  <c:v>6.0147359096341901</c:v>
                </c:pt>
                <c:pt idx="81">
                  <c:v>6.0146648492169454</c:v>
                </c:pt>
                <c:pt idx="82">
                  <c:v>6.0145670435174772</c:v>
                </c:pt>
                <c:pt idx="83">
                  <c:v>6.0144323538418547</c:v>
                </c:pt>
                <c:pt idx="84">
                  <c:v>6.0142446531520122</c:v>
                </c:pt>
                <c:pt idx="85">
                  <c:v>6.0139765080689003</c:v>
                </c:pt>
                <c:pt idx="86">
                  <c:v>6.0135767553241335</c:v>
                </c:pt>
                <c:pt idx="87">
                  <c:v>6.0129362417223255</c:v>
                </c:pt>
                <c:pt idx="88">
                  <c:v>6.0117653030958573</c:v>
                </c:pt>
                <c:pt idx="89">
                  <c:v>6.0088737015337568</c:v>
                </c:pt>
                <c:pt idx="90">
                  <c:v>5.9989143799467879</c:v>
                </c:pt>
                <c:pt idx="91">
                  <c:v>5.9875494126261524</c:v>
                </c:pt>
                <c:pt idx="92">
                  <c:v>5.9834909731666643</c:v>
                </c:pt>
                <c:pt idx="93">
                  <c:v>5.9815608130773015</c:v>
                </c:pt>
                <c:pt idx="94">
                  <c:v>5.9803409104175431</c:v>
                </c:pt>
                <c:pt idx="95">
                  <c:v>5.9794631537189167</c:v>
                </c:pt>
                <c:pt idx="96">
                  <c:v>5.9787823598350336</c:v>
                </c:pt>
                <c:pt idx="97">
                  <c:v>5.9782278014721362</c:v>
                </c:pt>
                <c:pt idx="98">
                  <c:v>5.9777602006598274</c:v>
                </c:pt>
                <c:pt idx="99">
                  <c:v>5.9773556881857131</c:v>
                </c:pt>
                <c:pt idx="100">
                  <c:v>5.9769987676590555</c:v>
                </c:pt>
                <c:pt idx="101">
                  <c:v>5.9766788552433363</c:v>
                </c:pt>
                <c:pt idx="102">
                  <c:v>5.9763884256110504</c:v>
                </c:pt>
                <c:pt idx="103">
                  <c:v>5.9761219499782001</c:v>
                </c:pt>
                <c:pt idx="104">
                  <c:v>5.9756384278656371</c:v>
                </c:pt>
                <c:pt idx="105">
                  <c:v>5.9750736989434543</c:v>
                </c:pt>
                <c:pt idx="106">
                  <c:v>5.9745845949073848</c:v>
                </c:pt>
                <c:pt idx="107">
                  <c:v>5.9741569061694175</c:v>
                </c:pt>
                <c:pt idx="108">
                  <c:v>5.9737797215319972</c:v>
                </c:pt>
                <c:pt idx="109">
                  <c:v>5.9734445301981642</c:v>
                </c:pt>
                <c:pt idx="110">
                  <c:v>5.9731446002194506</c:v>
                </c:pt>
                <c:pt idx="111">
                  <c:v>5.9728745393664173</c:v>
                </c:pt>
                <c:pt idx="112">
                  <c:v>5.9726299791524191</c:v>
                </c:pt>
                <c:pt idx="113">
                  <c:v>5.9724073436577472</c:v>
                </c:pt>
                <c:pt idx="114">
                  <c:v>5.9722036778577925</c:v>
                </c:pt>
                <c:pt idx="115">
                  <c:v>5.972016518376809</c:v>
                </c:pt>
                <c:pt idx="116">
                  <c:v>5.9718437949538368</c:v>
                </c:pt>
                <c:pt idx="117">
                  <c:v>5.9716837544632817</c:v>
                </c:pt>
                <c:pt idx="118">
                  <c:v>5.97153490167738</c:v>
                </c:pt>
                <c:pt idx="119">
                  <c:v>5.9713959526415739</c:v>
                </c:pt>
                <c:pt idx="120">
                  <c:v>5.9712657976198438</c:v>
                </c:pt>
                <c:pt idx="121">
                  <c:v>5.971143471378582</c:v>
                </c:pt>
                <c:pt idx="122">
                  <c:v>5.9710281291754068</c:v>
                </c:pt>
                <c:pt idx="123">
                  <c:v>5.9709190271681587</c:v>
                </c:pt>
                <c:pt idx="124">
                  <c:v>5.9708155063273098</c:v>
                </c:pt>
                <c:pt idx="125">
                  <c:v>5.9707169791037424</c:v>
                </c:pt>
                <c:pt idx="126">
                  <c:v>5.9706229182916495</c:v>
                </c:pt>
                <c:pt idx="127">
                  <c:v>5.9705328476497428</c:v>
                </c:pt>
                <c:pt idx="128">
                  <c:v>5.9704463339221494</c:v>
                </c:pt>
                <c:pt idx="129">
                  <c:v>5.9703629799899876</c:v>
                </c:pt>
                <c:pt idx="130">
                  <c:v>5.970282418922471</c:v>
                </c:pt>
                <c:pt idx="131">
                  <c:v>5.9702043087454735</c:v>
                </c:pt>
                <c:pt idx="132">
                  <c:v>5.970128327773832</c:v>
                </c:pt>
                <c:pt idx="133">
                  <c:v>5.9700541703785728</c:v>
                </c:pt>
                <c:pt idx="134">
                  <c:v>5.9699815430769476</c:v>
                </c:pt>
                <c:pt idx="135">
                  <c:v>5.9699101608448331</c:v>
                </c:pt>
                <c:pt idx="136">
                  <c:v>5.9698397435578343</c:v>
                </c:pt>
                <c:pt idx="137">
                  <c:v>5.9697700124822175</c:v>
                </c:pt>
                <c:pt idx="138">
                  <c:v>5.9697006867130806</c:v>
                </c:pt>
                <c:pt idx="139">
                  <c:v>5.9696314794877248</c:v>
                </c:pt>
                <c:pt idx="140">
                  <c:v>5.9695620942659673</c:v>
                </c:pt>
                <c:pt idx="141">
                  <c:v>5.969492220469145</c:v>
                </c:pt>
                <c:pt idx="142">
                  <c:v>5.9694215287709902</c:v>
                </c:pt>
                <c:pt idx="143">
                  <c:v>5.9693496657756979</c:v>
                </c:pt>
                <c:pt idx="144">
                  <c:v>5.9692762479202113</c:v>
                </c:pt>
                <c:pt idx="145">
                  <c:v>5.9692008543957407</c:v>
                </c:pt>
                <c:pt idx="146">
                  <c:v>5.9691230188069495</c:v>
                </c:pt>
                <c:pt idx="147">
                  <c:v>5.9690422192673305</c:v>
                </c:pt>
                <c:pt idx="148">
                  <c:v>5.9689578664881831</c:v>
                </c:pt>
                <c:pt idx="149">
                  <c:v>5.9688692893458217</c:v>
                </c:pt>
                <c:pt idx="150">
                  <c:v>5.9687757172359301</c:v>
                </c:pt>
                <c:pt idx="151">
                  <c:v>5.9686762583127697</c:v>
                </c:pt>
                <c:pt idx="152">
                  <c:v>5.9685698724433172</c:v>
                </c:pt>
                <c:pt idx="153">
                  <c:v>5.9684553372972804</c:v>
                </c:pt>
                <c:pt idx="154">
                  <c:v>5.9683312054931212</c:v>
                </c:pt>
                <c:pt idx="155">
                  <c:v>5.968195749939377</c:v>
                </c:pt>
                <c:pt idx="156">
                  <c:v>5.9680468934832707</c:v>
                </c:pt>
                <c:pt idx="157">
                  <c:v>5.9678821174861962</c:v>
                </c:pt>
                <c:pt idx="158">
                  <c:v>5.9676983417490792</c:v>
                </c:pt>
                <c:pt idx="159">
                  <c:v>5.9674917650516042</c:v>
                </c:pt>
                <c:pt idx="160">
                  <c:v>5.9672576508068929</c:v>
                </c:pt>
                <c:pt idx="161">
                  <c:v>5.9669900351444971</c:v>
                </c:pt>
                <c:pt idx="162">
                  <c:v>5.9666813235970695</c:v>
                </c:pt>
                <c:pt idx="163">
                  <c:v>5.9663217250641836</c:v>
                </c:pt>
                <c:pt idx="164">
                  <c:v>5.9658984434712972</c:v>
                </c:pt>
                <c:pt idx="165">
                  <c:v>5.9653945009299392</c:v>
                </c:pt>
                <c:pt idx="166">
                  <c:v>5.9647869870934613</c:v>
                </c:pt>
                <c:pt idx="167">
                  <c:v>5.9641627543353959</c:v>
                </c:pt>
                <c:pt idx="168">
                  <c:v>5.9636304059932854</c:v>
                </c:pt>
                <c:pt idx="169">
                  <c:v>5.9630327032132966</c:v>
                </c:pt>
                <c:pt idx="170">
                  <c:v>5.9623537189570808</c:v>
                </c:pt>
                <c:pt idx="171">
                  <c:v>5.9615715275140522</c:v>
                </c:pt>
                <c:pt idx="172">
                  <c:v>5.9606549377038869</c:v>
                </c:pt>
                <c:pt idx="173">
                  <c:v>5.9595577474865147</c:v>
                </c:pt>
                <c:pt idx="174">
                  <c:v>5.9582079369273115</c:v>
                </c:pt>
                <c:pt idx="175">
                  <c:v>5.9564855092004638</c:v>
                </c:pt>
                <c:pt idx="176">
                  <c:v>5.9541715044022911</c:v>
                </c:pt>
                <c:pt idx="177">
                  <c:v>5.9508539693346334</c:v>
                </c:pt>
                <c:pt idx="178">
                  <c:v>5.9463586311859906</c:v>
                </c:pt>
                <c:pt idx="179">
                  <c:v>5.940827337483249</c:v>
                </c:pt>
                <c:pt idx="180">
                  <c:v>5.934776536955531</c:v>
                </c:pt>
                <c:pt idx="181">
                  <c:v>5.9288176641220076</c:v>
                </c:pt>
                <c:pt idx="182">
                  <c:v>5.9234804055265871</c:v>
                </c:pt>
                <c:pt idx="183">
                  <c:v>5.9192173725822128</c:v>
                </c:pt>
                <c:pt idx="184">
                  <c:v>5.9161225832677466</c:v>
                </c:pt>
                <c:pt idx="185">
                  <c:v>5.9139994950515256</c:v>
                </c:pt>
                <c:pt idx="186">
                  <c:v>5.9124437730584374</c:v>
                </c:pt>
                <c:pt idx="187">
                  <c:v>5.9112428097941478</c:v>
                </c:pt>
                <c:pt idx="188">
                  <c:v>5.9102808202263812</c:v>
                </c:pt>
                <c:pt idx="189">
                  <c:v>5.9094886929667521</c:v>
                </c:pt>
                <c:pt idx="190">
                  <c:v>5.9088223122598897</c:v>
                </c:pt>
                <c:pt idx="191">
                  <c:v>5.9082520332872539</c:v>
                </c:pt>
                <c:pt idx="192">
                  <c:v>5.907757109129844</c:v>
                </c:pt>
                <c:pt idx="193">
                  <c:v>5.9073225331798831</c:v>
                </c:pt>
                <c:pt idx="194">
                  <c:v>5.9069371503514594</c:v>
                </c:pt>
                <c:pt idx="195">
                  <c:v>5.906592475655204</c:v>
                </c:pt>
                <c:pt idx="196">
                  <c:v>5.9062819271176563</c:v>
                </c:pt>
                <c:pt idx="197">
                  <c:v>5.9060003117318933</c:v>
                </c:pt>
                <c:pt idx="198">
                  <c:v>5.9057434712804646</c:v>
                </c:pt>
                <c:pt idx="199">
                  <c:v>5.9055080325820661</c:v>
                </c:pt>
                <c:pt idx="200">
                  <c:v>5.9052912275675586</c:v>
                </c:pt>
                <c:pt idx="201">
                  <c:v>5.9050907612635726</c:v>
                </c:pt>
                <c:pt idx="202">
                  <c:v>5.9049047133507289</c:v>
                </c:pt>
                <c:pt idx="203">
                  <c:v>5.9047314635874288</c:v>
                </c:pt>
                <c:pt idx="204">
                  <c:v>5.9045696346590208</c:v>
                </c:pt>
                <c:pt idx="205">
                  <c:v>5.9044180477159038</c:v>
                </c:pt>
                <c:pt idx="206">
                  <c:v>5.9042756875510332</c:v>
                </c:pt>
                <c:pt idx="207">
                  <c:v>5.9041416749286215</c:v>
                </c:pt>
                <c:pt idx="208">
                  <c:v>5.904015244450445</c:v>
                </c:pt>
                <c:pt idx="209">
                  <c:v>5.9038957266828085</c:v>
                </c:pt>
                <c:pt idx="210">
                  <c:v>5.903782533655006</c:v>
                </c:pt>
                <c:pt idx="211">
                  <c:v>5.9036751469222031</c:v>
                </c:pt>
                <c:pt idx="212">
                  <c:v>5.9035731077433686</c:v>
                </c:pt>
                <c:pt idx="213">
                  <c:v>5.9034760089842839</c:v>
                </c:pt>
                <c:pt idx="214">
                  <c:v>5.9033834882577851</c:v>
                </c:pt>
                <c:pt idx="215">
                  <c:v>5.9032952223074382</c:v>
                </c:pt>
                <c:pt idx="216">
                  <c:v>5.9032109221486513</c:v>
                </c:pt>
                <c:pt idx="217">
                  <c:v>5.9031303290564283</c:v>
                </c:pt>
                <c:pt idx="218">
                  <c:v>5.9030532111081033</c:v>
                </c:pt>
                <c:pt idx="219">
                  <c:v>5.9029793602949541</c:v>
                </c:pt>
                <c:pt idx="220">
                  <c:v>5.9029085900240155</c:v>
                </c:pt>
                <c:pt idx="221">
                  <c:v>5.9028407330114305</c:v>
                </c:pt>
                <c:pt idx="222">
                  <c:v>5.9027756394713942</c:v>
                </c:pt>
                <c:pt idx="223">
                  <c:v>5.9027131755989801</c:v>
                </c:pt>
                <c:pt idx="224">
                  <c:v>5.9026532223022334</c:v>
                </c:pt>
                <c:pt idx="225">
                  <c:v>5.902595674083404</c:v>
                </c:pt>
                <c:pt idx="226">
                  <c:v>5.9025404381636735</c:v>
                </c:pt>
                <c:pt idx="227">
                  <c:v>5.9024874337751276</c:v>
                </c:pt>
                <c:pt idx="228">
                  <c:v>5.9024365915601269</c:v>
                </c:pt>
                <c:pt idx="229">
                  <c:v>5.9023878531685918</c:v>
                </c:pt>
                <c:pt idx="230">
                  <c:v>5.902341170985296</c:v>
                </c:pt>
                <c:pt idx="231">
                  <c:v>5.9022965079498588</c:v>
                </c:pt>
                <c:pt idx="232">
                  <c:v>5.9022538375783569</c:v>
                </c:pt>
                <c:pt idx="233">
                  <c:v>5.9022131441143495</c:v>
                </c:pt>
                <c:pt idx="234">
                  <c:v>5.9021744227753032</c:v>
                </c:pt>
                <c:pt idx="235">
                  <c:v>5.9021376802659358</c:v>
                </c:pt>
                <c:pt idx="236">
                  <c:v>5.9021029353684913</c:v>
                </c:pt>
                <c:pt idx="237">
                  <c:v>5.9020702198262596</c:v>
                </c:pt>
                <c:pt idx="238">
                  <c:v>5.9020395794229819</c:v>
                </c:pt>
                <c:pt idx="239">
                  <c:v>5.9020110753393675</c:v>
                </c:pt>
                <c:pt idx="240">
                  <c:v>5.901984785896973</c:v>
                </c:pt>
                <c:pt idx="241">
                  <c:v>5.9019608086229818</c:v>
                </c:pt>
                <c:pt idx="242">
                  <c:v>5.9019392628531211</c:v>
                </c:pt>
                <c:pt idx="243">
                  <c:v>5.9019202929610328</c:v>
                </c:pt>
                <c:pt idx="244">
                  <c:v>5.9019040722583744</c:v>
                </c:pt>
                <c:pt idx="245">
                  <c:v>5.9018908079067387</c:v>
                </c:pt>
                <c:pt idx="246">
                  <c:v>5.9018807469615187</c:v>
                </c:pt>
                <c:pt idx="247">
                  <c:v>5.9018741839950755</c:v>
                </c:pt>
                <c:pt idx="248">
                  <c:v>5.901871470618123</c:v>
                </c:pt>
                <c:pt idx="249">
                  <c:v>5.9018730276396045</c:v>
                </c:pt>
                <c:pt idx="250">
                  <c:v>5.9018793606472038</c:v>
                </c:pt>
                <c:pt idx="251">
                  <c:v>5.9018910800870392</c:v>
                </c:pt>
                <c:pt idx="252">
                  <c:v>5.9019089276708172</c:v>
                </c:pt>
                <c:pt idx="253">
                  <c:v>5.901933811366165</c:v>
                </c:pt>
                <c:pt idx="254">
                  <c:v>5.9019668524799238</c:v>
                </c:pt>
                <c:pt idx="255">
                  <c:v>5.9020094500506968</c:v>
                </c:pt>
                <c:pt idx="256">
                  <c:v>5.9020633705732353</c:v>
                </c:pt>
                <c:pt idx="257">
                  <c:v>5.9021308755567672</c:v>
                </c:pt>
                <c:pt idx="258">
                  <c:v>5.9022149071988856</c:v>
                </c:pt>
                <c:pt idx="259">
                  <c:v>5.9023193661410076</c:v>
                </c:pt>
                <c:pt idx="260">
                  <c:v>5.9024495400223449</c:v>
                </c:pt>
                <c:pt idx="261">
                  <c:v>5.9026127898575274</c:v>
                </c:pt>
                <c:pt idx="262">
                  <c:v>5.9028196988887096</c:v>
                </c:pt>
                <c:pt idx="263">
                  <c:v>5.9030861013937965</c:v>
                </c:pt>
                <c:pt idx="264">
                  <c:v>5.9034369138135929</c:v>
                </c:pt>
                <c:pt idx="265">
                  <c:v>5.9039140170306004</c:v>
                </c:pt>
                <c:pt idx="266">
                  <c:v>5.9045944439468139</c:v>
                </c:pt>
                <c:pt idx="267">
                  <c:v>5.9056397514981027</c:v>
                </c:pt>
                <c:pt idx="268">
                  <c:v>5.9074687234417915</c:v>
                </c:pt>
                <c:pt idx="269">
                  <c:v>5.9117338027666175</c:v>
                </c:pt>
                <c:pt idx="270">
                  <c:v>5.9248683712013417</c:v>
                </c:pt>
                <c:pt idx="271">
                  <c:v>5.9377021660679903</c:v>
                </c:pt>
                <c:pt idx="272">
                  <c:v>5.9418439717796474</c:v>
                </c:pt>
                <c:pt idx="273">
                  <c:v>5.9437379313992471</c:v>
                </c:pt>
                <c:pt idx="274">
                  <c:v>5.9449098801248992</c:v>
                </c:pt>
                <c:pt idx="275">
                  <c:v>5.9457410850485033</c:v>
                </c:pt>
                <c:pt idx="276">
                  <c:v>5.9463788229352623</c:v>
                </c:pt>
                <c:pt idx="277">
                  <c:v>5.9468938329183993</c:v>
                </c:pt>
                <c:pt idx="278">
                  <c:v>5.9473249836681399</c:v>
                </c:pt>
                <c:pt idx="279">
                  <c:v>5.9476956959199558</c:v>
                </c:pt>
                <c:pt idx="280">
                  <c:v>5.9480210680452732</c:v>
                </c:pt>
                <c:pt idx="281">
                  <c:v>5.9483113500663212</c:v>
                </c:pt>
                <c:pt idx="282">
                  <c:v>5.9485737916421488</c:v>
                </c:pt>
                <c:pt idx="283">
                  <c:v>5.9488136940875807</c:v>
                </c:pt>
                <c:pt idx="284">
                  <c:v>5.9490350428194398</c:v>
                </c:pt>
                <c:pt idx="285">
                  <c:v>5.9492409049548458</c:v>
                </c:pt>
                <c:pt idx="286">
                  <c:v>5.9494336888344321</c:v>
                </c:pt>
                <c:pt idx="287">
                  <c:v>5.9496153188778926</c:v>
                </c:pt>
                <c:pt idx="288">
                  <c:v>5.9497873567144115</c:v>
                </c:pt>
                <c:pt idx="289">
                  <c:v>5.9499510870807448</c:v>
                </c:pt>
                <c:pt idx="290">
                  <c:v>5.9501075800699903</c:v>
                </c:pt>
                <c:pt idx="291">
                  <c:v>5.9502577370720156</c:v>
                </c:pt>
                <c:pt idx="292">
                  <c:v>5.9504023252549461</c:v>
                </c:pt>
                <c:pt idx="293">
                  <c:v>5.9505420038349071</c:v>
                </c:pt>
                <c:pt idx="294">
                  <c:v>5.950677344384709</c:v>
                </c:pt>
                <c:pt idx="295">
                  <c:v>5.9508088467097728</c:v>
                </c:pt>
                <c:pt idx="296">
                  <c:v>5.9509369514143566</c:v>
                </c:pt>
                <c:pt idx="297">
                  <c:v>5.9510620499655049</c:v>
                </c:pt>
                <c:pt idx="298">
                  <c:v>5.9511844928187934</c:v>
                </c:pt>
                <c:pt idx="299">
                  <c:v>5.9513045960601723</c:v>
                </c:pt>
                <c:pt idx="300">
                  <c:v>5.9514226468721878</c:v>
                </c:pt>
                <c:pt idx="301">
                  <c:v>5.9515389080915693</c:v>
                </c:pt>
                <c:pt idx="302">
                  <c:v>5.9516536220259146</c:v>
                </c:pt>
                <c:pt idx="303">
                  <c:v>5.9517670136921144</c:v>
                </c:pt>
                <c:pt idx="304">
                  <c:v>5.951879293594847</c:v>
                </c:pt>
                <c:pt idx="305">
                  <c:v>5.951990660118855</c:v>
                </c:pt>
                <c:pt idx="306">
                  <c:v>5.9521013016269491</c:v>
                </c:pt>
                <c:pt idx="307">
                  <c:v>5.9522113983150122</c:v>
                </c:pt>
                <c:pt idx="308">
                  <c:v>5.9523211238678089</c:v>
                </c:pt>
                <c:pt idx="309">
                  <c:v>5.9524306469724673</c:v>
                </c:pt>
                <c:pt idx="310">
                  <c:v>5.9525401326996796</c:v>
                </c:pt>
                <c:pt idx="311">
                  <c:v>5.9526497438079584</c:v>
                </c:pt>
                <c:pt idx="312">
                  <c:v>5.9527596419771562</c:v>
                </c:pt>
                <c:pt idx="313">
                  <c:v>5.9528699890002255</c:v>
                </c:pt>
                <c:pt idx="314">
                  <c:v>5.9529809479632894</c:v>
                </c:pt>
                <c:pt idx="315">
                  <c:v>5.9530926844221161</c:v>
                </c:pt>
                <c:pt idx="316">
                  <c:v>5.9532053675995478</c:v>
                </c:pt>
                <c:pt idx="317">
                  <c:v>5.9533191716307332</c:v>
                </c:pt>
                <c:pt idx="318">
                  <c:v>5.9534342768668793</c:v>
                </c:pt>
                <c:pt idx="319">
                  <c:v>5.9535508712657439</c:v>
                </c:pt>
                <c:pt idx="320">
                  <c:v>5.9536691518995664</c:v>
                </c:pt>
                <c:pt idx="321">
                  <c:v>5.9537893265973496</c:v>
                </c:pt>
                <c:pt idx="322">
                  <c:v>5.9539116157613545</c:v>
                </c:pt>
                <c:pt idx="323">
                  <c:v>5.9540362543961658</c:v>
                </c:pt>
                <c:pt idx="324">
                  <c:v>5.9541634943911159</c:v>
                </c:pt>
                <c:pt idx="325">
                  <c:v>5.9542936071127919</c:v>
                </c:pt>
                <c:pt idx="326">
                  <c:v>5.9544268863660239</c:v>
                </c:pt>
                <c:pt idx="327">
                  <c:v>5.9545636518086837</c:v>
                </c:pt>
                <c:pt idx="328">
                  <c:v>5.9547042529062546</c:v>
                </c:pt>
                <c:pt idx="329">
                  <c:v>5.954849073555244</c:v>
                </c:pt>
                <c:pt idx="330">
                  <c:v>5.954998537503597</c:v>
                </c:pt>
                <c:pt idx="331">
                  <c:v>5.9551531147702708</c:v>
                </c:pt>
                <c:pt idx="332">
                  <c:v>5.9553133292770459</c:v>
                </c:pt>
                <c:pt idx="333">
                  <c:v>5.955479767996998</c:v>
                </c:pt>
                <c:pt idx="334">
                  <c:v>5.9556530919939608</c:v>
                </c:pt>
                <c:pt idx="335">
                  <c:v>5.9558340498369127</c:v>
                </c:pt>
                <c:pt idx="336">
                  <c:v>5.9560234940338272</c:v>
                </c:pt>
                <c:pt idx="337">
                  <c:v>5.9562224013273166</c:v>
                </c:pt>
                <c:pt idx="338">
                  <c:v>5.9564318979823971</c:v>
                </c:pt>
                <c:pt idx="339">
                  <c:v>5.9566532915919668</c:v>
                </c:pt>
                <c:pt idx="340">
                  <c:v>5.9568881114983521</c:v>
                </c:pt>
                <c:pt idx="341">
                  <c:v>5.9571381607350258</c:v>
                </c:pt>
                <c:pt idx="342">
                  <c:v>5.957405583597752</c:v>
                </c:pt>
                <c:pt idx="343">
                  <c:v>5.9576929547339343</c:v>
                </c:pt>
                <c:pt idx="344">
                  <c:v>5.9580033983638545</c:v>
                </c:pt>
                <c:pt idx="345">
                  <c:v>5.958340750484707</c:v>
                </c:pt>
                <c:pt idx="346">
                  <c:v>5.958709783683366</c:v>
                </c:pt>
                <c:pt idx="347">
                  <c:v>5.9591165253046992</c:v>
                </c:pt>
                <c:pt idx="348">
                  <c:v>5.959568718593288</c:v>
                </c:pt>
                <c:pt idx="349">
                  <c:v>5.9600765095691814</c:v>
                </c:pt>
                <c:pt idx="350">
                  <c:v>5.9606535031342291</c:v>
                </c:pt>
                <c:pt idx="351">
                  <c:v>5.9613184486634481</c:v>
                </c:pt>
                <c:pt idx="352">
                  <c:v>5.9620980529390648</c:v>
                </c:pt>
                <c:pt idx="353">
                  <c:v>5.9630319361289361</c:v>
                </c:pt>
                <c:pt idx="354">
                  <c:v>5.9641819738247941</c:v>
                </c:pt>
                <c:pt idx="355">
                  <c:v>5.9656515023933894</c:v>
                </c:pt>
                <c:pt idx="356">
                  <c:v>5.9676296567639531</c:v>
                </c:pt>
                <c:pt idx="357">
                  <c:v>5.9704741382225786</c:v>
                </c:pt>
                <c:pt idx="358">
                  <c:v>5.9743453082080302</c:v>
                </c:pt>
                <c:pt idx="359">
                  <c:v>5.9791368868288872</c:v>
                </c:pt>
                <c:pt idx="360">
                  <c:v>5.9844176250876364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5A6-4C1C-8104-DDB130C453A2}"/>
            </c:ext>
          </c:extLst>
        </c:ser>
        <c:ser>
          <c:idx val="1"/>
          <c:order val="1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8"/>
            <c:spPr>
              <a:noFill/>
              <a:ln w="19050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3.0856710768259594</c:v>
                </c:pt>
              </c:numCache>
            </c:numRef>
          </c:xVal>
          <c:yVal>
            <c:numRef>
              <c:f>L_Section_Capacity!$U$7</c:f>
              <c:numCache>
                <c:formatCode>0.000E+00</c:formatCode>
                <c:ptCount val="1"/>
                <c:pt idx="0">
                  <c:v>5.9516311429612969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5A6-4C1C-8104-DDB130C453A2}"/>
            </c:ext>
          </c:extLst>
        </c:ser>
        <c:ser>
          <c:idx val="2"/>
          <c:order val="2"/>
          <c:tx>
            <c:v>2*pi bounding box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L_Section_Capacity!$AD$37:$AD$41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L_Section_Capacity!$AE$37:$AE$41</c:f>
              <c:numCache>
                <c:formatCode>General</c:formatCode>
                <c:ptCount val="5"/>
                <c:pt idx="0">
                  <c:v>6.2831853071795862</c:v>
                </c:pt>
                <c:pt idx="1">
                  <c:v>6.2831853071795862</c:v>
                </c:pt>
                <c:pt idx="2">
                  <c:v>0</c:v>
                </c:pt>
                <c:pt idx="3">
                  <c:v>0</c:v>
                </c:pt>
                <c:pt idx="4">
                  <c:v>6.2831853071795862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35A6-4C1C-8104-DDB130C453A2}"/>
            </c:ext>
          </c:extLst>
        </c:ser>
        <c:ser>
          <c:idx val="3"/>
          <c:order val="3"/>
          <c:tx>
            <c:v>alphavtan-interior reference point</c:v>
          </c:tx>
          <c:spPr>
            <a:ln w="19050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L_Section_Capacity!$CB$15:$CB$375</c:f>
              <c:numCache>
                <c:formatCode>0.000</c:formatCode>
                <c:ptCount val="361"/>
                <c:pt idx="0">
                  <c:v>-0.29876768209191018</c:v>
                </c:pt>
                <c:pt idx="1">
                  <c:v>-0.29351873978239079</c:v>
                </c:pt>
                <c:pt idx="2">
                  <c:v>-0.28877535330664261</c:v>
                </c:pt>
                <c:pt idx="3">
                  <c:v>-0.28495595007332025</c:v>
                </c:pt>
                <c:pt idx="4">
                  <c:v>-0.28216391074132241</c:v>
                </c:pt>
                <c:pt idx="5">
                  <c:v>-0.28023723550857677</c:v>
                </c:pt>
                <c:pt idx="6">
                  <c:v>-0.27881844742676082</c:v>
                </c:pt>
                <c:pt idx="7">
                  <c:v>-0.27771838921727537</c:v>
                </c:pt>
                <c:pt idx="8">
                  <c:v>-0.27683367012277416</c:v>
                </c:pt>
                <c:pt idx="9">
                  <c:v>-0.27610239465478909</c:v>
                </c:pt>
                <c:pt idx="10">
                  <c:v>-0.2754849549564089</c:v>
                </c:pt>
                <c:pt idx="11">
                  <c:v>-0.27495467795408973</c:v>
                </c:pt>
                <c:pt idx="12">
                  <c:v>-0.27449286063047812</c:v>
                </c:pt>
                <c:pt idx="13">
                  <c:v>-0.27408595116501394</c:v>
                </c:pt>
                <c:pt idx="14">
                  <c:v>-0.27372385964668849</c:v>
                </c:pt>
                <c:pt idx="15">
                  <c:v>-0.27339889970562653</c:v>
                </c:pt>
                <c:pt idx="16">
                  <c:v>-0.27310510031492219</c:v>
                </c:pt>
                <c:pt idx="17">
                  <c:v>-0.2728377439720629</c:v>
                </c:pt>
                <c:pt idx="18">
                  <c:v>-0.27259304812660889</c:v>
                </c:pt>
                <c:pt idx="19">
                  <c:v>-0.27236794026439498</c:v>
                </c:pt>
                <c:pt idx="20">
                  <c:v>-0.27215989570580101</c:v>
                </c:pt>
                <c:pt idx="21">
                  <c:v>-0.27196681847127518</c:v>
                </c:pt>
                <c:pt idx="22">
                  <c:v>-0.2717869523544072</c:v>
                </c:pt>
                <c:pt idx="23">
                  <c:v>-0.27161881349751926</c:v>
                </c:pt>
                <c:pt idx="24">
                  <c:v>-0.27146113866590132</c:v>
                </c:pt>
                <c:pt idx="25">
                  <c:v>-0.27131284498127517</c:v>
                </c:pt>
                <c:pt idx="26">
                  <c:v>-0.27117299834566766</c:v>
                </c:pt>
                <c:pt idx="27">
                  <c:v>-0.27104078833462408</c:v>
                </c:pt>
                <c:pt idx="28">
                  <c:v>-0.27091550809451415</c:v>
                </c:pt>
                <c:pt idx="29">
                  <c:v>-0.27079653809494625</c:v>
                </c:pt>
                <c:pt idx="30">
                  <c:v>-0.2706833329277214</c:v>
                </c:pt>
                <c:pt idx="31">
                  <c:v>-0.27057541043584643</c:v>
                </c:pt>
                <c:pt idx="32">
                  <c:v>-0.27047234275481868</c:v>
                </c:pt>
                <c:pt idx="33">
                  <c:v>-0.27037374891030058</c:v>
                </c:pt>
                <c:pt idx="34">
                  <c:v>-0.27027928855134931</c:v>
                </c:pt>
                <c:pt idx="35">
                  <c:v>-0.27018865679194681</c:v>
                </c:pt>
                <c:pt idx="36">
                  <c:v>-0.27010157975645982</c:v>
                </c:pt>
                <c:pt idx="37">
                  <c:v>-0.27001781087844395</c:v>
                </c:pt>
                <c:pt idx="38">
                  <c:v>-0.26993712770871847</c:v>
                </c:pt>
                <c:pt idx="39">
                  <c:v>-0.26985932923048961</c:v>
                </c:pt>
                <c:pt idx="40">
                  <c:v>-0.26978423353102449</c:v>
                </c:pt>
                <c:pt idx="41">
                  <c:v>-0.26971167582195493</c:v>
                </c:pt>
                <c:pt idx="42">
                  <c:v>-0.26964150672577536</c:v>
                </c:pt>
                <c:pt idx="43">
                  <c:v>-0.26957359082095494</c:v>
                </c:pt>
                <c:pt idx="44">
                  <c:v>-0.26950780540543023</c:v>
                </c:pt>
                <c:pt idx="45">
                  <c:v>-0.26944403939518213</c:v>
                </c:pt>
                <c:pt idx="46">
                  <c:v>-0.26938219242804656</c:v>
                </c:pt>
                <c:pt idx="47">
                  <c:v>-0.26932217410919984</c:v>
                </c:pt>
                <c:pt idx="48">
                  <c:v>-0.26926390334783235</c:v>
                </c:pt>
                <c:pt idx="49">
                  <c:v>-0.26920730785308439</c:v>
                </c:pt>
                <c:pt idx="50">
                  <c:v>-0.26915232373268499</c:v>
                </c:pt>
                <c:pt idx="51">
                  <c:v>-0.2690988951616165</c:v>
                </c:pt>
                <c:pt idx="52">
                  <c:v>-0.26904697420360291</c:v>
                </c:pt>
                <c:pt idx="53">
                  <c:v>-0.26899652072483254</c:v>
                </c:pt>
                <c:pt idx="54">
                  <c:v>-0.26894750236914516</c:v>
                </c:pt>
                <c:pt idx="55">
                  <c:v>-0.26889989472601006</c:v>
                </c:pt>
                <c:pt idx="56">
                  <c:v>-0.26885368153581102</c:v>
                </c:pt>
                <c:pt idx="57">
                  <c:v>-0.26880885509786923</c:v>
                </c:pt>
                <c:pt idx="58">
                  <c:v>-0.26876541679695404</c:v>
                </c:pt>
                <c:pt idx="59">
                  <c:v>-0.26872337780404321</c:v>
                </c:pt>
                <c:pt idx="60">
                  <c:v>-0.26868276002851049</c:v>
                </c:pt>
                <c:pt idx="61">
                  <c:v>-0.26864359725568693</c:v>
                </c:pt>
                <c:pt idx="62">
                  <c:v>-0.26860593662636162</c:v>
                </c:pt>
                <c:pt idx="63">
                  <c:v>-0.26856984050792621</c:v>
                </c:pt>
                <c:pt idx="64">
                  <c:v>-0.26853538876605998</c:v>
                </c:pt>
                <c:pt idx="65">
                  <c:v>-0.26850268167510044</c:v>
                </c:pt>
                <c:pt idx="66">
                  <c:v>-0.26847184351882331</c:v>
                </c:pt>
                <c:pt idx="67">
                  <c:v>-0.26844302718112606</c:v>
                </c:pt>
                <c:pt idx="68">
                  <c:v>-0.26841641990432835</c:v>
                </c:pt>
                <c:pt idx="69">
                  <c:v>-0.26839225070404782</c:v>
                </c:pt>
                <c:pt idx="70">
                  <c:v>-0.26837079992599872</c:v>
                </c:pt>
                <c:pt idx="71">
                  <c:v>-0.26835241161426865</c:v>
                </c:pt>
                <c:pt idx="72">
                  <c:v>-0.26833750988535643</c:v>
                </c:pt>
                <c:pt idx="73">
                  <c:v>-0.26832662073094349</c:v>
                </c:pt>
                <c:pt idx="74">
                  <c:v>-0.26832040150742142</c:v>
                </c:pt>
                <c:pt idx="75">
                  <c:v>-0.26831968147637714</c:v>
                </c:pt>
                <c:pt idx="76">
                  <c:v>-0.26832551859906667</c:v>
                </c:pt>
                <c:pt idx="77">
                  <c:v>-0.26833928071433244</c:v>
                </c:pt>
                <c:pt idx="78">
                  <c:v>-0.26836276436291512</c:v>
                </c:pt>
                <c:pt idx="79">
                  <c:v>-0.26839837359479407</c:v>
                </c:pt>
                <c:pt idx="80">
                  <c:v>-0.26844939754539571</c:v>
                </c:pt>
                <c:pt idx="81">
                  <c:v>-0.26852045796264068</c:v>
                </c:pt>
                <c:pt idx="82">
                  <c:v>-0.26861826366210945</c:v>
                </c:pt>
                <c:pt idx="83">
                  <c:v>-0.26875295333773197</c:v>
                </c:pt>
                <c:pt idx="84">
                  <c:v>-0.26894065402757389</c:v>
                </c:pt>
                <c:pt idx="85">
                  <c:v>-0.26920879911068624</c:v>
                </c:pt>
                <c:pt idx="86">
                  <c:v>-0.2696085518554529</c:v>
                </c:pt>
                <c:pt idx="87">
                  <c:v>-0.27024906545726052</c:v>
                </c:pt>
                <c:pt idx="88">
                  <c:v>-0.27142000408372857</c:v>
                </c:pt>
                <c:pt idx="89">
                  <c:v>-0.27431160564582929</c:v>
                </c:pt>
                <c:pt idx="90">
                  <c:v>-0.28427092723279818</c:v>
                </c:pt>
                <c:pt idx="91">
                  <c:v>-0.29563589455343398</c:v>
                </c:pt>
                <c:pt idx="92">
                  <c:v>-0.29969433401292217</c:v>
                </c:pt>
                <c:pt idx="93">
                  <c:v>-0.30162449410228459</c:v>
                </c:pt>
                <c:pt idx="94">
                  <c:v>-0.30284439676204272</c:v>
                </c:pt>
                <c:pt idx="95">
                  <c:v>-0.30372215346066928</c:v>
                </c:pt>
                <c:pt idx="96">
                  <c:v>-0.30440294734455225</c:v>
                </c:pt>
                <c:pt idx="97">
                  <c:v>-0.30495750570745001</c:v>
                </c:pt>
                <c:pt idx="98">
                  <c:v>-0.30542510651975913</c:v>
                </c:pt>
                <c:pt idx="99">
                  <c:v>-0.30582961899387295</c:v>
                </c:pt>
                <c:pt idx="100">
                  <c:v>-0.30618653952053115</c:v>
                </c:pt>
                <c:pt idx="101">
                  <c:v>-0.30650645193624976</c:v>
                </c:pt>
                <c:pt idx="102">
                  <c:v>-0.30679688156853568</c:v>
                </c:pt>
                <c:pt idx="103">
                  <c:v>-0.30706335720138572</c:v>
                </c:pt>
                <c:pt idx="104">
                  <c:v>-0.30754687931394903</c:v>
                </c:pt>
                <c:pt idx="105">
                  <c:v>-0.30811160823613165</c:v>
                </c:pt>
                <c:pt idx="106">
                  <c:v>-0.3086007122722017</c:v>
                </c:pt>
                <c:pt idx="107">
                  <c:v>-0.30902840101016837</c:v>
                </c:pt>
                <c:pt idx="108">
                  <c:v>-0.30940558564758863</c:v>
                </c:pt>
                <c:pt idx="109">
                  <c:v>-0.30974077698142222</c:v>
                </c:pt>
                <c:pt idx="110">
                  <c:v>-0.31004070696013536</c:v>
                </c:pt>
                <c:pt idx="111">
                  <c:v>-0.31031076781316924</c:v>
                </c:pt>
                <c:pt idx="112">
                  <c:v>-0.31055532802716757</c:v>
                </c:pt>
                <c:pt idx="113">
                  <c:v>-0.3107779635218389</c:v>
                </c:pt>
                <c:pt idx="114">
                  <c:v>-0.31098162932179335</c:v>
                </c:pt>
                <c:pt idx="115">
                  <c:v>-0.31116878880277693</c:v>
                </c:pt>
                <c:pt idx="116">
                  <c:v>-0.31134151222574957</c:v>
                </c:pt>
                <c:pt idx="117">
                  <c:v>-0.31150155271630453</c:v>
                </c:pt>
                <c:pt idx="118">
                  <c:v>-0.31165040550220596</c:v>
                </c:pt>
                <c:pt idx="119">
                  <c:v>-0.31178935453801215</c:v>
                </c:pt>
                <c:pt idx="120">
                  <c:v>-0.31191950955974213</c:v>
                </c:pt>
                <c:pt idx="121">
                  <c:v>-0.31204183580100436</c:v>
                </c:pt>
                <c:pt idx="122">
                  <c:v>-0.31215717800417897</c:v>
                </c:pt>
                <c:pt idx="123">
                  <c:v>-0.31226628001142759</c:v>
                </c:pt>
                <c:pt idx="124">
                  <c:v>-0.31236980085227634</c:v>
                </c:pt>
                <c:pt idx="125">
                  <c:v>-0.31246832807584368</c:v>
                </c:pt>
                <c:pt idx="126">
                  <c:v>-0.31256238888793686</c:v>
                </c:pt>
                <c:pt idx="127">
                  <c:v>-0.31265245952984388</c:v>
                </c:pt>
                <c:pt idx="128">
                  <c:v>-0.31273897325743716</c:v>
                </c:pt>
                <c:pt idx="129">
                  <c:v>-0.31282232718959829</c:v>
                </c:pt>
                <c:pt idx="130">
                  <c:v>-0.31290288825711537</c:v>
                </c:pt>
                <c:pt idx="131">
                  <c:v>-0.31298099843411309</c:v>
                </c:pt>
                <c:pt idx="132">
                  <c:v>-0.31305697940575422</c:v>
                </c:pt>
                <c:pt idx="133">
                  <c:v>-0.31313113680101379</c:v>
                </c:pt>
                <c:pt idx="134">
                  <c:v>-0.31320376410263884</c:v>
                </c:pt>
                <c:pt idx="135">
                  <c:v>-0.3132751463347529</c:v>
                </c:pt>
                <c:pt idx="136">
                  <c:v>-0.31334556362175148</c:v>
                </c:pt>
                <c:pt idx="137">
                  <c:v>-0.31341529469736867</c:v>
                </c:pt>
                <c:pt idx="138">
                  <c:v>-0.31348462046650533</c:v>
                </c:pt>
                <c:pt idx="139">
                  <c:v>-0.31355382769186185</c:v>
                </c:pt>
                <c:pt idx="140">
                  <c:v>-0.31362321291361928</c:v>
                </c:pt>
                <c:pt idx="141">
                  <c:v>-0.31369308671044094</c:v>
                </c:pt>
                <c:pt idx="142">
                  <c:v>-0.31376377840859593</c:v>
                </c:pt>
                <c:pt idx="143">
                  <c:v>-0.31383564140388798</c:v>
                </c:pt>
                <c:pt idx="144">
                  <c:v>-0.31390905925937451</c:v>
                </c:pt>
                <c:pt idx="145">
                  <c:v>-0.31398445278384574</c:v>
                </c:pt>
                <c:pt idx="146">
                  <c:v>-0.31406228837263672</c:v>
                </c:pt>
                <c:pt idx="147">
                  <c:v>-0.31414308791225559</c:v>
                </c:pt>
                <c:pt idx="148">
                  <c:v>-0.31422744069140324</c:v>
                </c:pt>
                <c:pt idx="149">
                  <c:v>-0.31431601783376406</c:v>
                </c:pt>
                <c:pt idx="150">
                  <c:v>-0.3144095899436557</c:v>
                </c:pt>
                <c:pt idx="151">
                  <c:v>-0.31450904886681624</c:v>
                </c:pt>
                <c:pt idx="152">
                  <c:v>-0.31461543473626868</c:v>
                </c:pt>
                <c:pt idx="153">
                  <c:v>-0.31472996988230545</c:v>
                </c:pt>
                <c:pt idx="154">
                  <c:v>-0.31485410168646533</c:v>
                </c:pt>
                <c:pt idx="155">
                  <c:v>-0.31498955724020938</c:v>
                </c:pt>
                <c:pt idx="156">
                  <c:v>-0.31513841369631534</c:v>
                </c:pt>
                <c:pt idx="157">
                  <c:v>-0.31530318969339</c:v>
                </c:pt>
                <c:pt idx="158">
                  <c:v>-0.31548696543050747</c:v>
                </c:pt>
                <c:pt idx="159">
                  <c:v>-0.31569354212798173</c:v>
                </c:pt>
                <c:pt idx="160">
                  <c:v>-0.31592765637269343</c:v>
                </c:pt>
                <c:pt idx="161">
                  <c:v>-0.31619527203508885</c:v>
                </c:pt>
                <c:pt idx="162">
                  <c:v>-0.31650398358251663</c:v>
                </c:pt>
                <c:pt idx="163">
                  <c:v>-0.31686358211540283</c:v>
                </c:pt>
                <c:pt idx="164">
                  <c:v>-0.31728686370828879</c:v>
                </c:pt>
                <c:pt idx="165">
                  <c:v>-0.31779080624964662</c:v>
                </c:pt>
                <c:pt idx="166">
                  <c:v>-0.31839832008612495</c:v>
                </c:pt>
                <c:pt idx="167">
                  <c:v>-0.31902255284419007</c:v>
                </c:pt>
                <c:pt idx="168">
                  <c:v>-0.3195549011863012</c:v>
                </c:pt>
                <c:pt idx="169">
                  <c:v>-0.32015260396628936</c:v>
                </c:pt>
                <c:pt idx="170">
                  <c:v>-0.32083158822250563</c:v>
                </c:pt>
                <c:pt idx="171">
                  <c:v>-0.32161377966553439</c:v>
                </c:pt>
                <c:pt idx="172">
                  <c:v>-0.32253036947569896</c:v>
                </c:pt>
                <c:pt idx="173">
                  <c:v>-0.32362755969307155</c:v>
                </c:pt>
                <c:pt idx="174">
                  <c:v>-0.3249773702522748</c:v>
                </c:pt>
                <c:pt idx="175">
                  <c:v>-0.32669979797912196</c:v>
                </c:pt>
                <c:pt idx="176">
                  <c:v>-0.32901380277729525</c:v>
                </c:pt>
                <c:pt idx="177">
                  <c:v>-0.33233133784495306</c:v>
                </c:pt>
                <c:pt idx="178">
                  <c:v>-0.33682667599359567</c:v>
                </c:pt>
                <c:pt idx="179">
                  <c:v>-0.34235796969633725</c:v>
                </c:pt>
                <c:pt idx="180">
                  <c:v>-0.34840877022405553</c:v>
                </c:pt>
                <c:pt idx="181">
                  <c:v>-0.35436764305757906</c:v>
                </c:pt>
                <c:pt idx="182">
                  <c:v>-0.35970490165299912</c:v>
                </c:pt>
                <c:pt idx="183">
                  <c:v>-0.36396793459737375</c:v>
                </c:pt>
                <c:pt idx="184">
                  <c:v>-0.36706272391183947</c:v>
                </c:pt>
                <c:pt idx="185">
                  <c:v>-0.36918581212806034</c:v>
                </c:pt>
                <c:pt idx="186">
                  <c:v>-0.37074153412114885</c:v>
                </c:pt>
                <c:pt idx="187">
                  <c:v>-0.37194249738543844</c:v>
                </c:pt>
                <c:pt idx="188">
                  <c:v>-0.37290448695320533</c:v>
                </c:pt>
                <c:pt idx="189">
                  <c:v>-0.3736966142128339</c:v>
                </c:pt>
                <c:pt idx="190">
                  <c:v>-0.37436299491969655</c:v>
                </c:pt>
                <c:pt idx="191">
                  <c:v>-0.37493327389233216</c:v>
                </c:pt>
                <c:pt idx="192">
                  <c:v>-0.37542819804974215</c:v>
                </c:pt>
                <c:pt idx="193">
                  <c:v>-0.37586277399970325</c:v>
                </c:pt>
                <c:pt idx="194">
                  <c:v>-0.37624815682812651</c:v>
                </c:pt>
                <c:pt idx="195">
                  <c:v>-0.37659283152438205</c:v>
                </c:pt>
                <c:pt idx="196">
                  <c:v>-0.37690338006192964</c:v>
                </c:pt>
                <c:pt idx="197">
                  <c:v>-0.37718499544769296</c:v>
                </c:pt>
                <c:pt idx="198">
                  <c:v>-0.37744183589912178</c:v>
                </c:pt>
                <c:pt idx="199">
                  <c:v>-0.3776772745975201</c:v>
                </c:pt>
                <c:pt idx="200">
                  <c:v>-0.37789407961202792</c:v>
                </c:pt>
                <c:pt idx="201">
                  <c:v>-0.37809454591601366</c:v>
                </c:pt>
                <c:pt idx="202">
                  <c:v>-0.37828059382885704</c:v>
                </c:pt>
                <c:pt idx="203">
                  <c:v>-0.37845384359215761</c:v>
                </c:pt>
                <c:pt idx="204">
                  <c:v>-0.37861567252056516</c:v>
                </c:pt>
                <c:pt idx="205">
                  <c:v>-0.37876725946368223</c:v>
                </c:pt>
                <c:pt idx="206">
                  <c:v>-0.37890961962855296</c:v>
                </c:pt>
                <c:pt idx="207">
                  <c:v>-0.37904363225096432</c:v>
                </c:pt>
                <c:pt idx="208">
                  <c:v>-0.37917006272914117</c:v>
                </c:pt>
                <c:pt idx="209">
                  <c:v>-0.37928958049677741</c:v>
                </c:pt>
                <c:pt idx="210">
                  <c:v>-0.37940277352458029</c:v>
                </c:pt>
                <c:pt idx="211">
                  <c:v>-0.37951016025738304</c:v>
                </c:pt>
                <c:pt idx="212">
                  <c:v>-0.37961219943621777</c:v>
                </c:pt>
                <c:pt idx="213">
                  <c:v>-0.37970929819530236</c:v>
                </c:pt>
                <c:pt idx="214">
                  <c:v>-0.37980181892180098</c:v>
                </c:pt>
                <c:pt idx="215">
                  <c:v>-0.37989008487214843</c:v>
                </c:pt>
                <c:pt idx="216">
                  <c:v>-0.37997438503093489</c:v>
                </c:pt>
                <c:pt idx="217">
                  <c:v>-0.38005497812315797</c:v>
                </c:pt>
                <c:pt idx="218">
                  <c:v>-0.38013209607148335</c:v>
                </c:pt>
                <c:pt idx="219">
                  <c:v>-0.38020594688463255</c:v>
                </c:pt>
                <c:pt idx="220">
                  <c:v>-0.38027671715557104</c:v>
                </c:pt>
                <c:pt idx="221">
                  <c:v>-0.38034457416815604</c:v>
                </c:pt>
                <c:pt idx="222">
                  <c:v>-0.38040966770819229</c:v>
                </c:pt>
                <c:pt idx="223">
                  <c:v>-0.38047213158060639</c:v>
                </c:pt>
                <c:pt idx="224">
                  <c:v>-0.38053208487735246</c:v>
                </c:pt>
                <c:pt idx="225">
                  <c:v>-0.38058963309618182</c:v>
                </c:pt>
                <c:pt idx="226">
                  <c:v>-0.3806448690159131</c:v>
                </c:pt>
                <c:pt idx="227">
                  <c:v>-0.38069787340445893</c:v>
                </c:pt>
                <c:pt idx="228">
                  <c:v>-0.38074871561945911</c:v>
                </c:pt>
                <c:pt idx="229">
                  <c:v>-0.38079745401099419</c:v>
                </c:pt>
                <c:pt idx="230">
                  <c:v>-0.38084413619428986</c:v>
                </c:pt>
                <c:pt idx="231">
                  <c:v>-0.38088879922972757</c:v>
                </c:pt>
                <c:pt idx="232">
                  <c:v>-0.38093146960122909</c:v>
                </c:pt>
                <c:pt idx="233">
                  <c:v>-0.38097216306523646</c:v>
                </c:pt>
                <c:pt idx="234">
                  <c:v>-0.38101088440428338</c:v>
                </c:pt>
                <c:pt idx="235">
                  <c:v>-0.38104762691365007</c:v>
                </c:pt>
                <c:pt idx="236">
                  <c:v>-0.38108237181109528</c:v>
                </c:pt>
                <c:pt idx="237">
                  <c:v>-0.38111508735332678</c:v>
                </c:pt>
                <c:pt idx="238">
                  <c:v>-0.38114572775660444</c:v>
                </c:pt>
                <c:pt idx="239">
                  <c:v>-0.38117423184021848</c:v>
                </c:pt>
                <c:pt idx="240">
                  <c:v>-0.38120052128261372</c:v>
                </c:pt>
                <c:pt idx="241">
                  <c:v>-0.38122449855660412</c:v>
                </c:pt>
                <c:pt idx="242">
                  <c:v>-0.38124604432646486</c:v>
                </c:pt>
                <c:pt idx="243">
                  <c:v>-0.38126501421855374</c:v>
                </c:pt>
                <c:pt idx="244">
                  <c:v>-0.38128123492121169</c:v>
                </c:pt>
                <c:pt idx="245">
                  <c:v>-0.38129449927284775</c:v>
                </c:pt>
                <c:pt idx="246">
                  <c:v>-0.38130456021806763</c:v>
                </c:pt>
                <c:pt idx="247">
                  <c:v>-0.38131112318451071</c:v>
                </c:pt>
                <c:pt idx="248">
                  <c:v>-0.38131383656146289</c:v>
                </c:pt>
                <c:pt idx="249">
                  <c:v>-0.38131227953998187</c:v>
                </c:pt>
                <c:pt idx="250">
                  <c:v>-0.38130594653238248</c:v>
                </c:pt>
                <c:pt idx="251">
                  <c:v>-0.38129422709254718</c:v>
                </c:pt>
                <c:pt idx="252">
                  <c:v>-0.38127637950876941</c:v>
                </c:pt>
                <c:pt idx="253">
                  <c:v>-0.38125149581342116</c:v>
                </c:pt>
                <c:pt idx="254">
                  <c:v>-0.38121845469966209</c:v>
                </c:pt>
                <c:pt idx="255">
                  <c:v>-0.38117585712888941</c:v>
                </c:pt>
                <c:pt idx="256">
                  <c:v>-0.38112193660635074</c:v>
                </c:pt>
                <c:pt idx="257">
                  <c:v>-0.38105443162281927</c:v>
                </c:pt>
                <c:pt idx="258">
                  <c:v>-0.38097039998070015</c:v>
                </c:pt>
                <c:pt idx="259">
                  <c:v>-0.38086594103857857</c:v>
                </c:pt>
                <c:pt idx="260">
                  <c:v>-0.38073576715724144</c:v>
                </c:pt>
                <c:pt idx="261">
                  <c:v>-0.38057251732205871</c:v>
                </c:pt>
                <c:pt idx="262">
                  <c:v>-0.38036560829087668</c:v>
                </c:pt>
                <c:pt idx="263">
                  <c:v>-0.38009920578578971</c:v>
                </c:pt>
                <c:pt idx="264">
                  <c:v>-0.3797483933659932</c:v>
                </c:pt>
                <c:pt idx="265">
                  <c:v>-0.37927129014898558</c:v>
                </c:pt>
                <c:pt idx="266">
                  <c:v>-0.37859086323277247</c:v>
                </c:pt>
                <c:pt idx="267">
                  <c:v>-0.37754555568148385</c:v>
                </c:pt>
                <c:pt idx="268">
                  <c:v>-0.37571658373779437</c:v>
                </c:pt>
                <c:pt idx="269">
                  <c:v>-0.3714515044129687</c:v>
                </c:pt>
                <c:pt idx="270">
                  <c:v>-0.35831693597824482</c:v>
                </c:pt>
                <c:pt idx="271">
                  <c:v>-0.34548314111159556</c:v>
                </c:pt>
                <c:pt idx="272">
                  <c:v>-0.34134133539993855</c:v>
                </c:pt>
                <c:pt idx="273">
                  <c:v>-0.33944737578033934</c:v>
                </c:pt>
                <c:pt idx="274">
                  <c:v>-0.33827542705468677</c:v>
                </c:pt>
                <c:pt idx="275">
                  <c:v>-0.33744422213108299</c:v>
                </c:pt>
                <c:pt idx="276">
                  <c:v>-0.33680648424432419</c:v>
                </c:pt>
                <c:pt idx="277">
                  <c:v>-0.33629147426118705</c:v>
                </c:pt>
                <c:pt idx="278">
                  <c:v>-0.3358603235114464</c:v>
                </c:pt>
                <c:pt idx="279">
                  <c:v>-0.33548961125963017</c:v>
                </c:pt>
                <c:pt idx="280">
                  <c:v>-0.33516423913431331</c:v>
                </c:pt>
                <c:pt idx="281">
                  <c:v>-0.33487395711326512</c:v>
                </c:pt>
                <c:pt idx="282">
                  <c:v>-0.3346115155374374</c:v>
                </c:pt>
                <c:pt idx="283">
                  <c:v>-0.3343716130920058</c:v>
                </c:pt>
                <c:pt idx="284">
                  <c:v>-0.33415026436014617</c:v>
                </c:pt>
                <c:pt idx="285">
                  <c:v>-0.33394440222474009</c:v>
                </c:pt>
                <c:pt idx="286">
                  <c:v>-0.33375161834515432</c:v>
                </c:pt>
                <c:pt idx="287">
                  <c:v>-0.33356998830169382</c:v>
                </c:pt>
                <c:pt idx="288">
                  <c:v>-0.33339795046517451</c:v>
                </c:pt>
                <c:pt idx="289">
                  <c:v>-0.33323422009884157</c:v>
                </c:pt>
                <c:pt idx="290">
                  <c:v>-0.33307772710959604</c:v>
                </c:pt>
                <c:pt idx="291">
                  <c:v>-0.33292757010757085</c:v>
                </c:pt>
                <c:pt idx="292">
                  <c:v>-0.33278298192463979</c:v>
                </c:pt>
                <c:pt idx="293">
                  <c:v>-0.33264330334467929</c:v>
                </c:pt>
                <c:pt idx="294">
                  <c:v>-0.33250796279487732</c:v>
                </c:pt>
                <c:pt idx="295">
                  <c:v>-0.33237646046981301</c:v>
                </c:pt>
                <c:pt idx="296">
                  <c:v>-0.33224835576522976</c:v>
                </c:pt>
                <c:pt idx="297">
                  <c:v>-0.33212325721408159</c:v>
                </c:pt>
                <c:pt idx="298">
                  <c:v>-0.3320008143607926</c:v>
                </c:pt>
                <c:pt idx="299">
                  <c:v>-0.33188071111941386</c:v>
                </c:pt>
                <c:pt idx="300">
                  <c:v>-0.33176266030739859</c:v>
                </c:pt>
                <c:pt idx="301">
                  <c:v>-0.33164639908801663</c:v>
                </c:pt>
                <c:pt idx="302">
                  <c:v>-0.33153168515367126</c:v>
                </c:pt>
                <c:pt idx="303">
                  <c:v>-0.3314182934874717</c:v>
                </c:pt>
                <c:pt idx="304">
                  <c:v>-0.33130601358473916</c:v>
                </c:pt>
                <c:pt idx="305">
                  <c:v>-0.33119464706073121</c:v>
                </c:pt>
                <c:pt idx="306">
                  <c:v>-0.33108400555263706</c:v>
                </c:pt>
                <c:pt idx="307">
                  <c:v>-0.33097390886457384</c:v>
                </c:pt>
                <c:pt idx="308">
                  <c:v>-0.33086418331177697</c:v>
                </c:pt>
                <c:pt idx="309">
                  <c:v>-0.33075466020711863</c:v>
                </c:pt>
                <c:pt idx="310">
                  <c:v>-0.33064517447990627</c:v>
                </c:pt>
                <c:pt idx="311">
                  <c:v>-0.33053556337162809</c:v>
                </c:pt>
                <c:pt idx="312">
                  <c:v>-0.33042566520243</c:v>
                </c:pt>
                <c:pt idx="313">
                  <c:v>-0.33031531817936033</c:v>
                </c:pt>
                <c:pt idx="314">
                  <c:v>-0.33020435921629671</c:v>
                </c:pt>
                <c:pt idx="315">
                  <c:v>-0.33009262275746981</c:v>
                </c:pt>
                <c:pt idx="316">
                  <c:v>-0.32997993958003879</c:v>
                </c:pt>
                <c:pt idx="317">
                  <c:v>-0.32986613554885286</c:v>
                </c:pt>
                <c:pt idx="318">
                  <c:v>-0.32975103031270719</c:v>
                </c:pt>
                <c:pt idx="319">
                  <c:v>-0.32963443591384212</c:v>
                </c:pt>
                <c:pt idx="320">
                  <c:v>-0.32951615528001998</c:v>
                </c:pt>
                <c:pt idx="321">
                  <c:v>-0.32939598058223685</c:v>
                </c:pt>
                <c:pt idx="322">
                  <c:v>-0.32927369141823148</c:v>
                </c:pt>
                <c:pt idx="323">
                  <c:v>-0.32914905278342027</c:v>
                </c:pt>
                <c:pt idx="324">
                  <c:v>-0.32902181278847054</c:v>
                </c:pt>
                <c:pt idx="325">
                  <c:v>-0.32889170006679447</c:v>
                </c:pt>
                <c:pt idx="326">
                  <c:v>-0.3287584208135626</c:v>
                </c:pt>
                <c:pt idx="327">
                  <c:v>-0.32862165537090243</c:v>
                </c:pt>
                <c:pt idx="328">
                  <c:v>-0.32848105427333135</c:v>
                </c:pt>
                <c:pt idx="329">
                  <c:v>-0.32833623362434239</c:v>
                </c:pt>
                <c:pt idx="330">
                  <c:v>-0.32818676967598903</c:v>
                </c:pt>
                <c:pt idx="331">
                  <c:v>-0.32803219240931525</c:v>
                </c:pt>
                <c:pt idx="332">
                  <c:v>-0.32787197790254052</c:v>
                </c:pt>
                <c:pt idx="333">
                  <c:v>-0.32770553918258782</c:v>
                </c:pt>
                <c:pt idx="334">
                  <c:v>-0.32753221518562547</c:v>
                </c:pt>
                <c:pt idx="335">
                  <c:v>-0.3273512573426739</c:v>
                </c:pt>
                <c:pt idx="336">
                  <c:v>-0.32716181314575893</c:v>
                </c:pt>
                <c:pt idx="337">
                  <c:v>-0.32696290585226923</c:v>
                </c:pt>
                <c:pt idx="338">
                  <c:v>-0.32675340919718876</c:v>
                </c:pt>
                <c:pt idx="339">
                  <c:v>-0.32653201558761968</c:v>
                </c:pt>
                <c:pt idx="340">
                  <c:v>-0.32629719568123455</c:v>
                </c:pt>
                <c:pt idx="341">
                  <c:v>-0.32604714644456007</c:v>
                </c:pt>
                <c:pt idx="342">
                  <c:v>-0.3257797235818346</c:v>
                </c:pt>
                <c:pt idx="343">
                  <c:v>-0.325492352445652</c:v>
                </c:pt>
                <c:pt idx="344">
                  <c:v>-0.32518190881573134</c:v>
                </c:pt>
                <c:pt idx="345">
                  <c:v>-0.32484455669487888</c:v>
                </c:pt>
                <c:pt idx="346">
                  <c:v>-0.32447552349621983</c:v>
                </c:pt>
                <c:pt idx="347">
                  <c:v>-0.32406878187488752</c:v>
                </c:pt>
                <c:pt idx="348">
                  <c:v>-0.32361658858629838</c:v>
                </c:pt>
                <c:pt idx="349">
                  <c:v>-0.32310879761040467</c:v>
                </c:pt>
                <c:pt idx="350">
                  <c:v>-0.3225318040453567</c:v>
                </c:pt>
                <c:pt idx="351">
                  <c:v>-0.32186685851613778</c:v>
                </c:pt>
                <c:pt idx="352">
                  <c:v>-0.32108725424052154</c:v>
                </c:pt>
                <c:pt idx="353">
                  <c:v>-0.32015337105064984</c:v>
                </c:pt>
                <c:pt idx="354">
                  <c:v>-0.31900333335479181</c:v>
                </c:pt>
                <c:pt idx="355">
                  <c:v>-0.31753380478619692</c:v>
                </c:pt>
                <c:pt idx="356">
                  <c:v>-0.31555565041563288</c:v>
                </c:pt>
                <c:pt idx="357">
                  <c:v>-0.31271116895700773</c:v>
                </c:pt>
                <c:pt idx="358">
                  <c:v>-0.30883999897155578</c:v>
                </c:pt>
                <c:pt idx="359">
                  <c:v>-0.30404842035069896</c:v>
                </c:pt>
                <c:pt idx="360">
                  <c:v>-0.29876768209194965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7B7-4D85-BC30-76F07C6871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1"/>
          <c:order val="0"/>
          <c:tx>
            <c:v>Tan-1 @ alphs vs req res Tan-1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L_Section_Capacity!$BC$2:$BC$362</c:f>
              <c:numCache>
                <c:formatCode>General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L_Section_Capacity!$BH$2:$BH$362</c:f>
              <c:numCache>
                <c:formatCode>0.000</c:formatCode>
                <c:ptCount val="361"/>
                <c:pt idx="0">
                  <c:v>3.1088061738057648</c:v>
                </c:pt>
                <c:pt idx="1">
                  <c:v>3.1035572314962456</c:v>
                </c:pt>
                <c:pt idx="2">
                  <c:v>3.0988138450204978</c:v>
                </c:pt>
                <c:pt idx="3">
                  <c:v>3.0949944417871755</c:v>
                </c:pt>
                <c:pt idx="4">
                  <c:v>3.0922024024551771</c:v>
                </c:pt>
                <c:pt idx="5">
                  <c:v>3.0902757272224317</c:v>
                </c:pt>
                <c:pt idx="6">
                  <c:v>3.0888569391406158</c:v>
                </c:pt>
                <c:pt idx="7">
                  <c:v>3.0877568809311304</c:v>
                </c:pt>
                <c:pt idx="8">
                  <c:v>3.086872161836629</c:v>
                </c:pt>
                <c:pt idx="9">
                  <c:v>3.0861408863686437</c:v>
                </c:pt>
                <c:pt idx="10">
                  <c:v>3.0855234466702637</c:v>
                </c:pt>
                <c:pt idx="11">
                  <c:v>3.0849931696679445</c:v>
                </c:pt>
                <c:pt idx="12">
                  <c:v>3.0845313523443334</c:v>
                </c:pt>
                <c:pt idx="13">
                  <c:v>3.0841244428788688</c:v>
                </c:pt>
                <c:pt idx="14">
                  <c:v>3.0837623513605434</c:v>
                </c:pt>
                <c:pt idx="15">
                  <c:v>3.0834373914194817</c:v>
                </c:pt>
                <c:pt idx="16">
                  <c:v>3.0831435920287769</c:v>
                </c:pt>
                <c:pt idx="17">
                  <c:v>3.0828762356859176</c:v>
                </c:pt>
                <c:pt idx="18">
                  <c:v>3.082631539840464</c:v>
                </c:pt>
                <c:pt idx="19">
                  <c:v>3.0824064319782503</c:v>
                </c:pt>
                <c:pt idx="20">
                  <c:v>3.0821983874196563</c:v>
                </c:pt>
                <c:pt idx="21">
                  <c:v>3.0820053101851306</c:v>
                </c:pt>
                <c:pt idx="22">
                  <c:v>3.0818254440682624</c:v>
                </c:pt>
                <c:pt idx="23">
                  <c:v>3.0816573052113743</c:v>
                </c:pt>
                <c:pt idx="24">
                  <c:v>3.0814996303797564</c:v>
                </c:pt>
                <c:pt idx="25">
                  <c:v>3.0813513366951302</c:v>
                </c:pt>
                <c:pt idx="26">
                  <c:v>3.0812114900595224</c:v>
                </c:pt>
                <c:pt idx="27">
                  <c:v>3.0810792800484794</c:v>
                </c:pt>
                <c:pt idx="28">
                  <c:v>3.0809539998083695</c:v>
                </c:pt>
                <c:pt idx="29">
                  <c:v>3.0808350298088012</c:v>
                </c:pt>
                <c:pt idx="30">
                  <c:v>3.080721824641576</c:v>
                </c:pt>
                <c:pt idx="31">
                  <c:v>3.0806139021497012</c:v>
                </c:pt>
                <c:pt idx="32">
                  <c:v>3.080510834468674</c:v>
                </c:pt>
                <c:pt idx="33">
                  <c:v>3.0804122406241552</c:v>
                </c:pt>
                <c:pt idx="34">
                  <c:v>3.0803177802652044</c:v>
                </c:pt>
                <c:pt idx="35">
                  <c:v>3.0802271485058021</c:v>
                </c:pt>
                <c:pt idx="36">
                  <c:v>3.0801400714703151</c:v>
                </c:pt>
                <c:pt idx="37">
                  <c:v>3.0800563025922987</c:v>
                </c:pt>
                <c:pt idx="38">
                  <c:v>3.0799756194225738</c:v>
                </c:pt>
                <c:pt idx="39">
                  <c:v>3.0798978209443444</c:v>
                </c:pt>
                <c:pt idx="40">
                  <c:v>3.0798227252448793</c:v>
                </c:pt>
                <c:pt idx="41">
                  <c:v>3.0797501675358099</c:v>
                </c:pt>
                <c:pt idx="42">
                  <c:v>3.0796799984396301</c:v>
                </c:pt>
                <c:pt idx="43">
                  <c:v>3.0796120825348101</c:v>
                </c:pt>
                <c:pt idx="44">
                  <c:v>3.0795462971192853</c:v>
                </c:pt>
                <c:pt idx="45">
                  <c:v>3.0794825311090372</c:v>
                </c:pt>
                <c:pt idx="46">
                  <c:v>3.0794206841419012</c:v>
                </c:pt>
                <c:pt idx="47">
                  <c:v>3.0793606658230548</c:v>
                </c:pt>
                <c:pt idx="48">
                  <c:v>3.0793023950616876</c:v>
                </c:pt>
                <c:pt idx="49">
                  <c:v>3.0792457995669391</c:v>
                </c:pt>
                <c:pt idx="50">
                  <c:v>3.0791908154465402</c:v>
                </c:pt>
                <c:pt idx="51">
                  <c:v>3.0791373868754714</c:v>
                </c:pt>
                <c:pt idx="52">
                  <c:v>3.0790854659174576</c:v>
                </c:pt>
                <c:pt idx="53">
                  <c:v>3.0790350124386876</c:v>
                </c:pt>
                <c:pt idx="54">
                  <c:v>3.0789859940830002</c:v>
                </c:pt>
                <c:pt idx="55">
                  <c:v>3.0789383864398649</c:v>
                </c:pt>
                <c:pt idx="56">
                  <c:v>3.0788921732496659</c:v>
                </c:pt>
                <c:pt idx="57">
                  <c:v>3.0788473468117239</c:v>
                </c:pt>
                <c:pt idx="58">
                  <c:v>3.0788039085108094</c:v>
                </c:pt>
                <c:pt idx="59">
                  <c:v>3.0787618695178987</c:v>
                </c:pt>
                <c:pt idx="60">
                  <c:v>3.0787212517423654</c:v>
                </c:pt>
                <c:pt idx="61">
                  <c:v>3.0786820889695417</c:v>
                </c:pt>
                <c:pt idx="62">
                  <c:v>3.0786444283402163</c:v>
                </c:pt>
                <c:pt idx="63">
                  <c:v>3.0786083322217808</c:v>
                </c:pt>
                <c:pt idx="64">
                  <c:v>3.0785738804799152</c:v>
                </c:pt>
                <c:pt idx="65">
                  <c:v>3.0785411733889552</c:v>
                </c:pt>
                <c:pt idx="66">
                  <c:v>3.0785103352326786</c:v>
                </c:pt>
                <c:pt idx="67">
                  <c:v>3.0784815188949812</c:v>
                </c:pt>
                <c:pt idx="68">
                  <c:v>3.0784549116181834</c:v>
                </c:pt>
                <c:pt idx="69">
                  <c:v>3.0784307424179032</c:v>
                </c:pt>
                <c:pt idx="70">
                  <c:v>3.0784092916398533</c:v>
                </c:pt>
                <c:pt idx="71">
                  <c:v>3.078390903328124</c:v>
                </c:pt>
                <c:pt idx="72">
                  <c:v>3.078376001599211</c:v>
                </c:pt>
                <c:pt idx="73">
                  <c:v>3.0783651124447982</c:v>
                </c:pt>
                <c:pt idx="74">
                  <c:v>3.0783588932212762</c:v>
                </c:pt>
                <c:pt idx="75">
                  <c:v>3.0783581731902325</c:v>
                </c:pt>
                <c:pt idx="76">
                  <c:v>3.0783640103129217</c:v>
                </c:pt>
                <c:pt idx="77">
                  <c:v>3.0783777724281878</c:v>
                </c:pt>
                <c:pt idx="78">
                  <c:v>3.07840125607677</c:v>
                </c:pt>
                <c:pt idx="79">
                  <c:v>3.0784368653086487</c:v>
                </c:pt>
                <c:pt idx="80">
                  <c:v>3.0784878892592511</c:v>
                </c:pt>
                <c:pt idx="81">
                  <c:v>3.0785589496764958</c:v>
                </c:pt>
                <c:pt idx="82">
                  <c:v>3.0786567553759641</c:v>
                </c:pt>
                <c:pt idx="83">
                  <c:v>3.0787914450515865</c:v>
                </c:pt>
                <c:pt idx="84">
                  <c:v>3.0789791457414291</c:v>
                </c:pt>
                <c:pt idx="85">
                  <c:v>3.079247290824541</c:v>
                </c:pt>
                <c:pt idx="86">
                  <c:v>3.0796470435693077</c:v>
                </c:pt>
                <c:pt idx="87">
                  <c:v>3.0802875571711157</c:v>
                </c:pt>
                <c:pt idx="88">
                  <c:v>3.0814584957975839</c:v>
                </c:pt>
                <c:pt idx="89">
                  <c:v>3.0843500973596845</c:v>
                </c:pt>
                <c:pt idx="90">
                  <c:v>3.0943094189466533</c:v>
                </c:pt>
                <c:pt idx="91">
                  <c:v>3.1056743862672889</c:v>
                </c:pt>
                <c:pt idx="92">
                  <c:v>3.1097328257267769</c:v>
                </c:pt>
                <c:pt idx="93">
                  <c:v>3.1116629858161398</c:v>
                </c:pt>
                <c:pt idx="94">
                  <c:v>3.1128828884758981</c:v>
                </c:pt>
                <c:pt idx="95">
                  <c:v>3.1137606451745246</c:v>
                </c:pt>
                <c:pt idx="96">
                  <c:v>3.1144414390584076</c:v>
                </c:pt>
                <c:pt idx="97">
                  <c:v>3.1149959974213051</c:v>
                </c:pt>
                <c:pt idx="98">
                  <c:v>3.1154635982336139</c:v>
                </c:pt>
                <c:pt idx="99">
                  <c:v>3.1158681107077282</c:v>
                </c:pt>
                <c:pt idx="100">
                  <c:v>3.1162250312343858</c:v>
                </c:pt>
                <c:pt idx="101">
                  <c:v>3.1165449436501049</c:v>
                </c:pt>
                <c:pt idx="102">
                  <c:v>3.1168353732823908</c:v>
                </c:pt>
                <c:pt idx="103">
                  <c:v>3.1171018489152411</c:v>
                </c:pt>
                <c:pt idx="104">
                  <c:v>3.1175853710278041</c:v>
                </c:pt>
                <c:pt idx="105">
                  <c:v>3.1181500999499869</c:v>
                </c:pt>
                <c:pt idx="106">
                  <c:v>3.1186392039860564</c:v>
                </c:pt>
                <c:pt idx="107">
                  <c:v>3.1190668927240237</c:v>
                </c:pt>
                <c:pt idx="108">
                  <c:v>3.119444077361444</c:v>
                </c:pt>
                <c:pt idx="109">
                  <c:v>3.119779268695277</c:v>
                </c:pt>
                <c:pt idx="110">
                  <c:v>3.1200791986739906</c:v>
                </c:pt>
                <c:pt idx="111">
                  <c:v>3.1203492595270239</c:v>
                </c:pt>
                <c:pt idx="112">
                  <c:v>3.1205938197410221</c:v>
                </c:pt>
                <c:pt idx="113">
                  <c:v>3.1208164552356941</c:v>
                </c:pt>
                <c:pt idx="114">
                  <c:v>3.1210201210356487</c:v>
                </c:pt>
                <c:pt idx="115">
                  <c:v>3.1212072805166322</c:v>
                </c:pt>
                <c:pt idx="116">
                  <c:v>3.1213800039396045</c:v>
                </c:pt>
                <c:pt idx="117">
                  <c:v>3.1215400444301595</c:v>
                </c:pt>
                <c:pt idx="118">
                  <c:v>3.1216888972160612</c:v>
                </c:pt>
                <c:pt idx="119">
                  <c:v>3.1218278462518674</c:v>
                </c:pt>
                <c:pt idx="120">
                  <c:v>3.1219580012735975</c:v>
                </c:pt>
                <c:pt idx="121">
                  <c:v>3.1220803275148592</c:v>
                </c:pt>
                <c:pt idx="122">
                  <c:v>3.1221956697180344</c:v>
                </c:pt>
                <c:pt idx="123">
                  <c:v>3.1223047717252825</c:v>
                </c:pt>
                <c:pt idx="124">
                  <c:v>3.1224082925661314</c:v>
                </c:pt>
                <c:pt idx="125">
                  <c:v>3.1225068197896988</c:v>
                </c:pt>
                <c:pt idx="126">
                  <c:v>3.1226008806017918</c:v>
                </c:pt>
                <c:pt idx="127">
                  <c:v>3.1226909512436984</c:v>
                </c:pt>
                <c:pt idx="128">
                  <c:v>3.1227774649712918</c:v>
                </c:pt>
                <c:pt idx="129">
                  <c:v>3.1228608189034537</c:v>
                </c:pt>
                <c:pt idx="130">
                  <c:v>3.1229413799709702</c:v>
                </c:pt>
                <c:pt idx="131">
                  <c:v>3.1230194901479678</c:v>
                </c:pt>
                <c:pt idx="132">
                  <c:v>3.1230954711196093</c:v>
                </c:pt>
                <c:pt idx="133">
                  <c:v>3.1231696285148685</c:v>
                </c:pt>
                <c:pt idx="134">
                  <c:v>3.1232422558164936</c:v>
                </c:pt>
                <c:pt idx="135">
                  <c:v>3.1233136380486082</c:v>
                </c:pt>
                <c:pt idx="136">
                  <c:v>3.1233840553356069</c:v>
                </c:pt>
                <c:pt idx="137">
                  <c:v>3.1234537864112237</c:v>
                </c:pt>
                <c:pt idx="138">
                  <c:v>3.1235231121803606</c:v>
                </c:pt>
                <c:pt idx="139">
                  <c:v>3.1235923194057165</c:v>
                </c:pt>
                <c:pt idx="140">
                  <c:v>3.1236617046274739</c:v>
                </c:pt>
                <c:pt idx="141">
                  <c:v>3.1237315784242963</c:v>
                </c:pt>
                <c:pt idx="142">
                  <c:v>3.123802270122451</c:v>
                </c:pt>
                <c:pt idx="143">
                  <c:v>3.1238741331177433</c:v>
                </c:pt>
                <c:pt idx="144">
                  <c:v>3.12394755097323</c:v>
                </c:pt>
                <c:pt idx="145">
                  <c:v>3.1240229444977006</c:v>
                </c:pt>
                <c:pt idx="146">
                  <c:v>3.1241007800864917</c:v>
                </c:pt>
                <c:pt idx="147">
                  <c:v>3.1241815796261108</c:v>
                </c:pt>
                <c:pt idx="148">
                  <c:v>3.1242659324052582</c:v>
                </c:pt>
                <c:pt idx="149">
                  <c:v>3.1243545095476195</c:v>
                </c:pt>
                <c:pt idx="150">
                  <c:v>3.1244480816575111</c:v>
                </c:pt>
                <c:pt idx="151">
                  <c:v>3.1245475405806715</c:v>
                </c:pt>
                <c:pt idx="152">
                  <c:v>3.1246539264501241</c:v>
                </c:pt>
                <c:pt idx="153">
                  <c:v>3.1247684615961608</c:v>
                </c:pt>
                <c:pt idx="154">
                  <c:v>3.12489259340032</c:v>
                </c:pt>
                <c:pt idx="155">
                  <c:v>3.1250280489540643</c:v>
                </c:pt>
                <c:pt idx="156">
                  <c:v>3.1251769054101706</c:v>
                </c:pt>
                <c:pt idx="157">
                  <c:v>3.125341681407245</c:v>
                </c:pt>
                <c:pt idx="158">
                  <c:v>3.125525457144362</c:v>
                </c:pt>
                <c:pt idx="159">
                  <c:v>3.1257320338418371</c:v>
                </c:pt>
                <c:pt idx="160">
                  <c:v>3.1259661480865484</c:v>
                </c:pt>
                <c:pt idx="161">
                  <c:v>3.1262337637489441</c:v>
                </c:pt>
                <c:pt idx="162">
                  <c:v>3.1265424752963717</c:v>
                </c:pt>
                <c:pt idx="163">
                  <c:v>3.1269020738292577</c:v>
                </c:pt>
                <c:pt idx="164">
                  <c:v>3.1273253554221441</c:v>
                </c:pt>
                <c:pt idx="165">
                  <c:v>3.1278292979635021</c:v>
                </c:pt>
                <c:pt idx="166">
                  <c:v>3.1284368117999799</c:v>
                </c:pt>
                <c:pt idx="167">
                  <c:v>3.1290610445580453</c:v>
                </c:pt>
                <c:pt idx="168">
                  <c:v>3.1295933929001558</c:v>
                </c:pt>
                <c:pt idx="169">
                  <c:v>3.1301910956801446</c:v>
                </c:pt>
                <c:pt idx="170">
                  <c:v>3.1308700799363605</c:v>
                </c:pt>
                <c:pt idx="171">
                  <c:v>3.1316522713793891</c:v>
                </c:pt>
                <c:pt idx="172">
                  <c:v>3.1325688611895544</c:v>
                </c:pt>
                <c:pt idx="173">
                  <c:v>3.1336660514069266</c:v>
                </c:pt>
                <c:pt idx="174">
                  <c:v>3.1350158619661297</c:v>
                </c:pt>
                <c:pt idx="175">
                  <c:v>3.1367382896929774</c:v>
                </c:pt>
                <c:pt idx="176">
                  <c:v>3.1390522944911501</c:v>
                </c:pt>
                <c:pt idx="177">
                  <c:v>-3.1408154776207784</c:v>
                </c:pt>
                <c:pt idx="178">
                  <c:v>-3.1363201394721356</c:v>
                </c:pt>
                <c:pt idx="179">
                  <c:v>-3.130788845769394</c:v>
                </c:pt>
                <c:pt idx="180">
                  <c:v>-3.124738045241676</c:v>
                </c:pt>
                <c:pt idx="181">
                  <c:v>-3.1187791724081526</c:v>
                </c:pt>
                <c:pt idx="182">
                  <c:v>-3.1134419138127321</c:v>
                </c:pt>
                <c:pt idx="183">
                  <c:v>-3.1091788808683578</c:v>
                </c:pt>
                <c:pt idx="184">
                  <c:v>-3.1060840915538916</c:v>
                </c:pt>
                <c:pt idx="185">
                  <c:v>-3.1039610033376706</c:v>
                </c:pt>
                <c:pt idx="186">
                  <c:v>-3.1024052813445824</c:v>
                </c:pt>
                <c:pt idx="187">
                  <c:v>-3.1012043180802928</c:v>
                </c:pt>
                <c:pt idx="188">
                  <c:v>-3.1002423285125262</c:v>
                </c:pt>
                <c:pt idx="189">
                  <c:v>-3.0994502012528971</c:v>
                </c:pt>
                <c:pt idx="190">
                  <c:v>-3.0987838205460347</c:v>
                </c:pt>
                <c:pt idx="191">
                  <c:v>-3.0982135415733989</c:v>
                </c:pt>
                <c:pt idx="192">
                  <c:v>-3.097718617415989</c:v>
                </c:pt>
                <c:pt idx="193">
                  <c:v>-3.0972840414660281</c:v>
                </c:pt>
                <c:pt idx="194">
                  <c:v>-3.0968986586376044</c:v>
                </c:pt>
                <c:pt idx="195">
                  <c:v>-3.096553983941349</c:v>
                </c:pt>
                <c:pt idx="196">
                  <c:v>-3.0962434354038013</c:v>
                </c:pt>
                <c:pt idx="197">
                  <c:v>-3.0959618200180383</c:v>
                </c:pt>
                <c:pt idx="198">
                  <c:v>-3.0957049795666096</c:v>
                </c:pt>
                <c:pt idx="199">
                  <c:v>-3.0954695408682111</c:v>
                </c:pt>
                <c:pt idx="200">
                  <c:v>-3.0952527358537036</c:v>
                </c:pt>
                <c:pt idx="201">
                  <c:v>-3.0950522695497176</c:v>
                </c:pt>
                <c:pt idx="202">
                  <c:v>-3.0948662216368739</c:v>
                </c:pt>
                <c:pt idx="203">
                  <c:v>-3.0946929718735738</c:v>
                </c:pt>
                <c:pt idx="204">
                  <c:v>-3.0945311429451658</c:v>
                </c:pt>
                <c:pt idx="205">
                  <c:v>-3.0943795560020488</c:v>
                </c:pt>
                <c:pt idx="206">
                  <c:v>-3.0942371958371782</c:v>
                </c:pt>
                <c:pt idx="207">
                  <c:v>-3.0941031832147665</c:v>
                </c:pt>
                <c:pt idx="208">
                  <c:v>-3.09397675273659</c:v>
                </c:pt>
                <c:pt idx="209">
                  <c:v>-3.0938572349689535</c:v>
                </c:pt>
                <c:pt idx="210">
                  <c:v>-3.093744041941151</c:v>
                </c:pt>
                <c:pt idx="211">
                  <c:v>-3.0936366552083481</c:v>
                </c:pt>
                <c:pt idx="212">
                  <c:v>-3.0935346160295136</c:v>
                </c:pt>
                <c:pt idx="213">
                  <c:v>-3.0934375172704289</c:v>
                </c:pt>
                <c:pt idx="214">
                  <c:v>-3.0933449965439301</c:v>
                </c:pt>
                <c:pt idx="215">
                  <c:v>-3.0932567305935832</c:v>
                </c:pt>
                <c:pt idx="216">
                  <c:v>-3.0931724304347963</c:v>
                </c:pt>
                <c:pt idx="217">
                  <c:v>-3.0930918373425733</c:v>
                </c:pt>
                <c:pt idx="218">
                  <c:v>-3.0930147193942483</c:v>
                </c:pt>
                <c:pt idx="219">
                  <c:v>-3.0929408685810991</c:v>
                </c:pt>
                <c:pt idx="220">
                  <c:v>-3.0928700983101605</c:v>
                </c:pt>
                <c:pt idx="221">
                  <c:v>-3.0928022412975755</c:v>
                </c:pt>
                <c:pt idx="222">
                  <c:v>-3.0927371477575392</c:v>
                </c:pt>
                <c:pt idx="223">
                  <c:v>-3.0926746838851251</c:v>
                </c:pt>
                <c:pt idx="224">
                  <c:v>-3.0926147305883784</c:v>
                </c:pt>
                <c:pt idx="225">
                  <c:v>-3.092557182369549</c:v>
                </c:pt>
                <c:pt idx="226">
                  <c:v>-3.0925019464498185</c:v>
                </c:pt>
                <c:pt idx="227">
                  <c:v>-3.0924489420612726</c:v>
                </c:pt>
                <c:pt idx="228">
                  <c:v>-3.0923980998462719</c:v>
                </c:pt>
                <c:pt idx="229">
                  <c:v>-3.0923493614547368</c:v>
                </c:pt>
                <c:pt idx="230">
                  <c:v>-3.092302679271441</c:v>
                </c:pt>
                <c:pt idx="231">
                  <c:v>-3.0922580162360038</c:v>
                </c:pt>
                <c:pt idx="232">
                  <c:v>-3.0922153458645019</c:v>
                </c:pt>
                <c:pt idx="233">
                  <c:v>-3.0921746524004945</c:v>
                </c:pt>
                <c:pt idx="234">
                  <c:v>-3.0921359310614482</c:v>
                </c:pt>
                <c:pt idx="235">
                  <c:v>-3.0920991885520808</c:v>
                </c:pt>
                <c:pt idx="236">
                  <c:v>-3.0920644436546363</c:v>
                </c:pt>
                <c:pt idx="237">
                  <c:v>-3.0920317281124046</c:v>
                </c:pt>
                <c:pt idx="238">
                  <c:v>-3.0920010877091268</c:v>
                </c:pt>
                <c:pt idx="239">
                  <c:v>-3.0919725836255125</c:v>
                </c:pt>
                <c:pt idx="240">
                  <c:v>-3.0919462941831179</c:v>
                </c:pt>
                <c:pt idx="241">
                  <c:v>-3.0919223169091268</c:v>
                </c:pt>
                <c:pt idx="242">
                  <c:v>-3.0919007711392661</c:v>
                </c:pt>
                <c:pt idx="243">
                  <c:v>-3.0918818012471778</c:v>
                </c:pt>
                <c:pt idx="244">
                  <c:v>-3.0918655805445194</c:v>
                </c:pt>
                <c:pt idx="245">
                  <c:v>-3.0918523161928837</c:v>
                </c:pt>
                <c:pt idx="246">
                  <c:v>-3.0918422552476637</c:v>
                </c:pt>
                <c:pt idx="247">
                  <c:v>-3.0918356922812205</c:v>
                </c:pt>
                <c:pt idx="248">
                  <c:v>-3.091832978904268</c:v>
                </c:pt>
                <c:pt idx="249">
                  <c:v>-3.0918345359257495</c:v>
                </c:pt>
                <c:pt idx="250">
                  <c:v>-3.0918408689333488</c:v>
                </c:pt>
                <c:pt idx="251">
                  <c:v>-3.0918525883731842</c:v>
                </c:pt>
                <c:pt idx="252">
                  <c:v>-3.0918704359569622</c:v>
                </c:pt>
                <c:pt idx="253">
                  <c:v>-3.09189531965231</c:v>
                </c:pt>
                <c:pt idx="254">
                  <c:v>-3.0919283607660688</c:v>
                </c:pt>
                <c:pt idx="255">
                  <c:v>-3.0919709583368418</c:v>
                </c:pt>
                <c:pt idx="256">
                  <c:v>-3.0920248788593803</c:v>
                </c:pt>
                <c:pt idx="257">
                  <c:v>-3.0920923838429122</c:v>
                </c:pt>
                <c:pt idx="258">
                  <c:v>-3.0921764154850306</c:v>
                </c:pt>
                <c:pt idx="259">
                  <c:v>-3.0922808744271526</c:v>
                </c:pt>
                <c:pt idx="260">
                  <c:v>-3.0924110483084899</c:v>
                </c:pt>
                <c:pt idx="261">
                  <c:v>-3.0925742981436724</c:v>
                </c:pt>
                <c:pt idx="262">
                  <c:v>-3.0927812071748546</c:v>
                </c:pt>
                <c:pt idx="263">
                  <c:v>-3.0930476096799415</c:v>
                </c:pt>
                <c:pt idx="264">
                  <c:v>-3.0933984220997379</c:v>
                </c:pt>
                <c:pt idx="265">
                  <c:v>-3.0938755253167454</c:v>
                </c:pt>
                <c:pt idx="266">
                  <c:v>-3.0945559522329589</c:v>
                </c:pt>
                <c:pt idx="267">
                  <c:v>-3.0956012597842477</c:v>
                </c:pt>
                <c:pt idx="268">
                  <c:v>-3.0974302317279365</c:v>
                </c:pt>
                <c:pt idx="269">
                  <c:v>-3.1016953110527625</c:v>
                </c:pt>
                <c:pt idx="270">
                  <c:v>-3.1148298794874867</c:v>
                </c:pt>
                <c:pt idx="271">
                  <c:v>-3.1276636743541353</c:v>
                </c:pt>
                <c:pt idx="272">
                  <c:v>-3.1318054800657924</c:v>
                </c:pt>
                <c:pt idx="273">
                  <c:v>-3.1336994396853921</c:v>
                </c:pt>
                <c:pt idx="274">
                  <c:v>-3.1348713884110442</c:v>
                </c:pt>
                <c:pt idx="275">
                  <c:v>-3.1357025933346483</c:v>
                </c:pt>
                <c:pt idx="276">
                  <c:v>-3.1363403312214073</c:v>
                </c:pt>
                <c:pt idx="277">
                  <c:v>-3.1368553412045443</c:v>
                </c:pt>
                <c:pt idx="278">
                  <c:v>-3.1372864919542849</c:v>
                </c:pt>
                <c:pt idx="279">
                  <c:v>-3.1376572042061008</c:v>
                </c:pt>
                <c:pt idx="280">
                  <c:v>-3.1379825763314182</c:v>
                </c:pt>
                <c:pt idx="281">
                  <c:v>-3.1382728583524662</c:v>
                </c:pt>
                <c:pt idx="282">
                  <c:v>-3.1385352999282938</c:v>
                </c:pt>
                <c:pt idx="283">
                  <c:v>-3.1387752023737256</c:v>
                </c:pt>
                <c:pt idx="284">
                  <c:v>-3.1389965511055848</c:v>
                </c:pt>
                <c:pt idx="285">
                  <c:v>-3.1392024132409908</c:v>
                </c:pt>
                <c:pt idx="286">
                  <c:v>-3.1393951971205771</c:v>
                </c:pt>
                <c:pt idx="287">
                  <c:v>-3.1395768271640376</c:v>
                </c:pt>
                <c:pt idx="288">
                  <c:v>-3.1397488650005565</c:v>
                </c:pt>
                <c:pt idx="289">
                  <c:v>-3.1399125953668898</c:v>
                </c:pt>
                <c:pt idx="290">
                  <c:v>-3.1400690883561353</c:v>
                </c:pt>
                <c:pt idx="291">
                  <c:v>-3.1402192453581605</c:v>
                </c:pt>
                <c:pt idx="292">
                  <c:v>-3.1403638335410911</c:v>
                </c:pt>
                <c:pt idx="293">
                  <c:v>-3.1405035121210521</c:v>
                </c:pt>
                <c:pt idx="294">
                  <c:v>-3.140638852670854</c:v>
                </c:pt>
                <c:pt idx="295">
                  <c:v>-3.1407703549959178</c:v>
                </c:pt>
                <c:pt idx="296">
                  <c:v>-3.1408984597005016</c:v>
                </c:pt>
                <c:pt idx="297">
                  <c:v>-3.1410235582516499</c:v>
                </c:pt>
                <c:pt idx="298">
                  <c:v>-3.1411460011049384</c:v>
                </c:pt>
                <c:pt idx="299">
                  <c:v>-3.1412661043463173</c:v>
                </c:pt>
                <c:pt idx="300">
                  <c:v>-3.1413841551583328</c:v>
                </c:pt>
                <c:pt idx="301">
                  <c:v>-3.1415004163777143</c:v>
                </c:pt>
                <c:pt idx="302">
                  <c:v>3.1415701768675266</c:v>
                </c:pt>
                <c:pt idx="303">
                  <c:v>3.1414567852013269</c:v>
                </c:pt>
                <c:pt idx="304">
                  <c:v>3.1413445052985942</c:v>
                </c:pt>
                <c:pt idx="305">
                  <c:v>3.1412331387745862</c:v>
                </c:pt>
                <c:pt idx="306">
                  <c:v>3.1411224972664922</c:v>
                </c:pt>
                <c:pt idx="307">
                  <c:v>3.141012400578429</c:v>
                </c:pt>
                <c:pt idx="308">
                  <c:v>3.1409026750256324</c:v>
                </c:pt>
                <c:pt idx="309">
                  <c:v>3.140793151920974</c:v>
                </c:pt>
                <c:pt idx="310">
                  <c:v>3.1406836661937616</c:v>
                </c:pt>
                <c:pt idx="311">
                  <c:v>3.1405740550854828</c:v>
                </c:pt>
                <c:pt idx="312">
                  <c:v>3.140464156916285</c:v>
                </c:pt>
                <c:pt idx="313">
                  <c:v>3.1403538098932158</c:v>
                </c:pt>
                <c:pt idx="314">
                  <c:v>3.1402428509301519</c:v>
                </c:pt>
                <c:pt idx="315">
                  <c:v>3.1401311144713251</c:v>
                </c:pt>
                <c:pt idx="316">
                  <c:v>3.1400184312938935</c:v>
                </c:pt>
                <c:pt idx="317">
                  <c:v>3.139904627262708</c:v>
                </c:pt>
                <c:pt idx="318">
                  <c:v>3.1397895220265619</c:v>
                </c:pt>
                <c:pt idx="319">
                  <c:v>3.1396729276276973</c:v>
                </c:pt>
                <c:pt idx="320">
                  <c:v>3.1395546469938749</c:v>
                </c:pt>
                <c:pt idx="321">
                  <c:v>3.1394344722960916</c:v>
                </c:pt>
                <c:pt idx="322">
                  <c:v>3.1393121831320867</c:v>
                </c:pt>
                <c:pt idx="323">
                  <c:v>3.1391875444972754</c:v>
                </c:pt>
                <c:pt idx="324">
                  <c:v>3.1390603045023253</c:v>
                </c:pt>
                <c:pt idx="325">
                  <c:v>3.1389301917806494</c:v>
                </c:pt>
                <c:pt idx="326">
                  <c:v>3.1387969125274173</c:v>
                </c:pt>
                <c:pt idx="327">
                  <c:v>3.1386601470847575</c:v>
                </c:pt>
                <c:pt idx="328">
                  <c:v>3.1385195459871866</c:v>
                </c:pt>
                <c:pt idx="329">
                  <c:v>3.1383747253381973</c:v>
                </c:pt>
                <c:pt idx="330">
                  <c:v>3.1382252613898443</c:v>
                </c:pt>
                <c:pt idx="331">
                  <c:v>3.1380706841231705</c:v>
                </c:pt>
                <c:pt idx="332">
                  <c:v>3.1379104696163953</c:v>
                </c:pt>
                <c:pt idx="333">
                  <c:v>3.1377440308964433</c:v>
                </c:pt>
                <c:pt idx="334">
                  <c:v>3.1375707068994805</c:v>
                </c:pt>
                <c:pt idx="335">
                  <c:v>3.1373897490565286</c:v>
                </c:pt>
                <c:pt idx="336">
                  <c:v>3.137200304859614</c:v>
                </c:pt>
                <c:pt idx="337">
                  <c:v>3.1370013975661246</c:v>
                </c:pt>
                <c:pt idx="338">
                  <c:v>3.1367919009110441</c:v>
                </c:pt>
                <c:pt idx="339">
                  <c:v>3.1365705073014745</c:v>
                </c:pt>
                <c:pt idx="340">
                  <c:v>3.1363356873950892</c:v>
                </c:pt>
                <c:pt idx="341">
                  <c:v>3.1360856381584155</c:v>
                </c:pt>
                <c:pt idx="342">
                  <c:v>3.1358182152956893</c:v>
                </c:pt>
                <c:pt idx="343">
                  <c:v>3.1355308441595069</c:v>
                </c:pt>
                <c:pt idx="344">
                  <c:v>3.1352204005295867</c:v>
                </c:pt>
                <c:pt idx="345">
                  <c:v>3.1348830484087342</c:v>
                </c:pt>
                <c:pt idx="346">
                  <c:v>3.1345140152100752</c:v>
                </c:pt>
                <c:pt idx="347">
                  <c:v>3.1341072735887421</c:v>
                </c:pt>
                <c:pt idx="348">
                  <c:v>3.1336550803001533</c:v>
                </c:pt>
                <c:pt idx="349">
                  <c:v>3.1331472893242598</c:v>
                </c:pt>
                <c:pt idx="350">
                  <c:v>3.1325702957592121</c:v>
                </c:pt>
                <c:pt idx="351">
                  <c:v>3.1319053502299932</c:v>
                </c:pt>
                <c:pt idx="352">
                  <c:v>3.1311257459543764</c:v>
                </c:pt>
                <c:pt idx="353">
                  <c:v>3.1301918627645051</c:v>
                </c:pt>
                <c:pt idx="354">
                  <c:v>3.1290418250686471</c:v>
                </c:pt>
                <c:pt idx="355">
                  <c:v>3.1275722965000519</c:v>
                </c:pt>
                <c:pt idx="356">
                  <c:v>3.1255941421294882</c:v>
                </c:pt>
                <c:pt idx="357">
                  <c:v>3.1227496606708627</c:v>
                </c:pt>
                <c:pt idx="358">
                  <c:v>3.118878490685411</c:v>
                </c:pt>
                <c:pt idx="359">
                  <c:v>3.114086912064554</c:v>
                </c:pt>
                <c:pt idx="360">
                  <c:v>3.1088061738058048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1C15-452B-86B0-21DF09300368}"/>
            </c:ext>
          </c:extLst>
        </c:ser>
        <c:ser>
          <c:idx val="2"/>
          <c:order val="1"/>
          <c:tx>
            <c:v>@ alpha</c:v>
          </c:tx>
          <c:spPr>
            <a:ln w="1905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3.0856710768259594</c:v>
                </c:pt>
              </c:numCache>
            </c:numRef>
          </c:xVal>
          <c:yVal>
            <c:numRef>
              <c:f>L_Section_Capacity!$W$7</c:f>
              <c:numCache>
                <c:formatCode>0.000E+00</c:formatCode>
                <c:ptCount val="1"/>
                <c:pt idx="0">
                  <c:v>-3.1415926512474419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1C15-452B-86B0-21DF09300368}"/>
            </c:ext>
          </c:extLst>
        </c:ser>
        <c:ser>
          <c:idx val="3"/>
          <c:order val="2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2.810038491713855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7-1C15-452B-86B0-21DF09300368}"/>
            </c:ext>
          </c:extLst>
        </c:ser>
        <c:ser>
          <c:idx val="4"/>
          <c:order val="3"/>
          <c:tx>
            <c:v>User+/-pi/3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3.8572360429104524</c:v>
                </c:pt>
                <c:pt idx="1">
                  <c:v>1.7628409405172574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15-452B-86B0-21DF09300368}"/>
            </c:ext>
          </c:extLst>
        </c:ser>
        <c:ser>
          <c:idx val="5"/>
          <c:order val="4"/>
          <c:tx>
            <c:v>2*pi box</c:v>
          </c:tx>
          <c:spPr>
            <a:ln w="158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L_Section_Capacity!$AC$49:$AC$53</c:f>
              <c:numCache>
                <c:formatCode>General</c:formatCode>
                <c:ptCount val="5"/>
                <c:pt idx="0">
                  <c:v>0</c:v>
                </c:pt>
                <c:pt idx="1">
                  <c:v>6.2831853071795862</c:v>
                </c:pt>
                <c:pt idx="2">
                  <c:v>6.2831853071795862</c:v>
                </c:pt>
                <c:pt idx="3">
                  <c:v>0</c:v>
                </c:pt>
                <c:pt idx="4">
                  <c:v>0</c:v>
                </c:pt>
              </c:numCache>
            </c:numRef>
          </c:xVal>
          <c:yVal>
            <c:numRef>
              <c:f>L_Section_Capacity!$AD$49:$AD$53</c:f>
              <c:numCache>
                <c:formatCode>General</c:formatCode>
                <c:ptCount val="5"/>
                <c:pt idx="0">
                  <c:v>-3.1415926535897931</c:v>
                </c:pt>
                <c:pt idx="1">
                  <c:v>-3.1415926535897931</c:v>
                </c:pt>
                <c:pt idx="2">
                  <c:v>3.1415926535897931</c:v>
                </c:pt>
                <c:pt idx="3">
                  <c:v>3.1415926535897931</c:v>
                </c:pt>
                <c:pt idx="4">
                  <c:v>-3.1415926535897931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C8-4CF1-8E8A-41825DE61A6A}"/>
            </c:ext>
          </c:extLst>
        </c:ser>
        <c:ser>
          <c:idx val="0"/>
          <c:order val="5"/>
          <c:tx>
            <c:v>new reference point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-2.6798501375159267E-3</c:v>
                </c:pt>
                <c:pt idx="1">
                  <c:v>-3.1135553901456836E-3</c:v>
                </c:pt>
                <c:pt idx="2">
                  <c:v>-3.5067798161887986E-3</c:v>
                </c:pt>
                <c:pt idx="3">
                  <c:v>-3.8243368447166142E-3</c:v>
                </c:pt>
                <c:pt idx="4">
                  <c:v>-4.0570687452815557E-3</c:v>
                </c:pt>
                <c:pt idx="5">
                  <c:v>-4.218027783775169E-3</c:v>
                </c:pt>
                <c:pt idx="6">
                  <c:v>-4.336787447735746E-3</c:v>
                </c:pt>
                <c:pt idx="7">
                  <c:v>-4.4290307621489E-3</c:v>
                </c:pt>
                <c:pt idx="8">
                  <c:v>-4.5033405614985367E-3</c:v>
                </c:pt>
                <c:pt idx="9">
                  <c:v>-4.5648602229171886E-3</c:v>
                </c:pt>
                <c:pt idx="10">
                  <c:v>-4.6168839085264932E-3</c:v>
                </c:pt>
                <c:pt idx="11">
                  <c:v>-4.6616316821052042E-3</c:v>
                </c:pt>
                <c:pt idx="12">
                  <c:v>-4.7006613036735248E-3</c:v>
                </c:pt>
                <c:pt idx="13">
                  <c:v>-4.735102203807128E-3</c:v>
                </c:pt>
                <c:pt idx="14">
                  <c:v>-4.7657957878690094E-3</c:v>
                </c:pt>
                <c:pt idx="15">
                  <c:v>-4.7933833880602914E-3</c:v>
                </c:pt>
                <c:pt idx="16">
                  <c:v>-4.8183634827001507E-3</c:v>
                </c:pt>
                <c:pt idx="17">
                  <c:v>-4.8411301117167746E-3</c:v>
                </c:pt>
                <c:pt idx="18">
                  <c:v>-4.861999387307415E-3</c:v>
                </c:pt>
                <c:pt idx="19">
                  <c:v>-4.881228218768574E-3</c:v>
                </c:pt>
                <c:pt idx="20">
                  <c:v>-4.8990278211710203E-3</c:v>
                </c:pt>
                <c:pt idx="21">
                  <c:v>-4.9155736408566528E-3</c:v>
                </c:pt>
                <c:pt idx="22">
                  <c:v>-4.9310127670247903E-3</c:v>
                </c:pt>
                <c:pt idx="23">
                  <c:v>-4.9454695528234338E-3</c:v>
                </c:pt>
                <c:pt idx="24">
                  <c:v>-4.9590499294829837E-3</c:v>
                </c:pt>
                <c:pt idx="25">
                  <c:v>-4.9718447653701592E-3</c:v>
                </c:pt>
                <c:pt idx="26">
                  <c:v>-4.9839325014673364E-3</c:v>
                </c:pt>
                <c:pt idx="27">
                  <c:v>-4.995381247312968E-3</c:v>
                </c:pt>
                <c:pt idx="28">
                  <c:v>-5.0062504598908375E-3</c:v>
                </c:pt>
                <c:pt idx="29">
                  <c:v>-5.0165923010471727E-3</c:v>
                </c:pt>
                <c:pt idx="30">
                  <c:v>-5.02645274106156E-3</c:v>
                </c:pt>
                <c:pt idx="31">
                  <c:v>-5.0358724675411692E-3</c:v>
                </c:pt>
                <c:pt idx="32">
                  <c:v>-5.0448876349621363E-3</c:v>
                </c:pt>
                <c:pt idx="33">
                  <c:v>-5.0535304846673901E-3</c:v>
                </c:pt>
                <c:pt idx="34">
                  <c:v>-5.0618298695298538E-3</c:v>
                </c:pt>
                <c:pt idx="35">
                  <c:v>-5.0698116869650756E-3</c:v>
                </c:pt>
                <c:pt idx="36">
                  <c:v>-5.0774992524845741E-3</c:v>
                </c:pt>
                <c:pt idx="37">
                  <c:v>-5.0849136110203133E-3</c:v>
                </c:pt>
                <c:pt idx="38">
                  <c:v>-5.0920738055090786E-3</c:v>
                </c:pt>
                <c:pt idx="39">
                  <c:v>-5.0989971035625414E-3</c:v>
                </c:pt>
                <c:pt idx="40">
                  <c:v>-5.1056991942851062E-3</c:v>
                </c:pt>
                <c:pt idx="41">
                  <c:v>-5.1121943562902339E-3</c:v>
                </c:pt>
                <c:pt idx="42">
                  <c:v>-5.1184956036006701E-3</c:v>
                </c:pt>
                <c:pt idx="43">
                  <c:v>-5.1246148103235023E-3</c:v>
                </c:pt>
                <c:pt idx="44">
                  <c:v>-5.1305628174458948E-3</c:v>
                </c:pt>
                <c:pt idx="45">
                  <c:v>-5.1363495283786595E-3</c:v>
                </c:pt>
                <c:pt idx="46">
                  <c:v>-5.141983988061205E-3</c:v>
                </c:pt>
                <c:pt idx="47">
                  <c:v>-5.1474744506882497E-3</c:v>
                </c:pt>
                <c:pt idx="48">
                  <c:v>-5.1528284401082813E-3</c:v>
                </c:pt>
                <c:pt idx="49">
                  <c:v>-5.1580527978214432E-3</c:v>
                </c:pt>
                <c:pt idx="50">
                  <c:v>-5.1631537230772961E-3</c:v>
                </c:pt>
                <c:pt idx="51">
                  <c:v>-5.1681368077512446E-3</c:v>
                </c:pt>
                <c:pt idx="52">
                  <c:v>-5.1730070597879596E-3</c:v>
                </c:pt>
                <c:pt idx="53">
                  <c:v>-5.1777689200525057E-3</c:v>
                </c:pt>
                <c:pt idx="54">
                  <c:v>-5.1824262751592465E-3</c:v>
                </c:pt>
                <c:pt idx="55">
                  <c:v>-5.1869824563782752E-3</c:v>
                </c:pt>
                <c:pt idx="56">
                  <c:v>-5.1914402368609669E-3</c:v>
                </c:pt>
                <c:pt idx="57">
                  <c:v>-5.1958018147319485E-3</c:v>
                </c:pt>
                <c:pt idx="58">
                  <c:v>-5.2000687889038897E-3</c:v>
                </c:pt>
                <c:pt idx="59">
                  <c:v>-5.2042421237537551E-3</c:v>
                </c:pt>
                <c:pt idx="60">
                  <c:v>-5.2083220972337077E-3</c:v>
                </c:pt>
                <c:pt idx="61">
                  <c:v>-5.2123082381869126E-3</c:v>
                </c:pt>
                <c:pt idx="62">
                  <c:v>-5.2161992416067116E-3</c:v>
                </c:pt>
                <c:pt idx="63">
                  <c:v>-5.2199928590418443E-3</c:v>
                </c:pt>
                <c:pt idx="64">
                  <c:v>-5.223685764814745E-3</c:v>
                </c:pt>
                <c:pt idx="65">
                  <c:v>-5.2272733813583661E-3</c:v>
                </c:pt>
                <c:pt idx="66">
                  <c:v>-5.2307496619322102E-3</c:v>
                </c:pt>
                <c:pt idx="67">
                  <c:v>-5.2341068104962982E-3</c:v>
                </c:pt>
                <c:pt idx="68">
                  <c:v>-5.2373349289455695E-3</c:v>
                </c:pt>
                <c:pt idx="69">
                  <c:v>-5.2404215591375092E-3</c:v>
                </c:pt>
                <c:pt idx="70">
                  <c:v>-5.2433510893546411E-3</c:v>
                </c:pt>
                <c:pt idx="71">
                  <c:v>-5.2461039833470169E-3</c:v>
                </c:pt>
                <c:pt idx="72">
                  <c:v>-5.2486557533932277E-3</c:v>
                </c:pt>
                <c:pt idx="73">
                  <c:v>-5.250975587080986E-3</c:v>
                </c:pt>
                <c:pt idx="74">
                  <c:v>-5.2530244817505234E-3</c:v>
                </c:pt>
                <c:pt idx="75">
                  <c:v>-5.2547526686746449E-3</c:v>
                </c:pt>
                <c:pt idx="76">
                  <c:v>-5.2560959884288549E-3</c:v>
                </c:pt>
                <c:pt idx="77">
                  <c:v>-5.2569706877478306E-3</c:v>
                </c:pt>
                <c:pt idx="78">
                  <c:v>-5.2572657699475056E-3</c:v>
                </c:pt>
                <c:pt idx="79">
                  <c:v>-5.2568314311829947E-3</c:v>
                </c:pt>
                <c:pt idx="80">
                  <c:v>-5.2554610268502056E-3</c:v>
                </c:pt>
                <c:pt idx="81">
                  <c:v>-5.2528618545304995E-3</c:v>
                </c:pt>
                <c:pt idx="82">
                  <c:v>-5.2486056453571739E-3</c:v>
                </c:pt>
                <c:pt idx="83">
                  <c:v>-5.2420399621893043E-3</c:v>
                </c:pt>
                <c:pt idx="84">
                  <c:v>-5.2321183598389989E-3</c:v>
                </c:pt>
                <c:pt idx="85">
                  <c:v>-5.2170449518648687E-3</c:v>
                </c:pt>
                <c:pt idx="86">
                  <c:v>-5.1934374377605175E-3</c:v>
                </c:pt>
                <c:pt idx="87">
                  <c:v>-5.1539961842354542E-3</c:v>
                </c:pt>
                <c:pt idx="88">
                  <c:v>-5.0790558139703901E-3</c:v>
                </c:pt>
                <c:pt idx="89">
                  <c:v>-4.8857904137571961E-3</c:v>
                </c:pt>
                <c:pt idx="90">
                  <c:v>-4.1707965681637696E-3</c:v>
                </c:pt>
                <c:pt idx="91">
                  <c:v>-3.2770096820751715E-3</c:v>
                </c:pt>
                <c:pt idx="92">
                  <c:v>-2.9390959500477654E-3</c:v>
                </c:pt>
                <c:pt idx="93">
                  <c:v>-2.7746367480977474E-3</c:v>
                </c:pt>
                <c:pt idx="94">
                  <c:v>-2.6693419516737316E-3</c:v>
                </c:pt>
                <c:pt idx="95">
                  <c:v>-2.5928895658083873E-3</c:v>
                </c:pt>
                <c:pt idx="96">
                  <c:v>-2.5331765511290572E-3</c:v>
                </c:pt>
                <c:pt idx="97">
                  <c:v>-2.4842580859961716E-3</c:v>
                </c:pt>
                <c:pt idx="98">
                  <c:v>-2.4428120330044489E-3</c:v>
                </c:pt>
                <c:pt idx="99">
                  <c:v>-2.4068093133807755E-3</c:v>
                </c:pt>
                <c:pt idx="100">
                  <c:v>-2.3749270090928087E-3</c:v>
                </c:pt>
                <c:pt idx="101">
                  <c:v>-2.3462582646744945E-3</c:v>
                </c:pt>
                <c:pt idx="102">
                  <c:v>-2.3201561914394375E-3</c:v>
                </c:pt>
                <c:pt idx="103">
                  <c:v>-2.2961441352462035E-3</c:v>
                </c:pt>
                <c:pt idx="104">
                  <c:v>-2.2516670045727993E-3</c:v>
                </c:pt>
                <c:pt idx="105">
                  <c:v>-2.1993802466340751E-3</c:v>
                </c:pt>
                <c:pt idx="106">
                  <c:v>-2.1540163988968959E-3</c:v>
                </c:pt>
                <c:pt idx="107">
                  <c:v>-2.114290015339193E-3</c:v>
                </c:pt>
                <c:pt idx="108">
                  <c:v>-2.0792104728842298E-3</c:v>
                </c:pt>
                <c:pt idx="109">
                  <c:v>-2.0480026796141355E-3</c:v>
                </c:pt>
                <c:pt idx="110">
                  <c:v>-2.0200518896476005E-3</c:v>
                </c:pt>
                <c:pt idx="111">
                  <c:v>-1.9948645295312928E-3</c:v>
                </c:pt>
                <c:pt idx="112">
                  <c:v>-1.9720398950648925E-3</c:v>
                </c:pt>
                <c:pt idx="113">
                  <c:v>-1.9512493689711197E-3</c:v>
                </c:pt>
                <c:pt idx="114">
                  <c:v>-1.932220938892393E-3</c:v>
                </c:pt>
                <c:pt idx="115">
                  <c:v>-1.9147275083857274E-3</c:v>
                </c:pt>
                <c:pt idx="116">
                  <c:v>-1.898577962791248E-3</c:v>
                </c:pt>
                <c:pt idx="117">
                  <c:v>-1.8836102645903849E-3</c:v>
                </c:pt>
                <c:pt idx="118">
                  <c:v>-1.8696860586914776E-3</c:v>
                </c:pt>
                <c:pt idx="119">
                  <c:v>-1.8566864186154164E-3</c:v>
                </c:pt>
                <c:pt idx="120">
                  <c:v>-1.8445084598611161E-3</c:v>
                </c:pt>
                <c:pt idx="121">
                  <c:v>-1.8330626194585919E-3</c:v>
                </c:pt>
                <c:pt idx="122">
                  <c:v>-1.822270454918784E-3</c:v>
                </c:pt>
                <c:pt idx="123">
                  <c:v>-1.8120628455005616E-3</c:v>
                </c:pt>
                <c:pt idx="124">
                  <c:v>-1.8023785135176664E-3</c:v>
                </c:pt>
                <c:pt idx="125">
                  <c:v>-1.7931627973036823E-3</c:v>
                </c:pt>
                <c:pt idx="126">
                  <c:v>-1.7843666249958701E-3</c:v>
                </c:pt>
                <c:pt idx="127">
                  <c:v>-1.7759456494652603E-3</c:v>
                </c:pt>
                <c:pt idx="128">
                  <c:v>-1.7678595114462015E-3</c:v>
                </c:pt>
                <c:pt idx="129">
                  <c:v>-1.7600712065087287E-3</c:v>
                </c:pt>
                <c:pt idx="130">
                  <c:v>-1.7525465345720195E-3</c:v>
                </c:pt>
                <c:pt idx="131">
                  <c:v>-1.7452536153131359E-3</c:v>
                </c:pt>
                <c:pt idx="132">
                  <c:v>-1.7381624553333141E-3</c:v>
                </c:pt>
                <c:pt idx="133">
                  <c:v>-1.7312445552422619E-3</c:v>
                </c:pt>
                <c:pt idx="134">
                  <c:v>-1.7244725463250732E-3</c:v>
                </c:pt>
                <c:pt idx="135">
                  <c:v>-1.7178198474883109E-3</c:v>
                </c:pt>
                <c:pt idx="136">
                  <c:v>-1.7112603337689494E-3</c:v>
                </c:pt>
                <c:pt idx="137">
                  <c:v>-1.7047680092664441E-3</c:v>
                </c:pt>
                <c:pt idx="138">
                  <c:v>-1.6983166745984102E-3</c:v>
                </c:pt>
                <c:pt idx="139">
                  <c:v>-1.6918795825365263E-3</c:v>
                </c:pt>
                <c:pt idx="140">
                  <c:v>-1.6854290714339304E-3</c:v>
                </c:pt>
                <c:pt idx="141">
                  <c:v>-1.6789361662679079E-3</c:v>
                </c:pt>
                <c:pt idx="142">
                  <c:v>-1.6723701376049613E-3</c:v>
                </c:pt>
                <c:pt idx="143">
                  <c:v>-1.6656980025707699E-3</c:v>
                </c:pt>
                <c:pt idx="144">
                  <c:v>-1.6588839526941457E-3</c:v>
                </c:pt>
                <c:pt idx="145">
                  <c:v>-1.651888689453318E-3</c:v>
                </c:pt>
                <c:pt idx="146">
                  <c:v>-1.644668640559954E-3</c:v>
                </c:pt>
                <c:pt idx="147">
                  <c:v>-1.6371750291065967E-3</c:v>
                </c:pt>
                <c:pt idx="148">
                  <c:v>-1.6293527532459384E-3</c:v>
                </c:pt>
                <c:pt idx="149">
                  <c:v>-1.6211390280934657E-3</c:v>
                </c:pt>
                <c:pt idx="150">
                  <c:v>-1.6124617244967501E-3</c:v>
                </c:pt>
                <c:pt idx="151">
                  <c:v>-1.6032373192723659E-3</c:v>
                </c:pt>
                <c:pt idx="152">
                  <c:v>-1.5933683464933737E-3</c:v>
                </c:pt>
                <c:pt idx="153">
                  <c:v>-1.5827402001961643E-3</c:v>
                </c:pt>
                <c:pt idx="154">
                  <c:v>-1.5712170921220461E-3</c:v>
                </c:pt>
                <c:pt idx="155">
                  <c:v>-1.5586368933608319E-3</c:v>
                </c:pt>
                <c:pt idx="156">
                  <c:v>-1.5448044918737747E-3</c:v>
                </c:pt>
                <c:pt idx="157">
                  <c:v>-1.5294831565542679E-3</c:v>
                </c:pt>
                <c:pt idx="158">
                  <c:v>-1.5123831896440287E-3</c:v>
                </c:pt>
                <c:pt idx="159">
                  <c:v>-1.4931468502906164E-3</c:v>
                </c:pt>
                <c:pt idx="160">
                  <c:v>-1.4713280800327524E-3</c:v>
                </c:pt>
                <c:pt idx="161">
                  <c:v>-1.4463648793167083E-3</c:v>
                </c:pt>
                <c:pt idx="162">
                  <c:v>-1.417541127193833E-3</c:v>
                </c:pt>
                <c:pt idx="163">
                  <c:v>-1.3839329764823161E-3</c:v>
                </c:pt>
                <c:pt idx="164">
                  <c:v>-1.344332275994897E-3</c:v>
                </c:pt>
                <c:pt idx="165">
                  <c:v>-1.2971350511472579E-3</c:v>
                </c:pt>
                <c:pt idx="166">
                  <c:v>-1.240175574498015E-3</c:v>
                </c:pt>
                <c:pt idx="167">
                  <c:v>-1.1814919302545193E-3</c:v>
                </c:pt>
                <c:pt idx="168">
                  <c:v>-1.1312479987481416E-3</c:v>
                </c:pt>
                <c:pt idx="169">
                  <c:v>-1.0748307669368187E-3</c:v>
                </c:pt>
                <c:pt idx="170">
                  <c:v>-1.0107384590178903E-3</c:v>
                </c:pt>
                <c:pt idx="171">
                  <c:v>-9.3690470259721881E-4</c:v>
                </c:pt>
                <c:pt idx="172">
                  <c:v>-8.5039165540062866E-4</c:v>
                </c:pt>
                <c:pt idx="173">
                  <c:v>-7.468507773435441E-4</c:v>
                </c:pt>
                <c:pt idx="174">
                  <c:v>-6.1950963240375856E-4</c:v>
                </c:pt>
                <c:pt idx="175">
                  <c:v>-4.5709717206116052E-4</c:v>
                </c:pt>
                <c:pt idx="176">
                  <c:v>-2.3907819600138547E-4</c:v>
                </c:pt>
                <c:pt idx="177">
                  <c:v>7.3080816721082797E-5</c:v>
                </c:pt>
                <c:pt idx="178">
                  <c:v>4.9519327795871648E-4</c:v>
                </c:pt>
                <c:pt idx="179">
                  <c:v>1.0130639841640088E-3</c:v>
                </c:pt>
                <c:pt idx="180">
                  <c:v>1.5774410827965599E-3</c:v>
                </c:pt>
                <c:pt idx="181">
                  <c:v>2.1306546389328602E-3</c:v>
                </c:pt>
                <c:pt idx="182">
                  <c:v>2.6238316529252903E-3</c:v>
                </c:pt>
                <c:pt idx="183">
                  <c:v>3.0160393114505024E-3</c:v>
                </c:pt>
                <c:pt idx="184">
                  <c:v>3.2997092103529968E-3</c:v>
                </c:pt>
                <c:pt idx="185">
                  <c:v>3.4937146622724402E-3</c:v>
                </c:pt>
                <c:pt idx="186">
                  <c:v>3.635515225679065E-3</c:v>
                </c:pt>
                <c:pt idx="187">
                  <c:v>3.7447395506703951E-3</c:v>
                </c:pt>
                <c:pt idx="188">
                  <c:v>3.8320555322705059E-3</c:v>
                </c:pt>
                <c:pt idx="189">
                  <c:v>3.90382030862868E-3</c:v>
                </c:pt>
                <c:pt idx="190">
                  <c:v>3.9640862251978937E-3</c:v>
                </c:pt>
                <c:pt idx="191">
                  <c:v>4.0155731254161164E-3</c:v>
                </c:pt>
                <c:pt idx="192">
                  <c:v>4.0601824868118919E-3</c:v>
                </c:pt>
                <c:pt idx="193">
                  <c:v>4.0992883769805366E-3</c:v>
                </c:pt>
                <c:pt idx="194">
                  <c:v>4.133911315576333E-3</c:v>
                </c:pt>
                <c:pt idx="195">
                  <c:v>4.1648269239157321E-3</c:v>
                </c:pt>
                <c:pt idx="196">
                  <c:v>4.192636411029349E-3</c:v>
                </c:pt>
                <c:pt idx="197">
                  <c:v>4.2178137730723986E-3</c:v>
                </c:pt>
                <c:pt idx="198">
                  <c:v>4.2407382914959046E-3</c:v>
                </c:pt>
                <c:pt idx="199">
                  <c:v>4.2617174345550004E-3</c:v>
                </c:pt>
                <c:pt idx="200">
                  <c:v>4.2810033460396468E-3</c:v>
                </c:pt>
                <c:pt idx="201">
                  <c:v>4.2988049368424819E-3</c:v>
                </c:pt>
                <c:pt idx="202">
                  <c:v>4.3152968964204064E-3</c:v>
                </c:pt>
                <c:pt idx="203">
                  <c:v>4.3306265163871047E-3</c:v>
                </c:pt>
                <c:pt idx="204">
                  <c:v>4.3449189168180405E-3</c:v>
                </c:pt>
                <c:pt idx="205">
                  <c:v>4.3582811106887562E-3</c:v>
                </c:pt>
                <c:pt idx="206">
                  <c:v>4.3708051851967808E-3</c:v>
                </c:pt>
                <c:pt idx="207">
                  <c:v>4.382570828889043E-3</c:v>
                </c:pt>
                <c:pt idx="208">
                  <c:v>4.3936473520401753E-3</c:v>
                </c:pt>
                <c:pt idx="209">
                  <c:v>4.4040953173764552E-3</c:v>
                </c:pt>
                <c:pt idx="210">
                  <c:v>4.4139678623328895E-3</c:v>
                </c:pt>
                <c:pt idx="211">
                  <c:v>4.4233117872149452E-3</c:v>
                </c:pt>
                <c:pt idx="212">
                  <c:v>4.4321684499283301E-3</c:v>
                </c:pt>
                <c:pt idx="213">
                  <c:v>4.4405745028249788E-3</c:v>
                </c:pt>
                <c:pt idx="214">
                  <c:v>4.4485625170895271E-3</c:v>
                </c:pt>
                <c:pt idx="215">
                  <c:v>4.4561614928033131E-3</c:v>
                </c:pt>
                <c:pt idx="216">
                  <c:v>4.4633973005218652E-3</c:v>
                </c:pt>
                <c:pt idx="217">
                  <c:v>4.4702930449687641E-3</c:v>
                </c:pt>
                <c:pt idx="218">
                  <c:v>4.4768693782992752E-3</c:v>
                </c:pt>
                <c:pt idx="219">
                  <c:v>4.48314476107431E-3</c:v>
                </c:pt>
                <c:pt idx="220">
                  <c:v>4.4891356877219124E-3</c:v>
                </c:pt>
                <c:pt idx="221">
                  <c:v>4.4948568760031504E-3</c:v>
                </c:pt>
                <c:pt idx="222">
                  <c:v>4.500321429422637E-3</c:v>
                </c:pt>
                <c:pt idx="223">
                  <c:v>4.5055409725039408E-3</c:v>
                </c:pt>
                <c:pt idx="224">
                  <c:v>4.5105257630117523E-3</c:v>
                </c:pt>
                <c:pt idx="225">
                  <c:v>4.5152847905624571E-3</c:v>
                </c:pt>
                <c:pt idx="226">
                  <c:v>4.5198258523946877E-3</c:v>
                </c:pt>
                <c:pt idx="227">
                  <c:v>4.524155613487236E-3</c:v>
                </c:pt>
                <c:pt idx="228">
                  <c:v>4.5282796566369363E-3</c:v>
                </c:pt>
                <c:pt idx="229">
                  <c:v>4.532202513679807E-3</c:v>
                </c:pt>
                <c:pt idx="230">
                  <c:v>4.5359276842552587E-3</c:v>
                </c:pt>
                <c:pt idx="231">
                  <c:v>4.5394576455689553E-3</c:v>
                </c:pt>
                <c:pt idx="232">
                  <c:v>4.5427938425754433E-3</c:v>
                </c:pt>
                <c:pt idx="233">
                  <c:v>4.545936665379724E-3</c:v>
                </c:pt>
                <c:pt idx="234">
                  <c:v>4.5488854169574147E-3</c:v>
                </c:pt>
                <c:pt idx="235">
                  <c:v>4.5516382545940925E-3</c:v>
                </c:pt>
                <c:pt idx="236">
                  <c:v>4.5541921230542459E-3</c:v>
                </c:pt>
                <c:pt idx="237">
                  <c:v>4.5565426585270075E-3</c:v>
                </c:pt>
                <c:pt idx="238">
                  <c:v>4.5586840724108901E-3</c:v>
                </c:pt>
                <c:pt idx="239">
                  <c:v>4.5606090068283089E-3</c:v>
                </c:pt>
                <c:pt idx="240">
                  <c:v>4.5623083509266351E-3</c:v>
                </c:pt>
                <c:pt idx="241">
                  <c:v>4.5637710238307641E-3</c:v>
                </c:pt>
                <c:pt idx="242">
                  <c:v>4.5649837028531315E-3</c:v>
                </c:pt>
                <c:pt idx="243">
                  <c:v>4.5659304877535001E-3</c:v>
                </c:pt>
                <c:pt idx="244">
                  <c:v>4.5665924958283588E-3</c:v>
                </c:pt>
                <c:pt idx="245">
                  <c:v>4.5669473539787786E-3</c:v>
                </c:pt>
                <c:pt idx="246">
                  <c:v>4.5669685746465016E-3</c:v>
                </c:pt>
                <c:pt idx="247">
                  <c:v>4.5666247707653049E-3</c:v>
                </c:pt>
                <c:pt idx="248">
                  <c:v>4.5658786764393167E-3</c:v>
                </c:pt>
                <c:pt idx="249">
                  <c:v>4.5646858989183414E-3</c:v>
                </c:pt>
                <c:pt idx="250">
                  <c:v>4.5629933221159047E-3</c:v>
                </c:pt>
                <c:pt idx="251">
                  <c:v>4.5607370517315457E-3</c:v>
                </c:pt>
                <c:pt idx="252">
                  <c:v>4.5578397178496757E-3</c:v>
                </c:pt>
                <c:pt idx="253">
                  <c:v>4.5542069061040302E-3</c:v>
                </c:pt>
                <c:pt idx="254">
                  <c:v>4.5497223629649688E-3</c:v>
                </c:pt>
                <c:pt idx="255">
                  <c:v>4.5442414489120222E-3</c:v>
                </c:pt>
                <c:pt idx="256">
                  <c:v>4.5375820315879936E-3</c:v>
                </c:pt>
                <c:pt idx="257">
                  <c:v>4.5295115613728787E-3</c:v>
                </c:pt>
                <c:pt idx="258">
                  <c:v>4.5197282931381819E-3</c:v>
                </c:pt>
                <c:pt idx="259">
                  <c:v>4.5078332507231811E-3</c:v>
                </c:pt>
                <c:pt idx="260">
                  <c:v>4.4932870609160624E-3</c:v>
                </c:pt>
                <c:pt idx="261">
                  <c:v>4.47534097736657E-3</c:v>
                </c:pt>
                <c:pt idx="262">
                  <c:v>4.4529217221240813E-3</c:v>
                </c:pt>
                <c:pt idx="263">
                  <c:v>4.42442870073112E-3</c:v>
                </c:pt>
                <c:pt idx="264">
                  <c:v>4.3873523244646329E-3</c:v>
                </c:pt>
                <c:pt idx="265">
                  <c:v>4.3374917670924162E-3</c:v>
                </c:pt>
                <c:pt idx="266">
                  <c:v>4.2671585662424905E-3</c:v>
                </c:pt>
                <c:pt idx="267">
                  <c:v>4.1603301193967601E-3</c:v>
                </c:pt>
                <c:pt idx="268">
                  <c:v>3.9758459410558222E-3</c:v>
                </c:pt>
                <c:pt idx="269">
                  <c:v>3.5538896999665064E-3</c:v>
                </c:pt>
                <c:pt idx="270">
                  <c:v>2.3086132961737671E-3</c:v>
                </c:pt>
                <c:pt idx="271">
                  <c:v>1.164766382792892E-3</c:v>
                </c:pt>
                <c:pt idx="272">
                  <c:v>8.104129098348567E-4</c:v>
                </c:pt>
                <c:pt idx="273">
                  <c:v>6.5077776546429422E-4</c:v>
                </c:pt>
                <c:pt idx="274">
                  <c:v>5.5274398575522188E-4</c:v>
                </c:pt>
                <c:pt idx="275">
                  <c:v>4.835519862630977E-4</c:v>
                </c:pt>
                <c:pt idx="276">
                  <c:v>4.3065034850220396E-4</c:v>
                </c:pt>
                <c:pt idx="277">
                  <c:v>3.8804339606068883E-4</c:v>
                </c:pt>
                <c:pt idx="278">
                  <c:v>3.5245005924355866E-4</c:v>
                </c:pt>
                <c:pt idx="279">
                  <c:v>3.2189958454043044E-4</c:v>
                </c:pt>
                <c:pt idx="280">
                  <c:v>2.9512481085847147E-4</c:v>
                </c:pt>
                <c:pt idx="281">
                  <c:v>2.7126736276456015E-4</c:v>
                </c:pt>
                <c:pt idx="282">
                  <c:v>2.4972126473821188E-4</c:v>
                </c:pt>
                <c:pt idx="283">
                  <c:v>2.3004412285804185E-4</c:v>
                </c:pt>
                <c:pt idx="284">
                  <c:v>2.1190383756330977E-4</c:v>
                </c:pt>
                <c:pt idx="285">
                  <c:v>1.9504516295620888E-4</c:v>
                </c:pt>
                <c:pt idx="286">
                  <c:v>1.7926791343414461E-4</c:v>
                </c:pt>
                <c:pt idx="287">
                  <c:v>1.6441230082853142E-4</c:v>
                </c:pt>
                <c:pt idx="288">
                  <c:v>1.5034878975933585E-4</c:v>
                </c:pt>
                <c:pt idx="289">
                  <c:v>1.3697091193443089E-4</c:v>
                </c:pt>
                <c:pt idx="290">
                  <c:v>1.2419006439384761E-4</c:v>
                </c:pt>
                <c:pt idx="291">
                  <c:v>1.1193167429307538E-4</c:v>
                </c:pt>
                <c:pt idx="292">
                  <c:v>1.0013232293315522E-4</c:v>
                </c:pt>
                <c:pt idx="293">
                  <c:v>8.8737556560525288E-5</c:v>
                </c:pt>
                <c:pt idx="294">
                  <c:v>7.7700195331320554E-5</c:v>
                </c:pt>
                <c:pt idx="295">
                  <c:v>6.6979012355805612E-5</c:v>
                </c:pt>
                <c:pt idx="296">
                  <c:v>5.6537688891300508E-5</c:v>
                </c:pt>
                <c:pt idx="297">
                  <c:v>4.6343978191032427E-5</c:v>
                </c:pt>
                <c:pt idx="298">
                  <c:v>3.6369030826932658E-5</c:v>
                </c:pt>
                <c:pt idx="299">
                  <c:v>2.6586843606180025E-5</c:v>
                </c:pt>
                <c:pt idx="300">
                  <c:v>1.6973806317599482E-5</c:v>
                </c:pt>
                <c:pt idx="301">
                  <c:v>7.5083240926310246E-6</c:v>
                </c:pt>
                <c:pt idx="302">
                  <c:v>-1.829498646133132E-6</c:v>
                </c:pt>
                <c:pt idx="303">
                  <c:v>-1.1058126158647319E-5</c:v>
                </c:pt>
                <c:pt idx="304">
                  <c:v>-2.0194821127472732E-5</c:v>
                </c:pt>
                <c:pt idx="305">
                  <c:v>-2.9255842326325606E-5</c:v>
                </c:pt>
                <c:pt idx="306">
                  <c:v>-3.8256617826692985E-5</c:v>
                </c:pt>
                <c:pt idx="307">
                  <c:v>-4.7211898012988751E-5</c:v>
                </c:pt>
                <c:pt idx="308">
                  <c:v>-5.6135892048725378E-5</c:v>
                </c:pt>
                <c:pt idx="309">
                  <c:v>-6.5042392486946987E-5</c:v>
                </c:pt>
                <c:pt idx="310">
                  <c:v>-7.3944888883625826E-5</c:v>
                </c:pt>
                <c:pt idx="311">
                  <c:v>-8.2856674967601851E-5</c:v>
                </c:pt>
                <c:pt idx="312">
                  <c:v>-9.1790949895753648E-5</c:v>
                </c:pt>
                <c:pt idx="313">
                  <c:v>-1.0076091597743808E-4</c:v>
                </c:pt>
                <c:pt idx="314">
                  <c:v>-1.0977987534582789E-4</c:v>
                </c:pt>
                <c:pt idx="315">
                  <c:v>-1.188613262423921E-4</c:v>
                </c:pt>
                <c:pt idx="316">
                  <c:v>-1.2801906092813067E-4</c:v>
                </c:pt>
                <c:pt idx="317">
                  <c:v>-1.3726726742957496E-4</c:v>
                </c:pt>
                <c:pt idx="318">
                  <c:v>-1.4662063598619435E-4</c:v>
                </c:pt>
                <c:pt idx="319">
                  <c:v>-1.5609447251535571E-4</c:v>
                </c:pt>
                <c:pt idx="320">
                  <c:v>-1.65704821604995E-4</c:v>
                </c:pt>
                <c:pt idx="321">
                  <c:v>-1.7546860040645876E-4</c:v>
                </c:pt>
                <c:pt idx="322">
                  <c:v>-1.8540374668474247E-4</c:v>
                </c:pt>
                <c:pt idx="323">
                  <c:v>-1.9552938415967613E-4</c:v>
                </c:pt>
                <c:pt idx="324">
                  <c:v>-2.0586600845828862E-4</c:v>
                </c:pt>
                <c:pt idx="325">
                  <c:v>-2.1643569831147899E-4</c:v>
                </c:pt>
                <c:pt idx="326">
                  <c:v>-2.2726235674203066E-4</c:v>
                </c:pt>
                <c:pt idx="327">
                  <c:v>-2.3837198922466166E-4</c:v>
                </c:pt>
                <c:pt idx="328">
                  <c:v>-2.4979302579875018E-4</c:v>
                </c:pt>
                <c:pt idx="329">
                  <c:v>-2.6155669770278056E-4</c:v>
                </c:pt>
                <c:pt idx="330">
                  <c:v>-2.7369747891825558E-4</c:v>
                </c:pt>
                <c:pt idx="331">
                  <c:v>-2.8625360918521636E-4</c:v>
                </c:pt>
                <c:pt idx="332">
                  <c:v>-2.9926771580490735E-4</c:v>
                </c:pt>
                <c:pt idx="333">
                  <c:v>-3.1278755910618688E-4</c:v>
                </c:pt>
                <c:pt idx="334">
                  <c:v>-3.2686693211853024E-4</c:v>
                </c:pt>
                <c:pt idx="335">
                  <c:v>-3.4156675391355806E-4</c:v>
                </c:pt>
                <c:pt idx="336">
                  <c:v>-3.5695640925476058E-4</c:v>
                </c:pt>
                <c:pt idx="337">
                  <c:v>-3.7311540330753346E-4</c:v>
                </c:pt>
                <c:pt idx="338">
                  <c:v>-3.9013542371268972E-4</c:v>
                </c:pt>
                <c:pt idx="339">
                  <c:v>-4.0812293457875842E-4</c:v>
                </c:pt>
                <c:pt idx="340">
                  <c:v>-4.2720247387173504E-4</c:v>
                </c:pt>
                <c:pt idx="341">
                  <c:v>-4.4752089139815654E-4</c:v>
                </c:pt>
                <c:pt idx="342">
                  <c:v>-4.6925286328564075E-4</c:v>
                </c:pt>
                <c:pt idx="343">
                  <c:v>-4.9260816428792209E-4</c:v>
                </c:pt>
                <c:pt idx="344">
                  <c:v>-5.178414023005451E-4</c:v>
                </c:pt>
                <c:pt idx="345">
                  <c:v>-5.4526526621900828E-4</c:v>
                </c:pt>
                <c:pt idx="346">
                  <c:v>-5.752688929550609E-4</c:v>
                </c:pt>
                <c:pt idx="347">
                  <c:v>-6.0834387041652782E-4</c:v>
                </c:pt>
                <c:pt idx="348">
                  <c:v>-6.4512193928767392E-4</c:v>
                </c:pt>
                <c:pt idx="349">
                  <c:v>-6.8643117364303174E-4</c:v>
                </c:pt>
                <c:pt idx="350">
                  <c:v>-7.3338240166176416E-4</c:v>
                </c:pt>
                <c:pt idx="351">
                  <c:v>-7.8750720927506235E-4</c:v>
                </c:pt>
                <c:pt idx="352">
                  <c:v>-8.5098838074171279E-4</c:v>
                </c:pt>
                <c:pt idx="353">
                  <c:v>-9.270661844593131E-4</c:v>
                </c:pt>
                <c:pt idx="354">
                  <c:v>-1.0208048552872162E-3</c:v>
                </c:pt>
                <c:pt idx="355">
                  <c:v>-1.1406699025653944E-3</c:v>
                </c:pt>
                <c:pt idx="356">
                  <c:v>-1.302174069835127E-3</c:v>
                </c:pt>
                <c:pt idx="357">
                  <c:v>-1.5347148379145081E-3</c:v>
                </c:pt>
                <c:pt idx="358">
                  <c:v>-1.8517600842857254E-3</c:v>
                </c:pt>
                <c:pt idx="359">
                  <c:v>-2.245105092653521E-3</c:v>
                </c:pt>
                <c:pt idx="360">
                  <c:v>-2.6798501375128736E-3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839-4C29-979B-E30241554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8356345413320352E-2"/>
          <c:y val="3.6745399230082618E-2"/>
          <c:w val="0.93690399965013715"/>
          <c:h val="0.77188800934066304"/>
        </c:manualLayout>
      </c:layout>
      <c:scatterChart>
        <c:scatterStyle val="lineMarker"/>
        <c:varyColors val="0"/>
        <c:ser>
          <c:idx val="2"/>
          <c:order val="0"/>
          <c:tx>
            <c:v>@ alpha</c:v>
          </c:tx>
          <c:spPr>
            <a:ln w="25400" cap="rnd">
              <a:noFill/>
              <a:round/>
            </a:ln>
            <a:effectLst/>
          </c:spPr>
          <c:marker>
            <c:symbol val="plus"/>
            <c:size val="7"/>
            <c:spPr>
              <a:noFill/>
              <a:ln w="15875">
                <a:solidFill>
                  <a:srgbClr val="C00000"/>
                </a:solidFill>
              </a:ln>
              <a:effectLst/>
            </c:spPr>
          </c:marker>
          <c:xVal>
            <c:numRef>
              <c:f>L_Section_Capacity!$B$27</c:f>
              <c:numCache>
                <c:formatCode>0.0000</c:formatCode>
                <c:ptCount val="1"/>
                <c:pt idx="0">
                  <c:v>3.0856710768259594</c:v>
                </c:pt>
              </c:numCache>
            </c:numRef>
          </c:xVal>
          <c:yVal>
            <c:numRef>
              <c:f>L_Section_Capacity!$CK$11</c:f>
              <c:numCache>
                <c:formatCode>0.000E+00</c:formatCode>
                <c:ptCount val="1"/>
                <c:pt idx="0">
                  <c:v>2.2030438584508261E-10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588-49DE-9AA4-65C22ACBA318}"/>
            </c:ext>
          </c:extLst>
        </c:ser>
        <c:ser>
          <c:idx val="3"/>
          <c:order val="1"/>
          <c:tx>
            <c:v>Tan-1(My/Mx)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2">
                    <a:lumMod val="75000"/>
                  </a:schemeClr>
                </a:solidFill>
              </a:ln>
              <a:effectLst/>
            </c:spPr>
          </c:marker>
          <c:xVal>
            <c:numRef>
              <c:f>L_Section_Capacity!$U$13</c:f>
              <c:numCache>
                <c:formatCode>0.000E+00</c:formatCode>
                <c:ptCount val="1"/>
                <c:pt idx="0">
                  <c:v>2.810038491713855</c:v>
                </c:pt>
              </c:numCache>
            </c:numRef>
          </c:xVal>
          <c:yVal>
            <c:numLit>
              <c:formatCode>General</c:formatCode>
              <c:ptCount val="1"/>
              <c:pt idx="0">
                <c:v>0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02-6588-49DE-9AA4-65C22ACBA318}"/>
            </c:ext>
          </c:extLst>
        </c:ser>
        <c:ser>
          <c:idx val="4"/>
          <c:order val="2"/>
          <c:tx>
            <c:v>User+/-pi/3</c:v>
          </c:tx>
          <c:spPr>
            <a:ln w="25400" cap="rnd">
              <a:noFill/>
              <a:round/>
            </a:ln>
            <a:effectLst/>
          </c:spPr>
          <c:marker>
            <c:symbol val="square"/>
            <c:size val="6"/>
            <c:spPr>
              <a:solidFill>
                <a:schemeClr val="accent5">
                  <a:lumMod val="60000"/>
                  <a:lumOff val="40000"/>
                </a:schemeClr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L_Section_Capacity!$AD$45:$AD$46</c:f>
              <c:numCache>
                <c:formatCode>0.000E+00</c:formatCode>
                <c:ptCount val="2"/>
                <c:pt idx="0">
                  <c:v>3.8572360429104524</c:v>
                </c:pt>
                <c:pt idx="1">
                  <c:v>1.7628409405172574</c:v>
                </c:pt>
              </c:numCache>
            </c:numRef>
          </c:xVal>
          <c:yVal>
            <c:numRef>
              <c:f>L_Section_Capacity!$AE$45:$AE$46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588-49DE-9AA4-65C22ACBA318}"/>
            </c:ext>
          </c:extLst>
        </c:ser>
        <c:ser>
          <c:idx val="0"/>
          <c:order val="3"/>
          <c:tx>
            <c:v>new reference point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L_Section_Capacity!$BW$15:$BW$375</c:f>
              <c:numCache>
                <c:formatCode>0.000</c:formatCode>
                <c:ptCount val="361"/>
                <c:pt idx="0">
                  <c:v>0</c:v>
                </c:pt>
                <c:pt idx="1">
                  <c:v>1.7453292519943295E-2</c:v>
                </c:pt>
                <c:pt idx="2">
                  <c:v>3.4906585039886591E-2</c:v>
                </c:pt>
                <c:pt idx="3">
                  <c:v>5.235987755982989E-2</c:v>
                </c:pt>
                <c:pt idx="4">
                  <c:v>6.9813170079773182E-2</c:v>
                </c:pt>
                <c:pt idx="5">
                  <c:v>8.7266462599716474E-2</c:v>
                </c:pt>
                <c:pt idx="6">
                  <c:v>0.10471975511965977</c:v>
                </c:pt>
                <c:pt idx="7">
                  <c:v>0.12217304763960306</c:v>
                </c:pt>
                <c:pt idx="8">
                  <c:v>0.13962634015954636</c:v>
                </c:pt>
                <c:pt idx="9">
                  <c:v>0.15707963267948966</c:v>
                </c:pt>
                <c:pt idx="10">
                  <c:v>0.17453292519943295</c:v>
                </c:pt>
                <c:pt idx="11">
                  <c:v>0.19198621771937624</c:v>
                </c:pt>
                <c:pt idx="12">
                  <c:v>0.20943951023931953</c:v>
                </c:pt>
                <c:pt idx="13">
                  <c:v>0.22689280275926282</c:v>
                </c:pt>
                <c:pt idx="14">
                  <c:v>0.24434609527920612</c:v>
                </c:pt>
                <c:pt idx="15">
                  <c:v>0.26179938779914941</c:v>
                </c:pt>
                <c:pt idx="16">
                  <c:v>0.27925268031909273</c:v>
                </c:pt>
                <c:pt idx="17">
                  <c:v>0.29670597283903605</c:v>
                </c:pt>
                <c:pt idx="18">
                  <c:v>0.31415926535897937</c:v>
                </c:pt>
                <c:pt idx="19">
                  <c:v>0.33161255787892269</c:v>
                </c:pt>
                <c:pt idx="20">
                  <c:v>0.34906585039886601</c:v>
                </c:pt>
                <c:pt idx="21">
                  <c:v>0.36651914291880933</c:v>
                </c:pt>
                <c:pt idx="22">
                  <c:v>0.38397243543875265</c:v>
                </c:pt>
                <c:pt idx="23">
                  <c:v>0.40142572795869597</c:v>
                </c:pt>
                <c:pt idx="24">
                  <c:v>0.41887902047863929</c:v>
                </c:pt>
                <c:pt idx="25">
                  <c:v>0.43633231299858261</c:v>
                </c:pt>
                <c:pt idx="26">
                  <c:v>0.45378560551852593</c:v>
                </c:pt>
                <c:pt idx="27">
                  <c:v>0.47123889803846924</c:v>
                </c:pt>
                <c:pt idx="28">
                  <c:v>0.48869219055841256</c:v>
                </c:pt>
                <c:pt idx="29">
                  <c:v>0.50614548307835583</c:v>
                </c:pt>
                <c:pt idx="30">
                  <c:v>0.52359877559829915</c:v>
                </c:pt>
                <c:pt idx="31">
                  <c:v>0.54105206811824247</c:v>
                </c:pt>
                <c:pt idx="32">
                  <c:v>0.55850536063818579</c:v>
                </c:pt>
                <c:pt idx="33">
                  <c:v>0.57595865315812911</c:v>
                </c:pt>
                <c:pt idx="34">
                  <c:v>0.59341194567807243</c:v>
                </c:pt>
                <c:pt idx="35">
                  <c:v>0.61086523819801575</c:v>
                </c:pt>
                <c:pt idx="36">
                  <c:v>0.62831853071795907</c:v>
                </c:pt>
                <c:pt idx="37">
                  <c:v>0.64577182323790239</c:v>
                </c:pt>
                <c:pt idx="38">
                  <c:v>0.66322511575784571</c:v>
                </c:pt>
                <c:pt idx="39">
                  <c:v>0.68067840827778903</c:v>
                </c:pt>
                <c:pt idx="40">
                  <c:v>0.69813170079773235</c:v>
                </c:pt>
                <c:pt idx="41">
                  <c:v>0.71558499331767567</c:v>
                </c:pt>
                <c:pt idx="42">
                  <c:v>0.73303828583761899</c:v>
                </c:pt>
                <c:pt idx="43">
                  <c:v>0.75049157835756231</c:v>
                </c:pt>
                <c:pt idx="44">
                  <c:v>0.76794487087750563</c:v>
                </c:pt>
                <c:pt idx="45">
                  <c:v>0.78539816339744895</c:v>
                </c:pt>
                <c:pt idx="46">
                  <c:v>0.80285145591739226</c:v>
                </c:pt>
                <c:pt idx="47">
                  <c:v>0.82030474843733558</c:v>
                </c:pt>
                <c:pt idx="48">
                  <c:v>0.8377580409572789</c:v>
                </c:pt>
                <c:pt idx="49">
                  <c:v>0.85521133347722222</c:v>
                </c:pt>
                <c:pt idx="50">
                  <c:v>0.87266462599716554</c:v>
                </c:pt>
                <c:pt idx="51">
                  <c:v>0.89011791851710886</c:v>
                </c:pt>
                <c:pt idx="52">
                  <c:v>0.90757121103705218</c:v>
                </c:pt>
                <c:pt idx="53">
                  <c:v>0.9250245035569955</c:v>
                </c:pt>
                <c:pt idx="54">
                  <c:v>0.94247779607693882</c:v>
                </c:pt>
                <c:pt idx="55">
                  <c:v>0.95993108859688214</c:v>
                </c:pt>
                <c:pt idx="56">
                  <c:v>0.97738438111682546</c:v>
                </c:pt>
                <c:pt idx="57">
                  <c:v>0.99483767363676878</c:v>
                </c:pt>
                <c:pt idx="58">
                  <c:v>1.0122909661567121</c:v>
                </c:pt>
                <c:pt idx="59">
                  <c:v>1.0297442586766554</c:v>
                </c:pt>
                <c:pt idx="60">
                  <c:v>1.0471975511965987</c:v>
                </c:pt>
                <c:pt idx="61">
                  <c:v>1.0646508437165421</c:v>
                </c:pt>
                <c:pt idx="62">
                  <c:v>1.0821041362364854</c:v>
                </c:pt>
                <c:pt idx="63">
                  <c:v>1.0995574287564287</c:v>
                </c:pt>
                <c:pt idx="64">
                  <c:v>1.117010721276372</c:v>
                </c:pt>
                <c:pt idx="65">
                  <c:v>1.1344640137963153</c:v>
                </c:pt>
                <c:pt idx="66">
                  <c:v>1.1519173063162587</c:v>
                </c:pt>
                <c:pt idx="67">
                  <c:v>1.169370598836202</c:v>
                </c:pt>
                <c:pt idx="68">
                  <c:v>1.1868238913561453</c:v>
                </c:pt>
                <c:pt idx="69">
                  <c:v>1.2042771838760886</c:v>
                </c:pt>
                <c:pt idx="70">
                  <c:v>1.2217304763960319</c:v>
                </c:pt>
                <c:pt idx="71">
                  <c:v>1.2391837689159753</c:v>
                </c:pt>
                <c:pt idx="72">
                  <c:v>1.2566370614359186</c:v>
                </c:pt>
                <c:pt idx="73">
                  <c:v>1.2740903539558619</c:v>
                </c:pt>
                <c:pt idx="74">
                  <c:v>1.2915436464758052</c:v>
                </c:pt>
                <c:pt idx="75">
                  <c:v>1.3089969389957485</c:v>
                </c:pt>
                <c:pt idx="76">
                  <c:v>1.3264502315156919</c:v>
                </c:pt>
                <c:pt idx="77">
                  <c:v>1.3439035240356352</c:v>
                </c:pt>
                <c:pt idx="78">
                  <c:v>1.3613568165555785</c:v>
                </c:pt>
                <c:pt idx="79">
                  <c:v>1.3788101090755218</c:v>
                </c:pt>
                <c:pt idx="80">
                  <c:v>1.3962634015954651</c:v>
                </c:pt>
                <c:pt idx="81">
                  <c:v>1.4137166941154085</c:v>
                </c:pt>
                <c:pt idx="82">
                  <c:v>1.4311699866353518</c:v>
                </c:pt>
                <c:pt idx="83">
                  <c:v>1.4486232791552951</c:v>
                </c:pt>
                <c:pt idx="84">
                  <c:v>1.4660765716752384</c:v>
                </c:pt>
                <c:pt idx="85">
                  <c:v>1.4835298641951817</c:v>
                </c:pt>
                <c:pt idx="86">
                  <c:v>1.5009831567151251</c:v>
                </c:pt>
                <c:pt idx="87">
                  <c:v>1.5184364492350684</c:v>
                </c:pt>
                <c:pt idx="88">
                  <c:v>1.5358897417550117</c:v>
                </c:pt>
                <c:pt idx="89">
                  <c:v>1.553343034274955</c:v>
                </c:pt>
                <c:pt idx="90">
                  <c:v>1.5707963267948983</c:v>
                </c:pt>
                <c:pt idx="91">
                  <c:v>1.5882496193148417</c:v>
                </c:pt>
                <c:pt idx="92">
                  <c:v>1.605702911834785</c:v>
                </c:pt>
                <c:pt idx="93">
                  <c:v>1.6231562043547283</c:v>
                </c:pt>
                <c:pt idx="94">
                  <c:v>1.6406094968746716</c:v>
                </c:pt>
                <c:pt idx="95">
                  <c:v>1.6580627893946149</c:v>
                </c:pt>
                <c:pt idx="96">
                  <c:v>1.6755160819145583</c:v>
                </c:pt>
                <c:pt idx="97">
                  <c:v>1.6929693744345016</c:v>
                </c:pt>
                <c:pt idx="98">
                  <c:v>1.7104226669544449</c:v>
                </c:pt>
                <c:pt idx="99">
                  <c:v>1.7278759594743882</c:v>
                </c:pt>
                <c:pt idx="100">
                  <c:v>1.7453292519943315</c:v>
                </c:pt>
                <c:pt idx="101">
                  <c:v>1.7627825445142749</c:v>
                </c:pt>
                <c:pt idx="102">
                  <c:v>1.7802358370342182</c:v>
                </c:pt>
                <c:pt idx="103">
                  <c:v>1.7976891295541615</c:v>
                </c:pt>
                <c:pt idx="104">
                  <c:v>1.8151424220741048</c:v>
                </c:pt>
                <c:pt idx="105">
                  <c:v>1.8325957145940481</c:v>
                </c:pt>
                <c:pt idx="106">
                  <c:v>1.8500490071139915</c:v>
                </c:pt>
                <c:pt idx="107">
                  <c:v>1.8675022996339348</c:v>
                </c:pt>
                <c:pt idx="108">
                  <c:v>1.8849555921538781</c:v>
                </c:pt>
                <c:pt idx="109">
                  <c:v>1.9024088846738214</c:v>
                </c:pt>
                <c:pt idx="110">
                  <c:v>1.9198621771937647</c:v>
                </c:pt>
                <c:pt idx="111">
                  <c:v>1.937315469713708</c:v>
                </c:pt>
                <c:pt idx="112">
                  <c:v>1.9547687622336514</c:v>
                </c:pt>
                <c:pt idx="113">
                  <c:v>1.9722220547535947</c:v>
                </c:pt>
                <c:pt idx="114">
                  <c:v>1.989675347273538</c:v>
                </c:pt>
                <c:pt idx="115">
                  <c:v>2.0071286397934811</c:v>
                </c:pt>
                <c:pt idx="116">
                  <c:v>2.0245819323134242</c:v>
                </c:pt>
                <c:pt idx="117">
                  <c:v>2.0420352248333673</c:v>
                </c:pt>
                <c:pt idx="118">
                  <c:v>2.0594885173533104</c:v>
                </c:pt>
                <c:pt idx="119">
                  <c:v>2.0769418098732535</c:v>
                </c:pt>
                <c:pt idx="120">
                  <c:v>2.0943951023931966</c:v>
                </c:pt>
                <c:pt idx="121">
                  <c:v>2.1118483949131397</c:v>
                </c:pt>
                <c:pt idx="122">
                  <c:v>2.1293016874330828</c:v>
                </c:pt>
                <c:pt idx="123">
                  <c:v>2.1467549799530259</c:v>
                </c:pt>
                <c:pt idx="124">
                  <c:v>2.164208272472969</c:v>
                </c:pt>
                <c:pt idx="125">
                  <c:v>2.1816615649929121</c:v>
                </c:pt>
                <c:pt idx="126">
                  <c:v>2.1991148575128552</c:v>
                </c:pt>
                <c:pt idx="127">
                  <c:v>2.2165681500327983</c:v>
                </c:pt>
                <c:pt idx="128">
                  <c:v>2.2340214425527414</c:v>
                </c:pt>
                <c:pt idx="129">
                  <c:v>2.2514747350726845</c:v>
                </c:pt>
                <c:pt idx="130">
                  <c:v>2.2689280275926276</c:v>
                </c:pt>
                <c:pt idx="131">
                  <c:v>2.2863813201125707</c:v>
                </c:pt>
                <c:pt idx="132">
                  <c:v>2.3038346126325138</c:v>
                </c:pt>
                <c:pt idx="133">
                  <c:v>2.3212879051524569</c:v>
                </c:pt>
                <c:pt idx="134">
                  <c:v>2.3387411976724</c:v>
                </c:pt>
                <c:pt idx="135">
                  <c:v>2.3561944901923431</c:v>
                </c:pt>
                <c:pt idx="136">
                  <c:v>2.3736477827122862</c:v>
                </c:pt>
                <c:pt idx="137">
                  <c:v>2.3911010752322293</c:v>
                </c:pt>
                <c:pt idx="138">
                  <c:v>2.4085543677521724</c:v>
                </c:pt>
                <c:pt idx="139">
                  <c:v>2.4260076602721155</c:v>
                </c:pt>
                <c:pt idx="140">
                  <c:v>2.4434609527920585</c:v>
                </c:pt>
                <c:pt idx="141">
                  <c:v>2.4609142453120016</c:v>
                </c:pt>
                <c:pt idx="142">
                  <c:v>2.4783675378319447</c:v>
                </c:pt>
                <c:pt idx="143">
                  <c:v>2.4958208303518878</c:v>
                </c:pt>
                <c:pt idx="144">
                  <c:v>2.5132741228718309</c:v>
                </c:pt>
                <c:pt idx="145">
                  <c:v>2.530727415391774</c:v>
                </c:pt>
                <c:pt idx="146">
                  <c:v>2.5481807079117171</c:v>
                </c:pt>
                <c:pt idx="147">
                  <c:v>2.5656340004316602</c:v>
                </c:pt>
                <c:pt idx="148">
                  <c:v>2.5830872929516033</c:v>
                </c:pt>
                <c:pt idx="149">
                  <c:v>2.6005405854715464</c:v>
                </c:pt>
                <c:pt idx="150">
                  <c:v>2.6179938779914895</c:v>
                </c:pt>
                <c:pt idx="151">
                  <c:v>2.6354471705114326</c:v>
                </c:pt>
                <c:pt idx="152">
                  <c:v>2.6529004630313757</c:v>
                </c:pt>
                <c:pt idx="153">
                  <c:v>2.6703537555513188</c:v>
                </c:pt>
                <c:pt idx="154">
                  <c:v>2.6878070480712619</c:v>
                </c:pt>
                <c:pt idx="155">
                  <c:v>2.705260340591205</c:v>
                </c:pt>
                <c:pt idx="156">
                  <c:v>2.7227136331111481</c:v>
                </c:pt>
                <c:pt idx="157">
                  <c:v>2.7401669256310912</c:v>
                </c:pt>
                <c:pt idx="158">
                  <c:v>2.7576202181510343</c:v>
                </c:pt>
                <c:pt idx="159">
                  <c:v>2.7750735106709774</c:v>
                </c:pt>
                <c:pt idx="160">
                  <c:v>2.7925268031909205</c:v>
                </c:pt>
                <c:pt idx="161">
                  <c:v>2.8099800957108636</c:v>
                </c:pt>
                <c:pt idx="162">
                  <c:v>2.8274333882308067</c:v>
                </c:pt>
                <c:pt idx="163">
                  <c:v>2.8448866807507498</c:v>
                </c:pt>
                <c:pt idx="164">
                  <c:v>2.8623399732706929</c:v>
                </c:pt>
                <c:pt idx="165">
                  <c:v>2.879793265790636</c:v>
                </c:pt>
                <c:pt idx="166">
                  <c:v>2.8972465583105791</c:v>
                </c:pt>
                <c:pt idx="167">
                  <c:v>2.9146998508305222</c:v>
                </c:pt>
                <c:pt idx="168">
                  <c:v>2.9321531433504653</c:v>
                </c:pt>
                <c:pt idx="169">
                  <c:v>2.9496064358704084</c:v>
                </c:pt>
                <c:pt idx="170">
                  <c:v>2.9670597283903515</c:v>
                </c:pt>
                <c:pt idx="171">
                  <c:v>2.9845130209102946</c:v>
                </c:pt>
                <c:pt idx="172">
                  <c:v>3.0019663134302377</c:v>
                </c:pt>
                <c:pt idx="173">
                  <c:v>3.0194196059501808</c:v>
                </c:pt>
                <c:pt idx="174">
                  <c:v>3.0368728984701239</c:v>
                </c:pt>
                <c:pt idx="175">
                  <c:v>3.054326190990067</c:v>
                </c:pt>
                <c:pt idx="176">
                  <c:v>3.0717794835100101</c:v>
                </c:pt>
                <c:pt idx="177">
                  <c:v>3.0892327760299532</c:v>
                </c:pt>
                <c:pt idx="178">
                  <c:v>3.1066860685498963</c:v>
                </c:pt>
                <c:pt idx="179">
                  <c:v>3.1241393610698394</c:v>
                </c:pt>
                <c:pt idx="180">
                  <c:v>3.1415926535897825</c:v>
                </c:pt>
                <c:pt idx="181">
                  <c:v>3.1590459461097256</c:v>
                </c:pt>
                <c:pt idx="182">
                  <c:v>3.1764992386296687</c:v>
                </c:pt>
                <c:pt idx="183">
                  <c:v>3.1939525311496118</c:v>
                </c:pt>
                <c:pt idx="184">
                  <c:v>3.2114058236695548</c:v>
                </c:pt>
                <c:pt idx="185">
                  <c:v>3.2288591161894979</c:v>
                </c:pt>
                <c:pt idx="186">
                  <c:v>3.246312408709441</c:v>
                </c:pt>
                <c:pt idx="187">
                  <c:v>3.2637657012293841</c:v>
                </c:pt>
                <c:pt idx="188">
                  <c:v>3.2812189937493272</c:v>
                </c:pt>
                <c:pt idx="189">
                  <c:v>3.2986722862692703</c:v>
                </c:pt>
                <c:pt idx="190">
                  <c:v>3.3161255787892134</c:v>
                </c:pt>
                <c:pt idx="191">
                  <c:v>3.3335788713091565</c:v>
                </c:pt>
                <c:pt idx="192">
                  <c:v>3.3510321638290996</c:v>
                </c:pt>
                <c:pt idx="193">
                  <c:v>3.3684854563490427</c:v>
                </c:pt>
                <c:pt idx="194">
                  <c:v>3.3859387488689858</c:v>
                </c:pt>
                <c:pt idx="195">
                  <c:v>3.4033920413889289</c:v>
                </c:pt>
                <c:pt idx="196">
                  <c:v>3.420845333908872</c:v>
                </c:pt>
                <c:pt idx="197">
                  <c:v>3.4382986264288151</c:v>
                </c:pt>
                <c:pt idx="198">
                  <c:v>3.4557519189487582</c:v>
                </c:pt>
                <c:pt idx="199">
                  <c:v>3.4732052114687013</c:v>
                </c:pt>
                <c:pt idx="200">
                  <c:v>3.4906585039886444</c:v>
                </c:pt>
                <c:pt idx="201">
                  <c:v>3.5081117965085875</c:v>
                </c:pt>
                <c:pt idx="202">
                  <c:v>3.5255650890285306</c:v>
                </c:pt>
                <c:pt idx="203">
                  <c:v>3.5430183815484737</c:v>
                </c:pt>
                <c:pt idx="204">
                  <c:v>3.5604716740684168</c:v>
                </c:pt>
                <c:pt idx="205">
                  <c:v>3.5779249665883599</c:v>
                </c:pt>
                <c:pt idx="206">
                  <c:v>3.595378259108303</c:v>
                </c:pt>
                <c:pt idx="207">
                  <c:v>3.6128315516282461</c:v>
                </c:pt>
                <c:pt idx="208">
                  <c:v>3.6302848441481892</c:v>
                </c:pt>
                <c:pt idx="209">
                  <c:v>3.6477381366681323</c:v>
                </c:pt>
                <c:pt idx="210">
                  <c:v>3.6651914291880754</c:v>
                </c:pt>
                <c:pt idx="211">
                  <c:v>3.6826447217080185</c:v>
                </c:pt>
                <c:pt idx="212">
                  <c:v>3.7000980142279616</c:v>
                </c:pt>
                <c:pt idx="213">
                  <c:v>3.7175513067479047</c:v>
                </c:pt>
                <c:pt idx="214">
                  <c:v>3.7350045992678478</c:v>
                </c:pt>
                <c:pt idx="215">
                  <c:v>3.7524578917877909</c:v>
                </c:pt>
                <c:pt idx="216">
                  <c:v>3.769911184307734</c:v>
                </c:pt>
                <c:pt idx="217">
                  <c:v>3.7873644768276771</c:v>
                </c:pt>
                <c:pt idx="218">
                  <c:v>3.8048177693476202</c:v>
                </c:pt>
                <c:pt idx="219">
                  <c:v>3.8222710618675633</c:v>
                </c:pt>
                <c:pt idx="220">
                  <c:v>3.8397243543875064</c:v>
                </c:pt>
                <c:pt idx="221">
                  <c:v>3.8571776469074495</c:v>
                </c:pt>
                <c:pt idx="222">
                  <c:v>3.8746309394273926</c:v>
                </c:pt>
                <c:pt idx="223">
                  <c:v>3.8920842319473357</c:v>
                </c:pt>
                <c:pt idx="224">
                  <c:v>3.9095375244672788</c:v>
                </c:pt>
                <c:pt idx="225">
                  <c:v>3.9269908169872219</c:v>
                </c:pt>
                <c:pt idx="226">
                  <c:v>3.944444109507165</c:v>
                </c:pt>
                <c:pt idx="227">
                  <c:v>3.9618974020271081</c:v>
                </c:pt>
                <c:pt idx="228">
                  <c:v>3.9793506945470511</c:v>
                </c:pt>
                <c:pt idx="229">
                  <c:v>3.9968039870669942</c:v>
                </c:pt>
                <c:pt idx="230">
                  <c:v>4.0142572795869373</c:v>
                </c:pt>
                <c:pt idx="231">
                  <c:v>4.0317105721068804</c:v>
                </c:pt>
                <c:pt idx="232">
                  <c:v>4.0491638646268235</c:v>
                </c:pt>
                <c:pt idx="233">
                  <c:v>4.0666171571467666</c:v>
                </c:pt>
                <c:pt idx="234">
                  <c:v>4.0840704496667097</c:v>
                </c:pt>
                <c:pt idx="235">
                  <c:v>4.1015237421866528</c:v>
                </c:pt>
                <c:pt idx="236">
                  <c:v>4.1189770347065959</c:v>
                </c:pt>
                <c:pt idx="237">
                  <c:v>4.136430327226539</c:v>
                </c:pt>
                <c:pt idx="238">
                  <c:v>4.1538836197464821</c:v>
                </c:pt>
                <c:pt idx="239">
                  <c:v>4.1713369122664252</c:v>
                </c:pt>
                <c:pt idx="240">
                  <c:v>4.1887902047863683</c:v>
                </c:pt>
                <c:pt idx="241">
                  <c:v>4.2062434973063114</c:v>
                </c:pt>
                <c:pt idx="242">
                  <c:v>4.2236967898262545</c:v>
                </c:pt>
                <c:pt idx="243">
                  <c:v>4.2411500823461976</c:v>
                </c:pt>
                <c:pt idx="244">
                  <c:v>4.2586033748661407</c:v>
                </c:pt>
                <c:pt idx="245">
                  <c:v>4.2760566673860838</c:v>
                </c:pt>
                <c:pt idx="246">
                  <c:v>4.2935099599060269</c:v>
                </c:pt>
                <c:pt idx="247">
                  <c:v>4.31096325242597</c:v>
                </c:pt>
                <c:pt idx="248">
                  <c:v>4.3284165449459131</c:v>
                </c:pt>
                <c:pt idx="249">
                  <c:v>4.3458698374658562</c:v>
                </c:pt>
                <c:pt idx="250">
                  <c:v>4.3633231299857993</c:v>
                </c:pt>
                <c:pt idx="251">
                  <c:v>4.3807764225057424</c:v>
                </c:pt>
                <c:pt idx="252">
                  <c:v>4.3982297150256855</c:v>
                </c:pt>
                <c:pt idx="253">
                  <c:v>4.4156830075456286</c:v>
                </c:pt>
                <c:pt idx="254">
                  <c:v>4.4331363000655717</c:v>
                </c:pt>
                <c:pt idx="255">
                  <c:v>4.4505895925855148</c:v>
                </c:pt>
                <c:pt idx="256">
                  <c:v>4.4680428851054579</c:v>
                </c:pt>
                <c:pt idx="257">
                  <c:v>4.485496177625401</c:v>
                </c:pt>
                <c:pt idx="258">
                  <c:v>4.5029494701453441</c:v>
                </c:pt>
                <c:pt idx="259">
                  <c:v>4.5204027626652872</c:v>
                </c:pt>
                <c:pt idx="260">
                  <c:v>4.5378560551852303</c:v>
                </c:pt>
                <c:pt idx="261">
                  <c:v>4.5553093477051734</c:v>
                </c:pt>
                <c:pt idx="262">
                  <c:v>4.5727626402251165</c:v>
                </c:pt>
                <c:pt idx="263">
                  <c:v>4.5902159327450596</c:v>
                </c:pt>
                <c:pt idx="264">
                  <c:v>4.6076692252650027</c:v>
                </c:pt>
                <c:pt idx="265">
                  <c:v>4.6251225177849458</c:v>
                </c:pt>
                <c:pt idx="266">
                  <c:v>4.6425758103048889</c:v>
                </c:pt>
                <c:pt idx="267">
                  <c:v>4.660029102824832</c:v>
                </c:pt>
                <c:pt idx="268">
                  <c:v>4.6774823953447751</c:v>
                </c:pt>
                <c:pt idx="269">
                  <c:v>4.6949356878647182</c:v>
                </c:pt>
                <c:pt idx="270">
                  <c:v>4.7123889803846613</c:v>
                </c:pt>
                <c:pt idx="271">
                  <c:v>4.7298422729046044</c:v>
                </c:pt>
                <c:pt idx="272">
                  <c:v>4.7472955654245474</c:v>
                </c:pt>
                <c:pt idx="273">
                  <c:v>4.7647488579444905</c:v>
                </c:pt>
                <c:pt idx="274">
                  <c:v>4.7822021504644336</c:v>
                </c:pt>
                <c:pt idx="275">
                  <c:v>4.7996554429843767</c:v>
                </c:pt>
                <c:pt idx="276">
                  <c:v>4.8171087355043198</c:v>
                </c:pt>
                <c:pt idx="277">
                  <c:v>4.8345620280242629</c:v>
                </c:pt>
                <c:pt idx="278">
                  <c:v>4.852015320544206</c:v>
                </c:pt>
                <c:pt idx="279">
                  <c:v>4.8694686130641491</c:v>
                </c:pt>
                <c:pt idx="280">
                  <c:v>4.8869219055840922</c:v>
                </c:pt>
                <c:pt idx="281">
                  <c:v>4.9043751981040353</c:v>
                </c:pt>
                <c:pt idx="282">
                  <c:v>4.9218284906239784</c:v>
                </c:pt>
                <c:pt idx="283">
                  <c:v>4.9392817831439215</c:v>
                </c:pt>
                <c:pt idx="284">
                  <c:v>4.9567350756638646</c:v>
                </c:pt>
                <c:pt idx="285">
                  <c:v>4.9741883681838077</c:v>
                </c:pt>
                <c:pt idx="286">
                  <c:v>4.9916416607037508</c:v>
                </c:pt>
                <c:pt idx="287">
                  <c:v>5.0090949532236939</c:v>
                </c:pt>
                <c:pt idx="288">
                  <c:v>5.026548245743637</c:v>
                </c:pt>
                <c:pt idx="289">
                  <c:v>5.0440015382635801</c:v>
                </c:pt>
                <c:pt idx="290">
                  <c:v>5.0614548307835232</c:v>
                </c:pt>
                <c:pt idx="291">
                  <c:v>5.0789081233034663</c:v>
                </c:pt>
                <c:pt idx="292">
                  <c:v>5.0963614158234094</c:v>
                </c:pt>
                <c:pt idx="293">
                  <c:v>5.1138147083433525</c:v>
                </c:pt>
                <c:pt idx="294">
                  <c:v>5.1312680008632956</c:v>
                </c:pt>
                <c:pt idx="295">
                  <c:v>5.1487212933832387</c:v>
                </c:pt>
                <c:pt idx="296">
                  <c:v>5.1661745859031818</c:v>
                </c:pt>
                <c:pt idx="297">
                  <c:v>5.1836278784231249</c:v>
                </c:pt>
                <c:pt idx="298">
                  <c:v>5.201081170943068</c:v>
                </c:pt>
                <c:pt idx="299">
                  <c:v>5.2185344634630111</c:v>
                </c:pt>
                <c:pt idx="300">
                  <c:v>5.2359877559829542</c:v>
                </c:pt>
                <c:pt idx="301">
                  <c:v>5.2534410485028973</c:v>
                </c:pt>
                <c:pt idx="302">
                  <c:v>5.2708943410228404</c:v>
                </c:pt>
                <c:pt idx="303">
                  <c:v>5.2883476335427835</c:v>
                </c:pt>
                <c:pt idx="304">
                  <c:v>5.3058009260627266</c:v>
                </c:pt>
                <c:pt idx="305">
                  <c:v>5.3232542185826697</c:v>
                </c:pt>
                <c:pt idx="306">
                  <c:v>5.3407075111026128</c:v>
                </c:pt>
                <c:pt idx="307">
                  <c:v>5.3581608036225559</c:v>
                </c:pt>
                <c:pt idx="308">
                  <c:v>5.375614096142499</c:v>
                </c:pt>
                <c:pt idx="309">
                  <c:v>5.3930673886624421</c:v>
                </c:pt>
                <c:pt idx="310">
                  <c:v>5.4105206811823852</c:v>
                </c:pt>
                <c:pt idx="311">
                  <c:v>5.4279739737023283</c:v>
                </c:pt>
                <c:pt idx="312">
                  <c:v>5.4454272662222714</c:v>
                </c:pt>
                <c:pt idx="313">
                  <c:v>5.4628805587422145</c:v>
                </c:pt>
                <c:pt idx="314">
                  <c:v>5.4803338512621576</c:v>
                </c:pt>
                <c:pt idx="315">
                  <c:v>5.4977871437821006</c:v>
                </c:pt>
                <c:pt idx="316">
                  <c:v>5.5152404363020437</c:v>
                </c:pt>
                <c:pt idx="317">
                  <c:v>5.5326937288219868</c:v>
                </c:pt>
                <c:pt idx="318">
                  <c:v>5.5501470213419299</c:v>
                </c:pt>
                <c:pt idx="319">
                  <c:v>5.567600313861873</c:v>
                </c:pt>
                <c:pt idx="320">
                  <c:v>5.5850536063818161</c:v>
                </c:pt>
                <c:pt idx="321">
                  <c:v>5.6025068989017592</c:v>
                </c:pt>
                <c:pt idx="322">
                  <c:v>5.6199601914217023</c:v>
                </c:pt>
                <c:pt idx="323">
                  <c:v>5.6374134839416454</c:v>
                </c:pt>
                <c:pt idx="324">
                  <c:v>5.6548667764615885</c:v>
                </c:pt>
                <c:pt idx="325">
                  <c:v>5.6723200689815316</c:v>
                </c:pt>
                <c:pt idx="326">
                  <c:v>5.6897733615014747</c:v>
                </c:pt>
                <c:pt idx="327">
                  <c:v>5.7072266540214178</c:v>
                </c:pt>
                <c:pt idx="328">
                  <c:v>5.7246799465413609</c:v>
                </c:pt>
                <c:pt idx="329">
                  <c:v>5.742133239061304</c:v>
                </c:pt>
                <c:pt idx="330">
                  <c:v>5.7595865315812471</c:v>
                </c:pt>
                <c:pt idx="331">
                  <c:v>5.7770398241011902</c:v>
                </c:pt>
                <c:pt idx="332">
                  <c:v>5.7944931166211333</c:v>
                </c:pt>
                <c:pt idx="333">
                  <c:v>5.8119464091410764</c:v>
                </c:pt>
                <c:pt idx="334">
                  <c:v>5.8293997016610195</c:v>
                </c:pt>
                <c:pt idx="335">
                  <c:v>5.8468529941809626</c:v>
                </c:pt>
                <c:pt idx="336">
                  <c:v>5.8643062867009057</c:v>
                </c:pt>
                <c:pt idx="337">
                  <c:v>5.8817595792208488</c:v>
                </c:pt>
                <c:pt idx="338">
                  <c:v>5.8992128717407919</c:v>
                </c:pt>
                <c:pt idx="339">
                  <c:v>5.916666164260735</c:v>
                </c:pt>
                <c:pt idx="340">
                  <c:v>5.9341194567806781</c:v>
                </c:pt>
                <c:pt idx="341">
                  <c:v>5.9515727493006212</c:v>
                </c:pt>
                <c:pt idx="342">
                  <c:v>5.9690260418205643</c:v>
                </c:pt>
                <c:pt idx="343">
                  <c:v>5.9864793343405074</c:v>
                </c:pt>
                <c:pt idx="344">
                  <c:v>6.0039326268604505</c:v>
                </c:pt>
                <c:pt idx="345">
                  <c:v>6.0213859193803936</c:v>
                </c:pt>
                <c:pt idx="346">
                  <c:v>6.0388392119003367</c:v>
                </c:pt>
                <c:pt idx="347">
                  <c:v>6.0562925044202798</c:v>
                </c:pt>
                <c:pt idx="348">
                  <c:v>6.0737457969402229</c:v>
                </c:pt>
                <c:pt idx="349">
                  <c:v>6.091199089460166</c:v>
                </c:pt>
                <c:pt idx="350">
                  <c:v>6.1086523819801091</c:v>
                </c:pt>
                <c:pt idx="351">
                  <c:v>6.1261056745000522</c:v>
                </c:pt>
                <c:pt idx="352">
                  <c:v>6.1435589670199953</c:v>
                </c:pt>
                <c:pt idx="353">
                  <c:v>6.1610122595399384</c:v>
                </c:pt>
                <c:pt idx="354">
                  <c:v>6.1784655520598815</c:v>
                </c:pt>
                <c:pt idx="355">
                  <c:v>6.1959188445798246</c:v>
                </c:pt>
                <c:pt idx="356">
                  <c:v>6.2133721370997677</c:v>
                </c:pt>
                <c:pt idx="357">
                  <c:v>6.2308254296197108</c:v>
                </c:pt>
                <c:pt idx="358">
                  <c:v>6.2482787221396539</c:v>
                </c:pt>
                <c:pt idx="359">
                  <c:v>6.2657320146595969</c:v>
                </c:pt>
                <c:pt idx="360">
                  <c:v>6.28318530717954</c:v>
                </c:pt>
              </c:numCache>
            </c:numRef>
          </c:xVal>
          <c:yVal>
            <c:numRef>
              <c:f>L_Section_Capacity!$CC$15:$CC$375</c:f>
              <c:numCache>
                <c:formatCode>0.000</c:formatCode>
                <c:ptCount val="361"/>
                <c:pt idx="0">
                  <c:v>-2.6798501375159267E-3</c:v>
                </c:pt>
                <c:pt idx="1">
                  <c:v>-3.1135553901456836E-3</c:v>
                </c:pt>
                <c:pt idx="2">
                  <c:v>-3.5067798161887986E-3</c:v>
                </c:pt>
                <c:pt idx="3">
                  <c:v>-3.8243368447166142E-3</c:v>
                </c:pt>
                <c:pt idx="4">
                  <c:v>-4.0570687452815557E-3</c:v>
                </c:pt>
                <c:pt idx="5">
                  <c:v>-4.218027783775169E-3</c:v>
                </c:pt>
                <c:pt idx="6">
                  <c:v>-4.336787447735746E-3</c:v>
                </c:pt>
                <c:pt idx="7">
                  <c:v>-4.4290307621489E-3</c:v>
                </c:pt>
                <c:pt idx="8">
                  <c:v>-4.5033405614985367E-3</c:v>
                </c:pt>
                <c:pt idx="9">
                  <c:v>-4.5648602229171886E-3</c:v>
                </c:pt>
                <c:pt idx="10">
                  <c:v>-4.6168839085264932E-3</c:v>
                </c:pt>
                <c:pt idx="11">
                  <c:v>-4.6616316821052042E-3</c:v>
                </c:pt>
                <c:pt idx="12">
                  <c:v>-4.7006613036735248E-3</c:v>
                </c:pt>
                <c:pt idx="13">
                  <c:v>-4.735102203807128E-3</c:v>
                </c:pt>
                <c:pt idx="14">
                  <c:v>-4.7657957878690094E-3</c:v>
                </c:pt>
                <c:pt idx="15">
                  <c:v>-4.7933833880602914E-3</c:v>
                </c:pt>
                <c:pt idx="16">
                  <c:v>-4.8183634827001507E-3</c:v>
                </c:pt>
                <c:pt idx="17">
                  <c:v>-4.8411301117167746E-3</c:v>
                </c:pt>
                <c:pt idx="18">
                  <c:v>-4.861999387307415E-3</c:v>
                </c:pt>
                <c:pt idx="19">
                  <c:v>-4.881228218768574E-3</c:v>
                </c:pt>
                <c:pt idx="20">
                  <c:v>-4.8990278211710203E-3</c:v>
                </c:pt>
                <c:pt idx="21">
                  <c:v>-4.9155736408566528E-3</c:v>
                </c:pt>
                <c:pt idx="22">
                  <c:v>-4.9310127670247903E-3</c:v>
                </c:pt>
                <c:pt idx="23">
                  <c:v>-4.9454695528234338E-3</c:v>
                </c:pt>
                <c:pt idx="24">
                  <c:v>-4.9590499294829837E-3</c:v>
                </c:pt>
                <c:pt idx="25">
                  <c:v>-4.9718447653701592E-3</c:v>
                </c:pt>
                <c:pt idx="26">
                  <c:v>-4.9839325014673364E-3</c:v>
                </c:pt>
                <c:pt idx="27">
                  <c:v>-4.995381247312968E-3</c:v>
                </c:pt>
                <c:pt idx="28">
                  <c:v>-5.0062504598908375E-3</c:v>
                </c:pt>
                <c:pt idx="29">
                  <c:v>-5.0165923010471727E-3</c:v>
                </c:pt>
                <c:pt idx="30">
                  <c:v>-5.02645274106156E-3</c:v>
                </c:pt>
                <c:pt idx="31">
                  <c:v>-5.0358724675411692E-3</c:v>
                </c:pt>
                <c:pt idx="32">
                  <c:v>-5.0448876349621363E-3</c:v>
                </c:pt>
                <c:pt idx="33">
                  <c:v>-5.0535304846673901E-3</c:v>
                </c:pt>
                <c:pt idx="34">
                  <c:v>-5.0618298695298538E-3</c:v>
                </c:pt>
                <c:pt idx="35">
                  <c:v>-5.0698116869650756E-3</c:v>
                </c:pt>
                <c:pt idx="36">
                  <c:v>-5.0774992524845741E-3</c:v>
                </c:pt>
                <c:pt idx="37">
                  <c:v>-5.0849136110203133E-3</c:v>
                </c:pt>
                <c:pt idx="38">
                  <c:v>-5.0920738055090786E-3</c:v>
                </c:pt>
                <c:pt idx="39">
                  <c:v>-5.0989971035625414E-3</c:v>
                </c:pt>
                <c:pt idx="40">
                  <c:v>-5.1056991942851062E-3</c:v>
                </c:pt>
                <c:pt idx="41">
                  <c:v>-5.1121943562902339E-3</c:v>
                </c:pt>
                <c:pt idx="42">
                  <c:v>-5.1184956036006701E-3</c:v>
                </c:pt>
                <c:pt idx="43">
                  <c:v>-5.1246148103235023E-3</c:v>
                </c:pt>
                <c:pt idx="44">
                  <c:v>-5.1305628174458948E-3</c:v>
                </c:pt>
                <c:pt idx="45">
                  <c:v>-5.1363495283786595E-3</c:v>
                </c:pt>
                <c:pt idx="46">
                  <c:v>-5.141983988061205E-3</c:v>
                </c:pt>
                <c:pt idx="47">
                  <c:v>-5.1474744506882497E-3</c:v>
                </c:pt>
                <c:pt idx="48">
                  <c:v>-5.1528284401082813E-3</c:v>
                </c:pt>
                <c:pt idx="49">
                  <c:v>-5.1580527978214432E-3</c:v>
                </c:pt>
                <c:pt idx="50">
                  <c:v>-5.1631537230772961E-3</c:v>
                </c:pt>
                <c:pt idx="51">
                  <c:v>-5.1681368077512446E-3</c:v>
                </c:pt>
                <c:pt idx="52">
                  <c:v>-5.1730070597879596E-3</c:v>
                </c:pt>
                <c:pt idx="53">
                  <c:v>-5.1777689200525057E-3</c:v>
                </c:pt>
                <c:pt idx="54">
                  <c:v>-5.1824262751592465E-3</c:v>
                </c:pt>
                <c:pt idx="55">
                  <c:v>-5.1869824563782752E-3</c:v>
                </c:pt>
                <c:pt idx="56">
                  <c:v>-5.1914402368609669E-3</c:v>
                </c:pt>
                <c:pt idx="57">
                  <c:v>-5.1958018147319485E-3</c:v>
                </c:pt>
                <c:pt idx="58">
                  <c:v>-5.2000687889038897E-3</c:v>
                </c:pt>
                <c:pt idx="59">
                  <c:v>-5.2042421237537551E-3</c:v>
                </c:pt>
                <c:pt idx="60">
                  <c:v>-5.2083220972337077E-3</c:v>
                </c:pt>
                <c:pt idx="61">
                  <c:v>-5.2123082381869126E-3</c:v>
                </c:pt>
                <c:pt idx="62">
                  <c:v>-5.2161992416067116E-3</c:v>
                </c:pt>
                <c:pt idx="63">
                  <c:v>-5.2199928590418443E-3</c:v>
                </c:pt>
                <c:pt idx="64">
                  <c:v>-5.223685764814745E-3</c:v>
                </c:pt>
                <c:pt idx="65">
                  <c:v>-5.2272733813583661E-3</c:v>
                </c:pt>
                <c:pt idx="66">
                  <c:v>-5.2307496619322102E-3</c:v>
                </c:pt>
                <c:pt idx="67">
                  <c:v>-5.2341068104962982E-3</c:v>
                </c:pt>
                <c:pt idx="68">
                  <c:v>-5.2373349289455695E-3</c:v>
                </c:pt>
                <c:pt idx="69">
                  <c:v>-5.2404215591375092E-3</c:v>
                </c:pt>
                <c:pt idx="70">
                  <c:v>-5.2433510893546411E-3</c:v>
                </c:pt>
                <c:pt idx="71">
                  <c:v>-5.2461039833470169E-3</c:v>
                </c:pt>
                <c:pt idx="72">
                  <c:v>-5.2486557533932277E-3</c:v>
                </c:pt>
                <c:pt idx="73">
                  <c:v>-5.250975587080986E-3</c:v>
                </c:pt>
                <c:pt idx="74">
                  <c:v>-5.2530244817505234E-3</c:v>
                </c:pt>
                <c:pt idx="75">
                  <c:v>-5.2547526686746449E-3</c:v>
                </c:pt>
                <c:pt idx="76">
                  <c:v>-5.2560959884288549E-3</c:v>
                </c:pt>
                <c:pt idx="77">
                  <c:v>-5.2569706877478306E-3</c:v>
                </c:pt>
                <c:pt idx="78">
                  <c:v>-5.2572657699475056E-3</c:v>
                </c:pt>
                <c:pt idx="79">
                  <c:v>-5.2568314311829947E-3</c:v>
                </c:pt>
                <c:pt idx="80">
                  <c:v>-5.2554610268502056E-3</c:v>
                </c:pt>
                <c:pt idx="81">
                  <c:v>-5.2528618545304995E-3</c:v>
                </c:pt>
                <c:pt idx="82">
                  <c:v>-5.2486056453571739E-3</c:v>
                </c:pt>
                <c:pt idx="83">
                  <c:v>-5.2420399621893043E-3</c:v>
                </c:pt>
                <c:pt idx="84">
                  <c:v>-5.2321183598389989E-3</c:v>
                </c:pt>
                <c:pt idx="85">
                  <c:v>-5.2170449518648687E-3</c:v>
                </c:pt>
                <c:pt idx="86">
                  <c:v>-5.1934374377605175E-3</c:v>
                </c:pt>
                <c:pt idx="87">
                  <c:v>-5.1539961842354542E-3</c:v>
                </c:pt>
                <c:pt idx="88">
                  <c:v>-5.0790558139703901E-3</c:v>
                </c:pt>
                <c:pt idx="89">
                  <c:v>-4.8857904137571961E-3</c:v>
                </c:pt>
                <c:pt idx="90">
                  <c:v>-4.1707965681637696E-3</c:v>
                </c:pt>
                <c:pt idx="91">
                  <c:v>-3.2770096820751715E-3</c:v>
                </c:pt>
                <c:pt idx="92">
                  <c:v>-2.9390959500477654E-3</c:v>
                </c:pt>
                <c:pt idx="93">
                  <c:v>-2.7746367480977474E-3</c:v>
                </c:pt>
                <c:pt idx="94">
                  <c:v>-2.6693419516737316E-3</c:v>
                </c:pt>
                <c:pt idx="95">
                  <c:v>-2.5928895658083873E-3</c:v>
                </c:pt>
                <c:pt idx="96">
                  <c:v>-2.5331765511290572E-3</c:v>
                </c:pt>
                <c:pt idx="97">
                  <c:v>-2.4842580859961716E-3</c:v>
                </c:pt>
                <c:pt idx="98">
                  <c:v>-2.4428120330044489E-3</c:v>
                </c:pt>
                <c:pt idx="99">
                  <c:v>-2.4068093133807755E-3</c:v>
                </c:pt>
                <c:pt idx="100">
                  <c:v>-2.3749270090928087E-3</c:v>
                </c:pt>
                <c:pt idx="101">
                  <c:v>-2.3462582646744945E-3</c:v>
                </c:pt>
                <c:pt idx="102">
                  <c:v>-2.3201561914394375E-3</c:v>
                </c:pt>
                <c:pt idx="103">
                  <c:v>-2.2961441352462035E-3</c:v>
                </c:pt>
                <c:pt idx="104">
                  <c:v>-2.2516670045727993E-3</c:v>
                </c:pt>
                <c:pt idx="105">
                  <c:v>-2.1993802466340751E-3</c:v>
                </c:pt>
                <c:pt idx="106">
                  <c:v>-2.1540163988968959E-3</c:v>
                </c:pt>
                <c:pt idx="107">
                  <c:v>-2.114290015339193E-3</c:v>
                </c:pt>
                <c:pt idx="108">
                  <c:v>-2.0792104728842298E-3</c:v>
                </c:pt>
                <c:pt idx="109">
                  <c:v>-2.0480026796141355E-3</c:v>
                </c:pt>
                <c:pt idx="110">
                  <c:v>-2.0200518896476005E-3</c:v>
                </c:pt>
                <c:pt idx="111">
                  <c:v>-1.9948645295312928E-3</c:v>
                </c:pt>
                <c:pt idx="112">
                  <c:v>-1.9720398950648925E-3</c:v>
                </c:pt>
                <c:pt idx="113">
                  <c:v>-1.9512493689711197E-3</c:v>
                </c:pt>
                <c:pt idx="114">
                  <c:v>-1.932220938892393E-3</c:v>
                </c:pt>
                <c:pt idx="115">
                  <c:v>-1.9147275083857274E-3</c:v>
                </c:pt>
                <c:pt idx="116">
                  <c:v>-1.898577962791248E-3</c:v>
                </c:pt>
                <c:pt idx="117">
                  <c:v>-1.8836102645903849E-3</c:v>
                </c:pt>
                <c:pt idx="118">
                  <c:v>-1.8696860586914776E-3</c:v>
                </c:pt>
                <c:pt idx="119">
                  <c:v>-1.8566864186154164E-3</c:v>
                </c:pt>
                <c:pt idx="120">
                  <c:v>-1.8445084598611161E-3</c:v>
                </c:pt>
                <c:pt idx="121">
                  <c:v>-1.8330626194585919E-3</c:v>
                </c:pt>
                <c:pt idx="122">
                  <c:v>-1.822270454918784E-3</c:v>
                </c:pt>
                <c:pt idx="123">
                  <c:v>-1.8120628455005616E-3</c:v>
                </c:pt>
                <c:pt idx="124">
                  <c:v>-1.8023785135176664E-3</c:v>
                </c:pt>
                <c:pt idx="125">
                  <c:v>-1.7931627973036823E-3</c:v>
                </c:pt>
                <c:pt idx="126">
                  <c:v>-1.7843666249958701E-3</c:v>
                </c:pt>
                <c:pt idx="127">
                  <c:v>-1.7759456494652603E-3</c:v>
                </c:pt>
                <c:pt idx="128">
                  <c:v>-1.7678595114462015E-3</c:v>
                </c:pt>
                <c:pt idx="129">
                  <c:v>-1.7600712065087287E-3</c:v>
                </c:pt>
                <c:pt idx="130">
                  <c:v>-1.7525465345720195E-3</c:v>
                </c:pt>
                <c:pt idx="131">
                  <c:v>-1.7452536153131359E-3</c:v>
                </c:pt>
                <c:pt idx="132">
                  <c:v>-1.7381624553333141E-3</c:v>
                </c:pt>
                <c:pt idx="133">
                  <c:v>-1.7312445552422619E-3</c:v>
                </c:pt>
                <c:pt idx="134">
                  <c:v>-1.7244725463250732E-3</c:v>
                </c:pt>
                <c:pt idx="135">
                  <c:v>-1.7178198474883109E-3</c:v>
                </c:pt>
                <c:pt idx="136">
                  <c:v>-1.7112603337689494E-3</c:v>
                </c:pt>
                <c:pt idx="137">
                  <c:v>-1.7047680092664441E-3</c:v>
                </c:pt>
                <c:pt idx="138">
                  <c:v>-1.6983166745984102E-3</c:v>
                </c:pt>
                <c:pt idx="139">
                  <c:v>-1.6918795825365263E-3</c:v>
                </c:pt>
                <c:pt idx="140">
                  <c:v>-1.6854290714339304E-3</c:v>
                </c:pt>
                <c:pt idx="141">
                  <c:v>-1.6789361662679079E-3</c:v>
                </c:pt>
                <c:pt idx="142">
                  <c:v>-1.6723701376049613E-3</c:v>
                </c:pt>
                <c:pt idx="143">
                  <c:v>-1.6656980025707699E-3</c:v>
                </c:pt>
                <c:pt idx="144">
                  <c:v>-1.6588839526941457E-3</c:v>
                </c:pt>
                <c:pt idx="145">
                  <c:v>-1.651888689453318E-3</c:v>
                </c:pt>
                <c:pt idx="146">
                  <c:v>-1.644668640559954E-3</c:v>
                </c:pt>
                <c:pt idx="147">
                  <c:v>-1.6371750291065967E-3</c:v>
                </c:pt>
                <c:pt idx="148">
                  <c:v>-1.6293527532459384E-3</c:v>
                </c:pt>
                <c:pt idx="149">
                  <c:v>-1.6211390280934657E-3</c:v>
                </c:pt>
                <c:pt idx="150">
                  <c:v>-1.6124617244967501E-3</c:v>
                </c:pt>
                <c:pt idx="151">
                  <c:v>-1.6032373192723659E-3</c:v>
                </c:pt>
                <c:pt idx="152">
                  <c:v>-1.5933683464933737E-3</c:v>
                </c:pt>
                <c:pt idx="153">
                  <c:v>-1.5827402001961643E-3</c:v>
                </c:pt>
                <c:pt idx="154">
                  <c:v>-1.5712170921220461E-3</c:v>
                </c:pt>
                <c:pt idx="155">
                  <c:v>-1.5586368933608319E-3</c:v>
                </c:pt>
                <c:pt idx="156">
                  <c:v>-1.5448044918737747E-3</c:v>
                </c:pt>
                <c:pt idx="157">
                  <c:v>-1.5294831565542679E-3</c:v>
                </c:pt>
                <c:pt idx="158">
                  <c:v>-1.5123831896440287E-3</c:v>
                </c:pt>
                <c:pt idx="159">
                  <c:v>-1.4931468502906164E-3</c:v>
                </c:pt>
                <c:pt idx="160">
                  <c:v>-1.4713280800327524E-3</c:v>
                </c:pt>
                <c:pt idx="161">
                  <c:v>-1.4463648793167083E-3</c:v>
                </c:pt>
                <c:pt idx="162">
                  <c:v>-1.417541127193833E-3</c:v>
                </c:pt>
                <c:pt idx="163">
                  <c:v>-1.3839329764823161E-3</c:v>
                </c:pt>
                <c:pt idx="164">
                  <c:v>-1.344332275994897E-3</c:v>
                </c:pt>
                <c:pt idx="165">
                  <c:v>-1.2971350511472579E-3</c:v>
                </c:pt>
                <c:pt idx="166">
                  <c:v>-1.240175574498015E-3</c:v>
                </c:pt>
                <c:pt idx="167">
                  <c:v>-1.1814919302545193E-3</c:v>
                </c:pt>
                <c:pt idx="168">
                  <c:v>-1.1312479987481416E-3</c:v>
                </c:pt>
                <c:pt idx="169">
                  <c:v>-1.0748307669368187E-3</c:v>
                </c:pt>
                <c:pt idx="170">
                  <c:v>-1.0107384590178903E-3</c:v>
                </c:pt>
                <c:pt idx="171">
                  <c:v>-9.3690470259721881E-4</c:v>
                </c:pt>
                <c:pt idx="172">
                  <c:v>-8.5039165540062866E-4</c:v>
                </c:pt>
                <c:pt idx="173">
                  <c:v>-7.468507773435441E-4</c:v>
                </c:pt>
                <c:pt idx="174">
                  <c:v>-6.1950963240375856E-4</c:v>
                </c:pt>
                <c:pt idx="175">
                  <c:v>-4.5709717206116052E-4</c:v>
                </c:pt>
                <c:pt idx="176">
                  <c:v>-2.3907819600138547E-4</c:v>
                </c:pt>
                <c:pt idx="177">
                  <c:v>7.3080816721082797E-5</c:v>
                </c:pt>
                <c:pt idx="178">
                  <c:v>4.9519327795871648E-4</c:v>
                </c:pt>
                <c:pt idx="179">
                  <c:v>1.0130639841640088E-3</c:v>
                </c:pt>
                <c:pt idx="180">
                  <c:v>1.5774410827965599E-3</c:v>
                </c:pt>
                <c:pt idx="181">
                  <c:v>2.1306546389328602E-3</c:v>
                </c:pt>
                <c:pt idx="182">
                  <c:v>2.6238316529252903E-3</c:v>
                </c:pt>
                <c:pt idx="183">
                  <c:v>3.0160393114505024E-3</c:v>
                </c:pt>
                <c:pt idx="184">
                  <c:v>3.2997092103529968E-3</c:v>
                </c:pt>
                <c:pt idx="185">
                  <c:v>3.4937146622724402E-3</c:v>
                </c:pt>
                <c:pt idx="186">
                  <c:v>3.635515225679065E-3</c:v>
                </c:pt>
                <c:pt idx="187">
                  <c:v>3.7447395506703951E-3</c:v>
                </c:pt>
                <c:pt idx="188">
                  <c:v>3.8320555322705059E-3</c:v>
                </c:pt>
                <c:pt idx="189">
                  <c:v>3.90382030862868E-3</c:v>
                </c:pt>
                <c:pt idx="190">
                  <c:v>3.9640862251978937E-3</c:v>
                </c:pt>
                <c:pt idx="191">
                  <c:v>4.0155731254161164E-3</c:v>
                </c:pt>
                <c:pt idx="192">
                  <c:v>4.0601824868118919E-3</c:v>
                </c:pt>
                <c:pt idx="193">
                  <c:v>4.0992883769805366E-3</c:v>
                </c:pt>
                <c:pt idx="194">
                  <c:v>4.133911315576333E-3</c:v>
                </c:pt>
                <c:pt idx="195">
                  <c:v>4.1648269239157321E-3</c:v>
                </c:pt>
                <c:pt idx="196">
                  <c:v>4.192636411029349E-3</c:v>
                </c:pt>
                <c:pt idx="197">
                  <c:v>4.2178137730723986E-3</c:v>
                </c:pt>
                <c:pt idx="198">
                  <c:v>4.2407382914959046E-3</c:v>
                </c:pt>
                <c:pt idx="199">
                  <c:v>4.2617174345550004E-3</c:v>
                </c:pt>
                <c:pt idx="200">
                  <c:v>4.2810033460396468E-3</c:v>
                </c:pt>
                <c:pt idx="201">
                  <c:v>4.2988049368424819E-3</c:v>
                </c:pt>
                <c:pt idx="202">
                  <c:v>4.3152968964204064E-3</c:v>
                </c:pt>
                <c:pt idx="203">
                  <c:v>4.3306265163871047E-3</c:v>
                </c:pt>
                <c:pt idx="204">
                  <c:v>4.3449189168180405E-3</c:v>
                </c:pt>
                <c:pt idx="205">
                  <c:v>4.3582811106887562E-3</c:v>
                </c:pt>
                <c:pt idx="206">
                  <c:v>4.3708051851967808E-3</c:v>
                </c:pt>
                <c:pt idx="207">
                  <c:v>4.382570828889043E-3</c:v>
                </c:pt>
                <c:pt idx="208">
                  <c:v>4.3936473520401753E-3</c:v>
                </c:pt>
                <c:pt idx="209">
                  <c:v>4.4040953173764552E-3</c:v>
                </c:pt>
                <c:pt idx="210">
                  <c:v>4.4139678623328895E-3</c:v>
                </c:pt>
                <c:pt idx="211">
                  <c:v>4.4233117872149452E-3</c:v>
                </c:pt>
                <c:pt idx="212">
                  <c:v>4.4321684499283301E-3</c:v>
                </c:pt>
                <c:pt idx="213">
                  <c:v>4.4405745028249788E-3</c:v>
                </c:pt>
                <c:pt idx="214">
                  <c:v>4.4485625170895271E-3</c:v>
                </c:pt>
                <c:pt idx="215">
                  <c:v>4.4561614928033131E-3</c:v>
                </c:pt>
                <c:pt idx="216">
                  <c:v>4.4633973005218652E-3</c:v>
                </c:pt>
                <c:pt idx="217">
                  <c:v>4.4702930449687641E-3</c:v>
                </c:pt>
                <c:pt idx="218">
                  <c:v>4.4768693782992752E-3</c:v>
                </c:pt>
                <c:pt idx="219">
                  <c:v>4.48314476107431E-3</c:v>
                </c:pt>
                <c:pt idx="220">
                  <c:v>4.4891356877219124E-3</c:v>
                </c:pt>
                <c:pt idx="221">
                  <c:v>4.4948568760031504E-3</c:v>
                </c:pt>
                <c:pt idx="222">
                  <c:v>4.500321429422637E-3</c:v>
                </c:pt>
                <c:pt idx="223">
                  <c:v>4.5055409725039408E-3</c:v>
                </c:pt>
                <c:pt idx="224">
                  <c:v>4.5105257630117523E-3</c:v>
                </c:pt>
                <c:pt idx="225">
                  <c:v>4.5152847905624571E-3</c:v>
                </c:pt>
                <c:pt idx="226">
                  <c:v>4.5198258523946877E-3</c:v>
                </c:pt>
                <c:pt idx="227">
                  <c:v>4.524155613487236E-3</c:v>
                </c:pt>
                <c:pt idx="228">
                  <c:v>4.5282796566369363E-3</c:v>
                </c:pt>
                <c:pt idx="229">
                  <c:v>4.532202513679807E-3</c:v>
                </c:pt>
                <c:pt idx="230">
                  <c:v>4.5359276842552587E-3</c:v>
                </c:pt>
                <c:pt idx="231">
                  <c:v>4.5394576455689553E-3</c:v>
                </c:pt>
                <c:pt idx="232">
                  <c:v>4.5427938425754433E-3</c:v>
                </c:pt>
                <c:pt idx="233">
                  <c:v>4.545936665379724E-3</c:v>
                </c:pt>
                <c:pt idx="234">
                  <c:v>4.5488854169574147E-3</c:v>
                </c:pt>
                <c:pt idx="235">
                  <c:v>4.5516382545940925E-3</c:v>
                </c:pt>
                <c:pt idx="236">
                  <c:v>4.5541921230542459E-3</c:v>
                </c:pt>
                <c:pt idx="237">
                  <c:v>4.5565426585270075E-3</c:v>
                </c:pt>
                <c:pt idx="238">
                  <c:v>4.5586840724108901E-3</c:v>
                </c:pt>
                <c:pt idx="239">
                  <c:v>4.5606090068283089E-3</c:v>
                </c:pt>
                <c:pt idx="240">
                  <c:v>4.5623083509266351E-3</c:v>
                </c:pt>
                <c:pt idx="241">
                  <c:v>4.5637710238307641E-3</c:v>
                </c:pt>
                <c:pt idx="242">
                  <c:v>4.5649837028531315E-3</c:v>
                </c:pt>
                <c:pt idx="243">
                  <c:v>4.5659304877535001E-3</c:v>
                </c:pt>
                <c:pt idx="244">
                  <c:v>4.5665924958283588E-3</c:v>
                </c:pt>
                <c:pt idx="245">
                  <c:v>4.5669473539787786E-3</c:v>
                </c:pt>
                <c:pt idx="246">
                  <c:v>4.5669685746465016E-3</c:v>
                </c:pt>
                <c:pt idx="247">
                  <c:v>4.5666247707653049E-3</c:v>
                </c:pt>
                <c:pt idx="248">
                  <c:v>4.5658786764393167E-3</c:v>
                </c:pt>
                <c:pt idx="249">
                  <c:v>4.5646858989183414E-3</c:v>
                </c:pt>
                <c:pt idx="250">
                  <c:v>4.5629933221159047E-3</c:v>
                </c:pt>
                <c:pt idx="251">
                  <c:v>4.5607370517315457E-3</c:v>
                </c:pt>
                <c:pt idx="252">
                  <c:v>4.5578397178496757E-3</c:v>
                </c:pt>
                <c:pt idx="253">
                  <c:v>4.5542069061040302E-3</c:v>
                </c:pt>
                <c:pt idx="254">
                  <c:v>4.5497223629649688E-3</c:v>
                </c:pt>
                <c:pt idx="255">
                  <c:v>4.5442414489120222E-3</c:v>
                </c:pt>
                <c:pt idx="256">
                  <c:v>4.5375820315879936E-3</c:v>
                </c:pt>
                <c:pt idx="257">
                  <c:v>4.5295115613728787E-3</c:v>
                </c:pt>
                <c:pt idx="258">
                  <c:v>4.5197282931381819E-3</c:v>
                </c:pt>
                <c:pt idx="259">
                  <c:v>4.5078332507231811E-3</c:v>
                </c:pt>
                <c:pt idx="260">
                  <c:v>4.4932870609160624E-3</c:v>
                </c:pt>
                <c:pt idx="261">
                  <c:v>4.47534097736657E-3</c:v>
                </c:pt>
                <c:pt idx="262">
                  <c:v>4.4529217221240813E-3</c:v>
                </c:pt>
                <c:pt idx="263">
                  <c:v>4.42442870073112E-3</c:v>
                </c:pt>
                <c:pt idx="264">
                  <c:v>4.3873523244646329E-3</c:v>
                </c:pt>
                <c:pt idx="265">
                  <c:v>4.3374917670924162E-3</c:v>
                </c:pt>
                <c:pt idx="266">
                  <c:v>4.2671585662424905E-3</c:v>
                </c:pt>
                <c:pt idx="267">
                  <c:v>4.1603301193967601E-3</c:v>
                </c:pt>
                <c:pt idx="268">
                  <c:v>3.9758459410558222E-3</c:v>
                </c:pt>
                <c:pt idx="269">
                  <c:v>3.5538896999665064E-3</c:v>
                </c:pt>
                <c:pt idx="270">
                  <c:v>2.3086132961737671E-3</c:v>
                </c:pt>
                <c:pt idx="271">
                  <c:v>1.164766382792892E-3</c:v>
                </c:pt>
                <c:pt idx="272">
                  <c:v>8.104129098348567E-4</c:v>
                </c:pt>
                <c:pt idx="273">
                  <c:v>6.5077776546429422E-4</c:v>
                </c:pt>
                <c:pt idx="274">
                  <c:v>5.5274398575522188E-4</c:v>
                </c:pt>
                <c:pt idx="275">
                  <c:v>4.835519862630977E-4</c:v>
                </c:pt>
                <c:pt idx="276">
                  <c:v>4.3065034850220396E-4</c:v>
                </c:pt>
                <c:pt idx="277">
                  <c:v>3.8804339606068883E-4</c:v>
                </c:pt>
                <c:pt idx="278">
                  <c:v>3.5245005924355866E-4</c:v>
                </c:pt>
                <c:pt idx="279">
                  <c:v>3.2189958454043044E-4</c:v>
                </c:pt>
                <c:pt idx="280">
                  <c:v>2.9512481085847147E-4</c:v>
                </c:pt>
                <c:pt idx="281">
                  <c:v>2.7126736276456015E-4</c:v>
                </c:pt>
                <c:pt idx="282">
                  <c:v>2.4972126473821188E-4</c:v>
                </c:pt>
                <c:pt idx="283">
                  <c:v>2.3004412285804185E-4</c:v>
                </c:pt>
                <c:pt idx="284">
                  <c:v>2.1190383756330977E-4</c:v>
                </c:pt>
                <c:pt idx="285">
                  <c:v>1.9504516295620888E-4</c:v>
                </c:pt>
                <c:pt idx="286">
                  <c:v>1.7926791343414461E-4</c:v>
                </c:pt>
                <c:pt idx="287">
                  <c:v>1.6441230082853142E-4</c:v>
                </c:pt>
                <c:pt idx="288">
                  <c:v>1.5034878975933585E-4</c:v>
                </c:pt>
                <c:pt idx="289">
                  <c:v>1.3697091193443089E-4</c:v>
                </c:pt>
                <c:pt idx="290">
                  <c:v>1.2419006439384761E-4</c:v>
                </c:pt>
                <c:pt idx="291">
                  <c:v>1.1193167429307538E-4</c:v>
                </c:pt>
                <c:pt idx="292">
                  <c:v>1.0013232293315522E-4</c:v>
                </c:pt>
                <c:pt idx="293">
                  <c:v>8.8737556560525288E-5</c:v>
                </c:pt>
                <c:pt idx="294">
                  <c:v>7.7700195331320554E-5</c:v>
                </c:pt>
                <c:pt idx="295">
                  <c:v>6.6979012355805612E-5</c:v>
                </c:pt>
                <c:pt idx="296">
                  <c:v>5.6537688891300508E-5</c:v>
                </c:pt>
                <c:pt idx="297">
                  <c:v>4.6343978191032427E-5</c:v>
                </c:pt>
                <c:pt idx="298">
                  <c:v>3.6369030826932658E-5</c:v>
                </c:pt>
                <c:pt idx="299">
                  <c:v>2.6586843606180025E-5</c:v>
                </c:pt>
                <c:pt idx="300">
                  <c:v>1.6973806317599482E-5</c:v>
                </c:pt>
                <c:pt idx="301">
                  <c:v>7.5083240926310246E-6</c:v>
                </c:pt>
                <c:pt idx="302">
                  <c:v>-1.829498646133132E-6</c:v>
                </c:pt>
                <c:pt idx="303">
                  <c:v>-1.1058126158647319E-5</c:v>
                </c:pt>
                <c:pt idx="304">
                  <c:v>-2.0194821127472732E-5</c:v>
                </c:pt>
                <c:pt idx="305">
                  <c:v>-2.9255842326325606E-5</c:v>
                </c:pt>
                <c:pt idx="306">
                  <c:v>-3.8256617826692985E-5</c:v>
                </c:pt>
                <c:pt idx="307">
                  <c:v>-4.7211898012988751E-5</c:v>
                </c:pt>
                <c:pt idx="308">
                  <c:v>-5.6135892048725378E-5</c:v>
                </c:pt>
                <c:pt idx="309">
                  <c:v>-6.5042392486946987E-5</c:v>
                </c:pt>
                <c:pt idx="310">
                  <c:v>-7.3944888883625826E-5</c:v>
                </c:pt>
                <c:pt idx="311">
                  <c:v>-8.2856674967601851E-5</c:v>
                </c:pt>
                <c:pt idx="312">
                  <c:v>-9.1790949895753648E-5</c:v>
                </c:pt>
                <c:pt idx="313">
                  <c:v>-1.0076091597743808E-4</c:v>
                </c:pt>
                <c:pt idx="314">
                  <c:v>-1.0977987534582789E-4</c:v>
                </c:pt>
                <c:pt idx="315">
                  <c:v>-1.188613262423921E-4</c:v>
                </c:pt>
                <c:pt idx="316">
                  <c:v>-1.2801906092813067E-4</c:v>
                </c:pt>
                <c:pt idx="317">
                  <c:v>-1.3726726742957496E-4</c:v>
                </c:pt>
                <c:pt idx="318">
                  <c:v>-1.4662063598619435E-4</c:v>
                </c:pt>
                <c:pt idx="319">
                  <c:v>-1.5609447251535571E-4</c:v>
                </c:pt>
                <c:pt idx="320">
                  <c:v>-1.65704821604995E-4</c:v>
                </c:pt>
                <c:pt idx="321">
                  <c:v>-1.7546860040645876E-4</c:v>
                </c:pt>
                <c:pt idx="322">
                  <c:v>-1.8540374668474247E-4</c:v>
                </c:pt>
                <c:pt idx="323">
                  <c:v>-1.9552938415967613E-4</c:v>
                </c:pt>
                <c:pt idx="324">
                  <c:v>-2.0586600845828862E-4</c:v>
                </c:pt>
                <c:pt idx="325">
                  <c:v>-2.1643569831147899E-4</c:v>
                </c:pt>
                <c:pt idx="326">
                  <c:v>-2.2726235674203066E-4</c:v>
                </c:pt>
                <c:pt idx="327">
                  <c:v>-2.3837198922466166E-4</c:v>
                </c:pt>
                <c:pt idx="328">
                  <c:v>-2.4979302579875018E-4</c:v>
                </c:pt>
                <c:pt idx="329">
                  <c:v>-2.6155669770278056E-4</c:v>
                </c:pt>
                <c:pt idx="330">
                  <c:v>-2.7369747891825558E-4</c:v>
                </c:pt>
                <c:pt idx="331">
                  <c:v>-2.8625360918521636E-4</c:v>
                </c:pt>
                <c:pt idx="332">
                  <c:v>-2.9926771580490735E-4</c:v>
                </c:pt>
                <c:pt idx="333">
                  <c:v>-3.1278755910618688E-4</c:v>
                </c:pt>
                <c:pt idx="334">
                  <c:v>-3.2686693211853024E-4</c:v>
                </c:pt>
                <c:pt idx="335">
                  <c:v>-3.4156675391355806E-4</c:v>
                </c:pt>
                <c:pt idx="336">
                  <c:v>-3.5695640925476058E-4</c:v>
                </c:pt>
                <c:pt idx="337">
                  <c:v>-3.7311540330753346E-4</c:v>
                </c:pt>
                <c:pt idx="338">
                  <c:v>-3.9013542371268972E-4</c:v>
                </c:pt>
                <c:pt idx="339">
                  <c:v>-4.0812293457875842E-4</c:v>
                </c:pt>
                <c:pt idx="340">
                  <c:v>-4.2720247387173504E-4</c:v>
                </c:pt>
                <c:pt idx="341">
                  <c:v>-4.4752089139815654E-4</c:v>
                </c:pt>
                <c:pt idx="342">
                  <c:v>-4.6925286328564075E-4</c:v>
                </c:pt>
                <c:pt idx="343">
                  <c:v>-4.9260816428792209E-4</c:v>
                </c:pt>
                <c:pt idx="344">
                  <c:v>-5.178414023005451E-4</c:v>
                </c:pt>
                <c:pt idx="345">
                  <c:v>-5.4526526621900828E-4</c:v>
                </c:pt>
                <c:pt idx="346">
                  <c:v>-5.752688929550609E-4</c:v>
                </c:pt>
                <c:pt idx="347">
                  <c:v>-6.0834387041652782E-4</c:v>
                </c:pt>
                <c:pt idx="348">
                  <c:v>-6.4512193928767392E-4</c:v>
                </c:pt>
                <c:pt idx="349">
                  <c:v>-6.8643117364303174E-4</c:v>
                </c:pt>
                <c:pt idx="350">
                  <c:v>-7.3338240166176416E-4</c:v>
                </c:pt>
                <c:pt idx="351">
                  <c:v>-7.8750720927506235E-4</c:v>
                </c:pt>
                <c:pt idx="352">
                  <c:v>-8.5098838074171279E-4</c:v>
                </c:pt>
                <c:pt idx="353">
                  <c:v>-9.270661844593131E-4</c:v>
                </c:pt>
                <c:pt idx="354">
                  <c:v>-1.0208048552872162E-3</c:v>
                </c:pt>
                <c:pt idx="355">
                  <c:v>-1.1406699025653944E-3</c:v>
                </c:pt>
                <c:pt idx="356">
                  <c:v>-1.302174069835127E-3</c:v>
                </c:pt>
                <c:pt idx="357">
                  <c:v>-1.5347148379145081E-3</c:v>
                </c:pt>
                <c:pt idx="358">
                  <c:v>-1.8517600842857254E-3</c:v>
                </c:pt>
                <c:pt idx="359">
                  <c:v>-2.245105092653521E-3</c:v>
                </c:pt>
                <c:pt idx="360">
                  <c:v>-2.6798501375128736E-3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588-49DE-9AA4-65C22ACBA3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780847"/>
        <c:axId val="186769247"/>
      </c:scatterChart>
      <c:valAx>
        <c:axId val="31278084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6769247"/>
        <c:crosses val="autoZero"/>
        <c:crossBetween val="midCat"/>
      </c:valAx>
      <c:valAx>
        <c:axId val="18676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278084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364330</xdr:colOff>
      <xdr:row>2</xdr:row>
      <xdr:rowOff>61911</xdr:rowOff>
    </xdr:from>
    <xdr:to>
      <xdr:col>18</xdr:col>
      <xdr:colOff>773905</xdr:colOff>
      <xdr:row>30</xdr:row>
      <xdr:rowOff>119061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971550</xdr:colOff>
      <xdr:row>27</xdr:row>
      <xdr:rowOff>154782</xdr:rowOff>
    </xdr:from>
    <xdr:to>
      <xdr:col>22</xdr:col>
      <xdr:colOff>319087</xdr:colOff>
      <xdr:row>47</xdr:row>
      <xdr:rowOff>2382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3</xdr:row>
          <xdr:rowOff>9525</xdr:rowOff>
        </xdr:from>
        <xdr:to>
          <xdr:col>9</xdr:col>
          <xdr:colOff>190500</xdr:colOff>
          <xdr:row>7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NA Depth for Sum P=0 @ Constant NA Angle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66675</xdr:colOff>
          <xdr:row>8</xdr:row>
          <xdr:rowOff>28575</xdr:rowOff>
        </xdr:from>
        <xdr:to>
          <xdr:col>9</xdr:col>
          <xdr:colOff>200025</xdr:colOff>
          <xdr:row>13</xdr:row>
          <xdr:rowOff>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Both NA Depth and Angle for User 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295275</xdr:colOff>
          <xdr:row>24</xdr:row>
          <xdr:rowOff>85725</xdr:rowOff>
        </xdr:from>
        <xdr:to>
          <xdr:col>20</xdr:col>
          <xdr:colOff>800100</xdr:colOff>
          <xdr:row>27</xdr:row>
          <xdr:rowOff>66675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a Solution with Matching Unit Vector</a:t>
              </a:r>
            </a:p>
          </xdr:txBody>
        </xdr:sp>
        <xdr:clientData fPrintsWithSheet="0"/>
      </xdr:twoCellAnchor>
    </mc:Choice>
    <mc:Fallback/>
  </mc:AlternateContent>
  <xdr:twoCellAnchor>
    <xdr:from>
      <xdr:col>31</xdr:col>
      <xdr:colOff>827087</xdr:colOff>
      <xdr:row>29</xdr:row>
      <xdr:rowOff>79375</xdr:rowOff>
    </xdr:from>
    <xdr:to>
      <xdr:col>37</xdr:col>
      <xdr:colOff>527050</xdr:colOff>
      <xdr:row>58</xdr:row>
      <xdr:rowOff>17462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38102</xdr:colOff>
      <xdr:row>0</xdr:row>
      <xdr:rowOff>85722</xdr:rowOff>
    </xdr:from>
    <xdr:to>
      <xdr:col>37</xdr:col>
      <xdr:colOff>571502</xdr:colOff>
      <xdr:row>28</xdr:row>
      <xdr:rowOff>130966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37</xdr:col>
      <xdr:colOff>692943</xdr:colOff>
      <xdr:row>0</xdr:row>
      <xdr:rowOff>73816</xdr:rowOff>
    </xdr:from>
    <xdr:to>
      <xdr:col>43</xdr:col>
      <xdr:colOff>380999</xdr:colOff>
      <xdr:row>28</xdr:row>
      <xdr:rowOff>119060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37</xdr:col>
      <xdr:colOff>659605</xdr:colOff>
      <xdr:row>29</xdr:row>
      <xdr:rowOff>90489</xdr:rowOff>
    </xdr:from>
    <xdr:to>
      <xdr:col>43</xdr:col>
      <xdr:colOff>347661</xdr:colOff>
      <xdr:row>58</xdr:row>
      <xdr:rowOff>28576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29</xdr:col>
          <xdr:colOff>295275</xdr:colOff>
          <xdr:row>2</xdr:row>
          <xdr:rowOff>85725</xdr:rowOff>
        </xdr:from>
        <xdr:to>
          <xdr:col>31</xdr:col>
          <xdr:colOff>180975</xdr:colOff>
          <xdr:row>5</xdr:row>
          <xdr:rowOff>76200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xdr:twoCellAnchor>
    <xdr:from>
      <xdr:col>43</xdr:col>
      <xdr:colOff>821532</xdr:colOff>
      <xdr:row>29</xdr:row>
      <xdr:rowOff>83344</xdr:rowOff>
    </xdr:from>
    <xdr:to>
      <xdr:col>49</xdr:col>
      <xdr:colOff>21431</xdr:colOff>
      <xdr:row>58</xdr:row>
      <xdr:rowOff>21431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354806</xdr:colOff>
          <xdr:row>23</xdr:row>
          <xdr:rowOff>23812</xdr:rowOff>
        </xdr:from>
        <xdr:to>
          <xdr:col>22</xdr:col>
          <xdr:colOff>859631</xdr:colOff>
          <xdr:row>27</xdr:row>
          <xdr:rowOff>66675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1A14A8A6-0934-46C9-AA8F-A02C4C57C29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EXPERIMENTAL</a:t>
              </a:r>
            </a:p>
            <a:p>
              <a:pPr algn="ctr" rtl="0">
                <a:defRPr sz="1000"/>
              </a:pPr>
              <a:r>
                <a:rPr lang="en-US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Try for Solution Using Alternate Reference Point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A54E9-EA59-4EEC-AB5F-C1E14D94F20F}">
  <sheetPr codeName="Sheet1"/>
  <dimension ref="A1:EK378"/>
  <sheetViews>
    <sheetView tabSelected="1" zoomScale="80" zoomScaleNormal="80" workbookViewId="0">
      <selection activeCell="AS62" sqref="AS62"/>
    </sheetView>
  </sheetViews>
  <sheetFormatPr defaultColWidth="8.85546875" defaultRowHeight="15" x14ac:dyDescent="0.25"/>
  <cols>
    <col min="1" max="1" width="15.28515625" customWidth="1"/>
    <col min="2" max="2" width="16" customWidth="1"/>
    <col min="3" max="3" width="12.42578125" customWidth="1"/>
    <col min="4" max="5" width="11.140625" customWidth="1"/>
    <col min="6" max="7" width="11.42578125" bestFit="1" customWidth="1"/>
    <col min="8" max="8" width="13.140625" bestFit="1" customWidth="1"/>
    <col min="9" max="9" width="12.140625" bestFit="1" customWidth="1"/>
    <col min="10" max="10" width="13.140625" bestFit="1" customWidth="1"/>
    <col min="11" max="11" width="12.140625" bestFit="1" customWidth="1"/>
    <col min="12" max="12" width="12.42578125" customWidth="1"/>
    <col min="13" max="13" width="17.28515625" customWidth="1"/>
    <col min="14" max="15" width="17" bestFit="1" customWidth="1"/>
    <col min="16" max="16" width="15.42578125" bestFit="1" customWidth="1"/>
    <col min="17" max="18" width="16.42578125" bestFit="1" customWidth="1"/>
    <col min="19" max="19" width="14.85546875" bestFit="1" customWidth="1"/>
    <col min="20" max="20" width="16.42578125" customWidth="1"/>
    <col min="21" max="22" width="16.42578125" bestFit="1" customWidth="1"/>
    <col min="23" max="24" width="15.42578125" bestFit="1" customWidth="1"/>
    <col min="25" max="26" width="17.7109375" bestFit="1" customWidth="1"/>
    <col min="27" max="27" width="11" bestFit="1" customWidth="1"/>
    <col min="28" max="28" width="14.42578125" bestFit="1" customWidth="1"/>
    <col min="29" max="29" width="13.42578125" bestFit="1" customWidth="1"/>
    <col min="30" max="30" width="14.42578125" bestFit="1" customWidth="1"/>
    <col min="31" max="31" width="13.42578125" bestFit="1" customWidth="1"/>
    <col min="32" max="32" width="12.42578125" bestFit="1" customWidth="1"/>
    <col min="33" max="33" width="14.85546875" bestFit="1" customWidth="1"/>
    <col min="34" max="34" width="17" bestFit="1" customWidth="1"/>
    <col min="35" max="35" width="14.42578125" bestFit="1" customWidth="1"/>
    <col min="36" max="36" width="13.42578125" bestFit="1" customWidth="1"/>
    <col min="37" max="37" width="14.42578125" bestFit="1" customWidth="1"/>
    <col min="38" max="39" width="13.42578125" bestFit="1" customWidth="1"/>
    <col min="40" max="40" width="14.85546875" bestFit="1" customWidth="1"/>
    <col min="41" max="41" width="17" bestFit="1" customWidth="1"/>
    <col min="42" max="42" width="14.42578125" bestFit="1" customWidth="1"/>
    <col min="43" max="43" width="13.42578125" bestFit="1" customWidth="1"/>
    <col min="44" max="44" width="14.42578125" bestFit="1" customWidth="1"/>
    <col min="45" max="46" width="14" style="6" bestFit="1" customWidth="1"/>
    <col min="47" max="47" width="14.85546875" style="6" bestFit="1" customWidth="1"/>
    <col min="48" max="48" width="17" style="6" bestFit="1" customWidth="1"/>
    <col min="49" max="49" width="19.7109375" style="6" bestFit="1" customWidth="1"/>
    <col min="50" max="50" width="19.140625" style="6" bestFit="1" customWidth="1"/>
    <col min="51" max="51" width="24.28515625" style="6" bestFit="1" customWidth="1"/>
    <col min="52" max="52" width="11" style="49" bestFit="1" customWidth="1"/>
    <col min="53" max="53" width="19.42578125" style="49" bestFit="1" customWidth="1"/>
    <col min="54" max="54" width="19.140625" style="49" bestFit="1" customWidth="1"/>
    <col min="55" max="56" width="24.28515625" style="49" bestFit="1" customWidth="1"/>
    <col min="57" max="57" width="10.7109375" bestFit="1" customWidth="1"/>
    <col min="58" max="58" width="14.42578125" bestFit="1" customWidth="1"/>
    <col min="59" max="59" width="19.42578125" bestFit="1" customWidth="1"/>
    <col min="60" max="60" width="19.140625" bestFit="1" customWidth="1"/>
    <col min="61" max="61" width="24.28515625" bestFit="1" customWidth="1"/>
    <col min="65" max="65" width="13.7109375" bestFit="1" customWidth="1"/>
    <col min="70" max="71" width="13.7109375" bestFit="1" customWidth="1"/>
    <col min="72" max="72" width="11" bestFit="1" customWidth="1"/>
    <col min="73" max="73" width="13" bestFit="1" customWidth="1"/>
    <col min="74" max="74" width="9.85546875" bestFit="1" customWidth="1"/>
    <col min="78" max="78" width="13" bestFit="1" customWidth="1"/>
    <col min="79" max="79" width="10.28515625" customWidth="1"/>
    <col min="80" max="80" width="12.85546875" bestFit="1" customWidth="1"/>
    <col min="81" max="81" width="14.42578125" customWidth="1"/>
    <col min="83" max="83" width="8.85546875" customWidth="1"/>
    <col min="84" max="84" width="9.28515625" bestFit="1" customWidth="1"/>
    <col min="85" max="85" width="13" bestFit="1" customWidth="1"/>
    <col min="86" max="88" width="13.7109375" bestFit="1" customWidth="1"/>
    <col min="89" max="89" width="12.42578125" bestFit="1" customWidth="1"/>
    <col min="90" max="90" width="13" bestFit="1" customWidth="1"/>
    <col min="91" max="91" width="13.7109375" bestFit="1" customWidth="1"/>
    <col min="92" max="92" width="13" bestFit="1" customWidth="1"/>
    <col min="93" max="93" width="12" bestFit="1" customWidth="1"/>
    <col min="94" max="95" width="13.7109375" bestFit="1" customWidth="1"/>
    <col min="96" max="96" width="10" bestFit="1" customWidth="1"/>
    <col min="106" max="106" width="7" customWidth="1"/>
    <col min="112" max="112" width="10.28515625" bestFit="1" customWidth="1"/>
    <col min="120" max="120" width="9.140625" bestFit="1" customWidth="1"/>
    <col min="121" max="121" width="13.85546875" bestFit="1" customWidth="1"/>
    <col min="122" max="122" width="13" bestFit="1" customWidth="1"/>
    <col min="123" max="123" width="9" bestFit="1" customWidth="1"/>
    <col min="125" max="125" width="13" bestFit="1" customWidth="1"/>
    <col min="126" max="126" width="13.7109375" bestFit="1" customWidth="1"/>
    <col min="127" max="127" width="13.140625" bestFit="1" customWidth="1"/>
    <col min="129" max="129" width="13.7109375" bestFit="1" customWidth="1"/>
  </cols>
  <sheetData>
    <row r="1" spans="1:141" x14ac:dyDescent="0.25">
      <c r="A1" s="8" t="s">
        <v>191</v>
      </c>
      <c r="B1" s="20" t="s">
        <v>210</v>
      </c>
      <c r="K1" s="8" t="s">
        <v>71</v>
      </c>
      <c r="L1" s="53">
        <v>1.0000000000000001E-9</v>
      </c>
      <c r="P1" s="8" t="s">
        <v>142</v>
      </c>
      <c r="Q1" s="4">
        <v>1</v>
      </c>
      <c r="T1" t="s">
        <v>152</v>
      </c>
      <c r="U1" s="4">
        <v>0</v>
      </c>
      <c r="W1" t="s">
        <v>192</v>
      </c>
      <c r="X1" s="4">
        <v>1</v>
      </c>
      <c r="Z1" s="1" t="s">
        <v>214</v>
      </c>
      <c r="AA1" s="4">
        <v>0</v>
      </c>
      <c r="BC1" s="6" t="s">
        <v>111</v>
      </c>
      <c r="BD1" s="6" t="s">
        <v>100</v>
      </c>
      <c r="BE1" s="6" t="s">
        <v>101</v>
      </c>
      <c r="BF1" s="6" t="s">
        <v>112</v>
      </c>
      <c r="BG1" s="6" t="s">
        <v>143</v>
      </c>
      <c r="BH1" s="6" t="s">
        <v>144</v>
      </c>
      <c r="BI1" s="6" t="s">
        <v>145</v>
      </c>
      <c r="BJ1" s="6" t="s">
        <v>212</v>
      </c>
      <c r="BK1" s="6" t="s">
        <v>213</v>
      </c>
      <c r="BW1" s="45" t="s">
        <v>146</v>
      </c>
      <c r="CU1" t="s">
        <v>113</v>
      </c>
      <c r="DC1" t="s">
        <v>136</v>
      </c>
      <c r="DK1" t="s">
        <v>141</v>
      </c>
      <c r="DN1" s="1" t="s">
        <v>220</v>
      </c>
      <c r="DO1">
        <v>1E-10</v>
      </c>
      <c r="DV1" t="s">
        <v>196</v>
      </c>
    </row>
    <row r="2" spans="1:141" ht="15.75" thickBot="1" x14ac:dyDescent="0.3">
      <c r="A2" s="8" t="s">
        <v>0</v>
      </c>
      <c r="B2" s="2">
        <v>5</v>
      </c>
      <c r="C2" t="s">
        <v>1</v>
      </c>
      <c r="E2" s="1" t="s">
        <v>8</v>
      </c>
      <c r="F2" s="1" t="s">
        <v>9</v>
      </c>
      <c r="H2" t="s">
        <v>25</v>
      </c>
      <c r="I2" s="6">
        <f>B5/2</f>
        <v>6</v>
      </c>
      <c r="K2" s="8" t="s">
        <v>72</v>
      </c>
      <c r="L2" s="4">
        <v>75</v>
      </c>
      <c r="M2">
        <v>1055</v>
      </c>
      <c r="N2">
        <v>26</v>
      </c>
      <c r="O2">
        <v>0</v>
      </c>
      <c r="AD2" s="8" t="s">
        <v>153</v>
      </c>
      <c r="AE2" s="20">
        <v>360</v>
      </c>
      <c r="BC2">
        <v>0</v>
      </c>
      <c r="BD2">
        <v>138.51255281472493</v>
      </c>
      <c r="BE2">
        <v>-42.660000000000004</v>
      </c>
      <c r="BF2" s="6">
        <f t="shared" ref="BF2:BF33" si="0">IF(BC2&lt;&gt;"",IF(AND(BD2=0,BE2=0),0,MOD(ATAN2(BD2,BE2),2*PI())),NA())</f>
        <v>5.9844176250876764</v>
      </c>
      <c r="BG2" s="6">
        <f t="shared" ref="BG2:BG33" si="1">ABS(BC2-BF2)</f>
        <v>5.9844176250876764</v>
      </c>
      <c r="BH2" s="6">
        <f>ATAN2(COS($U$13-BF2),SIN($U$13-BF2))</f>
        <v>3.1088061738057648</v>
      </c>
      <c r="BI2" s="6">
        <f>ABS(BH2)</f>
        <v>3.1088061738057648</v>
      </c>
      <c r="BJ2">
        <v>153.90283646080547</v>
      </c>
      <c r="BK2">
        <v>-47.400000000000006</v>
      </c>
      <c r="BT2">
        <v>0.78539816339744828</v>
      </c>
      <c r="BV2" s="38"/>
      <c r="CU2" s="1" t="s">
        <v>114</v>
      </c>
      <c r="CV2" s="1" t="s">
        <v>33</v>
      </c>
      <c r="CW2" s="1" t="s">
        <v>115</v>
      </c>
      <c r="CX2" s="1" t="s">
        <v>116</v>
      </c>
      <c r="CY2" s="1" t="s">
        <v>117</v>
      </c>
      <c r="CZ2" s="1" t="s">
        <v>118</v>
      </c>
      <c r="DC2" s="1" t="s">
        <v>137</v>
      </c>
      <c r="DD2">
        <v>2.810038491713855</v>
      </c>
      <c r="DK2" s="1" t="s">
        <v>226</v>
      </c>
      <c r="DL2" s="1" t="s">
        <v>218</v>
      </c>
      <c r="DM2" s="1" t="s">
        <v>219</v>
      </c>
      <c r="DN2" s="1" t="s">
        <v>221</v>
      </c>
      <c r="DO2" s="1" t="s">
        <v>222</v>
      </c>
      <c r="DP2" s="1" t="s">
        <v>223</v>
      </c>
      <c r="DQ2" s="1" t="s">
        <v>224</v>
      </c>
      <c r="DR2" s="1" t="s">
        <v>225</v>
      </c>
    </row>
    <row r="3" spans="1:141" x14ac:dyDescent="0.25">
      <c r="A3" s="8" t="s">
        <v>2</v>
      </c>
      <c r="B3" s="3">
        <f>(POWER(145,1.5)*33*SQRT(1000*B2))/1000</f>
        <v>4074.2806880478911</v>
      </c>
      <c r="C3" t="s">
        <v>1</v>
      </c>
      <c r="E3">
        <v>0</v>
      </c>
      <c r="F3">
        <v>0</v>
      </c>
      <c r="H3" t="s">
        <v>26</v>
      </c>
      <c r="I3" s="1">
        <f>B8/2</f>
        <v>12</v>
      </c>
      <c r="T3" s="25" t="s">
        <v>78</v>
      </c>
      <c r="U3" s="18">
        <f ca="1">IF(ABS(K72)&lt;0.002,0.65,IF(ABS(K72)&gt;0.005,0.9,0.65+((ABS(K72)-0.002)*(250/3))))</f>
        <v>0.9</v>
      </c>
      <c r="V3" s="15"/>
      <c r="W3" s="29" t="s">
        <v>95</v>
      </c>
      <c r="X3" t="s">
        <v>79</v>
      </c>
      <c r="AA3" t="s">
        <v>110</v>
      </c>
      <c r="BC3">
        <v>1.7453292519943295E-2</v>
      </c>
      <c r="BD3">
        <v>138.5005218068541</v>
      </c>
      <c r="BE3">
        <v>-41.861632403007505</v>
      </c>
      <c r="BF3" s="6">
        <f t="shared" si="0"/>
        <v>5.9896665673971956</v>
      </c>
      <c r="BG3" s="6">
        <f t="shared" si="1"/>
        <v>5.9722132748772525</v>
      </c>
      <c r="BH3" s="6">
        <f t="shared" ref="BH3:BH66" si="2">ATAN2(COS($U$13-BF3),SIN($U$13-BF3))</f>
        <v>3.1035572314962456</v>
      </c>
      <c r="BI3" s="6">
        <f t="shared" ref="BI3:BI66" si="3">ABS(BH3)</f>
        <v>3.1035572314962456</v>
      </c>
      <c r="BJ3">
        <v>153.88946867428231</v>
      </c>
      <c r="BK3">
        <v>-46.512924892230558</v>
      </c>
      <c r="BV3" s="38"/>
      <c r="CU3">
        <v>4.3808348185087516</v>
      </c>
      <c r="CV3">
        <v>1.2392421649189584</v>
      </c>
      <c r="CW3">
        <v>2.810038491713855</v>
      </c>
      <c r="CX3">
        <v>4.5607284749158983E-3</v>
      </c>
      <c r="CY3">
        <v>-5.2461128723532702E-3</v>
      </c>
      <c r="CZ3">
        <v>-1.4462753266117903E-3</v>
      </c>
      <c r="DC3" s="1" t="s">
        <v>215</v>
      </c>
      <c r="DD3" s="1" t="s">
        <v>216</v>
      </c>
      <c r="DE3" s="1" t="s">
        <v>140</v>
      </c>
      <c r="DF3" s="1" t="s">
        <v>139</v>
      </c>
      <c r="DG3" s="1" t="s">
        <v>138</v>
      </c>
      <c r="DH3" s="1" t="s">
        <v>217</v>
      </c>
      <c r="DK3">
        <v>2.810038491713855</v>
      </c>
      <c r="DL3">
        <v>3.1262347233556111</v>
      </c>
      <c r="DV3" s="9"/>
      <c r="DW3" s="9" t="str">
        <f t="shared" ref="DW3:DY5" si="4">Z14</f>
        <v>P</v>
      </c>
      <c r="DX3" s="9" t="str">
        <f t="shared" si="4"/>
        <v>Mx</v>
      </c>
      <c r="DY3" s="9" t="str">
        <f t="shared" si="4"/>
        <v>My</v>
      </c>
    </row>
    <row r="4" spans="1:141" x14ac:dyDescent="0.25">
      <c r="A4" s="8" t="s">
        <v>3</v>
      </c>
      <c r="B4" s="1">
        <f>IF(B2&lt;=4,0.85,IF(B2&lt;=8,0.85 - ((0.05*(B2-4))/1),0.65))</f>
        <v>0.79999999999999993</v>
      </c>
      <c r="E4" s="5">
        <f>B5</f>
        <v>12</v>
      </c>
      <c r="F4">
        <v>0</v>
      </c>
      <c r="G4">
        <f>((E3*F4)-(E4*F3))*0.5</f>
        <v>0</v>
      </c>
      <c r="T4" s="26" t="s">
        <v>75</v>
      </c>
      <c r="U4" s="10">
        <f ca="1">U3*IF(B1="PCA_Parabolic",B200,B75)</f>
        <v>-160.00000000098825</v>
      </c>
      <c r="V4" s="16" t="s">
        <v>68</v>
      </c>
      <c r="W4" s="30">
        <f ca="1">U4-U10</f>
        <v>-9.8825125860457774E-10</v>
      </c>
      <c r="X4" cm="1">
        <f t="array" ref="X4">MAX(ABS(E3:F11))+10</f>
        <v>34</v>
      </c>
      <c r="Y4">
        <f>X4</f>
        <v>34</v>
      </c>
      <c r="AA4" t="s">
        <v>8</v>
      </c>
      <c r="AB4" t="s">
        <v>9</v>
      </c>
      <c r="BC4">
        <v>3.4906585039886591E-2</v>
      </c>
      <c r="BD4">
        <v>138.47760145817037</v>
      </c>
      <c r="BE4">
        <v>-41.138866491241643</v>
      </c>
      <c r="BF4" s="6">
        <f t="shared" si="0"/>
        <v>5.9944099538729434</v>
      </c>
      <c r="BG4" s="6">
        <f t="shared" si="1"/>
        <v>5.9595033688330572</v>
      </c>
      <c r="BH4" s="6">
        <f t="shared" si="2"/>
        <v>3.0988138450204978</v>
      </c>
      <c r="BI4" s="6">
        <f t="shared" si="3"/>
        <v>3.0988138450204978</v>
      </c>
      <c r="BJ4">
        <v>153.8640016201893</v>
      </c>
      <c r="BK4">
        <v>-45.709851656935157</v>
      </c>
      <c r="BV4" s="38"/>
      <c r="BW4" s="1" t="s">
        <v>100</v>
      </c>
      <c r="BX4" s="1" t="s">
        <v>101</v>
      </c>
      <c r="BY4" s="1" t="s">
        <v>203</v>
      </c>
      <c r="BZ4" s="1" t="s">
        <v>148</v>
      </c>
      <c r="CA4" s="1" t="s">
        <v>149</v>
      </c>
      <c r="CB4" s="1" t="s">
        <v>228</v>
      </c>
      <c r="CD4" s="1" t="s">
        <v>231</v>
      </c>
      <c r="CE4" s="1" t="s">
        <v>235</v>
      </c>
      <c r="CF4" s="1" t="s">
        <v>236</v>
      </c>
      <c r="CG4" s="1" t="s">
        <v>228</v>
      </c>
      <c r="CH4" s="1"/>
      <c r="CI4" s="1"/>
      <c r="CK4" s="1" t="s">
        <v>228</v>
      </c>
      <c r="CU4">
        <v>4.3808348185087516</v>
      </c>
      <c r="CV4">
        <v>2.810038491713855</v>
      </c>
      <c r="CW4">
        <v>3.5954366551113033</v>
      </c>
      <c r="CX4">
        <v>4.5607284749158983E-3</v>
      </c>
      <c r="CY4">
        <v>-1.4462753266117903E-3</v>
      </c>
      <c r="CZ4">
        <v>4.3708457749519472E-3</v>
      </c>
      <c r="DE4">
        <v>5.9669890755378301</v>
      </c>
      <c r="DF4">
        <v>1</v>
      </c>
      <c r="DG4">
        <v>-0.34691209211012008</v>
      </c>
      <c r="DH4">
        <v>-3.1569505838239751</v>
      </c>
      <c r="DK4">
        <v>2.810038491713855</v>
      </c>
      <c r="DL4">
        <v>3.1262347233556111</v>
      </c>
      <c r="DM4">
        <v>2.810038491813855</v>
      </c>
      <c r="DN4">
        <v>3.126234723357002</v>
      </c>
      <c r="DO4">
        <v>2.810038491613855</v>
      </c>
      <c r="DP4">
        <v>3.1262347233542211</v>
      </c>
      <c r="DQ4">
        <v>1.3904433160405461E-2</v>
      </c>
      <c r="DR4">
        <v>-2.1157407710063136</v>
      </c>
      <c r="DV4" s="9" t="str">
        <f>Y15</f>
        <v>Max</v>
      </c>
      <c r="DW4" s="9">
        <f t="shared" ca="1" si="4"/>
        <v>910.1105</v>
      </c>
      <c r="DX4" s="9">
        <f t="shared" ca="1" si="4"/>
        <v>-85.882875000000013</v>
      </c>
      <c r="DY4" s="9">
        <f t="shared" ca="1" si="4"/>
        <v>28.627624999999998</v>
      </c>
      <c r="DZ4" s="9"/>
      <c r="EA4" t="s">
        <v>204</v>
      </c>
      <c r="EB4" s="9">
        <f>U10</f>
        <v>-160</v>
      </c>
      <c r="EC4" s="9">
        <f>U11</f>
        <v>-12.2</v>
      </c>
      <c r="ED4" s="9">
        <f>U12</f>
        <v>4.2</v>
      </c>
      <c r="EF4">
        <f>ATAN2(EC4,ED4)</f>
        <v>2.810038491713855</v>
      </c>
      <c r="EG4" s="9">
        <f>SQRT(POWER(EB4,2)+POWER(EC4,2)+POWER(ED4,2))</f>
        <v>160.51940692639005</v>
      </c>
      <c r="EH4">
        <f>EB4/EG4</f>
        <v>-0.99676421103008295</v>
      </c>
      <c r="EI4">
        <f>EC4/EG4</f>
        <v>-7.6003271091043823E-2</v>
      </c>
      <c r="EJ4">
        <f>ED4/EG4</f>
        <v>2.6165060539539677E-2</v>
      </c>
      <c r="EK4">
        <v>0</v>
      </c>
    </row>
    <row r="5" spans="1:141" x14ac:dyDescent="0.25">
      <c r="A5" s="8" t="s">
        <v>5</v>
      </c>
      <c r="B5" s="44">
        <v>12</v>
      </c>
      <c r="C5" t="s">
        <v>4</v>
      </c>
      <c r="E5" s="5">
        <f>E4</f>
        <v>12</v>
      </c>
      <c r="F5">
        <f>(B8-B9)</f>
        <v>16</v>
      </c>
      <c r="G5">
        <f t="shared" ref="G5:G11" si="5">((E4*F5)-(E5*F4))*0.5</f>
        <v>96</v>
      </c>
      <c r="T5" s="26" t="s">
        <v>77</v>
      </c>
      <c r="U5" s="10">
        <f ca="1">U3*IF(B1="PCA_Parabolic",B204*(1/12),B79*(1/12))</f>
        <v>117.51457213794784</v>
      </c>
      <c r="V5" s="16" t="s">
        <v>70</v>
      </c>
      <c r="W5" s="31"/>
      <c r="X5">
        <f>X4</f>
        <v>34</v>
      </c>
      <c r="Y5">
        <f>X5</f>
        <v>34</v>
      </c>
      <c r="AA5">
        <v>0</v>
      </c>
      <c r="AB5">
        <v>0</v>
      </c>
      <c r="BC5">
        <v>5.235987755982989E-2</v>
      </c>
      <c r="BD5">
        <v>138.45092329660082</v>
      </c>
      <c r="BE5">
        <v>-40.556120576698795</v>
      </c>
      <c r="BF5" s="6">
        <f t="shared" si="0"/>
        <v>5.9982293571062657</v>
      </c>
      <c r="BG5" s="6">
        <f t="shared" si="1"/>
        <v>5.9458694795464355</v>
      </c>
      <c r="BH5" s="6">
        <f t="shared" si="2"/>
        <v>3.0949944417871755</v>
      </c>
      <c r="BI5" s="6">
        <f t="shared" si="3"/>
        <v>3.0949944417871755</v>
      </c>
      <c r="BJ5">
        <v>153.83435921844534</v>
      </c>
      <c r="BK5">
        <v>-45.062356196331997</v>
      </c>
      <c r="BU5" s="6"/>
      <c r="BV5" s="73" t="s">
        <v>239</v>
      </c>
      <c r="BW5">
        <f ca="1">B132</f>
        <v>125.87451775409772</v>
      </c>
      <c r="BX5">
        <f ca="1">B133</f>
        <v>-41.958172584699234</v>
      </c>
      <c r="BY5">
        <f ca="1">SQRT(POWER(BW5,2)+POWER(BX5,2))</f>
        <v>132.68339182608375</v>
      </c>
      <c r="BZ5">
        <f ca="1">BW5/BY5</f>
        <v>0.94868329805051388</v>
      </c>
      <c r="CA5">
        <f ca="1">BX5/BY5</f>
        <v>-0.31622776601683789</v>
      </c>
      <c r="CB5">
        <f ca="1">ATAN2(BZ5,CA5)</f>
        <v>-0.32175055439664213</v>
      </c>
      <c r="CD5" s="1" t="s">
        <v>232</v>
      </c>
      <c r="CE5" s="6">
        <f ca="1">0-BW5</f>
        <v>-125.87451775409772</v>
      </c>
      <c r="CF5" s="6">
        <f ca="1">0-BX5</f>
        <v>41.958172584699234</v>
      </c>
      <c r="CG5">
        <f ca="1">ATAN2(CE5,CF5)</f>
        <v>2.819842099193151</v>
      </c>
      <c r="CH5" s="1"/>
      <c r="CI5" s="6"/>
      <c r="CJ5" s="6"/>
      <c r="CU5">
        <v>3.5954366551113033</v>
      </c>
      <c r="CV5">
        <v>2.810038491713855</v>
      </c>
      <c r="CW5">
        <v>3.2027375734125791</v>
      </c>
      <c r="CX5">
        <v>4.3708457749519472E-3</v>
      </c>
      <c r="CY5">
        <v>-1.4462753266117903E-3</v>
      </c>
      <c r="CZ5">
        <v>3.1727742077665155E-3</v>
      </c>
      <c r="DC5">
        <v>2.810038491713855</v>
      </c>
      <c r="DD5">
        <v>5.9669890755378301</v>
      </c>
      <c r="DE5">
        <v>5.9569181043096675</v>
      </c>
      <c r="DF5">
        <v>313.47032101490282</v>
      </c>
      <c r="DG5">
        <v>-0.34018122057741768</v>
      </c>
      <c r="DH5">
        <v>-3.1468796125958125</v>
      </c>
      <c r="DK5">
        <v>-2.1157407710063136</v>
      </c>
      <c r="DL5">
        <v>-3.0919787516844872</v>
      </c>
      <c r="DM5">
        <v>-2.1157407709063136</v>
      </c>
      <c r="DN5">
        <v>-3.091978751686244</v>
      </c>
      <c r="DO5">
        <v>-2.1157407711063136</v>
      </c>
      <c r="DP5">
        <v>-3.0919787516827313</v>
      </c>
      <c r="DQ5">
        <v>-1.7563728249569976E-2</v>
      </c>
      <c r="DR5">
        <v>-2.2299700451200906</v>
      </c>
      <c r="DV5" s="9" t="str">
        <f>Y16</f>
        <v>Min</v>
      </c>
      <c r="DW5" s="9">
        <f t="shared" ca="1" si="4"/>
        <v>-170.64000000000001</v>
      </c>
      <c r="DX5" s="9">
        <f t="shared" ca="1" si="4"/>
        <v>127.98</v>
      </c>
      <c r="DY5" s="9">
        <f t="shared" ca="1" si="4"/>
        <v>-42.660000000000004</v>
      </c>
      <c r="DZ5" s="9"/>
      <c r="EA5" t="s">
        <v>205</v>
      </c>
      <c r="EB5" s="9">
        <f ca="1">U4</f>
        <v>-160.00000000098825</v>
      </c>
      <c r="EC5" s="9">
        <f ca="1">U5</f>
        <v>117.51457213794784</v>
      </c>
      <c r="ED5" s="9">
        <f ca="1">U6</f>
        <v>-40.455836617668623</v>
      </c>
      <c r="EF5">
        <f ca="1">ATAN2(EC5,ED5)</f>
        <v>-0.33155416421828937</v>
      </c>
      <c r="EG5" s="9">
        <f t="shared" ref="EG5:EG6" ca="1" si="6">SQRT(POWER(EB5,2)+POWER(EC5,2)+POWER(ED5,2))</f>
        <v>202.59898662509812</v>
      </c>
      <c r="EH5">
        <f t="shared" ref="EH5:EH6" ca="1" si="7">EB5/EG5</f>
        <v>-0.78973741510890327</v>
      </c>
      <c r="EI5">
        <f t="shared" ref="EI5:EI6" ca="1" si="8">EC5/EG5</f>
        <v>0.5800353402329903</v>
      </c>
      <c r="EJ5">
        <f t="shared" ref="EJ5:EJ6" ca="1" si="9">ED5/EG5</f>
        <v>-0.19968429897692747</v>
      </c>
      <c r="EK5">
        <v>0</v>
      </c>
    </row>
    <row r="6" spans="1:141" x14ac:dyDescent="0.25">
      <c r="A6" s="8" t="s">
        <v>92</v>
      </c>
      <c r="B6" s="44">
        <v>0</v>
      </c>
      <c r="C6" t="s">
        <v>4</v>
      </c>
      <c r="E6" s="5">
        <f>B7+B5</f>
        <v>12</v>
      </c>
      <c r="F6">
        <f>F5</f>
        <v>16</v>
      </c>
      <c r="G6">
        <f t="shared" si="5"/>
        <v>0</v>
      </c>
      <c r="T6" s="26" t="s">
        <v>76</v>
      </c>
      <c r="U6" s="10">
        <f ca="1">U3*IF(B1="PCA_Parabolic",B205*(1/12),B80*(1/12))</f>
        <v>-40.455836617668623</v>
      </c>
      <c r="V6" s="16" t="s">
        <v>70</v>
      </c>
      <c r="W6" s="30">
        <f t="shared" ref="W6" ca="1" si="10">U6</f>
        <v>-40.455836617668623</v>
      </c>
      <c r="X6">
        <f>IF(B6=0,0,-1*X5)</f>
        <v>0</v>
      </c>
      <c r="Y6">
        <f>IF(B6=0,0,Y5)</f>
        <v>0</v>
      </c>
      <c r="AA6">
        <f>U14</f>
        <v>12.902712893031449</v>
      </c>
      <c r="AB6">
        <f>U10</f>
        <v>-160</v>
      </c>
      <c r="BC6">
        <v>6.9813170079773182E-2</v>
      </c>
      <c r="BD6">
        <v>138.42495973050114</v>
      </c>
      <c r="BE6">
        <v>-40.129205797927398</v>
      </c>
      <c r="BF6" s="6">
        <f t="shared" si="0"/>
        <v>6.0010213964382642</v>
      </c>
      <c r="BG6" s="6">
        <f t="shared" si="1"/>
        <v>5.9312082263584909</v>
      </c>
      <c r="BH6" s="6">
        <f t="shared" si="2"/>
        <v>3.0922024024551771</v>
      </c>
      <c r="BI6" s="6">
        <f t="shared" si="3"/>
        <v>3.0922024024551771</v>
      </c>
      <c r="BJ6">
        <v>153.80551081166794</v>
      </c>
      <c r="BK6">
        <v>-44.588006442141555</v>
      </c>
      <c r="BV6" s="38" t="s">
        <v>229</v>
      </c>
      <c r="BW6" s="9">
        <f>U11</f>
        <v>-12.2</v>
      </c>
      <c r="BX6" s="9">
        <f>U12</f>
        <v>4.2</v>
      </c>
      <c r="BY6">
        <f t="shared" ref="BY6:BY7" si="11">SQRT(POWER(BW6,2)+POWER(BX6,2))</f>
        <v>12.902712893031449</v>
      </c>
      <c r="BZ6">
        <f t="shared" ref="BZ6:BZ7" si="12">BW6/BY6</f>
        <v>-0.94553758586607206</v>
      </c>
      <c r="CA6">
        <f t="shared" ref="CA6:CA7" si="13">BX6/BY6</f>
        <v>0.32551293939651665</v>
      </c>
      <c r="CB6">
        <f t="shared" ref="CB6:CB7" si="14">ATAN2(BZ6,CA6)</f>
        <v>2.810038491713855</v>
      </c>
      <c r="CD6" s="1" t="s">
        <v>233</v>
      </c>
      <c r="CE6" s="6">
        <f>BW6-0</f>
        <v>-12.2</v>
      </c>
      <c r="CF6" s="6">
        <f>BX6-0</f>
        <v>4.2</v>
      </c>
      <c r="CG6">
        <f t="shared" ref="CG6:CG8" si="15">ATAN2(CE6,CF6)</f>
        <v>2.810038491713855</v>
      </c>
      <c r="CH6" s="1" t="s">
        <v>238</v>
      </c>
      <c r="CI6" s="6">
        <f ca="1">BW7</f>
        <v>117.51457213794784</v>
      </c>
      <c r="CJ6" s="6">
        <f ca="1">BX7</f>
        <v>-40.455836617668623</v>
      </c>
      <c r="CK6">
        <f ca="1">ATAN2(CI6,CJ6)</f>
        <v>-0.33155416421828937</v>
      </c>
      <c r="CU6">
        <v>3.2027375734125791</v>
      </c>
      <c r="CV6">
        <v>2.810038491713855</v>
      </c>
      <c r="CW6">
        <v>3.0063880325632173</v>
      </c>
      <c r="CX6">
        <v>3.1727742077665155E-3</v>
      </c>
      <c r="CY6">
        <v>-1.4462753266117903E-3</v>
      </c>
      <c r="CZ6">
        <v>-8.2598541086081889E-4</v>
      </c>
      <c r="DC6">
        <v>-0.34691209211012008</v>
      </c>
      <c r="DD6">
        <v>5.9569181043096675</v>
      </c>
      <c r="DE6">
        <v>5.957013370605079</v>
      </c>
      <c r="DF6">
        <v>70.653230543202369</v>
      </c>
      <c r="DG6">
        <v>-2.7726371012598872</v>
      </c>
      <c r="DH6">
        <v>-3.146974878891224</v>
      </c>
      <c r="DK6">
        <v>-2.2299700451200906</v>
      </c>
      <c r="DL6">
        <v>-3.0922057239433132</v>
      </c>
      <c r="DM6">
        <v>-2.2299700450200906</v>
      </c>
      <c r="DN6">
        <v>-3.0922057239462566</v>
      </c>
      <c r="DO6">
        <v>-2.2299700452200906</v>
      </c>
      <c r="DP6">
        <v>-3.0922057239474583</v>
      </c>
      <c r="DQ6">
        <v>6.0085270092713472E-3</v>
      </c>
      <c r="DR6">
        <v>-2.8149292359149229</v>
      </c>
      <c r="DZ6" s="9"/>
      <c r="EA6" t="s">
        <v>208</v>
      </c>
      <c r="EB6" s="9">
        <f ca="1">EB5</f>
        <v>-160.00000000098825</v>
      </c>
      <c r="EC6" s="9">
        <f>EC4+5</f>
        <v>-7.1999999999999993</v>
      </c>
      <c r="ED6" s="9">
        <f>ED4+5</f>
        <v>9.1999999999999993</v>
      </c>
      <c r="EF6">
        <f>ATAN2(EC6,ED6)</f>
        <v>2.2348424896215811</v>
      </c>
      <c r="EG6" s="9">
        <f t="shared" ca="1" si="6"/>
        <v>160.42593306668419</v>
      </c>
      <c r="EH6">
        <f t="shared" ca="1" si="7"/>
        <v>-0.99734498620295453</v>
      </c>
      <c r="EI6">
        <f t="shared" ca="1" si="8"/>
        <v>-4.4880524378855743E-2</v>
      </c>
      <c r="EJ6">
        <f t="shared" ca="1" si="9"/>
        <v>5.7347336706315671E-2</v>
      </c>
      <c r="EK6">
        <v>0</v>
      </c>
    </row>
    <row r="7" spans="1:141" ht="15.75" thickBot="1" x14ac:dyDescent="0.3">
      <c r="A7" s="8" t="s">
        <v>91</v>
      </c>
      <c r="B7" s="44">
        <v>0</v>
      </c>
      <c r="C7" t="s">
        <v>4</v>
      </c>
      <c r="E7" s="5">
        <f>E6</f>
        <v>12</v>
      </c>
      <c r="F7">
        <f>B8</f>
        <v>24</v>
      </c>
      <c r="G7">
        <f t="shared" si="5"/>
        <v>48</v>
      </c>
      <c r="T7" s="27" t="s">
        <v>96</v>
      </c>
      <c r="U7" s="28">
        <f ca="1">IF(AND(U5=0,U6=0),0,MOD(ATAN2(U5,U6),2*PI()))</f>
        <v>5.9516311429612969</v>
      </c>
      <c r="V7" s="17" t="s">
        <v>97</v>
      </c>
      <c r="W7" s="32">
        <f ca="1">IF((U13-U7)=0,0,ATAN2(COS(U13-U7),SIN(U13-U7)))</f>
        <v>-3.1415926512474419</v>
      </c>
      <c r="X7" s="38">
        <f ca="1">U7+2*PI()</f>
        <v>12.234816450140883</v>
      </c>
      <c r="AA7">
        <f ca="1">U8</f>
        <v>124.28334313656214</v>
      </c>
      <c r="AB7" s="9">
        <f ca="1">U4</f>
        <v>-160.00000000098825</v>
      </c>
      <c r="AE7" s="6" t="s">
        <v>195</v>
      </c>
      <c r="AF7" s="7">
        <v>-10</v>
      </c>
      <c r="BC7">
        <v>8.7266462599716474E-2</v>
      </c>
      <c r="BD7">
        <v>138.40183839788622</v>
      </c>
      <c r="BE7">
        <v>-39.83359852541799</v>
      </c>
      <c r="BF7" s="6">
        <f t="shared" si="0"/>
        <v>6.0029480716710095</v>
      </c>
      <c r="BG7" s="6">
        <f t="shared" si="1"/>
        <v>5.9156816090712931</v>
      </c>
      <c r="BH7" s="6">
        <f t="shared" si="2"/>
        <v>3.0902757272224317</v>
      </c>
      <c r="BI7" s="6">
        <f t="shared" si="3"/>
        <v>3.0902757272224317</v>
      </c>
      <c r="BJ7">
        <v>153.7798204420958</v>
      </c>
      <c r="BK7">
        <v>-44.2595539171311</v>
      </c>
      <c r="BV7" s="38" t="s">
        <v>230</v>
      </c>
      <c r="BW7" s="9">
        <f ca="1">U5</f>
        <v>117.51457213794784</v>
      </c>
      <c r="BX7" s="9">
        <f ca="1">U6</f>
        <v>-40.455836617668623</v>
      </c>
      <c r="BY7">
        <f t="shared" ca="1" si="11"/>
        <v>124.28334313656214</v>
      </c>
      <c r="BZ7">
        <f t="shared" ca="1" si="12"/>
        <v>0.94553758510360641</v>
      </c>
      <c r="CA7">
        <f t="shared" ca="1" si="13"/>
        <v>-0.32551294161129768</v>
      </c>
      <c r="CB7">
        <f t="shared" ca="1" si="14"/>
        <v>-0.33155416421828937</v>
      </c>
      <c r="CD7" s="1" t="s">
        <v>234</v>
      </c>
      <c r="CE7" s="6">
        <f ca="1">BW6-BW5</f>
        <v>-138.07451775409771</v>
      </c>
      <c r="CF7" s="6">
        <f ca="1">BX6-BX5</f>
        <v>46.158172584699237</v>
      </c>
      <c r="CG7">
        <f t="shared" ca="1" si="15"/>
        <v>2.8189732551950271</v>
      </c>
      <c r="CH7" s="1" t="s">
        <v>237</v>
      </c>
      <c r="CI7" s="6">
        <f ca="1">BW7-BW5</f>
        <v>-8.3599456161498864</v>
      </c>
      <c r="CJ7" s="6">
        <f ca="1">BX7-BX5</f>
        <v>1.5023359670306107</v>
      </c>
      <c r="CK7">
        <f t="shared" ref="CK7:CK10" ca="1" si="16">ATAN2(CI7,CJ7)</f>
        <v>2.9637840884413311</v>
      </c>
      <c r="CU7">
        <v>3.2027375734125791</v>
      </c>
      <c r="CV7">
        <v>3.0063880325632173</v>
      </c>
      <c r="CW7">
        <v>3.104562802987898</v>
      </c>
      <c r="CX7">
        <v>3.1727742077665155E-3</v>
      </c>
      <c r="CY7">
        <v>-8.2598541086081889E-4</v>
      </c>
      <c r="CZ7">
        <v>4.3840332780958891E-4</v>
      </c>
      <c r="DC7">
        <v>-0.34018122057741768</v>
      </c>
      <c r="DD7">
        <v>5.957013370605079</v>
      </c>
      <c r="DE7">
        <v>5.9050639636867555</v>
      </c>
      <c r="DF7">
        <v>46.823554396046397</v>
      </c>
      <c r="DG7">
        <v>3.1037167269778991</v>
      </c>
      <c r="DH7">
        <v>-3.0950254719729005</v>
      </c>
      <c r="DK7">
        <v>-2.8149292359149229</v>
      </c>
      <c r="DL7">
        <v>-3.0955342997313871</v>
      </c>
      <c r="DM7">
        <v>-2.8149292358149229</v>
      </c>
      <c r="DN7">
        <v>-3.095534299733905</v>
      </c>
      <c r="DO7">
        <v>-2.814929236014923</v>
      </c>
      <c r="DP7">
        <v>-3.0955342997380919</v>
      </c>
      <c r="DQ7">
        <v>2.0934365352331952E-2</v>
      </c>
      <c r="DR7">
        <v>0.5403610831597675</v>
      </c>
      <c r="DV7" t="s">
        <v>197</v>
      </c>
    </row>
    <row r="8" spans="1:141" ht="15.75" thickBot="1" x14ac:dyDescent="0.3">
      <c r="A8" s="8" t="s">
        <v>6</v>
      </c>
      <c r="B8" s="7">
        <v>24</v>
      </c>
      <c r="C8" t="s">
        <v>4</v>
      </c>
      <c r="E8" s="5">
        <f>E7-(B7+B6+B5)</f>
        <v>0</v>
      </c>
      <c r="F8">
        <f>F7</f>
        <v>24</v>
      </c>
      <c r="G8">
        <f t="shared" si="5"/>
        <v>144</v>
      </c>
      <c r="T8" s="36" t="s">
        <v>109</v>
      </c>
      <c r="U8" s="6">
        <f ca="1">SQRT(POWER(U5,2)+POWER(U6,2))</f>
        <v>124.28334313656214</v>
      </c>
      <c r="V8" s="40" t="s">
        <v>70</v>
      </c>
      <c r="W8" s="74" t="str">
        <f ca="1">IF((ABS(ABS(W7)-PI()))/10&lt;=L1,"ALT SOLUTION","")</f>
        <v>ALT SOLUTION</v>
      </c>
      <c r="X8">
        <f ca="1">DEGREES(U7)</f>
        <v>341.00334571030459</v>
      </c>
      <c r="AE8" s="6" t="s">
        <v>8</v>
      </c>
      <c r="AF8" s="6" t="s">
        <v>9</v>
      </c>
      <c r="BC8">
        <v>0.10471975511965977</v>
      </c>
      <c r="BD8">
        <v>138.38088185458867</v>
      </c>
      <c r="BE8">
        <v>-39.615057174129355</v>
      </c>
      <c r="BF8" s="6">
        <f t="shared" si="0"/>
        <v>6.0043668597528255</v>
      </c>
      <c r="BG8" s="6">
        <f t="shared" si="1"/>
        <v>5.899647104633166</v>
      </c>
      <c r="BH8" s="6">
        <f t="shared" si="2"/>
        <v>3.0888569391406158</v>
      </c>
      <c r="BI8" s="6">
        <f t="shared" si="3"/>
        <v>3.0888569391406158</v>
      </c>
      <c r="BJ8">
        <v>153.75653539398741</v>
      </c>
      <c r="BK8">
        <v>-44.016730193477059</v>
      </c>
      <c r="BV8" s="38"/>
      <c r="BW8" s="1"/>
      <c r="BX8" s="1"/>
      <c r="BY8" s="1"/>
      <c r="BZ8" s="1"/>
      <c r="CA8" s="1"/>
      <c r="CB8" s="1"/>
      <c r="CC8" s="1"/>
      <c r="CD8" s="1" t="str">
        <f>"GU-G0"</f>
        <v>GU-G0</v>
      </c>
      <c r="CE8" s="6">
        <f ca="1">CE7-CE5</f>
        <v>-12.199999999999989</v>
      </c>
      <c r="CF8" s="6">
        <f ca="1">CF7-CF5</f>
        <v>4.2000000000000028</v>
      </c>
      <c r="CG8">
        <f t="shared" ca="1" si="15"/>
        <v>2.8100384917138546</v>
      </c>
      <c r="CH8" s="1" t="s">
        <v>240</v>
      </c>
      <c r="CI8" s="6">
        <f ca="1">CI7-CE7</f>
        <v>129.71457213794781</v>
      </c>
      <c r="CJ8" s="6">
        <f ca="1">CJ7-CF7</f>
        <v>-44.655836617668626</v>
      </c>
      <c r="CK8">
        <f t="shared" ca="1" si="16"/>
        <v>-0.33155416399798504</v>
      </c>
      <c r="CL8" s="6">
        <f ca="1">ATAN2(COS($CG$8-CK8),SIN($CG$8-CK8))</f>
        <v>-3.1415926514677466</v>
      </c>
      <c r="CN8" s="1"/>
      <c r="CO8" s="1"/>
      <c r="CP8" s="1"/>
      <c r="CQ8" s="1"/>
      <c r="CU8">
        <v>3.104562802987898</v>
      </c>
      <c r="CV8">
        <v>3.0063880325632173</v>
      </c>
      <c r="CW8">
        <v>3.0554754177755576</v>
      </c>
      <c r="CX8">
        <v>4.3840332780958891E-4</v>
      </c>
      <c r="CY8">
        <v>-8.2598541086081889E-4</v>
      </c>
      <c r="CZ8">
        <v>-4.4475704302454616E-4</v>
      </c>
      <c r="DC8">
        <v>-2.7726371012598872</v>
      </c>
      <c r="DD8">
        <v>5.9050639636867555</v>
      </c>
      <c r="DE8">
        <v>5.9472009463162321</v>
      </c>
      <c r="DF8">
        <v>139.45834422721632</v>
      </c>
      <c r="DG8">
        <v>-0.85997856826781049</v>
      </c>
      <c r="DH8">
        <v>-3.1371624546023771</v>
      </c>
      <c r="DK8">
        <v>0.5403610831597675</v>
      </c>
      <c r="DL8">
        <v>3.0806180799029406</v>
      </c>
      <c r="DM8">
        <v>0.54036108325976751</v>
      </c>
      <c r="DN8">
        <v>3.0806180799018215</v>
      </c>
      <c r="DO8">
        <v>0.54036108305976749</v>
      </c>
      <c r="DP8">
        <v>3.0806180799040606</v>
      </c>
      <c r="DQ8">
        <v>-1.1195488980320079E-2</v>
      </c>
      <c r="DR8">
        <v>-0.75377821771432363</v>
      </c>
      <c r="DW8" s="9">
        <f ca="1">DW5</f>
        <v>-170.64000000000001</v>
      </c>
      <c r="DX8" s="9">
        <f ca="1">DX5</f>
        <v>127.98</v>
      </c>
      <c r="DY8" s="9">
        <f ca="1">DY5</f>
        <v>-42.660000000000004</v>
      </c>
    </row>
    <row r="9" spans="1:141" x14ac:dyDescent="0.25">
      <c r="A9" s="8" t="s">
        <v>7</v>
      </c>
      <c r="B9" s="7">
        <v>8</v>
      </c>
      <c r="C9" t="s">
        <v>4</v>
      </c>
      <c r="E9" s="5">
        <f>E8</f>
        <v>0</v>
      </c>
      <c r="F9">
        <f>F6</f>
        <v>16</v>
      </c>
      <c r="G9">
        <f t="shared" si="5"/>
        <v>0</v>
      </c>
      <c r="T9" s="34" t="s">
        <v>98</v>
      </c>
      <c r="U9" s="35"/>
      <c r="V9" s="15"/>
      <c r="Y9" s="38"/>
      <c r="AA9" s="9">
        <f ca="1">U5-U11</f>
        <v>129.71457213794784</v>
      </c>
      <c r="AB9" s="9">
        <f ca="1">U6-U12</f>
        <v>-44.655836617668626</v>
      </c>
      <c r="AC9" s="9">
        <f ca="1">AA9+AB9</f>
        <v>85.058735520279214</v>
      </c>
      <c r="AE9" s="6">
        <v>0</v>
      </c>
      <c r="AF9" s="6">
        <v>0</v>
      </c>
      <c r="BC9">
        <v>0.12217304763960306</v>
      </c>
      <c r="BD9">
        <v>138.36155132857215</v>
      </c>
      <c r="BE9">
        <v>-39.444895515625916</v>
      </c>
      <c r="BF9" s="6">
        <f t="shared" si="0"/>
        <v>6.0054669179623108</v>
      </c>
      <c r="BG9" s="6">
        <f t="shared" si="1"/>
        <v>5.8832938703227073</v>
      </c>
      <c r="BH9" s="6">
        <f t="shared" si="2"/>
        <v>3.0877568809311304</v>
      </c>
      <c r="BI9" s="6">
        <f t="shared" si="3"/>
        <v>3.0877568809311304</v>
      </c>
      <c r="BJ9">
        <v>153.73505703174683</v>
      </c>
      <c r="BK9">
        <v>-43.827661684028797</v>
      </c>
      <c r="BV9" s="38"/>
      <c r="BW9" s="6"/>
      <c r="BX9" s="6"/>
      <c r="BY9" s="1"/>
      <c r="CD9" s="6"/>
      <c r="CF9" s="9"/>
      <c r="CH9" s="1" t="s">
        <v>241</v>
      </c>
      <c r="CI9" s="6">
        <f ca="1">BW7-BW6</f>
        <v>129.71457213794784</v>
      </c>
      <c r="CJ9" s="6">
        <f ca="1">BX7-BX6</f>
        <v>-44.655836617668626</v>
      </c>
      <c r="CK9">
        <f t="shared" ca="1" si="16"/>
        <v>-0.33155416399798499</v>
      </c>
      <c r="CL9" s="1"/>
      <c r="CM9" s="9"/>
      <c r="CR9" s="38"/>
      <c r="CU9">
        <v>3.104562802987898</v>
      </c>
      <c r="CV9">
        <v>3.0554754177755576</v>
      </c>
      <c r="CW9">
        <v>3.0800191103817278</v>
      </c>
      <c r="CX9">
        <v>4.3840332780958891E-4</v>
      </c>
      <c r="CY9">
        <v>-4.4475704302454616E-4</v>
      </c>
      <c r="CZ9">
        <v>-1.0616572869204256E-4</v>
      </c>
      <c r="DC9">
        <v>3.1037167269778991</v>
      </c>
      <c r="DD9">
        <v>5.9472009463162321</v>
      </c>
      <c r="DE9">
        <v>5.9526197826709231</v>
      </c>
      <c r="DF9">
        <v>-731.46613697134728</v>
      </c>
      <c r="DG9">
        <v>-1.814003981200291</v>
      </c>
      <c r="DH9">
        <v>-3.1425812909570681</v>
      </c>
      <c r="DK9">
        <v>-0.75377821771432363</v>
      </c>
      <c r="DL9">
        <v>3.1399261516525785</v>
      </c>
      <c r="DM9">
        <v>-0.75377821761432362</v>
      </c>
      <c r="DN9">
        <v>3.1399261516523955</v>
      </c>
      <c r="DO9">
        <v>-0.75377821781432364</v>
      </c>
      <c r="DP9">
        <v>3.1399261516527615</v>
      </c>
      <c r="DQ9">
        <v>-1.829647544582258E-3</v>
      </c>
      <c r="DR9">
        <v>7.3798766121197387E-2</v>
      </c>
      <c r="DW9" s="9" t="s">
        <v>201</v>
      </c>
      <c r="DX9" s="9" t="s">
        <v>8</v>
      </c>
      <c r="DY9" s="9" t="s">
        <v>9</v>
      </c>
      <c r="DZ9" s="9" t="s">
        <v>203</v>
      </c>
    </row>
    <row r="10" spans="1:141" x14ac:dyDescent="0.25">
      <c r="E10">
        <v>0</v>
      </c>
      <c r="F10">
        <f>F9</f>
        <v>16</v>
      </c>
      <c r="G10">
        <f t="shared" si="5"/>
        <v>0</v>
      </c>
      <c r="T10" s="36" t="s">
        <v>99</v>
      </c>
      <c r="U10" s="47">
        <v>-160</v>
      </c>
      <c r="V10" s="16" t="s">
        <v>68</v>
      </c>
      <c r="W10" t="str">
        <f>"+ Compression"</f>
        <v>+ Compression</v>
      </c>
      <c r="AE10" s="6">
        <f>AE9+(AF7*(U11-AE9))</f>
        <v>122</v>
      </c>
      <c r="AF10" s="6">
        <f>AF9+(AF7*(U12-AF9))</f>
        <v>-42</v>
      </c>
      <c r="BC10">
        <v>0.13962634015954636</v>
      </c>
      <c r="BD10">
        <v>138.34349455466167</v>
      </c>
      <c r="BE10">
        <v>-39.307438471347979</v>
      </c>
      <c r="BF10" s="6">
        <f t="shared" si="0"/>
        <v>6.0063516370568122</v>
      </c>
      <c r="BG10" s="6">
        <f t="shared" si="1"/>
        <v>5.8667252968972656</v>
      </c>
      <c r="BH10" s="6">
        <f t="shared" si="2"/>
        <v>3.086872161836629</v>
      </c>
      <c r="BI10" s="6">
        <f t="shared" si="3"/>
        <v>3.086872161836629</v>
      </c>
      <c r="BJ10">
        <v>153.71499394962407</v>
      </c>
      <c r="BK10">
        <v>-43.67493163483109</v>
      </c>
      <c r="BU10" s="9"/>
      <c r="BV10" s="38"/>
      <c r="BW10" s="9"/>
      <c r="BX10" s="6"/>
      <c r="BY10" s="1"/>
      <c r="CD10" s="1"/>
      <c r="CE10" s="1"/>
      <c r="CH10" s="39" t="s">
        <v>242</v>
      </c>
      <c r="CI10" s="6">
        <f ca="1">CI7-CE5</f>
        <v>117.51457213794784</v>
      </c>
      <c r="CJ10" s="6">
        <f ca="1">CJ7-CF5</f>
        <v>-40.455836617668623</v>
      </c>
      <c r="CK10">
        <f t="shared" ca="1" si="16"/>
        <v>-0.33155416421828937</v>
      </c>
      <c r="CL10" s="1"/>
      <c r="CU10">
        <v>3.104562802987898</v>
      </c>
      <c r="CV10">
        <v>3.0800191103817278</v>
      </c>
      <c r="CW10">
        <v>3.0922909566848129</v>
      </c>
      <c r="CX10">
        <v>4.3840332780958891E-4</v>
      </c>
      <c r="CY10">
        <v>-1.0616572869204256E-4</v>
      </c>
      <c r="CZ10">
        <v>1.3948972184635311E-4</v>
      </c>
      <c r="DC10">
        <v>-0.85997856826781049</v>
      </c>
      <c r="DD10">
        <v>5.9526197826709231</v>
      </c>
      <c r="DE10">
        <v>5.9020673318323738</v>
      </c>
      <c r="DF10">
        <v>18.871991310161729</v>
      </c>
      <c r="DG10">
        <v>2.6651076891094356</v>
      </c>
      <c r="DH10">
        <v>-3.0920288401185188</v>
      </c>
      <c r="DK10">
        <v>7.3798766121197387E-2</v>
      </c>
      <c r="DL10">
        <v>3.0917023386402471</v>
      </c>
      <c r="DM10">
        <v>7.3798766221197382E-2</v>
      </c>
      <c r="DN10">
        <v>3.0917023386318636</v>
      </c>
      <c r="DO10">
        <v>7.3798766021197393E-2</v>
      </c>
      <c r="DP10">
        <v>3.0917023386532536</v>
      </c>
      <c r="DQ10">
        <v>-0.10695000440819058</v>
      </c>
      <c r="DR10">
        <v>-2.4342062063487804</v>
      </c>
      <c r="DV10" t="s">
        <v>193</v>
      </c>
      <c r="DW10" s="9">
        <f ca="1">DW4-$DW$8</f>
        <v>1080.7505000000001</v>
      </c>
      <c r="DX10" s="9">
        <f ca="1">DX4-$DX$8</f>
        <v>-213.86287500000003</v>
      </c>
      <c r="DY10" s="9">
        <f ca="1">DY4-$DY$8</f>
        <v>71.287625000000006</v>
      </c>
      <c r="DZ10" s="9">
        <v>0</v>
      </c>
      <c r="EB10" s="9">
        <f ca="1">EB4-$DW$8</f>
        <v>10.640000000000015</v>
      </c>
      <c r="EC10" s="9">
        <f ca="1">EC4-$DX$8</f>
        <v>-140.18</v>
      </c>
      <c r="ED10" s="9">
        <f ca="1">ED4-$DY$8</f>
        <v>46.860000000000007</v>
      </c>
      <c r="EE10" s="9">
        <v>0</v>
      </c>
      <c r="EF10">
        <f ca="1">ATAN2(EC10,ED10)</f>
        <v>2.8189863013704124</v>
      </c>
      <c r="EG10" s="9">
        <f ca="1">SQRT(POWER(EB10,2)+POWER(EC10,2)+POWER(ED10,2))</f>
        <v>148.18738677768766</v>
      </c>
      <c r="EH10">
        <f ca="1">EB10/EG10</f>
        <v>7.180098273790507E-2</v>
      </c>
      <c r="EI10">
        <f ca="1">EC10/EG10</f>
        <v>-0.94596445114657146</v>
      </c>
      <c r="EJ10">
        <f ca="1">ED10/EG10</f>
        <v>0.31622124540396879</v>
      </c>
      <c r="EK10">
        <v>0</v>
      </c>
    </row>
    <row r="11" spans="1:141" x14ac:dyDescent="0.25">
      <c r="A11" t="s">
        <v>10</v>
      </c>
      <c r="E11">
        <v>0</v>
      </c>
      <c r="F11">
        <v>0</v>
      </c>
      <c r="G11">
        <f t="shared" si="5"/>
        <v>0</v>
      </c>
      <c r="T11" s="36" t="s">
        <v>100</v>
      </c>
      <c r="U11" s="47">
        <v>-12.2</v>
      </c>
      <c r="V11" s="16" t="s">
        <v>70</v>
      </c>
      <c r="W11" t="str">
        <f>"+ Puts Top of Section in Compression"</f>
        <v>+ Puts Top of Section in Compression</v>
      </c>
      <c r="AE11" s="6">
        <f>U11</f>
        <v>-12.2</v>
      </c>
      <c r="AF11" s="6">
        <f>U12</f>
        <v>4.2</v>
      </c>
      <c r="BC11">
        <v>0.15707963267948966</v>
      </c>
      <c r="BD11">
        <v>138.32646581967236</v>
      </c>
      <c r="BE11">
        <v>-39.193301880548994</v>
      </c>
      <c r="BF11" s="6">
        <f t="shared" si="0"/>
        <v>6.0070829125247975</v>
      </c>
      <c r="BG11" s="6">
        <f t="shared" si="1"/>
        <v>5.8500032798453079</v>
      </c>
      <c r="BH11" s="6">
        <f t="shared" si="2"/>
        <v>3.0861408863686437</v>
      </c>
      <c r="BI11" s="6">
        <f t="shared" si="3"/>
        <v>3.0861408863686437</v>
      </c>
      <c r="BJ11">
        <v>153.6960731329693</v>
      </c>
      <c r="BK11">
        <v>-43.54811320060999</v>
      </c>
      <c r="BV11" s="38"/>
      <c r="BW11" s="6"/>
      <c r="BX11" s="1"/>
      <c r="BY11" s="1"/>
      <c r="CC11" s="1"/>
      <c r="CD11" s="1"/>
      <c r="CE11" s="1"/>
      <c r="CF11" s="9"/>
      <c r="CH11" s="39"/>
      <c r="CI11" s="1"/>
      <c r="CK11" s="39">
        <f ca="1">ATAN2(COS(CK9-CK10),SIN(CK9-CK10))</f>
        <v>2.2030438584508261E-10</v>
      </c>
      <c r="CL11" s="1"/>
      <c r="CM11" s="38"/>
      <c r="CU11">
        <v>3.0922909566848129</v>
      </c>
      <c r="CV11">
        <v>3.0800191103817278</v>
      </c>
      <c r="CW11">
        <v>3.0861550335332701</v>
      </c>
      <c r="CX11">
        <v>1.3948972184635311E-4</v>
      </c>
      <c r="CY11">
        <v>-1.0616572869204256E-4</v>
      </c>
      <c r="CZ11">
        <v>9.6559232871107348E-6</v>
      </c>
      <c r="DC11">
        <v>-1.814003981200291</v>
      </c>
      <c r="DD11">
        <v>5.9020673318323738</v>
      </c>
      <c r="DE11">
        <v>5.9684907019051927</v>
      </c>
      <c r="DF11">
        <v>67.432767494322306</v>
      </c>
      <c r="DG11">
        <v>-2.9729507057250819</v>
      </c>
      <c r="DH11">
        <v>-3.1584522101913377</v>
      </c>
      <c r="DK11">
        <v>-2.4342062063487804</v>
      </c>
      <c r="DL11">
        <v>-3.0928337636800913</v>
      </c>
      <c r="DM11">
        <v>-2.4342062062487804</v>
      </c>
      <c r="DN11">
        <v>-3.0928337636773824</v>
      </c>
      <c r="DO11">
        <v>-2.4342062064487804</v>
      </c>
      <c r="DP11">
        <v>-3.0928337636752907</v>
      </c>
      <c r="DQ11">
        <v>-1.0458300891968975E-2</v>
      </c>
      <c r="DR11">
        <v>-2.8545389266268542</v>
      </c>
      <c r="DV11" t="s">
        <v>194</v>
      </c>
      <c r="DW11" s="9">
        <f ca="1">DW5-$DW$8</f>
        <v>0</v>
      </c>
      <c r="DX11" s="9">
        <f ca="1">DX5-$DX$8</f>
        <v>0</v>
      </c>
      <c r="DY11" s="9">
        <f ca="1">DY5-$DY$8</f>
        <v>0</v>
      </c>
      <c r="DZ11" s="9">
        <v>0</v>
      </c>
      <c r="EB11" s="9">
        <f ca="1">EB5-$DW$8</f>
        <v>10.639999999011764</v>
      </c>
      <c r="EC11" s="9">
        <f ca="1">EC5-$DX$8</f>
        <v>-10.465427862052167</v>
      </c>
      <c r="ED11" s="9">
        <f ca="1">ED5-$DY$8</f>
        <v>2.2041633823313802</v>
      </c>
      <c r="EE11" s="9">
        <v>0</v>
      </c>
      <c r="EF11">
        <f ca="1">ATAN2(EC11,ED11)</f>
        <v>2.9340126708499112</v>
      </c>
      <c r="EG11" s="9">
        <f t="shared" ref="EG11:EG12" ca="1" si="17">SQRT(POWER(EB11,2)+POWER(EC11,2)+POWER(ED11,2))</f>
        <v>15.086189596143839</v>
      </c>
      <c r="EH11">
        <f t="shared" ref="EH11:EH12" ca="1" si="18">EB11/EG11</f>
        <v>0.70528080872929233</v>
      </c>
      <c r="EI11">
        <f t="shared" ref="EI11:EI12" ca="1" si="19">EC11/EG11</f>
        <v>-0.69370915666651978</v>
      </c>
      <c r="EJ11">
        <f t="shared" ref="EJ11:EJ12" ca="1" si="20">ED11/EG11</f>
        <v>0.14610471174873629</v>
      </c>
      <c r="EK11">
        <v>0</v>
      </c>
    </row>
    <row r="12" spans="1:141" x14ac:dyDescent="0.25">
      <c r="A12" s="8" t="s">
        <v>11</v>
      </c>
      <c r="B12" s="2">
        <v>60</v>
      </c>
      <c r="C12" t="s">
        <v>1</v>
      </c>
      <c r="G12">
        <f>SUM(G4:G11)</f>
        <v>288</v>
      </c>
      <c r="T12" s="36" t="s">
        <v>101</v>
      </c>
      <c r="U12" s="47">
        <v>4.2</v>
      </c>
      <c r="V12" s="16" t="s">
        <v>70</v>
      </c>
      <c r="W12" t="str">
        <f>"+ Puts Left of Section in Compression"</f>
        <v>+ Puts Left of Section in Compression</v>
      </c>
      <c r="BC12">
        <v>0.17453292519943295</v>
      </c>
      <c r="BD12">
        <v>138.31028530689917</v>
      </c>
      <c r="BE12">
        <v>-39.09647930835731</v>
      </c>
      <c r="BF12" s="6">
        <f t="shared" si="0"/>
        <v>6.0077003522231776</v>
      </c>
      <c r="BG12" s="6">
        <f t="shared" si="1"/>
        <v>5.8331674270237448</v>
      </c>
      <c r="BH12" s="6">
        <f t="shared" si="2"/>
        <v>3.0855234466702637</v>
      </c>
      <c r="BI12" s="6">
        <f t="shared" si="3"/>
        <v>3.0855234466702637</v>
      </c>
      <c r="BJ12">
        <v>153.67809478544353</v>
      </c>
      <c r="BK12">
        <v>-43.440532564841455</v>
      </c>
      <c r="BV12" s="38"/>
      <c r="CE12" s="9"/>
      <c r="CF12" s="9"/>
      <c r="CG12" s="1"/>
      <c r="CH12" s="38"/>
      <c r="CK12" s="39"/>
      <c r="CN12" s="1"/>
      <c r="CO12" s="1"/>
      <c r="CP12" s="1"/>
      <c r="CQ12" s="1"/>
      <c r="CU12">
        <v>3.0861550335332701</v>
      </c>
      <c r="CV12">
        <v>3.0800191103817278</v>
      </c>
      <c r="CW12">
        <v>3.083087071957499</v>
      </c>
      <c r="CX12">
        <v>9.6559232871107348E-6</v>
      </c>
      <c r="CY12">
        <v>-1.0616572869204256E-4</v>
      </c>
      <c r="CZ12">
        <v>-5.0063734970851037E-5</v>
      </c>
      <c r="DC12">
        <v>2.6651076891094356</v>
      </c>
      <c r="DD12">
        <v>5.9684907019051927</v>
      </c>
      <c r="DE12">
        <v>5.9090352371093546</v>
      </c>
      <c r="DF12">
        <v>94.828262030998133</v>
      </c>
      <c r="DG12">
        <v>-1.5357166738593362</v>
      </c>
      <c r="DH12">
        <v>-3.0989967453954996</v>
      </c>
      <c r="DK12">
        <v>-2.8545389266268542</v>
      </c>
      <c r="DL12">
        <v>-3.0961142552458849</v>
      </c>
      <c r="DM12">
        <v>-2.8545389265268541</v>
      </c>
      <c r="DN12">
        <v>-3.0961142552496907</v>
      </c>
      <c r="DO12">
        <v>-2.8545389267268542</v>
      </c>
      <c r="DP12">
        <v>-3.0961142552516314</v>
      </c>
      <c r="DQ12">
        <v>9.7033492352238682E-3</v>
      </c>
      <c r="DR12">
        <v>2.0630608453285522</v>
      </c>
      <c r="EB12" s="9">
        <f ca="1">EB6-$DW$8</f>
        <v>10.639999999011764</v>
      </c>
      <c r="EC12" s="9">
        <f ca="1">EC6-$DX$8</f>
        <v>-135.18</v>
      </c>
      <c r="ED12" s="9">
        <f ca="1">ED6-$DY$8</f>
        <v>51.86</v>
      </c>
      <c r="EE12" s="9">
        <v>0</v>
      </c>
      <c r="EF12">
        <f ca="1">ATAN2(EC12,ED12)</f>
        <v>2.7752717234048112</v>
      </c>
      <c r="EG12" s="9">
        <f t="shared" ca="1" si="17"/>
        <v>145.17679428882209</v>
      </c>
      <c r="EH12">
        <f t="shared" ca="1" si="18"/>
        <v>7.3289950030471174E-2</v>
      </c>
      <c r="EI12">
        <f t="shared" ca="1" si="19"/>
        <v>-0.93114054943978197</v>
      </c>
      <c r="EJ12">
        <f t="shared" ca="1" si="20"/>
        <v>0.35721962489974174</v>
      </c>
      <c r="EK12">
        <v>0</v>
      </c>
    </row>
    <row r="13" spans="1:141" ht="15.75" thickBot="1" x14ac:dyDescent="0.3">
      <c r="A13" s="8" t="s">
        <v>12</v>
      </c>
      <c r="B13" s="3">
        <v>29000</v>
      </c>
      <c r="C13" t="s">
        <v>1</v>
      </c>
      <c r="T13" s="27" t="s">
        <v>96</v>
      </c>
      <c r="U13" s="28">
        <f>IF(AND(U11=0,U12=0),0,MOD(ATAN2(U11,U12),2*PI()))</f>
        <v>2.810038491713855</v>
      </c>
      <c r="V13" s="17" t="s">
        <v>97</v>
      </c>
      <c r="X13" s="38"/>
      <c r="Y13" s="9"/>
      <c r="Z13" s="1">
        <f ca="1">Z15*0.8</f>
        <v>728.08840000000009</v>
      </c>
      <c r="AA13" s="48"/>
      <c r="BC13">
        <v>0.19198621771937624</v>
      </c>
      <c r="BD13">
        <v>138.29481645745389</v>
      </c>
      <c r="BE13">
        <v>-39.012924299388594</v>
      </c>
      <c r="BF13" s="6">
        <f t="shared" si="0"/>
        <v>6.0082306292254968</v>
      </c>
      <c r="BG13" s="6">
        <f t="shared" si="1"/>
        <v>5.8162444115061209</v>
      </c>
      <c r="BH13" s="6">
        <f t="shared" si="2"/>
        <v>3.0849931696679445</v>
      </c>
      <c r="BI13" s="6">
        <f t="shared" si="3"/>
        <v>3.0849931696679445</v>
      </c>
      <c r="BJ13">
        <v>153.66090717494876</v>
      </c>
      <c r="BK13">
        <v>-43.347693665987329</v>
      </c>
      <c r="BV13" s="38"/>
      <c r="BW13" t="s">
        <v>147</v>
      </c>
      <c r="CF13" s="1"/>
      <c r="CG13" s="39"/>
      <c r="CH13" s="1"/>
      <c r="CI13" s="9"/>
      <c r="CJ13" s="9"/>
      <c r="CU13">
        <v>3.0861550335332701</v>
      </c>
      <c r="CV13">
        <v>3.083087071957499</v>
      </c>
      <c r="CW13">
        <v>3.0846210527453843</v>
      </c>
      <c r="CX13">
        <v>9.6559232871107348E-6</v>
      </c>
      <c r="CY13">
        <v>-5.0063734970851037E-5</v>
      </c>
      <c r="CZ13">
        <v>-2.0648149647695121E-5</v>
      </c>
      <c r="DC13">
        <v>-2.9729507057250819</v>
      </c>
      <c r="DD13">
        <v>5.9090352371093546</v>
      </c>
      <c r="DE13">
        <v>5.9418690736487161</v>
      </c>
      <c r="DF13">
        <v>43.772954468564123</v>
      </c>
      <c r="DG13">
        <v>-0.39511738219978015</v>
      </c>
      <c r="DH13">
        <v>-3.1318305819348611</v>
      </c>
      <c r="DK13">
        <v>2.0630608453285522</v>
      </c>
      <c r="DL13">
        <v>3.1217181046899212</v>
      </c>
      <c r="DM13">
        <v>2.0630608454285522</v>
      </c>
      <c r="DN13">
        <v>3.1217181046902409</v>
      </c>
      <c r="DO13">
        <v>2.0630608452285522</v>
      </c>
      <c r="DP13">
        <v>3.1217181046884379</v>
      </c>
      <c r="DQ13">
        <v>9.0150109599562711E-3</v>
      </c>
      <c r="DR13">
        <v>1.3582405964309523</v>
      </c>
      <c r="DV13" t="s">
        <v>209</v>
      </c>
    </row>
    <row r="14" spans="1:141" ht="15.75" thickBot="1" x14ac:dyDescent="0.3">
      <c r="B14" s="1" t="s">
        <v>13</v>
      </c>
      <c r="C14" s="1" t="s">
        <v>14</v>
      </c>
      <c r="D14" s="1" t="s">
        <v>8</v>
      </c>
      <c r="E14" s="1" t="s">
        <v>9</v>
      </c>
      <c r="G14" s="1">
        <v>0</v>
      </c>
      <c r="H14" s="6">
        <v>0</v>
      </c>
      <c r="I14" s="6">
        <v>0</v>
      </c>
      <c r="T14" s="41" t="s">
        <v>109</v>
      </c>
      <c r="U14" s="42">
        <f>SQRT(POWER(U11,2)+POWER(U12,2))</f>
        <v>12.902712893031449</v>
      </c>
      <c r="V14" s="43" t="s">
        <v>70</v>
      </c>
      <c r="Y14" s="54"/>
      <c r="Z14" s="55" t="s">
        <v>99</v>
      </c>
      <c r="AA14" s="56" t="s">
        <v>100</v>
      </c>
      <c r="AB14" s="57" t="s">
        <v>101</v>
      </c>
      <c r="AC14" s="60" t="s">
        <v>211</v>
      </c>
      <c r="AD14" s="55" t="s">
        <v>212</v>
      </c>
      <c r="AE14" s="57" t="s">
        <v>213</v>
      </c>
      <c r="BC14">
        <v>0.20943951023931953</v>
      </c>
      <c r="BD14">
        <v>138.27995242522633</v>
      </c>
      <c r="BE14">
        <v>-38.939798058788156</v>
      </c>
      <c r="BF14" s="6">
        <f t="shared" si="0"/>
        <v>6.0086924465491078</v>
      </c>
      <c r="BG14" s="6">
        <f t="shared" si="1"/>
        <v>5.799252936309788</v>
      </c>
      <c r="BH14" s="6">
        <f t="shared" si="2"/>
        <v>3.0845313523443334</v>
      </c>
      <c r="BI14" s="6">
        <f t="shared" si="3"/>
        <v>3.0845313523443334</v>
      </c>
      <c r="BJ14">
        <v>153.64439158358479</v>
      </c>
      <c r="BK14">
        <v>-43.266442287542397</v>
      </c>
      <c r="BV14" s="38"/>
      <c r="BW14" t="s">
        <v>111</v>
      </c>
      <c r="BX14" s="1" t="s">
        <v>100</v>
      </c>
      <c r="BY14" s="1" t="s">
        <v>101</v>
      </c>
      <c r="BZ14" s="1"/>
      <c r="CA14" s="1"/>
      <c r="CB14" s="1" t="s">
        <v>150</v>
      </c>
      <c r="CC14" s="1" t="s">
        <v>151</v>
      </c>
      <c r="CE14" s="1"/>
      <c r="CF14" s="1" t="s">
        <v>150</v>
      </c>
      <c r="CG14" s="39"/>
      <c r="CH14" s="1"/>
      <c r="CI14" s="1"/>
      <c r="CJ14" s="1"/>
      <c r="CL14" s="1"/>
      <c r="CM14" s="1"/>
      <c r="CN14" s="1"/>
      <c r="CO14" s="1"/>
      <c r="CP14" s="1"/>
      <c r="CU14">
        <v>3.0861550335332701</v>
      </c>
      <c r="CV14">
        <v>3.0846210527453843</v>
      </c>
      <c r="CW14">
        <v>3.0853880431393272</v>
      </c>
      <c r="CX14">
        <v>9.6559232871107348E-6</v>
      </c>
      <c r="CY14">
        <v>-2.0648149647695121E-5</v>
      </c>
      <c r="CZ14">
        <v>-5.6062548226543107E-6</v>
      </c>
      <c r="DC14">
        <v>-1.5357166738593362</v>
      </c>
      <c r="DD14">
        <v>5.9418690736487161</v>
      </c>
      <c r="DE14">
        <v>5.9562968358870307</v>
      </c>
      <c r="DF14">
        <v>79.055869705875637</v>
      </c>
      <c r="DG14">
        <v>2.2021051870050696</v>
      </c>
      <c r="DH14">
        <v>-3.1462583441731757</v>
      </c>
      <c r="DK14">
        <v>1.3582405964309523</v>
      </c>
      <c r="DL14">
        <v>3.078396252883028</v>
      </c>
      <c r="DM14">
        <v>1.3582405965309523</v>
      </c>
      <c r="DN14">
        <v>3.078396252886793</v>
      </c>
      <c r="DO14">
        <v>1.3582405963309523</v>
      </c>
      <c r="DP14">
        <v>3.0783962528792665</v>
      </c>
      <c r="DQ14">
        <v>3.7632119642694306E-2</v>
      </c>
      <c r="DR14">
        <v>1.2372881466293069</v>
      </c>
      <c r="DV14" t="s">
        <v>198</v>
      </c>
      <c r="DW14">
        <f ca="1">ATAN2(-1*DX10,-1*DY10)</f>
        <v>-0.32175055439664219</v>
      </c>
      <c r="DX14" t="s">
        <v>97</v>
      </c>
    </row>
    <row r="15" spans="1:141" x14ac:dyDescent="0.25">
      <c r="A15">
        <v>1</v>
      </c>
      <c r="B15" s="19">
        <v>8</v>
      </c>
      <c r="C15" s="6">
        <f ca="1">OFFSET($G$14,MATCH(B15,$G$14:$G$29,0)-1,2)</f>
        <v>0.79</v>
      </c>
      <c r="D15" s="2">
        <v>2</v>
      </c>
      <c r="E15" s="2">
        <v>2</v>
      </c>
      <c r="G15" s="1">
        <v>3</v>
      </c>
      <c r="H15" s="6">
        <v>0.375</v>
      </c>
      <c r="I15" s="6">
        <v>0.11</v>
      </c>
      <c r="K15" s="1">
        <f t="shared" ref="K15:K24" si="21">IF($B15=0,NA(),D15)</f>
        <v>2</v>
      </c>
      <c r="L15" s="1">
        <f t="shared" ref="L15:L24" si="22">IF($B15=0,NA(),E15)</f>
        <v>2</v>
      </c>
      <c r="T15" s="37" t="s">
        <v>103</v>
      </c>
      <c r="U15" s="6">
        <f>SQRT(POWER(U12,2)+POWER(U11,2)+POWER(U10,2))</f>
        <v>160.51940692639005</v>
      </c>
      <c r="Y15" s="58" t="s">
        <v>193</v>
      </c>
      <c r="Z15" s="62">
        <f ca="1">B115</f>
        <v>910.1105</v>
      </c>
      <c r="AA15" s="62">
        <f ca="1">C116</f>
        <v>-85.882875000000013</v>
      </c>
      <c r="AB15" s="63">
        <f ca="1">C117</f>
        <v>28.627624999999998</v>
      </c>
      <c r="AC15" s="64">
        <f ca="1">Z15/0.65</f>
        <v>1400.1699999999998</v>
      </c>
      <c r="AD15" s="62">
        <f t="shared" ref="AD15:AE15" ca="1" si="23">AA15/0.65</f>
        <v>-132.12750000000003</v>
      </c>
      <c r="AE15" s="63">
        <f t="shared" ca="1" si="23"/>
        <v>44.042499999999997</v>
      </c>
      <c r="BC15">
        <v>0.22689280275926282</v>
      </c>
      <c r="BD15">
        <v>138.26560754055185</v>
      </c>
      <c r="BE15">
        <v>-38.875042391643362</v>
      </c>
      <c r="BF15" s="6">
        <f t="shared" si="0"/>
        <v>6.0090993560145725</v>
      </c>
      <c r="BG15" s="6">
        <f t="shared" si="1"/>
        <v>5.7822065532553095</v>
      </c>
      <c r="BH15" s="6">
        <f t="shared" si="2"/>
        <v>3.0841244428788688</v>
      </c>
      <c r="BI15" s="6">
        <f t="shared" si="3"/>
        <v>3.0841244428788688</v>
      </c>
      <c r="BJ15">
        <v>153.62845282283538</v>
      </c>
      <c r="BK15">
        <v>-43.194491546270399</v>
      </c>
      <c r="BV15" s="38"/>
      <c r="BW15" s="6">
        <f t="shared" ref="BW15" si="24">BC2</f>
        <v>0</v>
      </c>
      <c r="BX15" s="9">
        <f ca="1">BD2-$BW$5</f>
        <v>12.638035060627203</v>
      </c>
      <c r="BY15" s="9">
        <f ca="1">BE2-$BX$5</f>
        <v>-0.70182741530076953</v>
      </c>
      <c r="BZ15" s="9">
        <f ca="1">BX15-$CE$5</f>
        <v>138.51255281472493</v>
      </c>
      <c r="CA15" s="6">
        <f ca="1">BY15-$CF$5</f>
        <v>-42.660000000000004</v>
      </c>
      <c r="CB15" s="6">
        <f ca="1">ATAN2(BZ15,CA15)</f>
        <v>-0.29876768209191018</v>
      </c>
      <c r="CC15" s="6">
        <f ca="1">ATAN2(COS(CF15-CB15),SIN(CF15-CB15))</f>
        <v>-2.6798501375159267E-3</v>
      </c>
      <c r="CD15" s="9">
        <f>BD2-$BW$6</f>
        <v>150.71255281472492</v>
      </c>
      <c r="CE15" s="9">
        <f>BE2-$BX$6</f>
        <v>-46.860000000000007</v>
      </c>
      <c r="CF15" s="6">
        <f>ATAN2(CD15,CE15)</f>
        <v>-0.30144753222942611</v>
      </c>
      <c r="CG15" s="6"/>
      <c r="CH15" s="6"/>
      <c r="CI15" s="6"/>
      <c r="CJ15" s="1"/>
      <c r="CK15" s="6"/>
      <c r="CL15" s="9"/>
      <c r="CM15" s="9"/>
      <c r="CN15" s="1"/>
      <c r="CO15" s="1"/>
      <c r="CP15" s="1"/>
      <c r="CQ15" s="1"/>
      <c r="CU15">
        <v>3.0861550335332701</v>
      </c>
      <c r="CV15">
        <v>3.0853880431393272</v>
      </c>
      <c r="CW15">
        <v>3.0857715383362985</v>
      </c>
      <c r="CX15">
        <v>9.6559232871107348E-6</v>
      </c>
      <c r="CY15">
        <v>-5.6062548226543107E-6</v>
      </c>
      <c r="CZ15">
        <v>1.9974094470076587E-6</v>
      </c>
      <c r="DC15">
        <v>-0.39511738219978015</v>
      </c>
      <c r="DD15">
        <v>5.9562968358870307</v>
      </c>
      <c r="DE15">
        <v>5.9706072154501602</v>
      </c>
      <c r="DF15">
        <v>181.49222092589173</v>
      </c>
      <c r="DG15">
        <v>0.35333108053433288</v>
      </c>
      <c r="DH15">
        <v>-3.1605687237363052</v>
      </c>
      <c r="DK15">
        <v>1.2372881466293069</v>
      </c>
      <c r="DL15">
        <v>3.0783927400857927</v>
      </c>
      <c r="DM15">
        <v>1.2372881467293069</v>
      </c>
      <c r="DN15">
        <v>3.078392740083606</v>
      </c>
      <c r="DO15">
        <v>1.2372881465293069</v>
      </c>
      <c r="DP15">
        <v>3.0783927400823838</v>
      </c>
      <c r="DQ15">
        <v>6.1106675275368616E-3</v>
      </c>
      <c r="DR15">
        <v>0.11855177803052724</v>
      </c>
      <c r="DV15" t="s">
        <v>199</v>
      </c>
      <c r="DW15">
        <v>1</v>
      </c>
      <c r="DX15">
        <v>0</v>
      </c>
      <c r="DY15">
        <v>0</v>
      </c>
    </row>
    <row r="16" spans="1:141" ht="15.75" thickBot="1" x14ac:dyDescent="0.3">
      <c r="A16">
        <v>2</v>
      </c>
      <c r="B16" s="19">
        <v>8</v>
      </c>
      <c r="C16" s="6">
        <f t="shared" ref="C16:C24" ca="1" si="25">OFFSET($G$14,MATCH(B16,$G$14:$G$29,0)-1,2)</f>
        <v>0.79</v>
      </c>
      <c r="D16" s="2">
        <v>2</v>
      </c>
      <c r="E16" s="2">
        <v>4</v>
      </c>
      <c r="G16" s="1">
        <v>4</v>
      </c>
      <c r="H16" s="6">
        <v>0.5</v>
      </c>
      <c r="I16" s="6">
        <v>0.2</v>
      </c>
      <c r="K16" s="1">
        <f t="shared" si="21"/>
        <v>2</v>
      </c>
      <c r="L16" s="1">
        <f t="shared" si="22"/>
        <v>4</v>
      </c>
      <c r="T16" s="37" t="s">
        <v>104</v>
      </c>
      <c r="U16" s="39">
        <f>U10/U15</f>
        <v>-0.99676421103008295</v>
      </c>
      <c r="V16" s="39">
        <f>U11/U15</f>
        <v>-7.6003271091043823E-2</v>
      </c>
      <c r="W16" s="39">
        <f>U12/U15</f>
        <v>2.6165060539539677E-2</v>
      </c>
      <c r="X16" s="38"/>
      <c r="Y16" s="59" t="s">
        <v>194</v>
      </c>
      <c r="Z16" s="65">
        <f ca="1">J115</f>
        <v>-170.64000000000001</v>
      </c>
      <c r="AA16" s="65">
        <f ca="1">K116</f>
        <v>127.98</v>
      </c>
      <c r="AB16" s="66">
        <f ca="1">K117</f>
        <v>-42.660000000000004</v>
      </c>
      <c r="AC16" s="67">
        <f ca="1">Z16/0.9</f>
        <v>-189.60000000000002</v>
      </c>
      <c r="AD16" s="65">
        <f t="shared" ref="AD16:AE16" ca="1" si="26">AA16/0.9</f>
        <v>142.19999999999999</v>
      </c>
      <c r="AE16" s="66">
        <f t="shared" ca="1" si="26"/>
        <v>-47.400000000000006</v>
      </c>
      <c r="BC16">
        <v>0.24434609527920612</v>
      </c>
      <c r="BD16">
        <v>138.25171167492329</v>
      </c>
      <c r="BE16">
        <v>-38.817123795494204</v>
      </c>
      <c r="BF16" s="6">
        <f t="shared" si="0"/>
        <v>6.0094614475328978</v>
      </c>
      <c r="BG16" s="6">
        <f t="shared" si="1"/>
        <v>5.7651153522536918</v>
      </c>
      <c r="BH16" s="6">
        <f t="shared" si="2"/>
        <v>3.0837623513605434</v>
      </c>
      <c r="BI16" s="6">
        <f t="shared" si="3"/>
        <v>3.0837623513605434</v>
      </c>
      <c r="BJ16">
        <v>153.61301297213697</v>
      </c>
      <c r="BK16">
        <v>-43.130137550549115</v>
      </c>
      <c r="BV16" s="38"/>
      <c r="BW16" s="6">
        <f t="shared" ref="BW16:BW79" si="27">BC3</f>
        <v>1.7453292519943295E-2</v>
      </c>
      <c r="BX16" s="9">
        <f t="shared" ref="BX16:BX79" ca="1" si="28">BD3-$BW$5</f>
        <v>12.626004052756372</v>
      </c>
      <c r="BY16" s="9">
        <f t="shared" ref="BY16:BY79" ca="1" si="29">BE3-$BX$5</f>
        <v>9.6540181691729288E-2</v>
      </c>
      <c r="BZ16" s="9">
        <f t="shared" ref="BZ16:BZ79" ca="1" si="30">BX16-$CE$5</f>
        <v>138.5005218068541</v>
      </c>
      <c r="CA16" s="6">
        <f t="shared" ref="CA16:CA79" ca="1" si="31">BY16-$CF$5</f>
        <v>-41.861632403007505</v>
      </c>
      <c r="CB16" s="6">
        <f t="shared" ref="CB16:CB79" ca="1" si="32">ATAN2(BZ16,CA16)</f>
        <v>-0.29351873978239079</v>
      </c>
      <c r="CC16" s="6">
        <f t="shared" ref="CC16:CC79" ca="1" si="33">ATAN2(COS(CF16-CB16),SIN(CF16-CB16))</f>
        <v>-3.1135553901456836E-3</v>
      </c>
      <c r="CD16" s="9">
        <f t="shared" ref="CD16:CD79" si="34">BD3-$BW$6</f>
        <v>150.70052180685408</v>
      </c>
      <c r="CE16" s="9">
        <f t="shared" ref="CE16:CE79" si="35">BE3-$BX$6</f>
        <v>-46.061632403007508</v>
      </c>
      <c r="CF16" s="6">
        <f t="shared" ref="CF16:CF79" si="36">ATAN2(CD16,CE16)</f>
        <v>-0.29663229517253648</v>
      </c>
      <c r="CG16" s="6"/>
      <c r="CH16" s="6"/>
      <c r="CI16" s="6"/>
      <c r="CJ16" s="1"/>
      <c r="CK16" s="6"/>
      <c r="CU16">
        <v>3.0857715383362985</v>
      </c>
      <c r="CV16">
        <v>3.0853880431393272</v>
      </c>
      <c r="CW16">
        <v>3.0855797907378131</v>
      </c>
      <c r="CX16">
        <v>1.9974094470076587E-6</v>
      </c>
      <c r="CY16">
        <v>-5.6062548226543107E-6</v>
      </c>
      <c r="CZ16">
        <v>-1.8112925552760117E-6</v>
      </c>
      <c r="DC16">
        <v>2.2021051870050696</v>
      </c>
      <c r="DD16">
        <v>5.9706072154501602</v>
      </c>
      <c r="DE16">
        <v>6.0110739051516928</v>
      </c>
      <c r="DF16">
        <v>-45.686319293883706</v>
      </c>
      <c r="DG16">
        <v>2.083594984753931</v>
      </c>
      <c r="DH16">
        <v>-3.2010354134378378</v>
      </c>
      <c r="DK16">
        <v>0.11855177803052724</v>
      </c>
      <c r="DL16">
        <v>3.0879647941612909</v>
      </c>
      <c r="DM16">
        <v>0.11855177813052724</v>
      </c>
      <c r="DN16">
        <v>3.0879647941546482</v>
      </c>
      <c r="DO16">
        <v>0.11855177793052725</v>
      </c>
      <c r="DP16">
        <v>3.0879647941679407</v>
      </c>
      <c r="DQ16">
        <v>-6.6462391146160371E-2</v>
      </c>
      <c r="DR16">
        <v>2.5980917797111456</v>
      </c>
      <c r="DV16" t="s">
        <v>200</v>
      </c>
      <c r="DW16">
        <f ca="1">(DW15*DW15*(1-COS(DW14)))+COS(DW14)</f>
        <v>1</v>
      </c>
      <c r="DX16">
        <f ca="1">(DX15*DW15*(1-COS(DW14)))-(DY15*SIN(DW14))</f>
        <v>0</v>
      </c>
      <c r="DY16">
        <f ca="1">(DY15*DW15*(1-COS(DW14)))+(DX15*SIN(DW14))</f>
        <v>0</v>
      </c>
      <c r="DZ16">
        <v>0</v>
      </c>
    </row>
    <row r="17" spans="1:136" x14ac:dyDescent="0.25">
      <c r="A17">
        <v>3</v>
      </c>
      <c r="B17" s="19">
        <v>8</v>
      </c>
      <c r="C17" s="6">
        <f t="shared" ca="1" si="25"/>
        <v>0.79</v>
      </c>
      <c r="D17" s="2">
        <v>4</v>
      </c>
      <c r="E17" s="2">
        <v>2</v>
      </c>
      <c r="G17" s="1">
        <v>5</v>
      </c>
      <c r="H17" s="6">
        <v>0.625</v>
      </c>
      <c r="I17" s="6">
        <v>0.31</v>
      </c>
      <c r="K17" s="1">
        <f t="shared" si="21"/>
        <v>4</v>
      </c>
      <c r="L17" s="1">
        <f t="shared" si="22"/>
        <v>2</v>
      </c>
      <c r="Y17" s="60" t="s">
        <v>204</v>
      </c>
      <c r="Z17" s="68">
        <f>U10</f>
        <v>-160</v>
      </c>
      <c r="AA17" s="68">
        <f>U11</f>
        <v>-12.2</v>
      </c>
      <c r="AB17" s="69">
        <f>U12</f>
        <v>4.2</v>
      </c>
      <c r="AC17" s="70">
        <f ca="1">Z17/$U$3</f>
        <v>-177.77777777777777</v>
      </c>
      <c r="AD17" s="68">
        <f t="shared" ref="AD17:AE17" ca="1" si="37">AA17/$U$3</f>
        <v>-13.555555555555554</v>
      </c>
      <c r="AE17" s="69">
        <f t="shared" ca="1" si="37"/>
        <v>4.666666666666667</v>
      </c>
      <c r="BC17">
        <v>0.26179938779914941</v>
      </c>
      <c r="BD17">
        <v>138.238206394375</v>
      </c>
      <c r="BE17">
        <v>-38.764873132397661</v>
      </c>
      <c r="BF17" s="6">
        <f t="shared" si="0"/>
        <v>6.0097864074739595</v>
      </c>
      <c r="BG17" s="6">
        <f t="shared" si="1"/>
        <v>5.7479870196748104</v>
      </c>
      <c r="BH17" s="6">
        <f t="shared" si="2"/>
        <v>3.0834373914194817</v>
      </c>
      <c r="BI17" s="6">
        <f t="shared" si="3"/>
        <v>3.0834373914194817</v>
      </c>
      <c r="BJ17">
        <v>153.5980071048611</v>
      </c>
      <c r="BK17">
        <v>-43.072081258219619</v>
      </c>
      <c r="BV17" s="38"/>
      <c r="BW17" s="6">
        <f t="shared" si="27"/>
        <v>3.4906585039886591E-2</v>
      </c>
      <c r="BX17" s="9">
        <f t="shared" ca="1" si="28"/>
        <v>12.603083704072645</v>
      </c>
      <c r="BY17" s="9">
        <f t="shared" ca="1" si="29"/>
        <v>0.81930609345759109</v>
      </c>
      <c r="BZ17" s="9">
        <f t="shared" ca="1" si="30"/>
        <v>138.47760145817037</v>
      </c>
      <c r="CA17" s="6">
        <f t="shared" ca="1" si="31"/>
        <v>-41.138866491241643</v>
      </c>
      <c r="CB17" s="6">
        <f t="shared" ca="1" si="32"/>
        <v>-0.28877535330664261</v>
      </c>
      <c r="CC17" s="6">
        <f t="shared" ca="1" si="33"/>
        <v>-3.5067798161887986E-3</v>
      </c>
      <c r="CD17" s="9">
        <f t="shared" si="34"/>
        <v>150.67760145817036</v>
      </c>
      <c r="CE17" s="9">
        <f t="shared" si="35"/>
        <v>-45.338866491241646</v>
      </c>
      <c r="CF17" s="6">
        <f t="shared" si="36"/>
        <v>-0.29228213312283141</v>
      </c>
      <c r="CG17" s="6"/>
      <c r="CH17" s="6"/>
      <c r="CI17" s="6"/>
      <c r="CJ17" s="1"/>
      <c r="CK17" s="6"/>
      <c r="CU17">
        <v>3.0857715383362985</v>
      </c>
      <c r="CV17">
        <v>3.0855797907378131</v>
      </c>
      <c r="CW17">
        <v>3.0856756645370558</v>
      </c>
      <c r="CX17">
        <v>1.9974094470076587E-6</v>
      </c>
      <c r="CY17">
        <v>-1.8112925552760117E-6</v>
      </c>
      <c r="CZ17">
        <v>9.1342886088252584E-8</v>
      </c>
      <c r="DC17">
        <v>0.35333108053433288</v>
      </c>
      <c r="DD17">
        <v>6.0110739051516928</v>
      </c>
      <c r="DE17">
        <v>5.9713453558187863</v>
      </c>
      <c r="DF17">
        <v>-43.552154137841875</v>
      </c>
      <c r="DG17">
        <v>1.5352420493185353</v>
      </c>
      <c r="DH17">
        <v>-3.1613068641049313</v>
      </c>
      <c r="DK17">
        <v>2.5980917797111456</v>
      </c>
      <c r="DL17">
        <v>3.1243417992231395</v>
      </c>
      <c r="DM17">
        <v>2.5980917798111456</v>
      </c>
      <c r="DN17">
        <v>3.1243417992237701</v>
      </c>
      <c r="DO17">
        <v>2.5980917796111456</v>
      </c>
      <c r="DP17">
        <v>3.1243417992225062</v>
      </c>
      <c r="DQ17">
        <v>6.319389456166391E-3</v>
      </c>
      <c r="DR17">
        <v>-1.7190959594868451</v>
      </c>
      <c r="DW17">
        <f ca="1">(DW15*DX15*(1-COS(DW14)))+(DY15*SIN(DW14))</f>
        <v>0</v>
      </c>
      <c r="DX17">
        <f ca="1">(DX15*DX15*(1-COS(DW14)))+COS(DW14)</f>
        <v>0.94868329805051377</v>
      </c>
      <c r="DY17">
        <f ca="1">(DY15*DX15*(1-COS(DW14)))-(DW15*SIN(DW14))</f>
        <v>0.31622776601683794</v>
      </c>
      <c r="DZ17">
        <v>0</v>
      </c>
    </row>
    <row r="18" spans="1:136" ht="15.75" thickBot="1" x14ac:dyDescent="0.3">
      <c r="A18">
        <v>4</v>
      </c>
      <c r="B18" s="19">
        <v>8</v>
      </c>
      <c r="C18" s="6">
        <f t="shared" ca="1" si="25"/>
        <v>0.79</v>
      </c>
      <c r="D18" s="2">
        <v>4</v>
      </c>
      <c r="E18" s="2">
        <v>4</v>
      </c>
      <c r="G18" s="1">
        <v>6</v>
      </c>
      <c r="H18" s="6">
        <v>0.75</v>
      </c>
      <c r="I18" s="6">
        <v>0.44</v>
      </c>
      <c r="K18" s="1">
        <f t="shared" si="21"/>
        <v>4</v>
      </c>
      <c r="L18" s="1">
        <f t="shared" si="22"/>
        <v>4</v>
      </c>
      <c r="T18" s="8" t="s">
        <v>105</v>
      </c>
      <c r="U18" s="6">
        <f ca="1">SQRT(POWER(U6,2)+POWER(U5,2)+POWER(U4,2))</f>
        <v>202.59898662509812</v>
      </c>
      <c r="Y18" s="61" t="s">
        <v>205</v>
      </c>
      <c r="Z18" s="65">
        <f ca="1">U4</f>
        <v>-160.00000000098825</v>
      </c>
      <c r="AA18" s="65">
        <f ca="1">U5</f>
        <v>117.51457213794784</v>
      </c>
      <c r="AB18" s="66">
        <f ca="1">U6</f>
        <v>-40.455836617668623</v>
      </c>
      <c r="AC18" s="67">
        <f ca="1">Z18/$U$3</f>
        <v>-177.77777777887584</v>
      </c>
      <c r="AD18" s="65">
        <f t="shared" ref="AD18" ca="1" si="38">AA18/$U$3</f>
        <v>130.57174681994204</v>
      </c>
      <c r="AE18" s="66">
        <f t="shared" ref="AE18" ca="1" si="39">AB18/$U$3</f>
        <v>-44.950929575187359</v>
      </c>
      <c r="BC18">
        <v>0.27925268031909273</v>
      </c>
      <c r="BD18">
        <v>138.22504224802873</v>
      </c>
      <c r="BE18">
        <v>-38.717381369944036</v>
      </c>
      <c r="BF18" s="6">
        <f t="shared" si="0"/>
        <v>6.0100802068646644</v>
      </c>
      <c r="BG18" s="6">
        <f t="shared" si="1"/>
        <v>5.7308275265455713</v>
      </c>
      <c r="BH18" s="6">
        <f t="shared" si="2"/>
        <v>3.0831435920287769</v>
      </c>
      <c r="BI18" s="6">
        <f t="shared" si="3"/>
        <v>3.0831435920287769</v>
      </c>
      <c r="BJ18">
        <v>153.58338027558747</v>
      </c>
      <c r="BK18">
        <v>-43.019312633271149</v>
      </c>
      <c r="BV18" s="38"/>
      <c r="BW18" s="6">
        <f t="shared" si="27"/>
        <v>5.235987755982989E-2</v>
      </c>
      <c r="BX18" s="9">
        <f t="shared" ca="1" si="28"/>
        <v>12.576405542503096</v>
      </c>
      <c r="BY18" s="9">
        <f t="shared" ca="1" si="29"/>
        <v>1.4020520080004388</v>
      </c>
      <c r="BZ18" s="9">
        <f t="shared" ca="1" si="30"/>
        <v>138.45092329660082</v>
      </c>
      <c r="CA18" s="6">
        <f t="shared" ca="1" si="31"/>
        <v>-40.556120576698795</v>
      </c>
      <c r="CB18" s="6">
        <f t="shared" ca="1" si="32"/>
        <v>-0.28495595007332025</v>
      </c>
      <c r="CC18" s="6">
        <f t="shared" ca="1" si="33"/>
        <v>-3.8243368447166142E-3</v>
      </c>
      <c r="CD18" s="9">
        <f t="shared" si="34"/>
        <v>150.65092329660081</v>
      </c>
      <c r="CE18" s="9">
        <f t="shared" si="35"/>
        <v>-44.756120576698798</v>
      </c>
      <c r="CF18" s="6">
        <f t="shared" si="36"/>
        <v>-0.28878028691803687</v>
      </c>
      <c r="CG18" s="6"/>
      <c r="CH18" s="6"/>
      <c r="CI18" s="6"/>
      <c r="CJ18" s="1"/>
      <c r="CK18" s="6"/>
      <c r="CU18">
        <v>3.0856756645370558</v>
      </c>
      <c r="CV18">
        <v>3.0855797907378131</v>
      </c>
      <c r="CW18">
        <v>3.0856277276374344</v>
      </c>
      <c r="CX18">
        <v>9.1342886088252584E-8</v>
      </c>
      <c r="CY18">
        <v>-1.8112925552760117E-6</v>
      </c>
      <c r="CZ18">
        <v>-8.6040405711251822E-7</v>
      </c>
      <c r="DC18">
        <v>2.083594984753931</v>
      </c>
      <c r="DD18">
        <v>5.9713453558187863</v>
      </c>
      <c r="DE18">
        <v>6.0118258311890092</v>
      </c>
      <c r="DF18">
        <v>-13.546109091366075</v>
      </c>
      <c r="DG18">
        <v>0.92470548694661236</v>
      </c>
      <c r="DH18">
        <v>-3.2017873394751541</v>
      </c>
      <c r="DK18">
        <v>-1.7190959594868451</v>
      </c>
      <c r="DL18">
        <v>-3.0926720921987885</v>
      </c>
      <c r="DM18">
        <v>-1.7190959593868451</v>
      </c>
      <c r="DN18">
        <v>-3.0926720922069268</v>
      </c>
      <c r="DO18">
        <v>-1.7190959595868451</v>
      </c>
      <c r="DP18">
        <v>-3.0926720921984181</v>
      </c>
      <c r="DQ18">
        <v>-4.2543746303635999E-2</v>
      </c>
      <c r="DR18">
        <v>0.9851982798748965</v>
      </c>
      <c r="DW18">
        <f ca="1">(DW15*DY15*(1-COS(DW14)))-(DX15*SIN(DW14))</f>
        <v>0</v>
      </c>
      <c r="DX18">
        <f ca="1">(DX15*DY15*(1-COS(DW14)))+(DW15*SIN(DW14))</f>
        <v>-0.31622776601683794</v>
      </c>
      <c r="DY18">
        <f ca="1">(DY15*DY15*(1-COS(DW14)))+COS(DW14)</f>
        <v>0.94868329805051377</v>
      </c>
      <c r="DZ18">
        <v>0</v>
      </c>
    </row>
    <row r="19" spans="1:136" x14ac:dyDescent="0.25">
      <c r="A19">
        <v>5</v>
      </c>
      <c r="B19" s="19">
        <v>0</v>
      </c>
      <c r="C19" s="6">
        <f t="shared" ca="1" si="25"/>
        <v>0</v>
      </c>
      <c r="D19" s="2">
        <v>6</v>
      </c>
      <c r="E19" s="2">
        <v>2</v>
      </c>
      <c r="G19" s="1">
        <v>7</v>
      </c>
      <c r="H19" s="6">
        <v>0.875</v>
      </c>
      <c r="I19" s="6">
        <v>0.6</v>
      </c>
      <c r="K19" s="1" t="e">
        <f t="shared" si="21"/>
        <v>#N/A</v>
      </c>
      <c r="L19" s="1" t="e">
        <f t="shared" si="22"/>
        <v>#N/A</v>
      </c>
      <c r="T19" s="8" t="s">
        <v>106</v>
      </c>
      <c r="U19" s="39">
        <f ca="1">U4/U18</f>
        <v>-0.78973741510890327</v>
      </c>
      <c r="V19" s="39">
        <f ca="1">U5/U18</f>
        <v>0.5800353402329903</v>
      </c>
      <c r="W19" s="39">
        <f ca="1">U6/U18</f>
        <v>-0.19968429897692747</v>
      </c>
      <c r="X19" s="38"/>
      <c r="BC19">
        <v>0.29670597283903605</v>
      </c>
      <c r="BD19">
        <v>138.2121767928621</v>
      </c>
      <c r="BE19">
        <v>-38.673929605360833</v>
      </c>
      <c r="BF19" s="6">
        <f t="shared" si="0"/>
        <v>6.0103475632075236</v>
      </c>
      <c r="BG19" s="6">
        <f t="shared" si="1"/>
        <v>5.7136415903684874</v>
      </c>
      <c r="BH19" s="6">
        <f t="shared" si="2"/>
        <v>3.0828762356859176</v>
      </c>
      <c r="BI19" s="6">
        <f t="shared" si="3"/>
        <v>3.0828762356859176</v>
      </c>
      <c r="BJ19">
        <v>153.56908532540231</v>
      </c>
      <c r="BK19">
        <v>-42.971032894845372</v>
      </c>
      <c r="BV19" s="38"/>
      <c r="BW19" s="6">
        <f t="shared" si="27"/>
        <v>6.9813170079773182E-2</v>
      </c>
      <c r="BX19" s="9">
        <f t="shared" ca="1" si="28"/>
        <v>12.55044197640342</v>
      </c>
      <c r="BY19" s="9">
        <f t="shared" ca="1" si="29"/>
        <v>1.8289667867718364</v>
      </c>
      <c r="BZ19" s="9">
        <f t="shared" ca="1" si="30"/>
        <v>138.42495973050114</v>
      </c>
      <c r="CA19" s="6">
        <f t="shared" ca="1" si="31"/>
        <v>-40.129205797927398</v>
      </c>
      <c r="CB19" s="6">
        <f t="shared" ca="1" si="32"/>
        <v>-0.28216391074132241</v>
      </c>
      <c r="CC19" s="6">
        <f t="shared" ca="1" si="33"/>
        <v>-4.0570687452815557E-3</v>
      </c>
      <c r="CD19" s="9">
        <f t="shared" si="34"/>
        <v>150.62495973050113</v>
      </c>
      <c r="CE19" s="9">
        <f t="shared" si="35"/>
        <v>-44.329205797927401</v>
      </c>
      <c r="CF19" s="6">
        <f t="shared" si="36"/>
        <v>-0.28622097948660397</v>
      </c>
      <c r="CG19" s="6"/>
      <c r="CH19" s="6"/>
      <c r="CI19" s="6"/>
      <c r="CJ19" s="1"/>
      <c r="CK19" s="6"/>
      <c r="CU19">
        <v>3.0856756645370558</v>
      </c>
      <c r="CV19">
        <v>3.0856277276374344</v>
      </c>
      <c r="CW19">
        <v>3.0856516960872451</v>
      </c>
      <c r="CX19">
        <v>9.1342886088252584E-8</v>
      </c>
      <c r="CY19">
        <v>-8.6040405711251822E-7</v>
      </c>
      <c r="CZ19">
        <v>-3.8463784984843485E-7</v>
      </c>
      <c r="DC19">
        <v>1.5352420493185353</v>
      </c>
      <c r="DD19">
        <v>6.0118258311890092</v>
      </c>
      <c r="DE19">
        <v>6.0141878772086628</v>
      </c>
      <c r="DF19">
        <v>-258.47784390816179</v>
      </c>
      <c r="DG19">
        <v>-0.25413033839936749</v>
      </c>
      <c r="DH19">
        <v>-3.2041493854948078</v>
      </c>
      <c r="DK19">
        <v>0.9851982798748965</v>
      </c>
      <c r="DL19">
        <v>3.0788719329878793</v>
      </c>
      <c r="DM19">
        <v>0.98519827997489651</v>
      </c>
      <c r="DN19">
        <v>3.0788719329839784</v>
      </c>
      <c r="DO19">
        <v>0.98519827977489649</v>
      </c>
      <c r="DP19">
        <v>3.0788719329917793</v>
      </c>
      <c r="DQ19">
        <v>-3.9004355301131E-2</v>
      </c>
      <c r="DR19">
        <v>-1.7595917328967476</v>
      </c>
      <c r="DW19">
        <v>0</v>
      </c>
      <c r="DX19">
        <v>0</v>
      </c>
      <c r="DY19">
        <v>0</v>
      </c>
      <c r="DZ19">
        <v>1</v>
      </c>
    </row>
    <row r="20" spans="1:136" x14ac:dyDescent="0.25">
      <c r="A20">
        <v>6</v>
      </c>
      <c r="B20" s="19">
        <v>0</v>
      </c>
      <c r="C20" s="6">
        <f t="shared" ca="1" si="25"/>
        <v>0</v>
      </c>
      <c r="D20" s="2">
        <v>0</v>
      </c>
      <c r="E20" s="2">
        <v>8.66</v>
      </c>
      <c r="G20" s="1">
        <v>8</v>
      </c>
      <c r="H20" s="6">
        <v>1</v>
      </c>
      <c r="I20" s="6">
        <v>0.79</v>
      </c>
      <c r="K20" s="1" t="e">
        <f t="shared" si="21"/>
        <v>#N/A</v>
      </c>
      <c r="L20" s="1" t="e">
        <f t="shared" si="22"/>
        <v>#N/A</v>
      </c>
      <c r="Y20" s="38"/>
      <c r="BC20">
        <v>0.31415926535897937</v>
      </c>
      <c r="BD20">
        <v>138.19957315125265</v>
      </c>
      <c r="BE20">
        <v>-38.633940791766257</v>
      </c>
      <c r="BF20" s="6">
        <f t="shared" si="0"/>
        <v>6.0105922590529772</v>
      </c>
      <c r="BG20" s="6">
        <f t="shared" si="1"/>
        <v>5.6964329936939979</v>
      </c>
      <c r="BH20" s="6">
        <f t="shared" si="2"/>
        <v>3.082631539840464</v>
      </c>
      <c r="BI20" s="6">
        <f t="shared" si="3"/>
        <v>3.082631539840464</v>
      </c>
      <c r="BJ20">
        <v>153.5550812791696</v>
      </c>
      <c r="BK20">
        <v>-42.926600879740285</v>
      </c>
      <c r="BV20" s="38"/>
      <c r="BW20" s="6">
        <f t="shared" si="27"/>
        <v>8.7266462599716474E-2</v>
      </c>
      <c r="BX20" s="9">
        <f t="shared" ca="1" si="28"/>
        <v>12.527320643788499</v>
      </c>
      <c r="BY20" s="9">
        <f t="shared" ca="1" si="29"/>
        <v>2.1245740592812439</v>
      </c>
      <c r="BZ20" s="9">
        <f t="shared" ca="1" si="30"/>
        <v>138.40183839788622</v>
      </c>
      <c r="CA20" s="6">
        <f t="shared" ca="1" si="31"/>
        <v>-39.83359852541799</v>
      </c>
      <c r="CB20" s="6">
        <f t="shared" ca="1" si="32"/>
        <v>-0.28023723550857677</v>
      </c>
      <c r="CC20" s="6">
        <f t="shared" ca="1" si="33"/>
        <v>-4.218027783775169E-3</v>
      </c>
      <c r="CD20" s="9">
        <f t="shared" si="34"/>
        <v>150.60183839788621</v>
      </c>
      <c r="CE20" s="9">
        <f t="shared" si="35"/>
        <v>-44.033598525417993</v>
      </c>
      <c r="CF20" s="6">
        <f t="shared" si="36"/>
        <v>-0.28445526329235193</v>
      </c>
      <c r="CG20" s="6"/>
      <c r="CH20" s="6"/>
      <c r="CI20" s="6"/>
      <c r="CJ20" s="1"/>
      <c r="CK20" s="6"/>
      <c r="CU20">
        <v>3.0856756645370558</v>
      </c>
      <c r="CV20">
        <v>3.0856516960872451</v>
      </c>
      <c r="CW20">
        <v>3.0856636803121504</v>
      </c>
      <c r="CX20">
        <v>9.1342886088252584E-8</v>
      </c>
      <c r="CY20">
        <v>-3.8463784984843485E-7</v>
      </c>
      <c r="CZ20">
        <v>-1.466745314648854E-7</v>
      </c>
      <c r="DC20">
        <v>0.92470548694661236</v>
      </c>
      <c r="DD20">
        <v>6.0141878772086628</v>
      </c>
      <c r="DE20">
        <v>5.958498680335893</v>
      </c>
      <c r="DF20">
        <v>21.168124008669146</v>
      </c>
      <c r="DG20">
        <v>2.2139123314669389</v>
      </c>
      <c r="DH20">
        <v>-3.148460188622038</v>
      </c>
      <c r="DK20">
        <v>-1.7595917328967476</v>
      </c>
      <c r="DL20">
        <v>-3.0923025679949339</v>
      </c>
      <c r="DM20">
        <v>-1.7595917327967476</v>
      </c>
      <c r="DN20">
        <v>-3.0923025679975167</v>
      </c>
      <c r="DO20">
        <v>-1.7595917329967476</v>
      </c>
      <c r="DP20">
        <v>-3.0923025679923484</v>
      </c>
      <c r="DQ20">
        <v>-2.5841551121175144E-2</v>
      </c>
      <c r="DR20">
        <v>-2.0430397308101957</v>
      </c>
      <c r="DV20" t="s">
        <v>193</v>
      </c>
      <c r="DW20">
        <f t="array" aca="1" ref="DW20:DZ20" ca="1">MMULT(DW10:DZ10,DW16:DZ19)</f>
        <v>1080.7505000000001</v>
      </c>
      <c r="DX20">
        <f ca="1"/>
        <v>-225.43126398396089</v>
      </c>
      <c r="DY20">
        <f ca="1"/>
        <v>0</v>
      </c>
      <c r="DZ20" s="9">
        <f ca="1"/>
        <v>0</v>
      </c>
      <c r="EB20">
        <f t="array" aca="1" ref="EB20:EE20" ca="1">MMULT(EB10:EE10,DW16:DZ19)</f>
        <v>10.640000000000015</v>
      </c>
      <c r="EC20">
        <f ca="1"/>
        <v>-147.80485783627006</v>
      </c>
      <c r="ED20">
        <f ca="1"/>
        <v>0.12649110640673911</v>
      </c>
      <c r="EE20" s="9">
        <f ca="1"/>
        <v>0</v>
      </c>
    </row>
    <row r="21" spans="1:136" x14ac:dyDescent="0.25">
      <c r="A21">
        <v>7</v>
      </c>
      <c r="B21" s="19">
        <v>0</v>
      </c>
      <c r="C21" s="6">
        <f t="shared" ca="1" si="25"/>
        <v>0</v>
      </c>
      <c r="D21" s="2">
        <v>2</v>
      </c>
      <c r="E21" s="2">
        <v>22</v>
      </c>
      <c r="G21" s="1">
        <v>9</v>
      </c>
      <c r="H21" s="6">
        <v>1.1279999999999999</v>
      </c>
      <c r="I21" s="6">
        <v>1</v>
      </c>
      <c r="K21" s="1" t="e">
        <f t="shared" si="21"/>
        <v>#N/A</v>
      </c>
      <c r="L21" s="1" t="e">
        <f t="shared" si="22"/>
        <v>#N/A</v>
      </c>
      <c r="T21" s="8" t="s">
        <v>107</v>
      </c>
      <c r="U21" s="39">
        <f ca="1">U16-U19</f>
        <v>-0.20702679592117967</v>
      </c>
      <c r="V21" s="39">
        <f t="shared" ref="V21:W21" ca="1" si="40">V16-V19</f>
        <v>-0.65603861132403418</v>
      </c>
      <c r="W21" s="39">
        <f t="shared" ca="1" si="40"/>
        <v>0.22584935951646715</v>
      </c>
      <c r="BC21">
        <v>0.33161255787892269</v>
      </c>
      <c r="BD21">
        <v>138.18719890647142</v>
      </c>
      <c r="BE21">
        <v>-38.596945644576145</v>
      </c>
      <c r="BF21" s="6">
        <f t="shared" si="0"/>
        <v>6.010817366915191</v>
      </c>
      <c r="BG21" s="6">
        <f t="shared" si="1"/>
        <v>5.6792048090362686</v>
      </c>
      <c r="BH21" s="6">
        <f t="shared" si="2"/>
        <v>3.0824064319782503</v>
      </c>
      <c r="BI21" s="6">
        <f t="shared" si="3"/>
        <v>3.0824064319782503</v>
      </c>
      <c r="BJ21">
        <v>153.54133211830157</v>
      </c>
      <c r="BK21">
        <v>-42.885495160640161</v>
      </c>
      <c r="BV21" s="38"/>
      <c r="BW21" s="6">
        <f t="shared" si="27"/>
        <v>0.10471975511965977</v>
      </c>
      <c r="BX21" s="9">
        <f t="shared" ca="1" si="28"/>
        <v>12.506364100490941</v>
      </c>
      <c r="BY21" s="9">
        <f t="shared" ca="1" si="29"/>
        <v>2.3431154105698795</v>
      </c>
      <c r="BZ21" s="9">
        <f t="shared" ca="1" si="30"/>
        <v>138.38088185458867</v>
      </c>
      <c r="CA21" s="6">
        <f t="shared" ca="1" si="31"/>
        <v>-39.615057174129355</v>
      </c>
      <c r="CB21" s="6">
        <f t="shared" ca="1" si="32"/>
        <v>-0.27881844742676082</v>
      </c>
      <c r="CC21" s="6">
        <f t="shared" ca="1" si="33"/>
        <v>-4.336787447735746E-3</v>
      </c>
      <c r="CD21" s="9">
        <f t="shared" si="34"/>
        <v>150.58088185458865</v>
      </c>
      <c r="CE21" s="9">
        <f t="shared" si="35"/>
        <v>-43.815057174129358</v>
      </c>
      <c r="CF21" s="6">
        <f t="shared" si="36"/>
        <v>-0.28315523487449656</v>
      </c>
      <c r="CG21" s="6"/>
      <c r="CH21" s="6"/>
      <c r="CI21" s="6"/>
      <c r="CJ21" s="1"/>
      <c r="CK21" s="6"/>
      <c r="CU21">
        <v>3.0856756645370558</v>
      </c>
      <c r="CV21">
        <v>3.0856636803121504</v>
      </c>
      <c r="CW21">
        <v>3.0856696724246033</v>
      </c>
      <c r="CX21">
        <v>9.1342886088252584E-8</v>
      </c>
      <c r="CY21">
        <v>-1.466745314648854E-7</v>
      </c>
      <c r="CZ21">
        <v>-2.7672489077978923E-8</v>
      </c>
      <c r="DC21">
        <v>-0.25413033839936749</v>
      </c>
      <c r="DD21">
        <v>5.958498680335893</v>
      </c>
      <c r="DE21">
        <v>5.9705463137160377</v>
      </c>
      <c r="DF21">
        <v>204.85705299879109</v>
      </c>
      <c r="DG21">
        <v>1.9296805759693749</v>
      </c>
      <c r="DH21">
        <v>-3.1605078220021827</v>
      </c>
      <c r="DK21">
        <v>-2.0430397308101957</v>
      </c>
      <c r="DL21">
        <v>-3.0918828202831969</v>
      </c>
      <c r="DM21">
        <v>-2.0430397307101957</v>
      </c>
      <c r="DN21">
        <v>-3.0918828202839492</v>
      </c>
      <c r="DO21">
        <v>-2.0430397309101958</v>
      </c>
      <c r="DP21">
        <v>-3.0918828202824411</v>
      </c>
      <c r="DQ21">
        <v>-7.5406347832540632E-3</v>
      </c>
      <c r="DR21">
        <v>2.6176758993250946</v>
      </c>
      <c r="DV21" t="s">
        <v>194</v>
      </c>
      <c r="DW21">
        <f t="array" aca="1" ref="DW21:DZ21" ca="1">MMULT(DW11:DZ11,DW16:DZ19)</f>
        <v>0</v>
      </c>
      <c r="DX21">
        <f ca="1"/>
        <v>0</v>
      </c>
      <c r="DY21">
        <f ca="1"/>
        <v>0</v>
      </c>
      <c r="DZ21" s="9">
        <f ca="1"/>
        <v>0</v>
      </c>
      <c r="EB21">
        <f t="array" aca="1" ref="EB21:EE21" ca="1">MMULT(EB11:EE11,DW16:DZ19)</f>
        <v>10.639999999011764</v>
      </c>
      <c r="EC21">
        <f ca="1"/>
        <v>-10.625394282012158</v>
      </c>
      <c r="ED21">
        <f ca="1"/>
        <v>-1.2184058862348199</v>
      </c>
      <c r="EE21" s="9">
        <f ca="1"/>
        <v>0</v>
      </c>
    </row>
    <row r="22" spans="1:136" x14ac:dyDescent="0.25">
      <c r="A22">
        <v>8</v>
      </c>
      <c r="B22" s="19">
        <v>0</v>
      </c>
      <c r="C22" s="6">
        <f t="shared" ca="1" si="25"/>
        <v>0</v>
      </c>
      <c r="D22" s="2">
        <v>10</v>
      </c>
      <c r="E22" s="2">
        <v>22</v>
      </c>
      <c r="G22" s="1">
        <v>10</v>
      </c>
      <c r="H22" s="6">
        <v>1.27</v>
      </c>
      <c r="I22" s="6">
        <v>1.27</v>
      </c>
      <c r="K22" s="1" t="e">
        <f t="shared" si="21"/>
        <v>#N/A</v>
      </c>
      <c r="L22" s="1" t="e">
        <f t="shared" si="22"/>
        <v>#N/A</v>
      </c>
      <c r="U22" s="1" t="s">
        <v>99</v>
      </c>
      <c r="V22" s="1" t="s">
        <v>100</v>
      </c>
      <c r="W22" s="1" t="s">
        <v>101</v>
      </c>
      <c r="BC22">
        <v>0.34906585039886601</v>
      </c>
      <c r="BD22">
        <v>138.17502526017157</v>
      </c>
      <c r="BE22">
        <v>-38.562558049690281</v>
      </c>
      <c r="BF22" s="6">
        <f t="shared" si="0"/>
        <v>6.0110254114737849</v>
      </c>
      <c r="BG22" s="6">
        <f t="shared" si="1"/>
        <v>5.6619595610749185</v>
      </c>
      <c r="BH22" s="6">
        <f t="shared" si="2"/>
        <v>3.0821983874196563</v>
      </c>
      <c r="BI22" s="6">
        <f t="shared" si="3"/>
        <v>3.0821983874196563</v>
      </c>
      <c r="BJ22">
        <v>153.52780584463508</v>
      </c>
      <c r="BK22">
        <v>-42.847286721878092</v>
      </c>
      <c r="BV22" s="38"/>
      <c r="BW22" s="6">
        <f t="shared" si="27"/>
        <v>0.12217304763960306</v>
      </c>
      <c r="BX22" s="9">
        <f t="shared" ca="1" si="28"/>
        <v>12.487033574474424</v>
      </c>
      <c r="BY22" s="9">
        <f t="shared" ca="1" si="29"/>
        <v>2.5132770690733182</v>
      </c>
      <c r="BZ22" s="9">
        <f t="shared" ca="1" si="30"/>
        <v>138.36155132857215</v>
      </c>
      <c r="CA22" s="6">
        <f t="shared" ca="1" si="31"/>
        <v>-39.444895515625916</v>
      </c>
      <c r="CB22" s="6">
        <f t="shared" ca="1" si="32"/>
        <v>-0.27771838921727537</v>
      </c>
      <c r="CC22" s="6">
        <f t="shared" ca="1" si="33"/>
        <v>-4.4290307621489E-3</v>
      </c>
      <c r="CD22" s="9">
        <f t="shared" si="34"/>
        <v>150.56155132857214</v>
      </c>
      <c r="CE22" s="9">
        <f t="shared" si="35"/>
        <v>-43.644895515625919</v>
      </c>
      <c r="CF22" s="6">
        <f t="shared" si="36"/>
        <v>-0.28214741997942427</v>
      </c>
      <c r="CG22" s="6"/>
      <c r="CH22" s="6"/>
      <c r="CI22" s="6"/>
      <c r="CJ22" s="1"/>
      <c r="CK22" s="6"/>
      <c r="CU22">
        <v>3.0856756645370558</v>
      </c>
      <c r="CV22">
        <v>3.0856696724246033</v>
      </c>
      <c r="CW22">
        <v>3.0856726684808296</v>
      </c>
      <c r="CX22">
        <v>9.1342886088252584E-8</v>
      </c>
      <c r="CY22">
        <v>-2.7672489077978923E-8</v>
      </c>
      <c r="CZ22">
        <v>3.1833579827722502E-8</v>
      </c>
      <c r="DC22">
        <v>2.2139123314669389</v>
      </c>
      <c r="DD22">
        <v>5.9705463137160377</v>
      </c>
      <c r="DE22">
        <v>5.9729893020027589</v>
      </c>
      <c r="DF22">
        <v>-116.34593462543414</v>
      </c>
      <c r="DG22">
        <v>-0.78178435028947768</v>
      </c>
      <c r="DH22">
        <v>-3.1629508102889039</v>
      </c>
      <c r="DK22">
        <v>2.6176758993250946</v>
      </c>
      <c r="DL22">
        <v>3.1244463271464955</v>
      </c>
      <c r="DM22">
        <v>2.6176758994250946</v>
      </c>
      <c r="DN22">
        <v>3.1244463271471492</v>
      </c>
      <c r="DO22">
        <v>2.6176758992250946</v>
      </c>
      <c r="DP22">
        <v>3.124446327146452</v>
      </c>
      <c r="DQ22">
        <v>3.4861002973229915E-3</v>
      </c>
      <c r="DR22">
        <v>-1.4283107790125846</v>
      </c>
      <c r="EB22">
        <f t="array" aca="1" ref="EB22:EE22" ca="1">MMULT(EB12:EE12,DW16:DZ19)</f>
        <v>10.639999999011764</v>
      </c>
      <c r="EC22">
        <f ca="1"/>
        <v>-144.64258017610169</v>
      </c>
      <c r="ED22">
        <f ca="1"/>
        <v>6.4510464267434884</v>
      </c>
      <c r="EE22">
        <f ca="1"/>
        <v>0</v>
      </c>
    </row>
    <row r="23" spans="1:136" x14ac:dyDescent="0.25">
      <c r="A23">
        <v>9</v>
      </c>
      <c r="B23" s="19">
        <v>0</v>
      </c>
      <c r="C23" s="6">
        <f t="shared" ca="1" si="25"/>
        <v>0</v>
      </c>
      <c r="D23" s="2">
        <v>2</v>
      </c>
      <c r="E23" s="2">
        <v>2</v>
      </c>
      <c r="G23" s="1">
        <v>11</v>
      </c>
      <c r="H23" s="6">
        <v>1.41</v>
      </c>
      <c r="I23" s="6">
        <v>1.56</v>
      </c>
      <c r="K23" s="1" t="e">
        <f t="shared" si="21"/>
        <v>#N/A</v>
      </c>
      <c r="L23" s="1" t="e">
        <f t="shared" si="22"/>
        <v>#N/A</v>
      </c>
      <c r="T23" s="8" t="s">
        <v>108</v>
      </c>
      <c r="U23" s="39">
        <f ca="1">SQRT(POWER(U21,2)+POWER(V21,2)+POWER(W21,2))</f>
        <v>0.724054339791811</v>
      </c>
      <c r="V23" t="str">
        <f ca="1">IF(ABS(U23)&lt;=L1,"","NG")</f>
        <v>NG</v>
      </c>
      <c r="BC23">
        <v>0.36651914291880933</v>
      </c>
      <c r="BD23">
        <v>138.1630263743412</v>
      </c>
      <c r="BE23">
        <v>-38.53045699575636</v>
      </c>
      <c r="BF23" s="6">
        <f t="shared" si="0"/>
        <v>6.0112184887083107</v>
      </c>
      <c r="BG23" s="6">
        <f t="shared" si="1"/>
        <v>5.6446993457895012</v>
      </c>
      <c r="BH23" s="6">
        <f t="shared" si="2"/>
        <v>3.0820053101851306</v>
      </c>
      <c r="BI23" s="6">
        <f t="shared" si="3"/>
        <v>3.0820053101851306</v>
      </c>
      <c r="BJ23">
        <v>153.51447374926801</v>
      </c>
      <c r="BK23">
        <v>-42.811618884173733</v>
      </c>
      <c r="BV23" s="38"/>
      <c r="BW23" s="6">
        <f t="shared" si="27"/>
        <v>0.13962634015954636</v>
      </c>
      <c r="BX23" s="9">
        <f t="shared" ca="1" si="28"/>
        <v>12.468976800563951</v>
      </c>
      <c r="BY23" s="9">
        <f t="shared" ca="1" si="29"/>
        <v>2.6507341133512554</v>
      </c>
      <c r="BZ23" s="9">
        <f t="shared" ca="1" si="30"/>
        <v>138.34349455466167</v>
      </c>
      <c r="CA23" s="6">
        <f t="shared" ca="1" si="31"/>
        <v>-39.307438471347979</v>
      </c>
      <c r="CB23" s="6">
        <f t="shared" ca="1" si="32"/>
        <v>-0.27683367012277416</v>
      </c>
      <c r="CC23" s="6">
        <f t="shared" ca="1" si="33"/>
        <v>-4.5033405614985367E-3</v>
      </c>
      <c r="CD23" s="9">
        <f t="shared" si="34"/>
        <v>150.54349455466166</v>
      </c>
      <c r="CE23" s="9">
        <f t="shared" si="35"/>
        <v>-43.507438471347982</v>
      </c>
      <c r="CF23" s="6">
        <f t="shared" si="36"/>
        <v>-0.28133701068427269</v>
      </c>
      <c r="CG23" s="6"/>
      <c r="CH23" s="6"/>
      <c r="CI23" s="6"/>
      <c r="CJ23" s="1"/>
      <c r="CK23" s="6"/>
      <c r="CU23">
        <v>3.0856726684808296</v>
      </c>
      <c r="CV23">
        <v>3.0856696724246033</v>
      </c>
      <c r="CW23">
        <v>3.0856711704527164</v>
      </c>
      <c r="CX23">
        <v>3.1833579827722502E-8</v>
      </c>
      <c r="CY23">
        <v>-2.7672489077978923E-8</v>
      </c>
      <c r="CZ23">
        <v>2.079997118986654E-9</v>
      </c>
      <c r="DC23">
        <v>1.9296805759693749</v>
      </c>
      <c r="DD23">
        <v>5.9729893020027589</v>
      </c>
      <c r="DE23">
        <v>5.9531159327887595</v>
      </c>
      <c r="DF23">
        <v>136.43710319379639</v>
      </c>
      <c r="DG23">
        <v>-2.3575646361078499</v>
      </c>
      <c r="DH23">
        <v>-3.1430774410749045</v>
      </c>
      <c r="DK23">
        <v>-1.4283107790125846</v>
      </c>
      <c r="DL23">
        <v>-3.1373508832381569</v>
      </c>
      <c r="DM23">
        <v>-1.4283107789125846</v>
      </c>
      <c r="DN23">
        <v>-3.1373508832411288</v>
      </c>
      <c r="DO23">
        <v>-1.4283107791125846</v>
      </c>
      <c r="DP23">
        <v>-3.1373508832372927</v>
      </c>
      <c r="DQ23">
        <v>-1.9180212973424204E-2</v>
      </c>
      <c r="DR23">
        <v>-1.6377580005149148</v>
      </c>
      <c r="DV23" t="s">
        <v>202</v>
      </c>
    </row>
    <row r="24" spans="1:136" ht="15.75" thickBot="1" x14ac:dyDescent="0.3">
      <c r="A24">
        <v>10</v>
      </c>
      <c r="B24" s="19">
        <v>0</v>
      </c>
      <c r="C24" s="11">
        <f t="shared" ca="1" si="25"/>
        <v>0</v>
      </c>
      <c r="D24" s="2">
        <v>10</v>
      </c>
      <c r="E24" s="2">
        <v>2</v>
      </c>
      <c r="G24" s="1">
        <v>14</v>
      </c>
      <c r="H24" s="6">
        <v>1.6930000000000001</v>
      </c>
      <c r="I24" s="6">
        <v>2.25</v>
      </c>
      <c r="K24" s="1" t="e">
        <f t="shared" si="21"/>
        <v>#N/A</v>
      </c>
      <c r="L24" s="1" t="e">
        <f t="shared" si="22"/>
        <v>#N/A</v>
      </c>
      <c r="BC24">
        <v>0.38397243543875265</v>
      </c>
      <c r="BD24">
        <v>138.15117884345483</v>
      </c>
      <c r="BE24">
        <v>-38.500373081190908</v>
      </c>
      <c r="BF24" s="6">
        <f t="shared" si="0"/>
        <v>6.0113983548251788</v>
      </c>
      <c r="BG24" s="6">
        <f t="shared" si="1"/>
        <v>5.6274259193864262</v>
      </c>
      <c r="BH24" s="6">
        <f t="shared" si="2"/>
        <v>3.0818254440682624</v>
      </c>
      <c r="BI24" s="6">
        <f t="shared" si="3"/>
        <v>3.0818254440682624</v>
      </c>
      <c r="BJ24">
        <v>153.50130982606092</v>
      </c>
      <c r="BK24">
        <v>-42.778192312434342</v>
      </c>
      <c r="BV24" s="38"/>
      <c r="BW24" s="6">
        <f t="shared" si="27"/>
        <v>0.15707963267948966</v>
      </c>
      <c r="BX24" s="9">
        <f t="shared" ca="1" si="28"/>
        <v>12.451948065574641</v>
      </c>
      <c r="BY24" s="9">
        <f t="shared" ca="1" si="29"/>
        <v>2.7648707041502405</v>
      </c>
      <c r="BZ24" s="9">
        <f t="shared" ca="1" si="30"/>
        <v>138.32646581967236</v>
      </c>
      <c r="CA24" s="6">
        <f t="shared" ca="1" si="31"/>
        <v>-39.193301880548994</v>
      </c>
      <c r="CB24" s="6">
        <f t="shared" ca="1" si="32"/>
        <v>-0.27610239465478909</v>
      </c>
      <c r="CC24" s="6">
        <f t="shared" ca="1" si="33"/>
        <v>-4.5648602229171886E-3</v>
      </c>
      <c r="CD24" s="9">
        <f t="shared" si="34"/>
        <v>150.52646581967235</v>
      </c>
      <c r="CE24" s="9">
        <f t="shared" si="35"/>
        <v>-43.393301880548997</v>
      </c>
      <c r="CF24" s="6">
        <f t="shared" si="36"/>
        <v>-0.28066725487770627</v>
      </c>
      <c r="CG24" s="6"/>
      <c r="CH24" s="6"/>
      <c r="CI24" s="6"/>
      <c r="CJ24" s="1"/>
      <c r="CK24" s="6"/>
      <c r="CU24">
        <v>3.0856711704527164</v>
      </c>
      <c r="CV24">
        <v>3.0856696724246033</v>
      </c>
      <c r="CW24">
        <v>3.0856704214386599</v>
      </c>
      <c r="CX24">
        <v>2.079997118986654E-9</v>
      </c>
      <c r="CY24">
        <v>-2.7672489077978923E-8</v>
      </c>
      <c r="CZ24">
        <v>-1.2796239456935865E-8</v>
      </c>
      <c r="DC24">
        <v>-0.78178435028947768</v>
      </c>
      <c r="DD24">
        <v>5.9531159327887595</v>
      </c>
      <c r="DE24">
        <v>5.9026001070538552</v>
      </c>
      <c r="DF24">
        <v>31.193794477154793</v>
      </c>
      <c r="DG24">
        <v>1.7046688419117297</v>
      </c>
      <c r="DH24">
        <v>-3.0925616153400002</v>
      </c>
      <c r="DK24">
        <v>-1.6377580005149148</v>
      </c>
      <c r="DL24">
        <v>-3.0946954203249533</v>
      </c>
      <c r="DM24">
        <v>-1.6377580004149148</v>
      </c>
      <c r="DN24">
        <v>-3.0946954203282777</v>
      </c>
      <c r="DO24">
        <v>-1.6377580006149148</v>
      </c>
      <c r="DP24">
        <v>-3.0946954203216244</v>
      </c>
      <c r="DQ24">
        <v>-3.3266722709868191E-2</v>
      </c>
      <c r="DR24">
        <v>-0.41673811649379272</v>
      </c>
      <c r="DV24" t="s">
        <v>198</v>
      </c>
      <c r="DW24">
        <f ca="1">ATAN2(DW20,DX20)</f>
        <v>-0.20563916507936747</v>
      </c>
    </row>
    <row r="25" spans="1:136" ht="15.75" thickTop="1" x14ac:dyDescent="0.25">
      <c r="C25" s="6">
        <f ca="1">SUM(C15:C24)</f>
        <v>3.16</v>
      </c>
      <c r="D25" s="24">
        <f ca="1">C25/(B5*F27)</f>
        <v>1.196969696969697E-2</v>
      </c>
      <c r="G25" s="1">
        <v>18</v>
      </c>
      <c r="H25" s="6">
        <v>2.2570000000000001</v>
      </c>
      <c r="I25" s="6">
        <v>4</v>
      </c>
      <c r="BC25">
        <v>0.40142572795869597</v>
      </c>
      <c r="BD25">
        <v>138.13946127961839</v>
      </c>
      <c r="BE25">
        <v>-38.472078282426921</v>
      </c>
      <c r="BF25" s="6">
        <f t="shared" si="0"/>
        <v>6.011566493682067</v>
      </c>
      <c r="BG25" s="6">
        <f t="shared" si="1"/>
        <v>5.6101407657233713</v>
      </c>
      <c r="BH25" s="6">
        <f t="shared" si="2"/>
        <v>3.0816573052113743</v>
      </c>
      <c r="BI25" s="6">
        <f t="shared" si="3"/>
        <v>3.0816573052113743</v>
      </c>
      <c r="BJ25">
        <v>153.48829031068709</v>
      </c>
      <c r="BK25">
        <v>-42.74675364714102</v>
      </c>
      <c r="BV25" s="38"/>
      <c r="BW25" s="6">
        <f t="shared" si="27"/>
        <v>0.17453292519943295</v>
      </c>
      <c r="BX25" s="9">
        <f t="shared" ca="1" si="28"/>
        <v>12.435767552801451</v>
      </c>
      <c r="BY25" s="9">
        <f t="shared" ca="1" si="29"/>
        <v>2.8616932763419243</v>
      </c>
      <c r="BZ25" s="9">
        <f t="shared" ca="1" si="30"/>
        <v>138.31028530689917</v>
      </c>
      <c r="CA25" s="6">
        <f t="shared" ca="1" si="31"/>
        <v>-39.09647930835731</v>
      </c>
      <c r="CB25" s="6">
        <f t="shared" ca="1" si="32"/>
        <v>-0.2754849549564089</v>
      </c>
      <c r="CC25" s="6">
        <f t="shared" ca="1" si="33"/>
        <v>-4.6168839085264932E-3</v>
      </c>
      <c r="CD25" s="9">
        <f t="shared" si="34"/>
        <v>150.51028530689916</v>
      </c>
      <c r="CE25" s="9">
        <f t="shared" si="35"/>
        <v>-43.296479308357313</v>
      </c>
      <c r="CF25" s="6">
        <f t="shared" si="36"/>
        <v>-0.28010183886493539</v>
      </c>
      <c r="CG25" s="6"/>
      <c r="CH25" s="6"/>
      <c r="CI25" s="6"/>
      <c r="CJ25" s="1"/>
      <c r="CK25" s="6"/>
      <c r="CU25">
        <v>3.0856711704527164</v>
      </c>
      <c r="CV25">
        <v>3.0856704214386599</v>
      </c>
      <c r="CW25">
        <v>3.0856707959456884</v>
      </c>
      <c r="CX25">
        <v>2.079997118986654E-9</v>
      </c>
      <c r="CY25">
        <v>-1.2796239456935865E-8</v>
      </c>
      <c r="CZ25">
        <v>-5.3579766179367994E-9</v>
      </c>
      <c r="DC25">
        <v>-2.3575646361078499</v>
      </c>
      <c r="DD25">
        <v>5.9026001070538552</v>
      </c>
      <c r="DE25">
        <v>5.9779064317961925</v>
      </c>
      <c r="DF25">
        <v>53.942792878534746</v>
      </c>
      <c r="DG25">
        <v>0.46702797734850726</v>
      </c>
      <c r="DH25">
        <v>-3.1678679400823375</v>
      </c>
      <c r="DK25">
        <v>-0.41673811649379272</v>
      </c>
      <c r="DL25">
        <v>3.1371764362965751</v>
      </c>
      <c r="DM25">
        <v>-0.41673811639379271</v>
      </c>
      <c r="DN25">
        <v>3.1371764362955039</v>
      </c>
      <c r="DO25">
        <v>-0.41673811659379273</v>
      </c>
      <c r="DP25">
        <v>3.1371764362976462</v>
      </c>
      <c r="DQ25">
        <v>-1.071143174158351E-2</v>
      </c>
      <c r="DR25">
        <v>-2.8452985178490069</v>
      </c>
      <c r="DV25" t="s">
        <v>199</v>
      </c>
      <c r="DW25">
        <v>0</v>
      </c>
      <c r="DX25">
        <v>0</v>
      </c>
      <c r="DY25">
        <v>1</v>
      </c>
    </row>
    <row r="26" spans="1:136" x14ac:dyDescent="0.25">
      <c r="E26" s="8" t="s">
        <v>86</v>
      </c>
      <c r="F26" s="20" t="s">
        <v>80</v>
      </c>
      <c r="G26" s="1" t="s">
        <v>81</v>
      </c>
      <c r="H26" s="23">
        <v>4.0000000000000001E-3</v>
      </c>
      <c r="I26" s="6">
        <f>IF(F26="web",(B5*F27)*H26,G12*H26)</f>
        <v>1.056</v>
      </c>
      <c r="BC26">
        <v>0.41887902047863929</v>
      </c>
      <c r="BD26">
        <v>138.12785396250311</v>
      </c>
      <c r="BE26">
        <v>-38.445378097435679</v>
      </c>
      <c r="BF26" s="6">
        <f t="shared" si="0"/>
        <v>6.0117241685136849</v>
      </c>
      <c r="BG26" s="6">
        <f t="shared" si="1"/>
        <v>5.5928451480350452</v>
      </c>
      <c r="BH26" s="6">
        <f t="shared" si="2"/>
        <v>3.0814996303797564</v>
      </c>
      <c r="BI26" s="6">
        <f t="shared" si="3"/>
        <v>3.0814996303797564</v>
      </c>
      <c r="BJ26">
        <v>153.47539329167012</v>
      </c>
      <c r="BK26">
        <v>-42.717086774928532</v>
      </c>
      <c r="BV26" s="38"/>
      <c r="BW26" s="6">
        <f t="shared" si="27"/>
        <v>0.19198621771937624</v>
      </c>
      <c r="BX26" s="9">
        <f t="shared" ca="1" si="28"/>
        <v>12.420298703356167</v>
      </c>
      <c r="BY26" s="9">
        <f t="shared" ca="1" si="29"/>
        <v>2.9452482853106403</v>
      </c>
      <c r="BZ26" s="9">
        <f t="shared" ca="1" si="30"/>
        <v>138.29481645745389</v>
      </c>
      <c r="CA26" s="6">
        <f t="shared" ca="1" si="31"/>
        <v>-39.012924299388594</v>
      </c>
      <c r="CB26" s="6">
        <f t="shared" ca="1" si="32"/>
        <v>-0.27495467795408973</v>
      </c>
      <c r="CC26" s="6">
        <f t="shared" ca="1" si="33"/>
        <v>-4.6616316821052042E-3</v>
      </c>
      <c r="CD26" s="9">
        <f t="shared" si="34"/>
        <v>150.49481645745388</v>
      </c>
      <c r="CE26" s="9">
        <f t="shared" si="35"/>
        <v>-43.212924299388597</v>
      </c>
      <c r="CF26" s="6">
        <f t="shared" si="36"/>
        <v>-0.27961630963619494</v>
      </c>
      <c r="CG26" s="6"/>
      <c r="CH26" s="6"/>
      <c r="CI26" s="6"/>
      <c r="CJ26" s="1"/>
      <c r="CK26" s="6"/>
      <c r="CU26">
        <v>3.0856711704527164</v>
      </c>
      <c r="CV26">
        <v>3.0856707959456884</v>
      </c>
      <c r="CW26">
        <v>3.0856709831992024</v>
      </c>
      <c r="CX26">
        <v>2.079997118986654E-9</v>
      </c>
      <c r="CY26">
        <v>-5.3579766179367994E-9</v>
      </c>
      <c r="CZ26">
        <v>-1.6390008239497433E-9</v>
      </c>
      <c r="DC26">
        <v>1.7046688419117297</v>
      </c>
      <c r="DD26">
        <v>5.9779064317961925</v>
      </c>
      <c r="DE26">
        <v>6.0121132802845718</v>
      </c>
      <c r="DF26">
        <v>-36.181084176277515</v>
      </c>
      <c r="DG26">
        <v>-3.0589553950505008</v>
      </c>
      <c r="DH26">
        <v>-3.2020747885707168</v>
      </c>
      <c r="DK26">
        <v>-2.8452985178490069</v>
      </c>
      <c r="DL26">
        <v>-3.0959681651058695</v>
      </c>
      <c r="DM26">
        <v>-2.8452985177490069</v>
      </c>
      <c r="DN26">
        <v>-3.095968165099876</v>
      </c>
      <c r="DO26">
        <v>-2.8452985179490069</v>
      </c>
      <c r="DP26">
        <v>-3.0959681651023887</v>
      </c>
      <c r="DQ26">
        <v>1.2563283746658271E-2</v>
      </c>
      <c r="DR26">
        <v>-1.4596726395688104</v>
      </c>
      <c r="DW26">
        <f ca="1">(DW25*DW25*(1-COS(DW24)))+COS(DW24)</f>
        <v>0.97893067151958357</v>
      </c>
      <c r="DX26">
        <f ca="1">(DX25*DW25*(1-COS(DW24)))-(DY25*SIN(DW24))</f>
        <v>0.20419289987219741</v>
      </c>
      <c r="DY26">
        <f ca="1">(DY25*DW25*(1-COS(DW24)))+(DX25*SIN(DW24))</f>
        <v>0</v>
      </c>
      <c r="DZ26">
        <v>0</v>
      </c>
    </row>
    <row r="27" spans="1:136" x14ac:dyDescent="0.25">
      <c r="A27" s="8" t="s">
        <v>15</v>
      </c>
      <c r="B27" s="33">
        <v>3.0856710768259594</v>
      </c>
      <c r="C27" t="s">
        <v>16</v>
      </c>
      <c r="E27" s="8" t="s">
        <v>90</v>
      </c>
      <c r="F27" s="3" cm="1">
        <f t="array" ref="F27">B8-MIN(IF(E15:E24&gt;0,E15:E24))</f>
        <v>22</v>
      </c>
      <c r="G27" s="1" t="s">
        <v>82</v>
      </c>
      <c r="H27" s="23">
        <f>F28</f>
        <v>3.5355339059327377E-3</v>
      </c>
      <c r="I27" s="6">
        <f>IF(F26="web",(B5*F27)*H27,G12*H27)</f>
        <v>0.93338095116624276</v>
      </c>
      <c r="BC27">
        <v>0.43633231299858261</v>
      </c>
      <c r="BD27">
        <v>138.1163385654915</v>
      </c>
      <c r="BE27">
        <v>-38.420105430841907</v>
      </c>
      <c r="BF27" s="6">
        <f t="shared" si="0"/>
        <v>6.0118724621983111</v>
      </c>
      <c r="BG27" s="6">
        <f t="shared" si="1"/>
        <v>5.5755401491997283</v>
      </c>
      <c r="BH27" s="6">
        <f t="shared" si="2"/>
        <v>3.0813513366951302</v>
      </c>
      <c r="BI27" s="6">
        <f t="shared" si="3"/>
        <v>3.0813513366951302</v>
      </c>
      <c r="BJ27">
        <v>153.46259840610168</v>
      </c>
      <c r="BK27">
        <v>-42.689006034268786</v>
      </c>
      <c r="BV27" s="38"/>
      <c r="BW27" s="6">
        <f t="shared" si="27"/>
        <v>0.20943951023931953</v>
      </c>
      <c r="BX27" s="9">
        <f t="shared" ca="1" si="28"/>
        <v>12.405434671128603</v>
      </c>
      <c r="BY27" s="9">
        <f t="shared" ca="1" si="29"/>
        <v>3.0183745259110779</v>
      </c>
      <c r="BZ27" s="9">
        <f t="shared" ca="1" si="30"/>
        <v>138.27995242522633</v>
      </c>
      <c r="CA27" s="6">
        <f t="shared" ca="1" si="31"/>
        <v>-38.939798058788156</v>
      </c>
      <c r="CB27" s="6">
        <f t="shared" ca="1" si="32"/>
        <v>-0.27449286063047812</v>
      </c>
      <c r="CC27" s="6">
        <f t="shared" ca="1" si="33"/>
        <v>-4.7006613036735248E-3</v>
      </c>
      <c r="CD27" s="9">
        <f t="shared" si="34"/>
        <v>150.47995242522632</v>
      </c>
      <c r="CE27" s="9">
        <f t="shared" si="35"/>
        <v>-43.139798058788159</v>
      </c>
      <c r="CF27" s="6">
        <f t="shared" si="36"/>
        <v>-0.27919352193415164</v>
      </c>
      <c r="CG27" s="6"/>
      <c r="CH27" s="6"/>
      <c r="CI27" s="6"/>
      <c r="CJ27" s="1"/>
      <c r="CK27" s="6"/>
      <c r="CU27">
        <v>3.0856711704527164</v>
      </c>
      <c r="CV27">
        <v>3.0856709831992024</v>
      </c>
      <c r="CW27">
        <v>3.0856710768259594</v>
      </c>
      <c r="CX27">
        <v>2.079997118986654E-9</v>
      </c>
      <c r="CY27">
        <v>-1.6390008239497433E-9</v>
      </c>
      <c r="CZ27">
        <v>2.2030438584508261E-10</v>
      </c>
      <c r="DC27">
        <v>0.46702797734850726</v>
      </c>
      <c r="DD27">
        <v>6.0121132802845718</v>
      </c>
      <c r="DE27">
        <v>5.9144949522073951</v>
      </c>
      <c r="DF27">
        <v>36.120095906696712</v>
      </c>
      <c r="DG27">
        <v>-2.0948849570088255</v>
      </c>
      <c r="DH27">
        <v>-3.1044564604935401</v>
      </c>
      <c r="DK27">
        <v>-1.4596726395688104</v>
      </c>
      <c r="DL27">
        <v>-3.1365410382605488</v>
      </c>
      <c r="DM27">
        <v>-1.4596726394688104</v>
      </c>
      <c r="DN27">
        <v>-3.1365410382641903</v>
      </c>
      <c r="DO27">
        <v>-1.4596726396688104</v>
      </c>
      <c r="DP27">
        <v>-3.1365410382569099</v>
      </c>
      <c r="DQ27">
        <v>-3.6401992531409633E-2</v>
      </c>
      <c r="DR27">
        <v>0.34092842474632679</v>
      </c>
      <c r="DW27">
        <f ca="1">(DW25*DX25*(1-COS(DW24)))+(DY25*SIN(DW24))</f>
        <v>-0.20419289987219741</v>
      </c>
      <c r="DX27">
        <f ca="1">(DX25*DX25*(1-COS(DW24)))+COS(DW24)</f>
        <v>0.97893067151958357</v>
      </c>
      <c r="DY27">
        <f ca="1">(DY25*DX25*(1-COS(DW24)))-(DW25*SIN(DW24))</f>
        <v>0</v>
      </c>
      <c r="DZ27">
        <v>0</v>
      </c>
    </row>
    <row r="28" spans="1:136" x14ac:dyDescent="0.25">
      <c r="A28" s="8" t="s">
        <v>17</v>
      </c>
      <c r="B28" s="33">
        <v>0.70945072804916642</v>
      </c>
      <c r="C28" t="s">
        <v>4</v>
      </c>
      <c r="E28" s="8" t="s">
        <v>87</v>
      </c>
      <c r="F28" s="22">
        <f>MAX(200/(B12*1000),(3*SQRT(B2*1000))/(B12*1000))</f>
        <v>3.5355339059327377E-3</v>
      </c>
      <c r="G28" s="1" t="s">
        <v>83</v>
      </c>
      <c r="H28" s="21" t="s">
        <v>85</v>
      </c>
      <c r="I28" s="7">
        <v>1.056</v>
      </c>
      <c r="BC28">
        <v>0.45378560551852593</v>
      </c>
      <c r="BD28">
        <v>138.10489791096546</v>
      </c>
      <c r="BE28">
        <v>-38.396115791370995</v>
      </c>
      <c r="BF28" s="6">
        <f t="shared" si="0"/>
        <v>6.0120123088339188</v>
      </c>
      <c r="BG28" s="6">
        <f t="shared" si="1"/>
        <v>5.5582267033153929</v>
      </c>
      <c r="BH28" s="6">
        <f t="shared" si="2"/>
        <v>3.0812114900595224</v>
      </c>
      <c r="BI28" s="6">
        <f t="shared" si="3"/>
        <v>3.0812114900595224</v>
      </c>
      <c r="BJ28">
        <v>153.44988656773941</v>
      </c>
      <c r="BK28">
        <v>-42.662350879301108</v>
      </c>
      <c r="BV28" s="38"/>
      <c r="BW28" s="6">
        <f t="shared" si="27"/>
        <v>0.22689280275926282</v>
      </c>
      <c r="BX28" s="9">
        <f t="shared" ca="1" si="28"/>
        <v>12.391089786454131</v>
      </c>
      <c r="BY28" s="9">
        <f t="shared" ca="1" si="29"/>
        <v>3.0831301930558723</v>
      </c>
      <c r="BZ28" s="9">
        <f t="shared" ca="1" si="30"/>
        <v>138.26560754055185</v>
      </c>
      <c r="CA28" s="6">
        <f t="shared" ca="1" si="31"/>
        <v>-38.875042391643362</v>
      </c>
      <c r="CB28" s="6">
        <f t="shared" ca="1" si="32"/>
        <v>-0.27408595116501394</v>
      </c>
      <c r="CC28" s="6">
        <f t="shared" ca="1" si="33"/>
        <v>-4.735102203807128E-3</v>
      </c>
      <c r="CD28" s="9">
        <f t="shared" si="34"/>
        <v>150.46560754055184</v>
      </c>
      <c r="CE28" s="9">
        <f t="shared" si="35"/>
        <v>-43.075042391643365</v>
      </c>
      <c r="CF28" s="6">
        <f t="shared" si="36"/>
        <v>-0.27882105336882107</v>
      </c>
      <c r="CG28" s="6"/>
      <c r="CH28" s="6"/>
      <c r="CI28" s="6"/>
      <c r="CJ28" s="1"/>
      <c r="CK28" s="6"/>
      <c r="DC28">
        <v>-3.0589553950505008</v>
      </c>
      <c r="DD28">
        <v>5.9144949522073951</v>
      </c>
      <c r="DE28">
        <v>5.9019854927218773</v>
      </c>
      <c r="DF28">
        <v>-77.067313672328083</v>
      </c>
      <c r="DG28">
        <v>-2.5678772449337495</v>
      </c>
      <c r="DH28">
        <v>-3.0919470010080223</v>
      </c>
      <c r="DK28">
        <v>0.34092842474632679</v>
      </c>
      <c r="DL28">
        <v>3.0822934051175679</v>
      </c>
      <c r="DM28">
        <v>0.34092842484632679</v>
      </c>
      <c r="DN28">
        <v>3.0822934051189703</v>
      </c>
      <c r="DO28">
        <v>0.34092842464632678</v>
      </c>
      <c r="DP28">
        <v>3.0822934051161646</v>
      </c>
      <c r="DQ28">
        <v>1.4028778139163478E-2</v>
      </c>
      <c r="DR28">
        <v>0.54023578518006032</v>
      </c>
      <c r="DW28">
        <f ca="1">(DW25*DY25*(1-COS(DW24)))-(DX25*SIN(DW24))</f>
        <v>0</v>
      </c>
      <c r="DX28">
        <f ca="1">(DX25*DY25*(1-COS(DW24)))+(DW25*SIN(DW24))</f>
        <v>0</v>
      </c>
      <c r="DY28">
        <f ca="1">(DY25*DY25*(1-COS(DW24)))+COS(DW24)</f>
        <v>1</v>
      </c>
      <c r="DZ28">
        <v>0</v>
      </c>
    </row>
    <row r="29" spans="1:136" x14ac:dyDescent="0.25">
      <c r="A29" s="8" t="s">
        <v>18</v>
      </c>
      <c r="B29" s="6">
        <f>B28*B4</f>
        <v>0.56756058243933305</v>
      </c>
      <c r="C29" t="s">
        <v>4</v>
      </c>
      <c r="G29" s="1" t="s">
        <v>84</v>
      </c>
      <c r="H29" s="21" t="s">
        <v>85</v>
      </c>
      <c r="I29" s="7">
        <v>5</v>
      </c>
      <c r="BC29">
        <v>0.47123889803846924</v>
      </c>
      <c r="BD29">
        <v>138.09351577357137</v>
      </c>
      <c r="BE29">
        <v>-38.373283473459523</v>
      </c>
      <c r="BF29" s="6">
        <f t="shared" si="0"/>
        <v>6.0121445188449618</v>
      </c>
      <c r="BG29" s="6">
        <f t="shared" si="1"/>
        <v>5.5409056208064928</v>
      </c>
      <c r="BH29" s="6">
        <f t="shared" si="2"/>
        <v>3.0810792800484794</v>
      </c>
      <c r="BI29" s="6">
        <f t="shared" si="3"/>
        <v>3.0810792800484794</v>
      </c>
      <c r="BJ29">
        <v>153.43723974841262</v>
      </c>
      <c r="BK29">
        <v>-42.63698163717725</v>
      </c>
      <c r="BV29" s="38"/>
      <c r="BW29" s="6">
        <f t="shared" si="27"/>
        <v>0.24434609527920612</v>
      </c>
      <c r="BX29" s="9">
        <f t="shared" ca="1" si="28"/>
        <v>12.377193920825562</v>
      </c>
      <c r="BY29" s="9">
        <f t="shared" ca="1" si="29"/>
        <v>3.1410487892050298</v>
      </c>
      <c r="BZ29" s="9">
        <f t="shared" ca="1" si="30"/>
        <v>138.25171167492329</v>
      </c>
      <c r="CA29" s="6">
        <f t="shared" ca="1" si="31"/>
        <v>-38.817123795494204</v>
      </c>
      <c r="CB29" s="6">
        <f t="shared" ca="1" si="32"/>
        <v>-0.27372385964668849</v>
      </c>
      <c r="CC29" s="6">
        <f t="shared" ca="1" si="33"/>
        <v>-4.7657957878690094E-3</v>
      </c>
      <c r="CD29" s="9">
        <f t="shared" si="34"/>
        <v>150.45171167492327</v>
      </c>
      <c r="CE29" s="9">
        <f t="shared" si="35"/>
        <v>-43.017123795494207</v>
      </c>
      <c r="CF29" s="6">
        <f t="shared" si="36"/>
        <v>-0.2784896554345575</v>
      </c>
      <c r="CG29" s="6"/>
      <c r="CH29" s="6"/>
      <c r="CI29" s="6"/>
      <c r="CJ29" s="1"/>
      <c r="CK29" s="6"/>
      <c r="DC29">
        <v>-2.0948849570088255</v>
      </c>
      <c r="DD29">
        <v>5.9019854927218773</v>
      </c>
      <c r="DE29">
        <v>5.9034882253173553</v>
      </c>
      <c r="DF29">
        <v>-314.75479359951362</v>
      </c>
      <c r="DG29">
        <v>-2.7834674469295799</v>
      </c>
      <c r="DH29">
        <v>-3.0934497336035003</v>
      </c>
      <c r="DK29">
        <v>0.54023578518006032</v>
      </c>
      <c r="DL29">
        <v>3.0806188382807038</v>
      </c>
      <c r="DM29">
        <v>0.54023578528006033</v>
      </c>
      <c r="DN29">
        <v>3.0806188382795856</v>
      </c>
      <c r="DO29">
        <v>0.54023578508006032</v>
      </c>
      <c r="DP29">
        <v>3.0806188382818211</v>
      </c>
      <c r="DQ29">
        <v>-1.1177725411926076E-2</v>
      </c>
      <c r="DR29">
        <v>-0.31654363156586041</v>
      </c>
      <c r="DW29">
        <v>0</v>
      </c>
      <c r="DX29">
        <v>0</v>
      </c>
      <c r="DY29">
        <v>0</v>
      </c>
      <c r="DZ29">
        <v>1</v>
      </c>
      <c r="EF29" t="s">
        <v>206</v>
      </c>
    </row>
    <row r="30" spans="1:136" x14ac:dyDescent="0.25">
      <c r="A30" s="8" t="s">
        <v>102</v>
      </c>
      <c r="B30" s="1">
        <v>3.0000000000000001E-3</v>
      </c>
      <c r="BC30">
        <v>0.48869219055841256</v>
      </c>
      <c r="BD30">
        <v>138.0821767089495</v>
      </c>
      <c r="BE30">
        <v>-38.351498496661783</v>
      </c>
      <c r="BF30" s="6">
        <f t="shared" si="0"/>
        <v>6.0122697990850718</v>
      </c>
      <c r="BG30" s="6">
        <f t="shared" si="1"/>
        <v>5.5235776085266588</v>
      </c>
      <c r="BH30" s="6">
        <f t="shared" si="2"/>
        <v>3.0809539998083695</v>
      </c>
      <c r="BI30" s="6">
        <f t="shared" si="3"/>
        <v>3.0809539998083695</v>
      </c>
      <c r="BJ30">
        <v>153.42464078772167</v>
      </c>
      <c r="BK30">
        <v>-42.612776107401977</v>
      </c>
      <c r="BV30" s="38"/>
      <c r="BW30" s="6">
        <f t="shared" si="27"/>
        <v>0.26179938779914941</v>
      </c>
      <c r="BX30" s="9">
        <f t="shared" ca="1" si="28"/>
        <v>12.363688640277275</v>
      </c>
      <c r="BY30" s="9">
        <f t="shared" ca="1" si="29"/>
        <v>3.1932994523015736</v>
      </c>
      <c r="BZ30" s="9">
        <f t="shared" ca="1" si="30"/>
        <v>138.238206394375</v>
      </c>
      <c r="CA30" s="6">
        <f t="shared" ca="1" si="31"/>
        <v>-38.764873132397661</v>
      </c>
      <c r="CB30" s="6">
        <f t="shared" ca="1" si="32"/>
        <v>-0.27339889970562653</v>
      </c>
      <c r="CC30" s="6">
        <f t="shared" ca="1" si="33"/>
        <v>-4.7933833880602914E-3</v>
      </c>
      <c r="CD30" s="9">
        <f t="shared" si="34"/>
        <v>150.43820639437499</v>
      </c>
      <c r="CE30" s="9">
        <f t="shared" si="35"/>
        <v>-42.964873132397663</v>
      </c>
      <c r="CF30" s="6">
        <f t="shared" si="36"/>
        <v>-0.27819228309368682</v>
      </c>
      <c r="CG30" s="6"/>
      <c r="CH30" s="6"/>
      <c r="CI30" s="6"/>
      <c r="CJ30" s="1"/>
      <c r="CK30" s="6"/>
      <c r="DC30">
        <v>-2.5678772449337495</v>
      </c>
      <c r="DD30">
        <v>5.9034882253173553</v>
      </c>
      <c r="DE30">
        <v>5.9051852627407699</v>
      </c>
      <c r="DF30">
        <v>-127.03915601462478</v>
      </c>
      <c r="DG30">
        <v>0.86387704058640125</v>
      </c>
      <c r="DH30">
        <v>-3.0951467710269149</v>
      </c>
      <c r="DK30">
        <v>-0.31654363156586041</v>
      </c>
      <c r="DL30">
        <v>3.135855862849616</v>
      </c>
      <c r="DM30">
        <v>-0.3165436314658604</v>
      </c>
      <c r="DN30">
        <v>3.1358558628480413</v>
      </c>
      <c r="DO30">
        <v>-0.31654363166586041</v>
      </c>
      <c r="DP30">
        <v>3.1358558628511846</v>
      </c>
      <c r="DQ30">
        <v>-1.5716317136593716E-2</v>
      </c>
      <c r="DR30">
        <v>-1.8498029976630697</v>
      </c>
      <c r="DV30" t="s">
        <v>193</v>
      </c>
      <c r="DW30">
        <f t="array" aca="1" ref="DW30:DZ30" ca="1">MMULT(DW20:DZ20,DW26:DZ29)</f>
        <v>1104.0112762248657</v>
      </c>
      <c r="DX30">
        <f ca="1"/>
        <v>-2.8421709430404007E-14</v>
      </c>
      <c r="DY30">
        <f ca="1"/>
        <v>0</v>
      </c>
      <c r="DZ30" s="9">
        <f ca="1"/>
        <v>0</v>
      </c>
      <c r="EB30">
        <f t="array" aca="1" ref="EB30:EE30" ca="1">MMULT(EB20:EE20,DW26:DZ29)</f>
        <v>40.596524881754249</v>
      </c>
      <c r="EC30">
        <f ca="1"/>
        <v>-142.51809628087625</v>
      </c>
      <c r="ED30">
        <f ca="1"/>
        <v>0.12649110640673911</v>
      </c>
      <c r="EE30" s="9">
        <f ca="1"/>
        <v>0</v>
      </c>
      <c r="EF30">
        <f ca="1">ATAN2(EC30,ED30)</f>
        <v>3.1407051096462952</v>
      </c>
    </row>
    <row r="31" spans="1:136" x14ac:dyDescent="0.25">
      <c r="A31" s="8" t="s">
        <v>49</v>
      </c>
      <c r="B31" s="1">
        <f>B2*0.85</f>
        <v>4.25</v>
      </c>
      <c r="C31" t="s">
        <v>1</v>
      </c>
      <c r="BC31">
        <v>0.50614548307835583</v>
      </c>
      <c r="BD31">
        <v>138.07086590638659</v>
      </c>
      <c r="BE31">
        <v>-38.33066412995975</v>
      </c>
      <c r="BF31" s="6">
        <f t="shared" si="0"/>
        <v>6.01238876908464</v>
      </c>
      <c r="BG31" s="6">
        <f t="shared" si="1"/>
        <v>5.506243286006284</v>
      </c>
      <c r="BH31" s="6">
        <f t="shared" si="2"/>
        <v>3.0808350298088012</v>
      </c>
      <c r="BI31" s="6">
        <f t="shared" si="3"/>
        <v>3.0808350298088012</v>
      </c>
      <c r="BJ31">
        <v>153.41207322931842</v>
      </c>
      <c r="BK31">
        <v>-42.589626811066388</v>
      </c>
      <c r="BV31" s="38"/>
      <c r="BW31" s="6">
        <f t="shared" si="27"/>
        <v>0.27925268031909273</v>
      </c>
      <c r="BX31" s="9">
        <f t="shared" ca="1" si="28"/>
        <v>12.350524493931005</v>
      </c>
      <c r="BY31" s="9">
        <f t="shared" ca="1" si="29"/>
        <v>3.2407912147551983</v>
      </c>
      <c r="BZ31" s="9">
        <f t="shared" ca="1" si="30"/>
        <v>138.22504224802873</v>
      </c>
      <c r="CA31" s="6">
        <f t="shared" ca="1" si="31"/>
        <v>-38.717381369944036</v>
      </c>
      <c r="CB31" s="6">
        <f t="shared" ca="1" si="32"/>
        <v>-0.27310510031492219</v>
      </c>
      <c r="CC31" s="6">
        <f t="shared" ca="1" si="33"/>
        <v>-4.8183634827001507E-3</v>
      </c>
      <c r="CD31" s="9">
        <f t="shared" si="34"/>
        <v>150.42504224802872</v>
      </c>
      <c r="CE31" s="9">
        <f t="shared" si="35"/>
        <v>-42.917381369944039</v>
      </c>
      <c r="CF31" s="6">
        <f t="shared" si="36"/>
        <v>-0.27792346379762234</v>
      </c>
      <c r="CG31" s="6"/>
      <c r="CH31" s="6"/>
      <c r="CI31" s="6"/>
      <c r="CJ31" s="1"/>
      <c r="CK31" s="6"/>
      <c r="DC31">
        <v>-2.7834674469295799</v>
      </c>
      <c r="DD31">
        <v>5.9051852627407699</v>
      </c>
      <c r="DE31">
        <v>6.0140054971477408</v>
      </c>
      <c r="DF31">
        <v>33.517153380459341</v>
      </c>
      <c r="DG31">
        <v>0.29017371558081773</v>
      </c>
      <c r="DH31">
        <v>-3.2039670054338858</v>
      </c>
      <c r="DK31">
        <v>-1.8498029976630697</v>
      </c>
      <c r="DL31">
        <v>-3.0919288911257281</v>
      </c>
      <c r="DM31">
        <v>-1.8498029975630697</v>
      </c>
      <c r="DN31">
        <v>-3.0919288911208724</v>
      </c>
      <c r="DO31">
        <v>-1.8498029977630697</v>
      </c>
      <c r="DP31">
        <v>-3.0919288911165008</v>
      </c>
      <c r="DQ31">
        <v>-2.1858070908820082E-2</v>
      </c>
      <c r="DR31">
        <v>1.2086662806947701</v>
      </c>
      <c r="DV31" t="s">
        <v>194</v>
      </c>
      <c r="DW31">
        <f t="array" aca="1" ref="DW31:DY31" ca="1">MMULT(DW21:DY21,DW26:DY28)</f>
        <v>0</v>
      </c>
      <c r="DX31">
        <f ca="1"/>
        <v>0</v>
      </c>
      <c r="DY31">
        <f ca="1"/>
        <v>0</v>
      </c>
      <c r="DZ31" s="9">
        <f ca="1">SQRT(POWER(DW31,2)+POWER(DX31,2)+POWER(DY31,2))</f>
        <v>0</v>
      </c>
      <c r="EB31">
        <f t="array" aca="1" ref="EB31:EE31" ca="1">MMULT(EB21:EE21,DW26:DZ29)</f>
        <v>12.585452414730481</v>
      </c>
      <c r="EC31">
        <f ca="1"/>
        <v>-8.2289119052121151</v>
      </c>
      <c r="ED31">
        <f ca="1"/>
        <v>-1.2184058862348199</v>
      </c>
      <c r="EE31" s="9">
        <f ca="1"/>
        <v>0</v>
      </c>
      <c r="EF31">
        <f ca="1">ATAN2(EC31,ED31)</f>
        <v>-2.9945966075740573</v>
      </c>
    </row>
    <row r="32" spans="1:136" x14ac:dyDescent="0.25">
      <c r="J32" t="s">
        <v>88</v>
      </c>
      <c r="N32" t="s">
        <v>89</v>
      </c>
      <c r="BC32">
        <v>0.52359877559829915</v>
      </c>
      <c r="BD32">
        <v>138.05956905268897</v>
      </c>
      <c r="BE32">
        <v>-38.310694876037623</v>
      </c>
      <c r="BF32" s="6">
        <f t="shared" si="0"/>
        <v>6.0125019742518653</v>
      </c>
      <c r="BG32" s="6">
        <f t="shared" si="1"/>
        <v>5.4889031986535661</v>
      </c>
      <c r="BH32" s="6">
        <f t="shared" si="2"/>
        <v>3.080721824641576</v>
      </c>
      <c r="BI32" s="6">
        <f t="shared" si="3"/>
        <v>3.080721824641576</v>
      </c>
      <c r="BJ32">
        <v>153.39952116965441</v>
      </c>
      <c r="BK32">
        <v>-42.567438751152913</v>
      </c>
      <c r="BV32" s="38"/>
      <c r="BW32" s="6">
        <f t="shared" si="27"/>
        <v>0.29670597283903605</v>
      </c>
      <c r="BX32" s="9">
        <f t="shared" ca="1" si="28"/>
        <v>12.337659038764372</v>
      </c>
      <c r="BY32" s="9">
        <f t="shared" ca="1" si="29"/>
        <v>3.2842429793384014</v>
      </c>
      <c r="BZ32" s="9">
        <f t="shared" ca="1" si="30"/>
        <v>138.2121767928621</v>
      </c>
      <c r="CA32" s="6">
        <f t="shared" ca="1" si="31"/>
        <v>-38.673929605360833</v>
      </c>
      <c r="CB32" s="6">
        <f t="shared" ca="1" si="32"/>
        <v>-0.2728377439720629</v>
      </c>
      <c r="CC32" s="6">
        <f t="shared" ca="1" si="33"/>
        <v>-4.8411301117167746E-3</v>
      </c>
      <c r="CD32" s="9">
        <f t="shared" si="34"/>
        <v>150.41217679286208</v>
      </c>
      <c r="CE32" s="9">
        <f t="shared" si="35"/>
        <v>-42.873929605360836</v>
      </c>
      <c r="CF32" s="6">
        <f t="shared" si="36"/>
        <v>-0.27767887408377967</v>
      </c>
      <c r="CG32" s="6"/>
      <c r="CH32" s="6"/>
      <c r="CI32" s="6"/>
      <c r="CJ32" s="1"/>
      <c r="CK32" s="6"/>
      <c r="DC32">
        <v>0.86387704058640125</v>
      </c>
      <c r="DD32">
        <v>6.0140054971477408</v>
      </c>
      <c r="DE32">
        <v>6.0102503384253385</v>
      </c>
      <c r="DF32">
        <v>152.77738370498722</v>
      </c>
      <c r="DG32">
        <v>1.4586344333025401</v>
      </c>
      <c r="DH32">
        <v>-3.2002118467114835</v>
      </c>
      <c r="DK32">
        <v>1.2086662806947701</v>
      </c>
      <c r="DL32">
        <v>3.0784250798920407</v>
      </c>
      <c r="DM32">
        <v>1.2086662807947701</v>
      </c>
      <c r="DN32">
        <v>3.078425079890601</v>
      </c>
      <c r="DO32">
        <v>1.2086662805947701</v>
      </c>
      <c r="DP32">
        <v>3.0784250798934822</v>
      </c>
      <c r="DQ32">
        <v>-1.4406253967536031E-2</v>
      </c>
      <c r="DR32">
        <v>1.2670804279850132</v>
      </c>
      <c r="EB32">
        <f t="array" aca="1" ref="EB32:EE32" ca="1">MMULT(EB22:EE22,DW26:DZ29)</f>
        <v>39.95081023515597</v>
      </c>
      <c r="EC32">
        <f ca="1"/>
        <v>-139.42244568767805</v>
      </c>
      <c r="ED32">
        <f ca="1"/>
        <v>6.4510464267434884</v>
      </c>
      <c r="EE32" s="9">
        <f ca="1"/>
        <v>0</v>
      </c>
      <c r="EF32">
        <f ca="1">ATAN2(COS(EF30-EF31),SIN(EF30-EF31))</f>
        <v>-0.14788358995923392</v>
      </c>
    </row>
    <row r="33" spans="1:139" x14ac:dyDescent="0.25">
      <c r="A33" t="s">
        <v>19</v>
      </c>
      <c r="J33">
        <f>(J38*COS(-1*$B$27))+(K38*SIN(-1*$B$27))+$I$2</f>
        <v>13.00060215342128</v>
      </c>
      <c r="K33">
        <f>(-1*J38*SIN(-1*$B$27))+(K38*COS(-1*$B$27))+$I$3</f>
        <v>-1.7211485012508021E-2</v>
      </c>
      <c r="N33" t="e">
        <f>IF(B1="PCA_Parabolic",NA(),(N38*COS(-1*$B$27))+(O38*SIN(-1*$B$27))+$I$2)</f>
        <v>#N/A</v>
      </c>
      <c r="O33">
        <f>(-1*N38*SIN(-1*$B$27))+(O38*COS(-1*$B$27))+$I$3</f>
        <v>-0.15887982738820838</v>
      </c>
      <c r="BC33">
        <v>0.54105206811824247</v>
      </c>
      <c r="BD33">
        <v>138.04827222100994</v>
      </c>
      <c r="BE33">
        <v>-38.291514811919939</v>
      </c>
      <c r="BF33" s="6">
        <f t="shared" si="0"/>
        <v>6.01260989674374</v>
      </c>
      <c r="BG33" s="6">
        <f t="shared" si="1"/>
        <v>5.4715578286254978</v>
      </c>
      <c r="BH33" s="6">
        <f t="shared" si="2"/>
        <v>3.0806139021497012</v>
      </c>
      <c r="BI33" s="6">
        <f t="shared" si="3"/>
        <v>3.0806139021497012</v>
      </c>
      <c r="BJ33">
        <v>153.38696913445548</v>
      </c>
      <c r="BK33">
        <v>-42.546127568799932</v>
      </c>
      <c r="BV33" s="38"/>
      <c r="BW33" s="6">
        <f t="shared" si="27"/>
        <v>0.31415926535897937</v>
      </c>
      <c r="BX33" s="9">
        <f t="shared" ca="1" si="28"/>
        <v>12.325055397154927</v>
      </c>
      <c r="BY33" s="9">
        <f t="shared" ca="1" si="29"/>
        <v>3.3242317929329772</v>
      </c>
      <c r="BZ33" s="9">
        <f t="shared" ca="1" si="30"/>
        <v>138.19957315125265</v>
      </c>
      <c r="CA33" s="6">
        <f t="shared" ca="1" si="31"/>
        <v>-38.633940791766257</v>
      </c>
      <c r="CB33" s="6">
        <f t="shared" ca="1" si="32"/>
        <v>-0.27259304812660889</v>
      </c>
      <c r="CC33" s="6">
        <f t="shared" ca="1" si="33"/>
        <v>-4.861999387307415E-3</v>
      </c>
      <c r="CD33" s="9">
        <f t="shared" si="34"/>
        <v>150.39957315125264</v>
      </c>
      <c r="CE33" s="9">
        <f t="shared" si="35"/>
        <v>-42.83394079176626</v>
      </c>
      <c r="CF33" s="6">
        <f t="shared" si="36"/>
        <v>-0.27745504751391631</v>
      </c>
      <c r="CG33" s="6"/>
      <c r="CH33" s="6"/>
      <c r="CI33" s="6"/>
      <c r="CJ33" s="1"/>
      <c r="CK33" s="6"/>
      <c r="DC33">
        <v>0.29017371558081773</v>
      </c>
      <c r="DD33">
        <v>6.0102503384253385</v>
      </c>
      <c r="DE33">
        <v>6.0143325784473731</v>
      </c>
      <c r="DF33">
        <v>286.2302832304689</v>
      </c>
      <c r="DG33">
        <v>1.637685282070571</v>
      </c>
      <c r="DH33">
        <v>-3.2042940867335181</v>
      </c>
      <c r="DK33">
        <v>1.2670804279850132</v>
      </c>
      <c r="DL33">
        <v>3.07836896506661</v>
      </c>
      <c r="DM33">
        <v>1.2670804280850132</v>
      </c>
      <c r="DN33">
        <v>3.0783689650634658</v>
      </c>
      <c r="DO33">
        <v>1.2670804278850132</v>
      </c>
      <c r="DP33">
        <v>3.078368965069763</v>
      </c>
      <c r="DQ33">
        <v>-3.1485924978369439E-2</v>
      </c>
      <c r="DR33">
        <v>-1.4941995504787582</v>
      </c>
    </row>
    <row r="34" spans="1:139" x14ac:dyDescent="0.25">
      <c r="J34">
        <f>(J39*COS(-1*$B$27))+(K39*SIN(-1*$B$27))+$I$2</f>
        <v>-2.2981053917303562</v>
      </c>
      <c r="K34">
        <f>(-1*J39*SIN(-1*$B$27))+(K39*COS(-1*$B$27))+$I$3</f>
        <v>0.83920928904502823</v>
      </c>
      <c r="N34" t="e">
        <f>IF(B1="PCA_Parabolic",NA(),(N39*COS(-1*$B$27))+(O39*SIN(-1*$B$27))+$I$2)</f>
        <v>#N/A</v>
      </c>
      <c r="O34">
        <f>(-1*N39*SIN(-1*$B$27))+(O39*COS(-1*$B$27))+$I$3</f>
        <v>0.69754094666932787</v>
      </c>
      <c r="BC34">
        <v>0.55850536063818579</v>
      </c>
      <c r="BD34">
        <v>138.03696176599144</v>
      </c>
      <c r="BE34">
        <v>-38.27305621802136</v>
      </c>
      <c r="BF34" s="6">
        <f t="shared" ref="BF34:BF65" si="41">IF(BC34&lt;&gt;"",IF(AND(BD34=0,BE34=0),0,MOD(ATAN2(BD34,BE34),2*PI())),NA())</f>
        <v>6.0127129644247672</v>
      </c>
      <c r="BG34" s="6">
        <f t="shared" ref="BG34:BG65" si="42">ABS(BC34-BF34)</f>
        <v>5.4542076037865819</v>
      </c>
      <c r="BH34" s="6">
        <f t="shared" si="2"/>
        <v>3.080510834468674</v>
      </c>
      <c r="BI34" s="6">
        <f t="shared" si="3"/>
        <v>3.080510834468674</v>
      </c>
      <c r="BJ34">
        <v>153.37440196221272</v>
      </c>
      <c r="BK34">
        <v>-42.525618020023735</v>
      </c>
      <c r="BV34" s="38"/>
      <c r="BW34" s="6">
        <f t="shared" si="27"/>
        <v>0.33161255787892269</v>
      </c>
      <c r="BX34" s="9">
        <f t="shared" ca="1" si="28"/>
        <v>12.312681152373699</v>
      </c>
      <c r="BY34" s="9">
        <f t="shared" ca="1" si="29"/>
        <v>3.361226940123089</v>
      </c>
      <c r="BZ34" s="9">
        <f t="shared" ca="1" si="30"/>
        <v>138.18719890647142</v>
      </c>
      <c r="CA34" s="6">
        <f t="shared" ca="1" si="31"/>
        <v>-38.596945644576145</v>
      </c>
      <c r="CB34" s="6">
        <f t="shared" ca="1" si="32"/>
        <v>-0.27236794026439498</v>
      </c>
      <c r="CC34" s="6">
        <f t="shared" ca="1" si="33"/>
        <v>-4.881228218768574E-3</v>
      </c>
      <c r="CD34" s="9">
        <f t="shared" si="34"/>
        <v>150.38719890647141</v>
      </c>
      <c r="CE34" s="9">
        <f t="shared" si="35"/>
        <v>-42.796945644576148</v>
      </c>
      <c r="CF34" s="6">
        <f t="shared" si="36"/>
        <v>-0.27724916848316355</v>
      </c>
      <c r="CG34" s="6"/>
      <c r="CH34" s="6"/>
      <c r="CI34" s="6"/>
      <c r="CJ34" s="1"/>
      <c r="CK34" s="6"/>
      <c r="DC34">
        <v>1.4586344333025401</v>
      </c>
      <c r="DD34">
        <v>6.0143325784473731</v>
      </c>
      <c r="DE34">
        <v>5.9805156181062866</v>
      </c>
      <c r="DF34">
        <v>-5.2947055844782707</v>
      </c>
      <c r="DG34">
        <v>-0.42512769289756208</v>
      </c>
      <c r="DH34">
        <v>-3.1704771263924316</v>
      </c>
      <c r="DK34">
        <v>-1.4941995504787582</v>
      </c>
      <c r="DL34">
        <v>-3.135224238043957</v>
      </c>
      <c r="DM34">
        <v>-1.4941995503787582</v>
      </c>
      <c r="DN34">
        <v>-3.1352242380481874</v>
      </c>
      <c r="DO34">
        <v>-1.4941995505787582</v>
      </c>
      <c r="DP34">
        <v>-3.1352242380397266</v>
      </c>
      <c r="DQ34">
        <v>-4.2303938130316965E-2</v>
      </c>
      <c r="DR34">
        <v>-0.20785236116243472</v>
      </c>
      <c r="EB34" t="s">
        <v>207</v>
      </c>
    </row>
    <row r="35" spans="1:139" x14ac:dyDescent="0.25">
      <c r="A35" s="8" t="s">
        <v>20</v>
      </c>
      <c r="AD35" t="s">
        <v>135</v>
      </c>
      <c r="BC35">
        <v>0.57595865315812911</v>
      </c>
      <c r="BD35">
        <v>138.02562421865747</v>
      </c>
      <c r="BE35">
        <v>-38.25525844037503</v>
      </c>
      <c r="BF35" s="6">
        <f t="shared" si="41"/>
        <v>6.012811558269286</v>
      </c>
      <c r="BG35" s="6">
        <f t="shared" si="42"/>
        <v>5.4368529051111567</v>
      </c>
      <c r="BH35" s="6">
        <f t="shared" si="2"/>
        <v>3.0804122406241552</v>
      </c>
      <c r="BI35" s="6">
        <f t="shared" si="3"/>
        <v>3.0804122406241552</v>
      </c>
      <c r="BJ35">
        <v>153.36180468739718</v>
      </c>
      <c r="BK35">
        <v>-42.505842711527812</v>
      </c>
      <c r="BV35" s="38"/>
      <c r="BW35" s="6">
        <f t="shared" si="27"/>
        <v>0.34906585039886601</v>
      </c>
      <c r="BX35" s="9">
        <f t="shared" ca="1" si="28"/>
        <v>12.300507506073842</v>
      </c>
      <c r="BY35" s="9">
        <f t="shared" ca="1" si="29"/>
        <v>3.3956145350089528</v>
      </c>
      <c r="BZ35" s="9">
        <f t="shared" ca="1" si="30"/>
        <v>138.17502526017157</v>
      </c>
      <c r="CA35" s="6">
        <f t="shared" ca="1" si="31"/>
        <v>-38.562558049690281</v>
      </c>
      <c r="CB35" s="6">
        <f t="shared" ca="1" si="32"/>
        <v>-0.27215989570580101</v>
      </c>
      <c r="CC35" s="6">
        <f t="shared" ca="1" si="33"/>
        <v>-4.8990278211710203E-3</v>
      </c>
      <c r="CD35" s="9">
        <f t="shared" si="34"/>
        <v>150.37502526017155</v>
      </c>
      <c r="CE35" s="9">
        <f t="shared" si="35"/>
        <v>-42.762558049690284</v>
      </c>
      <c r="CF35" s="6">
        <f t="shared" si="36"/>
        <v>-0.27705892352697203</v>
      </c>
      <c r="CG35" s="6"/>
      <c r="CH35" s="6"/>
      <c r="CI35" s="6"/>
      <c r="CJ35" s="1"/>
      <c r="CK35" s="6"/>
      <c r="DC35">
        <v>1.637685282070571</v>
      </c>
      <c r="DD35">
        <v>5.9805156181062866</v>
      </c>
      <c r="DE35">
        <v>5.9559546349527075</v>
      </c>
      <c r="DF35">
        <v>83.987394237006811</v>
      </c>
      <c r="DG35">
        <v>-0.74864415012041652</v>
      </c>
      <c r="DH35">
        <v>-3.1459161432388525</v>
      </c>
      <c r="DK35">
        <v>-0.20785236116243472</v>
      </c>
      <c r="DL35">
        <v>3.133611377159248</v>
      </c>
      <c r="DM35">
        <v>-0.20785236106243471</v>
      </c>
      <c r="DN35">
        <v>3.1336113771564831</v>
      </c>
      <c r="DO35">
        <v>-0.20785236126243473</v>
      </c>
      <c r="DP35">
        <v>3.1336113771620111</v>
      </c>
      <c r="DQ35">
        <v>-2.7640112421067897E-2</v>
      </c>
      <c r="DR35">
        <v>6.6687354610915725E-2</v>
      </c>
      <c r="EE35" s="9"/>
    </row>
    <row r="36" spans="1:139" x14ac:dyDescent="0.25">
      <c r="A36" s="1" t="s">
        <v>8</v>
      </c>
      <c r="B36" s="1" t="s">
        <v>9</v>
      </c>
      <c r="C36" s="1" t="s">
        <v>21</v>
      </c>
      <c r="D36" s="1" t="s">
        <v>22</v>
      </c>
      <c r="F36" s="8" t="s">
        <v>73</v>
      </c>
      <c r="G36" s="1">
        <f>(-1*0.003*MAX(J62:J71))/((B12/B13)-0.003)</f>
        <v>72.579053552861211</v>
      </c>
      <c r="H36" s="14" t="s">
        <v>4</v>
      </c>
      <c r="J36" t="s">
        <v>52</v>
      </c>
      <c r="N36" t="s">
        <v>53</v>
      </c>
      <c r="AD36" t="s">
        <v>8</v>
      </c>
      <c r="AE36" t="s">
        <v>9</v>
      </c>
      <c r="BC36">
        <v>0.59341194567807243</v>
      </c>
      <c r="BD36">
        <v>138.01424620726516</v>
      </c>
      <c r="BE36">
        <v>-38.238066930357668</v>
      </c>
      <c r="BF36" s="6">
        <f t="shared" si="41"/>
        <v>6.0129060186282368</v>
      </c>
      <c r="BG36" s="6">
        <f t="shared" si="42"/>
        <v>5.4194940729501644</v>
      </c>
      <c r="BH36" s="6">
        <f t="shared" si="2"/>
        <v>3.0803177802652044</v>
      </c>
      <c r="BI36" s="6">
        <f t="shared" si="3"/>
        <v>3.0803177802652044</v>
      </c>
      <c r="BJ36">
        <v>153.34916245251685</v>
      </c>
      <c r="BK36">
        <v>-42.486741033730745</v>
      </c>
      <c r="BV36" s="38"/>
      <c r="BW36" s="6">
        <f t="shared" si="27"/>
        <v>0.36651914291880933</v>
      </c>
      <c r="BX36" s="9">
        <f t="shared" ca="1" si="28"/>
        <v>12.288508620243476</v>
      </c>
      <c r="BY36" s="9">
        <f t="shared" ca="1" si="29"/>
        <v>3.4277155889428741</v>
      </c>
      <c r="BZ36" s="9">
        <f t="shared" ca="1" si="30"/>
        <v>138.1630263743412</v>
      </c>
      <c r="CA36" s="6">
        <f t="shared" ca="1" si="31"/>
        <v>-38.53045699575636</v>
      </c>
      <c r="CB36" s="6">
        <f t="shared" ca="1" si="32"/>
        <v>-0.27196681847127518</v>
      </c>
      <c r="CC36" s="6">
        <f t="shared" ca="1" si="33"/>
        <v>-4.9155736408566528E-3</v>
      </c>
      <c r="CD36" s="9">
        <f t="shared" si="34"/>
        <v>150.36302637434119</v>
      </c>
      <c r="CE36" s="9">
        <f t="shared" si="35"/>
        <v>-42.730456995756363</v>
      </c>
      <c r="CF36" s="6">
        <f t="shared" si="36"/>
        <v>-0.27688239211213184</v>
      </c>
      <c r="CG36" s="6"/>
      <c r="CH36" s="6"/>
      <c r="CI36" s="6"/>
      <c r="CJ36" s="1"/>
      <c r="CK36" s="6"/>
      <c r="DC36">
        <v>-0.42512769289756208</v>
      </c>
      <c r="DD36">
        <v>5.9559546349527075</v>
      </c>
      <c r="DE36">
        <v>5.9533312907145355</v>
      </c>
      <c r="DF36">
        <v>123.32215212757825</v>
      </c>
      <c r="DG36">
        <v>1.1712121551308039</v>
      </c>
      <c r="DH36">
        <v>-3.1432927990006805</v>
      </c>
      <c r="DK36">
        <v>6.6687354610915725E-2</v>
      </c>
      <c r="DL36">
        <v>3.0926257680306515</v>
      </c>
      <c r="DM36">
        <v>6.6687354710915719E-2</v>
      </c>
      <c r="DN36">
        <v>3.0926257680178635</v>
      </c>
      <c r="DO36">
        <v>6.6687354510915731E-2</v>
      </c>
      <c r="DP36">
        <v>3.0926257680480598</v>
      </c>
      <c r="DQ36">
        <v>-0.15098144956482429</v>
      </c>
      <c r="DR36">
        <v>1.7006131915568252</v>
      </c>
      <c r="EB36">
        <f ca="1">(EB32-EB30)</f>
        <v>-0.64571464659827882</v>
      </c>
      <c r="EC36">
        <f t="shared" ref="EC36:ED36" ca="1" si="43">(EC32-EC30)</f>
        <v>3.0956505931982008</v>
      </c>
      <c r="ED36">
        <f t="shared" ca="1" si="43"/>
        <v>6.3245553203367493</v>
      </c>
      <c r="EE36" s="9">
        <f ca="1">SQRT(POWER(EB36,2)+POWER(EC36,2)+POWER(ED36,2))</f>
        <v>7.0710678118654604</v>
      </c>
      <c r="EF36">
        <f ca="1">EB36/EE36</f>
        <v>-9.131784106422379E-2</v>
      </c>
      <c r="EG36">
        <f ca="1">EC36/EE36</f>
        <v>0.43779110532692217</v>
      </c>
      <c r="EH36">
        <f ca="1">ED36/EE36</f>
        <v>0.89442719099991641</v>
      </c>
    </row>
    <row r="37" spans="1:139" x14ac:dyDescent="0.25">
      <c r="A37" s="3">
        <f t="shared" ref="A37:A45" si="44">E3-$I$2</f>
        <v>-6</v>
      </c>
      <c r="B37" s="6">
        <f t="shared" ref="B37:B45" si="45">F3-$I$3</f>
        <v>-12</v>
      </c>
      <c r="C37" s="6">
        <f t="shared" ref="C37:C45" si="46">A37*COS($B$27)+B37*SIN($B$27)</f>
        <v>5.3199115589857549</v>
      </c>
      <c r="D37" s="6">
        <f t="shared" ref="D37:D45" si="47">-1*A37*SIN($B$27)+B37*COS($B$27)</f>
        <v>12.316596161463188</v>
      </c>
      <c r="F37" s="8" t="s">
        <v>23</v>
      </c>
      <c r="G37" s="1">
        <f>MAX(D37:D41)-MIN(D37:D41)</f>
        <v>24.633192322926377</v>
      </c>
      <c r="H37" t="s">
        <v>4</v>
      </c>
      <c r="J37" t="s">
        <v>8</v>
      </c>
      <c r="K37" t="s">
        <v>9</v>
      </c>
      <c r="N37" t="s">
        <v>8</v>
      </c>
      <c r="O37" t="s">
        <v>9</v>
      </c>
      <c r="AD37">
        <v>0</v>
      </c>
      <c r="AE37">
        <f>2*PI()</f>
        <v>6.2831853071795862</v>
      </c>
      <c r="BC37">
        <v>0.61086523819801575</v>
      </c>
      <c r="BD37">
        <v>138.00281435821131</v>
      </c>
      <c r="BE37">
        <v>-38.221432444831414</v>
      </c>
      <c r="BF37" s="6">
        <f t="shared" si="41"/>
        <v>6.0129966503876391</v>
      </c>
      <c r="BG37" s="6">
        <f t="shared" si="42"/>
        <v>5.4021314121896236</v>
      </c>
      <c r="BH37" s="6">
        <f t="shared" si="2"/>
        <v>3.0802271485058021</v>
      </c>
      <c r="BI37" s="6">
        <f t="shared" si="3"/>
        <v>3.0802271485058021</v>
      </c>
      <c r="BJ37">
        <v>153.33646039801258</v>
      </c>
      <c r="BK37">
        <v>-42.468258272034902</v>
      </c>
      <c r="BV37" s="38"/>
      <c r="BW37" s="6">
        <f t="shared" si="27"/>
        <v>0.38397243543875265</v>
      </c>
      <c r="BX37" s="9">
        <f t="shared" ca="1" si="28"/>
        <v>12.276661089357106</v>
      </c>
      <c r="BY37" s="9">
        <f t="shared" ca="1" si="29"/>
        <v>3.4577995035083262</v>
      </c>
      <c r="BZ37" s="9">
        <f t="shared" ca="1" si="30"/>
        <v>138.15117884345483</v>
      </c>
      <c r="CA37" s="6">
        <f t="shared" ca="1" si="31"/>
        <v>-38.500373081190908</v>
      </c>
      <c r="CB37" s="6">
        <f t="shared" ca="1" si="32"/>
        <v>-0.2717869523544072</v>
      </c>
      <c r="CC37" s="6">
        <f t="shared" ca="1" si="33"/>
        <v>-4.9310127670247903E-3</v>
      </c>
      <c r="CD37" s="9">
        <f t="shared" si="34"/>
        <v>150.35117884345482</v>
      </c>
      <c r="CE37" s="9">
        <f t="shared" si="35"/>
        <v>-42.700373081190911</v>
      </c>
      <c r="CF37" s="6">
        <f t="shared" si="36"/>
        <v>-0.27671796512143199</v>
      </c>
      <c r="CG37" s="6"/>
      <c r="CH37" s="6"/>
      <c r="CI37" s="6"/>
      <c r="CJ37" s="1"/>
      <c r="CK37" s="6"/>
      <c r="DC37">
        <v>-0.74864415012041652</v>
      </c>
      <c r="DD37">
        <v>5.9533312907145355</v>
      </c>
      <c r="DE37">
        <v>6.0147451952821775</v>
      </c>
      <c r="DF37">
        <v>31.260938687535589</v>
      </c>
      <c r="DG37">
        <v>1.5200372982205619</v>
      </c>
      <c r="DH37">
        <v>-3.2047067035683225</v>
      </c>
      <c r="DK37">
        <v>1.7006131915568252</v>
      </c>
      <c r="DL37">
        <v>3.1152098301293218</v>
      </c>
      <c r="DM37">
        <v>1.7006131916568252</v>
      </c>
      <c r="DN37">
        <v>3.1152098301322946</v>
      </c>
      <c r="DO37">
        <v>1.7006131914568252</v>
      </c>
      <c r="DP37">
        <v>3.1152098301263482</v>
      </c>
      <c r="DQ37">
        <v>2.9731772599461692E-2</v>
      </c>
      <c r="DR37">
        <v>-2.5455528132958523</v>
      </c>
      <c r="EB37">
        <f ca="1">EB31-EB30</f>
        <v>-28.011072467023766</v>
      </c>
      <c r="EC37">
        <f t="shared" ref="EC37:ED37" ca="1" si="48">EC31-EC30</f>
        <v>134.28918437566415</v>
      </c>
      <c r="ED37">
        <f t="shared" ca="1" si="48"/>
        <v>-1.344896992641559</v>
      </c>
      <c r="EE37" s="9">
        <f ca="1">SQRT(POWER(EB37,2)+POWER(EC37,2)+POWER(ED37,2))</f>
        <v>137.18605602959357</v>
      </c>
      <c r="EF37">
        <f ca="1">EB37/EE37</f>
        <v>-0.20418308739031946</v>
      </c>
      <c r="EG37">
        <f ca="1">EC37/EE37</f>
        <v>0.97888362900888037</v>
      </c>
      <c r="EH37">
        <f ca="1">ED37/EE37</f>
        <v>-9.8034525633672268E-3</v>
      </c>
    </row>
    <row r="38" spans="1:139" x14ac:dyDescent="0.25">
      <c r="A38" s="3">
        <f t="shared" si="44"/>
        <v>6</v>
      </c>
      <c r="B38" s="6">
        <f t="shared" si="45"/>
        <v>-12</v>
      </c>
      <c r="C38" s="6">
        <f t="shared" si="46"/>
        <v>-6.6613299937790984</v>
      </c>
      <c r="D38" s="6">
        <f t="shared" si="47"/>
        <v>11.645886944066518</v>
      </c>
      <c r="F38" s="8" t="s">
        <v>24</v>
      </c>
      <c r="G38" s="6">
        <f>MAX(D37:D43)</f>
        <v>12.316596161463188</v>
      </c>
      <c r="H38" t="s">
        <v>4</v>
      </c>
      <c r="J38" s="9">
        <f>MIN(C37:C43,A37:A43)-1</f>
        <v>-7.6613299937790984</v>
      </c>
      <c r="K38" s="9">
        <f>G40</f>
        <v>11.607145433414022</v>
      </c>
      <c r="N38" s="9">
        <f>J38</f>
        <v>-7.6613299937790984</v>
      </c>
      <c r="O38" s="9">
        <f>G41</f>
        <v>11.749035579023856</v>
      </c>
      <c r="AD38">
        <f>AE37</f>
        <v>6.2831853071795862</v>
      </c>
      <c r="AE38">
        <f>AE37</f>
        <v>6.2831853071795862</v>
      </c>
      <c r="BC38">
        <v>0.62831853071795907</v>
      </c>
      <c r="BD38">
        <v>137.99131522437031</v>
      </c>
      <c r="BE38">
        <v>-38.20531035949503</v>
      </c>
      <c r="BF38" s="6">
        <f t="shared" si="41"/>
        <v>6.0130837274231261</v>
      </c>
      <c r="BG38" s="6">
        <f t="shared" si="42"/>
        <v>5.3847651967051675</v>
      </c>
      <c r="BH38" s="6">
        <f t="shared" si="2"/>
        <v>3.0801400714703151</v>
      </c>
      <c r="BI38" s="6">
        <f t="shared" si="3"/>
        <v>3.0801400714703151</v>
      </c>
      <c r="BJ38">
        <v>153.32368358263366</v>
      </c>
      <c r="BK38">
        <v>-42.450344843883364</v>
      </c>
      <c r="BV38" s="38"/>
      <c r="BW38" s="6">
        <f t="shared" si="27"/>
        <v>0.40142572795869597</v>
      </c>
      <c r="BX38" s="9">
        <f t="shared" ca="1" si="28"/>
        <v>12.264943525520664</v>
      </c>
      <c r="BY38" s="9">
        <f t="shared" ca="1" si="29"/>
        <v>3.4860943022723134</v>
      </c>
      <c r="BZ38" s="9">
        <f t="shared" ca="1" si="30"/>
        <v>138.13946127961839</v>
      </c>
      <c r="CA38" s="6">
        <f t="shared" ca="1" si="31"/>
        <v>-38.472078282426921</v>
      </c>
      <c r="CB38" s="6">
        <f t="shared" ca="1" si="32"/>
        <v>-0.27161881349751926</v>
      </c>
      <c r="CC38" s="6">
        <f t="shared" ca="1" si="33"/>
        <v>-4.9454695528234338E-3</v>
      </c>
      <c r="CD38" s="9">
        <f t="shared" si="34"/>
        <v>150.33946127961838</v>
      </c>
      <c r="CE38" s="9">
        <f t="shared" si="35"/>
        <v>-42.672078282426924</v>
      </c>
      <c r="CF38" s="6">
        <f t="shared" si="36"/>
        <v>-0.2765642830503427</v>
      </c>
      <c r="CG38" s="6"/>
      <c r="CH38" s="6"/>
      <c r="CI38" s="6"/>
      <c r="CJ38" s="1"/>
      <c r="CK38" s="6"/>
      <c r="DC38">
        <v>1.1712121551308039</v>
      </c>
      <c r="DD38">
        <v>6.0147451952821775</v>
      </c>
      <c r="DE38">
        <v>6.0128581262192586</v>
      </c>
      <c r="DF38">
        <v>-184.85022617571641</v>
      </c>
      <c r="DG38">
        <v>2.9425522616886806</v>
      </c>
      <c r="DH38">
        <v>-3.2028196345054036</v>
      </c>
      <c r="DK38">
        <v>-2.5455528132958523</v>
      </c>
      <c r="DL38">
        <v>-3.0933314419502773</v>
      </c>
      <c r="DM38">
        <v>-2.5455528131958522</v>
      </c>
      <c r="DN38">
        <v>-3.0933314419563045</v>
      </c>
      <c r="DO38">
        <v>-2.5455528133958523</v>
      </c>
      <c r="DP38">
        <v>-3.0933314419599336</v>
      </c>
      <c r="DQ38">
        <v>1.8145485114473558E-2</v>
      </c>
      <c r="DR38">
        <v>-1.7176656360151263</v>
      </c>
      <c r="EF38">
        <f ca="1">EF36-EF37</f>
        <v>0.11286524632609567</v>
      </c>
      <c r="EG38">
        <f ca="1">EG36-EG37</f>
        <v>-0.54109252368195815</v>
      </c>
      <c r="EH38">
        <f ca="1">EH36-EH37</f>
        <v>0.90423064356328364</v>
      </c>
      <c r="EI38" s="9"/>
    </row>
    <row r="39" spans="1:139" x14ac:dyDescent="0.25">
      <c r="A39" s="3">
        <f t="shared" si="44"/>
        <v>6</v>
      </c>
      <c r="B39" s="6">
        <f t="shared" si="45"/>
        <v>4</v>
      </c>
      <c r="C39" s="6">
        <f t="shared" si="46"/>
        <v>-5.7670510372502024</v>
      </c>
      <c r="D39" s="6">
        <f t="shared" si="47"/>
        <v>-4.3291017929532867</v>
      </c>
      <c r="J39" s="9">
        <f>MAX(C37:C43,A37:A43)+1</f>
        <v>7.6613299937790984</v>
      </c>
      <c r="K39" s="9">
        <f>K38</f>
        <v>11.607145433414022</v>
      </c>
      <c r="N39" s="9">
        <f>J39</f>
        <v>7.6613299937790984</v>
      </c>
      <c r="O39" s="9">
        <f>G41</f>
        <v>11.749035579023856</v>
      </c>
      <c r="AD39">
        <f>AD38</f>
        <v>6.2831853071795862</v>
      </c>
      <c r="AE39">
        <v>0</v>
      </c>
      <c r="BC39">
        <v>0.64577182323790239</v>
      </c>
      <c r="BD39">
        <v>137.97973519743849</v>
      </c>
      <c r="BE39">
        <v>-38.189660090567187</v>
      </c>
      <c r="BF39" s="6">
        <f t="shared" si="41"/>
        <v>6.0131674963011426</v>
      </c>
      <c r="BG39" s="6">
        <f t="shared" si="42"/>
        <v>5.3673956730632399</v>
      </c>
      <c r="BH39" s="6">
        <f t="shared" si="2"/>
        <v>3.0800563025922987</v>
      </c>
      <c r="BI39" s="6">
        <f t="shared" si="3"/>
        <v>3.0800563025922987</v>
      </c>
      <c r="BJ39">
        <v>153.31081688604277</v>
      </c>
      <c r="BK39">
        <v>-42.432955656185761</v>
      </c>
      <c r="BV39" s="38"/>
      <c r="BW39" s="6">
        <f t="shared" si="27"/>
        <v>0.41887902047863929</v>
      </c>
      <c r="BX39" s="9">
        <f t="shared" ca="1" si="28"/>
        <v>12.253336208405386</v>
      </c>
      <c r="BY39" s="9">
        <f t="shared" ca="1" si="29"/>
        <v>3.5127944872635553</v>
      </c>
      <c r="BZ39" s="9">
        <f t="shared" ca="1" si="30"/>
        <v>138.12785396250311</v>
      </c>
      <c r="CA39" s="6">
        <f t="shared" ca="1" si="31"/>
        <v>-38.445378097435679</v>
      </c>
      <c r="CB39" s="6">
        <f t="shared" ca="1" si="32"/>
        <v>-0.27146113866590132</v>
      </c>
      <c r="CC39" s="6">
        <f t="shared" ca="1" si="33"/>
        <v>-4.9590499294829837E-3</v>
      </c>
      <c r="CD39" s="9">
        <f t="shared" si="34"/>
        <v>150.3278539625031</v>
      </c>
      <c r="CE39" s="9">
        <f t="shared" si="35"/>
        <v>-42.645378097435682</v>
      </c>
      <c r="CF39" s="6">
        <f t="shared" si="36"/>
        <v>-0.27642018859538431</v>
      </c>
      <c r="CG39" s="6"/>
      <c r="CH39" s="6"/>
      <c r="CI39" s="6"/>
      <c r="CJ39" s="1"/>
      <c r="CK39" s="6"/>
      <c r="DC39">
        <v>1.5200372982205619</v>
      </c>
      <c r="DD39">
        <v>6.0128581262192586</v>
      </c>
      <c r="DE39">
        <v>5.9632830594916477</v>
      </c>
      <c r="DF39">
        <v>-28.694161346954811</v>
      </c>
      <c r="DG39">
        <v>-0.82551895178034962</v>
      </c>
      <c r="DH39">
        <v>-3.1532445677777927</v>
      </c>
      <c r="DK39">
        <v>-1.7176656360151263</v>
      </c>
      <c r="DL39">
        <v>-3.0926891787249549</v>
      </c>
      <c r="DM39">
        <v>-1.7176656359151263</v>
      </c>
      <c r="DN39">
        <v>-3.0926891787251032</v>
      </c>
      <c r="DO39">
        <v>-1.7176656361151263</v>
      </c>
      <c r="DP39">
        <v>-3.0926891787248065</v>
      </c>
      <c r="DQ39">
        <v>-1.4832579608992091E-3</v>
      </c>
      <c r="DR39">
        <v>-0.76508869407974034</v>
      </c>
    </row>
    <row r="40" spans="1:139" x14ac:dyDescent="0.25">
      <c r="A40" s="3">
        <f t="shared" si="44"/>
        <v>6</v>
      </c>
      <c r="B40" s="6">
        <f t="shared" si="45"/>
        <v>4</v>
      </c>
      <c r="C40" s="6">
        <f t="shared" si="46"/>
        <v>-5.7670510372502024</v>
      </c>
      <c r="D40" s="6">
        <f t="shared" si="47"/>
        <v>-4.3291017929532867</v>
      </c>
      <c r="F40" s="8" t="s">
        <v>50</v>
      </c>
      <c r="G40" s="9">
        <f>G38-B28</f>
        <v>11.607145433414022</v>
      </c>
      <c r="AD40">
        <f>AE39</f>
        <v>0</v>
      </c>
      <c r="AE40">
        <f>AE39</f>
        <v>0</v>
      </c>
      <c r="BC40">
        <v>0.66322511575784571</v>
      </c>
      <c r="BD40">
        <v>137.96806043111732</v>
      </c>
      <c r="BE40">
        <v>-38.174444595816347</v>
      </c>
      <c r="BF40" s="6">
        <f t="shared" si="41"/>
        <v>6.0132481794708674</v>
      </c>
      <c r="BG40" s="6">
        <f t="shared" si="42"/>
        <v>5.3500230637130217</v>
      </c>
      <c r="BH40" s="6">
        <f t="shared" si="2"/>
        <v>3.0799756194225738</v>
      </c>
      <c r="BI40" s="6">
        <f t="shared" si="3"/>
        <v>3.0799756194225738</v>
      </c>
      <c r="BJ40">
        <v>153.29784492346369</v>
      </c>
      <c r="BK40">
        <v>-42.416049550907054</v>
      </c>
      <c r="BV40" s="38"/>
      <c r="BW40" s="6">
        <f t="shared" si="27"/>
        <v>0.43633231299858261</v>
      </c>
      <c r="BX40" s="9">
        <f t="shared" ca="1" si="28"/>
        <v>12.241820811393779</v>
      </c>
      <c r="BY40" s="9">
        <f t="shared" ca="1" si="29"/>
        <v>3.5380671538573267</v>
      </c>
      <c r="BZ40" s="9">
        <f t="shared" ca="1" si="30"/>
        <v>138.1163385654915</v>
      </c>
      <c r="CA40" s="6">
        <f t="shared" ca="1" si="31"/>
        <v>-38.420105430841907</v>
      </c>
      <c r="CB40" s="6">
        <f t="shared" ca="1" si="32"/>
        <v>-0.27131284498127517</v>
      </c>
      <c r="CC40" s="6">
        <f t="shared" ca="1" si="33"/>
        <v>-4.9718447653701592E-3</v>
      </c>
      <c r="CD40" s="9">
        <f t="shared" si="34"/>
        <v>150.31633856549149</v>
      </c>
      <c r="CE40" s="9">
        <f t="shared" si="35"/>
        <v>-42.62010543084191</v>
      </c>
      <c r="CF40" s="6">
        <f t="shared" si="36"/>
        <v>-0.27628468974664533</v>
      </c>
      <c r="CG40" s="6"/>
      <c r="CH40" s="6"/>
      <c r="CI40" s="6"/>
      <c r="CJ40" s="1"/>
      <c r="CK40" s="6"/>
      <c r="DC40">
        <v>2.9425522616886806</v>
      </c>
      <c r="DD40">
        <v>5.9632830594916477</v>
      </c>
      <c r="DE40">
        <v>5.9528369659550391</v>
      </c>
      <c r="DF40">
        <v>360.71582168623286</v>
      </c>
      <c r="DG40">
        <v>2.7738876175772393</v>
      </c>
      <c r="DH40">
        <v>-3.1427984742411841</v>
      </c>
      <c r="DK40">
        <v>-0.76508869407974034</v>
      </c>
      <c r="DL40">
        <v>3.1399998890270302</v>
      </c>
      <c r="DM40">
        <v>-0.76508869397974033</v>
      </c>
      <c r="DN40">
        <v>3.1399998890268481</v>
      </c>
      <c r="DO40">
        <v>-0.76508869417974035</v>
      </c>
      <c r="DP40">
        <v>3.1399998890279619</v>
      </c>
      <c r="DQ40">
        <v>-5.5688786915197852E-3</v>
      </c>
      <c r="DR40">
        <v>-2.4039860306120393</v>
      </c>
      <c r="DW40">
        <f t="array" aca="1" ref="DW40:DZ43" ca="1">MMULT(DW16:DZ19,DW26:DZ29)</f>
        <v>0.97893067151958357</v>
      </c>
      <c r="DX40">
        <f ca="1"/>
        <v>0.20419289987219741</v>
      </c>
      <c r="DY40">
        <f ca="1"/>
        <v>0</v>
      </c>
      <c r="DZ40">
        <f ca="1"/>
        <v>0</v>
      </c>
    </row>
    <row r="41" spans="1:139" x14ac:dyDescent="0.25">
      <c r="A41" s="3">
        <f t="shared" si="44"/>
        <v>6</v>
      </c>
      <c r="B41" s="6">
        <f t="shared" si="45"/>
        <v>12</v>
      </c>
      <c r="C41" s="6">
        <f t="shared" si="46"/>
        <v>-5.3199115589857549</v>
      </c>
      <c r="D41" s="6">
        <f t="shared" si="47"/>
        <v>-12.316596161463188</v>
      </c>
      <c r="F41" s="8" t="s">
        <v>51</v>
      </c>
      <c r="G41" s="9">
        <f>G38-B29</f>
        <v>11.749035579023856</v>
      </c>
      <c r="J41" s="9"/>
      <c r="K41" s="9"/>
      <c r="N41" s="9"/>
      <c r="O41" s="9"/>
      <c r="AD41">
        <f>AD40</f>
        <v>0</v>
      </c>
      <c r="AE41">
        <f>AE37</f>
        <v>6.2831853071795862</v>
      </c>
      <c r="BC41">
        <v>0.68067840827778903</v>
      </c>
      <c r="BD41">
        <v>137.95627675450916</v>
      </c>
      <c r="BE41">
        <v>-38.159629948774288</v>
      </c>
      <c r="BF41" s="6">
        <f t="shared" si="41"/>
        <v>6.0133259779490968</v>
      </c>
      <c r="BG41" s="6">
        <f t="shared" si="42"/>
        <v>5.332647569671308</v>
      </c>
      <c r="BH41" s="6">
        <f t="shared" si="2"/>
        <v>3.0798978209443444</v>
      </c>
      <c r="BI41" s="6">
        <f t="shared" si="3"/>
        <v>3.0798978209443444</v>
      </c>
      <c r="BJ41">
        <v>153.28475194945463</v>
      </c>
      <c r="BK41">
        <v>-42.399588831971428</v>
      </c>
      <c r="BV41" s="38"/>
      <c r="BW41" s="6">
        <f t="shared" si="27"/>
        <v>0.45378560551852593</v>
      </c>
      <c r="BX41" s="9">
        <f t="shared" ca="1" si="28"/>
        <v>12.230380156867739</v>
      </c>
      <c r="BY41" s="9">
        <f t="shared" ca="1" si="29"/>
        <v>3.5620567933282388</v>
      </c>
      <c r="BZ41" s="9">
        <f t="shared" ca="1" si="30"/>
        <v>138.10489791096546</v>
      </c>
      <c r="CA41" s="6">
        <f t="shared" ca="1" si="31"/>
        <v>-38.396115791370995</v>
      </c>
      <c r="CB41" s="6">
        <f t="shared" ca="1" si="32"/>
        <v>-0.27117299834566766</v>
      </c>
      <c r="CC41" s="6">
        <f t="shared" ca="1" si="33"/>
        <v>-4.9839325014673364E-3</v>
      </c>
      <c r="CD41" s="9">
        <f t="shared" si="34"/>
        <v>150.30489791096545</v>
      </c>
      <c r="CE41" s="9">
        <f t="shared" si="35"/>
        <v>-42.596115791370998</v>
      </c>
      <c r="CF41" s="6">
        <f t="shared" si="36"/>
        <v>-0.276156930847135</v>
      </c>
      <c r="CG41" s="6"/>
      <c r="CH41" s="6"/>
      <c r="CI41" s="6"/>
      <c r="CJ41" s="1"/>
      <c r="CK41" s="6"/>
      <c r="DC41">
        <v>-0.82551895178034962</v>
      </c>
      <c r="DD41">
        <v>5.9528369659550391</v>
      </c>
      <c r="DE41">
        <v>5.9675066139120254</v>
      </c>
      <c r="DF41">
        <v>245.36420914200556</v>
      </c>
      <c r="DG41">
        <v>0.87601170641895898</v>
      </c>
      <c r="DH41">
        <v>-3.1574681221981704</v>
      </c>
      <c r="DK41">
        <v>-2.4039860306120393</v>
      </c>
      <c r="DL41">
        <v>-3.0927205490797816</v>
      </c>
      <c r="DM41">
        <v>-2.4039860305120393</v>
      </c>
      <c r="DN41">
        <v>-3.0927205490842891</v>
      </c>
      <c r="DO41">
        <v>-2.4039860307120393</v>
      </c>
      <c r="DP41">
        <v>-3.0927205490752696</v>
      </c>
      <c r="DQ41">
        <v>-4.5097259260273859E-2</v>
      </c>
      <c r="DR41">
        <v>-1.8678502237526871</v>
      </c>
      <c r="DW41">
        <f ca="1"/>
        <v>-0.19371439368925458</v>
      </c>
      <c r="DX41">
        <f ca="1"/>
        <v>0.92869517802000268</v>
      </c>
      <c r="DY41">
        <f ca="1"/>
        <v>0.31622776601683794</v>
      </c>
      <c r="DZ41">
        <f ca="1"/>
        <v>0</v>
      </c>
    </row>
    <row r="42" spans="1:139" x14ac:dyDescent="0.25">
      <c r="A42" s="3">
        <f t="shared" si="44"/>
        <v>-6</v>
      </c>
      <c r="B42" s="6">
        <f t="shared" si="45"/>
        <v>12</v>
      </c>
      <c r="C42" s="6">
        <f t="shared" si="46"/>
        <v>6.6613299937790984</v>
      </c>
      <c r="D42" s="6">
        <f t="shared" si="47"/>
        <v>-11.645886944066518</v>
      </c>
      <c r="J42" s="9"/>
      <c r="K42" s="9"/>
      <c r="N42" s="9"/>
      <c r="O42" s="9"/>
      <c r="BC42">
        <v>0.69813170079773235</v>
      </c>
      <c r="BD42">
        <v>137.94436959083359</v>
      </c>
      <c r="BE42">
        <v>-38.145184967859798</v>
      </c>
      <c r="BF42" s="6">
        <f t="shared" si="41"/>
        <v>6.0134010736485619</v>
      </c>
      <c r="BG42" s="6">
        <f t="shared" si="42"/>
        <v>5.31526937285083</v>
      </c>
      <c r="BH42" s="6">
        <f t="shared" si="2"/>
        <v>3.0798227252448793</v>
      </c>
      <c r="BI42" s="6">
        <f t="shared" si="3"/>
        <v>3.0798227252448793</v>
      </c>
      <c r="BJ42">
        <v>153.27152176759287</v>
      </c>
      <c r="BK42">
        <v>-42.383538853177555</v>
      </c>
      <c r="BV42" s="38"/>
      <c r="BW42" s="6">
        <f t="shared" si="27"/>
        <v>0.47123889803846924</v>
      </c>
      <c r="BX42" s="9">
        <f t="shared" ca="1" si="28"/>
        <v>12.218998019473645</v>
      </c>
      <c r="BY42" s="9">
        <f t="shared" ca="1" si="29"/>
        <v>3.5848891112397112</v>
      </c>
      <c r="BZ42" s="9">
        <f t="shared" ca="1" si="30"/>
        <v>138.09351577357137</v>
      </c>
      <c r="CA42" s="6">
        <f t="shared" ca="1" si="31"/>
        <v>-38.373283473459523</v>
      </c>
      <c r="CB42" s="6">
        <f t="shared" ca="1" si="32"/>
        <v>-0.27104078833462408</v>
      </c>
      <c r="CC42" s="6">
        <f t="shared" ca="1" si="33"/>
        <v>-4.995381247312968E-3</v>
      </c>
      <c r="CD42" s="9">
        <f t="shared" si="34"/>
        <v>150.29351577357136</v>
      </c>
      <c r="CE42" s="9">
        <f t="shared" si="35"/>
        <v>-42.573283473459526</v>
      </c>
      <c r="CF42" s="6">
        <f t="shared" si="36"/>
        <v>-0.27603616958193705</v>
      </c>
      <c r="CG42" s="6"/>
      <c r="CH42" s="6"/>
      <c r="CI42" s="6"/>
      <c r="CJ42" s="1"/>
      <c r="CK42" s="6"/>
      <c r="DC42">
        <v>2.7738876175772393</v>
      </c>
      <c r="DD42">
        <v>5.9675066139120254</v>
      </c>
      <c r="DE42">
        <v>6.0140433486000422</v>
      </c>
      <c r="DF42">
        <v>-40.78231796626212</v>
      </c>
      <c r="DG42">
        <v>-0.4041349053717036</v>
      </c>
      <c r="DH42">
        <v>-3.2040048568861872</v>
      </c>
      <c r="DK42">
        <v>-1.8678502237526871</v>
      </c>
      <c r="DL42">
        <v>-3.0918947480514669</v>
      </c>
      <c r="DM42">
        <v>-1.867850223652687</v>
      </c>
      <c r="DN42">
        <v>-3.0918947480544983</v>
      </c>
      <c r="DO42">
        <v>-1.8678502238526871</v>
      </c>
      <c r="DP42">
        <v>-3.0918947480484329</v>
      </c>
      <c r="DQ42">
        <v>-3.0326852140660776E-2</v>
      </c>
      <c r="DR42">
        <v>2.9939201828559985</v>
      </c>
      <c r="DW42">
        <f ca="1"/>
        <v>6.4571464563084865E-2</v>
      </c>
      <c r="DX42">
        <f ca="1"/>
        <v>-0.30956505934000089</v>
      </c>
      <c r="DY42">
        <f ca="1"/>
        <v>0.94868329805051377</v>
      </c>
      <c r="DZ42">
        <f ca="1"/>
        <v>0</v>
      </c>
    </row>
    <row r="43" spans="1:139" x14ac:dyDescent="0.25">
      <c r="A43" s="3">
        <f t="shared" si="44"/>
        <v>-6</v>
      </c>
      <c r="B43" s="6">
        <f t="shared" si="45"/>
        <v>4</v>
      </c>
      <c r="C43" s="6">
        <f t="shared" si="46"/>
        <v>6.2141905155146508</v>
      </c>
      <c r="D43" s="6">
        <f t="shared" si="47"/>
        <v>-3.6583925755566149</v>
      </c>
      <c r="AD43" t="s">
        <v>134</v>
      </c>
      <c r="BC43">
        <v>0.71558499331767567</v>
      </c>
      <c r="BD43">
        <v>137.93232386899078</v>
      </c>
      <c r="BE43">
        <v>-38.13108089570423</v>
      </c>
      <c r="BF43" s="6">
        <f t="shared" si="41"/>
        <v>6.0134736313576314</v>
      </c>
      <c r="BG43" s="6">
        <f t="shared" si="42"/>
        <v>5.2978886380399555</v>
      </c>
      <c r="BH43" s="6">
        <f t="shared" si="2"/>
        <v>3.0797501675358099</v>
      </c>
      <c r="BI43" s="6">
        <f t="shared" si="3"/>
        <v>3.0797501675358099</v>
      </c>
      <c r="BJ43">
        <v>153.25813763221197</v>
      </c>
      <c r="BK43">
        <v>-42.367867661893591</v>
      </c>
      <c r="BV43" s="38"/>
      <c r="BW43" s="6">
        <f t="shared" si="27"/>
        <v>0.48869219055841256</v>
      </c>
      <c r="BX43" s="9">
        <f t="shared" ca="1" si="28"/>
        <v>12.20765895485178</v>
      </c>
      <c r="BY43" s="9">
        <f t="shared" ca="1" si="29"/>
        <v>3.606674088037451</v>
      </c>
      <c r="BZ43" s="9">
        <f t="shared" ca="1" si="30"/>
        <v>138.0821767089495</v>
      </c>
      <c r="CA43" s="6">
        <f t="shared" ca="1" si="31"/>
        <v>-38.351498496661783</v>
      </c>
      <c r="CB43" s="6">
        <f t="shared" ca="1" si="32"/>
        <v>-0.27091550809451415</v>
      </c>
      <c r="CC43" s="6">
        <f t="shared" ca="1" si="33"/>
        <v>-5.0062504598908375E-3</v>
      </c>
      <c r="CD43" s="9">
        <f t="shared" si="34"/>
        <v>150.28217670894949</v>
      </c>
      <c r="CE43" s="9">
        <f t="shared" si="35"/>
        <v>-42.551498496661786</v>
      </c>
      <c r="CF43" s="6">
        <f t="shared" si="36"/>
        <v>-0.27592175855440498</v>
      </c>
      <c r="CG43" s="6"/>
      <c r="CH43" s="6"/>
      <c r="CI43" s="6"/>
      <c r="CJ43" s="1"/>
      <c r="CK43" s="6"/>
      <c r="DC43">
        <v>0.87601170641895898</v>
      </c>
      <c r="DD43">
        <v>6.0140433486000422</v>
      </c>
      <c r="DE43">
        <v>5.9561908621345223</v>
      </c>
      <c r="DF43">
        <v>22.127771682788964</v>
      </c>
      <c r="DG43">
        <v>-0.90643785833006962</v>
      </c>
      <c r="DH43">
        <v>-3.1461523704206673</v>
      </c>
      <c r="DK43">
        <v>2.9939201828559985</v>
      </c>
      <c r="DL43">
        <v>3.1321271055872844</v>
      </c>
      <c r="DM43">
        <v>2.9939201829559985</v>
      </c>
      <c r="DN43">
        <v>3.1321271055926028</v>
      </c>
      <c r="DO43">
        <v>2.9939201827559985</v>
      </c>
      <c r="DP43">
        <v>3.1321271055828381</v>
      </c>
      <c r="DQ43">
        <v>4.8823167730915884E-2</v>
      </c>
      <c r="DR43">
        <v>1.6732970603644142</v>
      </c>
      <c r="DV43" s="5"/>
      <c r="DW43">
        <f ca="1"/>
        <v>0</v>
      </c>
      <c r="DX43">
        <f ca="1"/>
        <v>0</v>
      </c>
      <c r="DY43">
        <f ca="1"/>
        <v>0</v>
      </c>
      <c r="DZ43">
        <f ca="1"/>
        <v>1</v>
      </c>
    </row>
    <row r="44" spans="1:139" x14ac:dyDescent="0.25">
      <c r="A44" s="3">
        <f t="shared" si="44"/>
        <v>-6</v>
      </c>
      <c r="B44" s="6">
        <f t="shared" si="45"/>
        <v>4</v>
      </c>
      <c r="C44" s="6">
        <f t="shared" si="46"/>
        <v>6.2141905155146508</v>
      </c>
      <c r="D44" s="6">
        <f t="shared" si="47"/>
        <v>-3.6583925755566149</v>
      </c>
      <c r="AD44" t="s">
        <v>8</v>
      </c>
      <c r="AE44" t="s">
        <v>9</v>
      </c>
      <c r="BC44">
        <v>0.73303828583761899</v>
      </c>
      <c r="BD44">
        <v>137.92012393377954</v>
      </c>
      <c r="BE44">
        <v>-38.117291117976677</v>
      </c>
      <c r="BF44" s="6">
        <f t="shared" si="41"/>
        <v>6.0135438004538111</v>
      </c>
      <c r="BG44" s="6">
        <f t="shared" si="42"/>
        <v>5.2805055146161921</v>
      </c>
      <c r="BH44" s="6">
        <f t="shared" si="2"/>
        <v>3.0796799984396301</v>
      </c>
      <c r="BI44" s="6">
        <f t="shared" si="3"/>
        <v>3.0796799984396301</v>
      </c>
      <c r="BJ44">
        <v>153.24458214864393</v>
      </c>
      <c r="BK44">
        <v>-42.352545686640752</v>
      </c>
      <c r="BV44" s="38"/>
      <c r="BW44" s="6">
        <f t="shared" si="27"/>
        <v>0.50614548307835583</v>
      </c>
      <c r="BX44" s="9">
        <f t="shared" ca="1" si="28"/>
        <v>12.196348152288863</v>
      </c>
      <c r="BY44" s="9">
        <f t="shared" ca="1" si="29"/>
        <v>3.627508454739484</v>
      </c>
      <c r="BZ44" s="9">
        <f t="shared" ca="1" si="30"/>
        <v>138.07086590638659</v>
      </c>
      <c r="CA44" s="6">
        <f t="shared" ca="1" si="31"/>
        <v>-38.33066412995975</v>
      </c>
      <c r="CB44" s="6">
        <f t="shared" ca="1" si="32"/>
        <v>-0.27079653809494625</v>
      </c>
      <c r="CC44" s="6">
        <f t="shared" ca="1" si="33"/>
        <v>-5.0165923010471727E-3</v>
      </c>
      <c r="CD44" s="9">
        <f t="shared" si="34"/>
        <v>150.27086590638658</v>
      </c>
      <c r="CE44" s="9">
        <f t="shared" si="35"/>
        <v>-42.530664129959753</v>
      </c>
      <c r="CF44" s="6">
        <f t="shared" si="36"/>
        <v>-0.27581313039599342</v>
      </c>
      <c r="CG44" s="6"/>
      <c r="CH44" s="6"/>
      <c r="CI44" s="6"/>
      <c r="CJ44" s="1"/>
      <c r="CK44" s="6"/>
      <c r="DC44">
        <v>-0.4041349053717036</v>
      </c>
      <c r="DD44">
        <v>5.9561908621345223</v>
      </c>
      <c r="DE44">
        <v>5.9523282402471667</v>
      </c>
      <c r="DF44">
        <v>130.04196828135392</v>
      </c>
      <c r="DG44">
        <v>-1.1289367012494349</v>
      </c>
      <c r="DH44">
        <v>-3.1422897485333117</v>
      </c>
      <c r="DK44">
        <v>1.6732970603644142</v>
      </c>
      <c r="DL44">
        <v>3.1143629560052331</v>
      </c>
      <c r="DM44">
        <v>1.6732970604644142</v>
      </c>
      <c r="DN44">
        <v>3.1143629560092876</v>
      </c>
      <c r="DO44">
        <v>1.6732970602644142</v>
      </c>
      <c r="DP44">
        <v>3.1143629560011794</v>
      </c>
      <c r="DQ44">
        <v>4.0540903967212216E-2</v>
      </c>
      <c r="DR44">
        <v>0.25125648886995872</v>
      </c>
      <c r="DV44" s="5"/>
      <c r="DW44">
        <f t="array" aca="1" ref="DW44:DZ44" ca="1">MMULT(DW10:DZ10,DW40:DZ43)</f>
        <v>1104.0112762248655</v>
      </c>
      <c r="DX44">
        <f ca="1"/>
        <v>-1.7763568394002505E-14</v>
      </c>
      <c r="DY44">
        <f ca="1"/>
        <v>0</v>
      </c>
      <c r="DZ44">
        <f ca="1"/>
        <v>0</v>
      </c>
    </row>
    <row r="45" spans="1:139" x14ac:dyDescent="0.25">
      <c r="A45" s="3">
        <f t="shared" si="44"/>
        <v>-6</v>
      </c>
      <c r="B45" s="6">
        <f t="shared" si="45"/>
        <v>-12</v>
      </c>
      <c r="C45" s="6">
        <f t="shared" si="46"/>
        <v>5.3199115589857549</v>
      </c>
      <c r="D45" s="6">
        <f t="shared" si="47"/>
        <v>12.316596161463188</v>
      </c>
      <c r="AD45" s="38">
        <f>U13+PI()/3</f>
        <v>3.8572360429104524</v>
      </c>
      <c r="AE45">
        <v>0</v>
      </c>
      <c r="BC45">
        <v>0.75049157835756231</v>
      </c>
      <c r="BD45">
        <v>137.90775344655665</v>
      </c>
      <c r="BE45">
        <v>-38.103790918257566</v>
      </c>
      <c r="BF45" s="6">
        <f t="shared" si="41"/>
        <v>6.0136117163586311</v>
      </c>
      <c r="BG45" s="6">
        <f t="shared" si="42"/>
        <v>5.263120138001069</v>
      </c>
      <c r="BH45" s="6">
        <f t="shared" si="2"/>
        <v>3.0796120825348101</v>
      </c>
      <c r="BI45" s="6">
        <f t="shared" si="3"/>
        <v>3.0796120825348101</v>
      </c>
      <c r="BJ45">
        <v>153.23083716284071</v>
      </c>
      <c r="BK45">
        <v>-42.337545464730631</v>
      </c>
      <c r="BV45" s="38"/>
      <c r="BW45" s="6">
        <f t="shared" si="27"/>
        <v>0.52359877559829915</v>
      </c>
      <c r="BX45" s="9">
        <f t="shared" ca="1" si="28"/>
        <v>12.185051298591247</v>
      </c>
      <c r="BY45" s="9">
        <f t="shared" ca="1" si="29"/>
        <v>3.6474777086616115</v>
      </c>
      <c r="BZ45" s="9">
        <f t="shared" ca="1" si="30"/>
        <v>138.05956905268897</v>
      </c>
      <c r="CA45" s="6">
        <f t="shared" ca="1" si="31"/>
        <v>-38.310694876037623</v>
      </c>
      <c r="CB45" s="6">
        <f t="shared" ca="1" si="32"/>
        <v>-0.2706833329277214</v>
      </c>
      <c r="CC45" s="6">
        <f t="shared" ca="1" si="33"/>
        <v>-5.02645274106156E-3</v>
      </c>
      <c r="CD45" s="9">
        <f t="shared" si="34"/>
        <v>150.25956905268896</v>
      </c>
      <c r="CE45" s="9">
        <f t="shared" si="35"/>
        <v>-42.510694876037626</v>
      </c>
      <c r="CF45" s="6">
        <f t="shared" si="36"/>
        <v>-0.27570978566878296</v>
      </c>
      <c r="CG45" s="6"/>
      <c r="CH45" s="6"/>
      <c r="CI45" s="6"/>
      <c r="CJ45" s="1"/>
      <c r="CK45" s="6"/>
      <c r="DC45">
        <v>-0.90643785833006962</v>
      </c>
      <c r="DD45">
        <v>5.9523282402471667</v>
      </c>
      <c r="DE45">
        <v>5.9508497645333449</v>
      </c>
      <c r="DF45">
        <v>150.49205126557067</v>
      </c>
      <c r="DG45">
        <v>-2.5571697474133854</v>
      </c>
      <c r="DH45">
        <v>-3.1408112728194899</v>
      </c>
      <c r="DK45">
        <v>0.25125648886995872</v>
      </c>
      <c r="DL45">
        <v>3.0836296122794637</v>
      </c>
      <c r="DM45">
        <v>0.25125648896995872</v>
      </c>
      <c r="DN45">
        <v>3.083629612275578</v>
      </c>
      <c r="DO45">
        <v>0.25125648876995871</v>
      </c>
      <c r="DP45">
        <v>3.0836296122757769</v>
      </c>
      <c r="DQ45">
        <v>-9.9475983006414026E-4</v>
      </c>
      <c r="DR45">
        <v>2.5143761230884252</v>
      </c>
      <c r="DV45" s="5"/>
    </row>
    <row r="46" spans="1:139" x14ac:dyDescent="0.25">
      <c r="AD46" s="38">
        <f>U13-PI()/3</f>
        <v>1.7628409405172574</v>
      </c>
      <c r="AE46">
        <f>AE45</f>
        <v>0</v>
      </c>
      <c r="BC46">
        <v>0.76794487087750563</v>
      </c>
      <c r="BD46">
        <v>137.89519527655108</v>
      </c>
      <c r="BE46">
        <v>-38.090557263000342</v>
      </c>
      <c r="BF46" s="6">
        <f t="shared" si="41"/>
        <v>6.0136775017741559</v>
      </c>
      <c r="BG46" s="6">
        <f t="shared" si="42"/>
        <v>5.2457326308966508</v>
      </c>
      <c r="BH46" s="6">
        <f t="shared" si="2"/>
        <v>3.0795462971192853</v>
      </c>
      <c r="BI46" s="6">
        <f t="shared" si="3"/>
        <v>3.0795462971192853</v>
      </c>
      <c r="BJ46">
        <v>153.21688364061231</v>
      </c>
      <c r="BK46">
        <v>-42.322841403333712</v>
      </c>
      <c r="BV46" s="38"/>
      <c r="BW46" s="6">
        <f t="shared" si="27"/>
        <v>0.54105206811824247</v>
      </c>
      <c r="BX46" s="9">
        <f t="shared" ca="1" si="28"/>
        <v>12.173754466912214</v>
      </c>
      <c r="BY46" s="9">
        <f t="shared" ca="1" si="29"/>
        <v>3.6666577727792955</v>
      </c>
      <c r="BZ46" s="9">
        <f t="shared" ca="1" si="30"/>
        <v>138.04827222100994</v>
      </c>
      <c r="CA46" s="6">
        <f t="shared" ca="1" si="31"/>
        <v>-38.291514811919939</v>
      </c>
      <c r="CB46" s="6">
        <f t="shared" ca="1" si="32"/>
        <v>-0.27057541043584643</v>
      </c>
      <c r="CC46" s="6">
        <f t="shared" ca="1" si="33"/>
        <v>-5.0358724675411692E-3</v>
      </c>
      <c r="CD46" s="9">
        <f t="shared" si="34"/>
        <v>150.24827222100993</v>
      </c>
      <c r="CE46" s="9">
        <f t="shared" si="35"/>
        <v>-42.491514811919942</v>
      </c>
      <c r="CF46" s="6">
        <f t="shared" si="36"/>
        <v>-0.2756112829033876</v>
      </c>
      <c r="CG46" s="6"/>
      <c r="CH46" s="6"/>
      <c r="CI46" s="6"/>
      <c r="CJ46" s="1"/>
      <c r="CK46" s="6"/>
      <c r="DC46">
        <v>-1.1289367012494349</v>
      </c>
      <c r="DD46">
        <v>5.9508497645333449</v>
      </c>
      <c r="DE46">
        <v>5.9034305886777707</v>
      </c>
      <c r="DF46">
        <v>30.119313977829485</v>
      </c>
      <c r="DG46">
        <v>-1.4802379647121204</v>
      </c>
      <c r="DH46">
        <v>-3.0933920969639157</v>
      </c>
      <c r="DK46">
        <v>2.5143761230884252</v>
      </c>
      <c r="DL46">
        <v>3.1239522482450681</v>
      </c>
      <c r="DM46">
        <v>2.5143761231884252</v>
      </c>
      <c r="DN46">
        <v>3.1239522482456277</v>
      </c>
      <c r="DO46">
        <v>2.5143761229884252</v>
      </c>
      <c r="DP46">
        <v>3.1239522482451134</v>
      </c>
      <c r="DQ46">
        <v>2.5712765250318625E-3</v>
      </c>
      <c r="DR46">
        <v>0.2269831445247068</v>
      </c>
    </row>
    <row r="47" spans="1:139" x14ac:dyDescent="0.25">
      <c r="A47" t="s">
        <v>27</v>
      </c>
      <c r="BC47">
        <v>0.78539816339744895</v>
      </c>
      <c r="BD47">
        <v>137.8824313929797</v>
      </c>
      <c r="BE47">
        <v>-38.077568606982581</v>
      </c>
      <c r="BF47" s="6">
        <f t="shared" si="41"/>
        <v>6.013741267784404</v>
      </c>
      <c r="BG47" s="6">
        <f t="shared" si="42"/>
        <v>5.2283431043869548</v>
      </c>
      <c r="BH47" s="6">
        <f t="shared" si="2"/>
        <v>3.0794825311090372</v>
      </c>
      <c r="BI47" s="6">
        <f t="shared" si="3"/>
        <v>3.0794825311090372</v>
      </c>
      <c r="BJ47">
        <v>153.20270154775523</v>
      </c>
      <c r="BK47">
        <v>-42.30840956331398</v>
      </c>
      <c r="BV47" s="38"/>
      <c r="BW47" s="6">
        <f t="shared" si="27"/>
        <v>0.55850536063818579</v>
      </c>
      <c r="BX47" s="9">
        <f t="shared" ca="1" si="28"/>
        <v>12.162444011893712</v>
      </c>
      <c r="BY47" s="9">
        <f t="shared" ca="1" si="29"/>
        <v>3.6851163666778746</v>
      </c>
      <c r="BZ47" s="9">
        <f t="shared" ca="1" si="30"/>
        <v>138.03696176599144</v>
      </c>
      <c r="CA47" s="6">
        <f t="shared" ca="1" si="31"/>
        <v>-38.27305621802136</v>
      </c>
      <c r="CB47" s="6">
        <f t="shared" ca="1" si="32"/>
        <v>-0.27047234275481868</v>
      </c>
      <c r="CC47" s="6">
        <f t="shared" ca="1" si="33"/>
        <v>-5.0448876349621363E-3</v>
      </c>
      <c r="CD47" s="9">
        <f t="shared" si="34"/>
        <v>150.23696176599142</v>
      </c>
      <c r="CE47" s="9">
        <f t="shared" si="35"/>
        <v>-42.473056218021362</v>
      </c>
      <c r="CF47" s="6">
        <f t="shared" si="36"/>
        <v>-0.27551723038978082</v>
      </c>
      <c r="CG47" s="6"/>
      <c r="CH47" s="6"/>
      <c r="CI47" s="6"/>
      <c r="CJ47" s="1"/>
      <c r="CK47" s="6"/>
      <c r="DC47">
        <v>-2.5571697474133854</v>
      </c>
      <c r="DD47">
        <v>5.9034305886777707</v>
      </c>
      <c r="DE47">
        <v>5.9458733806769057</v>
      </c>
      <c r="DF47">
        <v>25.373726184724429</v>
      </c>
      <c r="DG47">
        <v>0.63335519556832376</v>
      </c>
      <c r="DH47">
        <v>-3.1358348889630507</v>
      </c>
      <c r="DK47">
        <v>0.2269831445247068</v>
      </c>
      <c r="DL47">
        <v>3.084122460750673</v>
      </c>
      <c r="DM47">
        <v>0.22698314462470681</v>
      </c>
      <c r="DN47">
        <v>3.0841224607474773</v>
      </c>
      <c r="DO47">
        <v>0.2269831444247068</v>
      </c>
      <c r="DP47">
        <v>3.0841224607538686</v>
      </c>
      <c r="DQ47">
        <v>-3.1956659540810506E-2</v>
      </c>
      <c r="DR47">
        <v>2.4887419262257739</v>
      </c>
    </row>
    <row r="48" spans="1:139" x14ac:dyDescent="0.25">
      <c r="B48" s="1" t="s">
        <v>28</v>
      </c>
      <c r="C48" s="1" t="s">
        <v>29</v>
      </c>
      <c r="D48" s="1" t="s">
        <v>30</v>
      </c>
      <c r="E48" s="1" t="s">
        <v>31</v>
      </c>
      <c r="F48" s="1" t="s">
        <v>32</v>
      </c>
      <c r="G48" s="1" t="s">
        <v>33</v>
      </c>
      <c r="H48" s="1" t="s">
        <v>34</v>
      </c>
      <c r="I48" s="1" t="s">
        <v>35</v>
      </c>
      <c r="J48" s="1" t="s">
        <v>36</v>
      </c>
      <c r="K48" s="1" t="s">
        <v>37</v>
      </c>
      <c r="L48" s="1" t="s">
        <v>38</v>
      </c>
      <c r="M48" s="1" t="s">
        <v>39</v>
      </c>
      <c r="N48" s="1" t="s">
        <v>40</v>
      </c>
      <c r="O48" s="1" t="s">
        <v>41</v>
      </c>
      <c r="P48" s="1" t="s">
        <v>42</v>
      </c>
      <c r="BC48">
        <v>0.80285145591739226</v>
      </c>
      <c r="BD48">
        <v>137.86944273700786</v>
      </c>
      <c r="BE48">
        <v>-38.064804723837078</v>
      </c>
      <c r="BF48" s="6">
        <f t="shared" si="41"/>
        <v>6.0138031147515401</v>
      </c>
      <c r="BG48" s="6">
        <f t="shared" si="42"/>
        <v>5.2109516588341478</v>
      </c>
      <c r="BH48" s="6">
        <f t="shared" si="2"/>
        <v>3.0794206841419012</v>
      </c>
      <c r="BI48" s="6">
        <f t="shared" si="3"/>
        <v>3.0794206841419012</v>
      </c>
      <c r="BJ48">
        <v>153.1882697077865</v>
      </c>
      <c r="BK48">
        <v>-42.294227470930089</v>
      </c>
      <c r="BV48" s="38"/>
      <c r="BW48" s="6">
        <f t="shared" si="27"/>
        <v>0.57595865315812911</v>
      </c>
      <c r="BX48" s="9">
        <f t="shared" ca="1" si="28"/>
        <v>12.151106464559746</v>
      </c>
      <c r="BY48" s="9">
        <f t="shared" ca="1" si="29"/>
        <v>3.702914144324204</v>
      </c>
      <c r="BZ48" s="9">
        <f t="shared" ca="1" si="30"/>
        <v>138.02562421865747</v>
      </c>
      <c r="CA48" s="6">
        <f t="shared" ca="1" si="31"/>
        <v>-38.25525844037503</v>
      </c>
      <c r="CB48" s="6">
        <f t="shared" ca="1" si="32"/>
        <v>-0.27037374891030058</v>
      </c>
      <c r="CC48" s="6">
        <f t="shared" ca="1" si="33"/>
        <v>-5.0535304846673901E-3</v>
      </c>
      <c r="CD48" s="9">
        <f t="shared" si="34"/>
        <v>150.22562421865746</v>
      </c>
      <c r="CE48" s="9">
        <f t="shared" si="35"/>
        <v>-42.455258440375033</v>
      </c>
      <c r="CF48" s="6">
        <f t="shared" si="36"/>
        <v>-0.27542727939496797</v>
      </c>
      <c r="CG48" s="6"/>
      <c r="CH48" s="6"/>
      <c r="CI48" s="6"/>
      <c r="CJ48" s="1"/>
      <c r="CK48" s="6"/>
      <c r="DC48">
        <v>-1.4802379647121204</v>
      </c>
      <c r="DD48">
        <v>5.9458733806769057</v>
      </c>
      <c r="DE48">
        <v>6.0131082307597703</v>
      </c>
      <c r="DF48">
        <v>31.435976397292709</v>
      </c>
      <c r="DG48">
        <v>0.47269539491179952</v>
      </c>
      <c r="DH48">
        <v>-3.2030697390459153</v>
      </c>
      <c r="DK48">
        <v>2.4887419262257739</v>
      </c>
      <c r="DL48">
        <v>3.1238448211015912</v>
      </c>
      <c r="DM48">
        <v>2.488741926325774</v>
      </c>
      <c r="DN48">
        <v>3.1238448211021312</v>
      </c>
      <c r="DO48">
        <v>2.4887419261257739</v>
      </c>
      <c r="DP48">
        <v>3.1238448211010486</v>
      </c>
      <c r="DQ48">
        <v>5.4134474680722633E-3</v>
      </c>
      <c r="DR48">
        <v>-2.7941585444014825</v>
      </c>
    </row>
    <row r="49" spans="1:122" x14ac:dyDescent="0.25">
      <c r="A49" t="s">
        <v>43</v>
      </c>
      <c r="B49" s="6">
        <f>C37</f>
        <v>5.3199115589857549</v>
      </c>
      <c r="C49" s="6">
        <f>D37</f>
        <v>12.316596161463188</v>
      </c>
      <c r="D49" s="6">
        <f t="shared" ref="D49:E56" si="49">C38</f>
        <v>-6.6613299937790984</v>
      </c>
      <c r="E49" s="6">
        <f t="shared" si="49"/>
        <v>11.645886944066518</v>
      </c>
      <c r="F49" s="6">
        <f t="shared" ref="F49:F56" si="50">IF(B49=D49,"V",(C49-E49)/(B49-D49))</f>
        <v>5.5979942850070796E-2</v>
      </c>
      <c r="G49" s="6">
        <f t="shared" ref="G49:G56" si="51">IF(F49="V",0,(-1*B49*F49)+C49)</f>
        <v>12.018787816423735</v>
      </c>
      <c r="H49" s="6">
        <f t="shared" ref="H49:H56" si="52">IF(AND(C49&lt;$G$41,E49&lt;$G$41),0,IF(AND(C49&lt;$G$41,E49&gt;$G$41),IF(F49="V",B49,($G$41-G49)/F49),B49))</f>
        <v>5.3199115589857549</v>
      </c>
      <c r="I49" s="6">
        <f t="shared" ref="I49:I56" si="53">IF(AND(C49&lt;$G$41,E49&lt;$G$41),0,IF(AND(C49&lt;$G$41,E49&gt;$G$41),$G$41,C49))</f>
        <v>12.316596161463188</v>
      </c>
      <c r="J49" s="6">
        <f t="shared" ref="J49:J56" si="54">IF(AND(C49&lt;$G$41,E49&lt;$G$41),0,IF(E49&gt;=$G$41,D49,IF(F49="V",D49,($G$41-G49)/F49)))</f>
        <v>-4.8187301320108187</v>
      </c>
      <c r="K49" s="6">
        <f t="shared" ref="K49:K56" si="55">IF(AND(C49&lt;$G$41,E49&lt;$G$41),0,IF(E49&gt;=$G$41,E49,$G$41))</f>
        <v>11.749035579023856</v>
      </c>
      <c r="L49" s="6">
        <f t="shared" ref="L49:L56" si="56">IF(AND(I49=0,K49=0,H49=0,J49=0),0,$B$31)</f>
        <v>4.25</v>
      </c>
      <c r="M49" s="6">
        <f t="shared" ref="M49:M56" si="57">IF(AND(I49=0,K49=0,H49=0,J49=0),0,$B$31)</f>
        <v>4.25</v>
      </c>
      <c r="N49" s="10">
        <f t="shared" ref="N49:N56" si="58">(1/6)*(K49-I49)*((L49*((2*H49)+J49))+(M49*(H49+(2*J49))))</f>
        <v>-0.60445799802855016</v>
      </c>
      <c r="O49" s="10">
        <f t="shared" ref="O49:O56" si="59">((1/12)*(K49-I49)*(L49*H49*((3*I49)+K49)+L49*J49*(I49+K49)+M49*H49*(I49+K49)+M49*J49*(I49+(3*K49))))</f>
        <v>-8.4300082867913826</v>
      </c>
      <c r="P49" s="10">
        <f t="shared" ref="P49:P56" si="60">((-1/24)*(K49-I49)*(H49*H49*((3*L49)+M49)+2*H49*J49*(L49+M49)+J49*J49*(L49+(3*M49))))</f>
        <v>10.406904734313203</v>
      </c>
      <c r="S49">
        <f t="shared" ref="S49:S56" si="61">IF(AND(I49=0,K49=0,H49=0,J49=0),NA(),H49)</f>
        <v>5.3199115589857549</v>
      </c>
      <c r="T49">
        <f t="shared" ref="T49:T56" si="62">IF(AND(I49=0,K49=0,H49=0,J49=0),NA(),I49)</f>
        <v>12.316596161463188</v>
      </c>
      <c r="V49">
        <f t="shared" ref="V49:V56" si="63">IF(AND(I49=0,K49=0,H49=0,J49=0),NA(),J49)</f>
        <v>-4.8187301320108187</v>
      </c>
      <c r="W49">
        <f t="shared" ref="W49:W56" si="64">IF(AND(I49=0,K49=0,H49=0,J49=0),NA(),K49)</f>
        <v>11.749035579023856</v>
      </c>
      <c r="AC49">
        <v>0</v>
      </c>
      <c r="AD49">
        <f>-PI()</f>
        <v>-3.1415926535897931</v>
      </c>
      <c r="BC49">
        <v>0.82030474843733558</v>
      </c>
      <c r="BD49">
        <v>137.85620908124494</v>
      </c>
      <c r="BE49">
        <v>-38.052246554326402</v>
      </c>
      <c r="BF49" s="6">
        <f t="shared" si="41"/>
        <v>6.0138631330703864</v>
      </c>
      <c r="BG49" s="6">
        <f t="shared" si="42"/>
        <v>5.1935583846330511</v>
      </c>
      <c r="BH49" s="6">
        <f t="shared" si="2"/>
        <v>3.0793606658230548</v>
      </c>
      <c r="BI49" s="6">
        <f t="shared" si="3"/>
        <v>3.0793606658230548</v>
      </c>
      <c r="BJ49">
        <v>153.17356564582772</v>
      </c>
      <c r="BK49">
        <v>-42.280273949251558</v>
      </c>
      <c r="BV49" s="38"/>
      <c r="BW49" s="6">
        <f t="shared" si="27"/>
        <v>0.59341194567807243</v>
      </c>
      <c r="BX49" s="9">
        <f t="shared" ca="1" si="28"/>
        <v>12.139728453167436</v>
      </c>
      <c r="BY49" s="9">
        <f t="shared" ca="1" si="29"/>
        <v>3.720105654341566</v>
      </c>
      <c r="BZ49" s="9">
        <f t="shared" ca="1" si="30"/>
        <v>138.01424620726516</v>
      </c>
      <c r="CA49" s="6">
        <f t="shared" ca="1" si="31"/>
        <v>-38.238066930357668</v>
      </c>
      <c r="CB49" s="6">
        <f t="shared" ca="1" si="32"/>
        <v>-0.27027928855134931</v>
      </c>
      <c r="CC49" s="6">
        <f t="shared" ca="1" si="33"/>
        <v>-5.0618298695298538E-3</v>
      </c>
      <c r="CD49" s="9">
        <f t="shared" si="34"/>
        <v>150.21424620726515</v>
      </c>
      <c r="CE49" s="9">
        <f t="shared" si="35"/>
        <v>-42.438066930357671</v>
      </c>
      <c r="CF49" s="6">
        <f t="shared" si="36"/>
        <v>-0.27534111842087916</v>
      </c>
      <c r="CG49" s="6"/>
      <c r="CH49" s="6"/>
      <c r="CI49" s="6"/>
      <c r="CJ49" s="1"/>
      <c r="CK49" s="6"/>
      <c r="DC49">
        <v>0.63335519556832376</v>
      </c>
      <c r="DD49">
        <v>6.0131082307597703</v>
      </c>
      <c r="DE49">
        <v>6.0121552295448586</v>
      </c>
      <c r="DF49">
        <v>168.58299668737433</v>
      </c>
      <c r="DG49">
        <v>1.0041964060062936</v>
      </c>
      <c r="DH49">
        <v>-3.2021167378310036</v>
      </c>
      <c r="DK49">
        <v>-2.7941585444014825</v>
      </c>
      <c r="DL49">
        <v>-3.0952722805759931</v>
      </c>
      <c r="DM49">
        <v>-2.7941585443014825</v>
      </c>
      <c r="DN49">
        <v>-3.0952722805688762</v>
      </c>
      <c r="DO49">
        <v>-2.7941585445014825</v>
      </c>
      <c r="DP49">
        <v>-3.0952722805740347</v>
      </c>
      <c r="DQ49">
        <v>2.5792701308091637E-2</v>
      </c>
      <c r="DR49">
        <v>-2.1689365311901101</v>
      </c>
    </row>
    <row r="50" spans="1:122" x14ac:dyDescent="0.25">
      <c r="A50" t="s">
        <v>44</v>
      </c>
      <c r="B50" s="6">
        <f t="shared" ref="B50:C56" si="65">D49</f>
        <v>-6.6613299937790984</v>
      </c>
      <c r="C50" s="6">
        <f t="shared" si="65"/>
        <v>11.645886944066518</v>
      </c>
      <c r="D50" s="6">
        <f t="shared" si="49"/>
        <v>-5.7670510372502024</v>
      </c>
      <c r="E50" s="6">
        <f t="shared" si="49"/>
        <v>-4.3291017929532867</v>
      </c>
      <c r="F50" s="6">
        <f t="shared" si="50"/>
        <v>-17.863540923545841</v>
      </c>
      <c r="G50" s="6">
        <f t="shared" si="51"/>
        <v>-107.34905400504977</v>
      </c>
      <c r="H50" s="6">
        <f t="shared" si="52"/>
        <v>0</v>
      </c>
      <c r="I50" s="6">
        <f t="shared" si="53"/>
        <v>0</v>
      </c>
      <c r="J50" s="6">
        <f t="shared" si="54"/>
        <v>0</v>
      </c>
      <c r="K50" s="6">
        <f t="shared" si="55"/>
        <v>0</v>
      </c>
      <c r="L50" s="6">
        <f t="shared" si="56"/>
        <v>0</v>
      </c>
      <c r="M50" s="6">
        <f t="shared" si="57"/>
        <v>0</v>
      </c>
      <c r="N50" s="10">
        <f t="shared" si="58"/>
        <v>0</v>
      </c>
      <c r="O50" s="10">
        <f t="shared" si="59"/>
        <v>0</v>
      </c>
      <c r="P50" s="10">
        <f t="shared" si="60"/>
        <v>0</v>
      </c>
      <c r="S50" t="e">
        <f t="shared" si="61"/>
        <v>#N/A</v>
      </c>
      <c r="T50" t="e">
        <f t="shared" si="62"/>
        <v>#N/A</v>
      </c>
      <c r="V50" t="e">
        <f t="shared" si="63"/>
        <v>#N/A</v>
      </c>
      <c r="W50" t="e">
        <f t="shared" si="64"/>
        <v>#N/A</v>
      </c>
      <c r="AC50">
        <f>2*PI()</f>
        <v>6.2831853071795862</v>
      </c>
      <c r="AD50">
        <f>AD49</f>
        <v>-3.1415926535897931</v>
      </c>
      <c r="BC50">
        <v>0.8377580409572789</v>
      </c>
      <c r="BD50">
        <v>137.84270888192432</v>
      </c>
      <c r="BE50">
        <v>-38.03987606626837</v>
      </c>
      <c r="BF50" s="6">
        <f t="shared" si="41"/>
        <v>6.0139214038317537</v>
      </c>
      <c r="BG50" s="6">
        <f t="shared" si="42"/>
        <v>5.1761633628744743</v>
      </c>
      <c r="BH50" s="6">
        <f t="shared" si="2"/>
        <v>3.0793023950616876</v>
      </c>
      <c r="BI50" s="6">
        <f t="shared" si="3"/>
        <v>3.0793023950616876</v>
      </c>
      <c r="BJ50">
        <v>153.15856542436035</v>
      </c>
      <c r="BK50">
        <v>-42.266528962520411</v>
      </c>
      <c r="BV50" s="38"/>
      <c r="BW50" s="6">
        <f t="shared" si="27"/>
        <v>0.61086523819801575</v>
      </c>
      <c r="BX50" s="9">
        <f t="shared" ca="1" si="28"/>
        <v>12.128296604113586</v>
      </c>
      <c r="BY50" s="9">
        <f t="shared" ca="1" si="29"/>
        <v>3.7367401398678197</v>
      </c>
      <c r="BZ50" s="9">
        <f t="shared" ca="1" si="30"/>
        <v>138.00281435821131</v>
      </c>
      <c r="CA50" s="6">
        <f t="shared" ca="1" si="31"/>
        <v>-38.221432444831414</v>
      </c>
      <c r="CB50" s="6">
        <f t="shared" ca="1" si="32"/>
        <v>-0.27018865679194681</v>
      </c>
      <c r="CC50" s="6">
        <f t="shared" ca="1" si="33"/>
        <v>-5.0698116869650756E-3</v>
      </c>
      <c r="CD50" s="9">
        <f t="shared" si="34"/>
        <v>150.2028143582113</v>
      </c>
      <c r="CE50" s="9">
        <f t="shared" si="35"/>
        <v>-42.421432444831417</v>
      </c>
      <c r="CF50" s="6">
        <f t="shared" si="36"/>
        <v>-0.27525846847891189</v>
      </c>
      <c r="CG50" s="6"/>
      <c r="CH50" s="6"/>
      <c r="CI50" s="6"/>
      <c r="CJ50" s="1"/>
      <c r="CK50" s="6"/>
      <c r="DC50">
        <v>0.47269539491179952</v>
      </c>
      <c r="DD50">
        <v>6.0121552295448586</v>
      </c>
      <c r="DE50">
        <v>6.0143999174689995</v>
      </c>
      <c r="DF50">
        <v>236.7816948531559</v>
      </c>
      <c r="DG50">
        <v>2.5354892623580492</v>
      </c>
      <c r="DH50">
        <v>-3.2043614257551445</v>
      </c>
      <c r="DK50">
        <v>-2.1689365311901101</v>
      </c>
      <c r="DL50">
        <v>-3.0920736575248986</v>
      </c>
      <c r="DM50">
        <v>-2.1689365310901101</v>
      </c>
      <c r="DN50">
        <v>-3.0920736575272496</v>
      </c>
      <c r="DO50">
        <v>-2.1689365312901101</v>
      </c>
      <c r="DP50">
        <v>-3.0920736575225529</v>
      </c>
      <c r="DQ50">
        <v>-2.3483437416871311E-2</v>
      </c>
      <c r="DR50">
        <v>-1.8924476128626413</v>
      </c>
    </row>
    <row r="51" spans="1:122" x14ac:dyDescent="0.25">
      <c r="A51" t="s">
        <v>45</v>
      </c>
      <c r="B51" s="6">
        <f t="shared" si="65"/>
        <v>-5.7670510372502024</v>
      </c>
      <c r="C51" s="6">
        <f t="shared" si="65"/>
        <v>-4.3291017929532867</v>
      </c>
      <c r="D51" s="6">
        <f t="shared" si="49"/>
        <v>-5.7670510372502024</v>
      </c>
      <c r="E51" s="6">
        <f t="shared" si="49"/>
        <v>-4.3291017929532867</v>
      </c>
      <c r="F51" s="6" t="str">
        <f t="shared" si="50"/>
        <v>V</v>
      </c>
      <c r="G51" s="6">
        <f t="shared" si="51"/>
        <v>0</v>
      </c>
      <c r="H51" s="6">
        <f t="shared" si="52"/>
        <v>0</v>
      </c>
      <c r="I51" s="6">
        <f t="shared" si="53"/>
        <v>0</v>
      </c>
      <c r="J51" s="6">
        <f t="shared" si="54"/>
        <v>0</v>
      </c>
      <c r="K51" s="6">
        <f t="shared" si="55"/>
        <v>0</v>
      </c>
      <c r="L51" s="6">
        <f t="shared" si="56"/>
        <v>0</v>
      </c>
      <c r="M51" s="6">
        <f t="shared" si="57"/>
        <v>0</v>
      </c>
      <c r="N51" s="10">
        <f t="shared" si="58"/>
        <v>0</v>
      </c>
      <c r="O51" s="10">
        <f t="shared" si="59"/>
        <v>0</v>
      </c>
      <c r="P51" s="10">
        <f t="shared" si="60"/>
        <v>0</v>
      </c>
      <c r="S51" t="e">
        <f t="shared" si="61"/>
        <v>#N/A</v>
      </c>
      <c r="T51" t="e">
        <f t="shared" si="62"/>
        <v>#N/A</v>
      </c>
      <c r="V51" t="e">
        <f t="shared" si="63"/>
        <v>#N/A</v>
      </c>
      <c r="W51" t="e">
        <f t="shared" si="64"/>
        <v>#N/A</v>
      </c>
      <c r="AC51">
        <f>AC50</f>
        <v>6.2831853071795862</v>
      </c>
      <c r="AD51">
        <f>-1*AD50</f>
        <v>3.1415926535897931</v>
      </c>
      <c r="BC51">
        <v>0.85521133347722222</v>
      </c>
      <c r="BD51">
        <v>137.82891910485168</v>
      </c>
      <c r="BE51">
        <v>-38.027676130970747</v>
      </c>
      <c r="BF51" s="6">
        <f t="shared" si="41"/>
        <v>6.0139779993265021</v>
      </c>
      <c r="BG51" s="6">
        <f t="shared" si="42"/>
        <v>5.1587666658492797</v>
      </c>
      <c r="BH51" s="6">
        <f t="shared" si="2"/>
        <v>3.0792457995669391</v>
      </c>
      <c r="BI51" s="6">
        <f t="shared" si="3"/>
        <v>3.0792457995669391</v>
      </c>
      <c r="BJ51">
        <v>153.14324344983518</v>
      </c>
      <c r="BK51">
        <v>-42.252973478856383</v>
      </c>
      <c r="BV51" s="38"/>
      <c r="BW51" s="6">
        <f t="shared" si="27"/>
        <v>0.62831853071795907</v>
      </c>
      <c r="BX51" s="9">
        <f t="shared" ca="1" si="28"/>
        <v>12.116797470272587</v>
      </c>
      <c r="BY51" s="9">
        <f t="shared" ca="1" si="29"/>
        <v>3.7528622252042041</v>
      </c>
      <c r="BZ51" s="9">
        <f t="shared" ca="1" si="30"/>
        <v>137.99131522437031</v>
      </c>
      <c r="CA51" s="6">
        <f t="shared" ca="1" si="31"/>
        <v>-38.20531035949503</v>
      </c>
      <c r="CB51" s="6">
        <f t="shared" ca="1" si="32"/>
        <v>-0.27010157975645982</v>
      </c>
      <c r="CC51" s="6">
        <f t="shared" ca="1" si="33"/>
        <v>-5.0774992524845741E-3</v>
      </c>
      <c r="CD51" s="9">
        <f t="shared" si="34"/>
        <v>150.1913152243703</v>
      </c>
      <c r="CE51" s="9">
        <f t="shared" si="35"/>
        <v>-42.405310359495033</v>
      </c>
      <c r="CF51" s="6">
        <f t="shared" si="36"/>
        <v>-0.27517907900894439</v>
      </c>
      <c r="CG51" s="6"/>
      <c r="CH51" s="6"/>
      <c r="CI51" s="6"/>
      <c r="CJ51" s="1"/>
      <c r="CK51" s="6"/>
      <c r="DC51">
        <v>1.0041964060062936</v>
      </c>
      <c r="DD51">
        <v>6.0143999174689995</v>
      </c>
      <c r="DE51">
        <v>5.9691798813346963</v>
      </c>
      <c r="DF51">
        <v>-33.863149772897749</v>
      </c>
      <c r="DG51">
        <v>2.6998170707959472</v>
      </c>
      <c r="DH51">
        <v>-3.1591413896208413</v>
      </c>
      <c r="DK51">
        <v>-1.8924476128626413</v>
      </c>
      <c r="DL51">
        <v>-3.091861970051089</v>
      </c>
      <c r="DM51">
        <v>-1.8924476127626413</v>
      </c>
      <c r="DN51">
        <v>-3.0918619700551035</v>
      </c>
      <c r="DO51">
        <v>-1.8924476129626413</v>
      </c>
      <c r="DP51">
        <v>-3.0918619700540324</v>
      </c>
      <c r="DQ51">
        <v>-5.3557158707917552E-3</v>
      </c>
      <c r="DR51">
        <v>-1.1407433076927365</v>
      </c>
    </row>
    <row r="52" spans="1:122" x14ac:dyDescent="0.25">
      <c r="A52" t="s">
        <v>46</v>
      </c>
      <c r="B52" s="6">
        <f t="shared" si="65"/>
        <v>-5.7670510372502024</v>
      </c>
      <c r="C52" s="6">
        <f t="shared" si="65"/>
        <v>-4.3291017929532867</v>
      </c>
      <c r="D52" s="6">
        <f t="shared" si="49"/>
        <v>-5.3199115589857549</v>
      </c>
      <c r="E52" s="6">
        <f t="shared" si="49"/>
        <v>-12.316596161463188</v>
      </c>
      <c r="F52" s="6">
        <f t="shared" si="50"/>
        <v>-17.863540923545855</v>
      </c>
      <c r="G52" s="6">
        <f t="shared" si="51"/>
        <v>-107.34905400504985</v>
      </c>
      <c r="H52" s="6">
        <f t="shared" si="52"/>
        <v>0</v>
      </c>
      <c r="I52" s="6">
        <f t="shared" si="53"/>
        <v>0</v>
      </c>
      <c r="J52" s="6">
        <f t="shared" si="54"/>
        <v>0</v>
      </c>
      <c r="K52" s="6">
        <f t="shared" si="55"/>
        <v>0</v>
      </c>
      <c r="L52" s="6">
        <f t="shared" si="56"/>
        <v>0</v>
      </c>
      <c r="M52" s="6">
        <f t="shared" si="57"/>
        <v>0</v>
      </c>
      <c r="N52" s="10">
        <f t="shared" si="58"/>
        <v>0</v>
      </c>
      <c r="O52" s="10">
        <f t="shared" si="59"/>
        <v>0</v>
      </c>
      <c r="P52" s="10">
        <f t="shared" si="60"/>
        <v>0</v>
      </c>
      <c r="S52" t="e">
        <f t="shared" si="61"/>
        <v>#N/A</v>
      </c>
      <c r="T52" t="e">
        <f t="shared" si="62"/>
        <v>#N/A</v>
      </c>
      <c r="V52" t="e">
        <f t="shared" si="63"/>
        <v>#N/A</v>
      </c>
      <c r="W52" t="e">
        <f t="shared" si="64"/>
        <v>#N/A</v>
      </c>
      <c r="AC52">
        <f>0</f>
        <v>0</v>
      </c>
      <c r="AD52">
        <f>AD51</f>
        <v>3.1415926535897931</v>
      </c>
      <c r="BC52">
        <v>0.87266462599716554</v>
      </c>
      <c r="BD52">
        <v>137.8148150320834</v>
      </c>
      <c r="BE52">
        <v>-38.015630409687127</v>
      </c>
      <c r="BF52" s="6">
        <f t="shared" si="41"/>
        <v>6.0140329834469011</v>
      </c>
      <c r="BG52" s="6">
        <f t="shared" si="42"/>
        <v>5.1413683574497355</v>
      </c>
      <c r="BH52" s="6">
        <f t="shared" si="2"/>
        <v>3.0791908154465402</v>
      </c>
      <c r="BI52" s="6">
        <f t="shared" si="3"/>
        <v>3.0791908154465402</v>
      </c>
      <c r="BJ52">
        <v>153.12757225787044</v>
      </c>
      <c r="BK52">
        <v>-42.239589344096807</v>
      </c>
      <c r="BV52" s="38"/>
      <c r="BW52" s="6">
        <f t="shared" si="27"/>
        <v>0.64577182323790239</v>
      </c>
      <c r="BX52" s="9">
        <f t="shared" ca="1" si="28"/>
        <v>12.105217443340763</v>
      </c>
      <c r="BY52" s="9">
        <f t="shared" ca="1" si="29"/>
        <v>3.7685124941320467</v>
      </c>
      <c r="BZ52" s="9">
        <f t="shared" ca="1" si="30"/>
        <v>137.97973519743849</v>
      </c>
      <c r="CA52" s="6">
        <f t="shared" ca="1" si="31"/>
        <v>-38.189660090567187</v>
      </c>
      <c r="CB52" s="6">
        <f t="shared" ca="1" si="32"/>
        <v>-0.27001781087844395</v>
      </c>
      <c r="CC52" s="6">
        <f t="shared" ca="1" si="33"/>
        <v>-5.0849136110203133E-3</v>
      </c>
      <c r="CD52" s="9">
        <f t="shared" si="34"/>
        <v>150.17973519743848</v>
      </c>
      <c r="CE52" s="9">
        <f t="shared" si="35"/>
        <v>-42.38966009056719</v>
      </c>
      <c r="CF52" s="6">
        <f t="shared" si="36"/>
        <v>-0.27510272448946427</v>
      </c>
      <c r="CG52" s="6"/>
      <c r="CH52" s="6"/>
      <c r="CI52" s="6"/>
      <c r="CJ52" s="1"/>
      <c r="CK52" s="6"/>
      <c r="DC52">
        <v>2.5354892623580492</v>
      </c>
      <c r="DD52">
        <v>5.9691798813346963</v>
      </c>
      <c r="DE52">
        <v>5.9682393280359793</v>
      </c>
      <c r="DF52">
        <v>-174.71397810422334</v>
      </c>
      <c r="DG52">
        <v>1.561341804915777</v>
      </c>
      <c r="DH52">
        <v>-3.1582008363221243</v>
      </c>
      <c r="DK52">
        <v>-1.1407433076927365</v>
      </c>
      <c r="DL52">
        <v>-3.1407234566350839</v>
      </c>
      <c r="DM52">
        <v>-1.1407433075927365</v>
      </c>
      <c r="DN52">
        <v>-3.1407234566358238</v>
      </c>
      <c r="DO52">
        <v>-1.1407433077927365</v>
      </c>
      <c r="DP52">
        <v>-3.1407234566343449</v>
      </c>
      <c r="DQ52">
        <v>-7.3940853440035426E-3</v>
      </c>
      <c r="DR52">
        <v>1.3542663199923932</v>
      </c>
    </row>
    <row r="53" spans="1:122" x14ac:dyDescent="0.25">
      <c r="A53" t="s">
        <v>47</v>
      </c>
      <c r="B53" s="6">
        <f t="shared" si="65"/>
        <v>-5.3199115589857549</v>
      </c>
      <c r="C53" s="6">
        <f t="shared" si="65"/>
        <v>-12.316596161463188</v>
      </c>
      <c r="D53" s="6">
        <f t="shared" si="49"/>
        <v>6.6613299937790984</v>
      </c>
      <c r="E53" s="6">
        <f t="shared" si="49"/>
        <v>-11.645886944066518</v>
      </c>
      <c r="F53" s="6">
        <f t="shared" si="50"/>
        <v>5.5979942850070796E-2</v>
      </c>
      <c r="G53" s="6">
        <f t="shared" si="51"/>
        <v>-12.018787816423735</v>
      </c>
      <c r="H53" s="6">
        <f t="shared" si="52"/>
        <v>0</v>
      </c>
      <c r="I53" s="6">
        <f t="shared" si="53"/>
        <v>0</v>
      </c>
      <c r="J53" s="6">
        <f t="shared" si="54"/>
        <v>0</v>
      </c>
      <c r="K53" s="6">
        <f t="shared" si="55"/>
        <v>0</v>
      </c>
      <c r="L53" s="6">
        <f t="shared" si="56"/>
        <v>0</v>
      </c>
      <c r="M53" s="6">
        <f t="shared" si="57"/>
        <v>0</v>
      </c>
      <c r="N53" s="10">
        <f t="shared" si="58"/>
        <v>0</v>
      </c>
      <c r="O53" s="10">
        <f t="shared" si="59"/>
        <v>0</v>
      </c>
      <c r="P53" s="10">
        <f t="shared" si="60"/>
        <v>0</v>
      </c>
      <c r="S53" t="e">
        <f t="shared" si="61"/>
        <v>#N/A</v>
      </c>
      <c r="T53" t="e">
        <f t="shared" si="62"/>
        <v>#N/A</v>
      </c>
      <c r="V53" t="e">
        <f t="shared" si="63"/>
        <v>#N/A</v>
      </c>
      <c r="W53" t="e">
        <f t="shared" si="64"/>
        <v>#N/A</v>
      </c>
      <c r="AC53">
        <f>AC49</f>
        <v>0</v>
      </c>
      <c r="AD53">
        <f>AD49</f>
        <v>-3.1415926535897931</v>
      </c>
      <c r="BC53">
        <v>0.89011791851710886</v>
      </c>
      <c r="BD53">
        <v>137.80037005112678</v>
      </c>
      <c r="BE53">
        <v>-38.003723245726377</v>
      </c>
      <c r="BF53" s="6">
        <f t="shared" si="41"/>
        <v>6.0140864120179698</v>
      </c>
      <c r="BG53" s="6">
        <f t="shared" si="42"/>
        <v>5.1239684935008611</v>
      </c>
      <c r="BH53" s="6">
        <f t="shared" si="2"/>
        <v>3.0791373868754714</v>
      </c>
      <c r="BI53" s="6">
        <f t="shared" si="3"/>
        <v>3.0791373868754714</v>
      </c>
      <c r="BJ53">
        <v>153.11152227902974</v>
      </c>
      <c r="BK53">
        <v>-42.226359161918197</v>
      </c>
      <c r="BV53" s="38"/>
      <c r="BW53" s="6">
        <f t="shared" si="27"/>
        <v>0.66322511575784571</v>
      </c>
      <c r="BX53" s="9">
        <f t="shared" ca="1" si="28"/>
        <v>12.093542677019599</v>
      </c>
      <c r="BY53" s="9">
        <f t="shared" ca="1" si="29"/>
        <v>3.7837279888828874</v>
      </c>
      <c r="BZ53" s="9">
        <f t="shared" ca="1" si="30"/>
        <v>137.96806043111732</v>
      </c>
      <c r="CA53" s="6">
        <f t="shared" ca="1" si="31"/>
        <v>-38.174444595816347</v>
      </c>
      <c r="CB53" s="6">
        <f t="shared" ca="1" si="32"/>
        <v>-0.26993712770871847</v>
      </c>
      <c r="CC53" s="6">
        <f t="shared" ca="1" si="33"/>
        <v>-5.0920738055090786E-3</v>
      </c>
      <c r="CD53" s="9">
        <f t="shared" si="34"/>
        <v>150.16806043111731</v>
      </c>
      <c r="CE53" s="9">
        <f t="shared" si="35"/>
        <v>-42.37444459581635</v>
      </c>
      <c r="CF53" s="6">
        <f t="shared" si="36"/>
        <v>-0.27502920151422755</v>
      </c>
      <c r="CG53" s="6"/>
      <c r="CH53" s="6"/>
      <c r="CI53" s="6"/>
      <c r="CJ53" s="1"/>
      <c r="CK53" s="6"/>
      <c r="DC53">
        <v>2.6998170707959472</v>
      </c>
      <c r="DD53">
        <v>5.9682393280359793</v>
      </c>
      <c r="DE53">
        <v>6.0054678091535969</v>
      </c>
      <c r="DF53">
        <v>-30.580760528030563</v>
      </c>
      <c r="DG53">
        <v>-1.2509643690847025</v>
      </c>
      <c r="DH53">
        <v>-3.1954293174397419</v>
      </c>
      <c r="DK53">
        <v>1.3542663199923932</v>
      </c>
      <c r="DL53">
        <v>3.0783904055406888</v>
      </c>
      <c r="DM53">
        <v>1.3542663200923932</v>
      </c>
      <c r="DN53">
        <v>3.0783904055447318</v>
      </c>
      <c r="DO53">
        <v>1.3542663198923932</v>
      </c>
      <c r="DP53">
        <v>3.0783904055485074</v>
      </c>
      <c r="DQ53">
        <v>-1.8878232310726162E-2</v>
      </c>
      <c r="DR53">
        <v>1.0570550528474392</v>
      </c>
    </row>
    <row r="54" spans="1:122" x14ac:dyDescent="0.25">
      <c r="A54" t="s">
        <v>48</v>
      </c>
      <c r="B54" s="6">
        <f t="shared" si="65"/>
        <v>6.6613299937790984</v>
      </c>
      <c r="C54" s="6">
        <f t="shared" si="65"/>
        <v>-11.645886944066518</v>
      </c>
      <c r="D54" s="6">
        <f t="shared" si="49"/>
        <v>6.2141905155146508</v>
      </c>
      <c r="E54" s="6">
        <f t="shared" si="49"/>
        <v>-3.6583925755566149</v>
      </c>
      <c r="F54" s="6">
        <f t="shared" si="50"/>
        <v>-17.863540923545859</v>
      </c>
      <c r="G54" s="6">
        <f t="shared" si="51"/>
        <v>107.34905400504989</v>
      </c>
      <c r="H54" s="6">
        <f t="shared" si="52"/>
        <v>0</v>
      </c>
      <c r="I54" s="6">
        <f t="shared" si="53"/>
        <v>0</v>
      </c>
      <c r="J54" s="6">
        <f t="shared" si="54"/>
        <v>0</v>
      </c>
      <c r="K54" s="6">
        <f t="shared" si="55"/>
        <v>0</v>
      </c>
      <c r="L54" s="6">
        <f t="shared" si="56"/>
        <v>0</v>
      </c>
      <c r="M54" s="6">
        <f t="shared" si="57"/>
        <v>0</v>
      </c>
      <c r="N54" s="10">
        <f t="shared" si="58"/>
        <v>0</v>
      </c>
      <c r="O54" s="10">
        <f t="shared" si="59"/>
        <v>0</v>
      </c>
      <c r="P54" s="10">
        <f t="shared" si="60"/>
        <v>0</v>
      </c>
      <c r="S54" t="e">
        <f t="shared" si="61"/>
        <v>#N/A</v>
      </c>
      <c r="T54" t="e">
        <f t="shared" si="62"/>
        <v>#N/A</v>
      </c>
      <c r="V54" t="e">
        <f t="shared" si="63"/>
        <v>#N/A</v>
      </c>
      <c r="W54" t="e">
        <f t="shared" si="64"/>
        <v>#N/A</v>
      </c>
      <c r="BC54">
        <v>0.90757121103705218</v>
      </c>
      <c r="BD54">
        <v>137.78555540491129</v>
      </c>
      <c r="BE54">
        <v>-37.991939568480042</v>
      </c>
      <c r="BF54" s="6">
        <f t="shared" si="41"/>
        <v>6.0141383329759837</v>
      </c>
      <c r="BG54" s="6">
        <f t="shared" si="42"/>
        <v>5.1065671219389319</v>
      </c>
      <c r="BH54" s="6">
        <f t="shared" si="2"/>
        <v>3.0790854659174576</v>
      </c>
      <c r="BI54" s="6">
        <f t="shared" si="3"/>
        <v>3.0790854659174576</v>
      </c>
      <c r="BJ54">
        <v>153.09506156101256</v>
      </c>
      <c r="BK54">
        <v>-42.213266187200048</v>
      </c>
      <c r="BV54" s="38"/>
      <c r="BW54" s="6">
        <f t="shared" si="27"/>
        <v>0.68067840827778903</v>
      </c>
      <c r="BX54" s="9">
        <f t="shared" ca="1" si="28"/>
        <v>12.081759000411438</v>
      </c>
      <c r="BY54" s="9">
        <f t="shared" ca="1" si="29"/>
        <v>3.7985426359249459</v>
      </c>
      <c r="BZ54" s="9">
        <f t="shared" ca="1" si="30"/>
        <v>137.95627675450916</v>
      </c>
      <c r="CA54" s="6">
        <f t="shared" ca="1" si="31"/>
        <v>-38.159629948774288</v>
      </c>
      <c r="CB54" s="6">
        <f t="shared" ca="1" si="32"/>
        <v>-0.26985932923048961</v>
      </c>
      <c r="CC54" s="6">
        <f t="shared" ca="1" si="33"/>
        <v>-5.0989971035625414E-3</v>
      </c>
      <c r="CD54" s="9">
        <f t="shared" si="34"/>
        <v>150.15627675450915</v>
      </c>
      <c r="CE54" s="9">
        <f t="shared" si="35"/>
        <v>-42.359629948774291</v>
      </c>
      <c r="CF54" s="6">
        <f t="shared" si="36"/>
        <v>-0.27495832633405215</v>
      </c>
      <c r="CG54" s="6"/>
      <c r="CH54" s="6"/>
      <c r="CI54" s="6"/>
      <c r="CJ54" s="1"/>
      <c r="CK54" s="6"/>
      <c r="DC54">
        <v>1.561341804915777</v>
      </c>
      <c r="DD54">
        <v>6.0054678091535969</v>
      </c>
      <c r="DE54">
        <v>5.9498414281239311</v>
      </c>
      <c r="DF54">
        <v>50.557058035119439</v>
      </c>
      <c r="DG54">
        <v>-2.9105309645176769</v>
      </c>
      <c r="DH54">
        <v>-3.1398029364100761</v>
      </c>
      <c r="DK54">
        <v>1.0570550528474392</v>
      </c>
      <c r="DL54">
        <v>3.0786989513541938</v>
      </c>
      <c r="DM54">
        <v>1.0570550529474392</v>
      </c>
      <c r="DN54">
        <v>3.0786989513551655</v>
      </c>
      <c r="DO54">
        <v>1.0570550527474392</v>
      </c>
      <c r="DP54">
        <v>3.0786989513532301</v>
      </c>
      <c r="DQ54">
        <v>9.6767038826328644E-3</v>
      </c>
      <c r="DR54">
        <v>-2.9394264928241132</v>
      </c>
    </row>
    <row r="55" spans="1:122" x14ac:dyDescent="0.25">
      <c r="A55" t="s">
        <v>93</v>
      </c>
      <c r="B55" s="6">
        <f t="shared" si="65"/>
        <v>6.2141905155146508</v>
      </c>
      <c r="C55" s="6">
        <f t="shared" si="65"/>
        <v>-3.6583925755566149</v>
      </c>
      <c r="D55" s="6">
        <f t="shared" si="49"/>
        <v>6.2141905155146508</v>
      </c>
      <c r="E55" s="6">
        <f t="shared" si="49"/>
        <v>-3.6583925755566149</v>
      </c>
      <c r="F55" s="6" t="str">
        <f t="shared" si="50"/>
        <v>V</v>
      </c>
      <c r="G55" s="6">
        <f t="shared" si="51"/>
        <v>0</v>
      </c>
      <c r="H55" s="6">
        <f t="shared" si="52"/>
        <v>0</v>
      </c>
      <c r="I55" s="6">
        <f t="shared" si="53"/>
        <v>0</v>
      </c>
      <c r="J55" s="6">
        <f t="shared" si="54"/>
        <v>0</v>
      </c>
      <c r="K55" s="6">
        <f t="shared" si="55"/>
        <v>0</v>
      </c>
      <c r="L55" s="6">
        <f t="shared" si="56"/>
        <v>0</v>
      </c>
      <c r="M55" s="6">
        <f t="shared" si="57"/>
        <v>0</v>
      </c>
      <c r="N55" s="10">
        <f t="shared" si="58"/>
        <v>0</v>
      </c>
      <c r="O55" s="10">
        <f t="shared" si="59"/>
        <v>0</v>
      </c>
      <c r="P55" s="10">
        <f t="shared" si="60"/>
        <v>0</v>
      </c>
      <c r="S55" t="e">
        <f t="shared" si="61"/>
        <v>#N/A</v>
      </c>
      <c r="T55" t="e">
        <f t="shared" si="62"/>
        <v>#N/A</v>
      </c>
      <c r="V55" t="e">
        <f t="shared" si="63"/>
        <v>#N/A</v>
      </c>
      <c r="W55" t="e">
        <f t="shared" si="64"/>
        <v>#N/A</v>
      </c>
      <c r="BC55">
        <v>0.9250245035569955</v>
      </c>
      <c r="BD55">
        <v>137.77033990966027</v>
      </c>
      <c r="BE55">
        <v>-37.980264802333501</v>
      </c>
      <c r="BF55" s="6">
        <f t="shared" si="41"/>
        <v>6.0141887864547536</v>
      </c>
      <c r="BG55" s="6">
        <f t="shared" si="42"/>
        <v>5.0891642828977579</v>
      </c>
      <c r="BH55" s="6">
        <f t="shared" si="2"/>
        <v>3.0790350124386876</v>
      </c>
      <c r="BI55" s="6">
        <f t="shared" si="3"/>
        <v>3.0790350124386876</v>
      </c>
      <c r="BJ55">
        <v>153.07815545517806</v>
      </c>
      <c r="BK55">
        <v>-42.200294224815003</v>
      </c>
      <c r="BV55" s="38"/>
      <c r="BW55" s="6">
        <f t="shared" si="27"/>
        <v>0.69813170079773235</v>
      </c>
      <c r="BX55" s="9">
        <f t="shared" ca="1" si="28"/>
        <v>12.069851836735864</v>
      </c>
      <c r="BY55" s="9">
        <f t="shared" ca="1" si="29"/>
        <v>3.8129876168394361</v>
      </c>
      <c r="BZ55" s="9">
        <f t="shared" ca="1" si="30"/>
        <v>137.94436959083359</v>
      </c>
      <c r="CA55" s="6">
        <f t="shared" ca="1" si="31"/>
        <v>-38.145184967859798</v>
      </c>
      <c r="CB55" s="6">
        <f t="shared" ca="1" si="32"/>
        <v>-0.26978423353102449</v>
      </c>
      <c r="CC55" s="6">
        <f t="shared" ca="1" si="33"/>
        <v>-5.1056991942851062E-3</v>
      </c>
      <c r="CD55" s="9">
        <f t="shared" si="34"/>
        <v>150.14436959083358</v>
      </c>
      <c r="CE55" s="9">
        <f t="shared" si="35"/>
        <v>-42.345184967859801</v>
      </c>
      <c r="CF55" s="6">
        <f t="shared" si="36"/>
        <v>-0.27488993272530959</v>
      </c>
      <c r="CG55" s="6"/>
      <c r="CH55" s="6"/>
      <c r="CI55" s="6"/>
      <c r="CJ55" s="1"/>
      <c r="CK55" s="6"/>
      <c r="DC55">
        <v>-1.2509643690847025</v>
      </c>
      <c r="DD55">
        <v>5.9498414281239311</v>
      </c>
      <c r="DE55">
        <v>5.9072263648852772</v>
      </c>
      <c r="DF55">
        <v>38.943192132299046</v>
      </c>
      <c r="DG55">
        <v>2.1387927643327105</v>
      </c>
      <c r="DH55">
        <v>-3.0971878731714222</v>
      </c>
      <c r="DK55">
        <v>-2.9394264928241132</v>
      </c>
      <c r="DL55">
        <v>-3.0979167766471356</v>
      </c>
      <c r="DM55">
        <v>-2.9394264927241132</v>
      </c>
      <c r="DN55">
        <v>-3.0979167766394458</v>
      </c>
      <c r="DO55">
        <v>-2.9394264929241132</v>
      </c>
      <c r="DP55">
        <v>-3.097916776649587</v>
      </c>
      <c r="DQ55">
        <v>5.070610598068015E-2</v>
      </c>
      <c r="DR55">
        <v>1.6074427934128557</v>
      </c>
    </row>
    <row r="56" spans="1:122" ht="15.75" thickBot="1" x14ac:dyDescent="0.3">
      <c r="A56" t="s">
        <v>94</v>
      </c>
      <c r="B56" s="6">
        <f t="shared" si="65"/>
        <v>6.2141905155146508</v>
      </c>
      <c r="C56" s="6">
        <f t="shared" si="65"/>
        <v>-3.6583925755566149</v>
      </c>
      <c r="D56" s="6">
        <f t="shared" si="49"/>
        <v>5.3199115589857549</v>
      </c>
      <c r="E56" s="6">
        <f t="shared" si="49"/>
        <v>12.316596161463188</v>
      </c>
      <c r="F56" s="6">
        <f t="shared" si="50"/>
        <v>-17.863540923545838</v>
      </c>
      <c r="G56" s="6">
        <f t="shared" si="51"/>
        <v>107.34905400504975</v>
      </c>
      <c r="H56" s="6">
        <f t="shared" si="52"/>
        <v>5.3516835679546615</v>
      </c>
      <c r="I56" s="6">
        <f t="shared" si="53"/>
        <v>11.749035579023856</v>
      </c>
      <c r="J56" s="6">
        <f t="shared" si="54"/>
        <v>5.3199115589857549</v>
      </c>
      <c r="K56" s="6">
        <f t="shared" si="55"/>
        <v>12.316596161463188</v>
      </c>
      <c r="L56" s="6">
        <f t="shared" si="56"/>
        <v>4.25</v>
      </c>
      <c r="M56" s="6">
        <f t="shared" si="57"/>
        <v>4.25</v>
      </c>
      <c r="N56" s="11">
        <f t="shared" si="58"/>
        <v>12.870650584831473</v>
      </c>
      <c r="O56" s="11">
        <f t="shared" si="59"/>
        <v>154.86654387792387</v>
      </c>
      <c r="P56" s="11">
        <f t="shared" si="60"/>
        <v>-34.33769447176779</v>
      </c>
      <c r="S56">
        <f t="shared" si="61"/>
        <v>5.3516835679546615</v>
      </c>
      <c r="T56">
        <f t="shared" si="62"/>
        <v>11.749035579023856</v>
      </c>
      <c r="V56">
        <f t="shared" si="63"/>
        <v>5.3199115589857549</v>
      </c>
      <c r="W56">
        <f t="shared" si="64"/>
        <v>12.316596161463188</v>
      </c>
      <c r="BC56">
        <v>0.94247779607693882</v>
      </c>
      <c r="BD56">
        <v>137.75468964094392</v>
      </c>
      <c r="BE56">
        <v>-37.968684775962636</v>
      </c>
      <c r="BF56" s="6">
        <f t="shared" si="41"/>
        <v>6.014237804810441</v>
      </c>
      <c r="BG56" s="6">
        <f t="shared" si="42"/>
        <v>5.0717600087335022</v>
      </c>
      <c r="BH56" s="6">
        <f t="shared" si="2"/>
        <v>3.0789859940830002</v>
      </c>
      <c r="BI56" s="6">
        <f t="shared" si="3"/>
        <v>3.0789859940830002</v>
      </c>
      <c r="BJ56">
        <v>153.06076626771548</v>
      </c>
      <c r="BK56">
        <v>-42.187427528847373</v>
      </c>
      <c r="BV56" s="38"/>
      <c r="BW56" s="6">
        <f t="shared" si="27"/>
        <v>0.71558499331767567</v>
      </c>
      <c r="BX56" s="9">
        <f t="shared" ca="1" si="28"/>
        <v>12.057806114893054</v>
      </c>
      <c r="BY56" s="9">
        <f t="shared" ca="1" si="29"/>
        <v>3.8270916889950044</v>
      </c>
      <c r="BZ56" s="9">
        <f t="shared" ca="1" si="30"/>
        <v>137.93232386899078</v>
      </c>
      <c r="CA56" s="6">
        <f t="shared" ca="1" si="31"/>
        <v>-38.13108089570423</v>
      </c>
      <c r="CB56" s="6">
        <f t="shared" ca="1" si="32"/>
        <v>-0.26971167582195493</v>
      </c>
      <c r="CC56" s="6">
        <f t="shared" ca="1" si="33"/>
        <v>-5.1121943562902339E-3</v>
      </c>
      <c r="CD56" s="9">
        <f t="shared" si="34"/>
        <v>150.13232386899077</v>
      </c>
      <c r="CE56" s="9">
        <f t="shared" si="35"/>
        <v>-42.331080895704233</v>
      </c>
      <c r="CF56" s="6">
        <f t="shared" si="36"/>
        <v>-0.27482387017824517</v>
      </c>
      <c r="CG56" s="6"/>
      <c r="CH56" s="6"/>
      <c r="CI56" s="6"/>
      <c r="CJ56" s="1"/>
      <c r="CK56" s="6"/>
      <c r="DC56">
        <v>-2.9105309645176769</v>
      </c>
      <c r="DD56">
        <v>5.9072263648852772</v>
      </c>
      <c r="DE56">
        <v>5.9709680694799516</v>
      </c>
      <c r="DF56">
        <v>79.215385922896303</v>
      </c>
      <c r="DG56">
        <v>3.0719486736771655</v>
      </c>
      <c r="DH56">
        <v>-3.1609295777660966</v>
      </c>
      <c r="DK56">
        <v>1.6074427934128557</v>
      </c>
      <c r="DL56">
        <v>3.1099792969885582</v>
      </c>
      <c r="DM56">
        <v>1.6074427935128557</v>
      </c>
      <c r="DN56">
        <v>3.1099792969995459</v>
      </c>
      <c r="DO56">
        <v>1.6074427933128557</v>
      </c>
      <c r="DP56">
        <v>3.1099792969745748</v>
      </c>
      <c r="DQ56">
        <v>0.1248556813493451</v>
      </c>
      <c r="DR56">
        <v>1.8315914504654929</v>
      </c>
    </row>
    <row r="57" spans="1:122" ht="15.75" thickTop="1" x14ac:dyDescent="0.25">
      <c r="N57" s="6">
        <f>SUM(N49:N56)</f>
        <v>12.266192586802923</v>
      </c>
      <c r="O57" s="6">
        <f>SUM(O49:O56)</f>
        <v>146.4365355911325</v>
      </c>
      <c r="P57" s="6">
        <f>SUM(P49:P56)</f>
        <v>-23.930789737454589</v>
      </c>
      <c r="BC57">
        <v>0.95993108859688214</v>
      </c>
      <c r="BD57">
        <v>137.73856755505938</v>
      </c>
      <c r="BE57">
        <v>-37.95718564241178</v>
      </c>
      <c r="BF57" s="6">
        <f t="shared" si="41"/>
        <v>6.0142854124535763</v>
      </c>
      <c r="BG57" s="6">
        <f t="shared" si="42"/>
        <v>5.0543543238566944</v>
      </c>
      <c r="BH57" s="6">
        <f t="shared" si="2"/>
        <v>3.0789383864398649</v>
      </c>
      <c r="BI57" s="6">
        <f t="shared" si="3"/>
        <v>3.0789383864398649</v>
      </c>
      <c r="BJ57">
        <v>153.04285283895487</v>
      </c>
      <c r="BK57">
        <v>-42.174650713790868</v>
      </c>
      <c r="BV57" s="38"/>
      <c r="BW57" s="6">
        <f t="shared" si="27"/>
        <v>0.73303828583761899</v>
      </c>
      <c r="BX57" s="9">
        <f t="shared" ca="1" si="28"/>
        <v>12.045606179681812</v>
      </c>
      <c r="BY57" s="9">
        <f t="shared" ca="1" si="29"/>
        <v>3.840881466722557</v>
      </c>
      <c r="BZ57" s="9">
        <f t="shared" ca="1" si="30"/>
        <v>137.92012393377954</v>
      </c>
      <c r="CA57" s="6">
        <f t="shared" ca="1" si="31"/>
        <v>-38.117291117976677</v>
      </c>
      <c r="CB57" s="6">
        <f t="shared" ca="1" si="32"/>
        <v>-0.26964150672577536</v>
      </c>
      <c r="CC57" s="6">
        <f t="shared" ca="1" si="33"/>
        <v>-5.1184956036006701E-3</v>
      </c>
      <c r="CD57" s="9">
        <f t="shared" si="34"/>
        <v>150.12012393377952</v>
      </c>
      <c r="CE57" s="9">
        <f t="shared" si="35"/>
        <v>-42.31729111797668</v>
      </c>
      <c r="CF57" s="6">
        <f t="shared" si="36"/>
        <v>-0.27476000232937603</v>
      </c>
      <c r="CG57" s="6"/>
      <c r="CH57" s="6"/>
      <c r="CI57" s="6"/>
      <c r="CJ57" s="1"/>
      <c r="CK57" s="6"/>
      <c r="DC57">
        <v>2.1387927643327105</v>
      </c>
      <c r="DD57">
        <v>5.9709680694799516</v>
      </c>
      <c r="DE57">
        <v>5.954145003161651</v>
      </c>
      <c r="DF57">
        <v>-55.468836161534874</v>
      </c>
      <c r="DG57">
        <v>1.542689030561512</v>
      </c>
      <c r="DH57">
        <v>-3.144106511447796</v>
      </c>
      <c r="DK57">
        <v>1.8315914504654929</v>
      </c>
      <c r="DL57">
        <v>3.1181198114276203</v>
      </c>
      <c r="DM57">
        <v>1.8315914505654929</v>
      </c>
      <c r="DN57">
        <v>3.1181198114307467</v>
      </c>
      <c r="DO57">
        <v>1.8315914503654929</v>
      </c>
      <c r="DP57">
        <v>3.1181198114244948</v>
      </c>
      <c r="DQ57">
        <v>3.1259439481345908E-2</v>
      </c>
      <c r="DR57">
        <v>2.6128531344680717</v>
      </c>
    </row>
    <row r="58" spans="1:122" x14ac:dyDescent="0.25">
      <c r="O58" s="6">
        <f>O57/N57</f>
        <v>11.938222439836967</v>
      </c>
      <c r="P58" s="6">
        <f>-1*P57/N57</f>
        <v>1.9509549983098662</v>
      </c>
      <c r="S58">
        <f>(P58*COS(-1*$B$27))+(O58*SIN(-1*$B$27))+$I$2</f>
        <v>3.3848384230787598</v>
      </c>
      <c r="T58">
        <f>(-1*P58*SIN(-1*$B$27))+(O58*COS(-1*$B$27))+$I$3</f>
        <v>0.18948306148067218</v>
      </c>
      <c r="BC58">
        <v>0.97738438111682546</v>
      </c>
      <c r="BD58">
        <v>137.72193306937507</v>
      </c>
      <c r="BE58">
        <v>-37.945753793402318</v>
      </c>
      <c r="BF58" s="6">
        <f t="shared" si="41"/>
        <v>6.0143316256437753</v>
      </c>
      <c r="BG58" s="6">
        <f t="shared" si="42"/>
        <v>5.0369472445269494</v>
      </c>
      <c r="BH58" s="6">
        <f t="shared" si="2"/>
        <v>3.0788921732496659</v>
      </c>
      <c r="BI58" s="6">
        <f t="shared" si="3"/>
        <v>3.0788921732496659</v>
      </c>
      <c r="BJ58">
        <v>153.0243700770834</v>
      </c>
      <c r="BK58">
        <v>-42.161948659335906</v>
      </c>
      <c r="BV58" s="38"/>
      <c r="BW58" s="6">
        <f t="shared" si="27"/>
        <v>0.75049157835756231</v>
      </c>
      <c r="BX58" s="9">
        <f t="shared" ca="1" si="28"/>
        <v>12.033235692458931</v>
      </c>
      <c r="BY58" s="9">
        <f t="shared" ca="1" si="29"/>
        <v>3.8543816664416681</v>
      </c>
      <c r="BZ58" s="9">
        <f t="shared" ca="1" si="30"/>
        <v>137.90775344655665</v>
      </c>
      <c r="CA58" s="6">
        <f t="shared" ca="1" si="31"/>
        <v>-38.103790918257566</v>
      </c>
      <c r="CB58" s="6">
        <f t="shared" ca="1" si="32"/>
        <v>-0.26957359082095494</v>
      </c>
      <c r="CC58" s="6">
        <f t="shared" ca="1" si="33"/>
        <v>-5.1246148103235023E-3</v>
      </c>
      <c r="CD58" s="9">
        <f t="shared" si="34"/>
        <v>150.10775344655664</v>
      </c>
      <c r="CE58" s="9">
        <f t="shared" si="35"/>
        <v>-42.303790918257569</v>
      </c>
      <c r="CF58" s="6">
        <f t="shared" si="36"/>
        <v>-0.27469820563127845</v>
      </c>
      <c r="CG58" s="6"/>
      <c r="CH58" s="6"/>
      <c r="CI58" s="6"/>
      <c r="CJ58" s="1"/>
      <c r="CK58" s="6"/>
      <c r="DC58">
        <v>3.0719486736771655</v>
      </c>
      <c r="DD58">
        <v>5.954145003161651</v>
      </c>
      <c r="DE58">
        <v>6.0109938219070136</v>
      </c>
      <c r="DF58">
        <v>-26.900464721448607</v>
      </c>
      <c r="DG58">
        <v>-0.31471933515875949</v>
      </c>
      <c r="DH58">
        <v>-3.2009553301931586</v>
      </c>
      <c r="DK58">
        <v>2.6128531344680717</v>
      </c>
      <c r="DL58">
        <v>3.1244199516103563</v>
      </c>
      <c r="DM58">
        <v>2.6128531345680717</v>
      </c>
      <c r="DN58">
        <v>3.1244199516110047</v>
      </c>
      <c r="DO58">
        <v>2.6128531343680717</v>
      </c>
      <c r="DP58">
        <v>3.124419951609708</v>
      </c>
      <c r="DQ58">
        <v>6.4837024638109142E-3</v>
      </c>
      <c r="DR58">
        <v>-1.7533008425321084</v>
      </c>
    </row>
    <row r="59" spans="1:122" x14ac:dyDescent="0.25">
      <c r="A59" t="s">
        <v>54</v>
      </c>
      <c r="O59">
        <f>O57/12</f>
        <v>12.203044632594375</v>
      </c>
      <c r="P59">
        <f>P57/12</f>
        <v>-1.9942324781212157</v>
      </c>
      <c r="BC59">
        <v>0.99483767363676878</v>
      </c>
      <c r="BD59">
        <v>137.70474155973696</v>
      </c>
      <c r="BE59">
        <v>-37.934375780823999</v>
      </c>
      <c r="BF59" s="6">
        <f t="shared" si="41"/>
        <v>6.0143764520817173</v>
      </c>
      <c r="BG59" s="6">
        <f t="shared" si="42"/>
        <v>5.0195387784449483</v>
      </c>
      <c r="BH59" s="6">
        <f t="shared" si="2"/>
        <v>3.0788473468117239</v>
      </c>
      <c r="BI59" s="6">
        <f t="shared" si="3"/>
        <v>3.0788473468117239</v>
      </c>
      <c r="BJ59">
        <v>153.00526839970772</v>
      </c>
      <c r="BK59">
        <v>-42.149306423137773</v>
      </c>
      <c r="BV59" s="38"/>
      <c r="BW59" s="6">
        <f t="shared" si="27"/>
        <v>0.76794487087750563</v>
      </c>
      <c r="BX59" s="9">
        <f t="shared" ca="1" si="28"/>
        <v>12.020677522453354</v>
      </c>
      <c r="BY59" s="9">
        <f t="shared" ca="1" si="29"/>
        <v>3.8676153216988922</v>
      </c>
      <c r="BZ59" s="9">
        <f t="shared" ca="1" si="30"/>
        <v>137.89519527655108</v>
      </c>
      <c r="CA59" s="6">
        <f t="shared" ca="1" si="31"/>
        <v>-38.090557263000342</v>
      </c>
      <c r="CB59" s="6">
        <f t="shared" ca="1" si="32"/>
        <v>-0.26950780540543023</v>
      </c>
      <c r="CC59" s="6">
        <f t="shared" ca="1" si="33"/>
        <v>-5.1305628174458948E-3</v>
      </c>
      <c r="CD59" s="9">
        <f t="shared" si="34"/>
        <v>150.09519527655107</v>
      </c>
      <c r="CE59" s="9">
        <f t="shared" si="35"/>
        <v>-42.290557263000345</v>
      </c>
      <c r="CF59" s="6">
        <f t="shared" si="36"/>
        <v>-0.27463836822287613</v>
      </c>
      <c r="CG59" s="6"/>
      <c r="CH59" s="6"/>
      <c r="CI59" s="6"/>
      <c r="CJ59" s="1"/>
      <c r="CK59" s="6"/>
      <c r="DC59">
        <v>1.542689030561512</v>
      </c>
      <c r="DD59">
        <v>6.0109938219070136</v>
      </c>
      <c r="DE59">
        <v>5.9573967073536673</v>
      </c>
      <c r="DF59">
        <v>34.655006733087404</v>
      </c>
      <c r="DG59">
        <v>-2.5722892675414384</v>
      </c>
      <c r="DH59">
        <v>-3.1473582156398123</v>
      </c>
      <c r="DK59">
        <v>-1.7533008425321084</v>
      </c>
      <c r="DL59">
        <v>-3.0923479916170633</v>
      </c>
      <c r="DM59">
        <v>-1.7533008424321084</v>
      </c>
      <c r="DN59">
        <v>-3.0923479916189125</v>
      </c>
      <c r="DO59">
        <v>-1.7533008426321084</v>
      </c>
      <c r="DP59">
        <v>-3.0923479916152123</v>
      </c>
      <c r="DQ59">
        <v>-1.8500756482353609E-2</v>
      </c>
      <c r="DR59">
        <v>0.74559176064811028</v>
      </c>
    </row>
    <row r="60" spans="1:122" x14ac:dyDescent="0.25">
      <c r="BC60">
        <v>1.0122909661567121</v>
      </c>
      <c r="BD60">
        <v>137.68694378122683</v>
      </c>
      <c r="BE60">
        <v>-37.923038234630312</v>
      </c>
      <c r="BF60" s="6">
        <f t="shared" si="41"/>
        <v>6.0144198903826318</v>
      </c>
      <c r="BG60" s="6">
        <f t="shared" si="42"/>
        <v>5.0021289242259197</v>
      </c>
      <c r="BH60" s="6">
        <f t="shared" si="2"/>
        <v>3.0788039085108094</v>
      </c>
      <c r="BI60" s="6">
        <f t="shared" si="3"/>
        <v>3.0788039085108094</v>
      </c>
      <c r="BJ60">
        <v>152.98549309025202</v>
      </c>
      <c r="BK60">
        <v>-42.136709149589237</v>
      </c>
      <c r="BV60" s="38"/>
      <c r="BW60" s="6">
        <f t="shared" si="27"/>
        <v>0.78539816339744895</v>
      </c>
      <c r="BX60" s="9">
        <f t="shared" ca="1" si="28"/>
        <v>12.007913638881973</v>
      </c>
      <c r="BY60" s="9">
        <f t="shared" ca="1" si="29"/>
        <v>3.8806039777166532</v>
      </c>
      <c r="BZ60" s="9">
        <f t="shared" ca="1" si="30"/>
        <v>137.8824313929797</v>
      </c>
      <c r="CA60" s="6">
        <f t="shared" ca="1" si="31"/>
        <v>-38.077568606982581</v>
      </c>
      <c r="CB60" s="6">
        <f t="shared" ca="1" si="32"/>
        <v>-0.26944403939518213</v>
      </c>
      <c r="CC60" s="6">
        <f t="shared" ca="1" si="33"/>
        <v>-5.1363495283786595E-3</v>
      </c>
      <c r="CD60" s="9">
        <f t="shared" si="34"/>
        <v>150.08243139297969</v>
      </c>
      <c r="CE60" s="9">
        <f t="shared" si="35"/>
        <v>-42.277568606982584</v>
      </c>
      <c r="CF60" s="6">
        <f t="shared" si="36"/>
        <v>-0.27458038892356079</v>
      </c>
      <c r="CG60" s="6"/>
      <c r="CH60" s="6"/>
      <c r="CI60" s="6"/>
      <c r="CJ60" s="1"/>
      <c r="CK60" s="6"/>
      <c r="DC60">
        <v>-0.31471933515875949</v>
      </c>
      <c r="DD60">
        <v>5.9573967073536673</v>
      </c>
      <c r="DE60">
        <v>5.903512475780631</v>
      </c>
      <c r="DF60">
        <v>41.896671187055887</v>
      </c>
      <c r="DG60">
        <v>-0.23166015292759051</v>
      </c>
      <c r="DH60">
        <v>-3.093473984066776</v>
      </c>
      <c r="DK60">
        <v>0.74559176064811028</v>
      </c>
      <c r="DL60">
        <v>3.0796309290072994</v>
      </c>
      <c r="DM60">
        <v>0.74559176074811029</v>
      </c>
      <c r="DN60">
        <v>3.0796309290106754</v>
      </c>
      <c r="DO60">
        <v>0.74559176054811027</v>
      </c>
      <c r="DP60">
        <v>3.0796309290097472</v>
      </c>
      <c r="DQ60">
        <v>4.6407322429331543E-3</v>
      </c>
      <c r="DR60">
        <v>-3.1287885125732471</v>
      </c>
    </row>
    <row r="61" spans="1:122" x14ac:dyDescent="0.25">
      <c r="A61">
        <f t="shared" ref="A61:E71" si="66">A14</f>
        <v>0</v>
      </c>
      <c r="B61" s="1" t="str">
        <f t="shared" si="66"/>
        <v>Bar #</v>
      </c>
      <c r="C61" s="1" t="str">
        <f t="shared" si="66"/>
        <v>As (in^2)</v>
      </c>
      <c r="D61" s="1" t="str">
        <f t="shared" si="66"/>
        <v>x</v>
      </c>
      <c r="E61" s="1" t="str">
        <f t="shared" si="66"/>
        <v>y</v>
      </c>
      <c r="F61" s="1" t="s">
        <v>55</v>
      </c>
      <c r="G61" s="1" t="s">
        <v>56</v>
      </c>
      <c r="H61" s="1" t="s">
        <v>21</v>
      </c>
      <c r="I61" s="1" t="s">
        <v>22</v>
      </c>
      <c r="J61" s="1" t="s">
        <v>57</v>
      </c>
      <c r="K61" s="1" t="s">
        <v>58</v>
      </c>
      <c r="L61" s="1" t="s">
        <v>59</v>
      </c>
      <c r="M61" s="1" t="s">
        <v>60</v>
      </c>
      <c r="N61" s="1" t="s">
        <v>61</v>
      </c>
      <c r="O61" s="1" t="s">
        <v>62</v>
      </c>
      <c r="BC61">
        <v>1.0297442586766554</v>
      </c>
      <c r="BD61">
        <v>137.66848518833402</v>
      </c>
      <c r="BE61">
        <v>-37.911727778775692</v>
      </c>
      <c r="BF61" s="6">
        <f t="shared" si="41"/>
        <v>6.0144619293755426</v>
      </c>
      <c r="BG61" s="6">
        <f t="shared" si="42"/>
        <v>4.9847176706988874</v>
      </c>
      <c r="BH61" s="6">
        <f t="shared" si="2"/>
        <v>3.0787618695178987</v>
      </c>
      <c r="BI61" s="6">
        <f t="shared" si="3"/>
        <v>3.0787618695178987</v>
      </c>
      <c r="BJ61">
        <v>152.96498354259336</v>
      </c>
      <c r="BK61">
        <v>-42.124141976417434</v>
      </c>
      <c r="BV61" s="38"/>
      <c r="BW61" s="6">
        <f t="shared" si="27"/>
        <v>0.80285145591739226</v>
      </c>
      <c r="BX61" s="9">
        <f t="shared" ca="1" si="28"/>
        <v>11.994924982910135</v>
      </c>
      <c r="BY61" s="9">
        <f t="shared" ca="1" si="29"/>
        <v>3.8933678608621562</v>
      </c>
      <c r="BZ61" s="9">
        <f t="shared" ca="1" si="30"/>
        <v>137.86944273700786</v>
      </c>
      <c r="CA61" s="6">
        <f t="shared" ca="1" si="31"/>
        <v>-38.064804723837078</v>
      </c>
      <c r="CB61" s="6">
        <f t="shared" ca="1" si="32"/>
        <v>-0.26938219242804656</v>
      </c>
      <c r="CC61" s="6">
        <f t="shared" ca="1" si="33"/>
        <v>-5.141983988061205E-3</v>
      </c>
      <c r="CD61" s="9">
        <f t="shared" si="34"/>
        <v>150.06944273700785</v>
      </c>
      <c r="CE61" s="9">
        <f t="shared" si="35"/>
        <v>-42.264804723837081</v>
      </c>
      <c r="CF61" s="6">
        <f t="shared" si="36"/>
        <v>-0.27452417641610777</v>
      </c>
      <c r="CG61" s="6"/>
      <c r="CH61" s="6"/>
      <c r="CI61" s="6"/>
      <c r="CJ61" s="1"/>
      <c r="CK61" s="6"/>
      <c r="DC61">
        <v>-2.5722892675414384</v>
      </c>
      <c r="DD61">
        <v>5.903512475780631</v>
      </c>
      <c r="DE61">
        <v>5.9590012754239723</v>
      </c>
      <c r="DF61">
        <v>42.18201023735292</v>
      </c>
      <c r="DG61">
        <v>-1.1143490816597839</v>
      </c>
      <c r="DH61">
        <v>-3.1489627837101173</v>
      </c>
      <c r="DK61">
        <v>-3.1287885125732471</v>
      </c>
      <c r="DL61">
        <v>-3.1203455470996824</v>
      </c>
      <c r="DM61">
        <v>-3.1287885124732471</v>
      </c>
      <c r="DN61">
        <v>-3.120345547067183</v>
      </c>
      <c r="DO61">
        <v>-3.1287885126732471</v>
      </c>
      <c r="DP61">
        <v>-3.1203455471352575</v>
      </c>
      <c r="DQ61">
        <v>0.34037217488958049</v>
      </c>
      <c r="DR61">
        <v>-0.24452190300332902</v>
      </c>
    </row>
    <row r="62" spans="1:122" x14ac:dyDescent="0.25">
      <c r="A62">
        <f t="shared" si="66"/>
        <v>1</v>
      </c>
      <c r="B62" s="1">
        <f t="shared" si="66"/>
        <v>8</v>
      </c>
      <c r="C62" s="1">
        <f t="shared" ca="1" si="66"/>
        <v>0.79</v>
      </c>
      <c r="D62" s="1">
        <f t="shared" si="66"/>
        <v>2</v>
      </c>
      <c r="E62" s="1">
        <f t="shared" si="66"/>
        <v>2</v>
      </c>
      <c r="F62" s="1">
        <f t="shared" ref="F62:F71" si="67">D62-$I$2</f>
        <v>-4</v>
      </c>
      <c r="G62" s="1">
        <f t="shared" ref="G62:G71" si="68">E62-$I$3</f>
        <v>-10</v>
      </c>
      <c r="H62" s="6">
        <f t="shared" ref="H62:H71" si="69">F62*COS($B$27)+G62*SIN($B$27)</f>
        <v>3.4348228364243911</v>
      </c>
      <c r="I62" s="6">
        <f t="shared" ref="I62:I71" si="70">-1*F62*SIN($B$27)+G62*COS($B$27)</f>
        <v>10.2079376997696</v>
      </c>
      <c r="J62" s="6">
        <f t="shared" ref="J62:J71" si="71">$G$38-I62</f>
        <v>2.1086584616935884</v>
      </c>
      <c r="K62">
        <f t="shared" ref="K62:K71" ca="1" si="72">IF($B$28=0,-1,IF(C62=0,0,(($B$28-J62)/$B$28)*$B$30)*IF($B$28&lt;0,-1,1))</f>
        <v>-5.9167226630041057E-3</v>
      </c>
      <c r="L62">
        <f t="shared" ref="L62:L71" ca="1" si="73">IF(AND(K62&gt;0,J62&lt;=$B$29),MIN((K62*B$13),B$12)-$B$31,MAX(K62*B$13,-1*B$12))</f>
        <v>-60</v>
      </c>
      <c r="M62" s="6">
        <f t="shared" ref="M62:M71" ca="1" si="74">L62*C62</f>
        <v>-47.400000000000006</v>
      </c>
      <c r="N62" s="6">
        <f t="shared" ref="N62:N71" ca="1" si="75">M62*I62</f>
        <v>-483.85624696907911</v>
      </c>
      <c r="O62" s="6">
        <f t="shared" ref="O62:O71" ca="1" si="76">M62*H62*-1</f>
        <v>162.81060244651616</v>
      </c>
      <c r="Q62">
        <f t="shared" ref="Q62:Q71" si="77">IF($B62=0,NA(),H62)</f>
        <v>3.4348228364243911</v>
      </c>
      <c r="R62">
        <f t="shared" ref="R62:R71" si="78">IF($B62=0,NA(),I62)</f>
        <v>10.2079376997696</v>
      </c>
      <c r="BC62">
        <v>1.0471975511965987</v>
      </c>
      <c r="BD62">
        <v>137.64930512376307</v>
      </c>
      <c r="BE62">
        <v>-37.900430948109154</v>
      </c>
      <c r="BF62" s="6">
        <f t="shared" si="41"/>
        <v>6.0145025471510758</v>
      </c>
      <c r="BG62" s="6">
        <f t="shared" si="42"/>
        <v>4.9673049959544766</v>
      </c>
      <c r="BH62" s="6">
        <f t="shared" si="2"/>
        <v>3.0787212517423654</v>
      </c>
      <c r="BI62" s="6">
        <f t="shared" si="3"/>
        <v>3.0787212517423654</v>
      </c>
      <c r="BJ62">
        <v>152.94367235973675</v>
      </c>
      <c r="BK62">
        <v>-42.111589942343507</v>
      </c>
      <c r="BV62" s="38"/>
      <c r="BW62" s="6">
        <f t="shared" si="27"/>
        <v>0.82030474843733558</v>
      </c>
      <c r="BX62" s="9">
        <f t="shared" ca="1" si="28"/>
        <v>11.981691327147217</v>
      </c>
      <c r="BY62" s="9">
        <f t="shared" ca="1" si="29"/>
        <v>3.9059260303728323</v>
      </c>
      <c r="BZ62" s="9">
        <f t="shared" ca="1" si="30"/>
        <v>137.85620908124494</v>
      </c>
      <c r="CA62" s="6">
        <f t="shared" ca="1" si="31"/>
        <v>-38.052246554326402</v>
      </c>
      <c r="CB62" s="6">
        <f t="shared" ca="1" si="32"/>
        <v>-0.26932217410919984</v>
      </c>
      <c r="CC62" s="6">
        <f t="shared" ca="1" si="33"/>
        <v>-5.1474744506882497E-3</v>
      </c>
      <c r="CD62" s="9">
        <f t="shared" si="34"/>
        <v>150.05620908124493</v>
      </c>
      <c r="CE62" s="9">
        <f t="shared" si="35"/>
        <v>-42.252246554326405</v>
      </c>
      <c r="CF62" s="6">
        <f t="shared" si="36"/>
        <v>-0.27446964855988809</v>
      </c>
      <c r="CG62" s="6"/>
      <c r="CH62" s="6"/>
      <c r="CI62" s="6"/>
      <c r="CJ62" s="1"/>
      <c r="CK62" s="6"/>
      <c r="DC62">
        <v>-0.23166015292759051</v>
      </c>
      <c r="DD62">
        <v>5.9590012754239723</v>
      </c>
      <c r="DE62">
        <v>5.9509562141627779</v>
      </c>
      <c r="DF62">
        <v>109.71811153134014</v>
      </c>
      <c r="DG62">
        <v>-0.15471816919632247</v>
      </c>
      <c r="DH62">
        <v>-3.1409177224489229</v>
      </c>
      <c r="DK62">
        <v>-0.24452190300332902</v>
      </c>
      <c r="DL62">
        <v>3.1345179091369779</v>
      </c>
      <c r="DM62">
        <v>-0.24452190290332901</v>
      </c>
      <c r="DN62">
        <v>3.1345179091348463</v>
      </c>
      <c r="DO62">
        <v>-0.24452190310332902</v>
      </c>
      <c r="DP62">
        <v>3.1345179091391095</v>
      </c>
      <c r="DQ62">
        <v>-2.1316282072803006E-2</v>
      </c>
      <c r="DR62">
        <v>2.2902752774436848</v>
      </c>
    </row>
    <row r="63" spans="1:122" x14ac:dyDescent="0.25">
      <c r="A63">
        <f t="shared" si="66"/>
        <v>2</v>
      </c>
      <c r="B63" s="1">
        <f t="shared" si="66"/>
        <v>8</v>
      </c>
      <c r="C63" s="1">
        <f t="shared" ca="1" si="66"/>
        <v>0.79</v>
      </c>
      <c r="D63" s="1">
        <f t="shared" si="66"/>
        <v>2</v>
      </c>
      <c r="E63" s="1">
        <f t="shared" si="66"/>
        <v>4</v>
      </c>
      <c r="F63" s="1">
        <f t="shared" si="67"/>
        <v>-4</v>
      </c>
      <c r="G63" s="1">
        <f t="shared" si="68"/>
        <v>-8</v>
      </c>
      <c r="H63" s="6">
        <f t="shared" si="69"/>
        <v>3.5466077059905032</v>
      </c>
      <c r="I63" s="6">
        <f t="shared" si="70"/>
        <v>8.2110641076421249</v>
      </c>
      <c r="J63" s="6">
        <f t="shared" si="71"/>
        <v>4.1055320538210633</v>
      </c>
      <c r="K63">
        <f t="shared" ca="1" si="72"/>
        <v>-1.4360749202881395E-2</v>
      </c>
      <c r="L63">
        <f t="shared" ca="1" si="73"/>
        <v>-60</v>
      </c>
      <c r="M63" s="6">
        <f t="shared" ca="1" si="74"/>
        <v>-47.400000000000006</v>
      </c>
      <c r="N63" s="6">
        <f t="shared" ca="1" si="75"/>
        <v>-389.20443870223676</v>
      </c>
      <c r="O63" s="6">
        <f t="shared" ca="1" si="76"/>
        <v>168.10920526394986</v>
      </c>
      <c r="Q63">
        <f t="shared" si="77"/>
        <v>3.5466077059905032</v>
      </c>
      <c r="R63">
        <f t="shared" si="78"/>
        <v>8.2110641076421249</v>
      </c>
      <c r="BC63">
        <v>1.0646508437165421</v>
      </c>
      <c r="BD63">
        <v>137.62933586928943</v>
      </c>
      <c r="BE63">
        <v>-37.889134094573073</v>
      </c>
      <c r="BF63" s="6">
        <f t="shared" si="41"/>
        <v>6.0145417099238996</v>
      </c>
      <c r="BG63" s="6">
        <f t="shared" si="42"/>
        <v>4.9498908662073573</v>
      </c>
      <c r="BH63" s="6">
        <f t="shared" si="2"/>
        <v>3.0786820889695417</v>
      </c>
      <c r="BI63" s="6">
        <f t="shared" si="3"/>
        <v>3.0786820889695417</v>
      </c>
      <c r="BJ63">
        <v>152.92148429921048</v>
      </c>
      <c r="BK63">
        <v>-42.099037882858973</v>
      </c>
      <c r="BV63" s="38"/>
      <c r="BW63" s="6">
        <f t="shared" si="27"/>
        <v>0.8377580409572789</v>
      </c>
      <c r="BX63" s="9">
        <f t="shared" ca="1" si="28"/>
        <v>11.9681911278266</v>
      </c>
      <c r="BY63" s="9">
        <f t="shared" ca="1" si="29"/>
        <v>3.9182965184308642</v>
      </c>
      <c r="BZ63" s="9">
        <f t="shared" ca="1" si="30"/>
        <v>137.84270888192432</v>
      </c>
      <c r="CA63" s="6">
        <f t="shared" ca="1" si="31"/>
        <v>-38.03987606626837</v>
      </c>
      <c r="CB63" s="6">
        <f t="shared" ca="1" si="32"/>
        <v>-0.26926390334783235</v>
      </c>
      <c r="CC63" s="6">
        <f t="shared" ca="1" si="33"/>
        <v>-5.1528284401082813E-3</v>
      </c>
      <c r="CD63" s="9">
        <f t="shared" si="34"/>
        <v>150.04270888192431</v>
      </c>
      <c r="CE63" s="9">
        <f t="shared" si="35"/>
        <v>-42.239876066268373</v>
      </c>
      <c r="CF63" s="6">
        <f t="shared" si="36"/>
        <v>-0.27441673178794063</v>
      </c>
      <c r="CG63" s="6"/>
      <c r="CH63" s="6"/>
      <c r="CI63" s="6"/>
      <c r="CJ63" s="1"/>
      <c r="CK63" s="6"/>
      <c r="DC63">
        <v>-1.1143490816597839</v>
      </c>
      <c r="DD63">
        <v>5.9509562141627779</v>
      </c>
      <c r="DE63">
        <v>5.9614165084081057</v>
      </c>
      <c r="DF63">
        <v>91.740336357372655</v>
      </c>
      <c r="DG63">
        <v>-0.23667327969585311</v>
      </c>
      <c r="DH63">
        <v>-3.1513780166942507</v>
      </c>
      <c r="DK63">
        <v>2.2902752774436848</v>
      </c>
      <c r="DL63">
        <v>3.1230366155641471</v>
      </c>
      <c r="DM63">
        <v>2.2902752775436848</v>
      </c>
      <c r="DN63">
        <v>3.1230366155645557</v>
      </c>
      <c r="DO63">
        <v>2.2902752773436847</v>
      </c>
      <c r="DP63">
        <v>3.1230366155637377</v>
      </c>
      <c r="DQ63">
        <v>4.0900616227190767E-3</v>
      </c>
      <c r="DR63">
        <v>-1.0114327448745886</v>
      </c>
    </row>
    <row r="64" spans="1:122" x14ac:dyDescent="0.25">
      <c r="A64">
        <f t="shared" si="66"/>
        <v>3</v>
      </c>
      <c r="B64" s="1">
        <f t="shared" si="66"/>
        <v>8</v>
      </c>
      <c r="C64" s="1">
        <f t="shared" ca="1" si="66"/>
        <v>0.79</v>
      </c>
      <c r="D64" s="1">
        <f t="shared" si="66"/>
        <v>4</v>
      </c>
      <c r="E64" s="1">
        <f t="shared" si="66"/>
        <v>2</v>
      </c>
      <c r="F64" s="1">
        <f t="shared" si="67"/>
        <v>-2</v>
      </c>
      <c r="G64" s="1">
        <f t="shared" si="68"/>
        <v>-10</v>
      </c>
      <c r="H64" s="6">
        <f t="shared" si="69"/>
        <v>1.4379492442969157</v>
      </c>
      <c r="I64" s="6">
        <f t="shared" si="70"/>
        <v>10.096152830203488</v>
      </c>
      <c r="J64" s="6">
        <f t="shared" si="71"/>
        <v>2.2204433312597001</v>
      </c>
      <c r="K64">
        <f t="shared" ca="1" si="72"/>
        <v>-6.3894187861309173E-3</v>
      </c>
      <c r="L64">
        <f t="shared" ca="1" si="73"/>
        <v>-60</v>
      </c>
      <c r="M64" s="6">
        <f t="shared" ca="1" si="74"/>
        <v>-47.400000000000006</v>
      </c>
      <c r="N64" s="6">
        <f t="shared" ca="1" si="75"/>
        <v>-478.55764415164538</v>
      </c>
      <c r="O64" s="6">
        <f t="shared" ca="1" si="76"/>
        <v>68.158794179673819</v>
      </c>
      <c r="Q64">
        <f t="shared" si="77"/>
        <v>1.4379492442969157</v>
      </c>
      <c r="R64">
        <f t="shared" si="78"/>
        <v>10.096152830203488</v>
      </c>
      <c r="BC64">
        <v>1.0821041362364854</v>
      </c>
      <c r="BD64">
        <v>137.60850150358351</v>
      </c>
      <c r="BE64">
        <v>-37.877823290660224</v>
      </c>
      <c r="BF64" s="6">
        <f t="shared" si="41"/>
        <v>6.0145793705532249</v>
      </c>
      <c r="BG64" s="6">
        <f t="shared" si="42"/>
        <v>4.9324752343167395</v>
      </c>
      <c r="BH64" s="6">
        <f t="shared" si="2"/>
        <v>3.0786444283402163</v>
      </c>
      <c r="BI64" s="6">
        <f t="shared" si="3"/>
        <v>3.0786444283402163</v>
      </c>
      <c r="BJ64">
        <v>152.89833500398169</v>
      </c>
      <c r="BK64">
        <v>-42.086470322955805</v>
      </c>
      <c r="BV64" s="38"/>
      <c r="BW64" s="6">
        <f t="shared" si="27"/>
        <v>0.85521133347722222</v>
      </c>
      <c r="BX64" s="9">
        <f t="shared" ca="1" si="28"/>
        <v>11.954401350753955</v>
      </c>
      <c r="BY64" s="9">
        <f t="shared" ca="1" si="29"/>
        <v>3.9304964537284874</v>
      </c>
      <c r="BZ64" s="9">
        <f t="shared" ca="1" si="30"/>
        <v>137.82891910485168</v>
      </c>
      <c r="CA64" s="6">
        <f t="shared" ca="1" si="31"/>
        <v>-38.027676130970747</v>
      </c>
      <c r="CB64" s="6">
        <f t="shared" ca="1" si="32"/>
        <v>-0.26920730785308439</v>
      </c>
      <c r="CC64" s="6">
        <f t="shared" ca="1" si="33"/>
        <v>-5.1580527978214432E-3</v>
      </c>
      <c r="CD64" s="9">
        <f t="shared" si="34"/>
        <v>150.02891910485167</v>
      </c>
      <c r="CE64" s="9">
        <f t="shared" si="35"/>
        <v>-42.22767613097075</v>
      </c>
      <c r="CF64" s="6">
        <f t="shared" si="36"/>
        <v>-0.27436536065090583</v>
      </c>
      <c r="CG64" s="6"/>
      <c r="CH64" s="6"/>
      <c r="CI64" s="6"/>
      <c r="CJ64" s="1"/>
      <c r="CK64" s="6"/>
      <c r="DC64">
        <v>-0.15471816919632247</v>
      </c>
      <c r="DD64">
        <v>5.9614165084081057</v>
      </c>
      <c r="DE64">
        <v>5.9588835388552255</v>
      </c>
      <c r="DF64">
        <v>32.355347661538744</v>
      </c>
      <c r="DG64">
        <v>-1.5876845973958598</v>
      </c>
      <c r="DH64">
        <v>-3.1488450471413705</v>
      </c>
      <c r="DK64">
        <v>-1.0114327448745886</v>
      </c>
      <c r="DL64">
        <v>3.1415645719843202</v>
      </c>
      <c r="DM64">
        <v>-1.0114327447745886</v>
      </c>
      <c r="DN64">
        <v>3.1415645719839551</v>
      </c>
      <c r="DO64">
        <v>-1.0114327449745886</v>
      </c>
      <c r="DP64">
        <v>3.1415645719856444</v>
      </c>
      <c r="DQ64">
        <v>-8.446576771348191E-3</v>
      </c>
      <c r="DR64">
        <v>0.21409984522424683</v>
      </c>
    </row>
    <row r="65" spans="1:122" x14ac:dyDescent="0.25">
      <c r="A65">
        <f t="shared" si="66"/>
        <v>4</v>
      </c>
      <c r="B65" s="1">
        <f t="shared" si="66"/>
        <v>8</v>
      </c>
      <c r="C65" s="1">
        <f t="shared" ca="1" si="66"/>
        <v>0.79</v>
      </c>
      <c r="D65" s="1">
        <f t="shared" si="66"/>
        <v>4</v>
      </c>
      <c r="E65" s="1">
        <f t="shared" si="66"/>
        <v>4</v>
      </c>
      <c r="F65" s="1">
        <f t="shared" si="67"/>
        <v>-2</v>
      </c>
      <c r="G65" s="1">
        <f t="shared" si="68"/>
        <v>-8</v>
      </c>
      <c r="H65" s="6">
        <f t="shared" si="69"/>
        <v>1.5497341138630278</v>
      </c>
      <c r="I65" s="6">
        <f t="shared" si="70"/>
        <v>8.0992792380760132</v>
      </c>
      <c r="J65" s="6">
        <f t="shared" si="71"/>
        <v>4.217316923387175</v>
      </c>
      <c r="K65">
        <f t="shared" ca="1" si="72"/>
        <v>-1.4833445326008207E-2</v>
      </c>
      <c r="L65">
        <f t="shared" ca="1" si="73"/>
        <v>-60</v>
      </c>
      <c r="M65" s="6">
        <f t="shared" ca="1" si="74"/>
        <v>-47.400000000000006</v>
      </c>
      <c r="N65" s="6">
        <f t="shared" ca="1" si="75"/>
        <v>-383.90583588480308</v>
      </c>
      <c r="O65" s="6">
        <f t="shared" ca="1" si="76"/>
        <v>73.457396997107523</v>
      </c>
      <c r="Q65">
        <f t="shared" si="77"/>
        <v>1.5497341138630278</v>
      </c>
      <c r="R65">
        <f t="shared" si="78"/>
        <v>8.0992792380760132</v>
      </c>
      <c r="BC65">
        <v>1.0995574287564287</v>
      </c>
      <c r="BD65">
        <v>137.586716526564</v>
      </c>
      <c r="BE65">
        <v>-37.866484226257143</v>
      </c>
      <c r="BF65" s="6">
        <f t="shared" si="41"/>
        <v>6.0146154666716605</v>
      </c>
      <c r="BG65" s="6">
        <f t="shared" si="42"/>
        <v>4.915058037915232</v>
      </c>
      <c r="BH65" s="6">
        <f t="shared" si="2"/>
        <v>3.0786083322217808</v>
      </c>
      <c r="BI65" s="6">
        <f t="shared" si="3"/>
        <v>3.0786083322217808</v>
      </c>
      <c r="BJ65">
        <v>152.87412947396001</v>
      </c>
      <c r="BK65">
        <v>-42.073871362507937</v>
      </c>
      <c r="BV65" s="38"/>
      <c r="BW65" s="6">
        <f t="shared" si="27"/>
        <v>0.87266462599716554</v>
      </c>
      <c r="BX65" s="9">
        <f t="shared" ca="1" si="28"/>
        <v>11.940297277985678</v>
      </c>
      <c r="BY65" s="9">
        <f t="shared" ca="1" si="29"/>
        <v>3.9425421750121075</v>
      </c>
      <c r="BZ65" s="9">
        <f t="shared" ca="1" si="30"/>
        <v>137.8148150320834</v>
      </c>
      <c r="CA65" s="6">
        <f t="shared" ca="1" si="31"/>
        <v>-38.015630409687127</v>
      </c>
      <c r="CB65" s="6">
        <f t="shared" ca="1" si="32"/>
        <v>-0.26915232373268499</v>
      </c>
      <c r="CC65" s="6">
        <f t="shared" ca="1" si="33"/>
        <v>-5.1631537230772961E-3</v>
      </c>
      <c r="CD65" s="9">
        <f t="shared" si="34"/>
        <v>150.01481503208339</v>
      </c>
      <c r="CE65" s="9">
        <f t="shared" si="35"/>
        <v>-42.21563040968713</v>
      </c>
      <c r="CF65" s="6">
        <f t="shared" si="36"/>
        <v>-0.27431547745576229</v>
      </c>
      <c r="CG65" s="6"/>
      <c r="CH65" s="6"/>
      <c r="CI65" s="6"/>
      <c r="CJ65" s="1"/>
      <c r="CK65" s="6"/>
      <c r="DC65">
        <v>-0.23667327969585311</v>
      </c>
      <c r="DD65">
        <v>5.9588835388552255</v>
      </c>
      <c r="DE65">
        <v>5.9119772957438173</v>
      </c>
      <c r="DF65">
        <v>28.80237742535007</v>
      </c>
      <c r="DG65">
        <v>-2.9663024808916241</v>
      </c>
      <c r="DH65">
        <v>-3.1019388040299622</v>
      </c>
      <c r="DK65">
        <v>0.21409984522424683</v>
      </c>
      <c r="DL65">
        <v>3.0844177957828327</v>
      </c>
      <c r="DM65">
        <v>0.21409984532424683</v>
      </c>
      <c r="DN65">
        <v>3.0844177957800554</v>
      </c>
      <c r="DO65">
        <v>0.21409984512424682</v>
      </c>
      <c r="DP65">
        <v>3.0844177957856092</v>
      </c>
      <c r="DQ65">
        <v>-2.7768898291924415E-2</v>
      </c>
      <c r="DR65">
        <v>-1.8086887805820211</v>
      </c>
    </row>
    <row r="66" spans="1:122" x14ac:dyDescent="0.25">
      <c r="A66">
        <f t="shared" si="66"/>
        <v>5</v>
      </c>
      <c r="B66" s="1">
        <f t="shared" si="66"/>
        <v>0</v>
      </c>
      <c r="C66" s="1">
        <f t="shared" ca="1" si="66"/>
        <v>0</v>
      </c>
      <c r="D66" s="1">
        <f t="shared" si="66"/>
        <v>6</v>
      </c>
      <c r="E66" s="1">
        <f t="shared" si="66"/>
        <v>2</v>
      </c>
      <c r="F66" s="1">
        <f t="shared" si="67"/>
        <v>0</v>
      </c>
      <c r="G66" s="1">
        <f t="shared" si="68"/>
        <v>-10</v>
      </c>
      <c r="H66" s="6">
        <f t="shared" si="69"/>
        <v>-0.55892434783055955</v>
      </c>
      <c r="I66" s="6">
        <f t="shared" si="70"/>
        <v>9.9843679606373765</v>
      </c>
      <c r="J66" s="6">
        <f t="shared" si="71"/>
        <v>2.3322282008258117</v>
      </c>
      <c r="K66">
        <f t="shared" ca="1" si="72"/>
        <v>0</v>
      </c>
      <c r="L66">
        <f t="shared" ca="1" si="73"/>
        <v>0</v>
      </c>
      <c r="M66" s="6">
        <f t="shared" ca="1" si="74"/>
        <v>0</v>
      </c>
      <c r="N66" s="6">
        <f t="shared" ca="1" si="75"/>
        <v>0</v>
      </c>
      <c r="O66" s="6">
        <f t="shared" ca="1" si="76"/>
        <v>0</v>
      </c>
      <c r="Q66" t="e">
        <f t="shared" si="77"/>
        <v>#N/A</v>
      </c>
      <c r="R66" t="e">
        <f t="shared" si="78"/>
        <v>#N/A</v>
      </c>
      <c r="BC66">
        <v>1.117010721276372</v>
      </c>
      <c r="BD66">
        <v>137.56388420882877</v>
      </c>
      <c r="BE66">
        <v>-37.855102088652536</v>
      </c>
      <c r="BF66" s="6">
        <f t="shared" ref="BF66:BF97" si="79">IF(BC66&lt;&gt;"",IF(AND(BD66=0,BE66=0),0,MOD(ATAN2(BD66,BE66),2*PI())),NA())</f>
        <v>6.014649918413526</v>
      </c>
      <c r="BG66" s="6">
        <f t="shared" ref="BG66:BG97" si="80">ABS(BC66-BF66)</f>
        <v>4.8976391971371545</v>
      </c>
      <c r="BH66" s="6">
        <f t="shared" si="2"/>
        <v>3.0785738804799152</v>
      </c>
      <c r="BI66" s="6">
        <f t="shared" si="3"/>
        <v>3.0785738804799152</v>
      </c>
      <c r="BJ66">
        <v>152.84876023203196</v>
      </c>
      <c r="BK66">
        <v>-42.061224542947265</v>
      </c>
      <c r="BV66" s="38"/>
      <c r="BW66" s="6">
        <f t="shared" si="27"/>
        <v>0.89011791851710886</v>
      </c>
      <c r="BX66" s="9">
        <f t="shared" ca="1" si="28"/>
        <v>11.925852297029053</v>
      </c>
      <c r="BY66" s="9">
        <f t="shared" ca="1" si="29"/>
        <v>3.9544493389728572</v>
      </c>
      <c r="BZ66" s="9">
        <f t="shared" ca="1" si="30"/>
        <v>137.80037005112678</v>
      </c>
      <c r="CA66" s="6">
        <f t="shared" ca="1" si="31"/>
        <v>-38.003723245726377</v>
      </c>
      <c r="CB66" s="6">
        <f t="shared" ca="1" si="32"/>
        <v>-0.2690988951616165</v>
      </c>
      <c r="CC66" s="6">
        <f t="shared" ca="1" si="33"/>
        <v>-5.1681368077512446E-3</v>
      </c>
      <c r="CD66" s="9">
        <f t="shared" si="34"/>
        <v>150.00037005112677</v>
      </c>
      <c r="CE66" s="9">
        <f t="shared" si="35"/>
        <v>-42.20372324572638</v>
      </c>
      <c r="CF66" s="6">
        <f t="shared" si="36"/>
        <v>-0.27426703196936775</v>
      </c>
      <c r="CG66" s="6"/>
      <c r="CH66" s="6"/>
      <c r="CI66" s="6"/>
      <c r="CJ66" s="1"/>
      <c r="CK66" s="6"/>
      <c r="DC66">
        <v>-1.5876845973958598</v>
      </c>
      <c r="DD66">
        <v>5.9119772957438173</v>
      </c>
      <c r="DE66">
        <v>5.9087957505482951</v>
      </c>
      <c r="DF66">
        <v>433.31708298096413</v>
      </c>
      <c r="DG66">
        <v>-1.1091030086881135</v>
      </c>
      <c r="DH66">
        <v>-3.0987572588344401</v>
      </c>
      <c r="DK66">
        <v>-1.8086887805820211</v>
      </c>
      <c r="DL66">
        <v>-3.0920481176481385</v>
      </c>
      <c r="DM66">
        <v>-1.8086887804820211</v>
      </c>
      <c r="DN66">
        <v>-3.092048117655021</v>
      </c>
      <c r="DO66">
        <v>-1.8086887806820211</v>
      </c>
      <c r="DP66">
        <v>-3.0920481176556001</v>
      </c>
      <c r="DQ66">
        <v>2.8954616482224083E-3</v>
      </c>
      <c r="DR66">
        <v>-2.0555015492866735</v>
      </c>
    </row>
    <row r="67" spans="1:122" x14ac:dyDescent="0.25">
      <c r="A67">
        <f t="shared" si="66"/>
        <v>6</v>
      </c>
      <c r="B67" s="1">
        <f t="shared" si="66"/>
        <v>0</v>
      </c>
      <c r="C67" s="1">
        <f t="shared" ca="1" si="66"/>
        <v>0</v>
      </c>
      <c r="D67" s="1">
        <f t="shared" si="66"/>
        <v>0</v>
      </c>
      <c r="E67" s="1">
        <f t="shared" si="66"/>
        <v>8.66</v>
      </c>
      <c r="F67" s="1">
        <f t="shared" si="67"/>
        <v>-6</v>
      </c>
      <c r="G67" s="1">
        <f t="shared" si="68"/>
        <v>-3.34</v>
      </c>
      <c r="H67" s="6">
        <f t="shared" si="69"/>
        <v>5.8039400442070201</v>
      </c>
      <c r="I67" s="6">
        <f t="shared" si="70"/>
        <v>3.6701335075512196</v>
      </c>
      <c r="J67" s="6">
        <f t="shared" si="71"/>
        <v>8.6464626539119678</v>
      </c>
      <c r="K67">
        <f t="shared" ca="1" si="72"/>
        <v>0</v>
      </c>
      <c r="L67">
        <f t="shared" ca="1" si="73"/>
        <v>0</v>
      </c>
      <c r="M67" s="6">
        <f t="shared" ca="1" si="74"/>
        <v>0</v>
      </c>
      <c r="N67" s="6">
        <f t="shared" ca="1" si="75"/>
        <v>0</v>
      </c>
      <c r="O67" s="6">
        <f t="shared" ca="1" si="76"/>
        <v>0</v>
      </c>
      <c r="Q67" t="e">
        <f t="shared" si="77"/>
        <v>#N/A</v>
      </c>
      <c r="R67" t="e">
        <f t="shared" si="78"/>
        <v>#N/A</v>
      </c>
      <c r="BC67">
        <v>1.1344640137963153</v>
      </c>
      <c r="BD67">
        <v>137.53989456908016</v>
      </c>
      <c r="BE67">
        <v>-37.843661434064913</v>
      </c>
      <c r="BF67" s="6">
        <f t="shared" si="79"/>
        <v>6.0146826255044861</v>
      </c>
      <c r="BG67" s="6">
        <f t="shared" si="80"/>
        <v>4.8802186117081705</v>
      </c>
      <c r="BH67" s="6">
        <f t="shared" ref="BH67:BH130" si="81">ATAN2(COS($U$13-BF67),SIN($U$13-BF67))</f>
        <v>3.0785411733889552</v>
      </c>
      <c r="BI67" s="6">
        <f t="shared" ref="BI67:BI130" si="82">ABS(BH67)</f>
        <v>3.0785411733889552</v>
      </c>
      <c r="BJ67">
        <v>152.82210507675572</v>
      </c>
      <c r="BK67">
        <v>-42.048512704516568</v>
      </c>
      <c r="BV67" s="38"/>
      <c r="BW67" s="6">
        <f t="shared" si="27"/>
        <v>0.90757121103705218</v>
      </c>
      <c r="BX67" s="9">
        <f t="shared" ca="1" si="28"/>
        <v>11.911037650813569</v>
      </c>
      <c r="BY67" s="9">
        <f t="shared" ca="1" si="29"/>
        <v>3.9662330162191921</v>
      </c>
      <c r="BZ67" s="9">
        <f t="shared" ca="1" si="30"/>
        <v>137.78555540491129</v>
      </c>
      <c r="CA67" s="6">
        <f t="shared" ca="1" si="31"/>
        <v>-37.991939568480042</v>
      </c>
      <c r="CB67" s="6">
        <f t="shared" ca="1" si="32"/>
        <v>-0.26904697420360291</v>
      </c>
      <c r="CC67" s="6">
        <f t="shared" ca="1" si="33"/>
        <v>-5.1730070597879596E-3</v>
      </c>
      <c r="CD67" s="9">
        <f t="shared" si="34"/>
        <v>149.98555540491128</v>
      </c>
      <c r="CE67" s="9">
        <f t="shared" si="35"/>
        <v>-42.191939568480045</v>
      </c>
      <c r="CF67" s="6">
        <f t="shared" si="36"/>
        <v>-0.27421998126339087</v>
      </c>
      <c r="CG67" s="6"/>
      <c r="CH67" s="6"/>
      <c r="CI67" s="6"/>
      <c r="CJ67" s="1"/>
      <c r="CK67" s="6"/>
      <c r="DC67">
        <v>-2.9663024808916241</v>
      </c>
      <c r="DD67">
        <v>5.9087957505482951</v>
      </c>
      <c r="DE67">
        <v>5.9509939814434434</v>
      </c>
      <c r="DF67">
        <v>44.011311204447686</v>
      </c>
      <c r="DG67">
        <v>-1.1165957885445241</v>
      </c>
      <c r="DH67">
        <v>-3.1409554897295884</v>
      </c>
      <c r="DK67">
        <v>-2.0555015492866735</v>
      </c>
      <c r="DL67">
        <v>-3.0918962049673091</v>
      </c>
      <c r="DM67">
        <v>-2.0555015491866735</v>
      </c>
      <c r="DN67">
        <v>-3.0918962049613485</v>
      </c>
      <c r="DO67">
        <v>-2.0555015493866735</v>
      </c>
      <c r="DP67">
        <v>-3.0918962049663561</v>
      </c>
      <c r="DQ67">
        <v>2.503774965134653E-2</v>
      </c>
      <c r="DR67">
        <v>2.053358569950563</v>
      </c>
    </row>
    <row r="68" spans="1:122" x14ac:dyDescent="0.25">
      <c r="A68">
        <f t="shared" si="66"/>
        <v>7</v>
      </c>
      <c r="B68" s="1">
        <f t="shared" si="66"/>
        <v>0</v>
      </c>
      <c r="C68" s="1">
        <f t="shared" ca="1" si="66"/>
        <v>0</v>
      </c>
      <c r="D68" s="1">
        <f t="shared" si="66"/>
        <v>2</v>
      </c>
      <c r="E68" s="1">
        <f t="shared" si="66"/>
        <v>22</v>
      </c>
      <c r="F68" s="1">
        <f t="shared" si="67"/>
        <v>-4</v>
      </c>
      <c r="G68" s="1">
        <f t="shared" si="68"/>
        <v>10</v>
      </c>
      <c r="H68" s="6">
        <f t="shared" si="69"/>
        <v>4.55267153208551</v>
      </c>
      <c r="I68" s="6">
        <f t="shared" si="70"/>
        <v>-9.7607982215051532</v>
      </c>
      <c r="J68" s="6">
        <f t="shared" si="71"/>
        <v>22.077394382968343</v>
      </c>
      <c r="K68">
        <f t="shared" ca="1" si="72"/>
        <v>0</v>
      </c>
      <c r="L68">
        <f t="shared" ca="1" si="73"/>
        <v>0</v>
      </c>
      <c r="M68" s="6">
        <f t="shared" ca="1" si="74"/>
        <v>0</v>
      </c>
      <c r="N68" s="6">
        <f t="shared" ca="1" si="75"/>
        <v>0</v>
      </c>
      <c r="O68" s="6">
        <f t="shared" ca="1" si="76"/>
        <v>0</v>
      </c>
      <c r="Q68" t="e">
        <f t="shared" si="77"/>
        <v>#N/A</v>
      </c>
      <c r="R68" t="e">
        <f t="shared" si="78"/>
        <v>#N/A</v>
      </c>
      <c r="BC68">
        <v>1.1519173063162587</v>
      </c>
      <c r="BD68">
        <v>137.51462190280904</v>
      </c>
      <c r="BE68">
        <v>-37.832146036976894</v>
      </c>
      <c r="BF68" s="6">
        <f t="shared" si="79"/>
        <v>6.0147134636607626</v>
      </c>
      <c r="BG68" s="6">
        <f t="shared" si="80"/>
        <v>4.862796157344504</v>
      </c>
      <c r="BH68" s="6">
        <f t="shared" si="81"/>
        <v>3.0785103352326786</v>
      </c>
      <c r="BI68" s="6">
        <f t="shared" si="82"/>
        <v>3.0785103352326786</v>
      </c>
      <c r="BJ68">
        <v>152.7940243364545</v>
      </c>
      <c r="BK68">
        <v>-42.035717818863212</v>
      </c>
      <c r="BV68" s="38"/>
      <c r="BW68" s="6">
        <f t="shared" si="27"/>
        <v>0.9250245035569955</v>
      </c>
      <c r="BX68" s="9">
        <f t="shared" ca="1" si="28"/>
        <v>11.895822155562541</v>
      </c>
      <c r="BY68" s="9">
        <f t="shared" ca="1" si="29"/>
        <v>3.9779077823657332</v>
      </c>
      <c r="BZ68" s="9">
        <f t="shared" ca="1" si="30"/>
        <v>137.77033990966027</v>
      </c>
      <c r="CA68" s="6">
        <f t="shared" ca="1" si="31"/>
        <v>-37.980264802333501</v>
      </c>
      <c r="CB68" s="6">
        <f t="shared" ca="1" si="32"/>
        <v>-0.26899652072483254</v>
      </c>
      <c r="CC68" s="6">
        <f t="shared" ca="1" si="33"/>
        <v>-5.1777689200525057E-3</v>
      </c>
      <c r="CD68" s="9">
        <f t="shared" si="34"/>
        <v>149.97033990966025</v>
      </c>
      <c r="CE68" s="9">
        <f t="shared" si="35"/>
        <v>-42.180264802333504</v>
      </c>
      <c r="CF68" s="6">
        <f t="shared" si="36"/>
        <v>-0.27417428964488505</v>
      </c>
      <c r="CG68" s="6"/>
      <c r="CH68" s="6"/>
      <c r="CI68" s="6"/>
      <c r="CJ68" s="1"/>
      <c r="CK68" s="6"/>
      <c r="DC68">
        <v>-1.1091030086881135</v>
      </c>
      <c r="DD68">
        <v>5.9509939814434434</v>
      </c>
      <c r="DE68">
        <v>5.9509399589163792</v>
      </c>
      <c r="DF68">
        <v>138.69732246150778</v>
      </c>
      <c r="DG68">
        <v>3.0717520976151347</v>
      </c>
      <c r="DH68">
        <v>-3.1409014672025242</v>
      </c>
      <c r="DK68">
        <v>2.053358569950563</v>
      </c>
      <c r="DL68">
        <v>3.1216378073505462</v>
      </c>
      <c r="DM68">
        <v>2.053358570050563</v>
      </c>
      <c r="DN68">
        <v>3.1216378073508713</v>
      </c>
      <c r="DO68">
        <v>2.053358569850563</v>
      </c>
      <c r="DP68">
        <v>3.1216378073502229</v>
      </c>
      <c r="DQ68">
        <v>3.2418512319054571E-3</v>
      </c>
      <c r="DR68">
        <v>0.46243207736074704</v>
      </c>
    </row>
    <row r="69" spans="1:122" x14ac:dyDescent="0.25">
      <c r="A69">
        <f t="shared" si="66"/>
        <v>8</v>
      </c>
      <c r="B69" s="1">
        <f t="shared" si="66"/>
        <v>0</v>
      </c>
      <c r="C69" s="1">
        <f t="shared" ca="1" si="66"/>
        <v>0</v>
      </c>
      <c r="D69" s="1">
        <f t="shared" si="66"/>
        <v>10</v>
      </c>
      <c r="E69" s="1">
        <f t="shared" si="66"/>
        <v>22</v>
      </c>
      <c r="F69" s="1">
        <f t="shared" si="67"/>
        <v>4</v>
      </c>
      <c r="G69" s="1">
        <f t="shared" si="68"/>
        <v>10</v>
      </c>
      <c r="H69" s="6">
        <f t="shared" si="69"/>
        <v>-3.4348228364243911</v>
      </c>
      <c r="I69" s="6">
        <f t="shared" si="70"/>
        <v>-10.2079376997696</v>
      </c>
      <c r="J69" s="6">
        <f t="shared" si="71"/>
        <v>22.52453386123279</v>
      </c>
      <c r="K69">
        <f t="shared" ca="1" si="72"/>
        <v>0</v>
      </c>
      <c r="L69">
        <f t="shared" ca="1" si="73"/>
        <v>0</v>
      </c>
      <c r="M69" s="6">
        <f t="shared" ca="1" si="74"/>
        <v>0</v>
      </c>
      <c r="N69" s="6">
        <f t="shared" ca="1" si="75"/>
        <v>0</v>
      </c>
      <c r="O69" s="6">
        <f t="shared" ca="1" si="76"/>
        <v>0</v>
      </c>
      <c r="Q69" t="e">
        <f t="shared" si="77"/>
        <v>#N/A</v>
      </c>
      <c r="R69" t="e">
        <f t="shared" si="78"/>
        <v>#N/A</v>
      </c>
      <c r="BC69">
        <v>1.169370598836202</v>
      </c>
      <c r="BD69">
        <v>137.48792171682547</v>
      </c>
      <c r="BE69">
        <v>-37.820538721233888</v>
      </c>
      <c r="BF69" s="6">
        <f t="shared" si="79"/>
        <v>6.01474227999846</v>
      </c>
      <c r="BG69" s="6">
        <f t="shared" si="80"/>
        <v>4.8453716811622582</v>
      </c>
      <c r="BH69" s="6">
        <f t="shared" si="81"/>
        <v>3.0784815188949812</v>
      </c>
      <c r="BI69" s="6">
        <f t="shared" si="82"/>
        <v>3.0784815188949812</v>
      </c>
      <c r="BJ69">
        <v>152.76435746313942</v>
      </c>
      <c r="BK69">
        <v>-42.022820801370983</v>
      </c>
      <c r="BV69" s="38"/>
      <c r="BW69" s="6">
        <f t="shared" si="27"/>
        <v>0.94247779607693882</v>
      </c>
      <c r="BX69" s="9">
        <f t="shared" ca="1" si="28"/>
        <v>11.880171886846199</v>
      </c>
      <c r="BY69" s="9">
        <f t="shared" ca="1" si="29"/>
        <v>3.9894878087365981</v>
      </c>
      <c r="BZ69" s="9">
        <f t="shared" ca="1" si="30"/>
        <v>137.75468964094392</v>
      </c>
      <c r="CA69" s="6">
        <f t="shared" ca="1" si="31"/>
        <v>-37.968684775962636</v>
      </c>
      <c r="CB69" s="6">
        <f t="shared" ca="1" si="32"/>
        <v>-0.26894750236914516</v>
      </c>
      <c r="CC69" s="6">
        <f t="shared" ca="1" si="33"/>
        <v>-5.1824262751592465E-3</v>
      </c>
      <c r="CD69" s="9">
        <f t="shared" si="34"/>
        <v>149.95468964094391</v>
      </c>
      <c r="CE69" s="9">
        <f t="shared" si="35"/>
        <v>-42.168684775962639</v>
      </c>
      <c r="CF69" s="6">
        <f t="shared" si="36"/>
        <v>-0.27412992864430441</v>
      </c>
      <c r="CG69" s="6"/>
      <c r="CH69" s="6"/>
      <c r="CI69" s="6"/>
      <c r="CJ69" s="1"/>
      <c r="CK69" s="6"/>
      <c r="DC69">
        <v>-1.1165957885445241</v>
      </c>
      <c r="DD69">
        <v>5.9509399589163792</v>
      </c>
      <c r="DE69">
        <v>5.9541757851612527</v>
      </c>
      <c r="DF69">
        <v>1294.3673637591708</v>
      </c>
      <c r="DG69">
        <v>-1.3760539735948547</v>
      </c>
      <c r="DH69">
        <v>-3.1441372934473977</v>
      </c>
      <c r="DK69">
        <v>0.46243207736074704</v>
      </c>
      <c r="DL69">
        <v>3.0811450841434196</v>
      </c>
      <c r="DM69">
        <v>0.46243207746074705</v>
      </c>
      <c r="DN69">
        <v>3.0811450841430421</v>
      </c>
      <c r="DO69">
        <v>0.46243207726074703</v>
      </c>
      <c r="DP69">
        <v>3.0811450841437971</v>
      </c>
      <c r="DQ69">
        <v>-3.7747582837255322E-3</v>
      </c>
      <c r="DR69">
        <v>-0.10201945464787686</v>
      </c>
    </row>
    <row r="70" spans="1:122" x14ac:dyDescent="0.25">
      <c r="A70">
        <f t="shared" si="66"/>
        <v>9</v>
      </c>
      <c r="B70" s="1">
        <f t="shared" si="66"/>
        <v>0</v>
      </c>
      <c r="C70" s="1">
        <f t="shared" ca="1" si="66"/>
        <v>0</v>
      </c>
      <c r="D70" s="1">
        <f t="shared" si="66"/>
        <v>2</v>
      </c>
      <c r="E70" s="1">
        <f t="shared" si="66"/>
        <v>2</v>
      </c>
      <c r="F70" s="1">
        <f t="shared" si="67"/>
        <v>-4</v>
      </c>
      <c r="G70" s="1">
        <f t="shared" si="68"/>
        <v>-10</v>
      </c>
      <c r="H70" s="6">
        <f t="shared" si="69"/>
        <v>3.4348228364243911</v>
      </c>
      <c r="I70" s="6">
        <f t="shared" si="70"/>
        <v>10.2079376997696</v>
      </c>
      <c r="J70" s="6">
        <f t="shared" si="71"/>
        <v>2.1086584616935884</v>
      </c>
      <c r="K70">
        <f t="shared" ca="1" si="72"/>
        <v>0</v>
      </c>
      <c r="L70">
        <f t="shared" ca="1" si="73"/>
        <v>0</v>
      </c>
      <c r="M70" s="6">
        <f t="shared" ca="1" si="74"/>
        <v>0</v>
      </c>
      <c r="N70" s="6">
        <f t="shared" ca="1" si="75"/>
        <v>0</v>
      </c>
      <c r="O70" s="6">
        <f t="shared" ca="1" si="76"/>
        <v>0</v>
      </c>
      <c r="Q70" t="e">
        <f t="shared" si="77"/>
        <v>#N/A</v>
      </c>
      <c r="R70" t="e">
        <f t="shared" si="78"/>
        <v>#N/A</v>
      </c>
      <c r="BC70">
        <v>1.1868238913561453</v>
      </c>
      <c r="BD70">
        <v>137.45962691798746</v>
      </c>
      <c r="BE70">
        <v>-37.80882115698023</v>
      </c>
      <c r="BF70" s="6">
        <f t="shared" si="79"/>
        <v>6.0147688872752578</v>
      </c>
      <c r="BG70" s="6">
        <f t="shared" si="80"/>
        <v>4.827944995919113</v>
      </c>
      <c r="BH70" s="6">
        <f t="shared" si="81"/>
        <v>3.0784549116181834</v>
      </c>
      <c r="BI70" s="6">
        <f t="shared" si="82"/>
        <v>3.0784549116181834</v>
      </c>
      <c r="BJ70">
        <v>152.73291879776386</v>
      </c>
      <c r="BK70">
        <v>-42.009801285533591</v>
      </c>
      <c r="BV70" s="38"/>
      <c r="BW70" s="6">
        <f t="shared" si="27"/>
        <v>0.95993108859688214</v>
      </c>
      <c r="BX70" s="9">
        <f t="shared" ca="1" si="28"/>
        <v>11.864049800961652</v>
      </c>
      <c r="BY70" s="9">
        <f t="shared" ca="1" si="29"/>
        <v>4.0009869422874544</v>
      </c>
      <c r="BZ70" s="9">
        <f t="shared" ca="1" si="30"/>
        <v>137.73856755505938</v>
      </c>
      <c r="CA70" s="6">
        <f t="shared" ca="1" si="31"/>
        <v>-37.95718564241178</v>
      </c>
      <c r="CB70" s="6">
        <f t="shared" ca="1" si="32"/>
        <v>-0.26889989472601006</v>
      </c>
      <c r="CC70" s="6">
        <f t="shared" ca="1" si="33"/>
        <v>-5.1869824563782752E-3</v>
      </c>
      <c r="CD70" s="9">
        <f t="shared" si="34"/>
        <v>149.93856755505936</v>
      </c>
      <c r="CE70" s="9">
        <f t="shared" si="35"/>
        <v>-42.157185642411783</v>
      </c>
      <c r="CF70" s="6">
        <f t="shared" si="36"/>
        <v>-0.27408687718238833</v>
      </c>
      <c r="CG70" s="6"/>
      <c r="CH70" s="6"/>
      <c r="CI70" s="6"/>
      <c r="CJ70" s="1"/>
      <c r="CK70" s="6"/>
      <c r="DC70">
        <v>3.0717520976151347</v>
      </c>
      <c r="DD70">
        <v>5.9541757851612527</v>
      </c>
      <c r="DE70">
        <v>5.9483544894908293</v>
      </c>
      <c r="DF70">
        <v>764.05774985941218</v>
      </c>
      <c r="DG70">
        <v>0.94607375973606034</v>
      </c>
      <c r="DH70">
        <v>-3.1383159977769743</v>
      </c>
      <c r="DK70">
        <v>-0.10201945464787686</v>
      </c>
      <c r="DL70">
        <v>3.1288387898021934</v>
      </c>
      <c r="DM70">
        <v>-0.10201945454787686</v>
      </c>
      <c r="DN70">
        <v>3.1288387897939645</v>
      </c>
      <c r="DO70">
        <v>-0.10201945474787685</v>
      </c>
      <c r="DP70">
        <v>3.1288387898104224</v>
      </c>
      <c r="DQ70">
        <v>-8.2289730585216603E-2</v>
      </c>
      <c r="DR70">
        <v>0.22109538294247097</v>
      </c>
    </row>
    <row r="71" spans="1:122" ht="15.75" thickBot="1" x14ac:dyDescent="0.3">
      <c r="A71">
        <f t="shared" si="66"/>
        <v>10</v>
      </c>
      <c r="B71" s="1">
        <f t="shared" si="66"/>
        <v>0</v>
      </c>
      <c r="C71" s="1">
        <f t="shared" ca="1" si="66"/>
        <v>0</v>
      </c>
      <c r="D71" s="1">
        <f t="shared" si="66"/>
        <v>10</v>
      </c>
      <c r="E71" s="1">
        <f t="shared" si="66"/>
        <v>2</v>
      </c>
      <c r="F71" s="1">
        <f t="shared" si="67"/>
        <v>4</v>
      </c>
      <c r="G71" s="1">
        <f t="shared" si="68"/>
        <v>-10</v>
      </c>
      <c r="H71" s="6">
        <f t="shared" si="69"/>
        <v>-4.55267153208551</v>
      </c>
      <c r="I71" s="6">
        <f t="shared" si="70"/>
        <v>9.7607982215051532</v>
      </c>
      <c r="J71" s="6">
        <f t="shared" si="71"/>
        <v>2.5557979399580351</v>
      </c>
      <c r="K71" s="12">
        <f t="shared" ca="1" si="72"/>
        <v>0</v>
      </c>
      <c r="L71">
        <f t="shared" ca="1" si="73"/>
        <v>0</v>
      </c>
      <c r="M71" s="11">
        <f t="shared" ca="1" si="74"/>
        <v>0</v>
      </c>
      <c r="N71" s="11">
        <f t="shared" ca="1" si="75"/>
        <v>0</v>
      </c>
      <c r="O71" s="11">
        <f t="shared" ca="1" si="76"/>
        <v>0</v>
      </c>
      <c r="Q71" t="e">
        <f t="shared" si="77"/>
        <v>#N/A</v>
      </c>
      <c r="R71" t="e">
        <f t="shared" si="78"/>
        <v>#N/A</v>
      </c>
      <c r="BC71">
        <v>1.2042771838760886</v>
      </c>
      <c r="BD71">
        <v>137.42954300443813</v>
      </c>
      <c r="BE71">
        <v>-37.796973625809777</v>
      </c>
      <c r="BF71" s="6">
        <f t="shared" si="79"/>
        <v>6.0147930564755381</v>
      </c>
      <c r="BG71" s="6">
        <f t="shared" si="80"/>
        <v>4.8105158725994492</v>
      </c>
      <c r="BH71" s="6">
        <f t="shared" si="81"/>
        <v>3.0784307424179032</v>
      </c>
      <c r="BI71" s="6">
        <f t="shared" si="82"/>
        <v>3.0784307424179032</v>
      </c>
      <c r="BJ71">
        <v>152.69949222715348</v>
      </c>
      <c r="BK71">
        <v>-41.996637362010866</v>
      </c>
      <c r="BV71" s="38"/>
      <c r="BW71" s="6">
        <f t="shared" si="27"/>
        <v>0.97738438111682546</v>
      </c>
      <c r="BX71" s="9">
        <f t="shared" ca="1" si="28"/>
        <v>11.847415315277345</v>
      </c>
      <c r="BY71" s="9">
        <f t="shared" ca="1" si="29"/>
        <v>4.0124187912969163</v>
      </c>
      <c r="BZ71" s="9">
        <f t="shared" ca="1" si="30"/>
        <v>137.72193306937507</v>
      </c>
      <c r="CA71" s="6">
        <f t="shared" ca="1" si="31"/>
        <v>-37.945753793402318</v>
      </c>
      <c r="CB71" s="6">
        <f t="shared" ca="1" si="32"/>
        <v>-0.26885368153581102</v>
      </c>
      <c r="CC71" s="6">
        <f t="shared" ca="1" si="33"/>
        <v>-5.1914402368609669E-3</v>
      </c>
      <c r="CD71" s="9">
        <f t="shared" si="34"/>
        <v>149.92193306937506</v>
      </c>
      <c r="CE71" s="9">
        <f t="shared" si="35"/>
        <v>-42.145753793402321</v>
      </c>
      <c r="CF71" s="6">
        <f t="shared" si="36"/>
        <v>-0.27404512177267198</v>
      </c>
      <c r="CG71" s="6"/>
      <c r="CH71" s="6"/>
      <c r="CI71" s="6"/>
      <c r="CJ71" s="1"/>
      <c r="CK71" s="6"/>
      <c r="DC71">
        <v>-1.3760539735948547</v>
      </c>
      <c r="DD71">
        <v>5.9483544894908293</v>
      </c>
      <c r="DE71">
        <v>6.0142477283054703</v>
      </c>
      <c r="DF71">
        <v>35.240758765297748</v>
      </c>
      <c r="DG71">
        <v>1.1246445487046417</v>
      </c>
      <c r="DH71">
        <v>-3.2042092365916153</v>
      </c>
      <c r="DK71">
        <v>0.22109538294247097</v>
      </c>
      <c r="DL71">
        <v>3.084254194602968</v>
      </c>
      <c r="DM71">
        <v>0.22109538304247098</v>
      </c>
      <c r="DN71">
        <v>3.0842541945999589</v>
      </c>
      <c r="DO71">
        <v>0.22109538284247096</v>
      </c>
      <c r="DP71">
        <v>3.0842541946059772</v>
      </c>
      <c r="DQ71">
        <v>-3.0091484859440243E-2</v>
      </c>
      <c r="DR71">
        <v>2.1860428170199202</v>
      </c>
    </row>
    <row r="72" spans="1:122" ht="15.75" thickTop="1" x14ac:dyDescent="0.25">
      <c r="K72" s="13">
        <f ca="1">MIN(K62:K71)</f>
        <v>-1.4833445326008207E-2</v>
      </c>
      <c r="M72" s="9">
        <f ca="1">SUM(M62:M71)</f>
        <v>-189.60000000000002</v>
      </c>
      <c r="N72" s="9">
        <f ca="1">SUM(N62:N71)</f>
        <v>-1735.5241657077643</v>
      </c>
      <c r="O72" s="9">
        <f ca="1">SUM(O62:O71)</f>
        <v>472.53599888724733</v>
      </c>
      <c r="BC72">
        <v>1.2217304763960319</v>
      </c>
      <c r="BD72">
        <v>137.39744195018022</v>
      </c>
      <c r="BE72">
        <v>-37.784974739823511</v>
      </c>
      <c r="BF72" s="6">
        <f t="shared" si="79"/>
        <v>6.0148145072535879</v>
      </c>
      <c r="BG72" s="6">
        <f t="shared" si="80"/>
        <v>4.793084030857556</v>
      </c>
      <c r="BH72" s="6">
        <f t="shared" si="81"/>
        <v>3.0784092916398533</v>
      </c>
      <c r="BI72" s="6">
        <f t="shared" si="82"/>
        <v>3.0784092916398533</v>
      </c>
      <c r="BJ72">
        <v>152.66382438908914</v>
      </c>
      <c r="BK72">
        <v>-41.983305266470566</v>
      </c>
      <c r="BV72" s="38"/>
      <c r="BW72" s="6">
        <f t="shared" si="27"/>
        <v>0.99483767363676878</v>
      </c>
      <c r="BX72" s="9">
        <f t="shared" ca="1" si="28"/>
        <v>11.830223805639235</v>
      </c>
      <c r="BY72" s="9">
        <f t="shared" ca="1" si="29"/>
        <v>4.0237968038752356</v>
      </c>
      <c r="BZ72" s="9">
        <f t="shared" ca="1" si="30"/>
        <v>137.70474155973696</v>
      </c>
      <c r="CA72" s="6">
        <f t="shared" ca="1" si="31"/>
        <v>-37.934375780823999</v>
      </c>
      <c r="CB72" s="6">
        <f t="shared" ca="1" si="32"/>
        <v>-0.26880885509786923</v>
      </c>
      <c r="CC72" s="6">
        <f t="shared" ca="1" si="33"/>
        <v>-5.1958018147319485E-3</v>
      </c>
      <c r="CD72" s="9">
        <f t="shared" si="34"/>
        <v>149.90474155973695</v>
      </c>
      <c r="CE72" s="9">
        <f t="shared" si="35"/>
        <v>-42.134375780824001</v>
      </c>
      <c r="CF72" s="6">
        <f t="shared" si="36"/>
        <v>-0.27400465691260117</v>
      </c>
      <c r="CG72" s="6"/>
      <c r="CH72" s="6"/>
      <c r="CI72" s="6"/>
      <c r="CJ72" s="1"/>
      <c r="CK72" s="6"/>
      <c r="DC72">
        <v>0.94607375973606034</v>
      </c>
      <c r="DD72">
        <v>6.0142477283054703</v>
      </c>
      <c r="DE72">
        <v>6.0146644454339286</v>
      </c>
      <c r="DF72">
        <v>428.51799643849364</v>
      </c>
      <c r="DG72">
        <v>-2.380851509068254</v>
      </c>
      <c r="DH72">
        <v>-3.2046259537200736</v>
      </c>
      <c r="DK72">
        <v>2.1860428170199202</v>
      </c>
      <c r="DL72">
        <v>3.1225308320109573</v>
      </c>
      <c r="DM72">
        <v>2.1860428171199202</v>
      </c>
      <c r="DN72">
        <v>3.1225308320113019</v>
      </c>
      <c r="DO72">
        <v>2.1860428169199202</v>
      </c>
      <c r="DP72">
        <v>3.12253083200945</v>
      </c>
      <c r="DQ72">
        <v>9.2592600253738055E-3</v>
      </c>
      <c r="DR72">
        <v>-2.0384378568368726</v>
      </c>
    </row>
    <row r="73" spans="1:122" x14ac:dyDescent="0.25">
      <c r="N73" s="46">
        <f ca="1">N72/12</f>
        <v>-144.62701380898037</v>
      </c>
      <c r="O73" s="46">
        <f ca="1">O72/12</f>
        <v>39.377999907270613</v>
      </c>
      <c r="BC73">
        <v>1.2391837689159753</v>
      </c>
      <c r="BD73">
        <v>137.36305435460417</v>
      </c>
      <c r="BE73">
        <v>-37.772801094246638</v>
      </c>
      <c r="BF73" s="6">
        <f t="shared" si="79"/>
        <v>6.0148328955653172</v>
      </c>
      <c r="BG73" s="6">
        <f t="shared" si="80"/>
        <v>4.7756491266493422</v>
      </c>
      <c r="BH73" s="6">
        <f t="shared" si="81"/>
        <v>3.078390903328124</v>
      </c>
      <c r="BI73" s="6">
        <f t="shared" si="82"/>
        <v>3.078390903328124</v>
      </c>
      <c r="BJ73">
        <v>152.6256159495602</v>
      </c>
      <c r="BK73">
        <v>-41.969778993607378</v>
      </c>
      <c r="BV73" s="38"/>
      <c r="BW73" s="6">
        <f t="shared" si="27"/>
        <v>1.0122909661567121</v>
      </c>
      <c r="BX73" s="9">
        <f t="shared" ca="1" si="28"/>
        <v>11.812426027129106</v>
      </c>
      <c r="BY73" s="9">
        <f t="shared" ca="1" si="29"/>
        <v>4.0351343500689225</v>
      </c>
      <c r="BZ73" s="9">
        <f t="shared" ca="1" si="30"/>
        <v>137.68694378122683</v>
      </c>
      <c r="CA73" s="6">
        <f t="shared" ca="1" si="31"/>
        <v>-37.923038234630312</v>
      </c>
      <c r="CB73" s="6">
        <f t="shared" ca="1" si="32"/>
        <v>-0.26876541679695404</v>
      </c>
      <c r="CC73" s="6">
        <f t="shared" ca="1" si="33"/>
        <v>-5.2000687889038897E-3</v>
      </c>
      <c r="CD73" s="9">
        <f t="shared" si="34"/>
        <v>149.88694378122682</v>
      </c>
      <c r="CE73" s="9">
        <f t="shared" si="35"/>
        <v>-42.123038234630314</v>
      </c>
      <c r="CF73" s="6">
        <f t="shared" si="36"/>
        <v>-0.27396548558585793</v>
      </c>
      <c r="CG73" s="6"/>
      <c r="CH73" s="6"/>
      <c r="CI73" s="6"/>
      <c r="CJ73" s="1"/>
      <c r="CK73" s="6"/>
      <c r="DC73">
        <v>1.1246445487046417</v>
      </c>
      <c r="DD73">
        <v>6.0146644454339286</v>
      </c>
      <c r="DE73">
        <v>5.9026776704152129</v>
      </c>
      <c r="DF73">
        <v>31.302768181216397</v>
      </c>
      <c r="DG73">
        <v>1.3419461267690491</v>
      </c>
      <c r="DH73">
        <v>-3.0926391787013578</v>
      </c>
      <c r="DK73">
        <v>-2.0384378568368726</v>
      </c>
      <c r="DL73">
        <v>-3.0918782267277338</v>
      </c>
      <c r="DM73">
        <v>-2.0384378567368726</v>
      </c>
      <c r="DN73">
        <v>-3.0918782267284133</v>
      </c>
      <c r="DO73">
        <v>-2.0384378569368726</v>
      </c>
      <c r="DP73">
        <v>-3.0918782267270561</v>
      </c>
      <c r="DQ73">
        <v>-6.7856831265089568E-3</v>
      </c>
      <c r="DR73">
        <v>0.98678492833407117</v>
      </c>
    </row>
    <row r="74" spans="1:122" x14ac:dyDescent="0.25">
      <c r="BC74">
        <v>1.2566370614359186</v>
      </c>
      <c r="BD74">
        <v>137.32605920766142</v>
      </c>
      <c r="BE74">
        <v>-37.760426849291875</v>
      </c>
      <c r="BF74" s="6">
        <f t="shared" si="79"/>
        <v>6.0148477972942302</v>
      </c>
      <c r="BG74" s="6">
        <f t="shared" si="80"/>
        <v>4.7582107358583112</v>
      </c>
      <c r="BH74" s="6">
        <f t="shared" si="81"/>
        <v>3.078376001599211</v>
      </c>
      <c r="BI74" s="6">
        <f t="shared" si="82"/>
        <v>3.078376001599211</v>
      </c>
      <c r="BJ74">
        <v>152.58451023073491</v>
      </c>
      <c r="BK74">
        <v>-41.956029832546527</v>
      </c>
      <c r="BV74" s="38"/>
      <c r="BW74" s="6">
        <f t="shared" si="27"/>
        <v>1.0297442586766554</v>
      </c>
      <c r="BX74" s="9">
        <f t="shared" ca="1" si="28"/>
        <v>11.793967434236293</v>
      </c>
      <c r="BY74" s="9">
        <f t="shared" ca="1" si="29"/>
        <v>4.0464448059235423</v>
      </c>
      <c r="BZ74" s="9">
        <f t="shared" ca="1" si="30"/>
        <v>137.66848518833402</v>
      </c>
      <c r="CA74" s="6">
        <f t="shared" ca="1" si="31"/>
        <v>-37.911727778775692</v>
      </c>
      <c r="CB74" s="6">
        <f t="shared" ca="1" si="32"/>
        <v>-0.26872337780404321</v>
      </c>
      <c r="CC74" s="6">
        <f t="shared" ca="1" si="33"/>
        <v>-5.2042421237537551E-3</v>
      </c>
      <c r="CD74" s="9">
        <f t="shared" si="34"/>
        <v>149.86848518833401</v>
      </c>
      <c r="CE74" s="9">
        <f t="shared" si="35"/>
        <v>-42.111727778775695</v>
      </c>
      <c r="CF74" s="6">
        <f t="shared" si="36"/>
        <v>-0.27392761992779696</v>
      </c>
      <c r="CG74" s="6"/>
      <c r="CH74" s="6"/>
      <c r="CI74" s="6"/>
      <c r="CJ74" s="1"/>
      <c r="CK74" s="6"/>
      <c r="DC74">
        <v>-2.380851509068254</v>
      </c>
      <c r="DD74">
        <v>5.9026776704152129</v>
      </c>
      <c r="DE74">
        <v>6.0148480162428575</v>
      </c>
      <c r="DF74">
        <v>33.188786290786418</v>
      </c>
      <c r="DG74">
        <v>1.7923579365521189</v>
      </c>
      <c r="DH74">
        <v>-3.2048095245290025</v>
      </c>
      <c r="DK74">
        <v>0.98678492833407117</v>
      </c>
      <c r="DL74">
        <v>3.0788678570307058</v>
      </c>
      <c r="DM74">
        <v>0.98678492843407117</v>
      </c>
      <c r="DN74">
        <v>3.0788678570267916</v>
      </c>
      <c r="DO74">
        <v>0.98678492823407116</v>
      </c>
      <c r="DP74">
        <v>3.0788678570290671</v>
      </c>
      <c r="DQ74">
        <v>-1.1377565556358604E-2</v>
      </c>
      <c r="DR74">
        <v>1.4184844332434461</v>
      </c>
    </row>
    <row r="75" spans="1:122" x14ac:dyDescent="0.25">
      <c r="A75" s="8" t="s">
        <v>63</v>
      </c>
      <c r="B75" s="9">
        <f ca="1">N57+M72</f>
        <v>-177.33380741319709</v>
      </c>
      <c r="C75" t="s">
        <v>68</v>
      </c>
      <c r="E75">
        <f>((O59*COS(-1*B27))+(P59*SIN(-1*B27)))</f>
        <v>-12.072506276464678</v>
      </c>
      <c r="F75">
        <f>(-1*(O59)*SIN(-1*B27))+((P59)*COS(-1*B27))</f>
        <v>2.6731729623435965</v>
      </c>
      <c r="BC75">
        <v>1.2740903539558619</v>
      </c>
      <c r="BD75">
        <v>137.28607039473954</v>
      </c>
      <c r="BE75">
        <v>-37.747823207198913</v>
      </c>
      <c r="BF75" s="6">
        <f t="shared" si="79"/>
        <v>6.0148586864486431</v>
      </c>
      <c r="BG75" s="6">
        <f t="shared" si="80"/>
        <v>4.740768332492781</v>
      </c>
      <c r="BH75" s="6">
        <f t="shared" si="81"/>
        <v>3.0783651124447982</v>
      </c>
      <c r="BI75" s="6">
        <f t="shared" si="82"/>
        <v>3.0783651124447982</v>
      </c>
      <c r="BJ75">
        <v>152.54007821637725</v>
      </c>
      <c r="BK75">
        <v>-41.942025785776572</v>
      </c>
      <c r="BV75" s="38"/>
      <c r="BW75" s="6">
        <f t="shared" si="27"/>
        <v>1.0471975511965987</v>
      </c>
      <c r="BX75" s="9">
        <f t="shared" ca="1" si="28"/>
        <v>11.774787369665347</v>
      </c>
      <c r="BY75" s="9">
        <f t="shared" ca="1" si="29"/>
        <v>4.0577416365900802</v>
      </c>
      <c r="BZ75" s="9">
        <f t="shared" ca="1" si="30"/>
        <v>137.64930512376307</v>
      </c>
      <c r="CA75" s="6">
        <f t="shared" ca="1" si="31"/>
        <v>-37.900430948109154</v>
      </c>
      <c r="CB75" s="6">
        <f t="shared" ca="1" si="32"/>
        <v>-0.26868276002851049</v>
      </c>
      <c r="CC75" s="6">
        <f t="shared" ca="1" si="33"/>
        <v>-5.2083220972337077E-3</v>
      </c>
      <c r="CD75" s="9">
        <f t="shared" si="34"/>
        <v>149.84930512376306</v>
      </c>
      <c r="CE75" s="9">
        <f t="shared" si="35"/>
        <v>-42.100430948109157</v>
      </c>
      <c r="CF75" s="6">
        <f t="shared" si="36"/>
        <v>-0.2738910821257442</v>
      </c>
      <c r="CG75" s="6"/>
      <c r="CH75" s="6"/>
      <c r="CI75" s="6"/>
      <c r="CJ75" s="1"/>
      <c r="CK75" s="6"/>
      <c r="DC75">
        <v>1.3419461267690491</v>
      </c>
      <c r="DD75">
        <v>6.0148480162428575</v>
      </c>
      <c r="DE75">
        <v>5.9762010769253298</v>
      </c>
      <c r="DF75">
        <v>-11.654527311527424</v>
      </c>
      <c r="DG75">
        <v>0.99337441555800721</v>
      </c>
      <c r="DH75">
        <v>-3.1661625852114748</v>
      </c>
      <c r="DK75">
        <v>1.4184844332434461</v>
      </c>
      <c r="DL75">
        <v>3.0785826624766521</v>
      </c>
      <c r="DM75">
        <v>1.4184844333434461</v>
      </c>
      <c r="DN75">
        <v>3.0785826624805059</v>
      </c>
      <c r="DO75">
        <v>1.4184844331434461</v>
      </c>
      <c r="DP75">
        <v>3.0785826624727965</v>
      </c>
      <c r="DQ75">
        <v>3.8546943414985435E-2</v>
      </c>
      <c r="DR75">
        <v>-3.0490967858959803</v>
      </c>
    </row>
    <row r="76" spans="1:122" x14ac:dyDescent="0.25">
      <c r="A76" s="8" t="s">
        <v>66</v>
      </c>
      <c r="B76" s="9">
        <f ca="1">O57+N72</f>
        <v>-1589.0876301166318</v>
      </c>
      <c r="C76" t="s">
        <v>69</v>
      </c>
      <c r="E76">
        <f ca="1">((N73*COS(-1*B27))+(O73*SIN(-1*B27)))</f>
        <v>142.19999999999999</v>
      </c>
      <c r="F76">
        <f ca="1">(-1*(N73)*SIN(-1*B27))+((O73)*COS(-1*B27))</f>
        <v>-47.4</v>
      </c>
      <c r="BC76">
        <v>1.2915436464758052</v>
      </c>
      <c r="BD76">
        <v>137.24261863017881</v>
      </c>
      <c r="BE76">
        <v>-37.734957752166387</v>
      </c>
      <c r="BF76" s="6">
        <f t="shared" si="79"/>
        <v>6.014864905672165</v>
      </c>
      <c r="BG76" s="6">
        <f t="shared" si="80"/>
        <v>4.7233212591963598</v>
      </c>
      <c r="BH76" s="6">
        <f t="shared" si="81"/>
        <v>3.0783588932212762</v>
      </c>
      <c r="BI76" s="6">
        <f t="shared" si="82"/>
        <v>3.0783588932212762</v>
      </c>
      <c r="BJ76">
        <v>152.49179847797646</v>
      </c>
      <c r="BK76">
        <v>-41.927730835740427</v>
      </c>
      <c r="BV76" s="38"/>
      <c r="BW76" s="6">
        <f t="shared" si="27"/>
        <v>1.0646508437165421</v>
      </c>
      <c r="BX76" s="9">
        <f t="shared" ca="1" si="28"/>
        <v>11.754818115191711</v>
      </c>
      <c r="BY76" s="9">
        <f t="shared" ca="1" si="29"/>
        <v>4.0690384901261609</v>
      </c>
      <c r="BZ76" s="9">
        <f t="shared" ca="1" si="30"/>
        <v>137.62933586928943</v>
      </c>
      <c r="CA76" s="6">
        <f t="shared" ca="1" si="31"/>
        <v>-37.889134094573073</v>
      </c>
      <c r="CB76" s="6">
        <f t="shared" ca="1" si="32"/>
        <v>-0.26864359725568693</v>
      </c>
      <c r="CC76" s="6">
        <f t="shared" ca="1" si="33"/>
        <v>-5.2123082381869126E-3</v>
      </c>
      <c r="CD76" s="9">
        <f t="shared" si="34"/>
        <v>149.82933586928942</v>
      </c>
      <c r="CE76" s="9">
        <f t="shared" si="35"/>
        <v>-42.089134094573076</v>
      </c>
      <c r="CF76" s="6">
        <f t="shared" si="36"/>
        <v>-0.27385590549387384</v>
      </c>
      <c r="CG76" s="6"/>
      <c r="CH76" s="6"/>
      <c r="CI76" s="6"/>
      <c r="CJ76" s="1"/>
      <c r="CK76" s="6"/>
      <c r="DC76">
        <v>1.7923579365521189</v>
      </c>
      <c r="DD76">
        <v>5.9762010769253298</v>
      </c>
      <c r="DE76">
        <v>6.014372747125166</v>
      </c>
      <c r="DF76">
        <v>-20.931322020002657</v>
      </c>
      <c r="DG76">
        <v>-1.050711803677852</v>
      </c>
      <c r="DH76">
        <v>-3.204334255411311</v>
      </c>
      <c r="DK76">
        <v>-3.0490967858959803</v>
      </c>
      <c r="DL76">
        <v>-3.1034477334916213</v>
      </c>
      <c r="DM76">
        <v>-3.0490967857959803</v>
      </c>
      <c r="DN76">
        <v>-3.1034477334810049</v>
      </c>
      <c r="DO76">
        <v>-3.0490967859959803</v>
      </c>
      <c r="DP76">
        <v>-3.1034477335022421</v>
      </c>
      <c r="DQ76">
        <v>0.10618617096724847</v>
      </c>
      <c r="DR76">
        <v>1.0446394562498709</v>
      </c>
    </row>
    <row r="77" spans="1:122" x14ac:dyDescent="0.25">
      <c r="A77" s="8" t="s">
        <v>67</v>
      </c>
      <c r="B77" s="9">
        <f ca="1">P57+O72</f>
        <v>448.60520914979276</v>
      </c>
      <c r="C77" t="s">
        <v>69</v>
      </c>
      <c r="BC77">
        <v>1.3089969389957485</v>
      </c>
      <c r="BD77">
        <v>137.19512686798089</v>
      </c>
      <c r="BE77">
        <v>-37.721793604979617</v>
      </c>
      <c r="BF77" s="6">
        <f t="shared" si="79"/>
        <v>6.0148656257032087</v>
      </c>
      <c r="BG77" s="6">
        <f t="shared" si="80"/>
        <v>4.7058686867074604</v>
      </c>
      <c r="BH77" s="6">
        <f t="shared" si="81"/>
        <v>3.0783581731902325</v>
      </c>
      <c r="BI77" s="6">
        <f t="shared" si="82"/>
        <v>3.0783581731902325</v>
      </c>
      <c r="BJ77">
        <v>152.43902985331209</v>
      </c>
      <c r="BK77">
        <v>-41.913104005532908</v>
      </c>
      <c r="BV77" s="38"/>
      <c r="BW77" s="6">
        <f t="shared" si="27"/>
        <v>1.0821041362364854</v>
      </c>
      <c r="BX77" s="9">
        <f t="shared" ca="1" si="28"/>
        <v>11.733983749485787</v>
      </c>
      <c r="BY77" s="9">
        <f t="shared" ca="1" si="29"/>
        <v>4.08034929403901</v>
      </c>
      <c r="BZ77" s="9">
        <f t="shared" ca="1" si="30"/>
        <v>137.60850150358351</v>
      </c>
      <c r="CA77" s="6">
        <f t="shared" ca="1" si="31"/>
        <v>-37.877823290660224</v>
      </c>
      <c r="CB77" s="6">
        <f t="shared" ca="1" si="32"/>
        <v>-0.26860593662636162</v>
      </c>
      <c r="CC77" s="6">
        <f t="shared" ca="1" si="33"/>
        <v>-5.2161992416067116E-3</v>
      </c>
      <c r="CD77" s="9">
        <f t="shared" si="34"/>
        <v>149.8085015035835</v>
      </c>
      <c r="CE77" s="9">
        <f t="shared" si="35"/>
        <v>-42.077823290660227</v>
      </c>
      <c r="CF77" s="6">
        <f t="shared" si="36"/>
        <v>-0.27382213586796833</v>
      </c>
      <c r="CG77" s="6"/>
      <c r="CH77" s="6"/>
      <c r="CI77" s="6"/>
      <c r="CJ77" s="1"/>
      <c r="CK77" s="6"/>
      <c r="DC77">
        <v>0.99337441555800721</v>
      </c>
      <c r="DD77">
        <v>6.014372747125166</v>
      </c>
      <c r="DE77">
        <v>5.9513990291598233</v>
      </c>
      <c r="DF77">
        <v>32.459354239824513</v>
      </c>
      <c r="DG77">
        <v>-2.4862813687686685</v>
      </c>
      <c r="DH77">
        <v>-3.1413605374459683</v>
      </c>
      <c r="DK77">
        <v>1.0446394562498709</v>
      </c>
      <c r="DL77">
        <v>3.0787271149585509</v>
      </c>
      <c r="DM77">
        <v>1.0446394563498709</v>
      </c>
      <c r="DN77">
        <v>3.0787271149596496</v>
      </c>
      <c r="DO77">
        <v>1.0446394561498709</v>
      </c>
      <c r="DP77">
        <v>3.0787271149574522</v>
      </c>
      <c r="DQ77">
        <v>1.0986767051690549E-2</v>
      </c>
      <c r="DR77">
        <v>-2.7165952190927274</v>
      </c>
    </row>
    <row r="78" spans="1:122" x14ac:dyDescent="0.25">
      <c r="BC78">
        <v>1.3264502315156919</v>
      </c>
      <c r="BD78">
        <v>137.14287620427052</v>
      </c>
      <c r="BE78">
        <v>-37.708288325930916</v>
      </c>
      <c r="BF78" s="6">
        <f t="shared" si="79"/>
        <v>6.0148597885805195</v>
      </c>
      <c r="BG78" s="6">
        <f t="shared" si="80"/>
        <v>4.6884095570648281</v>
      </c>
      <c r="BH78" s="6">
        <f t="shared" si="81"/>
        <v>3.0783640103129217</v>
      </c>
      <c r="BI78" s="6">
        <f t="shared" si="82"/>
        <v>3.0783640103129217</v>
      </c>
      <c r="BJ78">
        <v>152.38097356030059</v>
      </c>
      <c r="BK78">
        <v>-41.898098139923242</v>
      </c>
      <c r="BV78" s="38"/>
      <c r="BW78" s="6">
        <f t="shared" si="27"/>
        <v>1.0995574287564287</v>
      </c>
      <c r="BX78" s="9">
        <f t="shared" ca="1" si="28"/>
        <v>11.71219877246628</v>
      </c>
      <c r="BY78" s="9">
        <f t="shared" ca="1" si="29"/>
        <v>4.0916883584420916</v>
      </c>
      <c r="BZ78" s="9">
        <f t="shared" ca="1" si="30"/>
        <v>137.586716526564</v>
      </c>
      <c r="CA78" s="6">
        <f t="shared" ca="1" si="31"/>
        <v>-37.866484226257143</v>
      </c>
      <c r="CB78" s="6">
        <f t="shared" ca="1" si="32"/>
        <v>-0.26856984050792621</v>
      </c>
      <c r="CC78" s="6">
        <f t="shared" ca="1" si="33"/>
        <v>-5.2199928590418443E-3</v>
      </c>
      <c r="CD78" s="9">
        <f t="shared" si="34"/>
        <v>149.78671652656399</v>
      </c>
      <c r="CE78" s="9">
        <f t="shared" si="35"/>
        <v>-42.066484226257145</v>
      </c>
      <c r="CF78" s="6">
        <f t="shared" si="36"/>
        <v>-0.27378983336696805</v>
      </c>
      <c r="CG78" s="6"/>
      <c r="CH78" s="6"/>
      <c r="CI78" s="6"/>
      <c r="CJ78" s="1"/>
      <c r="CK78" s="6"/>
      <c r="DC78">
        <v>-1.050711803677852</v>
      </c>
      <c r="DD78">
        <v>5.9513990291598233</v>
      </c>
      <c r="DE78">
        <v>5.9030877618168436</v>
      </c>
      <c r="DF78">
        <v>29.715005298850297</v>
      </c>
      <c r="DG78">
        <v>-0.14847721179022588</v>
      </c>
      <c r="DH78">
        <v>-3.0930492701029886</v>
      </c>
      <c r="DK78">
        <v>-2.7165952190927274</v>
      </c>
      <c r="DL78">
        <v>-3.0944768920312704</v>
      </c>
      <c r="DM78">
        <v>-2.7165952189927274</v>
      </c>
      <c r="DN78">
        <v>-3.0944768920230041</v>
      </c>
      <c r="DO78">
        <v>-2.7165952191927274</v>
      </c>
      <c r="DP78">
        <v>-3.0944768920223646</v>
      </c>
      <c r="DQ78">
        <v>-3.1974423109204508E-3</v>
      </c>
      <c r="DR78">
        <v>-2.9036258202863556</v>
      </c>
    </row>
    <row r="79" spans="1:122" x14ac:dyDescent="0.25">
      <c r="A79" s="8" t="s">
        <v>64</v>
      </c>
      <c r="B79">
        <f ca="1">((B76*COS(-1*B27))+(B77*SIN(-1*B27)))</f>
        <v>1561.5299246824236</v>
      </c>
      <c r="C79" t="s">
        <v>69</v>
      </c>
      <c r="BC79">
        <v>1.3439035240356352</v>
      </c>
      <c r="BD79">
        <v>137.08495760750463</v>
      </c>
      <c r="BE79">
        <v>-37.694392460659657</v>
      </c>
      <c r="BF79" s="6">
        <f t="shared" si="79"/>
        <v>6.0148460264652535</v>
      </c>
      <c r="BG79" s="6">
        <f t="shared" si="80"/>
        <v>4.6709425024296181</v>
      </c>
      <c r="BH79" s="6">
        <f t="shared" si="81"/>
        <v>3.0783777724281878</v>
      </c>
      <c r="BI79" s="6">
        <f t="shared" si="82"/>
        <v>3.0783777724281878</v>
      </c>
      <c r="BJ79">
        <v>152.31661956389402</v>
      </c>
      <c r="BK79">
        <v>-41.882658289621837</v>
      </c>
      <c r="BV79" s="38"/>
      <c r="BW79" s="6">
        <f t="shared" si="27"/>
        <v>1.117010721276372</v>
      </c>
      <c r="BX79" s="9">
        <f t="shared" ca="1" si="28"/>
        <v>11.689366454731044</v>
      </c>
      <c r="BY79" s="9">
        <f t="shared" ca="1" si="29"/>
        <v>4.1030704960466977</v>
      </c>
      <c r="BZ79" s="9">
        <f t="shared" ca="1" si="30"/>
        <v>137.56388420882877</v>
      </c>
      <c r="CA79" s="6">
        <f t="shared" ca="1" si="31"/>
        <v>-37.855102088652536</v>
      </c>
      <c r="CB79" s="6">
        <f t="shared" ca="1" si="32"/>
        <v>-0.26853538876605998</v>
      </c>
      <c r="CC79" s="6">
        <f t="shared" ca="1" si="33"/>
        <v>-5.223685764814745E-3</v>
      </c>
      <c r="CD79" s="9">
        <f t="shared" si="34"/>
        <v>149.76388420882876</v>
      </c>
      <c r="CE79" s="9">
        <f t="shared" si="35"/>
        <v>-42.055102088652539</v>
      </c>
      <c r="CF79" s="6">
        <f t="shared" si="36"/>
        <v>-0.27375907453087472</v>
      </c>
      <c r="CG79" s="6"/>
      <c r="CH79" s="6"/>
      <c r="CI79" s="6"/>
      <c r="CJ79" s="1"/>
      <c r="CK79" s="6"/>
      <c r="DC79">
        <v>-2.4862813687686685</v>
      </c>
      <c r="DD79">
        <v>5.9030877618168436</v>
      </c>
      <c r="DE79">
        <v>5.9616862906045451</v>
      </c>
      <c r="DF79">
        <v>39.895270501553824</v>
      </c>
      <c r="DG79">
        <v>-0.22061253056929298</v>
      </c>
      <c r="DH79">
        <v>-3.1516477988906901</v>
      </c>
      <c r="DK79">
        <v>-2.9036258202863556</v>
      </c>
      <c r="DL79">
        <v>-3.097034397218974</v>
      </c>
      <c r="DM79">
        <v>-2.9036258201863556</v>
      </c>
      <c r="DN79">
        <v>-3.0970343972249088</v>
      </c>
      <c r="DO79">
        <v>-2.9036258203863556</v>
      </c>
      <c r="DP79">
        <v>-3.0970343972230845</v>
      </c>
      <c r="DQ79">
        <v>-9.1215923703202861E-3</v>
      </c>
      <c r="DR79">
        <v>-3.1394419509182692</v>
      </c>
    </row>
    <row r="80" spans="1:122" x14ac:dyDescent="0.25">
      <c r="A80" s="8" t="s">
        <v>65</v>
      </c>
      <c r="B80">
        <f ca="1">(-1*(B76)*SIN(-1*B27))+((B77)*COS(-1*B27))</f>
        <v>-536.72192445187682</v>
      </c>
      <c r="C80" t="s">
        <v>69</v>
      </c>
      <c r="BC80">
        <v>1.3613568165555785</v>
      </c>
      <c r="BD80">
        <v>137.02020194127354</v>
      </c>
      <c r="BE80">
        <v>-37.680047574709917</v>
      </c>
      <c r="BF80" s="6">
        <f t="shared" si="79"/>
        <v>6.0148225428166713</v>
      </c>
      <c r="BG80" s="6">
        <f t="shared" si="80"/>
        <v>4.6534657262610928</v>
      </c>
      <c r="BH80" s="6">
        <f t="shared" si="81"/>
        <v>3.07840125607677</v>
      </c>
      <c r="BI80" s="6">
        <f t="shared" si="82"/>
        <v>3.07840125607677</v>
      </c>
      <c r="BJ80">
        <v>152.24466882363726</v>
      </c>
      <c r="BK80">
        <v>-41.866719527455466</v>
      </c>
      <c r="BV80" s="38"/>
      <c r="BW80" s="6">
        <f t="shared" ref="BW80:BW143" si="83">BC67</f>
        <v>1.1344640137963153</v>
      </c>
      <c r="BX80" s="9">
        <f t="shared" ref="BX80:BX143" ca="1" si="84">BD67-$BW$5</f>
        <v>11.665376814982437</v>
      </c>
      <c r="BY80" s="9">
        <f t="shared" ref="BY80:BY143" ca="1" si="85">BE67-$BX$5</f>
        <v>4.1145111506343213</v>
      </c>
      <c r="BZ80" s="9">
        <f t="shared" ref="BZ80:BZ143" ca="1" si="86">BX80-$CE$5</f>
        <v>137.53989456908016</v>
      </c>
      <c r="CA80" s="6">
        <f t="shared" ref="CA80:CA143" ca="1" si="87">BY80-$CF$5</f>
        <v>-37.843661434064913</v>
      </c>
      <c r="CB80" s="6">
        <f t="shared" ref="CB80:CB143" ca="1" si="88">ATAN2(BZ80,CA80)</f>
        <v>-0.26850268167510044</v>
      </c>
      <c r="CC80" s="6">
        <f t="shared" ref="CC80:CC143" ca="1" si="89">ATAN2(COS(CF80-CB80),SIN(CF80-CB80))</f>
        <v>-5.2272733813583661E-3</v>
      </c>
      <c r="CD80" s="9">
        <f t="shared" ref="CD80:CD143" si="90">BD67-$BW$6</f>
        <v>149.73989456908015</v>
      </c>
      <c r="CE80" s="9">
        <f t="shared" ref="CE80:CE143" si="91">BE67-$BX$6</f>
        <v>-42.043661434064916</v>
      </c>
      <c r="CF80" s="6">
        <f t="shared" ref="CF80:CF143" si="92">ATAN2(CD80,CE80)</f>
        <v>-0.27372995505645881</v>
      </c>
      <c r="CG80" s="6"/>
      <c r="CH80" s="6"/>
      <c r="CI80" s="6"/>
      <c r="CJ80" s="1"/>
      <c r="CK80" s="6"/>
      <c r="DC80">
        <v>-0.14847721179022588</v>
      </c>
      <c r="DD80">
        <v>5.9616862906045451</v>
      </c>
      <c r="DE80">
        <v>5.9592735348107633</v>
      </c>
      <c r="DF80">
        <v>29.897480285810005</v>
      </c>
      <c r="DG80">
        <v>-0.12702553924733084</v>
      </c>
      <c r="DH80">
        <v>-3.1492350430969083</v>
      </c>
      <c r="DK80">
        <v>-3.1394419509182692</v>
      </c>
      <c r="DL80">
        <v>-3.1239974454710682</v>
      </c>
      <c r="DM80">
        <v>-3.1394419508182692</v>
      </c>
      <c r="DN80">
        <v>-3.1239974454359318</v>
      </c>
      <c r="DO80">
        <v>-3.1394419510182692</v>
      </c>
      <c r="DP80">
        <v>-3.1239974455062383</v>
      </c>
      <c r="DQ80">
        <v>0.35153213673311257</v>
      </c>
      <c r="DR80">
        <v>-0.53582255653270505</v>
      </c>
    </row>
    <row r="81" spans="1:122" x14ac:dyDescent="0.25">
      <c r="BC81">
        <v>1.3788101090755218</v>
      </c>
      <c r="BD81">
        <v>136.94707570048823</v>
      </c>
      <c r="BE81">
        <v>-37.665183542560207</v>
      </c>
      <c r="BF81" s="6">
        <f t="shared" si="79"/>
        <v>6.0147869335847925</v>
      </c>
      <c r="BG81" s="6">
        <f t="shared" si="80"/>
        <v>4.635976824509271</v>
      </c>
      <c r="BH81" s="6">
        <f t="shared" si="81"/>
        <v>3.0784368653086487</v>
      </c>
      <c r="BI81" s="6">
        <f t="shared" si="82"/>
        <v>3.0784368653086487</v>
      </c>
      <c r="BJ81">
        <v>152.16341744498692</v>
      </c>
      <c r="BK81">
        <v>-41.850203936178005</v>
      </c>
      <c r="BV81" s="38"/>
      <c r="BW81" s="6">
        <f t="shared" si="83"/>
        <v>1.1519173063162587</v>
      </c>
      <c r="BX81" s="9">
        <f t="shared" ca="1" si="84"/>
        <v>11.640104148711316</v>
      </c>
      <c r="BY81" s="9">
        <f t="shared" ca="1" si="85"/>
        <v>4.1260265477223399</v>
      </c>
      <c r="BZ81" s="9">
        <f t="shared" ca="1" si="86"/>
        <v>137.51462190280904</v>
      </c>
      <c r="CA81" s="6">
        <f t="shared" ca="1" si="87"/>
        <v>-37.832146036976894</v>
      </c>
      <c r="CB81" s="6">
        <f t="shared" ca="1" si="88"/>
        <v>-0.26847184351882331</v>
      </c>
      <c r="CC81" s="6">
        <f t="shared" ca="1" si="89"/>
        <v>-5.2307496619322102E-3</v>
      </c>
      <c r="CD81" s="9">
        <f t="shared" si="90"/>
        <v>149.71462190280903</v>
      </c>
      <c r="CE81" s="9">
        <f t="shared" si="91"/>
        <v>-42.032146036976897</v>
      </c>
      <c r="CF81" s="6">
        <f t="shared" si="92"/>
        <v>-0.27370259318075552</v>
      </c>
      <c r="CG81" s="6"/>
      <c r="CH81" s="6"/>
      <c r="CI81" s="6"/>
      <c r="CJ81" s="1"/>
      <c r="CK81" s="6"/>
      <c r="DC81">
        <v>-0.22061253056929298</v>
      </c>
      <c r="DD81">
        <v>5.9592735348107633</v>
      </c>
      <c r="DE81">
        <v>5.9627537892908622</v>
      </c>
      <c r="DF81">
        <v>26.890847165665328</v>
      </c>
      <c r="DG81">
        <v>3.0583835372685004</v>
      </c>
      <c r="DH81">
        <v>-3.1527152975770072</v>
      </c>
      <c r="DK81">
        <v>-0.53582255653270505</v>
      </c>
      <c r="DL81">
        <v>3.1383304492230559</v>
      </c>
      <c r="DM81">
        <v>-0.53582255643270504</v>
      </c>
      <c r="DN81">
        <v>3.1383304492221678</v>
      </c>
      <c r="DO81">
        <v>-0.53582255663270506</v>
      </c>
      <c r="DP81">
        <v>3.1383304492239441</v>
      </c>
      <c r="DQ81">
        <v>-8.8817841970012523E-3</v>
      </c>
      <c r="DR81">
        <v>0.95039628357135131</v>
      </c>
    </row>
    <row r="82" spans="1:122" x14ac:dyDescent="0.25">
      <c r="B82">
        <f>ATAN2(1,0)</f>
        <v>0</v>
      </c>
      <c r="BC82">
        <v>1.3962634015954651</v>
      </c>
      <c r="BD82">
        <v>136.86352069095133</v>
      </c>
      <c r="BE82">
        <v>-37.649714693536602</v>
      </c>
      <c r="BF82" s="6">
        <f t="shared" si="79"/>
        <v>6.0147359096341901</v>
      </c>
      <c r="BG82" s="6">
        <f t="shared" si="80"/>
        <v>4.6184725080387246</v>
      </c>
      <c r="BH82" s="6">
        <f t="shared" si="81"/>
        <v>3.0784878892592511</v>
      </c>
      <c r="BI82" s="6">
        <f t="shared" si="82"/>
        <v>3.0784878892592511</v>
      </c>
      <c r="BJ82">
        <v>152.07057854550149</v>
      </c>
      <c r="BK82">
        <v>-41.833016326151778</v>
      </c>
      <c r="BV82" s="38"/>
      <c r="BW82" s="6">
        <f t="shared" si="83"/>
        <v>1.169370598836202</v>
      </c>
      <c r="BX82" s="9">
        <f t="shared" ca="1" si="84"/>
        <v>11.613403962727745</v>
      </c>
      <c r="BY82" s="9">
        <f t="shared" ca="1" si="85"/>
        <v>4.1376338634653465</v>
      </c>
      <c r="BZ82" s="9">
        <f t="shared" ca="1" si="86"/>
        <v>137.48792171682547</v>
      </c>
      <c r="CA82" s="6">
        <f t="shared" ca="1" si="87"/>
        <v>-37.820538721233888</v>
      </c>
      <c r="CB82" s="6">
        <f t="shared" ca="1" si="88"/>
        <v>-0.26844302718112606</v>
      </c>
      <c r="CC82" s="6">
        <f t="shared" ca="1" si="89"/>
        <v>-5.2341068104962982E-3</v>
      </c>
      <c r="CD82" s="9">
        <f t="shared" si="90"/>
        <v>149.68792171682546</v>
      </c>
      <c r="CE82" s="9">
        <f t="shared" si="91"/>
        <v>-42.020538721233891</v>
      </c>
      <c r="CF82" s="6">
        <f t="shared" si="92"/>
        <v>-0.27367713399162236</v>
      </c>
      <c r="CG82" s="6"/>
      <c r="CH82" s="6"/>
      <c r="CI82" s="6"/>
      <c r="CJ82" s="1"/>
      <c r="CK82" s="6"/>
      <c r="DC82">
        <v>-0.12702553924733084</v>
      </c>
      <c r="DD82">
        <v>5.9627537892908622</v>
      </c>
      <c r="DE82">
        <v>5.9560116118749367</v>
      </c>
      <c r="DF82">
        <v>-472.45999029803852</v>
      </c>
      <c r="DG82">
        <v>0.28989556490103635</v>
      </c>
      <c r="DH82">
        <v>-3.1459731201610817</v>
      </c>
      <c r="DK82">
        <v>0.95039628357135131</v>
      </c>
      <c r="DL82">
        <v>3.0789642210385963</v>
      </c>
      <c r="DM82">
        <v>0.95039628367135132</v>
      </c>
      <c r="DN82">
        <v>3.0789642210349548</v>
      </c>
      <c r="DO82">
        <v>0.9503962834713513</v>
      </c>
      <c r="DP82">
        <v>3.0789642210366619</v>
      </c>
      <c r="DQ82">
        <v>-8.5353946133182035E-3</v>
      </c>
      <c r="DR82">
        <v>-2.7453682197199782</v>
      </c>
    </row>
    <row r="83" spans="1:122" x14ac:dyDescent="0.25">
      <c r="A83" t="s">
        <v>74</v>
      </c>
      <c r="B83">
        <f ca="1">ATAN2(B79,B80)</f>
        <v>-0.33106515672173586</v>
      </c>
      <c r="BC83">
        <v>1.4137166941154085</v>
      </c>
      <c r="BD83">
        <v>136.76669811980739</v>
      </c>
      <c r="BE83">
        <v>-37.633534180788693</v>
      </c>
      <c r="BF83" s="6">
        <f t="shared" si="79"/>
        <v>6.0146648492169454</v>
      </c>
      <c r="BG83" s="6">
        <f t="shared" si="80"/>
        <v>4.6009481551015368</v>
      </c>
      <c r="BH83" s="6">
        <f t="shared" si="81"/>
        <v>3.0785589496764958</v>
      </c>
      <c r="BI83" s="6">
        <f t="shared" si="82"/>
        <v>3.0785589496764958</v>
      </c>
      <c r="BJ83">
        <v>151.96299791089709</v>
      </c>
      <c r="BK83">
        <v>-41.815037978654104</v>
      </c>
      <c r="BV83" s="38"/>
      <c r="BW83" s="6">
        <f t="shared" si="83"/>
        <v>1.1868238913561453</v>
      </c>
      <c r="BX83" s="9">
        <f t="shared" ca="1" si="84"/>
        <v>11.58510916388974</v>
      </c>
      <c r="BY83" s="9">
        <f t="shared" ca="1" si="85"/>
        <v>4.1493514277190044</v>
      </c>
      <c r="BZ83" s="9">
        <f t="shared" ca="1" si="86"/>
        <v>137.45962691798746</v>
      </c>
      <c r="CA83" s="6">
        <f t="shared" ca="1" si="87"/>
        <v>-37.80882115698023</v>
      </c>
      <c r="CB83" s="6">
        <f t="shared" ca="1" si="88"/>
        <v>-0.26841641990432835</v>
      </c>
      <c r="CC83" s="6">
        <f t="shared" ca="1" si="89"/>
        <v>-5.2373349289455695E-3</v>
      </c>
      <c r="CD83" s="9">
        <f t="shared" si="90"/>
        <v>149.65962691798745</v>
      </c>
      <c r="CE83" s="9">
        <f t="shared" si="91"/>
        <v>-42.008821156980233</v>
      </c>
      <c r="CF83" s="6">
        <f t="shared" si="92"/>
        <v>-0.27365375483327392</v>
      </c>
      <c r="CG83" s="6"/>
      <c r="CH83" s="6"/>
      <c r="CI83" s="6"/>
      <c r="CJ83" s="1"/>
      <c r="CK83" s="6"/>
      <c r="DC83">
        <v>3.0583835372685004</v>
      </c>
      <c r="DD83">
        <v>5.9560116118749367</v>
      </c>
      <c r="DE83">
        <v>6.0102461254511175</v>
      </c>
      <c r="DF83">
        <v>-51.046608327715376</v>
      </c>
      <c r="DG83">
        <v>0.28682322498264845</v>
      </c>
      <c r="DH83">
        <v>-3.2002076337372625</v>
      </c>
      <c r="DK83">
        <v>-2.7453682197199782</v>
      </c>
      <c r="DL83">
        <v>-3.0947433496297059</v>
      </c>
      <c r="DM83">
        <v>-2.7453682196199782</v>
      </c>
      <c r="DN83">
        <v>-3.0947433496305603</v>
      </c>
      <c r="DO83">
        <v>-2.7453682198199783</v>
      </c>
      <c r="DP83">
        <v>-3.0947433496376009</v>
      </c>
      <c r="DQ83">
        <v>3.5202951664814464E-2</v>
      </c>
      <c r="DR83">
        <v>-2.7984890990176901</v>
      </c>
    </row>
    <row r="84" spans="1:122" x14ac:dyDescent="0.25">
      <c r="BC84">
        <v>1.4311699866353518</v>
      </c>
      <c r="BD84">
        <v>136.65256152813197</v>
      </c>
      <c r="BE84">
        <v>-37.616505445362186</v>
      </c>
      <c r="BF84" s="6">
        <f t="shared" si="79"/>
        <v>6.0145670435174772</v>
      </c>
      <c r="BG84" s="6">
        <f t="shared" si="80"/>
        <v>4.5833970568821254</v>
      </c>
      <c r="BH84" s="6">
        <f t="shared" si="81"/>
        <v>3.0786567553759641</v>
      </c>
      <c r="BI84" s="6">
        <f t="shared" si="82"/>
        <v>3.0786567553759641</v>
      </c>
      <c r="BJ84">
        <v>151.83617947570218</v>
      </c>
      <c r="BK84">
        <v>-41.796117161513543</v>
      </c>
      <c r="BV84" s="38"/>
      <c r="BW84" s="6">
        <f t="shared" si="83"/>
        <v>1.2042771838760886</v>
      </c>
      <c r="BX84" s="9">
        <f t="shared" ca="1" si="84"/>
        <v>11.555025250340407</v>
      </c>
      <c r="BY84" s="9">
        <f t="shared" ca="1" si="85"/>
        <v>4.1611989588894573</v>
      </c>
      <c r="BZ84" s="9">
        <f t="shared" ca="1" si="86"/>
        <v>137.42954300443813</v>
      </c>
      <c r="CA84" s="6">
        <f t="shared" ca="1" si="87"/>
        <v>-37.796973625809777</v>
      </c>
      <c r="CB84" s="6">
        <f t="shared" ca="1" si="88"/>
        <v>-0.26839225070404782</v>
      </c>
      <c r="CC84" s="6">
        <f t="shared" ca="1" si="89"/>
        <v>-5.2404215591375092E-3</v>
      </c>
      <c r="CD84" s="9">
        <f t="shared" si="90"/>
        <v>149.62954300443812</v>
      </c>
      <c r="CE84" s="9">
        <f t="shared" si="91"/>
        <v>-41.99697362580978</v>
      </c>
      <c r="CF84" s="6">
        <f t="shared" si="92"/>
        <v>-0.27363267226318533</v>
      </c>
      <c r="CG84" s="6"/>
      <c r="CH84" s="6"/>
      <c r="CI84" s="6"/>
      <c r="CJ84" s="1"/>
      <c r="CK84" s="6"/>
      <c r="DC84">
        <v>0.28989556490103635</v>
      </c>
      <c r="DD84">
        <v>6.0102461254511175</v>
      </c>
      <c r="DE84">
        <v>6.0101991821778142</v>
      </c>
      <c r="DF84">
        <v>65.447926874246832</v>
      </c>
      <c r="DG84">
        <v>-1.811944493415466</v>
      </c>
      <c r="DH84">
        <v>-3.2001606904639592</v>
      </c>
      <c r="DK84">
        <v>-2.7984890990176901</v>
      </c>
      <c r="DL84">
        <v>-3.0953248554024437</v>
      </c>
      <c r="DM84">
        <v>-2.79848909891769</v>
      </c>
      <c r="DN84">
        <v>-3.0953248553954094</v>
      </c>
      <c r="DO84">
        <v>-2.7984890991176901</v>
      </c>
      <c r="DP84">
        <v>-3.0953248554003769</v>
      </c>
      <c r="DQ84">
        <v>2.4837909506914002E-2</v>
      </c>
      <c r="DR84">
        <v>2.4419793849803164</v>
      </c>
    </row>
    <row r="85" spans="1:122" x14ac:dyDescent="0.25">
      <c r="BC85">
        <v>1.4486232791552951</v>
      </c>
      <c r="BD85">
        <v>136.51510448472766</v>
      </c>
      <c r="BE85">
        <v>-37.598448671375792</v>
      </c>
      <c r="BF85" s="6">
        <f t="shared" si="79"/>
        <v>6.0144323538418547</v>
      </c>
      <c r="BG85" s="6">
        <f t="shared" si="80"/>
        <v>4.5658090746865598</v>
      </c>
      <c r="BH85" s="6">
        <f t="shared" si="81"/>
        <v>3.0787914450515865</v>
      </c>
      <c r="BI85" s="6">
        <f t="shared" si="82"/>
        <v>3.0787914450515865</v>
      </c>
      <c r="BJ85">
        <v>151.68344942747518</v>
      </c>
      <c r="BK85">
        <v>-41.776054079306434</v>
      </c>
      <c r="BV85" s="38"/>
      <c r="BW85" s="6">
        <f t="shared" si="83"/>
        <v>1.2217304763960319</v>
      </c>
      <c r="BX85" s="9">
        <f t="shared" ca="1" si="84"/>
        <v>11.522924196082499</v>
      </c>
      <c r="BY85" s="9">
        <f t="shared" ca="1" si="85"/>
        <v>4.1731978448757232</v>
      </c>
      <c r="BZ85" s="9">
        <f t="shared" ca="1" si="86"/>
        <v>137.39744195018022</v>
      </c>
      <c r="CA85" s="6">
        <f t="shared" ca="1" si="87"/>
        <v>-37.784974739823511</v>
      </c>
      <c r="CB85" s="6">
        <f t="shared" ca="1" si="88"/>
        <v>-0.26837079992599872</v>
      </c>
      <c r="CC85" s="6">
        <f t="shared" ca="1" si="89"/>
        <v>-5.2433510893546411E-3</v>
      </c>
      <c r="CD85" s="9">
        <f t="shared" si="90"/>
        <v>149.59744195018021</v>
      </c>
      <c r="CE85" s="9">
        <f t="shared" si="91"/>
        <v>-41.984974739823514</v>
      </c>
      <c r="CF85" s="6">
        <f t="shared" si="92"/>
        <v>-0.27361415101535336</v>
      </c>
      <c r="CG85" s="6"/>
      <c r="CH85" s="6"/>
      <c r="CI85" s="6"/>
      <c r="CJ85" s="1"/>
      <c r="CK85" s="6"/>
      <c r="DC85">
        <v>0.28682322498264845</v>
      </c>
      <c r="DD85">
        <v>6.0101991821778142</v>
      </c>
      <c r="DE85">
        <v>5.9020746464757252</v>
      </c>
      <c r="DF85">
        <v>19.410651844838998</v>
      </c>
      <c r="DG85">
        <v>1.0014712866430198</v>
      </c>
      <c r="DH85">
        <v>-3.0920361547618702</v>
      </c>
      <c r="DK85">
        <v>2.4419793849803164</v>
      </c>
      <c r="DL85">
        <v>3.1236558001813819</v>
      </c>
      <c r="DM85">
        <v>2.4419793850803164</v>
      </c>
      <c r="DN85">
        <v>3.1236558001818917</v>
      </c>
      <c r="DO85">
        <v>2.4419793848803164</v>
      </c>
      <c r="DP85">
        <v>3.1236558001814698</v>
      </c>
      <c r="DQ85">
        <v>2.1094237467877974E-3</v>
      </c>
      <c r="DR85">
        <v>-1.8194837152442949</v>
      </c>
    </row>
    <row r="86" spans="1:122" x14ac:dyDescent="0.25">
      <c r="BC86">
        <v>1.4660765716752384</v>
      </c>
      <c r="BD86">
        <v>136.34494282636987</v>
      </c>
      <c r="BE86">
        <v>-37.579118144232936</v>
      </c>
      <c r="BF86" s="6">
        <f t="shared" si="79"/>
        <v>6.0142446531520122</v>
      </c>
      <c r="BG86" s="6">
        <f t="shared" si="80"/>
        <v>4.5481680814767742</v>
      </c>
      <c r="BH86" s="6">
        <f t="shared" si="81"/>
        <v>3.0789791457414291</v>
      </c>
      <c r="BI86" s="6">
        <f t="shared" si="82"/>
        <v>3.0789791457414291</v>
      </c>
      <c r="BJ86">
        <v>151.49438091818874</v>
      </c>
      <c r="BK86">
        <v>-41.754575715814376</v>
      </c>
      <c r="BV86" s="38"/>
      <c r="BW86" s="6">
        <f t="shared" si="83"/>
        <v>1.2391837689159753</v>
      </c>
      <c r="BX86" s="9">
        <f t="shared" ca="1" si="84"/>
        <v>11.48853660050645</v>
      </c>
      <c r="BY86" s="9">
        <f t="shared" ca="1" si="85"/>
        <v>4.1853714904525958</v>
      </c>
      <c r="BZ86" s="9">
        <f t="shared" ca="1" si="86"/>
        <v>137.36305435460417</v>
      </c>
      <c r="CA86" s="6">
        <f t="shared" ca="1" si="87"/>
        <v>-37.772801094246638</v>
      </c>
      <c r="CB86" s="6">
        <f t="shared" ca="1" si="88"/>
        <v>-0.26835241161426865</v>
      </c>
      <c r="CC86" s="6">
        <f t="shared" ca="1" si="89"/>
        <v>-5.2461039833470169E-3</v>
      </c>
      <c r="CD86" s="9">
        <f t="shared" si="90"/>
        <v>149.56305435460416</v>
      </c>
      <c r="CE86" s="9">
        <f t="shared" si="91"/>
        <v>-41.972801094246641</v>
      </c>
      <c r="CF86" s="6">
        <f t="shared" si="92"/>
        <v>-0.27359851559761567</v>
      </c>
      <c r="CG86" s="6"/>
      <c r="CH86" s="6"/>
      <c r="CI86" s="6"/>
      <c r="CJ86" s="1"/>
      <c r="CK86" s="6"/>
      <c r="DC86">
        <v>-1.811944493415466</v>
      </c>
      <c r="DD86">
        <v>5.9020746464757252</v>
      </c>
      <c r="DE86">
        <v>6.0143931259440935</v>
      </c>
      <c r="DF86">
        <v>25.048556509802246</v>
      </c>
      <c r="DG86">
        <v>2.4184221470148048</v>
      </c>
      <c r="DH86">
        <v>-3.2043546342302385</v>
      </c>
      <c r="DK86">
        <v>-1.8194837152442949</v>
      </c>
      <c r="DL86">
        <v>-3.0920102954138002</v>
      </c>
      <c r="DM86">
        <v>-1.8194837151442949</v>
      </c>
      <c r="DN86">
        <v>-3.092010295407114</v>
      </c>
      <c r="DO86">
        <v>-1.8194837153442949</v>
      </c>
      <c r="DP86">
        <v>-3.0920102954062161</v>
      </c>
      <c r="DQ86">
        <v>-4.489741911584133E-3</v>
      </c>
      <c r="DR86">
        <v>0.64759570995395987</v>
      </c>
    </row>
    <row r="87" spans="1:122" x14ac:dyDescent="0.25">
      <c r="A87" t="s">
        <v>119</v>
      </c>
      <c r="BC87">
        <v>1.4835298641951817</v>
      </c>
      <c r="BD87">
        <v>136.12640147437321</v>
      </c>
      <c r="BE87">
        <v>-37.558161602485946</v>
      </c>
      <c r="BF87" s="6">
        <f t="shared" si="79"/>
        <v>6.0139765080689003</v>
      </c>
      <c r="BG87" s="6">
        <f t="shared" si="80"/>
        <v>4.5304466438737183</v>
      </c>
      <c r="BH87" s="6">
        <f t="shared" si="81"/>
        <v>3.079247290824541</v>
      </c>
      <c r="BI87" s="6">
        <f t="shared" si="82"/>
        <v>3.079247290824541</v>
      </c>
      <c r="BJ87">
        <v>151.251557193748</v>
      </c>
      <c r="BK87">
        <v>-41.73129066942883</v>
      </c>
      <c r="BV87" s="38"/>
      <c r="BW87" s="6">
        <f t="shared" si="83"/>
        <v>1.2566370614359186</v>
      </c>
      <c r="BX87" s="9">
        <f t="shared" ca="1" si="84"/>
        <v>11.451541453563692</v>
      </c>
      <c r="BY87" s="9">
        <f t="shared" ca="1" si="85"/>
        <v>4.1977457354073593</v>
      </c>
      <c r="BZ87" s="9">
        <f t="shared" ca="1" si="86"/>
        <v>137.32605920766142</v>
      </c>
      <c r="CA87" s="6">
        <f t="shared" ca="1" si="87"/>
        <v>-37.760426849291875</v>
      </c>
      <c r="CB87" s="6">
        <f t="shared" ca="1" si="88"/>
        <v>-0.26833750988535643</v>
      </c>
      <c r="CC87" s="6">
        <f t="shared" ca="1" si="89"/>
        <v>-5.2486557533932277E-3</v>
      </c>
      <c r="CD87" s="9">
        <f t="shared" si="90"/>
        <v>149.5260592076614</v>
      </c>
      <c r="CE87" s="9">
        <f t="shared" si="91"/>
        <v>-41.960426849291878</v>
      </c>
      <c r="CF87" s="6">
        <f t="shared" si="92"/>
        <v>-0.27358616563874966</v>
      </c>
      <c r="CG87" s="6"/>
      <c r="CH87" s="6"/>
      <c r="CI87" s="6"/>
      <c r="CJ87" s="1"/>
      <c r="CK87" s="6"/>
      <c r="DC87">
        <v>1.0014712866430198</v>
      </c>
      <c r="DD87">
        <v>6.0143931259440935</v>
      </c>
      <c r="DE87">
        <v>5.9696615623594287</v>
      </c>
      <c r="DF87">
        <v>-31.676756786958254</v>
      </c>
      <c r="DG87">
        <v>1.9740687794434808</v>
      </c>
      <c r="DH87">
        <v>-3.1596230706455737</v>
      </c>
      <c r="DK87">
        <v>0.64759570995395987</v>
      </c>
      <c r="DL87">
        <v>3.0800477303691265</v>
      </c>
      <c r="DM87">
        <v>0.64759571005395988</v>
      </c>
      <c r="DN87">
        <v>3.0800477303672444</v>
      </c>
      <c r="DO87">
        <v>0.64759570985395987</v>
      </c>
      <c r="DP87">
        <v>3.0800477303649965</v>
      </c>
      <c r="DQ87">
        <v>1.1239897901305085E-2</v>
      </c>
      <c r="DR87">
        <v>3.0796613006534521</v>
      </c>
    </row>
    <row r="88" spans="1:122" x14ac:dyDescent="0.25">
      <c r="A88" t="s">
        <v>120</v>
      </c>
      <c r="BC88">
        <v>1.5009831567151251</v>
      </c>
      <c r="BD88">
        <v>135.83079420222182</v>
      </c>
      <c r="BE88">
        <v>-37.535040269202689</v>
      </c>
      <c r="BF88" s="6">
        <f t="shared" si="79"/>
        <v>6.0135767553241335</v>
      </c>
      <c r="BG88" s="6">
        <f t="shared" si="80"/>
        <v>4.5125935986090084</v>
      </c>
      <c r="BH88" s="6">
        <f t="shared" si="81"/>
        <v>3.0796470435693077</v>
      </c>
      <c r="BI88" s="6">
        <f t="shared" si="82"/>
        <v>3.0796470435693077</v>
      </c>
      <c r="BJ88">
        <v>150.92310466913537</v>
      </c>
      <c r="BK88">
        <v>-41.705600299114096</v>
      </c>
      <c r="BV88" s="38"/>
      <c r="BW88" s="6">
        <f t="shared" si="83"/>
        <v>1.2740903539558619</v>
      </c>
      <c r="BX88" s="9">
        <f t="shared" ca="1" si="84"/>
        <v>11.411552640641816</v>
      </c>
      <c r="BY88" s="9">
        <f t="shared" ca="1" si="85"/>
        <v>4.2103493775003216</v>
      </c>
      <c r="BZ88" s="9">
        <f t="shared" ca="1" si="86"/>
        <v>137.28607039473954</v>
      </c>
      <c r="CA88" s="6">
        <f t="shared" ca="1" si="87"/>
        <v>-37.747823207198913</v>
      </c>
      <c r="CB88" s="6">
        <f t="shared" ca="1" si="88"/>
        <v>-0.26832662073094349</v>
      </c>
      <c r="CC88" s="6">
        <f t="shared" ca="1" si="89"/>
        <v>-5.250975587080986E-3</v>
      </c>
      <c r="CD88" s="9">
        <f t="shared" si="90"/>
        <v>149.48607039473953</v>
      </c>
      <c r="CE88" s="9">
        <f t="shared" si="91"/>
        <v>-41.947823207198915</v>
      </c>
      <c r="CF88" s="6">
        <f t="shared" si="92"/>
        <v>-0.27357759631802447</v>
      </c>
      <c r="CG88" s="6"/>
      <c r="CH88" s="6"/>
      <c r="CI88" s="6"/>
      <c r="CJ88" s="1"/>
      <c r="CK88" s="6"/>
      <c r="DC88">
        <v>2.4184221470148048</v>
      </c>
      <c r="DD88">
        <v>5.9696615623594287</v>
      </c>
      <c r="DE88">
        <v>5.9723849431049736</v>
      </c>
      <c r="DF88">
        <v>-163.16241065382749</v>
      </c>
      <c r="DG88">
        <v>2.728943922269246</v>
      </c>
      <c r="DH88">
        <v>-3.1623464513911186</v>
      </c>
      <c r="DK88">
        <v>3.0796613006534521</v>
      </c>
      <c r="DL88">
        <v>3.1403972276737804</v>
      </c>
      <c r="DM88">
        <v>3.0796613007534521</v>
      </c>
      <c r="DN88">
        <v>3.1403972276910741</v>
      </c>
      <c r="DO88">
        <v>3.0796613005534521</v>
      </c>
      <c r="DP88">
        <v>3.1403972276528682</v>
      </c>
      <c r="DQ88">
        <v>0.19102941450910293</v>
      </c>
      <c r="DR88">
        <v>-0.79330668498153534</v>
      </c>
    </row>
    <row r="89" spans="1:122" x14ac:dyDescent="0.25">
      <c r="A89" s="1" t="s">
        <v>8</v>
      </c>
      <c r="B89" s="1" t="s">
        <v>9</v>
      </c>
      <c r="C89" s="1" t="s">
        <v>121</v>
      </c>
      <c r="D89" s="1" t="s">
        <v>122</v>
      </c>
      <c r="E89" s="1" t="s">
        <v>123</v>
      </c>
      <c r="BC89">
        <v>1.5184364492350684</v>
      </c>
      <c r="BD89">
        <v>135.3981557285785</v>
      </c>
      <c r="BE89">
        <v>-37.508849703133293</v>
      </c>
      <c r="BF89" s="6">
        <f t="shared" si="79"/>
        <v>6.0129362417223255</v>
      </c>
      <c r="BG89" s="6">
        <f t="shared" si="80"/>
        <v>4.4944997924872574</v>
      </c>
      <c r="BH89" s="6">
        <f t="shared" si="81"/>
        <v>3.0802875571711157</v>
      </c>
      <c r="BI89" s="6">
        <f t="shared" si="82"/>
        <v>3.0802875571711157</v>
      </c>
      <c r="BJ89">
        <v>150.44239525397612</v>
      </c>
      <c r="BK89">
        <v>-41.676499670148104</v>
      </c>
      <c r="BV89" s="38"/>
      <c r="BW89" s="6">
        <f t="shared" si="83"/>
        <v>1.2915436464758052</v>
      </c>
      <c r="BX89" s="9">
        <f t="shared" ca="1" si="84"/>
        <v>11.368100876081087</v>
      </c>
      <c r="BY89" s="9">
        <f t="shared" ca="1" si="85"/>
        <v>4.2232148325328467</v>
      </c>
      <c r="BZ89" s="9">
        <f t="shared" ca="1" si="86"/>
        <v>137.24261863017881</v>
      </c>
      <c r="CA89" s="6">
        <f t="shared" ca="1" si="87"/>
        <v>-37.734957752166387</v>
      </c>
      <c r="CB89" s="6">
        <f t="shared" ca="1" si="88"/>
        <v>-0.26832040150742142</v>
      </c>
      <c r="CC89" s="6">
        <f t="shared" ca="1" si="89"/>
        <v>-5.2530244817505234E-3</v>
      </c>
      <c r="CD89" s="9">
        <f t="shared" si="90"/>
        <v>149.4426186301788</v>
      </c>
      <c r="CE89" s="9">
        <f t="shared" si="91"/>
        <v>-41.93495775216639</v>
      </c>
      <c r="CF89" s="6">
        <f t="shared" si="92"/>
        <v>-0.27357342598917195</v>
      </c>
      <c r="CG89" s="6"/>
      <c r="CH89" s="6"/>
      <c r="CI89" s="6"/>
      <c r="CJ89" s="1"/>
      <c r="CK89" s="6"/>
      <c r="DC89">
        <v>1.9740687794434808</v>
      </c>
      <c r="DD89">
        <v>5.9723849431049736</v>
      </c>
      <c r="DE89">
        <v>5.9679900471471194</v>
      </c>
      <c r="DF89">
        <v>-171.76177776785005</v>
      </c>
      <c r="DG89">
        <v>-1.4928045363899969</v>
      </c>
      <c r="DH89">
        <v>-3.1579515554332644</v>
      </c>
      <c r="DK89">
        <v>-0.79330668498153534</v>
      </c>
      <c r="DL89">
        <v>3.1401818520882587</v>
      </c>
      <c r="DM89">
        <v>-0.79330668488153533</v>
      </c>
      <c r="DN89">
        <v>3.1401818520880767</v>
      </c>
      <c r="DO89">
        <v>-0.79330668508153535</v>
      </c>
      <c r="DP89">
        <v>3.1401818520884408</v>
      </c>
      <c r="DQ89">
        <v>-1.8207657603852567E-3</v>
      </c>
      <c r="DR89">
        <v>2.2629214576015819</v>
      </c>
    </row>
    <row r="90" spans="1:122" x14ac:dyDescent="0.25">
      <c r="A90" s="6">
        <f t="shared" ref="A90:A98" si="93">E3-$I$2</f>
        <v>-6</v>
      </c>
      <c r="B90" s="1">
        <f t="shared" ref="B90:B98" si="94">F3-$I$3</f>
        <v>-12</v>
      </c>
      <c r="C90" s="1"/>
      <c r="BC90">
        <v>1.5358897417550117</v>
      </c>
      <c r="BD90">
        <v>134.67306003042066</v>
      </c>
      <c r="BE90">
        <v>-37.477830180683988</v>
      </c>
      <c r="BF90" s="6">
        <f t="shared" si="79"/>
        <v>6.0117653030958573</v>
      </c>
      <c r="BG90" s="6">
        <f t="shared" si="80"/>
        <v>4.4758755613408461</v>
      </c>
      <c r="BH90" s="6">
        <f t="shared" si="81"/>
        <v>3.0814584957975839</v>
      </c>
      <c r="BI90" s="6">
        <f t="shared" si="82"/>
        <v>3.0814584957975839</v>
      </c>
      <c r="BJ90">
        <v>149.63673336713407</v>
      </c>
      <c r="BK90">
        <v>-41.642033534093322</v>
      </c>
      <c r="BV90" s="38"/>
      <c r="BW90" s="6">
        <f t="shared" si="83"/>
        <v>1.3089969389957485</v>
      </c>
      <c r="BX90" s="9">
        <f t="shared" ca="1" si="84"/>
        <v>11.320609113883165</v>
      </c>
      <c r="BY90" s="9">
        <f t="shared" ca="1" si="85"/>
        <v>4.2363789797196176</v>
      </c>
      <c r="BZ90" s="9">
        <f t="shared" ca="1" si="86"/>
        <v>137.19512686798089</v>
      </c>
      <c r="CA90" s="6">
        <f t="shared" ca="1" si="87"/>
        <v>-37.721793604979617</v>
      </c>
      <c r="CB90" s="6">
        <f t="shared" ca="1" si="88"/>
        <v>-0.26831968147637714</v>
      </c>
      <c r="CC90" s="6">
        <f t="shared" ca="1" si="89"/>
        <v>-5.2547526686746449E-3</v>
      </c>
      <c r="CD90" s="9">
        <f t="shared" si="90"/>
        <v>149.39512686798088</v>
      </c>
      <c r="CE90" s="9">
        <f t="shared" si="91"/>
        <v>-41.921793604979619</v>
      </c>
      <c r="CF90" s="6">
        <f t="shared" si="92"/>
        <v>-0.27357443414505178</v>
      </c>
      <c r="CG90" s="6"/>
      <c r="CH90" s="6"/>
      <c r="CI90" s="6"/>
      <c r="CJ90" s="1"/>
      <c r="CK90" s="6"/>
      <c r="DC90">
        <v>2.728943922269246</v>
      </c>
      <c r="DD90">
        <v>5.9679900471471194</v>
      </c>
      <c r="DE90">
        <v>5.9453301384273622</v>
      </c>
      <c r="DF90">
        <v>186.3091555606442</v>
      </c>
      <c r="DG90">
        <v>-1.2901101042236134</v>
      </c>
      <c r="DH90">
        <v>-3.1352916467135072</v>
      </c>
      <c r="DK90">
        <v>2.2629214576015819</v>
      </c>
      <c r="DL90">
        <v>3.122913948210897</v>
      </c>
      <c r="DM90">
        <v>2.2629214577015819</v>
      </c>
      <c r="DN90">
        <v>3.1229139482112886</v>
      </c>
      <c r="DO90">
        <v>2.2629214575015819</v>
      </c>
      <c r="DP90">
        <v>3.1229139482105088</v>
      </c>
      <c r="DQ90">
        <v>3.8991032624835498E-3</v>
      </c>
      <c r="DR90">
        <v>-0.70387103814902208</v>
      </c>
    </row>
    <row r="91" spans="1:122" x14ac:dyDescent="0.25">
      <c r="A91" s="6">
        <f t="shared" si="93"/>
        <v>6</v>
      </c>
      <c r="B91" s="1">
        <f t="shared" si="94"/>
        <v>-12</v>
      </c>
      <c r="C91" s="1">
        <f t="shared" ref="C91:C98" si="95">((A90*B91)-(A91*B90))*0.5</f>
        <v>72</v>
      </c>
      <c r="D91" s="6">
        <f t="shared" ref="D91:D98" si="96">(A91+A90)*((A90*B91)-(A91*B90))*(1/6)</f>
        <v>0</v>
      </c>
      <c r="E91" s="6">
        <f t="shared" ref="E91:E98" si="97">(B91+B90)*((A90*B91)-(A91*B90))*(1/6)</f>
        <v>-576</v>
      </c>
      <c r="BC91">
        <v>1.553343034274955</v>
      </c>
      <c r="BD91">
        <v>133.03733343871883</v>
      </c>
      <c r="BE91">
        <v>-37.437445807152628</v>
      </c>
      <c r="BF91" s="6">
        <f t="shared" si="79"/>
        <v>6.0088737015337568</v>
      </c>
      <c r="BG91" s="6">
        <f t="shared" si="80"/>
        <v>4.4555306672588015</v>
      </c>
      <c r="BH91" s="6">
        <f t="shared" si="81"/>
        <v>3.0843500973596845</v>
      </c>
      <c r="BI91" s="6">
        <f t="shared" si="82"/>
        <v>3.0843500973596845</v>
      </c>
      <c r="BJ91">
        <v>147.81925937635427</v>
      </c>
      <c r="BK91">
        <v>-41.597162007947361</v>
      </c>
      <c r="BV91" s="38"/>
      <c r="BW91" s="6">
        <f t="shared" si="83"/>
        <v>1.3264502315156919</v>
      </c>
      <c r="BX91" s="9">
        <f t="shared" ca="1" si="84"/>
        <v>11.268358450172798</v>
      </c>
      <c r="BY91" s="9">
        <f t="shared" ca="1" si="85"/>
        <v>4.2498842587683185</v>
      </c>
      <c r="BZ91" s="9">
        <f t="shared" ca="1" si="86"/>
        <v>137.14287620427052</v>
      </c>
      <c r="CA91" s="6">
        <f t="shared" ca="1" si="87"/>
        <v>-37.708288325930916</v>
      </c>
      <c r="CB91" s="6">
        <f t="shared" ca="1" si="88"/>
        <v>-0.26832551859906667</v>
      </c>
      <c r="CC91" s="6">
        <f t="shared" ca="1" si="89"/>
        <v>-5.2560959884288549E-3</v>
      </c>
      <c r="CD91" s="9">
        <f t="shared" si="90"/>
        <v>149.34287620427051</v>
      </c>
      <c r="CE91" s="9">
        <f t="shared" si="91"/>
        <v>-41.908288325930918</v>
      </c>
      <c r="CF91" s="6">
        <f t="shared" si="92"/>
        <v>-0.27358161458749553</v>
      </c>
      <c r="CG91" s="6"/>
      <c r="CH91" s="6"/>
      <c r="CI91" s="6"/>
      <c r="CJ91" s="1"/>
      <c r="CK91" s="6"/>
      <c r="DC91">
        <v>-1.4928045363899969</v>
      </c>
      <c r="DD91">
        <v>5.9453301384273622</v>
      </c>
      <c r="DE91">
        <v>5.9494490042984509</v>
      </c>
      <c r="DF91">
        <v>49.211224281214228</v>
      </c>
      <c r="DG91">
        <v>1.2952877296637828</v>
      </c>
      <c r="DH91">
        <v>-3.1394105125845959</v>
      </c>
      <c r="DK91">
        <v>-0.70387103814902208</v>
      </c>
      <c r="DL91">
        <v>3.1395937409911916</v>
      </c>
      <c r="DM91">
        <v>-0.70387103804902207</v>
      </c>
      <c r="DN91">
        <v>3.1395937409903008</v>
      </c>
      <c r="DO91">
        <v>-0.70387103824902209</v>
      </c>
      <c r="DP91">
        <v>3.1395937409913879</v>
      </c>
      <c r="DQ91">
        <v>-5.4356519285647664E-3</v>
      </c>
      <c r="DR91">
        <v>-1.1640597389213607</v>
      </c>
    </row>
    <row r="92" spans="1:122" x14ac:dyDescent="0.25">
      <c r="A92" s="6">
        <f t="shared" si="93"/>
        <v>6</v>
      </c>
      <c r="B92" s="1">
        <f t="shared" si="94"/>
        <v>4</v>
      </c>
      <c r="C92" s="1">
        <f t="shared" si="95"/>
        <v>48</v>
      </c>
      <c r="D92" s="6">
        <f t="shared" si="96"/>
        <v>192</v>
      </c>
      <c r="E92" s="6">
        <f t="shared" si="97"/>
        <v>-128</v>
      </c>
      <c r="BC92">
        <v>1.5707963267948983</v>
      </c>
      <c r="BD92">
        <v>127.98000000000043</v>
      </c>
      <c r="BE92">
        <v>-37.393723592868852</v>
      </c>
      <c r="BF92" s="6">
        <f t="shared" si="79"/>
        <v>5.9989143799467879</v>
      </c>
      <c r="BG92" s="6">
        <f t="shared" si="80"/>
        <v>4.4281180531518896</v>
      </c>
      <c r="BH92" s="6">
        <f t="shared" si="81"/>
        <v>3.0943094189466533</v>
      </c>
      <c r="BI92" s="6">
        <f t="shared" si="82"/>
        <v>3.0943094189466533</v>
      </c>
      <c r="BJ92">
        <v>142.20000000000047</v>
      </c>
      <c r="BK92">
        <v>-41.54858176985428</v>
      </c>
      <c r="BV92" s="38"/>
      <c r="BW92" s="6">
        <f t="shared" si="83"/>
        <v>1.3439035240356352</v>
      </c>
      <c r="BX92" s="9">
        <f t="shared" ca="1" si="84"/>
        <v>11.210439853406911</v>
      </c>
      <c r="BY92" s="9">
        <f t="shared" ca="1" si="85"/>
        <v>4.2637801240395774</v>
      </c>
      <c r="BZ92" s="9">
        <f t="shared" ca="1" si="86"/>
        <v>137.08495760750463</v>
      </c>
      <c r="CA92" s="6">
        <f t="shared" ca="1" si="87"/>
        <v>-37.694392460659657</v>
      </c>
      <c r="CB92" s="6">
        <f t="shared" ca="1" si="88"/>
        <v>-0.26833928071433244</v>
      </c>
      <c r="CC92" s="6">
        <f t="shared" ca="1" si="89"/>
        <v>-5.2569706877478306E-3</v>
      </c>
      <c r="CD92" s="9">
        <f t="shared" si="90"/>
        <v>149.28495760750462</v>
      </c>
      <c r="CE92" s="9">
        <f t="shared" si="91"/>
        <v>-41.89439246065966</v>
      </c>
      <c r="CF92" s="6">
        <f t="shared" si="92"/>
        <v>-0.27359625140208027</v>
      </c>
      <c r="CG92" s="6"/>
      <c r="CH92" s="6"/>
      <c r="CI92" s="6"/>
      <c r="CJ92" s="1"/>
      <c r="CK92" s="6"/>
      <c r="DC92">
        <v>-1.2901101042236134</v>
      </c>
      <c r="DD92">
        <v>5.9494490042984509</v>
      </c>
      <c r="DE92">
        <v>6.0148655555904433</v>
      </c>
      <c r="DF92">
        <v>39.522074808671128</v>
      </c>
      <c r="DG92">
        <v>0.29757890587113917</v>
      </c>
      <c r="DH92">
        <v>-3.2048270638765883</v>
      </c>
      <c r="DK92">
        <v>-1.1640597389213607</v>
      </c>
      <c r="DL92">
        <v>-3.1405451297766485</v>
      </c>
      <c r="DM92">
        <v>-1.1640597388213607</v>
      </c>
      <c r="DN92">
        <v>-3.1405451297775002</v>
      </c>
      <c r="DO92">
        <v>-1.1640597390213607</v>
      </c>
      <c r="DP92">
        <v>-3.1405451297757967</v>
      </c>
      <c r="DQ92">
        <v>-8.517631044924201E-3</v>
      </c>
      <c r="DR92">
        <v>0.83277129389372118</v>
      </c>
    </row>
    <row r="93" spans="1:122" x14ac:dyDescent="0.25">
      <c r="A93" s="6">
        <f t="shared" si="93"/>
        <v>6</v>
      </c>
      <c r="B93" s="1">
        <f t="shared" si="94"/>
        <v>4</v>
      </c>
      <c r="C93" s="1">
        <f t="shared" si="95"/>
        <v>0</v>
      </c>
      <c r="D93" s="6">
        <f t="shared" si="96"/>
        <v>0</v>
      </c>
      <c r="E93" s="6">
        <f t="shared" si="97"/>
        <v>0</v>
      </c>
      <c r="BC93">
        <v>1.5882496193148417</v>
      </c>
      <c r="BD93">
        <v>122.92266656128128</v>
      </c>
      <c r="BE93">
        <v>-37.43744580715412</v>
      </c>
      <c r="BF93" s="6">
        <f t="shared" si="79"/>
        <v>5.9875494126261524</v>
      </c>
      <c r="BG93" s="6">
        <f t="shared" si="80"/>
        <v>4.3992997933113109</v>
      </c>
      <c r="BH93" s="6">
        <f t="shared" si="81"/>
        <v>3.1056743862672889</v>
      </c>
      <c r="BI93" s="6">
        <f t="shared" si="82"/>
        <v>3.1056743862672889</v>
      </c>
      <c r="BJ93">
        <v>136.58074062364585</v>
      </c>
      <c r="BK93">
        <v>-41.597162007949024</v>
      </c>
      <c r="BV93" s="38"/>
      <c r="BW93" s="6">
        <f t="shared" si="83"/>
        <v>1.3613568165555785</v>
      </c>
      <c r="BX93" s="9">
        <f t="shared" ca="1" si="84"/>
        <v>11.145684187175817</v>
      </c>
      <c r="BY93" s="9">
        <f t="shared" ca="1" si="85"/>
        <v>4.2781250099893171</v>
      </c>
      <c r="BZ93" s="9">
        <f t="shared" ca="1" si="86"/>
        <v>137.02020194127354</v>
      </c>
      <c r="CA93" s="6">
        <f t="shared" ca="1" si="87"/>
        <v>-37.680047574709917</v>
      </c>
      <c r="CB93" s="6">
        <f t="shared" ca="1" si="88"/>
        <v>-0.26836276436291512</v>
      </c>
      <c r="CC93" s="6">
        <f t="shared" ca="1" si="89"/>
        <v>-5.2572657699475056E-3</v>
      </c>
      <c r="CD93" s="9">
        <f t="shared" si="90"/>
        <v>149.22020194127353</v>
      </c>
      <c r="CE93" s="9">
        <f t="shared" si="91"/>
        <v>-41.88004757470992</v>
      </c>
      <c r="CF93" s="6">
        <f t="shared" si="92"/>
        <v>-0.27362003013286262</v>
      </c>
      <c r="CG93" s="6"/>
      <c r="CH93" s="6"/>
      <c r="CI93" s="6"/>
      <c r="CJ93" s="1"/>
      <c r="CK93" s="6"/>
      <c r="DC93">
        <v>1.2952877296637828</v>
      </c>
      <c r="DD93">
        <v>6.0148655555904433</v>
      </c>
      <c r="DE93">
        <v>6.0103603119937272</v>
      </c>
      <c r="DF93">
        <v>221.45502288042246</v>
      </c>
      <c r="DG93">
        <v>1.5701766823699963</v>
      </c>
      <c r="DH93">
        <v>-3.2003218202798722</v>
      </c>
      <c r="DK93">
        <v>0.83277129389372118</v>
      </c>
      <c r="DL93">
        <v>3.0793188702089669</v>
      </c>
      <c r="DM93">
        <v>0.83277129399372118</v>
      </c>
      <c r="DN93">
        <v>3.0793188702060457</v>
      </c>
      <c r="DO93">
        <v>0.83277129379372117</v>
      </c>
      <c r="DP93">
        <v>3.0793188702118854</v>
      </c>
      <c r="DQ93">
        <v>-2.9198865547641617E-2</v>
      </c>
      <c r="DR93">
        <v>-0.52115598954297282</v>
      </c>
    </row>
    <row r="94" spans="1:122" x14ac:dyDescent="0.25">
      <c r="A94" s="6">
        <f t="shared" si="93"/>
        <v>6</v>
      </c>
      <c r="B94" s="1">
        <f t="shared" si="94"/>
        <v>12</v>
      </c>
      <c r="C94" s="1">
        <f t="shared" si="95"/>
        <v>24</v>
      </c>
      <c r="D94" s="6">
        <f t="shared" si="96"/>
        <v>96</v>
      </c>
      <c r="E94" s="6">
        <f t="shared" si="97"/>
        <v>128</v>
      </c>
      <c r="BC94">
        <v>1.605702911834785</v>
      </c>
      <c r="BD94">
        <v>121.28693996957924</v>
      </c>
      <c r="BE94">
        <v>-37.47783018068445</v>
      </c>
      <c r="BF94" s="6">
        <f t="shared" si="79"/>
        <v>5.9834909731666643</v>
      </c>
      <c r="BG94" s="6">
        <f t="shared" si="80"/>
        <v>4.3777880613318789</v>
      </c>
      <c r="BH94" s="6">
        <f t="shared" si="81"/>
        <v>3.1097328257267769</v>
      </c>
      <c r="BI94" s="6">
        <f t="shared" si="82"/>
        <v>3.1097328257267769</v>
      </c>
      <c r="BJ94">
        <v>134.76326663286582</v>
      </c>
      <c r="BK94">
        <v>-41.642033534093834</v>
      </c>
      <c r="BV94" s="38"/>
      <c r="BW94" s="6">
        <f t="shared" si="83"/>
        <v>1.3788101090755218</v>
      </c>
      <c r="BX94" s="9">
        <f t="shared" ca="1" si="84"/>
        <v>11.072557946390504</v>
      </c>
      <c r="BY94" s="9">
        <f t="shared" ca="1" si="85"/>
        <v>4.2929890421390269</v>
      </c>
      <c r="BZ94" s="9">
        <f t="shared" ca="1" si="86"/>
        <v>136.94707570048823</v>
      </c>
      <c r="CA94" s="6">
        <f t="shared" ca="1" si="87"/>
        <v>-37.665183542560207</v>
      </c>
      <c r="CB94" s="6">
        <f t="shared" ca="1" si="88"/>
        <v>-0.26839837359479407</v>
      </c>
      <c r="CC94" s="6">
        <f t="shared" ca="1" si="89"/>
        <v>-5.2568314311829947E-3</v>
      </c>
      <c r="CD94" s="9">
        <f t="shared" si="90"/>
        <v>149.14707570048822</v>
      </c>
      <c r="CE94" s="9">
        <f t="shared" si="91"/>
        <v>-41.86518354256021</v>
      </c>
      <c r="CF94" s="6">
        <f t="shared" si="92"/>
        <v>-0.27365520502597707</v>
      </c>
      <c r="CG94" s="6"/>
      <c r="CH94" s="6"/>
      <c r="CI94" s="6"/>
      <c r="CJ94" s="1"/>
      <c r="CK94" s="6"/>
      <c r="DC94">
        <v>0.29757890587113917</v>
      </c>
      <c r="DD94">
        <v>6.0103603119937272</v>
      </c>
      <c r="DE94">
        <v>5.9993894730803765</v>
      </c>
      <c r="DF94">
        <v>-115.99821914714275</v>
      </c>
      <c r="DG94">
        <v>0.82127763248295305</v>
      </c>
      <c r="DH94">
        <v>-3.1893509813665215</v>
      </c>
      <c r="DK94">
        <v>-0.52115598954297282</v>
      </c>
      <c r="DL94">
        <v>3.138203945671127</v>
      </c>
      <c r="DM94">
        <v>-0.52115598944297281</v>
      </c>
      <c r="DN94">
        <v>3.1382039456697433</v>
      </c>
      <c r="DO94">
        <v>-0.52115598964297283</v>
      </c>
      <c r="DP94">
        <v>3.1382039456715409</v>
      </c>
      <c r="DQ94">
        <v>-8.9883656073652674E-3</v>
      </c>
      <c r="DR94">
        <v>3.0443171436703627</v>
      </c>
    </row>
    <row r="95" spans="1:122" x14ac:dyDescent="0.25">
      <c r="A95" s="6">
        <f t="shared" si="93"/>
        <v>-6</v>
      </c>
      <c r="B95" s="1">
        <f t="shared" si="94"/>
        <v>12</v>
      </c>
      <c r="C95" s="1">
        <f t="shared" si="95"/>
        <v>72</v>
      </c>
      <c r="D95" s="6">
        <f t="shared" si="96"/>
        <v>0</v>
      </c>
      <c r="E95" s="6">
        <f t="shared" si="97"/>
        <v>576</v>
      </c>
      <c r="BC95">
        <v>1.6231562043547283</v>
      </c>
      <c r="BD95">
        <v>120.56184427142217</v>
      </c>
      <c r="BE95">
        <v>-37.508849703134167</v>
      </c>
      <c r="BF95" s="6">
        <f t="shared" si="79"/>
        <v>5.9815608130773015</v>
      </c>
      <c r="BG95" s="6">
        <f t="shared" si="80"/>
        <v>4.358404608722573</v>
      </c>
      <c r="BH95" s="6">
        <f t="shared" si="81"/>
        <v>3.1116629858161398</v>
      </c>
      <c r="BI95" s="6">
        <f t="shared" si="82"/>
        <v>3.1116629858161398</v>
      </c>
      <c r="BJ95">
        <v>133.95760474602463</v>
      </c>
      <c r="BK95">
        <v>-41.676499670149077</v>
      </c>
      <c r="BV95" s="38"/>
      <c r="BW95" s="6">
        <f t="shared" si="83"/>
        <v>1.3962634015954651</v>
      </c>
      <c r="BX95" s="9">
        <f t="shared" ca="1" si="84"/>
        <v>10.989002936853609</v>
      </c>
      <c r="BY95" s="9">
        <f t="shared" ca="1" si="85"/>
        <v>4.3084578911626323</v>
      </c>
      <c r="BZ95" s="9">
        <f t="shared" ca="1" si="86"/>
        <v>136.86352069095133</v>
      </c>
      <c r="CA95" s="6">
        <f t="shared" ca="1" si="87"/>
        <v>-37.649714693536602</v>
      </c>
      <c r="CB95" s="6">
        <f t="shared" ca="1" si="88"/>
        <v>-0.26844939754539571</v>
      </c>
      <c r="CC95" s="6">
        <f t="shared" ca="1" si="89"/>
        <v>-5.2554610268502056E-3</v>
      </c>
      <c r="CD95" s="9">
        <f t="shared" si="90"/>
        <v>149.06352069095132</v>
      </c>
      <c r="CE95" s="9">
        <f t="shared" si="91"/>
        <v>-41.849714693536605</v>
      </c>
      <c r="CF95" s="6">
        <f t="shared" si="92"/>
        <v>-0.27370485857224591</v>
      </c>
      <c r="CG95" s="6"/>
      <c r="CH95" s="6"/>
      <c r="CI95" s="6"/>
      <c r="CJ95" s="1"/>
      <c r="CK95" s="6"/>
      <c r="DC95">
        <v>1.5701766823699963</v>
      </c>
      <c r="DD95">
        <v>5.9993894730803765</v>
      </c>
      <c r="DE95">
        <v>6.0138664264895345</v>
      </c>
      <c r="DF95">
        <v>-51.730431722830303</v>
      </c>
      <c r="DG95">
        <v>-3.0893234297561629</v>
      </c>
      <c r="DH95">
        <v>-3.2038279347756795</v>
      </c>
      <c r="DK95">
        <v>3.0443171436703627</v>
      </c>
      <c r="DL95">
        <v>3.1356953593209358</v>
      </c>
      <c r="DM95">
        <v>3.0443171437703627</v>
      </c>
      <c r="DN95">
        <v>3.1356953593298096</v>
      </c>
      <c r="DO95">
        <v>3.0443171435703626</v>
      </c>
      <c r="DP95">
        <v>3.1356953593120593</v>
      </c>
      <c r="DQ95">
        <v>8.8751228588535014E-2</v>
      </c>
      <c r="DR95">
        <v>-0.87104591709210288</v>
      </c>
    </row>
    <row r="96" spans="1:122" x14ac:dyDescent="0.25">
      <c r="A96" s="6">
        <f t="shared" si="93"/>
        <v>-6</v>
      </c>
      <c r="B96" s="1">
        <f t="shared" si="94"/>
        <v>4</v>
      </c>
      <c r="C96" s="1">
        <f t="shared" si="95"/>
        <v>24</v>
      </c>
      <c r="D96" s="6">
        <f t="shared" si="96"/>
        <v>-96</v>
      </c>
      <c r="E96" s="6">
        <f t="shared" si="97"/>
        <v>128</v>
      </c>
      <c r="BC96">
        <v>1.6406094968746716</v>
      </c>
      <c r="BD96">
        <v>120.12920579777797</v>
      </c>
      <c r="BE96">
        <v>-37.535040269202653</v>
      </c>
      <c r="BF96" s="6">
        <f t="shared" si="79"/>
        <v>5.9803409104175431</v>
      </c>
      <c r="BG96" s="6">
        <f t="shared" si="80"/>
        <v>4.3397314135428715</v>
      </c>
      <c r="BH96" s="6">
        <f t="shared" si="81"/>
        <v>3.1128828884758981</v>
      </c>
      <c r="BI96" s="6">
        <f t="shared" si="82"/>
        <v>3.1128828884758981</v>
      </c>
      <c r="BJ96">
        <v>133.47689533086441</v>
      </c>
      <c r="BK96">
        <v>-41.70560029911406</v>
      </c>
      <c r="BV96" s="38"/>
      <c r="BW96" s="6">
        <f t="shared" si="83"/>
        <v>1.4137166941154085</v>
      </c>
      <c r="BX96" s="9">
        <f t="shared" ca="1" si="84"/>
        <v>10.892180365709663</v>
      </c>
      <c r="BY96" s="9">
        <f t="shared" ca="1" si="85"/>
        <v>4.3246384039105408</v>
      </c>
      <c r="BZ96" s="9">
        <f t="shared" ca="1" si="86"/>
        <v>136.76669811980739</v>
      </c>
      <c r="CA96" s="6">
        <f t="shared" ca="1" si="87"/>
        <v>-37.633534180788693</v>
      </c>
      <c r="CB96" s="6">
        <f t="shared" ca="1" si="88"/>
        <v>-0.26852045796264068</v>
      </c>
      <c r="CC96" s="6">
        <f t="shared" ca="1" si="89"/>
        <v>-5.2528618545304995E-3</v>
      </c>
      <c r="CD96" s="9">
        <f t="shared" si="90"/>
        <v>148.96669811980738</v>
      </c>
      <c r="CE96" s="9">
        <f t="shared" si="91"/>
        <v>-41.833534180788696</v>
      </c>
      <c r="CF96" s="6">
        <f t="shared" si="92"/>
        <v>-0.27377331981717118</v>
      </c>
      <c r="CG96" s="6"/>
      <c r="CH96" s="6"/>
      <c r="CI96" s="6"/>
      <c r="CJ96" s="1"/>
      <c r="CK96" s="6"/>
      <c r="DC96">
        <v>0.82127763248295305</v>
      </c>
      <c r="DD96">
        <v>6.0138664264895345</v>
      </c>
      <c r="DE96">
        <v>5.91923657864095</v>
      </c>
      <c r="DF96">
        <v>41.325238824185753</v>
      </c>
      <c r="DG96">
        <v>0.3692145270514951</v>
      </c>
      <c r="DH96">
        <v>-3.109198086927095</v>
      </c>
      <c r="DK96">
        <v>-0.87104591709210288</v>
      </c>
      <c r="DL96">
        <v>3.1406735080475006</v>
      </c>
      <c r="DM96">
        <v>-0.87104591699210288</v>
      </c>
      <c r="DN96">
        <v>3.1406735080464543</v>
      </c>
      <c r="DO96">
        <v>-0.87104591719210289</v>
      </c>
      <c r="DP96">
        <v>3.1406735080485477</v>
      </c>
      <c r="DQ96">
        <v>-1.0467182676165976E-2</v>
      </c>
      <c r="DR96">
        <v>-2.4143852833687562</v>
      </c>
    </row>
    <row r="97" spans="1:122" x14ac:dyDescent="0.25">
      <c r="A97" s="6">
        <f t="shared" si="93"/>
        <v>-6</v>
      </c>
      <c r="B97" s="1">
        <f t="shared" si="94"/>
        <v>4</v>
      </c>
      <c r="C97" s="1">
        <f t="shared" si="95"/>
        <v>0</v>
      </c>
      <c r="D97" s="6">
        <f t="shared" si="96"/>
        <v>0</v>
      </c>
      <c r="E97" s="6">
        <f t="shared" si="97"/>
        <v>0</v>
      </c>
      <c r="BC97">
        <v>1.6580627893946149</v>
      </c>
      <c r="BD97">
        <v>119.83359852562694</v>
      </c>
      <c r="BE97">
        <v>-37.558161602486081</v>
      </c>
      <c r="BF97" s="6">
        <f t="shared" si="79"/>
        <v>5.9794631537189167</v>
      </c>
      <c r="BG97" s="6">
        <f t="shared" si="80"/>
        <v>4.321400364324302</v>
      </c>
      <c r="BH97" s="6">
        <f t="shared" si="81"/>
        <v>3.1137606451745246</v>
      </c>
      <c r="BI97" s="6">
        <f t="shared" si="82"/>
        <v>3.1137606451745246</v>
      </c>
      <c r="BJ97">
        <v>133.14844280625215</v>
      </c>
      <c r="BK97">
        <v>-41.731290669428979</v>
      </c>
      <c r="BV97" s="38"/>
      <c r="BW97" s="6">
        <f t="shared" si="83"/>
        <v>1.4311699866353518</v>
      </c>
      <c r="BX97" s="9">
        <f t="shared" ca="1" si="84"/>
        <v>10.778043774034245</v>
      </c>
      <c r="BY97" s="9">
        <f t="shared" ca="1" si="85"/>
        <v>4.3416671393370478</v>
      </c>
      <c r="BZ97" s="9">
        <f t="shared" ca="1" si="86"/>
        <v>136.65256152813197</v>
      </c>
      <c r="CA97" s="6">
        <f t="shared" ca="1" si="87"/>
        <v>-37.616505445362186</v>
      </c>
      <c r="CB97" s="6">
        <f t="shared" ca="1" si="88"/>
        <v>-0.26861826366210945</v>
      </c>
      <c r="CC97" s="6">
        <f t="shared" ca="1" si="89"/>
        <v>-5.2486056453571739E-3</v>
      </c>
      <c r="CD97" s="9">
        <f t="shared" si="90"/>
        <v>148.85256152813196</v>
      </c>
      <c r="CE97" s="9">
        <f t="shared" si="91"/>
        <v>-41.816505445362189</v>
      </c>
      <c r="CF97" s="6">
        <f t="shared" si="92"/>
        <v>-0.27386686930746662</v>
      </c>
      <c r="CG97" s="6"/>
      <c r="CH97" s="6"/>
      <c r="CI97" s="6"/>
      <c r="CJ97" s="1"/>
      <c r="CK97" s="6"/>
      <c r="DC97">
        <v>-3.0893234297561629</v>
      </c>
      <c r="DD97">
        <v>5.91923657864095</v>
      </c>
      <c r="DE97">
        <v>6.0112470886099176</v>
      </c>
      <c r="DF97">
        <v>37.588509812347716</v>
      </c>
      <c r="DG97">
        <v>-0.57892539233587814</v>
      </c>
      <c r="DH97">
        <v>-3.2012085968960626</v>
      </c>
      <c r="DK97">
        <v>-2.4143852833687562</v>
      </c>
      <c r="DL97">
        <v>-3.0927585958339048</v>
      </c>
      <c r="DM97">
        <v>-2.4143852832687562</v>
      </c>
      <c r="DN97">
        <v>-3.0927585958385126</v>
      </c>
      <c r="DO97">
        <v>-2.4143852834687562</v>
      </c>
      <c r="DP97">
        <v>-3.0927585958292969</v>
      </c>
      <c r="DQ97">
        <v>-4.6078696414042497E-2</v>
      </c>
      <c r="DR97">
        <v>-0.41840270501238747</v>
      </c>
    </row>
    <row r="98" spans="1:122" x14ac:dyDescent="0.25">
      <c r="A98" s="6">
        <f t="shared" si="93"/>
        <v>-6</v>
      </c>
      <c r="B98" s="1">
        <f t="shared" si="94"/>
        <v>-12</v>
      </c>
      <c r="C98" s="1">
        <f t="shared" si="95"/>
        <v>48</v>
      </c>
      <c r="D98" s="6">
        <f t="shared" si="96"/>
        <v>-192</v>
      </c>
      <c r="E98" s="6">
        <f t="shared" si="97"/>
        <v>-128</v>
      </c>
      <c r="BC98">
        <v>1.6755160819145583</v>
      </c>
      <c r="BD98">
        <v>119.6150571736306</v>
      </c>
      <c r="BE98">
        <v>-37.579118144233497</v>
      </c>
      <c r="BF98" s="6">
        <f t="shared" ref="BF98:BF129" si="98">IF(BC98&lt;&gt;"",IF(AND(BD98=0,BE98=0),0,MOD(ATAN2(BD98,BE98),2*PI())),NA())</f>
        <v>5.9787823598350336</v>
      </c>
      <c r="BG98" s="6">
        <f t="shared" ref="BG98:BG129" si="99">ABS(BC98-BF98)</f>
        <v>4.3032662779204749</v>
      </c>
      <c r="BH98" s="6">
        <f t="shared" si="81"/>
        <v>3.1144414390584076</v>
      </c>
      <c r="BI98" s="6">
        <f t="shared" si="82"/>
        <v>3.1144414390584076</v>
      </c>
      <c r="BJ98">
        <v>132.90561908181178</v>
      </c>
      <c r="BK98">
        <v>-41.754575715814994</v>
      </c>
      <c r="BV98" s="38"/>
      <c r="BW98" s="6">
        <f t="shared" si="83"/>
        <v>1.4486232791552951</v>
      </c>
      <c r="BX98" s="9">
        <f t="shared" ca="1" si="84"/>
        <v>10.640586730629934</v>
      </c>
      <c r="BY98" s="9">
        <f t="shared" ca="1" si="85"/>
        <v>4.3597239133234424</v>
      </c>
      <c r="BZ98" s="9">
        <f t="shared" ca="1" si="86"/>
        <v>136.51510448472766</v>
      </c>
      <c r="CA98" s="6">
        <f t="shared" ca="1" si="87"/>
        <v>-37.598448671375792</v>
      </c>
      <c r="CB98" s="6">
        <f t="shared" ca="1" si="88"/>
        <v>-0.26875295333773197</v>
      </c>
      <c r="CC98" s="6">
        <f t="shared" ca="1" si="89"/>
        <v>-5.2420399621893043E-3</v>
      </c>
      <c r="CD98" s="9">
        <f t="shared" si="90"/>
        <v>148.71510448472765</v>
      </c>
      <c r="CE98" s="9">
        <f t="shared" si="91"/>
        <v>-41.798448671375795</v>
      </c>
      <c r="CF98" s="6">
        <f t="shared" si="92"/>
        <v>-0.27399499329992127</v>
      </c>
      <c r="CG98" s="6"/>
      <c r="CH98" s="6"/>
      <c r="CI98" s="6"/>
      <c r="CJ98" s="1"/>
      <c r="CK98" s="6"/>
      <c r="DC98">
        <v>0.3692145270514951</v>
      </c>
      <c r="DD98">
        <v>6.0112470886099176</v>
      </c>
      <c r="DE98">
        <v>5.9545401436335643</v>
      </c>
      <c r="DF98">
        <v>16.719996462210155</v>
      </c>
      <c r="DG98">
        <v>-2.8894994304107136</v>
      </c>
      <c r="DH98">
        <v>-3.1445016519197093</v>
      </c>
      <c r="DK98">
        <v>-0.41840270501238747</v>
      </c>
      <c r="DL98">
        <v>3.1371950068697485</v>
      </c>
      <c r="DM98">
        <v>-0.41840270491238746</v>
      </c>
      <c r="DN98">
        <v>3.1371950068683807</v>
      </c>
      <c r="DO98">
        <v>-0.41840270511238747</v>
      </c>
      <c r="DP98">
        <v>3.1371950068708152</v>
      </c>
      <c r="DQ98">
        <v>-1.2172485241990216E-2</v>
      </c>
      <c r="DR98">
        <v>-0.30061168341083838</v>
      </c>
    </row>
    <row r="99" spans="1:122" x14ac:dyDescent="0.25">
      <c r="C99" s="1">
        <f>SUM(C91:C98)</f>
        <v>288</v>
      </c>
      <c r="D99" s="6">
        <f>SUM(D91:D98)/C99</f>
        <v>0</v>
      </c>
      <c r="E99" s="6">
        <f>SUM(E91:E98)/C99</f>
        <v>0</v>
      </c>
      <c r="BC99">
        <v>1.6929693744345016</v>
      </c>
      <c r="BD99">
        <v>119.44489551527275</v>
      </c>
      <c r="BE99">
        <v>-37.598448671376111</v>
      </c>
      <c r="BF99" s="6">
        <f t="shared" si="98"/>
        <v>5.9782278014721362</v>
      </c>
      <c r="BG99" s="6">
        <f t="shared" si="99"/>
        <v>4.2852584270376344</v>
      </c>
      <c r="BH99" s="6">
        <f t="shared" si="81"/>
        <v>3.1149959974213051</v>
      </c>
      <c r="BI99" s="6">
        <f t="shared" si="82"/>
        <v>3.1149959974213051</v>
      </c>
      <c r="BJ99">
        <v>132.71655057252528</v>
      </c>
      <c r="BK99">
        <v>-41.776054079306789</v>
      </c>
      <c r="BV99" s="38"/>
      <c r="BW99" s="6">
        <f t="shared" si="83"/>
        <v>1.4660765716752384</v>
      </c>
      <c r="BX99" s="9">
        <f t="shared" ca="1" si="84"/>
        <v>10.47042507227215</v>
      </c>
      <c r="BY99" s="9">
        <f t="shared" ca="1" si="85"/>
        <v>4.3790544404662981</v>
      </c>
      <c r="BZ99" s="9">
        <f t="shared" ca="1" si="86"/>
        <v>136.34494282636987</v>
      </c>
      <c r="CA99" s="6">
        <f t="shared" ca="1" si="87"/>
        <v>-37.579118144232936</v>
      </c>
      <c r="CB99" s="6">
        <f t="shared" ca="1" si="88"/>
        <v>-0.26894065402757389</v>
      </c>
      <c r="CC99" s="6">
        <f t="shared" ca="1" si="89"/>
        <v>-5.2321183598389989E-3</v>
      </c>
      <c r="CD99" s="9">
        <f t="shared" si="90"/>
        <v>148.54494282636986</v>
      </c>
      <c r="CE99" s="9">
        <f t="shared" si="91"/>
        <v>-41.779118144232939</v>
      </c>
      <c r="CF99" s="6">
        <f t="shared" si="92"/>
        <v>-0.27417277238741289</v>
      </c>
      <c r="CG99" s="6"/>
      <c r="CH99" s="6"/>
      <c r="CI99" s="6"/>
      <c r="CJ99" s="1"/>
      <c r="CK99" s="6"/>
      <c r="DC99">
        <v>-0.57892539233587814</v>
      </c>
      <c r="DD99">
        <v>5.9545401436335643</v>
      </c>
      <c r="DE99">
        <v>5.9067795607415512</v>
      </c>
      <c r="DF99">
        <v>48.378262955857402</v>
      </c>
      <c r="DG99">
        <v>-1.9080058017254882</v>
      </c>
      <c r="DH99">
        <v>-3.0967410690276962</v>
      </c>
      <c r="DK99">
        <v>-0.30061168341083838</v>
      </c>
      <c r="DL99">
        <v>3.1355970355786393</v>
      </c>
      <c r="DM99">
        <v>-0.30061168331083837</v>
      </c>
      <c r="DN99">
        <v>3.1355970355769296</v>
      </c>
      <c r="DO99">
        <v>-0.30061168351083839</v>
      </c>
      <c r="DP99">
        <v>3.1355970355802913</v>
      </c>
      <c r="DQ99">
        <v>-1.680877659282487E-2</v>
      </c>
      <c r="DR99">
        <v>-2.2509444652978843</v>
      </c>
    </row>
    <row r="100" spans="1:122" x14ac:dyDescent="0.25">
      <c r="A100" s="8" t="s">
        <v>124</v>
      </c>
      <c r="B100" s="1">
        <f>B31*C99*0.65</f>
        <v>795.6</v>
      </c>
      <c r="C100" t="s">
        <v>68</v>
      </c>
      <c r="BC100">
        <v>1.7104226669544449</v>
      </c>
      <c r="BD100">
        <v>119.30743847186797</v>
      </c>
      <c r="BE100">
        <v>-37.616505445362364</v>
      </c>
      <c r="BF100" s="6">
        <f t="shared" si="98"/>
        <v>5.9777602006598274</v>
      </c>
      <c r="BG100" s="6">
        <f t="shared" si="99"/>
        <v>4.2673375337053825</v>
      </c>
      <c r="BH100" s="6">
        <f t="shared" si="81"/>
        <v>3.1154635982336139</v>
      </c>
      <c r="BI100" s="6">
        <f t="shared" si="82"/>
        <v>3.1154635982336139</v>
      </c>
      <c r="BJ100">
        <v>132.56382052429774</v>
      </c>
      <c r="BK100">
        <v>-41.796117161513735</v>
      </c>
      <c r="BV100" s="38"/>
      <c r="BW100" s="6">
        <f t="shared" si="83"/>
        <v>1.4835298641951817</v>
      </c>
      <c r="BX100" s="9">
        <f t="shared" ca="1" si="84"/>
        <v>10.251883720275487</v>
      </c>
      <c r="BY100" s="9">
        <f t="shared" ca="1" si="85"/>
        <v>4.4000109822132885</v>
      </c>
      <c r="BZ100" s="9">
        <f t="shared" ca="1" si="86"/>
        <v>136.12640147437321</v>
      </c>
      <c r="CA100" s="6">
        <f t="shared" ca="1" si="87"/>
        <v>-37.558161602485946</v>
      </c>
      <c r="CB100" s="6">
        <f t="shared" ca="1" si="88"/>
        <v>-0.26920879911068624</v>
      </c>
      <c r="CC100" s="6">
        <f t="shared" ca="1" si="89"/>
        <v>-5.2170449518648687E-3</v>
      </c>
      <c r="CD100" s="9">
        <f t="shared" si="90"/>
        <v>148.3264014743732</v>
      </c>
      <c r="CE100" s="9">
        <f t="shared" si="91"/>
        <v>-41.758161602485949</v>
      </c>
      <c r="CF100" s="6">
        <f t="shared" si="92"/>
        <v>-0.27442584406255111</v>
      </c>
      <c r="CG100" s="6"/>
      <c r="CH100" s="6"/>
      <c r="CI100" s="6"/>
      <c r="CJ100" s="1"/>
      <c r="CK100" s="6"/>
      <c r="DC100">
        <v>-2.8894994304107136</v>
      </c>
      <c r="DD100">
        <v>5.9067795607415512</v>
      </c>
      <c r="DE100">
        <v>5.9018866929495859</v>
      </c>
      <c r="DF100">
        <v>-200.59680138853571</v>
      </c>
      <c r="DG100">
        <v>2.5546936414603367</v>
      </c>
      <c r="DH100">
        <v>-3.0918482012357309</v>
      </c>
      <c r="DK100">
        <v>-2.2509444652978843</v>
      </c>
      <c r="DL100">
        <v>-3.0922566905752085</v>
      </c>
      <c r="DM100">
        <v>-2.2509444651978843</v>
      </c>
      <c r="DN100">
        <v>-3.0922566905712214</v>
      </c>
      <c r="DO100">
        <v>-2.2509444653978843</v>
      </c>
      <c r="DP100">
        <v>-3.0922566905720714</v>
      </c>
      <c r="DQ100">
        <v>4.2499337382650992E-3</v>
      </c>
      <c r="DR100">
        <v>2.7838987831579729</v>
      </c>
    </row>
    <row r="101" spans="1:122" x14ac:dyDescent="0.25">
      <c r="A101" s="8" t="s">
        <v>77</v>
      </c>
      <c r="B101" s="1">
        <f>B100*E99</f>
        <v>0</v>
      </c>
      <c r="C101" t="s">
        <v>69</v>
      </c>
      <c r="BC101">
        <v>1.7278759594743882</v>
      </c>
      <c r="BD101">
        <v>119.19330188019293</v>
      </c>
      <c r="BE101">
        <v>-37.633534180789091</v>
      </c>
      <c r="BF101" s="6">
        <f t="shared" si="98"/>
        <v>5.9773556881857131</v>
      </c>
      <c r="BG101" s="6">
        <f t="shared" si="99"/>
        <v>4.2494797287113251</v>
      </c>
      <c r="BH101" s="6">
        <f t="shared" si="81"/>
        <v>3.1158681107077282</v>
      </c>
      <c r="BI101" s="6">
        <f t="shared" si="82"/>
        <v>3.1158681107077282</v>
      </c>
      <c r="BJ101">
        <v>132.43700208910326</v>
      </c>
      <c r="BK101">
        <v>-41.815037978654544</v>
      </c>
      <c r="BV101" s="38"/>
      <c r="BW101" s="6">
        <f t="shared" si="83"/>
        <v>1.5009831567151251</v>
      </c>
      <c r="BX101" s="9">
        <f t="shared" ca="1" si="84"/>
        <v>9.9562764481241004</v>
      </c>
      <c r="BY101" s="9">
        <f t="shared" ca="1" si="85"/>
        <v>4.4231323154965452</v>
      </c>
      <c r="BZ101" s="9">
        <f t="shared" ca="1" si="86"/>
        <v>135.83079420222182</v>
      </c>
      <c r="CA101" s="6">
        <f t="shared" ca="1" si="87"/>
        <v>-37.535040269202689</v>
      </c>
      <c r="CB101" s="6">
        <f t="shared" ca="1" si="88"/>
        <v>-0.2696085518554529</v>
      </c>
      <c r="CC101" s="6">
        <f t="shared" ca="1" si="89"/>
        <v>-5.1934374377605175E-3</v>
      </c>
      <c r="CD101" s="9">
        <f t="shared" si="90"/>
        <v>148.03079420222181</v>
      </c>
      <c r="CE101" s="9">
        <f t="shared" si="91"/>
        <v>-41.735040269202692</v>
      </c>
      <c r="CF101" s="6">
        <f t="shared" si="92"/>
        <v>-0.27480198929321342</v>
      </c>
      <c r="CG101" s="6"/>
      <c r="CH101" s="6"/>
      <c r="CI101" s="6"/>
      <c r="CJ101" s="1"/>
      <c r="CK101" s="6"/>
      <c r="DC101">
        <v>-1.9080058017254882</v>
      </c>
      <c r="DD101">
        <v>5.9018866929495859</v>
      </c>
      <c r="DE101">
        <v>5.9690932439550251</v>
      </c>
      <c r="DF101">
        <v>66.402744619711996</v>
      </c>
      <c r="DG101">
        <v>0.1299028256287339</v>
      </c>
      <c r="DH101">
        <v>-3.15905475224117</v>
      </c>
      <c r="DK101">
        <v>2.7838987831579729</v>
      </c>
      <c r="DL101">
        <v>3.1258466309110498</v>
      </c>
      <c r="DM101">
        <v>2.7838987832579729</v>
      </c>
      <c r="DN101">
        <v>3.1258466309122195</v>
      </c>
      <c r="DO101">
        <v>2.7838987830579729</v>
      </c>
      <c r="DP101">
        <v>3.1258466309092761</v>
      </c>
      <c r="DQ101">
        <v>1.4717116414431075E-2</v>
      </c>
      <c r="DR101">
        <v>-2.2663047610913614</v>
      </c>
    </row>
    <row r="102" spans="1:122" x14ac:dyDescent="0.25">
      <c r="A102" s="8" t="s">
        <v>125</v>
      </c>
      <c r="B102" s="1">
        <f>B100*D99*-1</f>
        <v>0</v>
      </c>
      <c r="C102" t="s">
        <v>69</v>
      </c>
      <c r="J102" t="s">
        <v>127</v>
      </c>
      <c r="BC102">
        <v>1.7453292519943315</v>
      </c>
      <c r="BD102">
        <v>119.09647930904879</v>
      </c>
      <c r="BE102">
        <v>-37.649714693536538</v>
      </c>
      <c r="BF102" s="6">
        <f t="shared" si="98"/>
        <v>5.9769987676590555</v>
      </c>
      <c r="BG102" s="6">
        <f t="shared" si="99"/>
        <v>4.2316695156647235</v>
      </c>
      <c r="BH102" s="6">
        <f t="shared" si="81"/>
        <v>3.1162250312343858</v>
      </c>
      <c r="BI102" s="6">
        <f t="shared" si="82"/>
        <v>3.1162250312343858</v>
      </c>
      <c r="BJ102">
        <v>132.32942145449866</v>
      </c>
      <c r="BK102">
        <v>-41.833016326151707</v>
      </c>
      <c r="BV102" s="38"/>
      <c r="BW102" s="6">
        <f t="shared" si="83"/>
        <v>1.5184364492350684</v>
      </c>
      <c r="BX102" s="9">
        <f t="shared" ca="1" si="84"/>
        <v>9.5236379744807778</v>
      </c>
      <c r="BY102" s="9">
        <f t="shared" ca="1" si="85"/>
        <v>4.4493228815659407</v>
      </c>
      <c r="BZ102" s="9">
        <f t="shared" ca="1" si="86"/>
        <v>135.3981557285785</v>
      </c>
      <c r="CA102" s="6">
        <f t="shared" ca="1" si="87"/>
        <v>-37.508849703133293</v>
      </c>
      <c r="CB102" s="6">
        <f t="shared" ca="1" si="88"/>
        <v>-0.27024906545726052</v>
      </c>
      <c r="CC102" s="6">
        <f t="shared" ca="1" si="89"/>
        <v>-5.1539961842354542E-3</v>
      </c>
      <c r="CD102" s="9">
        <f t="shared" si="90"/>
        <v>147.59815572857849</v>
      </c>
      <c r="CE102" s="9">
        <f t="shared" si="91"/>
        <v>-41.708849703133296</v>
      </c>
      <c r="CF102" s="6">
        <f t="shared" si="92"/>
        <v>-0.27540306164149597</v>
      </c>
      <c r="CG102" s="6"/>
      <c r="CH102" s="6"/>
      <c r="CI102" s="6"/>
      <c r="CJ102" s="1"/>
      <c r="CK102" s="6"/>
      <c r="DC102">
        <v>2.5546936414603367</v>
      </c>
      <c r="DD102">
        <v>5.9690932439550251</v>
      </c>
      <c r="DE102">
        <v>6.005880965814649</v>
      </c>
      <c r="DF102">
        <v>-65.913046344218159</v>
      </c>
      <c r="DG102">
        <v>-2.8506845142507524</v>
      </c>
      <c r="DH102">
        <v>-3.195842474100794</v>
      </c>
      <c r="DK102">
        <v>-2.2663047610913614</v>
      </c>
      <c r="DL102">
        <v>-3.0922958381634418</v>
      </c>
      <c r="DM102">
        <v>-2.2663047609913614</v>
      </c>
      <c r="DN102">
        <v>-3.0922958381595693</v>
      </c>
      <c r="DO102">
        <v>-2.2663047611913614</v>
      </c>
      <c r="DP102">
        <v>-3.0922958381601662</v>
      </c>
      <c r="DQ102">
        <v>2.9842794901924208E-3</v>
      </c>
      <c r="DR102">
        <v>-2.7967625534453524</v>
      </c>
    </row>
    <row r="103" spans="1:122" x14ac:dyDescent="0.25">
      <c r="F103" s="1" t="s">
        <v>126</v>
      </c>
      <c r="G103" s="1" t="s">
        <v>100</v>
      </c>
      <c r="H103" s="1" t="s">
        <v>101</v>
      </c>
      <c r="J103" s="1" t="s">
        <v>126</v>
      </c>
      <c r="K103" s="1" t="s">
        <v>100</v>
      </c>
      <c r="L103" s="1" t="s">
        <v>101</v>
      </c>
      <c r="BC103">
        <v>1.7627825445142749</v>
      </c>
      <c r="BD103">
        <v>119.01292429951185</v>
      </c>
      <c r="BE103">
        <v>-37.665183542560207</v>
      </c>
      <c r="BF103" s="6">
        <f t="shared" si="98"/>
        <v>5.9766788552433363</v>
      </c>
      <c r="BG103" s="6">
        <f t="shared" si="99"/>
        <v>4.2138963107290612</v>
      </c>
      <c r="BH103" s="6">
        <f t="shared" si="81"/>
        <v>3.1165449436501049</v>
      </c>
      <c r="BI103" s="6">
        <f t="shared" si="82"/>
        <v>3.1165449436501049</v>
      </c>
      <c r="BJ103">
        <v>132.23658255501317</v>
      </c>
      <c r="BK103">
        <v>-41.850203936178005</v>
      </c>
      <c r="BV103" s="38"/>
      <c r="BW103" s="6">
        <f t="shared" si="83"/>
        <v>1.5358897417550117</v>
      </c>
      <c r="BX103" s="9">
        <f t="shared" ca="1" si="84"/>
        <v>8.7985422763229337</v>
      </c>
      <c r="BY103" s="9">
        <f t="shared" ca="1" si="85"/>
        <v>4.4803424040152464</v>
      </c>
      <c r="BZ103" s="9">
        <f t="shared" ca="1" si="86"/>
        <v>134.67306003042066</v>
      </c>
      <c r="CA103" s="6">
        <f t="shared" ca="1" si="87"/>
        <v>-37.477830180683988</v>
      </c>
      <c r="CB103" s="6">
        <f t="shared" ca="1" si="88"/>
        <v>-0.27142000408372857</v>
      </c>
      <c r="CC103" s="6">
        <f t="shared" ca="1" si="89"/>
        <v>-5.0790558139703901E-3</v>
      </c>
      <c r="CD103" s="9">
        <f t="shared" si="90"/>
        <v>146.87306003042065</v>
      </c>
      <c r="CE103" s="9">
        <f t="shared" si="91"/>
        <v>-41.677830180683991</v>
      </c>
      <c r="CF103" s="6">
        <f t="shared" si="92"/>
        <v>-0.27649905989769896</v>
      </c>
      <c r="CG103" s="6"/>
      <c r="CH103" s="6"/>
      <c r="CI103" s="6"/>
      <c r="CJ103" s="1"/>
      <c r="CK103" s="6"/>
      <c r="DC103">
        <v>0.1299028256287339</v>
      </c>
      <c r="DD103">
        <v>6.005880965814649</v>
      </c>
      <c r="DE103">
        <v>5.9060909272505882</v>
      </c>
      <c r="DF103">
        <v>29.868585910667612</v>
      </c>
      <c r="DG103">
        <v>-1.0776130613175672</v>
      </c>
      <c r="DH103">
        <v>-3.0960524355367331</v>
      </c>
      <c r="DK103">
        <v>-2.7967625534453524</v>
      </c>
      <c r="DL103">
        <v>-3.0953037704807862</v>
      </c>
      <c r="DM103">
        <v>-2.7967625533453524</v>
      </c>
      <c r="DN103">
        <v>-3.0953037704828068</v>
      </c>
      <c r="DO103">
        <v>-2.7967625535453524</v>
      </c>
      <c r="DP103">
        <v>-3.0953037704787647</v>
      </c>
      <c r="DQ103">
        <v>-2.021049994027635E-2</v>
      </c>
      <c r="DR103">
        <v>1.1296191115885952</v>
      </c>
    </row>
    <row r="104" spans="1:122" x14ac:dyDescent="0.25">
      <c r="A104">
        <f t="shared" ref="A104:C113" si="100">A15</f>
        <v>1</v>
      </c>
      <c r="B104">
        <f t="shared" si="100"/>
        <v>8</v>
      </c>
      <c r="C104">
        <f t="shared" ca="1" si="100"/>
        <v>0.79</v>
      </c>
      <c r="D104" s="9">
        <f t="shared" ref="D104:D113" si="101">D15-$I$2</f>
        <v>-4</v>
      </c>
      <c r="E104" s="5">
        <f t="shared" ref="E104:E113" si="102">E15-$I$3</f>
        <v>-10</v>
      </c>
      <c r="F104" s="5">
        <f t="shared" ref="F104:F113" ca="1" si="103">($B$12-$B$31)*C104*0.65</f>
        <v>28.627625000000002</v>
      </c>
      <c r="G104">
        <f t="shared" ref="G104:G113" ca="1" si="104">E104*F104</f>
        <v>-286.27625</v>
      </c>
      <c r="H104">
        <f t="shared" ref="H104:H113" ca="1" si="105">D104*F104*-1</f>
        <v>114.51050000000001</v>
      </c>
      <c r="J104">
        <f t="shared" ref="J104:J113" ca="1" si="106">-1*C104*$B$12*0.9</f>
        <v>-42.660000000000004</v>
      </c>
      <c r="K104">
        <f t="shared" ref="K104:K113" ca="1" si="107">E104*J104</f>
        <v>426.6</v>
      </c>
      <c r="L104">
        <f t="shared" ref="L104:L113" ca="1" si="108">D104*J104*-1</f>
        <v>-170.64000000000001</v>
      </c>
      <c r="BC104">
        <v>1.7802358370342182</v>
      </c>
      <c r="BD104">
        <v>118.9397980587264</v>
      </c>
      <c r="BE104">
        <v>-37.680047574710017</v>
      </c>
      <c r="BF104" s="6">
        <f t="shared" si="98"/>
        <v>5.9763884256110504</v>
      </c>
      <c r="BG104" s="6">
        <f t="shared" si="99"/>
        <v>4.1961525885768323</v>
      </c>
      <c r="BH104" s="6">
        <f t="shared" si="81"/>
        <v>3.1168353732823908</v>
      </c>
      <c r="BI104" s="6">
        <f t="shared" si="82"/>
        <v>3.1168353732823908</v>
      </c>
      <c r="BJ104">
        <v>132.15533117636267</v>
      </c>
      <c r="BK104">
        <v>-41.866719527455572</v>
      </c>
      <c r="BV104" s="38"/>
      <c r="BW104" s="6">
        <f t="shared" si="83"/>
        <v>1.553343034274955</v>
      </c>
      <c r="BX104" s="9">
        <f t="shared" ca="1" si="84"/>
        <v>7.1628156846211084</v>
      </c>
      <c r="BY104" s="9">
        <f t="shared" ca="1" si="85"/>
        <v>4.5207267775466065</v>
      </c>
      <c r="BZ104" s="9">
        <f t="shared" ca="1" si="86"/>
        <v>133.03733343871883</v>
      </c>
      <c r="CA104" s="6">
        <f t="shared" ca="1" si="87"/>
        <v>-37.437445807152628</v>
      </c>
      <c r="CB104" s="6">
        <f t="shared" ca="1" si="88"/>
        <v>-0.27431160564582929</v>
      </c>
      <c r="CC104" s="6">
        <f t="shared" ca="1" si="89"/>
        <v>-4.8857904137571961E-3</v>
      </c>
      <c r="CD104" s="9">
        <f t="shared" si="90"/>
        <v>145.23733343871882</v>
      </c>
      <c r="CE104" s="9">
        <f t="shared" si="91"/>
        <v>-41.637445807152631</v>
      </c>
      <c r="CF104" s="6">
        <f t="shared" si="92"/>
        <v>-0.27919739605958649</v>
      </c>
      <c r="CG104" s="6"/>
      <c r="CH104" s="6"/>
      <c r="CI104" s="6"/>
      <c r="CJ104" s="1"/>
      <c r="CK104" s="6"/>
      <c r="DC104">
        <v>-2.8506845142507524</v>
      </c>
      <c r="DD104">
        <v>5.9060909272505882</v>
      </c>
      <c r="DE104">
        <v>5.9512156093329889</v>
      </c>
      <c r="DF104">
        <v>39.292718997896465</v>
      </c>
      <c r="DG104">
        <v>1.1607032770431593</v>
      </c>
      <c r="DH104">
        <v>-3.1411771176191339</v>
      </c>
      <c r="DK104">
        <v>1.1296191115885952</v>
      </c>
      <c r="DL104">
        <v>3.0785500710288307</v>
      </c>
      <c r="DM104">
        <v>1.1296191116885952</v>
      </c>
      <c r="DN104">
        <v>3.0785500710288805</v>
      </c>
      <c r="DO104">
        <v>1.1296191114885952</v>
      </c>
      <c r="DP104">
        <v>3.0785500710287828</v>
      </c>
      <c r="DQ104">
        <v>4.8849813083506888E-4</v>
      </c>
      <c r="DR104">
        <v>1.0931400641425424</v>
      </c>
    </row>
    <row r="105" spans="1:122" x14ac:dyDescent="0.25">
      <c r="A105">
        <f t="shared" si="100"/>
        <v>2</v>
      </c>
      <c r="B105">
        <f t="shared" si="100"/>
        <v>8</v>
      </c>
      <c r="C105">
        <f t="shared" ca="1" si="100"/>
        <v>0.79</v>
      </c>
      <c r="D105" s="9">
        <f t="shared" si="101"/>
        <v>-4</v>
      </c>
      <c r="E105" s="5">
        <f t="shared" si="102"/>
        <v>-8</v>
      </c>
      <c r="F105" s="5">
        <f t="shared" ca="1" si="103"/>
        <v>28.627625000000002</v>
      </c>
      <c r="G105">
        <f t="shared" ca="1" si="104"/>
        <v>-229.02100000000002</v>
      </c>
      <c r="H105">
        <f t="shared" ca="1" si="105"/>
        <v>114.51050000000001</v>
      </c>
      <c r="J105">
        <f t="shared" ca="1" si="106"/>
        <v>-42.660000000000004</v>
      </c>
      <c r="K105">
        <f t="shared" ca="1" si="107"/>
        <v>341.28000000000003</v>
      </c>
      <c r="L105">
        <f t="shared" ca="1" si="108"/>
        <v>-170.64000000000001</v>
      </c>
      <c r="BC105">
        <v>1.7976891295541615</v>
      </c>
      <c r="BD105">
        <v>118.8750423924959</v>
      </c>
      <c r="BE105">
        <v>-37.694392460659991</v>
      </c>
      <c r="BF105" s="6">
        <f t="shared" si="98"/>
        <v>5.9761219499782001</v>
      </c>
      <c r="BG105" s="6">
        <f t="shared" si="99"/>
        <v>4.1784328204240389</v>
      </c>
      <c r="BH105" s="6">
        <f t="shared" si="81"/>
        <v>3.1171018489152411</v>
      </c>
      <c r="BI105" s="6">
        <f t="shared" si="82"/>
        <v>3.1171018489152411</v>
      </c>
      <c r="BJ105">
        <v>132.08338043610655</v>
      </c>
      <c r="BK105">
        <v>-41.882658289622213</v>
      </c>
      <c r="BV105" s="38"/>
      <c r="BW105" s="6">
        <f t="shared" si="83"/>
        <v>1.5707963267948983</v>
      </c>
      <c r="BX105" s="9">
        <f t="shared" ca="1" si="84"/>
        <v>2.1054822459027065</v>
      </c>
      <c r="BY105" s="9">
        <f t="shared" ca="1" si="85"/>
        <v>4.5644489918303819</v>
      </c>
      <c r="BZ105" s="9">
        <f t="shared" ca="1" si="86"/>
        <v>127.98000000000043</v>
      </c>
      <c r="CA105" s="6">
        <f t="shared" ca="1" si="87"/>
        <v>-37.393723592868852</v>
      </c>
      <c r="CB105" s="6">
        <f t="shared" ca="1" si="88"/>
        <v>-0.28427092723279818</v>
      </c>
      <c r="CC105" s="6">
        <f t="shared" ca="1" si="89"/>
        <v>-4.1707965681637696E-3</v>
      </c>
      <c r="CD105" s="9">
        <f t="shared" si="90"/>
        <v>140.18000000000043</v>
      </c>
      <c r="CE105" s="9">
        <f t="shared" si="91"/>
        <v>-41.593723592868855</v>
      </c>
      <c r="CF105" s="6">
        <f t="shared" si="92"/>
        <v>-0.28844172380096195</v>
      </c>
      <c r="CG105" s="6"/>
      <c r="CH105" s="6"/>
      <c r="CI105" s="6"/>
      <c r="CJ105" s="1"/>
      <c r="CK105" s="6"/>
      <c r="DC105">
        <v>-1.0776130613175672</v>
      </c>
      <c r="DD105">
        <v>5.9512156093329889</v>
      </c>
      <c r="DE105">
        <v>6.014728233340465</v>
      </c>
      <c r="DF105">
        <v>35.242069956001998</v>
      </c>
      <c r="DG105">
        <v>1.3181387445887554</v>
      </c>
      <c r="DH105">
        <v>-3.20468974162661</v>
      </c>
      <c r="DK105">
        <v>1.0931400641425424</v>
      </c>
      <c r="DL105">
        <v>3.078621417815306</v>
      </c>
    </row>
    <row r="106" spans="1:122" x14ac:dyDescent="0.25">
      <c r="A106">
        <f t="shared" si="100"/>
        <v>3</v>
      </c>
      <c r="B106">
        <f t="shared" si="100"/>
        <v>8</v>
      </c>
      <c r="C106">
        <f t="shared" ca="1" si="100"/>
        <v>0.79</v>
      </c>
      <c r="D106" s="9">
        <f t="shared" si="101"/>
        <v>-2</v>
      </c>
      <c r="E106" s="5">
        <f t="shared" si="102"/>
        <v>-10</v>
      </c>
      <c r="F106" s="5">
        <f t="shared" ca="1" si="103"/>
        <v>28.627625000000002</v>
      </c>
      <c r="G106">
        <f t="shared" ca="1" si="104"/>
        <v>-286.27625</v>
      </c>
      <c r="H106">
        <f t="shared" ca="1" si="105"/>
        <v>57.255250000000004</v>
      </c>
      <c r="J106">
        <f t="shared" ca="1" si="106"/>
        <v>-42.660000000000004</v>
      </c>
      <c r="K106">
        <f t="shared" ca="1" si="107"/>
        <v>426.6</v>
      </c>
      <c r="L106">
        <f t="shared" ca="1" si="108"/>
        <v>-85.320000000000007</v>
      </c>
      <c r="BC106">
        <v>1.8151424220741048</v>
      </c>
      <c r="BD106">
        <v>118.80734093104466</v>
      </c>
      <c r="BE106">
        <v>-37.736156567182739</v>
      </c>
      <c r="BF106" s="6">
        <f t="shared" si="98"/>
        <v>5.9756384278656371</v>
      </c>
      <c r="BG106" s="6">
        <f t="shared" si="99"/>
        <v>4.1604960057915328</v>
      </c>
      <c r="BH106" s="6">
        <f t="shared" si="81"/>
        <v>3.1175853710278041</v>
      </c>
      <c r="BI106" s="6">
        <f t="shared" si="82"/>
        <v>3.1175853710278041</v>
      </c>
      <c r="BJ106">
        <v>132.00815659004962</v>
      </c>
      <c r="BK106">
        <v>-41.929062852425268</v>
      </c>
      <c r="BV106" s="38"/>
      <c r="BW106" s="6">
        <f t="shared" si="83"/>
        <v>1.5882496193148417</v>
      </c>
      <c r="BX106" s="9">
        <f t="shared" ca="1" si="84"/>
        <v>-2.9518511928164486</v>
      </c>
      <c r="BY106" s="9">
        <f t="shared" ca="1" si="85"/>
        <v>4.5207267775451143</v>
      </c>
      <c r="BZ106" s="9">
        <f t="shared" ca="1" si="86"/>
        <v>122.92266656128128</v>
      </c>
      <c r="CA106" s="6">
        <f t="shared" ca="1" si="87"/>
        <v>-37.43744580715412</v>
      </c>
      <c r="CB106" s="6">
        <f t="shared" ca="1" si="88"/>
        <v>-0.29563589455343398</v>
      </c>
      <c r="CC106" s="6">
        <f t="shared" ca="1" si="89"/>
        <v>-3.2770096820751715E-3</v>
      </c>
      <c r="CD106" s="9">
        <f t="shared" si="90"/>
        <v>135.12266656128128</v>
      </c>
      <c r="CE106" s="9">
        <f t="shared" si="91"/>
        <v>-41.637445807154123</v>
      </c>
      <c r="CF106" s="6">
        <f t="shared" si="92"/>
        <v>-0.29891290423550915</v>
      </c>
      <c r="CG106" s="6"/>
      <c r="CH106" s="6"/>
      <c r="CI106" s="6"/>
      <c r="CJ106" s="1"/>
      <c r="CK106" s="6"/>
    </row>
    <row r="107" spans="1:122" x14ac:dyDescent="0.25">
      <c r="A107">
        <f t="shared" si="100"/>
        <v>4</v>
      </c>
      <c r="B107">
        <f t="shared" si="100"/>
        <v>8</v>
      </c>
      <c r="C107">
        <f t="shared" ca="1" si="100"/>
        <v>0.79</v>
      </c>
      <c r="D107" s="9">
        <f t="shared" si="101"/>
        <v>-2</v>
      </c>
      <c r="E107" s="5">
        <f t="shared" si="102"/>
        <v>-8</v>
      </c>
      <c r="F107" s="5">
        <f t="shared" ca="1" si="103"/>
        <v>28.627625000000002</v>
      </c>
      <c r="G107">
        <f t="shared" ca="1" si="104"/>
        <v>-229.02100000000002</v>
      </c>
      <c r="H107">
        <f t="shared" ca="1" si="105"/>
        <v>57.255250000000004</v>
      </c>
      <c r="J107">
        <f t="shared" ca="1" si="106"/>
        <v>-42.660000000000004</v>
      </c>
      <c r="K107">
        <f t="shared" ca="1" si="107"/>
        <v>341.28000000000003</v>
      </c>
      <c r="L107">
        <f t="shared" ca="1" si="108"/>
        <v>-85.320000000000007</v>
      </c>
      <c r="BC107">
        <v>1.8325957145940481</v>
      </c>
      <c r="BD107">
        <v>118.74593167447792</v>
      </c>
      <c r="BE107">
        <v>-37.790489286934786</v>
      </c>
      <c r="BF107" s="6">
        <f t="shared" si="98"/>
        <v>5.9750736989434543</v>
      </c>
      <c r="BG107" s="6">
        <f t="shared" si="99"/>
        <v>4.142477984349406</v>
      </c>
      <c r="BH107" s="6">
        <f t="shared" si="81"/>
        <v>3.1181500999499869</v>
      </c>
      <c r="BI107" s="6">
        <f t="shared" si="82"/>
        <v>3.1181500999499869</v>
      </c>
      <c r="BJ107">
        <v>131.93992408275324</v>
      </c>
      <c r="BK107">
        <v>-41.989432541038653</v>
      </c>
      <c r="BV107" s="38"/>
      <c r="BW107" s="6">
        <f t="shared" si="83"/>
        <v>1.605702911834785</v>
      </c>
      <c r="BX107" s="9">
        <f t="shared" ca="1" si="84"/>
        <v>-4.5875777845184871</v>
      </c>
      <c r="BY107" s="9">
        <f t="shared" ca="1" si="85"/>
        <v>4.4803424040147846</v>
      </c>
      <c r="BZ107" s="9">
        <f t="shared" ca="1" si="86"/>
        <v>121.28693996957924</v>
      </c>
      <c r="CA107" s="6">
        <f t="shared" ca="1" si="87"/>
        <v>-37.47783018068445</v>
      </c>
      <c r="CB107" s="6">
        <f t="shared" ca="1" si="88"/>
        <v>-0.29969433401292217</v>
      </c>
      <c r="CC107" s="6">
        <f t="shared" ca="1" si="89"/>
        <v>-2.9390959500477654E-3</v>
      </c>
      <c r="CD107" s="9">
        <f t="shared" si="90"/>
        <v>133.48693996957923</v>
      </c>
      <c r="CE107" s="9">
        <f t="shared" si="91"/>
        <v>-41.677830180684452</v>
      </c>
      <c r="CF107" s="6">
        <f t="shared" si="92"/>
        <v>-0.30263342996296994</v>
      </c>
      <c r="CG107" s="6"/>
      <c r="CH107" s="6"/>
      <c r="CI107" s="6"/>
      <c r="CJ107" s="1"/>
      <c r="CK107" s="6"/>
    </row>
    <row r="108" spans="1:122" x14ac:dyDescent="0.25">
      <c r="A108">
        <f t="shared" si="100"/>
        <v>5</v>
      </c>
      <c r="B108">
        <f t="shared" si="100"/>
        <v>0</v>
      </c>
      <c r="C108">
        <f t="shared" ca="1" si="100"/>
        <v>0</v>
      </c>
      <c r="D108" s="9">
        <f t="shared" si="101"/>
        <v>0</v>
      </c>
      <c r="E108" s="5">
        <f t="shared" si="102"/>
        <v>-10</v>
      </c>
      <c r="F108" s="5">
        <f t="shared" ca="1" si="103"/>
        <v>0</v>
      </c>
      <c r="G108">
        <f t="shared" ca="1" si="104"/>
        <v>0</v>
      </c>
      <c r="H108">
        <f t="shared" ca="1" si="105"/>
        <v>0</v>
      </c>
      <c r="J108">
        <f t="shared" ca="1" si="106"/>
        <v>0</v>
      </c>
      <c r="K108">
        <f t="shared" ca="1" si="107"/>
        <v>0</v>
      </c>
      <c r="L108">
        <f t="shared" ca="1" si="108"/>
        <v>0</v>
      </c>
      <c r="BC108">
        <v>1.8500490071139915</v>
      </c>
      <c r="BD108">
        <v>118.69593314242172</v>
      </c>
      <c r="BE108">
        <v>-37.838521870573224</v>
      </c>
      <c r="BF108" s="6">
        <f t="shared" si="98"/>
        <v>5.9745845949073848</v>
      </c>
      <c r="BG108" s="6">
        <f t="shared" si="99"/>
        <v>4.1245355877933934</v>
      </c>
      <c r="BH108" s="6">
        <f t="shared" si="81"/>
        <v>3.1186392039860564</v>
      </c>
      <c r="BI108" s="6">
        <f t="shared" si="82"/>
        <v>3.1186392039860564</v>
      </c>
      <c r="BJ108">
        <v>131.88437015824636</v>
      </c>
      <c r="BK108">
        <v>-42.042802078414695</v>
      </c>
      <c r="BV108" s="38"/>
      <c r="BW108" s="6">
        <f t="shared" si="83"/>
        <v>1.6231562043547283</v>
      </c>
      <c r="BX108" s="9">
        <f t="shared" ca="1" si="84"/>
        <v>-5.3126734826755495</v>
      </c>
      <c r="BY108" s="9">
        <f t="shared" ca="1" si="85"/>
        <v>4.4493228815650667</v>
      </c>
      <c r="BZ108" s="9">
        <f t="shared" ca="1" si="86"/>
        <v>120.56184427142217</v>
      </c>
      <c r="CA108" s="6">
        <f t="shared" ca="1" si="87"/>
        <v>-37.508849703134167</v>
      </c>
      <c r="CB108" s="6">
        <f t="shared" ca="1" si="88"/>
        <v>-0.30162449410228459</v>
      </c>
      <c r="CC108" s="6">
        <f t="shared" ca="1" si="89"/>
        <v>-2.7746367480977474E-3</v>
      </c>
      <c r="CD108" s="9">
        <f t="shared" si="90"/>
        <v>132.76184427142218</v>
      </c>
      <c r="CE108" s="9">
        <f t="shared" si="91"/>
        <v>-41.70884970313417</v>
      </c>
      <c r="CF108" s="6">
        <f t="shared" si="92"/>
        <v>-0.30439913085038234</v>
      </c>
      <c r="CG108" s="6"/>
      <c r="CH108" s="6"/>
      <c r="CI108" s="6"/>
      <c r="CJ108" s="1"/>
      <c r="CK108" s="6"/>
    </row>
    <row r="109" spans="1:122" x14ac:dyDescent="0.25">
      <c r="A109">
        <f t="shared" si="100"/>
        <v>6</v>
      </c>
      <c r="B109">
        <f t="shared" si="100"/>
        <v>0</v>
      </c>
      <c r="C109">
        <f t="shared" ca="1" si="100"/>
        <v>0</v>
      </c>
      <c r="D109" s="9">
        <f t="shared" si="101"/>
        <v>-6</v>
      </c>
      <c r="E109" s="5">
        <f t="shared" si="102"/>
        <v>-3.34</v>
      </c>
      <c r="F109" s="5">
        <f t="shared" ca="1" si="103"/>
        <v>0</v>
      </c>
      <c r="G109">
        <f t="shared" ca="1" si="104"/>
        <v>0</v>
      </c>
      <c r="H109">
        <f t="shared" ca="1" si="105"/>
        <v>0</v>
      </c>
      <c r="J109">
        <f t="shared" ca="1" si="106"/>
        <v>0</v>
      </c>
      <c r="K109">
        <f t="shared" ca="1" si="107"/>
        <v>0</v>
      </c>
      <c r="L109">
        <f t="shared" ca="1" si="108"/>
        <v>0</v>
      </c>
      <c r="BC109">
        <v>1.8675022996339348</v>
      </c>
      <c r="BD109">
        <v>118.65470814350336</v>
      </c>
      <c r="BE109">
        <v>-37.881292000823457</v>
      </c>
      <c r="BF109" s="6">
        <f t="shared" si="98"/>
        <v>5.9741569061694175</v>
      </c>
      <c r="BG109" s="6">
        <f t="shared" si="99"/>
        <v>4.106654606535483</v>
      </c>
      <c r="BH109" s="6">
        <f t="shared" si="81"/>
        <v>3.1190668927240237</v>
      </c>
      <c r="BI109" s="6">
        <f t="shared" si="82"/>
        <v>3.1190668927240237</v>
      </c>
      <c r="BJ109">
        <v>131.83856460389262</v>
      </c>
      <c r="BK109">
        <v>-42.090324445359393</v>
      </c>
      <c r="BV109" s="38"/>
      <c r="BW109" s="6">
        <f t="shared" si="83"/>
        <v>1.6406094968746716</v>
      </c>
      <c r="BX109" s="9">
        <f t="shared" ca="1" si="84"/>
        <v>-5.7453119563197532</v>
      </c>
      <c r="BY109" s="9">
        <f t="shared" ca="1" si="85"/>
        <v>4.4231323154965807</v>
      </c>
      <c r="BZ109" s="9">
        <f t="shared" ca="1" si="86"/>
        <v>120.12920579777797</v>
      </c>
      <c r="CA109" s="6">
        <f t="shared" ca="1" si="87"/>
        <v>-37.535040269202653</v>
      </c>
      <c r="CB109" s="6">
        <f t="shared" ca="1" si="88"/>
        <v>-0.30284439676204272</v>
      </c>
      <c r="CC109" s="6">
        <f t="shared" ca="1" si="89"/>
        <v>-2.6693419516737316E-3</v>
      </c>
      <c r="CD109" s="9">
        <f t="shared" si="90"/>
        <v>132.32920579777797</v>
      </c>
      <c r="CE109" s="9">
        <f t="shared" si="91"/>
        <v>-41.735040269202656</v>
      </c>
      <c r="CF109" s="6">
        <f t="shared" si="92"/>
        <v>-0.30551373871371645</v>
      </c>
      <c r="CG109" s="6"/>
      <c r="CH109" s="6"/>
      <c r="CI109" s="6"/>
      <c r="CJ109" s="1"/>
      <c r="CK109" s="6"/>
    </row>
    <row r="110" spans="1:122" x14ac:dyDescent="0.25">
      <c r="A110">
        <f t="shared" si="100"/>
        <v>7</v>
      </c>
      <c r="B110">
        <f t="shared" si="100"/>
        <v>0</v>
      </c>
      <c r="C110">
        <f t="shared" ca="1" si="100"/>
        <v>0</v>
      </c>
      <c r="D110" s="9">
        <f t="shared" si="101"/>
        <v>-4</v>
      </c>
      <c r="E110" s="5">
        <f t="shared" si="102"/>
        <v>10</v>
      </c>
      <c r="F110" s="5">
        <f t="shared" ca="1" si="103"/>
        <v>0</v>
      </c>
      <c r="G110">
        <f t="shared" ca="1" si="104"/>
        <v>0</v>
      </c>
      <c r="H110">
        <f t="shared" ca="1" si="105"/>
        <v>0</v>
      </c>
      <c r="J110">
        <f t="shared" ca="1" si="106"/>
        <v>0</v>
      </c>
      <c r="K110">
        <f t="shared" ca="1" si="107"/>
        <v>0</v>
      </c>
      <c r="L110">
        <f t="shared" ca="1" si="108"/>
        <v>0</v>
      </c>
      <c r="BC110">
        <v>1.8849555921538781</v>
      </c>
      <c r="BD110">
        <v>118.62031899253928</v>
      </c>
      <c r="BE110">
        <v>-37.919621033788715</v>
      </c>
      <c r="BF110" s="6">
        <f t="shared" si="98"/>
        <v>5.9737797215319972</v>
      </c>
      <c r="BG110" s="6">
        <f t="shared" si="99"/>
        <v>4.0888241293781196</v>
      </c>
      <c r="BH110" s="6">
        <f t="shared" si="81"/>
        <v>3.119444077361444</v>
      </c>
      <c r="BI110" s="6">
        <f t="shared" si="82"/>
        <v>3.119444077361444</v>
      </c>
      <c r="BJ110">
        <v>131.80035443615475</v>
      </c>
      <c r="BK110">
        <v>-42.132912259765241</v>
      </c>
      <c r="BV110" s="38"/>
      <c r="BW110" s="6">
        <f t="shared" si="83"/>
        <v>1.6580627893946149</v>
      </c>
      <c r="BX110" s="9">
        <f t="shared" ca="1" si="84"/>
        <v>-6.0409192284707842</v>
      </c>
      <c r="BY110" s="9">
        <f t="shared" ca="1" si="85"/>
        <v>4.4000109822131535</v>
      </c>
      <c r="BZ110" s="9">
        <f t="shared" ca="1" si="86"/>
        <v>119.83359852562694</v>
      </c>
      <c r="CA110" s="6">
        <f t="shared" ca="1" si="87"/>
        <v>-37.558161602486081</v>
      </c>
      <c r="CB110" s="6">
        <f t="shared" ca="1" si="88"/>
        <v>-0.30372215346066928</v>
      </c>
      <c r="CC110" s="6">
        <f t="shared" ca="1" si="89"/>
        <v>-2.5928895658083873E-3</v>
      </c>
      <c r="CD110" s="9">
        <f t="shared" si="90"/>
        <v>132.03359852562693</v>
      </c>
      <c r="CE110" s="9">
        <f t="shared" si="91"/>
        <v>-41.758161602486084</v>
      </c>
      <c r="CF110" s="6">
        <f t="shared" si="92"/>
        <v>-0.30631504302647766</v>
      </c>
      <c r="CG110" s="6"/>
      <c r="CH110" s="6"/>
      <c r="CI110" s="6"/>
      <c r="CJ110" s="1"/>
      <c r="CK110" s="6"/>
    </row>
    <row r="111" spans="1:122" x14ac:dyDescent="0.25">
      <c r="A111">
        <f t="shared" si="100"/>
        <v>8</v>
      </c>
      <c r="B111">
        <f t="shared" si="100"/>
        <v>0</v>
      </c>
      <c r="C111">
        <f t="shared" ca="1" si="100"/>
        <v>0</v>
      </c>
      <c r="D111" s="9">
        <f t="shared" si="101"/>
        <v>4</v>
      </c>
      <c r="E111" s="5">
        <f t="shared" si="102"/>
        <v>10</v>
      </c>
      <c r="F111" s="5">
        <f t="shared" ca="1" si="103"/>
        <v>0</v>
      </c>
      <c r="G111">
        <f t="shared" ca="1" si="104"/>
        <v>0</v>
      </c>
      <c r="H111">
        <f t="shared" ca="1" si="105"/>
        <v>0</v>
      </c>
      <c r="J111">
        <f t="shared" ca="1" si="106"/>
        <v>0</v>
      </c>
      <c r="K111">
        <f t="shared" ca="1" si="107"/>
        <v>0</v>
      </c>
      <c r="L111">
        <f t="shared" ca="1" si="108"/>
        <v>0</v>
      </c>
      <c r="BC111">
        <v>1.9024088846738214</v>
      </c>
      <c r="BD111">
        <v>118.59131786079978</v>
      </c>
      <c r="BE111">
        <v>-37.954167801848953</v>
      </c>
      <c r="BF111" s="6">
        <f t="shared" si="98"/>
        <v>5.9734445301981642</v>
      </c>
      <c r="BG111" s="6">
        <f t="shared" si="99"/>
        <v>4.0710356455243426</v>
      </c>
      <c r="BH111" s="6">
        <f t="shared" si="81"/>
        <v>3.119779268695277</v>
      </c>
      <c r="BI111" s="6">
        <f t="shared" si="82"/>
        <v>3.119779268695277</v>
      </c>
      <c r="BJ111">
        <v>131.7681309564442</v>
      </c>
      <c r="BK111">
        <v>-42.171297557609947</v>
      </c>
      <c r="BV111" s="38"/>
      <c r="BW111" s="6">
        <f t="shared" si="83"/>
        <v>1.6755160819145583</v>
      </c>
      <c r="BX111" s="9">
        <f t="shared" ca="1" si="84"/>
        <v>-6.2594605804671204</v>
      </c>
      <c r="BY111" s="9">
        <f t="shared" ca="1" si="85"/>
        <v>4.3790544404657368</v>
      </c>
      <c r="BZ111" s="9">
        <f t="shared" ca="1" si="86"/>
        <v>119.6150571736306</v>
      </c>
      <c r="CA111" s="6">
        <f t="shared" ca="1" si="87"/>
        <v>-37.579118144233497</v>
      </c>
      <c r="CB111" s="6">
        <f t="shared" ca="1" si="88"/>
        <v>-0.30440294734455225</v>
      </c>
      <c r="CC111" s="6">
        <f t="shared" ca="1" si="89"/>
        <v>-2.5331765511290572E-3</v>
      </c>
      <c r="CD111" s="9">
        <f t="shared" si="90"/>
        <v>131.81505717363061</v>
      </c>
      <c r="CE111" s="9">
        <f t="shared" si="91"/>
        <v>-41.7791181442335</v>
      </c>
      <c r="CF111" s="6">
        <f t="shared" si="92"/>
        <v>-0.30693612389568131</v>
      </c>
      <c r="CG111" s="6"/>
      <c r="CH111" s="6"/>
      <c r="CI111" s="6"/>
      <c r="CJ111" s="1"/>
      <c r="CK111" s="6"/>
    </row>
    <row r="112" spans="1:122" x14ac:dyDescent="0.25">
      <c r="A112">
        <f t="shared" si="100"/>
        <v>9</v>
      </c>
      <c r="B112">
        <f t="shared" si="100"/>
        <v>0</v>
      </c>
      <c r="C112">
        <f t="shared" ca="1" si="100"/>
        <v>0</v>
      </c>
      <c r="D112" s="9">
        <f t="shared" si="101"/>
        <v>-4</v>
      </c>
      <c r="E112" s="5">
        <f t="shared" si="102"/>
        <v>-10</v>
      </c>
      <c r="F112" s="5">
        <f t="shared" ca="1" si="103"/>
        <v>0</v>
      </c>
      <c r="G112">
        <f t="shared" ca="1" si="104"/>
        <v>0</v>
      </c>
      <c r="H112">
        <f t="shared" ca="1" si="105"/>
        <v>0</v>
      </c>
      <c r="J112">
        <f t="shared" ca="1" si="106"/>
        <v>0</v>
      </c>
      <c r="K112">
        <f t="shared" ca="1" si="107"/>
        <v>0</v>
      </c>
      <c r="L112">
        <f t="shared" ca="1" si="108"/>
        <v>0</v>
      </c>
      <c r="BC112">
        <v>1.9198621771937647</v>
      </c>
      <c r="BD112">
        <v>118.56660659866991</v>
      </c>
      <c r="BE112">
        <v>-37.98546707717712</v>
      </c>
      <c r="BF112" s="6">
        <f t="shared" si="98"/>
        <v>5.9731446002194506</v>
      </c>
      <c r="BG112" s="6">
        <f t="shared" si="99"/>
        <v>4.0532824230256859</v>
      </c>
      <c r="BH112" s="6">
        <f t="shared" si="81"/>
        <v>3.1200791986739906</v>
      </c>
      <c r="BI112" s="6">
        <f t="shared" si="82"/>
        <v>3.1200791986739906</v>
      </c>
      <c r="BJ112">
        <v>131.74067399852211</v>
      </c>
      <c r="BK112">
        <v>-42.206074530196801</v>
      </c>
      <c r="BV112" s="38"/>
      <c r="BW112" s="6">
        <f t="shared" si="83"/>
        <v>1.6929693744345016</v>
      </c>
      <c r="BX112" s="9">
        <f t="shared" ca="1" si="84"/>
        <v>-6.429622238824976</v>
      </c>
      <c r="BY112" s="9">
        <f t="shared" ca="1" si="85"/>
        <v>4.3597239133231227</v>
      </c>
      <c r="BZ112" s="9">
        <f t="shared" ca="1" si="86"/>
        <v>119.44489551527275</v>
      </c>
      <c r="CA112" s="6">
        <f t="shared" ca="1" si="87"/>
        <v>-37.598448671376111</v>
      </c>
      <c r="CB112" s="6">
        <f t="shared" ca="1" si="88"/>
        <v>-0.30495750570745001</v>
      </c>
      <c r="CC112" s="6">
        <f t="shared" ca="1" si="89"/>
        <v>-2.4842580859961716E-3</v>
      </c>
      <c r="CD112" s="9">
        <f t="shared" si="90"/>
        <v>131.64489551527274</v>
      </c>
      <c r="CE112" s="9">
        <f t="shared" si="91"/>
        <v>-41.798448671376114</v>
      </c>
      <c r="CF112" s="6">
        <f t="shared" si="92"/>
        <v>-0.30744176379344618</v>
      </c>
      <c r="CG112" s="6"/>
      <c r="CH112" s="6"/>
      <c r="CI112" s="6"/>
      <c r="CJ112" s="1"/>
      <c r="CK112" s="6"/>
    </row>
    <row r="113" spans="1:89" x14ac:dyDescent="0.25">
      <c r="A113">
        <f t="shared" si="100"/>
        <v>10</v>
      </c>
      <c r="B113">
        <f t="shared" si="100"/>
        <v>0</v>
      </c>
      <c r="C113">
        <f t="shared" ca="1" si="100"/>
        <v>0</v>
      </c>
      <c r="D113" s="9">
        <f t="shared" si="101"/>
        <v>4</v>
      </c>
      <c r="E113" s="5">
        <f t="shared" si="102"/>
        <v>-10</v>
      </c>
      <c r="F113" s="5">
        <f t="shared" ca="1" si="103"/>
        <v>0</v>
      </c>
      <c r="G113">
        <f t="shared" ca="1" si="104"/>
        <v>0</v>
      </c>
      <c r="H113">
        <f t="shared" ca="1" si="105"/>
        <v>0</v>
      </c>
      <c r="J113">
        <f t="shared" ca="1" si="106"/>
        <v>0</v>
      </c>
      <c r="K113">
        <f t="shared" ca="1" si="107"/>
        <v>0</v>
      </c>
      <c r="L113">
        <f t="shared" ca="1" si="108"/>
        <v>0</v>
      </c>
      <c r="BC113">
        <v>1.937315469713708</v>
      </c>
      <c r="BD113">
        <v>118.54534097881596</v>
      </c>
      <c r="BE113">
        <v>-38.013957585657089</v>
      </c>
      <c r="BF113" s="6">
        <f t="shared" si="98"/>
        <v>5.9728745393664173</v>
      </c>
      <c r="BG113" s="6">
        <f t="shared" si="99"/>
        <v>4.0355590696527095</v>
      </c>
      <c r="BH113" s="6">
        <f t="shared" si="81"/>
        <v>3.1203492595270239</v>
      </c>
      <c r="BI113" s="6">
        <f t="shared" si="82"/>
        <v>3.1203492595270239</v>
      </c>
      <c r="BJ113">
        <v>131.71704553201772</v>
      </c>
      <c r="BK113">
        <v>-42.2377306507301</v>
      </c>
      <c r="BV113" s="38"/>
      <c r="BW113" s="6">
        <f t="shared" si="83"/>
        <v>1.7104226669544449</v>
      </c>
      <c r="BX113" s="9">
        <f t="shared" ca="1" si="84"/>
        <v>-6.5670792822297557</v>
      </c>
      <c r="BY113" s="9">
        <f t="shared" ca="1" si="85"/>
        <v>4.3416671393368702</v>
      </c>
      <c r="BZ113" s="9">
        <f t="shared" ca="1" si="86"/>
        <v>119.30743847186797</v>
      </c>
      <c r="CA113" s="6">
        <f t="shared" ca="1" si="87"/>
        <v>-37.616505445362364</v>
      </c>
      <c r="CB113" s="6">
        <f t="shared" ca="1" si="88"/>
        <v>-0.30542510651975913</v>
      </c>
      <c r="CC113" s="6">
        <f t="shared" ca="1" si="89"/>
        <v>-2.4428120330044489E-3</v>
      </c>
      <c r="CD113" s="9">
        <f t="shared" si="90"/>
        <v>131.50743847186797</v>
      </c>
      <c r="CE113" s="9">
        <f t="shared" si="91"/>
        <v>-41.816505445362367</v>
      </c>
      <c r="CF113" s="6">
        <f t="shared" si="92"/>
        <v>-0.30786791855276358</v>
      </c>
      <c r="CG113" s="6"/>
      <c r="CH113" s="6"/>
      <c r="CI113" s="6"/>
      <c r="CJ113" s="1"/>
      <c r="CK113" s="6"/>
    </row>
    <row r="114" spans="1:89" x14ac:dyDescent="0.25">
      <c r="F114" s="5">
        <f ca="1">SUM(F104:F113)</f>
        <v>114.51050000000001</v>
      </c>
      <c r="G114" s="5">
        <f ca="1">SUM(G104:G113)</f>
        <v>-1030.5945000000002</v>
      </c>
      <c r="H114" s="5">
        <f ca="1">SUM(H104:H113)</f>
        <v>343.53149999999999</v>
      </c>
      <c r="J114">
        <f ca="1">SUM(J104:J113)</f>
        <v>-170.64000000000001</v>
      </c>
      <c r="K114">
        <f ca="1">SUM(K104:K113)</f>
        <v>1535.76</v>
      </c>
      <c r="L114">
        <f ca="1">SUM(L104:L113)</f>
        <v>-511.92</v>
      </c>
      <c r="BC114">
        <v>1.9547687622336514</v>
      </c>
      <c r="BD114">
        <v>118.5268639867534</v>
      </c>
      <c r="BE114">
        <v>-38.040002738528713</v>
      </c>
      <c r="BF114" s="6">
        <f t="shared" si="98"/>
        <v>5.9726299791524191</v>
      </c>
      <c r="BG114" s="6">
        <f t="shared" si="99"/>
        <v>4.0178612169187673</v>
      </c>
      <c r="BH114" s="6">
        <f t="shared" si="81"/>
        <v>3.1205938197410221</v>
      </c>
      <c r="BI114" s="6">
        <f t="shared" si="82"/>
        <v>3.1205938197410221</v>
      </c>
      <c r="BJ114">
        <v>131.69651554083711</v>
      </c>
      <c r="BK114">
        <v>-42.266669709476346</v>
      </c>
      <c r="BV114" s="38"/>
      <c r="BW114" s="6">
        <f t="shared" si="83"/>
        <v>1.7278759594743882</v>
      </c>
      <c r="BX114" s="9">
        <f t="shared" ca="1" si="84"/>
        <v>-6.6812158739047902</v>
      </c>
      <c r="BY114" s="9">
        <f t="shared" ca="1" si="85"/>
        <v>4.3246384039101429</v>
      </c>
      <c r="BZ114" s="9">
        <f t="shared" ca="1" si="86"/>
        <v>119.19330188019293</v>
      </c>
      <c r="CA114" s="6">
        <f t="shared" ca="1" si="87"/>
        <v>-37.633534180789091</v>
      </c>
      <c r="CB114" s="6">
        <f t="shared" ca="1" si="88"/>
        <v>-0.30582961899387295</v>
      </c>
      <c r="CC114" s="6">
        <f t="shared" ca="1" si="89"/>
        <v>-2.4068093133807755E-3</v>
      </c>
      <c r="CD114" s="9">
        <f t="shared" si="90"/>
        <v>131.39330188019292</v>
      </c>
      <c r="CE114" s="9">
        <f t="shared" si="91"/>
        <v>-41.833534180789094</v>
      </c>
      <c r="CF114" s="6">
        <f t="shared" si="92"/>
        <v>-0.30823642830725373</v>
      </c>
      <c r="CG114" s="6"/>
      <c r="CH114" s="6"/>
      <c r="CI114" s="6"/>
      <c r="CJ114" s="1"/>
      <c r="CK114" s="6"/>
    </row>
    <row r="115" spans="1:89" x14ac:dyDescent="0.25">
      <c r="A115" s="8" t="s">
        <v>99</v>
      </c>
      <c r="B115" s="5">
        <f ca="1">B100+F114</f>
        <v>910.1105</v>
      </c>
      <c r="J115">
        <f ca="1">J114</f>
        <v>-170.64000000000001</v>
      </c>
      <c r="BC115">
        <v>1.9722220547535947</v>
      </c>
      <c r="BD115">
        <v>118.51065856274262</v>
      </c>
      <c r="BE115">
        <v>-38.063906216329507</v>
      </c>
      <c r="BF115" s="6">
        <f t="shared" si="98"/>
        <v>5.9724073436577472</v>
      </c>
      <c r="BG115" s="6">
        <f t="shared" si="99"/>
        <v>4.0001852889041523</v>
      </c>
      <c r="BH115" s="6">
        <f t="shared" si="81"/>
        <v>3.1208164552356941</v>
      </c>
      <c r="BI115" s="6">
        <f t="shared" si="82"/>
        <v>3.1208164552356941</v>
      </c>
      <c r="BJ115">
        <v>131.67850951415846</v>
      </c>
      <c r="BK115">
        <v>-42.293229129255003</v>
      </c>
      <c r="BV115" s="38"/>
      <c r="BW115" s="6">
        <f t="shared" si="83"/>
        <v>1.7453292519943315</v>
      </c>
      <c r="BX115" s="9">
        <f t="shared" ca="1" si="84"/>
        <v>-6.778038445048935</v>
      </c>
      <c r="BY115" s="9">
        <f t="shared" ca="1" si="85"/>
        <v>4.3084578911626963</v>
      </c>
      <c r="BZ115" s="9">
        <f t="shared" ca="1" si="86"/>
        <v>119.09647930904879</v>
      </c>
      <c r="CA115" s="6">
        <f t="shared" ca="1" si="87"/>
        <v>-37.649714693536538</v>
      </c>
      <c r="CB115" s="6">
        <f t="shared" ca="1" si="88"/>
        <v>-0.30618653952053115</v>
      </c>
      <c r="CC115" s="6">
        <f t="shared" ca="1" si="89"/>
        <v>-2.3749270090928087E-3</v>
      </c>
      <c r="CD115" s="9">
        <f t="shared" si="90"/>
        <v>131.29647930904878</v>
      </c>
      <c r="CE115" s="9">
        <f t="shared" si="91"/>
        <v>-41.849714693536541</v>
      </c>
      <c r="CF115" s="6">
        <f t="shared" si="92"/>
        <v>-0.30856146652962396</v>
      </c>
      <c r="CG115" s="6"/>
      <c r="CH115" s="6"/>
      <c r="CI115" s="6"/>
      <c r="CJ115" s="1"/>
      <c r="CK115" s="6"/>
    </row>
    <row r="116" spans="1:89" x14ac:dyDescent="0.25">
      <c r="A116" s="8" t="s">
        <v>100</v>
      </c>
      <c r="B116" s="5">
        <f ca="1">B101+G114</f>
        <v>-1030.5945000000002</v>
      </c>
      <c r="C116">
        <f ca="1">B116/12</f>
        <v>-85.882875000000013</v>
      </c>
      <c r="J116">
        <f ca="1">K114</f>
        <v>1535.76</v>
      </c>
      <c r="K116">
        <f ca="1">J116/12</f>
        <v>127.98</v>
      </c>
      <c r="BC116">
        <v>1.989675347273538</v>
      </c>
      <c r="BD116">
        <v>118.4963135712114</v>
      </c>
      <c r="BE116">
        <v>-38.085923831587408</v>
      </c>
      <c r="BF116" s="6">
        <f t="shared" si="98"/>
        <v>5.9722036778577925</v>
      </c>
      <c r="BG116" s="6">
        <f t="shared" si="99"/>
        <v>3.9825283305842545</v>
      </c>
      <c r="BH116" s="6">
        <f t="shared" si="81"/>
        <v>3.1210201210356487</v>
      </c>
      <c r="BI116" s="6">
        <f t="shared" si="82"/>
        <v>3.1210201210356487</v>
      </c>
      <c r="BJ116">
        <v>131.66257063467933</v>
      </c>
      <c r="BK116">
        <v>-42.317693146208228</v>
      </c>
      <c r="BV116" s="38"/>
      <c r="BW116" s="6">
        <f t="shared" si="83"/>
        <v>1.7627825445142749</v>
      </c>
      <c r="BX116" s="9">
        <f t="shared" ca="1" si="84"/>
        <v>-6.8615934545858721</v>
      </c>
      <c r="BY116" s="9">
        <f t="shared" ca="1" si="85"/>
        <v>4.2929890421390269</v>
      </c>
      <c r="BZ116" s="9">
        <f t="shared" ca="1" si="86"/>
        <v>119.01292429951185</v>
      </c>
      <c r="CA116" s="6">
        <f t="shared" ca="1" si="87"/>
        <v>-37.665183542560207</v>
      </c>
      <c r="CB116" s="6">
        <f t="shared" ca="1" si="88"/>
        <v>-0.30650645193624976</v>
      </c>
      <c r="CC116" s="6">
        <f t="shared" ca="1" si="89"/>
        <v>-2.3462582646744945E-3</v>
      </c>
      <c r="CD116" s="9">
        <f t="shared" si="90"/>
        <v>131.21292429951185</v>
      </c>
      <c r="CE116" s="9">
        <f t="shared" si="91"/>
        <v>-41.86518354256021</v>
      </c>
      <c r="CF116" s="6">
        <f t="shared" si="92"/>
        <v>-0.30885271020092425</v>
      </c>
      <c r="CG116" s="6"/>
      <c r="CH116" s="6"/>
      <c r="CI116" s="6"/>
      <c r="CJ116" s="1"/>
      <c r="CK116" s="6"/>
    </row>
    <row r="117" spans="1:89" x14ac:dyDescent="0.25">
      <c r="A117" s="8" t="s">
        <v>101</v>
      </c>
      <c r="B117" s="5">
        <f ca="1">B102+H114</f>
        <v>343.53149999999999</v>
      </c>
      <c r="C117">
        <f ca="1">B117/12</f>
        <v>28.627624999999998</v>
      </c>
      <c r="J117">
        <f ca="1">L114</f>
        <v>-511.92</v>
      </c>
      <c r="K117">
        <f ca="1">J117/12</f>
        <v>-42.660000000000004</v>
      </c>
      <c r="BC117">
        <v>2.0071286397934811</v>
      </c>
      <c r="BD117">
        <v>118.48349895272487</v>
      </c>
      <c r="BE117">
        <v>-38.10627267449744</v>
      </c>
      <c r="BF117" s="6">
        <f t="shared" si="98"/>
        <v>5.972016518376809</v>
      </c>
      <c r="BG117" s="6">
        <f t="shared" si="99"/>
        <v>3.9648878785833279</v>
      </c>
      <c r="BH117" s="6">
        <f t="shared" si="81"/>
        <v>3.1212072805166322</v>
      </c>
      <c r="BI117" s="6">
        <f t="shared" si="82"/>
        <v>3.1212072805166322</v>
      </c>
      <c r="BJ117">
        <v>131.6483321696943</v>
      </c>
      <c r="BK117">
        <v>-42.340302971663824</v>
      </c>
      <c r="BV117" s="38"/>
      <c r="BW117" s="6">
        <f t="shared" si="83"/>
        <v>1.7802358370342182</v>
      </c>
      <c r="BX117" s="9">
        <f t="shared" ca="1" si="84"/>
        <v>-6.9347196953713279</v>
      </c>
      <c r="BY117" s="9">
        <f t="shared" ca="1" si="85"/>
        <v>4.2781250099892176</v>
      </c>
      <c r="BZ117" s="9">
        <f t="shared" ca="1" si="86"/>
        <v>118.9397980587264</v>
      </c>
      <c r="CA117" s="6">
        <f t="shared" ca="1" si="87"/>
        <v>-37.680047574710017</v>
      </c>
      <c r="CB117" s="6">
        <f t="shared" ca="1" si="88"/>
        <v>-0.30679688156853568</v>
      </c>
      <c r="CC117" s="6">
        <f t="shared" ca="1" si="89"/>
        <v>-2.3201561914394375E-3</v>
      </c>
      <c r="CD117" s="9">
        <f t="shared" si="90"/>
        <v>131.1397980587264</v>
      </c>
      <c r="CE117" s="9">
        <f t="shared" si="91"/>
        <v>-41.880047574710019</v>
      </c>
      <c r="CF117" s="6">
        <f t="shared" si="92"/>
        <v>-0.30911703775997512</v>
      </c>
      <c r="CG117" s="6"/>
      <c r="CH117" s="6"/>
      <c r="CI117" s="6"/>
      <c r="CJ117" s="1"/>
      <c r="CK117" s="6"/>
    </row>
    <row r="118" spans="1:89" x14ac:dyDescent="0.25">
      <c r="BC118">
        <v>2.0245819323134242</v>
      </c>
      <c r="BD118">
        <v>118.47194734593496</v>
      </c>
      <c r="BE118">
        <v>-38.12513824484698</v>
      </c>
      <c r="BF118" s="6">
        <f t="shared" si="98"/>
        <v>5.9718437949538368</v>
      </c>
      <c r="BG118" s="6">
        <f t="shared" si="99"/>
        <v>3.9472618626404126</v>
      </c>
      <c r="BH118" s="6">
        <f t="shared" si="81"/>
        <v>3.1213800039396045</v>
      </c>
      <c r="BI118" s="6">
        <f t="shared" si="82"/>
        <v>3.1213800039396045</v>
      </c>
      <c r="BJ118">
        <v>131.63549705103884</v>
      </c>
      <c r="BK118">
        <v>-42.361264716496642</v>
      </c>
      <c r="BV118" s="38"/>
      <c r="BW118" s="6">
        <f t="shared" si="83"/>
        <v>1.7976891295541615</v>
      </c>
      <c r="BX118" s="9">
        <f t="shared" ca="1" si="84"/>
        <v>-6.9994753616018244</v>
      </c>
      <c r="BY118" s="9">
        <f t="shared" ca="1" si="85"/>
        <v>4.2637801240392434</v>
      </c>
      <c r="BZ118" s="9">
        <f t="shared" ca="1" si="86"/>
        <v>118.8750423924959</v>
      </c>
      <c r="CA118" s="6">
        <f t="shared" ca="1" si="87"/>
        <v>-37.694392460659991</v>
      </c>
      <c r="CB118" s="6">
        <f t="shared" ca="1" si="88"/>
        <v>-0.30706335720138572</v>
      </c>
      <c r="CC118" s="6">
        <f t="shared" ca="1" si="89"/>
        <v>-2.2961441352462035E-3</v>
      </c>
      <c r="CD118" s="9">
        <f t="shared" si="90"/>
        <v>131.0750423924959</v>
      </c>
      <c r="CE118" s="9">
        <f t="shared" si="91"/>
        <v>-41.894392460659994</v>
      </c>
      <c r="CF118" s="6">
        <f t="shared" si="92"/>
        <v>-0.30935950133663193</v>
      </c>
      <c r="CG118" s="6"/>
      <c r="CH118" s="6"/>
      <c r="CI118" s="6"/>
      <c r="CJ118" s="1"/>
      <c r="CK118" s="6"/>
    </row>
    <row r="119" spans="1:89" x14ac:dyDescent="0.25">
      <c r="A119" s="8" t="s">
        <v>8</v>
      </c>
      <c r="B119">
        <f ca="1">B117/B115</f>
        <v>0.37746130826971008</v>
      </c>
      <c r="J119">
        <f ca="1">J117/J115</f>
        <v>3</v>
      </c>
      <c r="BC119">
        <v>2.0420352248333673</v>
      </c>
      <c r="BD119">
        <v>118.46144031395168</v>
      </c>
      <c r="BE119">
        <v>-38.142680064290992</v>
      </c>
      <c r="BF119" s="6">
        <f t="shared" si="98"/>
        <v>5.9716837544632817</v>
      </c>
      <c r="BG119" s="6">
        <f t="shared" si="99"/>
        <v>3.9296485296299144</v>
      </c>
      <c r="BH119" s="6">
        <f t="shared" si="81"/>
        <v>3.1215400444301595</v>
      </c>
      <c r="BI119" s="6">
        <f t="shared" si="82"/>
        <v>3.1215400444301595</v>
      </c>
      <c r="BJ119">
        <v>131.62382257105742</v>
      </c>
      <c r="BK119">
        <v>-42.380755626989988</v>
      </c>
      <c r="BV119" s="38"/>
      <c r="BW119" s="6">
        <f t="shared" si="83"/>
        <v>1.8151424220741048</v>
      </c>
      <c r="BX119" s="9">
        <f t="shared" ca="1" si="84"/>
        <v>-7.0671768230530603</v>
      </c>
      <c r="BY119" s="9">
        <f t="shared" ca="1" si="85"/>
        <v>4.2220160175164949</v>
      </c>
      <c r="BZ119" s="9">
        <f t="shared" ca="1" si="86"/>
        <v>118.80734093104466</v>
      </c>
      <c r="CA119" s="6">
        <f t="shared" ca="1" si="87"/>
        <v>-37.736156567182739</v>
      </c>
      <c r="CB119" s="6">
        <f t="shared" ca="1" si="88"/>
        <v>-0.30754687931394903</v>
      </c>
      <c r="CC119" s="6">
        <f t="shared" ca="1" si="89"/>
        <v>-2.2516670045727993E-3</v>
      </c>
      <c r="CD119" s="9">
        <f t="shared" si="90"/>
        <v>131.00734093104467</v>
      </c>
      <c r="CE119" s="9">
        <f t="shared" si="91"/>
        <v>-41.936156567182742</v>
      </c>
      <c r="CF119" s="6">
        <f t="shared" si="92"/>
        <v>-0.30979854631852183</v>
      </c>
      <c r="CG119" s="6"/>
      <c r="CH119" s="6"/>
      <c r="CI119" s="6"/>
      <c r="CJ119" s="1"/>
      <c r="CK119" s="6"/>
    </row>
    <row r="120" spans="1:89" x14ac:dyDescent="0.25">
      <c r="A120" s="8" t="s">
        <v>9</v>
      </c>
      <c r="B120">
        <f ca="1">B116/B115</f>
        <v>-1.1323839248091305</v>
      </c>
      <c r="J120">
        <f ca="1">J116/J115</f>
        <v>-9</v>
      </c>
      <c r="BC120">
        <v>2.0594885173533104</v>
      </c>
      <c r="BD120">
        <v>118.45179793458026</v>
      </c>
      <c r="BE120">
        <v>-38.159036147456064</v>
      </c>
      <c r="BF120" s="6">
        <f t="shared" si="98"/>
        <v>5.97153490167738</v>
      </c>
      <c r="BG120" s="6">
        <f t="shared" si="99"/>
        <v>3.9120463843240696</v>
      </c>
      <c r="BH120" s="6">
        <f t="shared" si="81"/>
        <v>3.1216888972160612</v>
      </c>
      <c r="BI120" s="6">
        <f t="shared" si="82"/>
        <v>3.1216888972160612</v>
      </c>
      <c r="BJ120">
        <v>131.61310881620028</v>
      </c>
      <c r="BK120">
        <v>-42.39892905272896</v>
      </c>
      <c r="BV120" s="38"/>
      <c r="BW120" s="6">
        <f t="shared" si="83"/>
        <v>1.8325957145940481</v>
      </c>
      <c r="BX120" s="9">
        <f t="shared" ca="1" si="84"/>
        <v>-7.1285860796198079</v>
      </c>
      <c r="BY120" s="9">
        <f t="shared" ca="1" si="85"/>
        <v>4.167683297764448</v>
      </c>
      <c r="BZ120" s="9">
        <f t="shared" ca="1" si="86"/>
        <v>118.74593167447792</v>
      </c>
      <c r="CA120" s="6">
        <f t="shared" ca="1" si="87"/>
        <v>-37.790489286934786</v>
      </c>
      <c r="CB120" s="6">
        <f t="shared" ca="1" si="88"/>
        <v>-0.30811160823613165</v>
      </c>
      <c r="CC120" s="6">
        <f t="shared" ca="1" si="89"/>
        <v>-2.1993802466340751E-3</v>
      </c>
      <c r="CD120" s="9">
        <f t="shared" si="90"/>
        <v>130.94593167447792</v>
      </c>
      <c r="CE120" s="9">
        <f t="shared" si="91"/>
        <v>-41.990489286934789</v>
      </c>
      <c r="CF120" s="6">
        <f t="shared" si="92"/>
        <v>-0.31031098848276573</v>
      </c>
      <c r="CG120" s="6"/>
      <c r="CH120" s="6"/>
      <c r="CI120" s="6"/>
      <c r="CJ120" s="1"/>
      <c r="CK120" s="6"/>
    </row>
    <row r="121" spans="1:89" x14ac:dyDescent="0.25">
      <c r="BC121">
        <v>2.0769418098732535</v>
      </c>
      <c r="BD121">
        <v>118.44287082057498</v>
      </c>
      <c r="BE121">
        <v>-38.174326582628076</v>
      </c>
      <c r="BF121" s="6">
        <f t="shared" si="98"/>
        <v>5.9713959526415739</v>
      </c>
      <c r="BG121" s="6">
        <f t="shared" si="99"/>
        <v>3.8944541427683204</v>
      </c>
      <c r="BH121" s="6">
        <f t="shared" si="81"/>
        <v>3.1218278462518674</v>
      </c>
      <c r="BI121" s="6">
        <f t="shared" si="82"/>
        <v>3.1218278462518674</v>
      </c>
      <c r="BJ121">
        <v>131.60318980063886</v>
      </c>
      <c r="BK121">
        <v>-42.415918425142308</v>
      </c>
      <c r="BV121" s="38"/>
      <c r="BW121" s="6">
        <f t="shared" si="83"/>
        <v>1.8500490071139915</v>
      </c>
      <c r="BX121" s="9">
        <f t="shared" ca="1" si="84"/>
        <v>-7.1785846116760013</v>
      </c>
      <c r="BY121" s="9">
        <f t="shared" ca="1" si="85"/>
        <v>4.1196507141260099</v>
      </c>
      <c r="BZ121" s="9">
        <f t="shared" ca="1" si="86"/>
        <v>118.69593314242172</v>
      </c>
      <c r="CA121" s="6">
        <f t="shared" ca="1" si="87"/>
        <v>-37.838521870573224</v>
      </c>
      <c r="CB121" s="6">
        <f t="shared" ca="1" si="88"/>
        <v>-0.3086007122722017</v>
      </c>
      <c r="CC121" s="6">
        <f t="shared" ca="1" si="89"/>
        <v>-2.1540163988968959E-3</v>
      </c>
      <c r="CD121" s="9">
        <f t="shared" si="90"/>
        <v>130.89593314242171</v>
      </c>
      <c r="CE121" s="9">
        <f t="shared" si="91"/>
        <v>-42.038521870573227</v>
      </c>
      <c r="CF121" s="6">
        <f t="shared" si="92"/>
        <v>-0.3107547286710986</v>
      </c>
      <c r="CG121" s="6"/>
      <c r="CH121" s="6"/>
      <c r="CI121" s="6"/>
      <c r="CJ121" s="1"/>
      <c r="CK121" s="6"/>
    </row>
    <row r="122" spans="1:89" x14ac:dyDescent="0.25">
      <c r="BC122">
        <v>2.0943951023931966</v>
      </c>
      <c r="BD122">
        <v>118.43453396027132</v>
      </c>
      <c r="BE122">
        <v>-38.188656431163537</v>
      </c>
      <c r="BF122" s="6">
        <f t="shared" si="98"/>
        <v>5.9712657976198438</v>
      </c>
      <c r="BG122" s="6">
        <f t="shared" si="99"/>
        <v>3.8768706952266472</v>
      </c>
      <c r="BH122" s="6">
        <f t="shared" si="81"/>
        <v>3.1219580012735975</v>
      </c>
      <c r="BI122" s="6">
        <f t="shared" si="82"/>
        <v>3.1219580012735975</v>
      </c>
      <c r="BJ122">
        <v>131.5939266225237</v>
      </c>
      <c r="BK122">
        <v>-42.431840479070594</v>
      </c>
      <c r="BV122" s="38"/>
      <c r="BW122" s="6">
        <f t="shared" si="83"/>
        <v>1.8675022996339348</v>
      </c>
      <c r="BX122" s="9">
        <f t="shared" ca="1" si="84"/>
        <v>-7.2198096105943677</v>
      </c>
      <c r="BY122" s="9">
        <f t="shared" ca="1" si="85"/>
        <v>4.0768805838757771</v>
      </c>
      <c r="BZ122" s="9">
        <f t="shared" ca="1" si="86"/>
        <v>118.65470814350336</v>
      </c>
      <c r="CA122" s="6">
        <f t="shared" ca="1" si="87"/>
        <v>-37.881292000823457</v>
      </c>
      <c r="CB122" s="6">
        <f t="shared" ca="1" si="88"/>
        <v>-0.30902840101016837</v>
      </c>
      <c r="CC122" s="6">
        <f t="shared" ca="1" si="89"/>
        <v>-2.114290015339193E-3</v>
      </c>
      <c r="CD122" s="9">
        <f t="shared" si="90"/>
        <v>130.85470814350336</v>
      </c>
      <c r="CE122" s="9">
        <f t="shared" si="91"/>
        <v>-42.08129200082346</v>
      </c>
      <c r="CF122" s="6">
        <f t="shared" si="92"/>
        <v>-0.31114269102550757</v>
      </c>
      <c r="CG122" s="6"/>
      <c r="CH122" s="6"/>
      <c r="CI122" s="6"/>
      <c r="CJ122" s="1"/>
      <c r="CK122" s="6"/>
    </row>
    <row r="123" spans="1:89" x14ac:dyDescent="0.25">
      <c r="A123" t="s">
        <v>128</v>
      </c>
      <c r="BC123">
        <v>2.1118483949131397</v>
      </c>
      <c r="BD123">
        <v>118.4266819279658</v>
      </c>
      <c r="BE123">
        <v>-38.202118097329702</v>
      </c>
      <c r="BF123" s="6">
        <f t="shared" si="98"/>
        <v>5.971143471378582</v>
      </c>
      <c r="BG123" s="6">
        <f t="shared" si="99"/>
        <v>3.8592950764654423</v>
      </c>
      <c r="BH123" s="6">
        <f t="shared" si="81"/>
        <v>3.1220803275148592</v>
      </c>
      <c r="BI123" s="6">
        <f t="shared" si="82"/>
        <v>3.1220803275148592</v>
      </c>
      <c r="BJ123">
        <v>131.58520214218422</v>
      </c>
      <c r="BK123">
        <v>-42.446797885921889</v>
      </c>
      <c r="BV123" s="38"/>
      <c r="BW123" s="6">
        <f t="shared" si="83"/>
        <v>1.8849555921538781</v>
      </c>
      <c r="BX123" s="9">
        <f t="shared" ca="1" si="84"/>
        <v>-7.2541987615584418</v>
      </c>
      <c r="BY123" s="9">
        <f t="shared" ca="1" si="85"/>
        <v>4.038551550910519</v>
      </c>
      <c r="BZ123" s="9">
        <f t="shared" ca="1" si="86"/>
        <v>118.62031899253928</v>
      </c>
      <c r="CA123" s="6">
        <f t="shared" ca="1" si="87"/>
        <v>-37.919621033788715</v>
      </c>
      <c r="CB123" s="6">
        <f t="shared" ca="1" si="88"/>
        <v>-0.30940558564758863</v>
      </c>
      <c r="CC123" s="6">
        <f t="shared" ca="1" si="89"/>
        <v>-2.0792104728842298E-3</v>
      </c>
      <c r="CD123" s="9">
        <f t="shared" si="90"/>
        <v>130.82031899253928</v>
      </c>
      <c r="CE123" s="9">
        <f t="shared" si="91"/>
        <v>-42.119621033788718</v>
      </c>
      <c r="CF123" s="6">
        <f t="shared" si="92"/>
        <v>-0.31148479612047286</v>
      </c>
      <c r="CG123" s="6"/>
      <c r="CH123" s="6"/>
      <c r="CI123" s="6"/>
      <c r="CJ123" s="1"/>
      <c r="CK123" s="6"/>
    </row>
    <row r="124" spans="1:89" x14ac:dyDescent="0.25">
      <c r="BC124">
        <v>2.1293016874330828</v>
      </c>
      <c r="BD124">
        <v>118.41922509507013</v>
      </c>
      <c r="BE124">
        <v>-38.214793266728783</v>
      </c>
      <c r="BF124" s="6">
        <f t="shared" si="98"/>
        <v>5.9710281291754068</v>
      </c>
      <c r="BG124" s="6">
        <f t="shared" si="99"/>
        <v>3.841726441742324</v>
      </c>
      <c r="BH124" s="6">
        <f t="shared" si="81"/>
        <v>3.1221956697180344</v>
      </c>
      <c r="BI124" s="6">
        <f t="shared" si="82"/>
        <v>3.1221956697180344</v>
      </c>
      <c r="BJ124">
        <v>131.57691677230014</v>
      </c>
      <c r="BK124">
        <v>-42.460881407476428</v>
      </c>
      <c r="BV124" s="38"/>
      <c r="BW124" s="6">
        <f t="shared" si="83"/>
        <v>1.9024088846738214</v>
      </c>
      <c r="BX124" s="9">
        <f t="shared" ca="1" si="84"/>
        <v>-7.2831998932979474</v>
      </c>
      <c r="BY124" s="9">
        <f t="shared" ca="1" si="85"/>
        <v>4.0040047828502807</v>
      </c>
      <c r="BZ124" s="9">
        <f t="shared" ca="1" si="86"/>
        <v>118.59131786079978</v>
      </c>
      <c r="CA124" s="6">
        <f t="shared" ca="1" si="87"/>
        <v>-37.954167801848953</v>
      </c>
      <c r="CB124" s="6">
        <f t="shared" ca="1" si="88"/>
        <v>-0.30974077698142222</v>
      </c>
      <c r="CC124" s="6">
        <f t="shared" ca="1" si="89"/>
        <v>-2.0480026796141355E-3</v>
      </c>
      <c r="CD124" s="9">
        <f t="shared" si="90"/>
        <v>130.79131786079978</v>
      </c>
      <c r="CE124" s="9">
        <f t="shared" si="91"/>
        <v>-42.154167801848956</v>
      </c>
      <c r="CF124" s="6">
        <f t="shared" si="92"/>
        <v>-0.31178877966103635</v>
      </c>
      <c r="CG124" s="6"/>
      <c r="CH124" s="6"/>
      <c r="CI124" s="6"/>
      <c r="CJ124" s="1"/>
      <c r="CK124" s="6"/>
    </row>
    <row r="125" spans="1:89" x14ac:dyDescent="0.25">
      <c r="A125" s="8" t="s">
        <v>77</v>
      </c>
      <c r="B125" s="3">
        <f ca="1">B116</f>
        <v>-1030.5945000000002</v>
      </c>
      <c r="C125" s="1" t="str">
        <f>"+ t ( "</f>
        <v xml:space="preserve">+ t ( </v>
      </c>
      <c r="D125" s="1">
        <f ca="1">J116</f>
        <v>1535.76</v>
      </c>
      <c r="E125" s="1" t="s">
        <v>129</v>
      </c>
      <c r="F125" s="3">
        <f ca="1">B116</f>
        <v>-1030.5945000000002</v>
      </c>
      <c r="G125" s="1" t="s">
        <v>130</v>
      </c>
      <c r="BC125">
        <v>2.1467549799530259</v>
      </c>
      <c r="BD125">
        <v>118.41208665039215</v>
      </c>
      <c r="BE125">
        <v>-38.226754521904127</v>
      </c>
      <c r="BF125" s="6">
        <f t="shared" si="98"/>
        <v>5.9709190271681587</v>
      </c>
      <c r="BG125" s="6">
        <f t="shared" si="99"/>
        <v>3.8241640472151328</v>
      </c>
      <c r="BH125" s="6">
        <f t="shared" si="81"/>
        <v>3.1223047717252825</v>
      </c>
      <c r="BI125" s="6">
        <f t="shared" si="82"/>
        <v>3.1223047717252825</v>
      </c>
      <c r="BJ125">
        <v>131.5689851671024</v>
      </c>
      <c r="BK125">
        <v>-42.474171691004585</v>
      </c>
      <c r="BV125" s="38"/>
      <c r="BW125" s="6">
        <f t="shared" si="83"/>
        <v>1.9198621771937647</v>
      </c>
      <c r="BX125" s="9">
        <f t="shared" ca="1" si="84"/>
        <v>-7.3079111554278171</v>
      </c>
      <c r="BY125" s="9">
        <f t="shared" ca="1" si="85"/>
        <v>3.9727055075221145</v>
      </c>
      <c r="BZ125" s="9">
        <f t="shared" ca="1" si="86"/>
        <v>118.56660659866991</v>
      </c>
      <c r="CA125" s="6">
        <f t="shared" ca="1" si="87"/>
        <v>-37.98546707717712</v>
      </c>
      <c r="CB125" s="6">
        <f t="shared" ca="1" si="88"/>
        <v>-0.31004070696013536</v>
      </c>
      <c r="CC125" s="6">
        <f t="shared" ca="1" si="89"/>
        <v>-2.0200518896476005E-3</v>
      </c>
      <c r="CD125" s="9">
        <f t="shared" si="90"/>
        <v>130.76660659866991</v>
      </c>
      <c r="CE125" s="9">
        <f t="shared" si="91"/>
        <v>-42.185467077177123</v>
      </c>
      <c r="CF125" s="6">
        <f t="shared" si="92"/>
        <v>-0.31206075884978296</v>
      </c>
      <c r="CG125" s="6"/>
      <c r="CH125" s="6"/>
      <c r="CI125" s="6"/>
      <c r="CJ125" s="1"/>
      <c r="CK125" s="6"/>
    </row>
    <row r="126" spans="1:89" x14ac:dyDescent="0.25">
      <c r="A126" s="8" t="s">
        <v>125</v>
      </c>
      <c r="B126" s="3">
        <f ca="1">B117</f>
        <v>343.53149999999999</v>
      </c>
      <c r="D126" s="1">
        <f ca="1">J117</f>
        <v>-511.92</v>
      </c>
      <c r="F126" s="3">
        <f ca="1">B117</f>
        <v>343.53149999999999</v>
      </c>
      <c r="BC126">
        <v>2.164208272472969</v>
      </c>
      <c r="BD126">
        <v>118.40520020072583</v>
      </c>
      <c r="BE126">
        <v>-38.238066682874923</v>
      </c>
      <c r="BF126" s="6">
        <f t="shared" si="98"/>
        <v>5.9708155063273098</v>
      </c>
      <c r="BG126" s="6">
        <f t="shared" si="99"/>
        <v>3.8066072338543409</v>
      </c>
      <c r="BH126" s="6">
        <f t="shared" si="81"/>
        <v>3.1224082925661314</v>
      </c>
      <c r="BI126" s="6">
        <f t="shared" si="82"/>
        <v>3.1224082925661314</v>
      </c>
      <c r="BJ126">
        <v>131.56133355636203</v>
      </c>
      <c r="BK126">
        <v>-42.48674075874991</v>
      </c>
      <c r="BV126" s="38"/>
      <c r="BW126" s="6">
        <f t="shared" si="83"/>
        <v>1.937315469713708</v>
      </c>
      <c r="BX126" s="9">
        <f t="shared" ca="1" si="84"/>
        <v>-7.3291767752817663</v>
      </c>
      <c r="BY126" s="9">
        <f t="shared" ca="1" si="85"/>
        <v>3.9442149990421456</v>
      </c>
      <c r="BZ126" s="9">
        <f t="shared" ca="1" si="86"/>
        <v>118.54534097881596</v>
      </c>
      <c r="CA126" s="6">
        <f t="shared" ca="1" si="87"/>
        <v>-38.013957585657089</v>
      </c>
      <c r="CB126" s="6">
        <f t="shared" ca="1" si="88"/>
        <v>-0.31031076781316924</v>
      </c>
      <c r="CC126" s="6">
        <f t="shared" ca="1" si="89"/>
        <v>-1.9948645295312928E-3</v>
      </c>
      <c r="CD126" s="9">
        <f t="shared" si="90"/>
        <v>130.74534097881596</v>
      </c>
      <c r="CE126" s="9">
        <f t="shared" si="91"/>
        <v>-42.213957585657091</v>
      </c>
      <c r="CF126" s="6">
        <f t="shared" si="92"/>
        <v>-0.31230563234270053</v>
      </c>
      <c r="CG126" s="6"/>
      <c r="CH126" s="6"/>
      <c r="CI126" s="6"/>
      <c r="CJ126" s="1"/>
      <c r="CK126" s="6"/>
    </row>
    <row r="127" spans="1:89" x14ac:dyDescent="0.25">
      <c r="A127" s="8" t="s">
        <v>75</v>
      </c>
      <c r="B127" s="3">
        <f ca="1">B115</f>
        <v>910.1105</v>
      </c>
      <c r="D127" s="1">
        <f ca="1">J115</f>
        <v>-170.64000000000001</v>
      </c>
      <c r="F127" s="3">
        <f ca="1">B115</f>
        <v>910.1105</v>
      </c>
      <c r="BC127">
        <v>2.1816615649929121</v>
      </c>
      <c r="BD127">
        <v>118.39850784394562</v>
      </c>
      <c r="BE127">
        <v>-38.248787936806011</v>
      </c>
      <c r="BF127" s="6">
        <f t="shared" si="98"/>
        <v>5.9707169791037424</v>
      </c>
      <c r="BG127" s="6">
        <f t="shared" si="99"/>
        <v>3.7890554141108304</v>
      </c>
      <c r="BH127" s="6">
        <f t="shared" si="81"/>
        <v>3.1225068197896988</v>
      </c>
      <c r="BI127" s="6">
        <f t="shared" si="82"/>
        <v>3.1225068197896988</v>
      </c>
      <c r="BJ127">
        <v>131.55389760438402</v>
      </c>
      <c r="BK127">
        <v>-42.498653263117788</v>
      </c>
      <c r="BV127" s="38"/>
      <c r="BW127" s="6">
        <f t="shared" si="83"/>
        <v>1.9547687622336514</v>
      </c>
      <c r="BX127" s="9">
        <f t="shared" ca="1" si="84"/>
        <v>-7.3476537673443261</v>
      </c>
      <c r="BY127" s="9">
        <f t="shared" ca="1" si="85"/>
        <v>3.918169846170521</v>
      </c>
      <c r="BZ127" s="9">
        <f t="shared" ca="1" si="86"/>
        <v>118.5268639867534</v>
      </c>
      <c r="CA127" s="6">
        <f t="shared" ca="1" si="87"/>
        <v>-38.040002738528713</v>
      </c>
      <c r="CB127" s="6">
        <f t="shared" ca="1" si="88"/>
        <v>-0.31055532802716757</v>
      </c>
      <c r="CC127" s="6">
        <f t="shared" ca="1" si="89"/>
        <v>-1.9720398950648925E-3</v>
      </c>
      <c r="CD127" s="9">
        <f t="shared" si="90"/>
        <v>130.72686398675339</v>
      </c>
      <c r="CE127" s="9">
        <f t="shared" si="91"/>
        <v>-42.240002738528716</v>
      </c>
      <c r="CF127" s="6">
        <f t="shared" si="92"/>
        <v>-0.31252736792223246</v>
      </c>
      <c r="CG127" s="6"/>
      <c r="CH127" s="6"/>
      <c r="CI127" s="6"/>
      <c r="CJ127" s="1"/>
      <c r="CK127" s="6"/>
    </row>
    <row r="128" spans="1:89" x14ac:dyDescent="0.25">
      <c r="BC128">
        <v>2.1991148575128552</v>
      </c>
      <c r="BD128">
        <v>118.39195860495209</v>
      </c>
      <c r="BE128">
        <v>-38.258970795518756</v>
      </c>
      <c r="BF128" s="6">
        <f t="shared" si="98"/>
        <v>5.9706229182916495</v>
      </c>
      <c r="BG128" s="6">
        <f t="shared" si="99"/>
        <v>3.7715080607787943</v>
      </c>
      <c r="BH128" s="6">
        <f t="shared" si="81"/>
        <v>3.1226008806017918</v>
      </c>
      <c r="BI128" s="6">
        <f t="shared" si="82"/>
        <v>3.1226008806017918</v>
      </c>
      <c r="BJ128">
        <v>131.54662067216898</v>
      </c>
      <c r="BK128">
        <v>-42.509967550576398</v>
      </c>
      <c r="BV128" s="38"/>
      <c r="BW128" s="6">
        <f t="shared" si="83"/>
        <v>1.9722220547535947</v>
      </c>
      <c r="BX128" s="9">
        <f t="shared" ca="1" si="84"/>
        <v>-7.3638591913551039</v>
      </c>
      <c r="BY128" s="9">
        <f t="shared" ca="1" si="85"/>
        <v>3.8942663683697276</v>
      </c>
      <c r="BZ128" s="9">
        <f t="shared" ca="1" si="86"/>
        <v>118.51065856274262</v>
      </c>
      <c r="CA128" s="6">
        <f t="shared" ca="1" si="87"/>
        <v>-38.063906216329507</v>
      </c>
      <c r="CB128" s="6">
        <f t="shared" ca="1" si="88"/>
        <v>-0.3107779635218389</v>
      </c>
      <c r="CC128" s="6">
        <f t="shared" ca="1" si="89"/>
        <v>-1.9512493689711197E-3</v>
      </c>
      <c r="CD128" s="9">
        <f t="shared" si="90"/>
        <v>130.71065856274262</v>
      </c>
      <c r="CE128" s="9">
        <f t="shared" si="91"/>
        <v>-42.263906216329509</v>
      </c>
      <c r="CF128" s="6">
        <f t="shared" si="92"/>
        <v>-0.31272921289081002</v>
      </c>
      <c r="CG128" s="6"/>
      <c r="CH128" s="6"/>
      <c r="CI128" s="6"/>
      <c r="CJ128" s="1"/>
      <c r="CK128" s="6"/>
    </row>
    <row r="129" spans="1:89" x14ac:dyDescent="0.25">
      <c r="A129" s="14" t="s">
        <v>131</v>
      </c>
      <c r="BC129">
        <v>2.2165681500327983</v>
      </c>
      <c r="BD129">
        <v>118.38550714841062</v>
      </c>
      <c r="BE129">
        <v>-38.268662910778019</v>
      </c>
      <c r="BF129" s="6">
        <f t="shared" si="98"/>
        <v>5.9705328476497428</v>
      </c>
      <c r="BG129" s="6">
        <f t="shared" si="99"/>
        <v>3.7539646976169445</v>
      </c>
      <c r="BH129" s="6">
        <f t="shared" si="81"/>
        <v>3.1226909512436984</v>
      </c>
      <c r="BI129" s="6">
        <f t="shared" si="82"/>
        <v>3.1226909512436984</v>
      </c>
      <c r="BJ129">
        <v>131.53945238712291</v>
      </c>
      <c r="BK129">
        <v>-42.520736567531131</v>
      </c>
      <c r="BV129" s="38"/>
      <c r="BW129" s="6">
        <f t="shared" si="83"/>
        <v>1.989675347273538</v>
      </c>
      <c r="BX129" s="9">
        <f t="shared" ca="1" si="84"/>
        <v>-7.3782041828863214</v>
      </c>
      <c r="BY129" s="9">
        <f t="shared" ca="1" si="85"/>
        <v>3.8722487531118261</v>
      </c>
      <c r="BZ129" s="9">
        <f t="shared" ca="1" si="86"/>
        <v>118.4963135712114</v>
      </c>
      <c r="CA129" s="6">
        <f t="shared" ca="1" si="87"/>
        <v>-38.085923831587408</v>
      </c>
      <c r="CB129" s="6">
        <f t="shared" ca="1" si="88"/>
        <v>-0.31098162932179335</v>
      </c>
      <c r="CC129" s="6">
        <f t="shared" ca="1" si="89"/>
        <v>-1.932220938892393E-3</v>
      </c>
      <c r="CD129" s="9">
        <f t="shared" si="90"/>
        <v>130.69631357121139</v>
      </c>
      <c r="CE129" s="9">
        <f t="shared" si="91"/>
        <v>-42.285923831587411</v>
      </c>
      <c r="CF129" s="6">
        <f t="shared" si="92"/>
        <v>-0.31291385026068574</v>
      </c>
      <c r="CG129" s="6"/>
      <c r="CH129" s="6"/>
      <c r="CI129" s="6"/>
      <c r="CJ129" s="1"/>
      <c r="CK129" s="6"/>
    </row>
    <row r="130" spans="1:89" x14ac:dyDescent="0.25">
      <c r="A130" s="8" t="s">
        <v>133</v>
      </c>
      <c r="B130" s="1">
        <f>U10</f>
        <v>-160</v>
      </c>
      <c r="BC130">
        <v>2.2340214425527414</v>
      </c>
      <c r="BD130">
        <v>118.37911272178991</v>
      </c>
      <c r="BE130">
        <v>-38.277907779668858</v>
      </c>
      <c r="BF130" s="6">
        <f t="shared" ref="BF130:BF155" si="109">IF(BC130&lt;&gt;"",IF(AND(BD130=0,BE130=0),0,MOD(ATAN2(BD130,BE130),2*PI())),NA())</f>
        <v>5.9704463339221494</v>
      </c>
      <c r="BG130" s="6">
        <f t="shared" ref="BG130:BG155" si="110">ABS(BC130-BF130)</f>
        <v>3.736424891369408</v>
      </c>
      <c r="BH130" s="6">
        <f t="shared" si="81"/>
        <v>3.1227774649712918</v>
      </c>
      <c r="BI130" s="6">
        <f t="shared" si="82"/>
        <v>3.1227774649712918</v>
      </c>
      <c r="BJ130">
        <v>131.53234746865544</v>
      </c>
      <c r="BK130">
        <v>-42.531008644076508</v>
      </c>
      <c r="BV130" s="38"/>
      <c r="BW130" s="6">
        <f t="shared" si="83"/>
        <v>2.0071286397934811</v>
      </c>
      <c r="BX130" s="9">
        <f t="shared" ca="1" si="84"/>
        <v>-7.3910188013728515</v>
      </c>
      <c r="BY130" s="9">
        <f t="shared" ca="1" si="85"/>
        <v>3.8518999102017943</v>
      </c>
      <c r="BZ130" s="9">
        <f t="shared" ca="1" si="86"/>
        <v>118.48349895272487</v>
      </c>
      <c r="CA130" s="6">
        <f t="shared" ca="1" si="87"/>
        <v>-38.10627267449744</v>
      </c>
      <c r="CB130" s="6">
        <f t="shared" ca="1" si="88"/>
        <v>-0.31116878880277693</v>
      </c>
      <c r="CC130" s="6">
        <f t="shared" ca="1" si="89"/>
        <v>-1.9147275083857274E-3</v>
      </c>
      <c r="CD130" s="9">
        <f t="shared" si="90"/>
        <v>130.68349895272488</v>
      </c>
      <c r="CE130" s="9">
        <f t="shared" si="91"/>
        <v>-42.306272674497443</v>
      </c>
      <c r="CF130" s="6">
        <f t="shared" si="92"/>
        <v>-0.31308351631116266</v>
      </c>
      <c r="CG130" s="6"/>
      <c r="CH130" s="6"/>
      <c r="CI130" s="6"/>
      <c r="CJ130" s="1"/>
      <c r="CK130" s="6"/>
    </row>
    <row r="131" spans="1:89" x14ac:dyDescent="0.25">
      <c r="A131" s="8" t="s">
        <v>132</v>
      </c>
      <c r="B131">
        <f ca="1">(U10-B127)/(D127-F127)</f>
        <v>0.99015498951885739</v>
      </c>
      <c r="BC131">
        <v>2.2514747350726845</v>
      </c>
      <c r="BD131">
        <v>118.37273826722179</v>
      </c>
      <c r="BE131">
        <v>-38.286745355694883</v>
      </c>
      <c r="BF131" s="6">
        <f t="shared" si="109"/>
        <v>5.9703629799899876</v>
      </c>
      <c r="BG131" s="6">
        <f t="shared" si="110"/>
        <v>3.7188882449173031</v>
      </c>
      <c r="BH131" s="6">
        <f t="shared" ref="BH131:BH155" si="111">ATAN2(COS($U$13-BF131),SIN($U$13-BF131))</f>
        <v>3.1228608189034537</v>
      </c>
      <c r="BI131" s="6">
        <f t="shared" ref="BI131:BI155" si="112">ABS(BH131)</f>
        <v>3.1228608189034537</v>
      </c>
      <c r="BJ131">
        <v>131.52526474135755</v>
      </c>
      <c r="BK131">
        <v>-42.540828172994317</v>
      </c>
      <c r="BV131" s="38"/>
      <c r="BW131" s="6">
        <f t="shared" si="83"/>
        <v>2.0245819323134242</v>
      </c>
      <c r="BX131" s="9">
        <f t="shared" ca="1" si="84"/>
        <v>-7.4025704081627595</v>
      </c>
      <c r="BY131" s="9">
        <f t="shared" ca="1" si="85"/>
        <v>3.8330343398522544</v>
      </c>
      <c r="BZ131" s="9">
        <f t="shared" ca="1" si="86"/>
        <v>118.47194734593496</v>
      </c>
      <c r="CA131" s="6">
        <f t="shared" ca="1" si="87"/>
        <v>-38.12513824484698</v>
      </c>
      <c r="CB131" s="6">
        <f t="shared" ca="1" si="88"/>
        <v>-0.31134151222574957</v>
      </c>
      <c r="CC131" s="6">
        <f t="shared" ca="1" si="89"/>
        <v>-1.898577962791248E-3</v>
      </c>
      <c r="CD131" s="9">
        <f t="shared" si="90"/>
        <v>130.67194734593497</v>
      </c>
      <c r="CE131" s="9">
        <f t="shared" si="91"/>
        <v>-42.325138244846983</v>
      </c>
      <c r="CF131" s="6">
        <f t="shared" si="92"/>
        <v>-0.31324009018854082</v>
      </c>
      <c r="CG131" s="6"/>
      <c r="CH131" s="6"/>
      <c r="CI131" s="6"/>
      <c r="CJ131" s="1"/>
      <c r="CK131" s="6"/>
    </row>
    <row r="132" spans="1:89" x14ac:dyDescent="0.25">
      <c r="A132" s="8" t="s">
        <v>77</v>
      </c>
      <c r="B132">
        <f ca="1">(B125+(B131*(D125-F125)))/12</f>
        <v>125.87451775409772</v>
      </c>
      <c r="BC132">
        <v>2.2689280275926276</v>
      </c>
      <c r="BD132">
        <v>118.3663496743368</v>
      </c>
      <c r="BE132">
        <v>-38.295212587055765</v>
      </c>
      <c r="BF132" s="6">
        <f t="shared" si="109"/>
        <v>5.970282418922471</v>
      </c>
      <c r="BG132" s="6">
        <f t="shared" si="110"/>
        <v>3.7013543913298435</v>
      </c>
      <c r="BH132" s="6">
        <f t="shared" si="111"/>
        <v>3.1229413799709702</v>
      </c>
      <c r="BI132" s="6">
        <f t="shared" si="112"/>
        <v>3.1229413799709702</v>
      </c>
      <c r="BJ132">
        <v>131.51816630481866</v>
      </c>
      <c r="BK132">
        <v>-42.550236207839738</v>
      </c>
      <c r="BV132" s="38"/>
      <c r="BW132" s="6">
        <f t="shared" si="83"/>
        <v>2.0420352248333673</v>
      </c>
      <c r="BX132" s="9">
        <f t="shared" ca="1" si="84"/>
        <v>-7.41307744014604</v>
      </c>
      <c r="BY132" s="9">
        <f t="shared" ca="1" si="85"/>
        <v>3.8154925204082417</v>
      </c>
      <c r="BZ132" s="9">
        <f t="shared" ca="1" si="86"/>
        <v>118.46144031395168</v>
      </c>
      <c r="CA132" s="6">
        <f t="shared" ca="1" si="87"/>
        <v>-38.142680064290992</v>
      </c>
      <c r="CB132" s="6">
        <f t="shared" ca="1" si="88"/>
        <v>-0.31150155271630453</v>
      </c>
      <c r="CC132" s="6">
        <f t="shared" ca="1" si="89"/>
        <v>-1.8836102645903849E-3</v>
      </c>
      <c r="CD132" s="9">
        <f t="shared" si="90"/>
        <v>130.66144031395169</v>
      </c>
      <c r="CE132" s="9">
        <f t="shared" si="91"/>
        <v>-42.342680064290995</v>
      </c>
      <c r="CF132" s="6">
        <f t="shared" si="92"/>
        <v>-0.31338516298089492</v>
      </c>
      <c r="CG132" s="6"/>
      <c r="CH132" s="6"/>
      <c r="CI132" s="6"/>
      <c r="CJ132" s="1"/>
      <c r="CK132" s="6"/>
    </row>
    <row r="133" spans="1:89" x14ac:dyDescent="0.25">
      <c r="A133" s="8" t="s">
        <v>125</v>
      </c>
      <c r="B133">
        <f ca="1">(B126+(B131*(D126-F126)))/12</f>
        <v>-41.958172584699234</v>
      </c>
      <c r="BC133">
        <v>2.2863813201125707</v>
      </c>
      <c r="BD133">
        <v>118.35991514182756</v>
      </c>
      <c r="BE133">
        <v>-38.303343895656297</v>
      </c>
      <c r="BF133" s="6">
        <f t="shared" si="109"/>
        <v>5.9702043087454735</v>
      </c>
      <c r="BG133" s="6">
        <f t="shared" si="110"/>
        <v>3.6838229886329028</v>
      </c>
      <c r="BH133" s="6">
        <f t="shared" si="111"/>
        <v>3.1230194901479678</v>
      </c>
      <c r="BI133" s="6">
        <f t="shared" si="112"/>
        <v>3.1230194901479678</v>
      </c>
      <c r="BJ133">
        <v>131.51101682425283</v>
      </c>
      <c r="BK133">
        <v>-42.559270995173662</v>
      </c>
      <c r="BV133" s="38"/>
      <c r="BW133" s="6">
        <f t="shared" si="83"/>
        <v>2.0594885173533104</v>
      </c>
      <c r="BX133" s="9">
        <f t="shared" ca="1" si="84"/>
        <v>-7.422719819517468</v>
      </c>
      <c r="BY133" s="9">
        <f t="shared" ca="1" si="85"/>
        <v>3.7991364372431704</v>
      </c>
      <c r="BZ133" s="9">
        <f t="shared" ca="1" si="86"/>
        <v>118.45179793458026</v>
      </c>
      <c r="CA133" s="6">
        <f t="shared" ca="1" si="87"/>
        <v>-38.159036147456064</v>
      </c>
      <c r="CB133" s="6">
        <f t="shared" ca="1" si="88"/>
        <v>-0.31165040550220596</v>
      </c>
      <c r="CC133" s="6">
        <f t="shared" ca="1" si="89"/>
        <v>-1.8696860586914776E-3</v>
      </c>
      <c r="CD133" s="9">
        <f t="shared" si="90"/>
        <v>130.65179793458026</v>
      </c>
      <c r="CE133" s="9">
        <f t="shared" si="91"/>
        <v>-42.359036147456067</v>
      </c>
      <c r="CF133" s="6">
        <f t="shared" si="92"/>
        <v>-0.31352009156089744</v>
      </c>
      <c r="CG133" s="6"/>
      <c r="CH133" s="6"/>
      <c r="CI133" s="6"/>
      <c r="CJ133" s="1"/>
      <c r="CK133" s="6"/>
    </row>
    <row r="134" spans="1:89" x14ac:dyDescent="0.25">
      <c r="BC134">
        <v>2.3038346126325138</v>
      </c>
      <c r="BD134">
        <v>118.35340462537748</v>
      </c>
      <c r="BE134">
        <v>-38.31117160984244</v>
      </c>
      <c r="BF134" s="6">
        <f t="shared" si="109"/>
        <v>5.970128327773832</v>
      </c>
      <c r="BG134" s="6">
        <f t="shared" si="110"/>
        <v>3.6662937151413182</v>
      </c>
      <c r="BH134" s="6">
        <f t="shared" si="111"/>
        <v>3.1230954711196093</v>
      </c>
      <c r="BI134" s="6">
        <f t="shared" si="112"/>
        <v>3.1230954711196093</v>
      </c>
      <c r="BJ134">
        <v>131.50378291708608</v>
      </c>
      <c r="BK134">
        <v>-42.567968455380488</v>
      </c>
      <c r="BV134" s="38"/>
      <c r="BW134" s="6">
        <f t="shared" si="83"/>
        <v>2.0769418098732535</v>
      </c>
      <c r="BX134" s="9">
        <f t="shared" ca="1" si="84"/>
        <v>-7.4316469335227424</v>
      </c>
      <c r="BY134" s="9">
        <f t="shared" ca="1" si="85"/>
        <v>3.783846002071158</v>
      </c>
      <c r="BZ134" s="9">
        <f t="shared" ca="1" si="86"/>
        <v>118.44287082057498</v>
      </c>
      <c r="CA134" s="6">
        <f t="shared" ca="1" si="87"/>
        <v>-38.174326582628076</v>
      </c>
      <c r="CB134" s="6">
        <f t="shared" ca="1" si="88"/>
        <v>-0.31178935453801215</v>
      </c>
      <c r="CC134" s="6">
        <f t="shared" ca="1" si="89"/>
        <v>-1.8566864186154164E-3</v>
      </c>
      <c r="CD134" s="9">
        <f t="shared" si="90"/>
        <v>130.64287082057498</v>
      </c>
      <c r="CE134" s="9">
        <f t="shared" si="91"/>
        <v>-42.374326582628079</v>
      </c>
      <c r="CF134" s="6">
        <f t="shared" si="92"/>
        <v>-0.31364604095662757</v>
      </c>
      <c r="CG134" s="6"/>
      <c r="CH134" s="6"/>
      <c r="CI134" s="6"/>
      <c r="CJ134" s="1"/>
      <c r="CK134" s="6"/>
    </row>
    <row r="135" spans="1:89" x14ac:dyDescent="0.25">
      <c r="A135" s="8"/>
      <c r="BC135">
        <v>2.3212879051524569</v>
      </c>
      <c r="BD135">
        <v>118.34678935200048</v>
      </c>
      <c r="BE135">
        <v>-38.318726361341227</v>
      </c>
      <c r="BF135" s="6">
        <f t="shared" si="109"/>
        <v>5.9700541703785728</v>
      </c>
      <c r="BG135" s="6">
        <f t="shared" si="110"/>
        <v>3.6487662652261159</v>
      </c>
      <c r="BH135" s="6">
        <f t="shared" si="111"/>
        <v>3.1231696285148685</v>
      </c>
      <c r="BI135" s="6">
        <f t="shared" si="112"/>
        <v>3.1231696285148685</v>
      </c>
      <c r="BJ135">
        <v>131.49643261333387</v>
      </c>
      <c r="BK135">
        <v>-42.576362623712477</v>
      </c>
      <c r="BV135" s="38"/>
      <c r="BW135" s="6">
        <f t="shared" si="83"/>
        <v>2.0943951023931966</v>
      </c>
      <c r="BX135" s="9">
        <f t="shared" ca="1" si="84"/>
        <v>-7.4399837938264</v>
      </c>
      <c r="BY135" s="9">
        <f t="shared" ca="1" si="85"/>
        <v>3.7695161535356974</v>
      </c>
      <c r="BZ135" s="9">
        <f t="shared" ca="1" si="86"/>
        <v>118.43453396027132</v>
      </c>
      <c r="CA135" s="6">
        <f t="shared" ca="1" si="87"/>
        <v>-38.188656431163537</v>
      </c>
      <c r="CB135" s="6">
        <f t="shared" ca="1" si="88"/>
        <v>-0.31191950955974213</v>
      </c>
      <c r="CC135" s="6">
        <f t="shared" ca="1" si="89"/>
        <v>-1.8445084598611161E-3</v>
      </c>
      <c r="CD135" s="9">
        <f t="shared" si="90"/>
        <v>130.63453396027131</v>
      </c>
      <c r="CE135" s="9">
        <f t="shared" si="91"/>
        <v>-42.38865643116354</v>
      </c>
      <c r="CF135" s="6">
        <f t="shared" si="92"/>
        <v>-0.31376401801960324</v>
      </c>
      <c r="CG135" s="6"/>
      <c r="CH135" s="6"/>
      <c r="CI135" s="6"/>
      <c r="CJ135" s="1"/>
      <c r="CK135" s="6"/>
    </row>
    <row r="136" spans="1:89" x14ac:dyDescent="0.25">
      <c r="A136" s="51" t="s">
        <v>154</v>
      </c>
      <c r="BC136">
        <v>2.3387411976724</v>
      </c>
      <c r="BD136">
        <v>118.34004138500194</v>
      </c>
      <c r="BE136">
        <v>-38.326037456017815</v>
      </c>
      <c r="BF136" s="6">
        <f t="shared" si="109"/>
        <v>5.9699815430769476</v>
      </c>
      <c r="BG136" s="6">
        <f t="shared" si="110"/>
        <v>3.6312403454045477</v>
      </c>
      <c r="BH136" s="6">
        <f t="shared" si="111"/>
        <v>3.1232422558164936</v>
      </c>
      <c r="BI136" s="6">
        <f t="shared" si="112"/>
        <v>3.1232422558164936</v>
      </c>
      <c r="BJ136">
        <v>131.48893487222438</v>
      </c>
      <c r="BK136">
        <v>-42.584486062242014</v>
      </c>
      <c r="BV136" s="38"/>
      <c r="BW136" s="6">
        <f t="shared" si="83"/>
        <v>2.1118483949131397</v>
      </c>
      <c r="BX136" s="9">
        <f t="shared" ca="1" si="84"/>
        <v>-7.4478358261319215</v>
      </c>
      <c r="BY136" s="9">
        <f t="shared" ca="1" si="85"/>
        <v>3.7560544873695321</v>
      </c>
      <c r="BZ136" s="9">
        <f t="shared" ca="1" si="86"/>
        <v>118.4266819279658</v>
      </c>
      <c r="CA136" s="6">
        <f t="shared" ca="1" si="87"/>
        <v>-38.202118097329702</v>
      </c>
      <c r="CB136" s="6">
        <f t="shared" ca="1" si="88"/>
        <v>-0.31204183580100436</v>
      </c>
      <c r="CC136" s="6">
        <f t="shared" ca="1" si="89"/>
        <v>-1.8330626194585919E-3</v>
      </c>
      <c r="CD136" s="9">
        <f t="shared" si="90"/>
        <v>130.62668192796579</v>
      </c>
      <c r="CE136" s="9">
        <f t="shared" si="91"/>
        <v>-42.402118097329705</v>
      </c>
      <c r="CF136" s="6">
        <f t="shared" si="92"/>
        <v>-0.31387489842046296</v>
      </c>
      <c r="CG136" s="6"/>
      <c r="CH136" s="6"/>
      <c r="CI136" s="6"/>
      <c r="CJ136" s="1"/>
      <c r="CK136" s="6"/>
    </row>
    <row r="137" spans="1:89" x14ac:dyDescent="0.25">
      <c r="A137" t="s">
        <v>155</v>
      </c>
      <c r="BC137">
        <v>2.3561944901923431</v>
      </c>
      <c r="BD137">
        <v>118.33313322745744</v>
      </c>
      <c r="BE137">
        <v>-38.333133227709219</v>
      </c>
      <c r="BF137" s="6">
        <f t="shared" si="109"/>
        <v>5.9699101608448331</v>
      </c>
      <c r="BG137" s="6">
        <f t="shared" si="110"/>
        <v>3.61371567065249</v>
      </c>
      <c r="BH137" s="6">
        <f t="shared" si="111"/>
        <v>3.1233136380486082</v>
      </c>
      <c r="BI137" s="6">
        <f t="shared" si="112"/>
        <v>3.1233136380486082</v>
      </c>
      <c r="BJ137">
        <v>131.48125914161938</v>
      </c>
      <c r="BK137">
        <v>-42.592370253010245</v>
      </c>
      <c r="BV137" s="38"/>
      <c r="BW137" s="6">
        <f t="shared" si="83"/>
        <v>2.1293016874330828</v>
      </c>
      <c r="BX137" s="9">
        <f t="shared" ca="1" si="84"/>
        <v>-7.4552926590275916</v>
      </c>
      <c r="BY137" s="9">
        <f t="shared" ca="1" si="85"/>
        <v>3.7433793179704509</v>
      </c>
      <c r="BZ137" s="9">
        <f t="shared" ca="1" si="86"/>
        <v>118.41922509507013</v>
      </c>
      <c r="CA137" s="6">
        <f t="shared" ca="1" si="87"/>
        <v>-38.214793266728783</v>
      </c>
      <c r="CB137" s="6">
        <f t="shared" ca="1" si="88"/>
        <v>-0.31215717800417897</v>
      </c>
      <c r="CC137" s="6">
        <f t="shared" ca="1" si="89"/>
        <v>-1.822270454918784E-3</v>
      </c>
      <c r="CD137" s="9">
        <f t="shared" si="90"/>
        <v>130.61922509507014</v>
      </c>
      <c r="CE137" s="9">
        <f t="shared" si="91"/>
        <v>-42.414793266728786</v>
      </c>
      <c r="CF137" s="6">
        <f t="shared" si="92"/>
        <v>-0.31397944845909775</v>
      </c>
      <c r="CG137" s="6"/>
      <c r="CH137" s="6"/>
      <c r="CI137" s="6"/>
      <c r="CJ137" s="1"/>
      <c r="CK137" s="6"/>
    </row>
    <row r="138" spans="1:89" ht="18" x14ac:dyDescent="0.35">
      <c r="A138" t="s">
        <v>156</v>
      </c>
      <c r="B138" t="s">
        <v>157</v>
      </c>
      <c r="BC138">
        <v>2.3736477827122862</v>
      </c>
      <c r="BD138">
        <v>118.32603745591778</v>
      </c>
      <c r="BE138">
        <v>-38.340041384720493</v>
      </c>
      <c r="BF138" s="6">
        <f t="shared" si="109"/>
        <v>5.9698397435578343</v>
      </c>
      <c r="BG138" s="6">
        <f t="shared" si="110"/>
        <v>3.5961919608455482</v>
      </c>
      <c r="BH138" s="6">
        <f t="shared" si="111"/>
        <v>3.1233840553356069</v>
      </c>
      <c r="BI138" s="6">
        <f t="shared" si="112"/>
        <v>3.1233840553356069</v>
      </c>
      <c r="BJ138">
        <v>131.47337495101976</v>
      </c>
      <c r="BK138">
        <v>-42.600045983022767</v>
      </c>
      <c r="BV138" s="38"/>
      <c r="BW138" s="6">
        <f t="shared" si="83"/>
        <v>2.1467549799530259</v>
      </c>
      <c r="BX138" s="9">
        <f t="shared" ca="1" si="84"/>
        <v>-7.4624311037055691</v>
      </c>
      <c r="BY138" s="9">
        <f t="shared" ca="1" si="85"/>
        <v>3.7314180627951075</v>
      </c>
      <c r="BZ138" s="9">
        <f t="shared" ca="1" si="86"/>
        <v>118.41208665039215</v>
      </c>
      <c r="CA138" s="6">
        <f t="shared" ca="1" si="87"/>
        <v>-38.226754521904127</v>
      </c>
      <c r="CB138" s="6">
        <f t="shared" ca="1" si="88"/>
        <v>-0.31226628001142759</v>
      </c>
      <c r="CC138" s="6">
        <f t="shared" ca="1" si="89"/>
        <v>-1.8120628455005616E-3</v>
      </c>
      <c r="CD138" s="9">
        <f t="shared" si="90"/>
        <v>130.61208665039214</v>
      </c>
      <c r="CE138" s="9">
        <f t="shared" si="91"/>
        <v>-42.42675452190413</v>
      </c>
      <c r="CF138" s="6">
        <f t="shared" si="92"/>
        <v>-0.31407834285692815</v>
      </c>
      <c r="CG138" s="6"/>
      <c r="CH138" s="6"/>
      <c r="CI138" s="6"/>
      <c r="CJ138" s="1"/>
      <c r="CK138" s="6"/>
    </row>
    <row r="139" spans="1:89" ht="18" x14ac:dyDescent="0.35">
      <c r="A139" t="s">
        <v>158</v>
      </c>
      <c r="B139" t="s">
        <v>159</v>
      </c>
      <c r="BC139">
        <v>2.3911010752322293</v>
      </c>
      <c r="BD139">
        <v>118.31872636088983</v>
      </c>
      <c r="BE139">
        <v>-38.346789351709852</v>
      </c>
      <c r="BF139" s="6">
        <f t="shared" si="109"/>
        <v>5.9697700124822175</v>
      </c>
      <c r="BG139" s="6">
        <f t="shared" si="110"/>
        <v>3.5786689372499882</v>
      </c>
      <c r="BH139" s="6">
        <f t="shared" si="111"/>
        <v>3.1234537864112237</v>
      </c>
      <c r="BI139" s="6">
        <f t="shared" si="112"/>
        <v>3.1234537864112237</v>
      </c>
      <c r="BJ139">
        <v>131.4652515120998</v>
      </c>
      <c r="BK139">
        <v>-42.60754372412206</v>
      </c>
      <c r="BV139" s="38"/>
      <c r="BW139" s="6">
        <f t="shared" si="83"/>
        <v>2.164208272472969</v>
      </c>
      <c r="BX139" s="9">
        <f t="shared" ca="1" si="84"/>
        <v>-7.4693175533718943</v>
      </c>
      <c r="BY139" s="9">
        <f t="shared" ca="1" si="85"/>
        <v>3.7201059018243114</v>
      </c>
      <c r="BZ139" s="9">
        <f t="shared" ca="1" si="86"/>
        <v>118.40520020072583</v>
      </c>
      <c r="CA139" s="6">
        <f t="shared" ca="1" si="87"/>
        <v>-38.238066682874923</v>
      </c>
      <c r="CB139" s="6">
        <f t="shared" ca="1" si="88"/>
        <v>-0.31236980085227634</v>
      </c>
      <c r="CC139" s="6">
        <f t="shared" ca="1" si="89"/>
        <v>-1.8023785135176664E-3</v>
      </c>
      <c r="CD139" s="9">
        <f t="shared" si="90"/>
        <v>130.60520020072582</v>
      </c>
      <c r="CE139" s="9">
        <f t="shared" si="91"/>
        <v>-42.438066682874926</v>
      </c>
      <c r="CF139" s="6">
        <f t="shared" si="92"/>
        <v>-0.314172179365794</v>
      </c>
      <c r="CG139" s="6"/>
      <c r="CH139" s="6"/>
      <c r="CI139" s="6"/>
      <c r="CJ139" s="1"/>
      <c r="CK139" s="6"/>
    </row>
    <row r="140" spans="1:89" ht="18" x14ac:dyDescent="0.35">
      <c r="A140" t="s">
        <v>160</v>
      </c>
      <c r="BC140">
        <v>2.4085543677521724</v>
      </c>
      <c r="BD140">
        <v>118.31117160980828</v>
      </c>
      <c r="BE140">
        <v>-38.353404625462737</v>
      </c>
      <c r="BF140" s="6">
        <f t="shared" si="109"/>
        <v>5.9697006867130806</v>
      </c>
      <c r="BG140" s="6">
        <f t="shared" si="110"/>
        <v>3.5611463189609083</v>
      </c>
      <c r="BH140" s="6">
        <f t="shared" si="111"/>
        <v>3.1235231121803606</v>
      </c>
      <c r="BI140" s="6">
        <f t="shared" si="112"/>
        <v>3.1235231121803606</v>
      </c>
      <c r="BJ140">
        <v>131.45685734423142</v>
      </c>
      <c r="BK140">
        <v>-42.614894028291928</v>
      </c>
      <c r="BV140" s="38"/>
      <c r="BW140" s="6">
        <f t="shared" si="83"/>
        <v>2.1816615649929121</v>
      </c>
      <c r="BX140" s="9">
        <f t="shared" ca="1" si="84"/>
        <v>-7.4760099101521007</v>
      </c>
      <c r="BY140" s="9">
        <f t="shared" ca="1" si="85"/>
        <v>3.7093846478932235</v>
      </c>
      <c r="BZ140" s="9">
        <f t="shared" ca="1" si="86"/>
        <v>118.39850784394562</v>
      </c>
      <c r="CA140" s="6">
        <f t="shared" ca="1" si="87"/>
        <v>-38.248787936806011</v>
      </c>
      <c r="CB140" s="6">
        <f t="shared" ca="1" si="88"/>
        <v>-0.31246832807584368</v>
      </c>
      <c r="CC140" s="6">
        <f t="shared" ca="1" si="89"/>
        <v>-1.7931627973036823E-3</v>
      </c>
      <c r="CD140" s="9">
        <f t="shared" si="90"/>
        <v>130.59850784394561</v>
      </c>
      <c r="CE140" s="9">
        <f t="shared" si="91"/>
        <v>-42.448787936806013</v>
      </c>
      <c r="CF140" s="6">
        <f t="shared" si="92"/>
        <v>-0.31426149087314736</v>
      </c>
      <c r="CG140" s="6"/>
      <c r="CH140" s="6"/>
      <c r="CI140" s="6"/>
      <c r="CJ140" s="1"/>
      <c r="CK140" s="6"/>
    </row>
    <row r="141" spans="1:89" ht="18.75" x14ac:dyDescent="0.35">
      <c r="A141" t="s">
        <v>161</v>
      </c>
      <c r="B141" t="s">
        <v>162</v>
      </c>
      <c r="BC141">
        <v>2.4260076602721155</v>
      </c>
      <c r="BD141">
        <v>118.30334389634558</v>
      </c>
      <c r="BE141">
        <v>-38.359915142242428</v>
      </c>
      <c r="BF141" s="6">
        <f t="shared" si="109"/>
        <v>5.9696314794877248</v>
      </c>
      <c r="BG141" s="6">
        <f t="shared" si="110"/>
        <v>3.5436238192156093</v>
      </c>
      <c r="BH141" s="6">
        <f t="shared" si="111"/>
        <v>3.1235923194057165</v>
      </c>
      <c r="BI141" s="6">
        <f t="shared" si="112"/>
        <v>3.1235923194057165</v>
      </c>
      <c r="BJ141">
        <v>131.44815988482841</v>
      </c>
      <c r="BK141">
        <v>-42.622127935824921</v>
      </c>
      <c r="BV141" s="38"/>
      <c r="BW141" s="6">
        <f t="shared" si="83"/>
        <v>2.1991148575128552</v>
      </c>
      <c r="BX141" s="9">
        <f t="shared" ca="1" si="84"/>
        <v>-7.4825591491456294</v>
      </c>
      <c r="BY141" s="9">
        <f t="shared" ca="1" si="85"/>
        <v>3.6992017891804778</v>
      </c>
      <c r="BZ141" s="9">
        <f t="shared" ca="1" si="86"/>
        <v>118.39195860495209</v>
      </c>
      <c r="CA141" s="6">
        <f t="shared" ca="1" si="87"/>
        <v>-38.258970795518756</v>
      </c>
      <c r="CB141" s="6">
        <f t="shared" ca="1" si="88"/>
        <v>-0.31256238888793686</v>
      </c>
      <c r="CC141" s="6">
        <f t="shared" ca="1" si="89"/>
        <v>-1.7843666249958701E-3</v>
      </c>
      <c r="CD141" s="9">
        <f t="shared" si="90"/>
        <v>130.59195860495208</v>
      </c>
      <c r="CE141" s="9">
        <f t="shared" si="91"/>
        <v>-42.458970795518759</v>
      </c>
      <c r="CF141" s="6">
        <f t="shared" si="92"/>
        <v>-0.31434675551293273</v>
      </c>
      <c r="CG141" s="6"/>
      <c r="CH141" s="6"/>
      <c r="CI141" s="6"/>
      <c r="CJ141" s="1"/>
      <c r="CK141" s="6"/>
    </row>
    <row r="142" spans="1:89" x14ac:dyDescent="0.25">
      <c r="BC142">
        <v>2.4434609527920585</v>
      </c>
      <c r="BD142">
        <v>118.29521258650905</v>
      </c>
      <c r="BE142">
        <v>-38.36634967421989</v>
      </c>
      <c r="BF142" s="6">
        <f t="shared" si="109"/>
        <v>5.9695620942659673</v>
      </c>
      <c r="BG142" s="6">
        <f t="shared" si="110"/>
        <v>3.5261011414739087</v>
      </c>
      <c r="BH142" s="6">
        <f t="shared" si="111"/>
        <v>3.1236617046274739</v>
      </c>
      <c r="BI142" s="6">
        <f t="shared" si="112"/>
        <v>3.1236617046274739</v>
      </c>
      <c r="BJ142">
        <v>131.43912509612116</v>
      </c>
      <c r="BK142">
        <v>-42.629277415799876</v>
      </c>
      <c r="BV142" s="38"/>
      <c r="BW142" s="6">
        <f t="shared" si="83"/>
        <v>2.2165681500327983</v>
      </c>
      <c r="BX142" s="9">
        <f t="shared" ca="1" si="84"/>
        <v>-7.4890106056870991</v>
      </c>
      <c r="BY142" s="9">
        <f t="shared" ca="1" si="85"/>
        <v>3.689509673921215</v>
      </c>
      <c r="BZ142" s="9">
        <f t="shared" ca="1" si="86"/>
        <v>118.38550714841062</v>
      </c>
      <c r="CA142" s="6">
        <f t="shared" ca="1" si="87"/>
        <v>-38.268662910778019</v>
      </c>
      <c r="CB142" s="6">
        <f t="shared" ca="1" si="88"/>
        <v>-0.31265245952984388</v>
      </c>
      <c r="CC142" s="6">
        <f t="shared" ca="1" si="89"/>
        <v>-1.7759456494652603E-3</v>
      </c>
      <c r="CD142" s="9">
        <f t="shared" si="90"/>
        <v>130.58550714841061</v>
      </c>
      <c r="CE142" s="9">
        <f t="shared" si="91"/>
        <v>-42.468662910778022</v>
      </c>
      <c r="CF142" s="6">
        <f t="shared" si="92"/>
        <v>-0.31442840517930915</v>
      </c>
      <c r="CG142" s="6"/>
      <c r="CH142" s="6"/>
      <c r="CI142" s="6"/>
      <c r="CJ142" s="1"/>
      <c r="CK142" s="6"/>
    </row>
    <row r="143" spans="1:89" x14ac:dyDescent="0.25">
      <c r="A143" t="s">
        <v>163</v>
      </c>
      <c r="B143" s="3">
        <f>B2*1000</f>
        <v>5000</v>
      </c>
      <c r="C143" t="s">
        <v>164</v>
      </c>
      <c r="BC143">
        <v>2.4609142453120016</v>
      </c>
      <c r="BD143">
        <v>118.28674535531124</v>
      </c>
      <c r="BE143">
        <v>-38.372738267078077</v>
      </c>
      <c r="BF143" s="6">
        <f t="shared" si="109"/>
        <v>5.969492220469145</v>
      </c>
      <c r="BG143" s="6">
        <f t="shared" si="110"/>
        <v>3.5085779751571433</v>
      </c>
      <c r="BH143" s="6">
        <f t="shared" si="111"/>
        <v>3.1237315784242963</v>
      </c>
      <c r="BI143" s="6">
        <f t="shared" si="112"/>
        <v>3.1237315784242963</v>
      </c>
      <c r="BJ143">
        <v>131.42971706145693</v>
      </c>
      <c r="BK143">
        <v>-42.636375852308973</v>
      </c>
      <c r="BV143" s="38"/>
      <c r="BW143" s="6">
        <f t="shared" si="83"/>
        <v>2.2340214425527414</v>
      </c>
      <c r="BX143" s="9">
        <f t="shared" ca="1" si="84"/>
        <v>-7.495405032307815</v>
      </c>
      <c r="BY143" s="9">
        <f t="shared" ca="1" si="85"/>
        <v>3.6802648050303759</v>
      </c>
      <c r="BZ143" s="9">
        <f t="shared" ca="1" si="86"/>
        <v>118.37911272178991</v>
      </c>
      <c r="CA143" s="6">
        <f t="shared" ca="1" si="87"/>
        <v>-38.277907779668858</v>
      </c>
      <c r="CB143" s="6">
        <f t="shared" ca="1" si="88"/>
        <v>-0.31273897325743716</v>
      </c>
      <c r="CC143" s="6">
        <f t="shared" ca="1" si="89"/>
        <v>-1.7678595114462015E-3</v>
      </c>
      <c r="CD143" s="9">
        <f t="shared" si="90"/>
        <v>130.5791127217899</v>
      </c>
      <c r="CE143" s="9">
        <f t="shared" si="91"/>
        <v>-42.477907779668861</v>
      </c>
      <c r="CF143" s="6">
        <f t="shared" si="92"/>
        <v>-0.31450683276888336</v>
      </c>
      <c r="CG143" s="6"/>
      <c r="CH143" s="6"/>
      <c r="CI143" s="6"/>
      <c r="CJ143" s="1"/>
      <c r="CK143" s="6"/>
    </row>
    <row r="144" spans="1:89" x14ac:dyDescent="0.25">
      <c r="A144" t="s">
        <v>2</v>
      </c>
      <c r="B144" s="3">
        <f>B3*1000</f>
        <v>4074280.688047891</v>
      </c>
      <c r="C144" t="s">
        <v>164</v>
      </c>
      <c r="BC144">
        <v>2.4783675378319447</v>
      </c>
      <c r="BD144">
        <v>118.27790777959268</v>
      </c>
      <c r="BE144">
        <v>-38.379112721522496</v>
      </c>
      <c r="BF144" s="6">
        <f t="shared" si="109"/>
        <v>5.9694215287709902</v>
      </c>
      <c r="BG144" s="6">
        <f t="shared" si="110"/>
        <v>3.4910539909390454</v>
      </c>
      <c r="BH144" s="6">
        <f t="shared" si="111"/>
        <v>3.123802270122451</v>
      </c>
      <c r="BI144" s="6">
        <f t="shared" si="112"/>
        <v>3.123802270122451</v>
      </c>
      <c r="BJ144">
        <v>131.41989753288075</v>
      </c>
      <c r="BK144">
        <v>-42.643458579469439</v>
      </c>
      <c r="BV144" s="38"/>
      <c r="BW144" s="6">
        <f t="shared" ref="BW144:BW207" si="113">BC131</f>
        <v>2.2514747350726845</v>
      </c>
      <c r="BX144" s="9">
        <f t="shared" ref="BX144:BX207" ca="1" si="114">BD131-$BW$5</f>
        <v>-7.5017794868759324</v>
      </c>
      <c r="BY144" s="9">
        <f t="shared" ref="BY144:BY207" ca="1" si="115">BE131-$BX$5</f>
        <v>3.671427229004351</v>
      </c>
      <c r="BZ144" s="9">
        <f t="shared" ref="BZ144:BZ207" ca="1" si="116">BX144-$CE$5</f>
        <v>118.37273826722179</v>
      </c>
      <c r="CA144" s="6">
        <f t="shared" ref="CA144:CA207" ca="1" si="117">BY144-$CF$5</f>
        <v>-38.286745355694883</v>
      </c>
      <c r="CB144" s="6">
        <f t="shared" ref="CB144:CB207" ca="1" si="118">ATAN2(BZ144,CA144)</f>
        <v>-0.31282232718959829</v>
      </c>
      <c r="CC144" s="6">
        <f t="shared" ref="CC144:CC207" ca="1" si="119">ATAN2(COS(CF144-CB144),SIN(CF144-CB144))</f>
        <v>-1.7600712065087287E-3</v>
      </c>
      <c r="CD144" s="9">
        <f t="shared" ref="CD144:CD207" si="120">BD131-$BW$6</f>
        <v>130.57273826722178</v>
      </c>
      <c r="CE144" s="9">
        <f t="shared" ref="CE144:CE207" si="121">BE131-$BX$6</f>
        <v>-42.486745355694886</v>
      </c>
      <c r="CF144" s="6">
        <f t="shared" ref="CF144:CF207" si="122">ATAN2(CD144,CE144)</f>
        <v>-0.31458239839610702</v>
      </c>
      <c r="CG144" s="6"/>
      <c r="CH144" s="6"/>
      <c r="CI144" s="6"/>
      <c r="CJ144" s="1"/>
      <c r="CK144" s="6"/>
    </row>
    <row r="145" spans="1:89" ht="18" x14ac:dyDescent="0.35">
      <c r="A145" t="s">
        <v>156</v>
      </c>
      <c r="B145" s="1">
        <f>(2*0.85*B143)/B144</f>
        <v>2.0862578331765852E-3</v>
      </c>
      <c r="C145" t="s">
        <v>165</v>
      </c>
      <c r="BC145">
        <v>2.4958208303518878</v>
      </c>
      <c r="BD145">
        <v>118.26866291005177</v>
      </c>
      <c r="BE145">
        <v>-38.38550714761228</v>
      </c>
      <c r="BF145" s="6">
        <f t="shared" si="109"/>
        <v>5.9693496657756979</v>
      </c>
      <c r="BG145" s="6">
        <f t="shared" si="110"/>
        <v>3.4735288354238101</v>
      </c>
      <c r="BH145" s="6">
        <f t="shared" si="111"/>
        <v>3.1238741331177433</v>
      </c>
      <c r="BI145" s="6">
        <f t="shared" si="112"/>
        <v>3.1238741331177433</v>
      </c>
      <c r="BJ145">
        <v>131.40962545561308</v>
      </c>
      <c r="BK145">
        <v>-42.65056349734698</v>
      </c>
      <c r="BV145" s="38"/>
      <c r="BW145" s="6">
        <f t="shared" si="113"/>
        <v>2.2689280275926276</v>
      </c>
      <c r="BX145" s="9">
        <f t="shared" ca="1" si="114"/>
        <v>-7.5081680797609209</v>
      </c>
      <c r="BY145" s="9">
        <f t="shared" ca="1" si="115"/>
        <v>3.662959997643469</v>
      </c>
      <c r="BZ145" s="9">
        <f t="shared" ca="1" si="116"/>
        <v>118.3663496743368</v>
      </c>
      <c r="CA145" s="6">
        <f t="shared" ca="1" si="117"/>
        <v>-38.295212587055765</v>
      </c>
      <c r="CB145" s="6">
        <f t="shared" ca="1" si="118"/>
        <v>-0.31290288825711537</v>
      </c>
      <c r="CC145" s="6">
        <f t="shared" ca="1" si="119"/>
        <v>-1.7525465345720195E-3</v>
      </c>
      <c r="CD145" s="9">
        <f t="shared" si="120"/>
        <v>130.56634967433681</v>
      </c>
      <c r="CE145" s="9">
        <f t="shared" si="121"/>
        <v>-42.495212587055768</v>
      </c>
      <c r="CF145" s="6">
        <f t="shared" si="122"/>
        <v>-0.31465543479168739</v>
      </c>
      <c r="CG145" s="6"/>
      <c r="CH145" s="6"/>
      <c r="CI145" s="6"/>
      <c r="CJ145" s="1"/>
      <c r="CK145" s="6"/>
    </row>
    <row r="146" spans="1:89" ht="18" x14ac:dyDescent="0.35">
      <c r="A146" t="s">
        <v>166</v>
      </c>
      <c r="B146" s="1">
        <v>3.0000000000000001E-3</v>
      </c>
      <c r="C146" t="s">
        <v>165</v>
      </c>
      <c r="BC146">
        <v>2.5132741228718309</v>
      </c>
      <c r="BD146">
        <v>118.25897079550512</v>
      </c>
      <c r="BE146">
        <v>-38.391958604352148</v>
      </c>
      <c r="BF146" s="6">
        <f t="shared" si="109"/>
        <v>5.9692762479202113</v>
      </c>
      <c r="BG146" s="6">
        <f t="shared" si="110"/>
        <v>3.4560021250483803</v>
      </c>
      <c r="BH146" s="6">
        <f t="shared" si="111"/>
        <v>3.12394755097323</v>
      </c>
      <c r="BI146" s="6">
        <f t="shared" si="112"/>
        <v>3.12394755097323</v>
      </c>
      <c r="BJ146">
        <v>131.39885643945013</v>
      </c>
      <c r="BK146">
        <v>-42.657731782613496</v>
      </c>
      <c r="BV146" s="38"/>
      <c r="BW146" s="6">
        <f t="shared" si="113"/>
        <v>2.2863813201125707</v>
      </c>
      <c r="BX146" s="9">
        <f t="shared" ca="1" si="114"/>
        <v>-7.514602612270167</v>
      </c>
      <c r="BY146" s="9">
        <f t="shared" ca="1" si="115"/>
        <v>3.6548286890429367</v>
      </c>
      <c r="BZ146" s="9">
        <f t="shared" ca="1" si="116"/>
        <v>118.35991514182756</v>
      </c>
      <c r="CA146" s="6">
        <f t="shared" ca="1" si="117"/>
        <v>-38.303343895656297</v>
      </c>
      <c r="CB146" s="6">
        <f t="shared" ca="1" si="118"/>
        <v>-0.31298099843411309</v>
      </c>
      <c r="CC146" s="6">
        <f t="shared" ca="1" si="119"/>
        <v>-1.7452536153131359E-3</v>
      </c>
      <c r="CD146" s="9">
        <f t="shared" si="120"/>
        <v>130.55991514182756</v>
      </c>
      <c r="CE146" s="9">
        <f t="shared" si="121"/>
        <v>-42.5033438956563</v>
      </c>
      <c r="CF146" s="6">
        <f t="shared" si="122"/>
        <v>-0.31472625204942623</v>
      </c>
      <c r="CG146" s="6"/>
      <c r="CH146" s="6"/>
      <c r="CI146" s="6"/>
      <c r="CJ146" s="1"/>
      <c r="CK146" s="6"/>
    </row>
    <row r="147" spans="1:89" ht="18" x14ac:dyDescent="0.35">
      <c r="A147" t="s">
        <v>167</v>
      </c>
      <c r="B147" s="1">
        <f>B146/B145</f>
        <v>1.4379814193110203</v>
      </c>
      <c r="C147" t="s">
        <v>168</v>
      </c>
      <c r="BC147">
        <v>2.530727415391774</v>
      </c>
      <c r="BD147">
        <v>118.24878793608818</v>
      </c>
      <c r="BE147">
        <v>-38.398507843625055</v>
      </c>
      <c r="BF147" s="6">
        <f t="shared" si="109"/>
        <v>5.9692008543957407</v>
      </c>
      <c r="BG147" s="6">
        <f t="shared" si="110"/>
        <v>3.4384734390039666</v>
      </c>
      <c r="BH147" s="6">
        <f t="shared" si="111"/>
        <v>3.1240229444977006</v>
      </c>
      <c r="BI147" s="6">
        <f t="shared" si="112"/>
        <v>3.1240229444977006</v>
      </c>
      <c r="BJ147">
        <v>131.38754215120909</v>
      </c>
      <c r="BK147">
        <v>-42.665008715138946</v>
      </c>
      <c r="BV147" s="38"/>
      <c r="BW147" s="6">
        <f t="shared" si="113"/>
        <v>2.3038346126325138</v>
      </c>
      <c r="BX147" s="9">
        <f t="shared" ca="1" si="114"/>
        <v>-7.5211131287202448</v>
      </c>
      <c r="BY147" s="9">
        <f t="shared" ca="1" si="115"/>
        <v>3.6470009748567946</v>
      </c>
      <c r="BZ147" s="9">
        <f t="shared" ca="1" si="116"/>
        <v>118.35340462537748</v>
      </c>
      <c r="CA147" s="6">
        <f t="shared" ca="1" si="117"/>
        <v>-38.31117160984244</v>
      </c>
      <c r="CB147" s="6">
        <f t="shared" ca="1" si="118"/>
        <v>-0.31305697940575422</v>
      </c>
      <c r="CC147" s="6">
        <f t="shared" ca="1" si="119"/>
        <v>-1.7381624553333141E-3</v>
      </c>
      <c r="CD147" s="9">
        <f t="shared" si="120"/>
        <v>130.55340462537748</v>
      </c>
      <c r="CE147" s="9">
        <f t="shared" si="121"/>
        <v>-42.511171609842442</v>
      </c>
      <c r="CF147" s="6">
        <f t="shared" si="122"/>
        <v>-0.31479514186108754</v>
      </c>
      <c r="CG147" s="6"/>
      <c r="CH147" s="6"/>
      <c r="CI147" s="6"/>
      <c r="CJ147" s="1"/>
      <c r="CK147" s="6"/>
    </row>
    <row r="148" spans="1:89" ht="18" x14ac:dyDescent="0.35">
      <c r="A148" t="s">
        <v>169</v>
      </c>
      <c r="B148" s="6">
        <f>G38</f>
        <v>12.316596161463188</v>
      </c>
      <c r="C148" t="s">
        <v>4</v>
      </c>
      <c r="BC148">
        <v>2.5481807079117171</v>
      </c>
      <c r="BD148">
        <v>118.23806668287527</v>
      </c>
      <c r="BE148">
        <v>-38.405200200746343</v>
      </c>
      <c r="BF148" s="6">
        <f t="shared" si="109"/>
        <v>5.9691230188069495</v>
      </c>
      <c r="BG148" s="6">
        <f t="shared" si="110"/>
        <v>3.4209423108952324</v>
      </c>
      <c r="BH148" s="6">
        <f t="shared" si="111"/>
        <v>3.1241007800864917</v>
      </c>
      <c r="BI148" s="6">
        <f t="shared" si="112"/>
        <v>3.1241007800864917</v>
      </c>
      <c r="BJ148">
        <v>131.37562964763919</v>
      </c>
      <c r="BK148">
        <v>-42.672444667495938</v>
      </c>
      <c r="BV148" s="38"/>
      <c r="BW148" s="6">
        <f t="shared" si="113"/>
        <v>2.3212879051524569</v>
      </c>
      <c r="BX148" s="9">
        <f t="shared" ca="1" si="114"/>
        <v>-7.5277284020972388</v>
      </c>
      <c r="BY148" s="9">
        <f t="shared" ca="1" si="115"/>
        <v>3.6394462233580072</v>
      </c>
      <c r="BZ148" s="9">
        <f t="shared" ca="1" si="116"/>
        <v>118.34678935200048</v>
      </c>
      <c r="CA148" s="6">
        <f t="shared" ca="1" si="117"/>
        <v>-38.318726361341227</v>
      </c>
      <c r="CB148" s="6">
        <f t="shared" ca="1" si="118"/>
        <v>-0.31313113680101379</v>
      </c>
      <c r="CC148" s="6">
        <f t="shared" ca="1" si="119"/>
        <v>-1.7312445552422619E-3</v>
      </c>
      <c r="CD148" s="9">
        <f t="shared" si="120"/>
        <v>130.54678935200047</v>
      </c>
      <c r="CE148" s="9">
        <f t="shared" si="121"/>
        <v>-42.51872636134123</v>
      </c>
      <c r="CF148" s="6">
        <f t="shared" si="122"/>
        <v>-0.31486238135625605</v>
      </c>
      <c r="CG148" s="6"/>
      <c r="CH148" s="6"/>
      <c r="CI148" s="6"/>
      <c r="CJ148" s="1"/>
      <c r="CK148" s="6"/>
    </row>
    <row r="149" spans="1:89" x14ac:dyDescent="0.25">
      <c r="B149" s="1"/>
      <c r="BC149">
        <v>2.5656340004316602</v>
      </c>
      <c r="BD149">
        <v>118.22675452213223</v>
      </c>
      <c r="BE149">
        <v>-38.412086650729584</v>
      </c>
      <c r="BF149" s="6">
        <f t="shared" si="109"/>
        <v>5.9690422192673305</v>
      </c>
      <c r="BG149" s="6">
        <f t="shared" si="110"/>
        <v>3.4034082188356702</v>
      </c>
      <c r="BH149" s="6">
        <f t="shared" si="111"/>
        <v>3.1241815796261108</v>
      </c>
      <c r="BI149" s="6">
        <f t="shared" si="112"/>
        <v>3.1241815796261108</v>
      </c>
      <c r="BJ149">
        <v>131.36306058014691</v>
      </c>
      <c r="BK149">
        <v>-42.680096278588429</v>
      </c>
      <c r="BV149" s="38"/>
      <c r="BW149" s="6">
        <f t="shared" si="113"/>
        <v>2.3387411976724</v>
      </c>
      <c r="BX149" s="9">
        <f t="shared" ca="1" si="114"/>
        <v>-7.5344763690957848</v>
      </c>
      <c r="BY149" s="9">
        <f t="shared" ca="1" si="115"/>
        <v>3.6321351286814192</v>
      </c>
      <c r="BZ149" s="9">
        <f t="shared" ca="1" si="116"/>
        <v>118.34004138500194</v>
      </c>
      <c r="CA149" s="6">
        <f t="shared" ca="1" si="117"/>
        <v>-38.326037456017815</v>
      </c>
      <c r="CB149" s="6">
        <f t="shared" ca="1" si="118"/>
        <v>-0.31320376410263884</v>
      </c>
      <c r="CC149" s="6">
        <f t="shared" ca="1" si="119"/>
        <v>-1.7244725463250732E-3</v>
      </c>
      <c r="CD149" s="9">
        <f t="shared" si="120"/>
        <v>130.54004138500193</v>
      </c>
      <c r="CE149" s="9">
        <f t="shared" si="121"/>
        <v>-42.526037456017818</v>
      </c>
      <c r="CF149" s="6">
        <f t="shared" si="122"/>
        <v>-0.31492823664896391</v>
      </c>
      <c r="CG149" s="6"/>
      <c r="CH149" s="6"/>
      <c r="CI149" s="6"/>
      <c r="CJ149" s="1"/>
      <c r="CK149" s="6"/>
    </row>
    <row r="150" spans="1:89" x14ac:dyDescent="0.25">
      <c r="A150" t="s">
        <v>170</v>
      </c>
      <c r="B150" s="50">
        <f>B28</f>
        <v>0.70945072804916642</v>
      </c>
      <c r="C150" t="s">
        <v>4</v>
      </c>
      <c r="D150" t="s">
        <v>171</v>
      </c>
      <c r="BC150">
        <v>2.5830872929516033</v>
      </c>
      <c r="BD150">
        <v>118.21479326620494</v>
      </c>
      <c r="BE150">
        <v>-38.419225094916918</v>
      </c>
      <c r="BF150" s="6">
        <f t="shared" si="109"/>
        <v>5.9689578664881831</v>
      </c>
      <c r="BG150" s="6">
        <f t="shared" si="110"/>
        <v>3.3858705735365797</v>
      </c>
      <c r="BH150" s="6">
        <f t="shared" si="111"/>
        <v>3.1242659324052582</v>
      </c>
      <c r="BI150" s="6">
        <f t="shared" si="112"/>
        <v>3.1242659324052582</v>
      </c>
      <c r="BJ150">
        <v>131.34977029578326</v>
      </c>
      <c r="BK150">
        <v>-42.68802788324102</v>
      </c>
      <c r="BV150" s="38"/>
      <c r="BW150" s="6">
        <f t="shared" si="113"/>
        <v>2.3561944901923431</v>
      </c>
      <c r="BX150" s="9">
        <f t="shared" ca="1" si="114"/>
        <v>-7.5413845266402859</v>
      </c>
      <c r="BY150" s="9">
        <f t="shared" ca="1" si="115"/>
        <v>3.6250393569900154</v>
      </c>
      <c r="BZ150" s="9">
        <f t="shared" ca="1" si="116"/>
        <v>118.33313322745744</v>
      </c>
      <c r="CA150" s="6">
        <f t="shared" ca="1" si="117"/>
        <v>-38.333133227709219</v>
      </c>
      <c r="CB150" s="6">
        <f t="shared" ca="1" si="118"/>
        <v>-0.3132751463347529</v>
      </c>
      <c r="CC150" s="6">
        <f t="shared" ca="1" si="119"/>
        <v>-1.7178198474883109E-3</v>
      </c>
      <c r="CD150" s="9">
        <f t="shared" si="120"/>
        <v>130.53313322745743</v>
      </c>
      <c r="CE150" s="9">
        <f t="shared" si="121"/>
        <v>-42.533133227709222</v>
      </c>
      <c r="CF150" s="6">
        <f t="shared" si="122"/>
        <v>-0.31499296618224121</v>
      </c>
      <c r="CG150" s="6"/>
      <c r="CH150" s="6"/>
      <c r="CI150" s="6"/>
      <c r="CJ150" s="1"/>
      <c r="CK150" s="6"/>
    </row>
    <row r="151" spans="1:89" ht="18" x14ac:dyDescent="0.35">
      <c r="A151" t="s">
        <v>172</v>
      </c>
      <c r="B151" s="1">
        <f>(((B145/B146)*B150)-B150)*-1</f>
        <v>0.21608501516736489</v>
      </c>
      <c r="C151" t="s">
        <v>4</v>
      </c>
      <c r="D151" t="s">
        <v>173</v>
      </c>
      <c r="BC151">
        <v>2.6005405854715464</v>
      </c>
      <c r="BD151">
        <v>118.20211809645188</v>
      </c>
      <c r="BE151">
        <v>-38.426681927165731</v>
      </c>
      <c r="BF151" s="6">
        <f t="shared" si="109"/>
        <v>5.9688692893458217</v>
      </c>
      <c r="BG151" s="6">
        <f t="shared" si="110"/>
        <v>3.3683287038742753</v>
      </c>
      <c r="BH151" s="6">
        <f t="shared" si="111"/>
        <v>3.1243545095476195</v>
      </c>
      <c r="BI151" s="6">
        <f t="shared" si="112"/>
        <v>3.1243545095476195</v>
      </c>
      <c r="BJ151">
        <v>131.33568677383542</v>
      </c>
      <c r="BK151">
        <v>-42.69631325240637</v>
      </c>
      <c r="BV151" s="38"/>
      <c r="BW151" s="6">
        <f t="shared" si="113"/>
        <v>2.3736477827122862</v>
      </c>
      <c r="BX151" s="9">
        <f t="shared" ca="1" si="114"/>
        <v>-7.548480298179939</v>
      </c>
      <c r="BY151" s="9">
        <f t="shared" ca="1" si="115"/>
        <v>3.6181311999787411</v>
      </c>
      <c r="BZ151" s="9">
        <f t="shared" ca="1" si="116"/>
        <v>118.32603745591778</v>
      </c>
      <c r="CA151" s="6">
        <f t="shared" ca="1" si="117"/>
        <v>-38.340041384720493</v>
      </c>
      <c r="CB151" s="6">
        <f t="shared" ca="1" si="118"/>
        <v>-0.31334556362175148</v>
      </c>
      <c r="CC151" s="6">
        <f t="shared" ca="1" si="119"/>
        <v>-1.7112603337689494E-3</v>
      </c>
      <c r="CD151" s="9">
        <f t="shared" si="120"/>
        <v>130.52603745591779</v>
      </c>
      <c r="CE151" s="9">
        <f t="shared" si="121"/>
        <v>-42.540041384720496</v>
      </c>
      <c r="CF151" s="6">
        <f t="shared" si="122"/>
        <v>-0.31505682395552043</v>
      </c>
      <c r="CG151" s="6"/>
      <c r="CH151" s="6"/>
      <c r="CI151" s="6"/>
      <c r="CJ151" s="1"/>
      <c r="CK151" s="6"/>
    </row>
    <row r="152" spans="1:89" x14ac:dyDescent="0.25">
      <c r="A152" t="s">
        <v>174</v>
      </c>
      <c r="B152" s="1">
        <f>B148-B151</f>
        <v>12.100511146295823</v>
      </c>
      <c r="C152" t="s">
        <v>4</v>
      </c>
      <c r="D152" t="s">
        <v>175</v>
      </c>
      <c r="BC152">
        <v>2.6179938779914895</v>
      </c>
      <c r="BD152">
        <v>118.18865643052588</v>
      </c>
      <c r="BE152">
        <v>-38.434533960332239</v>
      </c>
      <c r="BF152" s="6">
        <f t="shared" si="109"/>
        <v>5.9687757172359301</v>
      </c>
      <c r="BG152" s="6">
        <f t="shared" si="110"/>
        <v>3.3507818392444406</v>
      </c>
      <c r="BH152" s="6">
        <f t="shared" si="111"/>
        <v>3.1244480816575111</v>
      </c>
      <c r="BI152" s="6">
        <f t="shared" si="112"/>
        <v>3.1244480816575111</v>
      </c>
      <c r="BJ152">
        <v>131.32072936725098</v>
      </c>
      <c r="BK152">
        <v>-42.70503773370249</v>
      </c>
      <c r="BV152" s="38"/>
      <c r="BW152" s="6">
        <f t="shared" si="113"/>
        <v>2.3911010752322293</v>
      </c>
      <c r="BX152" s="9">
        <f t="shared" ca="1" si="114"/>
        <v>-7.5557913932078975</v>
      </c>
      <c r="BY152" s="9">
        <f t="shared" ca="1" si="115"/>
        <v>3.6113832329893825</v>
      </c>
      <c r="BZ152" s="9">
        <f t="shared" ca="1" si="116"/>
        <v>118.31872636088983</v>
      </c>
      <c r="CA152" s="6">
        <f t="shared" ca="1" si="117"/>
        <v>-38.346789351709852</v>
      </c>
      <c r="CB152" s="6">
        <f t="shared" ca="1" si="118"/>
        <v>-0.31341529469736867</v>
      </c>
      <c r="CC152" s="6">
        <f t="shared" ca="1" si="119"/>
        <v>-1.7047680092664441E-3</v>
      </c>
      <c r="CD152" s="9">
        <f t="shared" si="120"/>
        <v>130.51872636088981</v>
      </c>
      <c r="CE152" s="9">
        <f t="shared" si="121"/>
        <v>-42.546789351709855</v>
      </c>
      <c r="CF152" s="6">
        <f t="shared" si="122"/>
        <v>-0.31512006270663512</v>
      </c>
      <c r="CG152" s="6"/>
      <c r="CH152" s="6"/>
      <c r="CI152" s="6"/>
      <c r="CJ152" s="1"/>
      <c r="CK152" s="6"/>
    </row>
    <row r="153" spans="1:89" x14ac:dyDescent="0.25">
      <c r="A153" t="s">
        <v>176</v>
      </c>
      <c r="B153" s="1">
        <f>B148-B150</f>
        <v>11.607145433414022</v>
      </c>
      <c r="C153" t="s">
        <v>4</v>
      </c>
      <c r="D153" t="s">
        <v>177</v>
      </c>
      <c r="BC153">
        <v>2.6354471705114326</v>
      </c>
      <c r="BD153">
        <v>118.17432658239136</v>
      </c>
      <c r="BE153">
        <v>-38.442870819929027</v>
      </c>
      <c r="BF153" s="6">
        <f t="shared" si="109"/>
        <v>5.9686762583127697</v>
      </c>
      <c r="BG153" s="6">
        <f t="shared" si="110"/>
        <v>3.3332290878013371</v>
      </c>
      <c r="BH153" s="6">
        <f t="shared" si="111"/>
        <v>3.1245475405806715</v>
      </c>
      <c r="BI153" s="6">
        <f t="shared" si="112"/>
        <v>3.1245475405806715</v>
      </c>
      <c r="BJ153">
        <v>131.30480731376818</v>
      </c>
      <c r="BK153">
        <v>-42.714300911032254</v>
      </c>
      <c r="BV153" s="38"/>
      <c r="BW153" s="6">
        <f t="shared" si="113"/>
        <v>2.4085543677521724</v>
      </c>
      <c r="BX153" s="9">
        <f t="shared" ca="1" si="114"/>
        <v>-7.5633461442894401</v>
      </c>
      <c r="BY153" s="9">
        <f t="shared" ca="1" si="115"/>
        <v>3.6047679592364972</v>
      </c>
      <c r="BZ153" s="9">
        <f t="shared" ca="1" si="116"/>
        <v>118.31117160980828</v>
      </c>
      <c r="CA153" s="6">
        <f t="shared" ca="1" si="117"/>
        <v>-38.353404625462737</v>
      </c>
      <c r="CB153" s="6">
        <f t="shared" ca="1" si="118"/>
        <v>-0.31348462046650533</v>
      </c>
      <c r="CC153" s="6">
        <f t="shared" ca="1" si="119"/>
        <v>-1.6983166745984102E-3</v>
      </c>
      <c r="CD153" s="9">
        <f t="shared" si="120"/>
        <v>130.51117160980829</v>
      </c>
      <c r="CE153" s="9">
        <f t="shared" si="121"/>
        <v>-42.55340462546274</v>
      </c>
      <c r="CF153" s="6">
        <f t="shared" si="122"/>
        <v>-0.31518293714110374</v>
      </c>
      <c r="CG153" s="6"/>
      <c r="CH153" s="6"/>
      <c r="CI153" s="6"/>
      <c r="CJ153" s="1"/>
      <c r="CK153" s="6"/>
    </row>
    <row r="154" spans="1:89" x14ac:dyDescent="0.25">
      <c r="BC154">
        <v>2.6529004630313757</v>
      </c>
      <c r="BD154">
        <v>118.1590361468472</v>
      </c>
      <c r="BE154">
        <v>-38.451797934643849</v>
      </c>
      <c r="BF154" s="6">
        <f t="shared" si="109"/>
        <v>5.9685698724433172</v>
      </c>
      <c r="BG154" s="6">
        <f t="shared" si="110"/>
        <v>3.3156694094119414</v>
      </c>
      <c r="BH154" s="6">
        <f t="shared" si="111"/>
        <v>3.1246539264501241</v>
      </c>
      <c r="BI154" s="6">
        <f t="shared" si="112"/>
        <v>3.1246539264501241</v>
      </c>
      <c r="BJ154">
        <v>131.28781794094132</v>
      </c>
      <c r="BK154">
        <v>-42.724219927382052</v>
      </c>
      <c r="BV154" s="38"/>
      <c r="BW154" s="6">
        <f t="shared" si="113"/>
        <v>2.4260076602721155</v>
      </c>
      <c r="BX154" s="9">
        <f t="shared" ca="1" si="114"/>
        <v>-7.571173857752143</v>
      </c>
      <c r="BY154" s="9">
        <f t="shared" ca="1" si="115"/>
        <v>3.5982574424568057</v>
      </c>
      <c r="BZ154" s="9">
        <f t="shared" ca="1" si="116"/>
        <v>118.30334389634558</v>
      </c>
      <c r="CA154" s="6">
        <f t="shared" ca="1" si="117"/>
        <v>-38.359915142242428</v>
      </c>
      <c r="CB154" s="6">
        <f t="shared" ca="1" si="118"/>
        <v>-0.31355382769186185</v>
      </c>
      <c r="CC154" s="6">
        <f t="shared" ca="1" si="119"/>
        <v>-1.6918795825365263E-3</v>
      </c>
      <c r="CD154" s="9">
        <f t="shared" si="120"/>
        <v>130.50334389634557</v>
      </c>
      <c r="CE154" s="9">
        <f t="shared" si="121"/>
        <v>-42.559915142242431</v>
      </c>
      <c r="CF154" s="6">
        <f t="shared" si="122"/>
        <v>-0.31524570727439838</v>
      </c>
      <c r="CG154" s="6"/>
      <c r="CH154" s="6"/>
      <c r="CI154" s="6"/>
      <c r="CJ154" s="1"/>
      <c r="CK154" s="6"/>
    </row>
    <row r="155" spans="1:89" x14ac:dyDescent="0.25">
      <c r="A155" t="s">
        <v>178</v>
      </c>
      <c r="BC155">
        <v>2.6703537555513188</v>
      </c>
      <c r="BD155">
        <v>118.14268006424635</v>
      </c>
      <c r="BE155">
        <v>-38.461440314281518</v>
      </c>
      <c r="BF155" s="6">
        <f t="shared" si="109"/>
        <v>5.9684553372972804</v>
      </c>
      <c r="BG155" s="6">
        <f t="shared" si="110"/>
        <v>3.2981015817459616</v>
      </c>
      <c r="BH155" s="6">
        <f t="shared" si="111"/>
        <v>3.1247684615961608</v>
      </c>
      <c r="BI155" s="6">
        <f t="shared" si="112"/>
        <v>3.1247684615961608</v>
      </c>
      <c r="BJ155">
        <v>131.26964451582927</v>
      </c>
      <c r="BK155">
        <v>-42.734933682535022</v>
      </c>
      <c r="BV155" s="38"/>
      <c r="BW155" s="6">
        <f t="shared" si="113"/>
        <v>2.4434609527920585</v>
      </c>
      <c r="BX155" s="9">
        <f t="shared" ca="1" si="114"/>
        <v>-7.5793051675886716</v>
      </c>
      <c r="BY155" s="9">
        <f t="shared" ca="1" si="115"/>
        <v>3.591822910479344</v>
      </c>
      <c r="BZ155" s="9">
        <f t="shared" ca="1" si="116"/>
        <v>118.29521258650905</v>
      </c>
      <c r="CA155" s="6">
        <f t="shared" ca="1" si="117"/>
        <v>-38.36634967421989</v>
      </c>
      <c r="CB155" s="6">
        <f t="shared" ca="1" si="118"/>
        <v>-0.31362321291361928</v>
      </c>
      <c r="CC155" s="6">
        <f t="shared" ca="1" si="119"/>
        <v>-1.6854290714339304E-3</v>
      </c>
      <c r="CD155" s="9">
        <f t="shared" si="120"/>
        <v>130.49521258650904</v>
      </c>
      <c r="CE155" s="9">
        <f t="shared" si="121"/>
        <v>-42.566349674219893</v>
      </c>
      <c r="CF155" s="6">
        <f t="shared" si="122"/>
        <v>-0.31530864198505321</v>
      </c>
      <c r="CG155" s="6"/>
      <c r="CH155" s="6"/>
      <c r="CI155" s="6"/>
      <c r="CJ155" s="1"/>
      <c r="CK155" s="6"/>
    </row>
    <row r="156" spans="1:89" x14ac:dyDescent="0.25">
      <c r="B156" t="str">
        <f>B48</f>
        <v>xi (in)</v>
      </c>
      <c r="C156" t="str">
        <f t="shared" ref="C156:E156" si="123">C48</f>
        <v>yi (in)</v>
      </c>
      <c r="D156" t="str">
        <f t="shared" si="123"/>
        <v>xj (in)</v>
      </c>
      <c r="E156" t="str">
        <f t="shared" si="123"/>
        <v>yj (in)</v>
      </c>
      <c r="F156" s="1" t="s">
        <v>184</v>
      </c>
      <c r="G156" s="1" t="s">
        <v>185</v>
      </c>
      <c r="H156" s="1" t="s">
        <v>179</v>
      </c>
      <c r="I156" s="1" t="s">
        <v>180</v>
      </c>
      <c r="J156" s="1" t="s">
        <v>181</v>
      </c>
      <c r="K156" s="1" t="s">
        <v>182</v>
      </c>
      <c r="M156" s="1" t="s">
        <v>99</v>
      </c>
      <c r="N156" s="1" t="s">
        <v>100</v>
      </c>
      <c r="O156" s="1" t="s">
        <v>101</v>
      </c>
      <c r="P156" t="s">
        <v>186</v>
      </c>
      <c r="AB156" t="s">
        <v>187</v>
      </c>
      <c r="AS156"/>
      <c r="AT156"/>
      <c r="AU156"/>
      <c r="AV156"/>
      <c r="AW156"/>
      <c r="AX156"/>
      <c r="AY156"/>
      <c r="AZ156"/>
      <c r="BA156"/>
      <c r="BB156"/>
      <c r="BC156">
        <v>2.6878070480712619</v>
      </c>
      <c r="BD156">
        <v>118.12513824553204</v>
      </c>
      <c r="BE156">
        <v>-38.471947346047337</v>
      </c>
      <c r="BF156" s="6">
        <f t="shared" ref="BF156:BF157" si="124">IF(BC156&lt;&gt;"",IF(AND(BD156=0,BE156=0),0,MOD(ATAN2(BD156,BE156),2*PI())),NA())</f>
        <v>5.9683312054931212</v>
      </c>
      <c r="BG156" s="6">
        <f t="shared" ref="BG156:BG157" si="125">ABS(BC156-BF156)</f>
        <v>3.2805241574218593</v>
      </c>
      <c r="BH156" s="6">
        <f t="shared" ref="BH156:BH157" si="126">ATAN2(COS($U$13-BF156),SIN($U$13-BF156))</f>
        <v>3.12489259340032</v>
      </c>
      <c r="BI156" s="6">
        <f t="shared" ref="BI156:BI157" si="127">ABS(BH156)</f>
        <v>3.12489259340032</v>
      </c>
      <c r="BJ156">
        <v>131.25015360614671</v>
      </c>
      <c r="BK156">
        <v>-42.746608162274818</v>
      </c>
      <c r="BV156" s="38"/>
      <c r="BW156" s="6">
        <f t="shared" si="113"/>
        <v>2.4609142453120016</v>
      </c>
      <c r="BX156" s="9">
        <f t="shared" ca="1" si="114"/>
        <v>-7.587772398786484</v>
      </c>
      <c r="BY156" s="9">
        <f t="shared" ca="1" si="115"/>
        <v>3.5854343176211572</v>
      </c>
      <c r="BZ156" s="9">
        <f t="shared" ca="1" si="116"/>
        <v>118.28674535531124</v>
      </c>
      <c r="CA156" s="6">
        <f t="shared" ca="1" si="117"/>
        <v>-38.372738267078077</v>
      </c>
      <c r="CB156" s="6">
        <f t="shared" ca="1" si="118"/>
        <v>-0.31369308671044094</v>
      </c>
      <c r="CC156" s="6">
        <f t="shared" ca="1" si="119"/>
        <v>-1.6789361662679079E-3</v>
      </c>
      <c r="CD156" s="9">
        <f t="shared" si="120"/>
        <v>130.48674535531123</v>
      </c>
      <c r="CE156" s="9">
        <f t="shared" si="121"/>
        <v>-42.57273826707808</v>
      </c>
      <c r="CF156" s="6">
        <f t="shared" si="122"/>
        <v>-0.31537202287670885</v>
      </c>
      <c r="CG156" s="6"/>
      <c r="CH156" s="6"/>
      <c r="CI156" s="6"/>
      <c r="CJ156" s="1"/>
      <c r="CK156" s="6"/>
    </row>
    <row r="157" spans="1:89" x14ac:dyDescent="0.25">
      <c r="A157" s="1" t="s">
        <v>43</v>
      </c>
      <c r="B157" s="6">
        <f t="shared" ref="B157:E157" si="128">B49</f>
        <v>5.3199115589857549</v>
      </c>
      <c r="C157" s="6">
        <f t="shared" si="128"/>
        <v>12.316596161463188</v>
      </c>
      <c r="D157" s="6">
        <f t="shared" si="128"/>
        <v>-6.6613299937790984</v>
      </c>
      <c r="E157" s="6">
        <f t="shared" si="128"/>
        <v>11.645886944066518</v>
      </c>
      <c r="F157" s="6">
        <f>IF(E157-C157=0,0,MIN(MAX(($B$152-C157)/(E157-C157),0),1))</f>
        <v>0.32217391615116114</v>
      </c>
      <c r="G157" s="6">
        <f>IF(E157-C157=0,0,MIN(MAX(($B$153-C157)/(E157-C157),0),1))</f>
        <v>1</v>
      </c>
      <c r="H157" s="6">
        <f>IF(AND(F157=0,G157=0),0,IF(C157&gt;E157,B157+(F157*(D157-B157)),B157+(G157*(D157-B157))))</f>
        <v>1.4598680475784831</v>
      </c>
      <c r="I157" s="6">
        <f>IF(AND(F157=0,G157=0),0,IF(C157&gt;E157,C157+(F157*(E157-C157)),C157+(G157*(E157-C157))))</f>
        <v>12.100511146295823</v>
      </c>
      <c r="J157" s="6">
        <f>IF(AND(F157=0,G157=0),0,IF(C157&gt;E157,B157+(G157*(D157-B157)),B157+(F157*(D157-B157))))</f>
        <v>-6.6613299937790984</v>
      </c>
      <c r="K157" s="6">
        <f>IF(AND(F157=0,G157=0),0,IF(C157&gt;E157,C157+(G157*(E157-C157)),C157+(F157*(E157-C157))))</f>
        <v>11.645886944066518</v>
      </c>
      <c r="L157" s="6"/>
      <c r="M157" s="6">
        <f>((17*$B$143*$B$147*(I157-K157))/(240*POWER($B$150,2)))*((H157*((2*I157*((4*$B$150*($B$147-1))+($B$147*K157)-(4*$B$147*$B$148)))+(6*($B$150-$B$148)*(($B$150*($B$147-2))-($B$147*$B$148)))+(4*K157*(($B$150*($B$147-1))-($B$147*$B$148)))+(3*$B$147*I157*I157)+($B$147*K157*K157)))+(J157*((2*I157*((2*$B$150*($B$147-1))+($B$147*K157)-(2*$B$147*$B$148)))+(6*($B$150-$B$148)*(($B$150*($B$147-2))-($B$147*$B$148)))+(8*K157*(($B$150*($B$147-1))-($B$147*$B$148)))+($B$147*I157*I157)+(3*$B$147*K157*K157))))</f>
        <v>2492.4188848948384</v>
      </c>
      <c r="N157" s="6">
        <f>((1/(1200*$B$150*$B$150))*17*$B$143*$B$147*(I157-K157))*Z157</f>
        <v>29362.072409077176</v>
      </c>
      <c r="O157" s="6">
        <f>((1/(1200*$B$150*$B$150))*17*$B$143*$B$147*(I157-K157))*AW157</f>
        <v>-5303.5184378964505</v>
      </c>
      <c r="P157" s="6">
        <f t="shared" ref="P157:P164" si="129">((2*I157*I157)*((5*$B$150*($B$147-1))+(3*$B$147*K157)-(5*$B$147*$B$148)))</f>
        <v>-10765.512604821675</v>
      </c>
      <c r="Q157" s="6">
        <f>(I157)*((20*K157)*(($B$150*($B$147-1))-($B$147*$B$148))+((10*($B$150-$B$148))*(($B$150*($B$147-2))-($B$147*$B$148)))+(9*$B$147*K157*K157))</f>
        <v>-2366.3368852140743</v>
      </c>
      <c r="R157" s="6">
        <f t="shared" ref="R157:R164" si="130">(2*K157)*((15*K157)*(($B$150*($B$147-1))-($B$147*$B$148))+((10*($B$150-$B$148))*(($B$150*($B$147-2))-($B$147*$B$148)))+(6*$B$147*K157*K157))</f>
        <v>5416.9097755726825</v>
      </c>
      <c r="S157" s="6">
        <f t="shared" ref="S157:S164" si="131">3*$B$147*I157*I157*I157</f>
        <v>7643.3839714653359</v>
      </c>
      <c r="T157" s="71">
        <f>J157*(SUM(P157:S157))</f>
        <v>476.65641705793223</v>
      </c>
      <c r="U157" s="10">
        <f t="shared" ref="U157:U164" si="132">(I157*I157)*((30*$B$150*($B$147-1))+(9*$B$147*K157)-(30*$B$147*$B$148))</f>
        <v>-54365.188764559178</v>
      </c>
      <c r="V157" s="10">
        <f t="shared" ref="V157:V164" si="133">I157*(((20*K157)*(($B$150*($B$147-1))-($B$147*$B$148)))+(20*($B$150-$B$148)*(($B$150*($B$147-2))-($B$147*$B$148)))+(6*$B$147*K157*K157))</f>
        <v>15989.416590036568</v>
      </c>
      <c r="W157" s="10">
        <f t="shared" ref="W157:W164" si="134">K157*(((10*K157)*(($B$150*($B$147-1))-($B$147*$B$148)))+(10*($B$150-$B$148)*(($B$150*($B$147-2))-($B$147*$B$148)))+(3*$B$147*K157*K157))</f>
        <v>7694.3418198556792</v>
      </c>
      <c r="X157" s="10">
        <f t="shared" ref="X157:X164" si="135">12*$B$147*I157*I157*I157</f>
        <v>30573.535885861344</v>
      </c>
      <c r="Y157" s="71">
        <f t="shared" ref="Y157:Y164" si="136">H157*SUM(U157:X157)</f>
        <v>-157.51168751972742</v>
      </c>
      <c r="Z157" s="71">
        <f t="shared" ref="Z157:Z164" si="137">T157+Y157</f>
        <v>319.14472953820484</v>
      </c>
      <c r="AA157" s="6"/>
      <c r="AB157" s="6">
        <f>(3*I157)*(((5*$B$150)*($B$147-1))+($B$147*K157)-(5*$B$147*$B$148))</f>
        <v>-2550.3635756253943</v>
      </c>
      <c r="AC157" s="6">
        <f>(10*($B$150-$B$148))*(($B$150*($B$147-2))-($B$147*$B$148))</f>
        <v>2102.0262876962802</v>
      </c>
      <c r="AD157" s="6">
        <f>(5*K157)*(($B$150*($B$147-1))-($B$147*$B$148))</f>
        <v>-1013.2102264700044</v>
      </c>
      <c r="AE157" s="6">
        <f>6*$B$147*I157*I157</f>
        <v>1263.3158846029589</v>
      </c>
      <c r="AF157" s="6">
        <f>$B$147*K157*K157</f>
        <v>195.02864970549291</v>
      </c>
      <c r="AG157" s="6">
        <f>SUM(AB157:AF157)</f>
        <v>-3.2029800906665855</v>
      </c>
      <c r="AH157" s="72">
        <f>AG157*H157*H157</f>
        <v>-6.8262383053746145</v>
      </c>
      <c r="AI157" s="6">
        <f>(2*I157)*(((5*$B$150)*($B$147-1))+(2*$B$147*K157)-(5*$B$147*$B$148))</f>
        <v>-1294.9582931622613</v>
      </c>
      <c r="AJ157" s="6">
        <f>(10*($B$150-$B$148))*(($B$150*($B$147-2))-($B$147*$B$148))</f>
        <v>2102.0262876962802</v>
      </c>
      <c r="AK157" s="6">
        <f>(10*K157)*(($B$150*($B$147-1))-($B$147*$B$148))</f>
        <v>-2026.4204529400088</v>
      </c>
      <c r="AL157" s="6">
        <f>3*$B$147*I157*I157</f>
        <v>631.65794230147947</v>
      </c>
      <c r="AM157" s="6">
        <f>3*$B$147*K157*K157</f>
        <v>585.08594911647879</v>
      </c>
      <c r="AN157" s="6">
        <f>SUM(AI157:AM157)</f>
        <v>-2.6085669880316118</v>
      </c>
      <c r="AO157" s="72">
        <f>(H157*J157)*AN157</f>
        <v>25.36743438188952</v>
      </c>
      <c r="AP157" s="6">
        <f>(I157)*(((5*$B$150)*($B$147-1))+(3*$B$147*K157)-(5*$B$147*$B$148))</f>
        <v>-444.83710128712977</v>
      </c>
      <c r="AQ157" s="6">
        <f>(10*($B$150-$B$148))*(($B$150*($B$147-2))-($B$147*$B$148))</f>
        <v>2102.0262876962802</v>
      </c>
      <c r="AR157" s="6">
        <f>(15*K157)*(($B$150*($B$147-1))-($B$147*$B$148))</f>
        <v>-3039.6306794100133</v>
      </c>
      <c r="AS157" s="6">
        <f>$B$147*I157*I157</f>
        <v>210.55264743382645</v>
      </c>
      <c r="AT157" s="6">
        <f>6*$B$147*K157*K157</f>
        <v>1170.1718982329576</v>
      </c>
      <c r="AU157" s="6">
        <f>SUM(AP157:AT157)</f>
        <v>-1.7169473340788954</v>
      </c>
      <c r="AV157" s="72">
        <f>(J157*J157)*AU157</f>
        <v>-76.1866488184708</v>
      </c>
      <c r="AW157" s="72">
        <f>AH157+AO157+AV157</f>
        <v>-57.645452741955893</v>
      </c>
      <c r="BA157"/>
      <c r="BC157">
        <v>2.705260340591205</v>
      </c>
      <c r="BD157">
        <v>118.10627267462772</v>
      </c>
      <c r="BE157">
        <v>-38.483498953417161</v>
      </c>
      <c r="BF157" s="6">
        <f t="shared" si="124"/>
        <v>5.968195749939377</v>
      </c>
      <c r="BG157" s="6">
        <f t="shared" si="125"/>
        <v>3.2629354093481719</v>
      </c>
      <c r="BH157" s="6">
        <f t="shared" si="126"/>
        <v>3.1250280489540643</v>
      </c>
      <c r="BI157" s="6">
        <f t="shared" si="127"/>
        <v>3.1250280489540643</v>
      </c>
      <c r="BJ157">
        <v>131.22919186069745</v>
      </c>
      <c r="BK157">
        <v>-42.759443281574626</v>
      </c>
      <c r="BV157" s="38"/>
      <c r="BW157" s="6">
        <f t="shared" si="113"/>
        <v>2.4783675378319447</v>
      </c>
      <c r="BX157" s="9">
        <f t="shared" ca="1" si="114"/>
        <v>-7.5966099745050428</v>
      </c>
      <c r="BY157" s="9">
        <f t="shared" ca="1" si="115"/>
        <v>3.5790598631767381</v>
      </c>
      <c r="BZ157" s="9">
        <f t="shared" ca="1" si="116"/>
        <v>118.27790777959268</v>
      </c>
      <c r="CA157" s="6">
        <f t="shared" ca="1" si="117"/>
        <v>-38.379112721522496</v>
      </c>
      <c r="CB157" s="6">
        <f t="shared" ca="1" si="118"/>
        <v>-0.31376377840859593</v>
      </c>
      <c r="CC157" s="6">
        <f t="shared" ca="1" si="119"/>
        <v>-1.6723701376049613E-3</v>
      </c>
      <c r="CD157" s="9">
        <f t="shared" si="120"/>
        <v>130.47790777959267</v>
      </c>
      <c r="CE157" s="9">
        <f t="shared" si="121"/>
        <v>-42.579112721522499</v>
      </c>
      <c r="CF157" s="6">
        <f t="shared" si="122"/>
        <v>-0.31543614854620089</v>
      </c>
      <c r="CG157" s="6"/>
      <c r="CH157" s="6"/>
      <c r="CI157" s="6"/>
      <c r="CJ157" s="1"/>
      <c r="CK157" s="6"/>
    </row>
    <row r="158" spans="1:89" x14ac:dyDescent="0.25">
      <c r="A158" s="1" t="s">
        <v>44</v>
      </c>
      <c r="B158" s="6">
        <f t="shared" ref="B158:E158" si="138">B50</f>
        <v>-6.6613299937790984</v>
      </c>
      <c r="C158" s="6">
        <f t="shared" si="138"/>
        <v>11.645886944066518</v>
      </c>
      <c r="D158" s="6">
        <f t="shared" si="138"/>
        <v>-5.7670510372502024</v>
      </c>
      <c r="E158" s="6">
        <f t="shared" si="138"/>
        <v>-4.3291017929532867</v>
      </c>
      <c r="F158" s="6">
        <f t="shared" ref="F158:F164" si="139">IF(E158-C158=0,0,MIN(MAX(($B$152-C158)/(E158-C158),0),1))</f>
        <v>0</v>
      </c>
      <c r="G158" s="6">
        <f t="shared" ref="G158:G164" si="140">IF(E158-C158=0,0,MIN(MAX(($B$153-C158)/(E158-C158),0),1))</f>
        <v>2.4251353969795397E-3</v>
      </c>
      <c r="H158" s="6">
        <f t="shared" ref="H158:H164" si="141">IF(AND(F158=0,G158=0),0,IF(C158&gt;E158,B158+(F158*(D158-B158)),B158+(G158*(D158-B158))))</f>
        <v>-6.6613299937790984</v>
      </c>
      <c r="I158" s="6">
        <f t="shared" ref="I158:I164" si="142">IF(AND(F158=0,G158=0),0,IF(C158&gt;E158,C158+(F158*(E158-C158)),C158+(G158*(E158-C158))))</f>
        <v>11.645886944066518</v>
      </c>
      <c r="J158" s="6">
        <f t="shared" ref="J158:J164" si="143">IF(AND(F158=0,G158=0),0,IF(C158&gt;E158,B158+(G158*(D158-B158)),B158+(F158*(D158-B158))))</f>
        <v>-6.6591612462268461</v>
      </c>
      <c r="K158" s="6">
        <f t="shared" ref="K158:K164" si="144">IF(AND(F158=0,G158=0),0,IF(C158&gt;E158,C158+(G158*(E158-C158)),C158+(F158*(E158-C158))))</f>
        <v>11.607145433414022</v>
      </c>
      <c r="L158" s="6"/>
      <c r="M158" s="6">
        <f t="shared" ref="M158:M164" si="145">((17*$B$143*$B$147*(I158-K158))/(240*POWER($B$150,2)))*((H158*((2*I158*((4*$B$150*($B$147-1))+($B$147*K158)-(4*$B$147*$B$148)))+(6*($B$150-$B$148)*(($B$150*($B$147-2))-($B$147*$B$148)))+(4*K158*(($B$150*($B$147-1))-($B$147*$B$148)))+(3*$B$147*I158*I158)+($B$147*K158*K158)))+(J158*((2*I158*((2*$B$150*($B$147-1))+($B$147*K158)-(2*$B$147*$B$148)))+(6*($B$150-$B$148)*(($B$150*($B$147-2))-($B$147*$B$148)))+(8*K158*(($B$150*($B$147-1))-($B$147*$B$148)))+($B$147*I158*I158)+(3*$B$147*K158*K158))))</f>
        <v>83.862440186029531</v>
      </c>
      <c r="N158" s="6">
        <f t="shared" ref="N158:N164" si="146">((1/(1200*$B$150*$B$150))*17*$B$143*$B$147*(I158-K158))*Z158</f>
        <v>975.56229320233535</v>
      </c>
      <c r="O158" s="6">
        <f t="shared" ref="O158:O164" si="147">((1/(1200*$B$150*$B$150))*17*$B$143*$B$147*(I158-K158))*AW158</f>
        <v>-279.28717930077528</v>
      </c>
      <c r="P158" s="6">
        <f t="shared" si="129"/>
        <v>-10017.108091199316</v>
      </c>
      <c r="Q158" s="6">
        <f t="shared" ref="Q158:Q164" si="148">(I158)*((20*K158)*(($B$150*($B$147-1))-($B$147*$B$148))+((10*($B$150-$B$148))*(($B$150*($B$147-2))-($B$147*$B$148)))+(9*$B$147*K158*K158))</f>
        <v>-2256.1953313072077</v>
      </c>
      <c r="R158" s="6">
        <f t="shared" si="130"/>
        <v>5453.1929735082267</v>
      </c>
      <c r="S158" s="6">
        <f t="shared" si="131"/>
        <v>6813.8448159723675</v>
      </c>
      <c r="T158" s="71">
        <f t="shared" ref="T158:T164" si="149">J158*(SUM(P158:S158))</f>
        <v>41.723860629349929</v>
      </c>
      <c r="U158" s="10">
        <f t="shared" si="132"/>
        <v>-50424.857380924077</v>
      </c>
      <c r="V158" s="10">
        <f t="shared" si="133"/>
        <v>15455.179174737894</v>
      </c>
      <c r="W158" s="10">
        <f t="shared" si="134"/>
        <v>7701.8827866971696</v>
      </c>
      <c r="X158" s="10">
        <f t="shared" si="135"/>
        <v>27255.37926388947</v>
      </c>
      <c r="Y158" s="71">
        <f t="shared" si="136"/>
        <v>82.708109702654269</v>
      </c>
      <c r="Z158" s="71">
        <f t="shared" si="137"/>
        <v>124.4319703320042</v>
      </c>
      <c r="AA158" s="6"/>
      <c r="AB158" s="6">
        <f t="shared" ref="AB158:AB164" si="150">(3*I158)*(((5*$B$150)*($B$147-1))+($B$147*K158)-(5*$B$147*$B$148))</f>
        <v>-2456.4910924417495</v>
      </c>
      <c r="AC158" s="6">
        <f t="shared" ref="AC158:AC164" si="151">(10*($B$150-$B$148))*(($B$150*($B$147-2))-($B$147*$B$148))</f>
        <v>2102.0262876962802</v>
      </c>
      <c r="AD158" s="6">
        <f t="shared" ref="AD158:AD164" si="152">(5*K158)*(($B$150*($B$147-1))-($B$147*$B$148))</f>
        <v>-1009.8396549565994</v>
      </c>
      <c r="AE158" s="6">
        <f t="shared" ref="AE158:AE164" si="153">6*$B$147*I158*I158</f>
        <v>1170.1718982329576</v>
      </c>
      <c r="AF158" s="6">
        <f t="shared" ref="AF158:AF164" si="154">$B$147*K158*K158</f>
        <v>193.73323321301174</v>
      </c>
      <c r="AG158" s="6">
        <f t="shared" ref="AG158:AG164" si="155">SUM(AB158:AF158)</f>
        <v>-0.3993282560993805</v>
      </c>
      <c r="AH158" s="72">
        <f t="shared" ref="AH158:AH164" si="156">AG158*H158*H158</f>
        <v>-17.71951940917128</v>
      </c>
      <c r="AI158" s="6">
        <f t="shared" ref="AI158:AI164" si="157">(2*I158)*(((5*$B$150)*($B$147-1))+(2*$B$147*K158)-(5*$B$147*$B$148))</f>
        <v>-1248.9010036489901</v>
      </c>
      <c r="AJ158" s="6">
        <f t="shared" ref="AJ158:AJ164" si="158">(10*($B$150-$B$148))*(($B$150*($B$147-2))-($B$147*$B$148))</f>
        <v>2102.0262876962802</v>
      </c>
      <c r="AK158" s="6">
        <f t="shared" ref="AK158:AK164" si="159">(10*K158)*(($B$150*($B$147-1))-($B$147*$B$148))</f>
        <v>-2019.6793099131987</v>
      </c>
      <c r="AL158" s="6">
        <f t="shared" ref="AL158:AL164" si="160">3*$B$147*I158*I158</f>
        <v>585.08594911647879</v>
      </c>
      <c r="AM158" s="6">
        <f t="shared" ref="AM158:AM164" si="161">3*$B$147*K158*K158</f>
        <v>581.19969963903532</v>
      </c>
      <c r="AN158" s="6">
        <f t="shared" ref="AN158:AN164" si="162">SUM(AI158:AM158)</f>
        <v>-0.26837711039456735</v>
      </c>
      <c r="AO158" s="72">
        <f t="shared" ref="AO158:AO164" si="163">(H158*J158)*AN158</f>
        <v>-11.904905496670809</v>
      </c>
      <c r="AP158" s="6">
        <f t="shared" ref="AP158:AP164" si="164">(I158)*(((5*$B$150)*($B$147-1))+(3*$B$147*K158)-(5*$B$147*$B$148))</f>
        <v>-430.07063950174046</v>
      </c>
      <c r="AQ158" s="6">
        <f t="shared" ref="AQ158:AQ164" si="165">(10*($B$150-$B$148))*(($B$150*($B$147-2))-($B$147*$B$148))</f>
        <v>2102.0262876962802</v>
      </c>
      <c r="AR158" s="6">
        <f t="shared" ref="AR158:AR164" si="166">(15*K158)*(($B$150*($B$147-1))-($B$147*$B$148))</f>
        <v>-3029.5189648697983</v>
      </c>
      <c r="AS158" s="6">
        <f t="shared" ref="AS158:AS164" si="167">$B$147*I158*I158</f>
        <v>195.02864970549291</v>
      </c>
      <c r="AT158" s="6">
        <f t="shared" ref="AT158:AT164" si="168">6*$B$147*K158*K158</f>
        <v>1162.3993992780706</v>
      </c>
      <c r="AU158" s="6">
        <f t="shared" ref="AU158:AU164" si="169">SUM(AP158:AT158)</f>
        <v>-0.13526769169516228</v>
      </c>
      <c r="AV158" s="72">
        <f t="shared" ref="AV158:AV164" si="170">(J158*J158)*AU158</f>
        <v>-5.9983684831757174</v>
      </c>
      <c r="AW158" s="72">
        <f t="shared" ref="AW158:AW164" si="171">AH158+AO158+AV158</f>
        <v>-35.622793389017808</v>
      </c>
      <c r="BC158">
        <v>2.7227136331111481</v>
      </c>
      <c r="BD158">
        <v>118.08592383142802</v>
      </c>
      <c r="BE158">
        <v>-38.496313571062196</v>
      </c>
      <c r="BF158" s="6">
        <f t="shared" ref="BF158:BF194" si="172">IF(BC158&lt;&gt;"",IF(AND(BD158=0,BE158=0),0,MOD(ATAN2(BD158,BE158),2*PI())),NA())</f>
        <v>5.9680468934832707</v>
      </c>
      <c r="BG158" s="6">
        <f t="shared" ref="BG158:BG194" si="173">ABS(BC158-BF158)</f>
        <v>3.2453332603721226</v>
      </c>
      <c r="BH158" s="6">
        <f t="shared" ref="BH158:BH194" si="174">ATAN2(COS($U$13-BF158),SIN($U$13-BF158))</f>
        <v>3.1251769054101706</v>
      </c>
      <c r="BI158" s="6">
        <f t="shared" ref="BI158:BI194" si="175">ABS(BH158)</f>
        <v>3.1251769054101706</v>
      </c>
      <c r="BJ158">
        <v>131.20658203492002</v>
      </c>
      <c r="BK158">
        <v>-42.773681745624664</v>
      </c>
      <c r="BV158" s="38"/>
      <c r="BW158" s="6">
        <f t="shared" si="113"/>
        <v>2.4958208303518878</v>
      </c>
      <c r="BX158" s="9">
        <f t="shared" ca="1" si="114"/>
        <v>-7.6058548440459504</v>
      </c>
      <c r="BY158" s="9">
        <f t="shared" ca="1" si="115"/>
        <v>3.5726654370869539</v>
      </c>
      <c r="BZ158" s="9">
        <f t="shared" ca="1" si="116"/>
        <v>118.26866291005177</v>
      </c>
      <c r="CA158" s="6">
        <f t="shared" ca="1" si="117"/>
        <v>-38.38550714761228</v>
      </c>
      <c r="CB158" s="6">
        <f t="shared" ca="1" si="118"/>
        <v>-0.31383564140388798</v>
      </c>
      <c r="CC158" s="6">
        <f t="shared" ca="1" si="119"/>
        <v>-1.6656980025707699E-3</v>
      </c>
      <c r="CD158" s="9">
        <f t="shared" si="120"/>
        <v>130.46866291005176</v>
      </c>
      <c r="CE158" s="9">
        <f t="shared" si="121"/>
        <v>-42.585507147612283</v>
      </c>
      <c r="CF158" s="6">
        <f t="shared" si="122"/>
        <v>-0.31550133940645875</v>
      </c>
      <c r="CG158" s="6"/>
      <c r="CH158" s="6"/>
      <c r="CI158" s="6"/>
      <c r="CJ158" s="1"/>
      <c r="CK158" s="6"/>
    </row>
    <row r="159" spans="1:89" x14ac:dyDescent="0.25">
      <c r="A159" s="1" t="s">
        <v>45</v>
      </c>
      <c r="B159" s="6">
        <f t="shared" ref="B159:E159" si="176">B51</f>
        <v>-5.7670510372502024</v>
      </c>
      <c r="C159" s="6">
        <f t="shared" si="176"/>
        <v>-4.3291017929532867</v>
      </c>
      <c r="D159" s="6">
        <f t="shared" si="176"/>
        <v>-5.7670510372502024</v>
      </c>
      <c r="E159" s="6">
        <f t="shared" si="176"/>
        <v>-4.3291017929532867</v>
      </c>
      <c r="F159" s="6">
        <f t="shared" si="139"/>
        <v>0</v>
      </c>
      <c r="G159" s="6">
        <f t="shared" si="140"/>
        <v>0</v>
      </c>
      <c r="H159" s="6">
        <f t="shared" si="141"/>
        <v>0</v>
      </c>
      <c r="I159" s="6">
        <f t="shared" si="142"/>
        <v>0</v>
      </c>
      <c r="J159" s="6">
        <f t="shared" si="143"/>
        <v>0</v>
      </c>
      <c r="K159" s="6">
        <f t="shared" si="144"/>
        <v>0</v>
      </c>
      <c r="L159" s="6"/>
      <c r="M159" s="6">
        <f t="shared" si="145"/>
        <v>0</v>
      </c>
      <c r="N159" s="6">
        <f t="shared" si="146"/>
        <v>0</v>
      </c>
      <c r="O159" s="6">
        <f t="shared" si="147"/>
        <v>0</v>
      </c>
      <c r="P159" s="6">
        <f t="shared" si="129"/>
        <v>0</v>
      </c>
      <c r="Q159" s="6">
        <f t="shared" si="148"/>
        <v>0</v>
      </c>
      <c r="R159" s="6">
        <f t="shared" si="130"/>
        <v>0</v>
      </c>
      <c r="S159" s="6">
        <f t="shared" si="131"/>
        <v>0</v>
      </c>
      <c r="T159" s="71">
        <f t="shared" si="149"/>
        <v>0</v>
      </c>
      <c r="U159" s="10">
        <f t="shared" si="132"/>
        <v>0</v>
      </c>
      <c r="V159" s="10">
        <f t="shared" si="133"/>
        <v>0</v>
      </c>
      <c r="W159" s="10">
        <f t="shared" si="134"/>
        <v>0</v>
      </c>
      <c r="X159" s="10">
        <f t="shared" si="135"/>
        <v>0</v>
      </c>
      <c r="Y159" s="71">
        <f t="shared" si="136"/>
        <v>0</v>
      </c>
      <c r="Z159" s="71">
        <f t="shared" si="137"/>
        <v>0</v>
      </c>
      <c r="AA159" s="6"/>
      <c r="AB159" s="6">
        <f t="shared" si="150"/>
        <v>0</v>
      </c>
      <c r="AC159" s="6">
        <f t="shared" si="151"/>
        <v>2102.0262876962802</v>
      </c>
      <c r="AD159" s="6">
        <f t="shared" si="152"/>
        <v>0</v>
      </c>
      <c r="AE159" s="6">
        <f t="shared" si="153"/>
        <v>0</v>
      </c>
      <c r="AF159" s="6">
        <f t="shared" si="154"/>
        <v>0</v>
      </c>
      <c r="AG159" s="6">
        <f t="shared" si="155"/>
        <v>2102.0262876962802</v>
      </c>
      <c r="AH159" s="72">
        <f t="shared" si="156"/>
        <v>0</v>
      </c>
      <c r="AI159" s="6">
        <f t="shared" si="157"/>
        <v>0</v>
      </c>
      <c r="AJ159" s="6">
        <f t="shared" si="158"/>
        <v>2102.0262876962802</v>
      </c>
      <c r="AK159" s="6">
        <f t="shared" si="159"/>
        <v>0</v>
      </c>
      <c r="AL159" s="6">
        <f t="shared" si="160"/>
        <v>0</v>
      </c>
      <c r="AM159" s="6">
        <f t="shared" si="161"/>
        <v>0</v>
      </c>
      <c r="AN159" s="6">
        <f t="shared" si="162"/>
        <v>2102.0262876962802</v>
      </c>
      <c r="AO159" s="72">
        <f t="shared" si="163"/>
        <v>0</v>
      </c>
      <c r="AP159" s="6">
        <f t="shared" si="164"/>
        <v>0</v>
      </c>
      <c r="AQ159" s="6">
        <f t="shared" si="165"/>
        <v>2102.0262876962802</v>
      </c>
      <c r="AR159" s="6">
        <f t="shared" si="166"/>
        <v>0</v>
      </c>
      <c r="AS159" s="6">
        <f t="shared" si="167"/>
        <v>0</v>
      </c>
      <c r="AT159" s="6">
        <f t="shared" si="168"/>
        <v>0</v>
      </c>
      <c r="AU159" s="6">
        <f t="shared" si="169"/>
        <v>2102.0262876962802</v>
      </c>
      <c r="AV159" s="72">
        <f t="shared" si="170"/>
        <v>0</v>
      </c>
      <c r="AW159" s="72">
        <f t="shared" si="171"/>
        <v>0</v>
      </c>
      <c r="BC159">
        <v>2.7401669256310912</v>
      </c>
      <c r="BD159">
        <v>118.06390621655969</v>
      </c>
      <c r="BE159">
        <v>-38.510658562626467</v>
      </c>
      <c r="BF159" s="6">
        <f t="shared" si="172"/>
        <v>5.9678821174861962</v>
      </c>
      <c r="BG159" s="6">
        <f t="shared" si="173"/>
        <v>3.227715191855105</v>
      </c>
      <c r="BH159" s="6">
        <f t="shared" si="174"/>
        <v>3.125341681407245</v>
      </c>
      <c r="BI159" s="6">
        <f t="shared" si="175"/>
        <v>3.125341681407245</v>
      </c>
      <c r="BJ159">
        <v>131.18211801839965</v>
      </c>
      <c r="BK159">
        <v>-42.789620625140522</v>
      </c>
      <c r="BV159" s="38"/>
      <c r="BW159" s="6">
        <f t="shared" si="113"/>
        <v>2.5132741228718309</v>
      </c>
      <c r="BX159" s="9">
        <f t="shared" ca="1" si="114"/>
        <v>-7.6155469585926028</v>
      </c>
      <c r="BY159" s="9">
        <f t="shared" ca="1" si="115"/>
        <v>3.5662139803470865</v>
      </c>
      <c r="BZ159" s="9">
        <f t="shared" ca="1" si="116"/>
        <v>118.25897079550512</v>
      </c>
      <c r="CA159" s="6">
        <f t="shared" ca="1" si="117"/>
        <v>-38.391958604352148</v>
      </c>
      <c r="CB159" s="6">
        <f t="shared" ca="1" si="118"/>
        <v>-0.31390905925937451</v>
      </c>
      <c r="CC159" s="6">
        <f t="shared" ca="1" si="119"/>
        <v>-1.6588839526941457E-3</v>
      </c>
      <c r="CD159" s="9">
        <f t="shared" si="120"/>
        <v>130.45897079550511</v>
      </c>
      <c r="CE159" s="9">
        <f t="shared" si="121"/>
        <v>-42.591958604352151</v>
      </c>
      <c r="CF159" s="6">
        <f t="shared" si="122"/>
        <v>-0.31556794321206866</v>
      </c>
      <c r="CG159" s="6"/>
      <c r="CH159" s="6"/>
      <c r="CI159" s="6"/>
      <c r="CJ159" s="1"/>
      <c r="CK159" s="6"/>
    </row>
    <row r="160" spans="1:89" x14ac:dyDescent="0.25">
      <c r="A160" s="1" t="s">
        <v>46</v>
      </c>
      <c r="B160" s="6">
        <f t="shared" ref="B160:E160" si="177">B52</f>
        <v>-5.7670510372502024</v>
      </c>
      <c r="C160" s="6">
        <f t="shared" si="177"/>
        <v>-4.3291017929532867</v>
      </c>
      <c r="D160" s="6">
        <f t="shared" si="177"/>
        <v>-5.3199115589857549</v>
      </c>
      <c r="E160" s="6">
        <f t="shared" si="177"/>
        <v>-12.316596161463188</v>
      </c>
      <c r="F160" s="6">
        <f t="shared" si="139"/>
        <v>0</v>
      </c>
      <c r="G160" s="6">
        <f t="shared" si="140"/>
        <v>0</v>
      </c>
      <c r="H160" s="6">
        <f t="shared" si="141"/>
        <v>0</v>
      </c>
      <c r="I160" s="6">
        <f t="shared" si="142"/>
        <v>0</v>
      </c>
      <c r="J160" s="6">
        <f t="shared" si="143"/>
        <v>0</v>
      </c>
      <c r="K160" s="6">
        <f t="shared" si="144"/>
        <v>0</v>
      </c>
      <c r="L160" s="6"/>
      <c r="M160" s="6">
        <f t="shared" si="145"/>
        <v>0</v>
      </c>
      <c r="N160" s="6">
        <f t="shared" si="146"/>
        <v>0</v>
      </c>
      <c r="O160" s="6">
        <f t="shared" si="147"/>
        <v>0</v>
      </c>
      <c r="P160" s="6">
        <f t="shared" si="129"/>
        <v>0</v>
      </c>
      <c r="Q160" s="6">
        <f t="shared" si="148"/>
        <v>0</v>
      </c>
      <c r="R160" s="6">
        <f t="shared" si="130"/>
        <v>0</v>
      </c>
      <c r="S160" s="6">
        <f t="shared" si="131"/>
        <v>0</v>
      </c>
      <c r="T160" s="71">
        <f t="shared" si="149"/>
        <v>0</v>
      </c>
      <c r="U160" s="10">
        <f t="shared" si="132"/>
        <v>0</v>
      </c>
      <c r="V160" s="10">
        <f t="shared" si="133"/>
        <v>0</v>
      </c>
      <c r="W160" s="10">
        <f t="shared" si="134"/>
        <v>0</v>
      </c>
      <c r="X160" s="10">
        <f t="shared" si="135"/>
        <v>0</v>
      </c>
      <c r="Y160" s="71">
        <f t="shared" si="136"/>
        <v>0</v>
      </c>
      <c r="Z160" s="71">
        <f t="shared" si="137"/>
        <v>0</v>
      </c>
      <c r="AA160" s="6"/>
      <c r="AB160" s="6">
        <f t="shared" si="150"/>
        <v>0</v>
      </c>
      <c r="AC160" s="6">
        <f t="shared" si="151"/>
        <v>2102.0262876962802</v>
      </c>
      <c r="AD160" s="6">
        <f t="shared" si="152"/>
        <v>0</v>
      </c>
      <c r="AE160" s="6">
        <f t="shared" si="153"/>
        <v>0</v>
      </c>
      <c r="AF160" s="6">
        <f t="shared" si="154"/>
        <v>0</v>
      </c>
      <c r="AG160" s="6">
        <f t="shared" si="155"/>
        <v>2102.0262876962802</v>
      </c>
      <c r="AH160" s="72">
        <f t="shared" si="156"/>
        <v>0</v>
      </c>
      <c r="AI160" s="6">
        <f t="shared" si="157"/>
        <v>0</v>
      </c>
      <c r="AJ160" s="6">
        <f t="shared" si="158"/>
        <v>2102.0262876962802</v>
      </c>
      <c r="AK160" s="6">
        <f t="shared" si="159"/>
        <v>0</v>
      </c>
      <c r="AL160" s="6">
        <f t="shared" si="160"/>
        <v>0</v>
      </c>
      <c r="AM160" s="6">
        <f t="shared" si="161"/>
        <v>0</v>
      </c>
      <c r="AN160" s="6">
        <f t="shared" si="162"/>
        <v>2102.0262876962802</v>
      </c>
      <c r="AO160" s="72">
        <f t="shared" si="163"/>
        <v>0</v>
      </c>
      <c r="AP160" s="6">
        <f t="shared" si="164"/>
        <v>0</v>
      </c>
      <c r="AQ160" s="6">
        <f t="shared" si="165"/>
        <v>2102.0262876962802</v>
      </c>
      <c r="AR160" s="6">
        <f t="shared" si="166"/>
        <v>0</v>
      </c>
      <c r="AS160" s="6">
        <f t="shared" si="167"/>
        <v>0</v>
      </c>
      <c r="AT160" s="6">
        <f t="shared" si="168"/>
        <v>0</v>
      </c>
      <c r="AU160" s="6">
        <f t="shared" si="169"/>
        <v>2102.0262876962802</v>
      </c>
      <c r="AV160" s="72">
        <f t="shared" si="170"/>
        <v>0</v>
      </c>
      <c r="AW160" s="72">
        <f t="shared" si="171"/>
        <v>0</v>
      </c>
      <c r="BC160">
        <v>2.7576202181510343</v>
      </c>
      <c r="BD160">
        <v>118.040002739</v>
      </c>
      <c r="BE160">
        <v>-38.526863986537244</v>
      </c>
      <c r="BF160" s="6">
        <f t="shared" si="172"/>
        <v>5.9676983417490792</v>
      </c>
      <c r="BG160" s="6">
        <f t="shared" si="173"/>
        <v>3.2100781235980449</v>
      </c>
      <c r="BH160" s="6">
        <f t="shared" si="174"/>
        <v>3.125525457144362</v>
      </c>
      <c r="BI160" s="6">
        <f t="shared" si="175"/>
        <v>3.125525457144362</v>
      </c>
      <c r="BJ160">
        <v>131.15555859888889</v>
      </c>
      <c r="BK160">
        <v>-42.807626651708048</v>
      </c>
      <c r="BV160" s="38"/>
      <c r="BW160" s="6">
        <f t="shared" si="113"/>
        <v>2.530727415391774</v>
      </c>
      <c r="BX160" s="9">
        <f t="shared" ca="1" si="114"/>
        <v>-7.6257298180095461</v>
      </c>
      <c r="BY160" s="9">
        <f t="shared" ca="1" si="115"/>
        <v>3.5596647410741795</v>
      </c>
      <c r="BZ160" s="9">
        <f t="shared" ca="1" si="116"/>
        <v>118.24878793608818</v>
      </c>
      <c r="CA160" s="6">
        <f t="shared" ca="1" si="117"/>
        <v>-38.398507843625055</v>
      </c>
      <c r="CB160" s="6">
        <f t="shared" ca="1" si="118"/>
        <v>-0.31398445278384574</v>
      </c>
      <c r="CC160" s="6">
        <f t="shared" ca="1" si="119"/>
        <v>-1.651888689453318E-3</v>
      </c>
      <c r="CD160" s="9">
        <f t="shared" si="120"/>
        <v>130.44878793608817</v>
      </c>
      <c r="CE160" s="9">
        <f t="shared" si="121"/>
        <v>-42.598507843625057</v>
      </c>
      <c r="CF160" s="6">
        <f t="shared" si="122"/>
        <v>-0.31563634147329905</v>
      </c>
      <c r="CG160" s="6"/>
      <c r="CH160" s="6"/>
      <c r="CI160" s="6"/>
      <c r="CJ160" s="1"/>
      <c r="CK160" s="6"/>
    </row>
    <row r="161" spans="1:89" x14ac:dyDescent="0.25">
      <c r="A161" s="1" t="s">
        <v>47</v>
      </c>
      <c r="B161" s="6">
        <f t="shared" ref="B161:E161" si="178">B53</f>
        <v>-5.3199115589857549</v>
      </c>
      <c r="C161" s="6">
        <f t="shared" si="178"/>
        <v>-12.316596161463188</v>
      </c>
      <c r="D161" s="6">
        <f t="shared" si="178"/>
        <v>6.6613299937790984</v>
      </c>
      <c r="E161" s="6">
        <f t="shared" si="178"/>
        <v>-11.645886944066518</v>
      </c>
      <c r="F161" s="6">
        <f t="shared" si="139"/>
        <v>1</v>
      </c>
      <c r="G161" s="6">
        <f t="shared" si="140"/>
        <v>1</v>
      </c>
      <c r="H161" s="6">
        <f>IF(AND(F161=0,G161=0),0,IF(C161&gt;E161,B161+(F161*(D161-B161)),B161+(G161*(D161-B161))))</f>
        <v>6.6613299937790984</v>
      </c>
      <c r="I161" s="6">
        <f t="shared" si="142"/>
        <v>-11.645886944066518</v>
      </c>
      <c r="J161" s="6">
        <f t="shared" si="143"/>
        <v>6.6613299937790984</v>
      </c>
      <c r="K161" s="6">
        <f t="shared" si="144"/>
        <v>-11.645886944066518</v>
      </c>
      <c r="L161" s="6"/>
      <c r="M161" s="6">
        <f t="shared" si="145"/>
        <v>0</v>
      </c>
      <c r="N161" s="6">
        <f t="shared" si="146"/>
        <v>0</v>
      </c>
      <c r="O161" s="6">
        <f t="shared" si="147"/>
        <v>0</v>
      </c>
      <c r="P161" s="6">
        <f t="shared" si="129"/>
        <v>-37227.153128028142</v>
      </c>
      <c r="Q161" s="6">
        <f t="shared" si="148"/>
        <v>-92120.421940050641</v>
      </c>
      <c r="R161" s="6">
        <f t="shared" si="130"/>
        <v>-147013.69075207313</v>
      </c>
      <c r="S161" s="6">
        <f t="shared" si="131"/>
        <v>-6813.8448159723675</v>
      </c>
      <c r="T161" s="71">
        <f t="shared" si="149"/>
        <v>-1886322.8579721292</v>
      </c>
      <c r="U161" s="10">
        <f t="shared" si="132"/>
        <v>-91239.924936167328</v>
      </c>
      <c r="V161" s="10">
        <f t="shared" si="133"/>
        <v>-109786.53762404501</v>
      </c>
      <c r="W161" s="10">
        <f t="shared" si="134"/>
        <v>-54893.268812022507</v>
      </c>
      <c r="X161" s="10">
        <f t="shared" si="135"/>
        <v>-27255.37926388947</v>
      </c>
      <c r="Y161" s="71">
        <f t="shared" si="136"/>
        <v>-1886322.8579721295</v>
      </c>
      <c r="Z161" s="71">
        <f t="shared" si="137"/>
        <v>-3772645.7159442585</v>
      </c>
      <c r="AA161" s="6"/>
      <c r="AB161" s="6">
        <f t="shared" si="150"/>
        <v>3624.7166285264921</v>
      </c>
      <c r="AC161" s="6">
        <f t="shared" si="151"/>
        <v>2102.0262876962802</v>
      </c>
      <c r="AD161" s="6">
        <f t="shared" si="152"/>
        <v>1013.2102264700044</v>
      </c>
      <c r="AE161" s="6">
        <f t="shared" si="153"/>
        <v>1170.1718982329576</v>
      </c>
      <c r="AF161" s="6">
        <f t="shared" si="154"/>
        <v>195.02864970549291</v>
      </c>
      <c r="AG161" s="6">
        <f t="shared" si="155"/>
        <v>8105.1536906312276</v>
      </c>
      <c r="AH161" s="72">
        <f t="shared" si="156"/>
        <v>359652.55636634392</v>
      </c>
      <c r="AI161" s="6">
        <f t="shared" si="157"/>
        <v>2806.5350517619804</v>
      </c>
      <c r="AJ161" s="6">
        <f t="shared" si="158"/>
        <v>2102.0262876962802</v>
      </c>
      <c r="AK161" s="6">
        <f t="shared" si="159"/>
        <v>2026.4204529400088</v>
      </c>
      <c r="AL161" s="6">
        <f t="shared" si="160"/>
        <v>585.08594911647879</v>
      </c>
      <c r="AM161" s="6">
        <f t="shared" si="161"/>
        <v>585.08594911647879</v>
      </c>
      <c r="AN161" s="6">
        <f t="shared" si="162"/>
        <v>8105.1536906312267</v>
      </c>
      <c r="AO161" s="72">
        <f t="shared" si="163"/>
        <v>359652.55636634387</v>
      </c>
      <c r="AP161" s="6">
        <f t="shared" si="164"/>
        <v>1598.2961755864831</v>
      </c>
      <c r="AQ161" s="6">
        <f t="shared" si="165"/>
        <v>2102.0262876962802</v>
      </c>
      <c r="AR161" s="6">
        <f t="shared" si="166"/>
        <v>3039.6306794100133</v>
      </c>
      <c r="AS161" s="6">
        <f t="shared" si="167"/>
        <v>195.02864970549291</v>
      </c>
      <c r="AT161" s="6">
        <f t="shared" si="168"/>
        <v>1170.1718982329576</v>
      </c>
      <c r="AU161" s="6">
        <f t="shared" si="169"/>
        <v>8105.1536906312276</v>
      </c>
      <c r="AV161" s="72">
        <f t="shared" si="170"/>
        <v>359652.55636634387</v>
      </c>
      <c r="AW161" s="72">
        <f t="shared" si="171"/>
        <v>1078957.6690990315</v>
      </c>
      <c r="BC161">
        <v>2.7750735106709774</v>
      </c>
      <c r="BD161">
        <v>118.01395758544506</v>
      </c>
      <c r="BE161">
        <v>-38.545340978395146</v>
      </c>
      <c r="BF161" s="6">
        <f t="shared" si="172"/>
        <v>5.9674917650516042</v>
      </c>
      <c r="BG161" s="6">
        <f t="shared" si="173"/>
        <v>3.1924182543806268</v>
      </c>
      <c r="BH161" s="6">
        <f t="shared" si="174"/>
        <v>3.1257320338418371</v>
      </c>
      <c r="BI161" s="6">
        <f t="shared" si="175"/>
        <v>3.1257320338418371</v>
      </c>
      <c r="BJ161">
        <v>131.1266195393834</v>
      </c>
      <c r="BK161">
        <v>-42.82815664266127</v>
      </c>
      <c r="BV161" s="38"/>
      <c r="BW161" s="6">
        <f t="shared" si="113"/>
        <v>2.5481807079117171</v>
      </c>
      <c r="BX161" s="9">
        <f t="shared" ca="1" si="114"/>
        <v>-7.6364510712224529</v>
      </c>
      <c r="BY161" s="9">
        <f t="shared" ca="1" si="115"/>
        <v>3.5529723839528913</v>
      </c>
      <c r="BZ161" s="9">
        <f t="shared" ca="1" si="116"/>
        <v>118.23806668287527</v>
      </c>
      <c r="CA161" s="6">
        <f t="shared" ca="1" si="117"/>
        <v>-38.405200200746343</v>
      </c>
      <c r="CB161" s="6">
        <f t="shared" ca="1" si="118"/>
        <v>-0.31406228837263672</v>
      </c>
      <c r="CC161" s="6">
        <f t="shared" ca="1" si="119"/>
        <v>-1.644668640559954E-3</v>
      </c>
      <c r="CD161" s="9">
        <f t="shared" si="120"/>
        <v>130.43806668287527</v>
      </c>
      <c r="CE161" s="9">
        <f t="shared" si="121"/>
        <v>-42.605200200746346</v>
      </c>
      <c r="CF161" s="6">
        <f t="shared" si="122"/>
        <v>-0.31570695701319668</v>
      </c>
      <c r="CG161" s="6"/>
      <c r="CH161" s="6"/>
      <c r="CI161" s="6"/>
      <c r="CJ161" s="1"/>
      <c r="CK161" s="6"/>
    </row>
    <row r="162" spans="1:89" x14ac:dyDescent="0.25">
      <c r="A162" s="1" t="s">
        <v>48</v>
      </c>
      <c r="B162" s="6">
        <f t="shared" ref="B162:E162" si="179">B54</f>
        <v>6.6613299937790984</v>
      </c>
      <c r="C162" s="6">
        <f t="shared" si="179"/>
        <v>-11.645886944066518</v>
      </c>
      <c r="D162" s="6">
        <f t="shared" si="179"/>
        <v>6.2141905155146508</v>
      </c>
      <c r="E162" s="6">
        <f t="shared" si="179"/>
        <v>-3.6583925755566149</v>
      </c>
      <c r="F162" s="6">
        <f t="shared" si="139"/>
        <v>1</v>
      </c>
      <c r="G162" s="6">
        <f t="shared" si="140"/>
        <v>1</v>
      </c>
      <c r="H162" s="6">
        <f t="shared" si="141"/>
        <v>6.2141905155146508</v>
      </c>
      <c r="I162" s="6">
        <f t="shared" si="142"/>
        <v>-3.6583925755566149</v>
      </c>
      <c r="J162" s="6">
        <f t="shared" si="143"/>
        <v>6.2141905155146508</v>
      </c>
      <c r="K162" s="6">
        <f t="shared" si="144"/>
        <v>-3.6583925755566149</v>
      </c>
      <c r="L162" s="6"/>
      <c r="M162" s="6">
        <f t="shared" si="145"/>
        <v>0</v>
      </c>
      <c r="N162" s="6">
        <f t="shared" si="146"/>
        <v>0</v>
      </c>
      <c r="O162" s="6">
        <f t="shared" si="147"/>
        <v>0</v>
      </c>
      <c r="P162" s="6">
        <f t="shared" si="129"/>
        <v>-2751.2791486500973</v>
      </c>
      <c r="Q162" s="6">
        <f t="shared" si="148"/>
        <v>-12981.370597948026</v>
      </c>
      <c r="R162" s="6">
        <f t="shared" si="130"/>
        <v>-23211.46204724595</v>
      </c>
      <c r="S162" s="6">
        <f t="shared" si="131"/>
        <v>-211.2250638850748</v>
      </c>
      <c r="T162" s="71">
        <f t="shared" si="149"/>
        <v>-243318.72293308171</v>
      </c>
      <c r="U162" s="10">
        <f t="shared" si="132"/>
        <v>-7620.1622542950681</v>
      </c>
      <c r="V162" s="10">
        <f t="shared" si="133"/>
        <v>-20460.182898595856</v>
      </c>
      <c r="W162" s="10">
        <f t="shared" si="134"/>
        <v>-10230.091449297928</v>
      </c>
      <c r="X162" s="10">
        <f t="shared" si="135"/>
        <v>-844.90025554029921</v>
      </c>
      <c r="Y162" s="71">
        <f t="shared" si="136"/>
        <v>-243318.72293308174</v>
      </c>
      <c r="Z162" s="71">
        <f t="shared" si="137"/>
        <v>-486637.44586616347</v>
      </c>
      <c r="AA162" s="6"/>
      <c r="AB162" s="6">
        <f t="shared" si="150"/>
        <v>1012.5946077947558</v>
      </c>
      <c r="AC162" s="6">
        <f t="shared" si="151"/>
        <v>2102.0262876962802</v>
      </c>
      <c r="AD162" s="6">
        <f t="shared" si="152"/>
        <v>318.28582810383915</v>
      </c>
      <c r="AE162" s="6">
        <f t="shared" si="153"/>
        <v>115.47424696647678</v>
      </c>
      <c r="AF162" s="6">
        <f t="shared" si="154"/>
        <v>19.245707827746127</v>
      </c>
      <c r="AG162" s="6">
        <f t="shared" si="155"/>
        <v>3567.6266783890983</v>
      </c>
      <c r="AH162" s="72">
        <f t="shared" si="156"/>
        <v>137768.05605832158</v>
      </c>
      <c r="AI162" s="6">
        <f t="shared" si="157"/>
        <v>713.55448751866277</v>
      </c>
      <c r="AJ162" s="6">
        <f t="shared" si="158"/>
        <v>2102.0262876962802</v>
      </c>
      <c r="AK162" s="6">
        <f t="shared" si="159"/>
        <v>636.5716562076783</v>
      </c>
      <c r="AL162" s="6">
        <f t="shared" si="160"/>
        <v>57.737123483238392</v>
      </c>
      <c r="AM162" s="6">
        <f t="shared" si="161"/>
        <v>57.737123483238392</v>
      </c>
      <c r="AN162" s="6">
        <f t="shared" si="162"/>
        <v>3567.6266783890983</v>
      </c>
      <c r="AO162" s="72">
        <f t="shared" si="163"/>
        <v>137768.05605832158</v>
      </c>
      <c r="AP162" s="6">
        <f t="shared" si="164"/>
        <v>376.0229515870775</v>
      </c>
      <c r="AQ162" s="6">
        <f t="shared" si="165"/>
        <v>2102.0262876962802</v>
      </c>
      <c r="AR162" s="6">
        <f t="shared" si="166"/>
        <v>954.8574843115174</v>
      </c>
      <c r="AS162" s="6">
        <f t="shared" si="167"/>
        <v>19.245707827746127</v>
      </c>
      <c r="AT162" s="6">
        <f t="shared" si="168"/>
        <v>115.47424696647678</v>
      </c>
      <c r="AU162" s="6">
        <f t="shared" si="169"/>
        <v>3567.6266783890978</v>
      </c>
      <c r="AV162" s="72">
        <f t="shared" si="170"/>
        <v>137768.05605832156</v>
      </c>
      <c r="AW162" s="72">
        <f t="shared" si="171"/>
        <v>413304.16817496473</v>
      </c>
      <c r="BC162">
        <v>2.7925268031909205</v>
      </c>
      <c r="BD162">
        <v>117.98546707748314</v>
      </c>
      <c r="BE162">
        <v>-38.566606599424276</v>
      </c>
      <c r="BF162" s="6">
        <f t="shared" si="172"/>
        <v>5.9672576508068929</v>
      </c>
      <c r="BG162" s="6">
        <f t="shared" si="173"/>
        <v>3.1747308476159724</v>
      </c>
      <c r="BH162" s="6">
        <f t="shared" si="174"/>
        <v>3.1259661480865484</v>
      </c>
      <c r="BI162" s="6">
        <f t="shared" si="175"/>
        <v>3.1259661480865484</v>
      </c>
      <c r="BJ162">
        <v>131.09496341942571</v>
      </c>
      <c r="BK162">
        <v>-42.851785110471418</v>
      </c>
      <c r="BV162" s="38"/>
      <c r="BW162" s="6">
        <f t="shared" si="113"/>
        <v>2.5656340004316602</v>
      </c>
      <c r="BX162" s="9">
        <f t="shared" ca="1" si="114"/>
        <v>-7.6477632319654987</v>
      </c>
      <c r="BY162" s="9">
        <f t="shared" ca="1" si="115"/>
        <v>3.5460859339696498</v>
      </c>
      <c r="BZ162" s="9">
        <f t="shared" ca="1" si="116"/>
        <v>118.22675452213223</v>
      </c>
      <c r="CA162" s="6">
        <f t="shared" ca="1" si="117"/>
        <v>-38.412086650729584</v>
      </c>
      <c r="CB162" s="6">
        <f t="shared" ca="1" si="118"/>
        <v>-0.31414308791225559</v>
      </c>
      <c r="CC162" s="6">
        <f t="shared" ca="1" si="119"/>
        <v>-1.6371750291065967E-3</v>
      </c>
      <c r="CD162" s="9">
        <f t="shared" si="120"/>
        <v>130.42675452213223</v>
      </c>
      <c r="CE162" s="9">
        <f t="shared" si="121"/>
        <v>-42.612086650729587</v>
      </c>
      <c r="CF162" s="6">
        <f t="shared" si="122"/>
        <v>-0.31578026294136219</v>
      </c>
      <c r="CG162" s="6"/>
      <c r="CH162" s="6"/>
      <c r="CI162" s="6"/>
      <c r="CJ162" s="1"/>
      <c r="CK162" s="6"/>
    </row>
    <row r="163" spans="1:89" x14ac:dyDescent="0.25">
      <c r="A163" s="1" t="s">
        <v>93</v>
      </c>
      <c r="B163" s="6">
        <f t="shared" ref="B163:E163" si="180">B55</f>
        <v>6.2141905155146508</v>
      </c>
      <c r="C163" s="6">
        <f t="shared" si="180"/>
        <v>-3.6583925755566149</v>
      </c>
      <c r="D163" s="6">
        <f t="shared" si="180"/>
        <v>6.2141905155146508</v>
      </c>
      <c r="E163" s="6">
        <f t="shared" si="180"/>
        <v>-3.6583925755566149</v>
      </c>
      <c r="F163" s="6">
        <f t="shared" si="139"/>
        <v>0</v>
      </c>
      <c r="G163" s="6">
        <f t="shared" si="140"/>
        <v>0</v>
      </c>
      <c r="H163" s="6">
        <f t="shared" si="141"/>
        <v>0</v>
      </c>
      <c r="I163" s="6">
        <f t="shared" si="142"/>
        <v>0</v>
      </c>
      <c r="J163" s="6">
        <f t="shared" si="143"/>
        <v>0</v>
      </c>
      <c r="K163" s="6">
        <f t="shared" si="144"/>
        <v>0</v>
      </c>
      <c r="L163" s="6"/>
      <c r="M163" s="6">
        <f t="shared" si="145"/>
        <v>0</v>
      </c>
      <c r="N163" s="6">
        <f t="shared" si="146"/>
        <v>0</v>
      </c>
      <c r="O163" s="6">
        <f t="shared" si="147"/>
        <v>0</v>
      </c>
      <c r="P163" s="6">
        <f t="shared" si="129"/>
        <v>0</v>
      </c>
      <c r="Q163" s="6">
        <f t="shared" si="148"/>
        <v>0</v>
      </c>
      <c r="R163" s="6">
        <f t="shared" si="130"/>
        <v>0</v>
      </c>
      <c r="S163" s="6">
        <f t="shared" si="131"/>
        <v>0</v>
      </c>
      <c r="T163" s="71">
        <f t="shared" si="149"/>
        <v>0</v>
      </c>
      <c r="U163" s="10">
        <f t="shared" si="132"/>
        <v>0</v>
      </c>
      <c r="V163" s="10">
        <f t="shared" si="133"/>
        <v>0</v>
      </c>
      <c r="W163" s="10">
        <f t="shared" si="134"/>
        <v>0</v>
      </c>
      <c r="X163" s="10">
        <f t="shared" si="135"/>
        <v>0</v>
      </c>
      <c r="Y163" s="71">
        <f t="shared" si="136"/>
        <v>0</v>
      </c>
      <c r="Z163" s="71">
        <f t="shared" si="137"/>
        <v>0</v>
      </c>
      <c r="AA163" s="6"/>
      <c r="AB163" s="6">
        <f t="shared" si="150"/>
        <v>0</v>
      </c>
      <c r="AC163" s="6">
        <f t="shared" si="151"/>
        <v>2102.0262876962802</v>
      </c>
      <c r="AD163" s="6">
        <f t="shared" si="152"/>
        <v>0</v>
      </c>
      <c r="AE163" s="6">
        <f t="shared" si="153"/>
        <v>0</v>
      </c>
      <c r="AF163" s="6">
        <f t="shared" si="154"/>
        <v>0</v>
      </c>
      <c r="AG163" s="6">
        <f t="shared" si="155"/>
        <v>2102.0262876962802</v>
      </c>
      <c r="AH163" s="72">
        <f t="shared" si="156"/>
        <v>0</v>
      </c>
      <c r="AI163" s="6">
        <f t="shared" si="157"/>
        <v>0</v>
      </c>
      <c r="AJ163" s="6">
        <f t="shared" si="158"/>
        <v>2102.0262876962802</v>
      </c>
      <c r="AK163" s="6">
        <f t="shared" si="159"/>
        <v>0</v>
      </c>
      <c r="AL163" s="6">
        <f t="shared" si="160"/>
        <v>0</v>
      </c>
      <c r="AM163" s="6">
        <f t="shared" si="161"/>
        <v>0</v>
      </c>
      <c r="AN163" s="6">
        <f t="shared" si="162"/>
        <v>2102.0262876962802</v>
      </c>
      <c r="AO163" s="72">
        <f t="shared" si="163"/>
        <v>0</v>
      </c>
      <c r="AP163" s="6">
        <f t="shared" si="164"/>
        <v>0</v>
      </c>
      <c r="AQ163" s="6">
        <f t="shared" si="165"/>
        <v>2102.0262876962802</v>
      </c>
      <c r="AR163" s="6">
        <f t="shared" si="166"/>
        <v>0</v>
      </c>
      <c r="AS163" s="6">
        <f t="shared" si="167"/>
        <v>0</v>
      </c>
      <c r="AT163" s="6">
        <f t="shared" si="168"/>
        <v>0</v>
      </c>
      <c r="AU163" s="6">
        <f t="shared" si="169"/>
        <v>2102.0262876962802</v>
      </c>
      <c r="AV163" s="72">
        <f t="shared" si="170"/>
        <v>0</v>
      </c>
      <c r="AW163" s="72">
        <f t="shared" si="171"/>
        <v>0</v>
      </c>
      <c r="BC163">
        <v>2.8099800957108636</v>
      </c>
      <c r="BD163">
        <v>117.95416780143987</v>
      </c>
      <c r="BE163">
        <v>-38.591317860804622</v>
      </c>
      <c r="BF163" s="6">
        <f t="shared" si="172"/>
        <v>5.9669900351444971</v>
      </c>
      <c r="BG163" s="6">
        <f t="shared" si="173"/>
        <v>3.1570099394336335</v>
      </c>
      <c r="BH163" s="6">
        <f t="shared" si="174"/>
        <v>3.1262337637489441</v>
      </c>
      <c r="BI163" s="6">
        <f t="shared" si="175"/>
        <v>3.1262337637489441</v>
      </c>
      <c r="BJ163">
        <v>131.0601864460443</v>
      </c>
      <c r="BK163">
        <v>-42.879242067560689</v>
      </c>
      <c r="BV163" s="38"/>
      <c r="BW163" s="6">
        <f t="shared" si="113"/>
        <v>2.5830872929516033</v>
      </c>
      <c r="BX163" s="9">
        <f t="shared" ca="1" si="114"/>
        <v>-7.6597244878927881</v>
      </c>
      <c r="BY163" s="9">
        <f t="shared" ca="1" si="115"/>
        <v>3.5389474897823163</v>
      </c>
      <c r="BZ163" s="9">
        <f t="shared" ca="1" si="116"/>
        <v>118.21479326620494</v>
      </c>
      <c r="CA163" s="6">
        <f t="shared" ca="1" si="117"/>
        <v>-38.419225094916918</v>
      </c>
      <c r="CB163" s="6">
        <f t="shared" ca="1" si="118"/>
        <v>-0.31422744069140324</v>
      </c>
      <c r="CC163" s="6">
        <f t="shared" ca="1" si="119"/>
        <v>-1.6293527532459384E-3</v>
      </c>
      <c r="CD163" s="9">
        <f t="shared" si="120"/>
        <v>130.41479326620492</v>
      </c>
      <c r="CE163" s="9">
        <f t="shared" si="121"/>
        <v>-42.619225094916921</v>
      </c>
      <c r="CF163" s="6">
        <f t="shared" si="122"/>
        <v>-0.31585679344464918</v>
      </c>
      <c r="CG163" s="6"/>
      <c r="CH163" s="6"/>
      <c r="CI163" s="6"/>
      <c r="CJ163" s="1"/>
      <c r="CK163" s="6"/>
    </row>
    <row r="164" spans="1:89" ht="15.75" thickBot="1" x14ac:dyDescent="0.3">
      <c r="A164" s="1" t="s">
        <v>94</v>
      </c>
      <c r="B164" s="6">
        <f t="shared" ref="B164:E164" si="181">B56</f>
        <v>6.2141905155146508</v>
      </c>
      <c r="C164" s="6">
        <f t="shared" si="181"/>
        <v>-3.6583925755566149</v>
      </c>
      <c r="D164" s="6">
        <f t="shared" si="181"/>
        <v>5.3199115589857549</v>
      </c>
      <c r="E164" s="6">
        <f t="shared" si="181"/>
        <v>12.316596161463188</v>
      </c>
      <c r="F164" s="6">
        <f t="shared" si="139"/>
        <v>0.98647354193955583</v>
      </c>
      <c r="G164" s="6">
        <f t="shared" si="140"/>
        <v>0.95558990746546735</v>
      </c>
      <c r="H164" s="6">
        <f t="shared" si="141"/>
        <v>5.3596265701968884</v>
      </c>
      <c r="I164" s="6">
        <f t="shared" si="142"/>
        <v>11.607145433414022</v>
      </c>
      <c r="J164" s="6">
        <f t="shared" si="143"/>
        <v>5.3320079857855811</v>
      </c>
      <c r="K164" s="6">
        <f t="shared" si="144"/>
        <v>12.100511146295823</v>
      </c>
      <c r="L164" s="6"/>
      <c r="M164" s="11">
        <f t="shared" si="145"/>
        <v>7467.9291343283303</v>
      </c>
      <c r="N164" s="11">
        <f t="shared" si="146"/>
        <v>88982.971218966326</v>
      </c>
      <c r="O164" s="11">
        <f t="shared" si="147"/>
        <v>19948.233101658894</v>
      </c>
      <c r="P164" s="6">
        <f t="shared" si="129"/>
        <v>-9377.084591607907</v>
      </c>
      <c r="Q164" s="6">
        <f t="shared" si="148"/>
        <v>-2484.5423755523843</v>
      </c>
      <c r="R164" s="6">
        <f t="shared" si="130"/>
        <v>5010.8812193593176</v>
      </c>
      <c r="S164" s="6">
        <f t="shared" si="131"/>
        <v>6746.0694395668297</v>
      </c>
      <c r="T164" s="71">
        <f t="shared" si="149"/>
        <v>-558.13491142700889</v>
      </c>
      <c r="U164" s="10">
        <f t="shared" si="132"/>
        <v>-49229.694105941504</v>
      </c>
      <c r="V164" s="10">
        <f t="shared" si="133"/>
        <v>14582.236850133409</v>
      </c>
      <c r="W164" s="10">
        <f t="shared" si="134"/>
        <v>7601.0299239898832</v>
      </c>
      <c r="X164" s="10">
        <f t="shared" si="135"/>
        <v>26984.277758267319</v>
      </c>
      <c r="Y164" s="71">
        <f t="shared" si="136"/>
        <v>-333.09850572979821</v>
      </c>
      <c r="Z164" s="71">
        <f t="shared" si="137"/>
        <v>-891.23341715680704</v>
      </c>
      <c r="AA164" s="6"/>
      <c r="AB164" s="6">
        <f t="shared" si="150"/>
        <v>-2423.6151718958386</v>
      </c>
      <c r="AC164" s="6">
        <f t="shared" si="151"/>
        <v>2102.0262876962802</v>
      </c>
      <c r="AD164" s="6">
        <f t="shared" si="152"/>
        <v>-1052.7632371691325</v>
      </c>
      <c r="AE164" s="6">
        <f t="shared" si="153"/>
        <v>1162.3993992780706</v>
      </c>
      <c r="AF164" s="6">
        <f t="shared" si="154"/>
        <v>210.55264743382645</v>
      </c>
      <c r="AG164" s="6">
        <f t="shared" si="155"/>
        <v>-1.4000746567937767</v>
      </c>
      <c r="AH164" s="72">
        <f t="shared" si="156"/>
        <v>-40.217980321713895</v>
      </c>
      <c r="AI164" s="6">
        <f t="shared" si="157"/>
        <v>-1211.8075859479193</v>
      </c>
      <c r="AJ164" s="6">
        <f t="shared" si="158"/>
        <v>2102.0262876962802</v>
      </c>
      <c r="AK164" s="6">
        <f t="shared" si="159"/>
        <v>-2105.526474338265</v>
      </c>
      <c r="AL164" s="6">
        <f t="shared" si="160"/>
        <v>581.19969963903532</v>
      </c>
      <c r="AM164" s="6">
        <f t="shared" si="161"/>
        <v>631.65794230147947</v>
      </c>
      <c r="AN164" s="6">
        <f t="shared" si="162"/>
        <v>-2.4501306493892798</v>
      </c>
      <c r="AO164" s="72">
        <f t="shared" si="163"/>
        <v>-70.01878424142626</v>
      </c>
      <c r="AP164" s="6">
        <f t="shared" si="164"/>
        <v>-403.93586198263972</v>
      </c>
      <c r="AQ164" s="6">
        <f t="shared" si="165"/>
        <v>2102.0262876962802</v>
      </c>
      <c r="AR164" s="6">
        <f t="shared" si="166"/>
        <v>-3158.2897115073974</v>
      </c>
      <c r="AS164" s="6">
        <f t="shared" si="167"/>
        <v>193.73323321301174</v>
      </c>
      <c r="AT164" s="6">
        <f t="shared" si="168"/>
        <v>1263.3158846029589</v>
      </c>
      <c r="AU164" s="6">
        <f t="shared" si="169"/>
        <v>-3.1501679777863956</v>
      </c>
      <c r="AV164" s="72">
        <f t="shared" si="170"/>
        <v>-89.560249515915132</v>
      </c>
      <c r="AW164" s="72">
        <f t="shared" si="171"/>
        <v>-199.79701407905529</v>
      </c>
      <c r="BC164">
        <v>2.8274333882308067</v>
      </c>
      <c r="BD164">
        <v>117.91962103397125</v>
      </c>
      <c r="BE164">
        <v>-38.620318993269954</v>
      </c>
      <c r="BF164" s="6">
        <f t="shared" si="172"/>
        <v>5.9666813235970695</v>
      </c>
      <c r="BG164" s="6">
        <f t="shared" si="173"/>
        <v>3.1392479353662628</v>
      </c>
      <c r="BH164" s="6">
        <f t="shared" si="174"/>
        <v>3.1265424752963717</v>
      </c>
      <c r="BI164" s="6">
        <f t="shared" si="175"/>
        <v>3.1265424752963717</v>
      </c>
      <c r="BJ164">
        <v>131.02180114885695</v>
      </c>
      <c r="BK164">
        <v>-42.911465548077729</v>
      </c>
      <c r="BV164" s="38"/>
      <c r="BW164" s="6">
        <f t="shared" si="113"/>
        <v>2.6005405854715464</v>
      </c>
      <c r="BX164" s="9">
        <f t="shared" ca="1" si="114"/>
        <v>-7.6723996576458404</v>
      </c>
      <c r="BY164" s="9">
        <f t="shared" ca="1" si="115"/>
        <v>3.531490657533503</v>
      </c>
      <c r="BZ164" s="9">
        <f t="shared" ca="1" si="116"/>
        <v>118.20211809645188</v>
      </c>
      <c r="CA164" s="6">
        <f t="shared" ca="1" si="117"/>
        <v>-38.426681927165731</v>
      </c>
      <c r="CB164" s="6">
        <f t="shared" ca="1" si="118"/>
        <v>-0.31431601783376406</v>
      </c>
      <c r="CC164" s="6">
        <f t="shared" ca="1" si="119"/>
        <v>-1.6211390280934657E-3</v>
      </c>
      <c r="CD164" s="9">
        <f t="shared" si="120"/>
        <v>130.40211809645189</v>
      </c>
      <c r="CE164" s="9">
        <f t="shared" si="121"/>
        <v>-42.626681927165734</v>
      </c>
      <c r="CF164" s="6">
        <f t="shared" si="122"/>
        <v>-0.31593715686185753</v>
      </c>
      <c r="CG164" s="6"/>
      <c r="CH164" s="6"/>
      <c r="CI164" s="6"/>
      <c r="CJ164" s="1"/>
      <c r="CK164" s="6"/>
    </row>
    <row r="165" spans="1:89" ht="15.75" thickTop="1" x14ac:dyDescent="0.25">
      <c r="M165" s="6">
        <f>SUM(M157:M164)</f>
        <v>10044.210459409198</v>
      </c>
      <c r="N165" s="6">
        <f t="shared" ref="N165:O165" si="182">SUM(N157:N164)</f>
        <v>119320.60592124583</v>
      </c>
      <c r="O165" s="6">
        <f t="shared" si="182"/>
        <v>14365.427484461668</v>
      </c>
      <c r="AA165" s="52"/>
      <c r="AC165" s="52"/>
      <c r="BC165">
        <v>2.8448866807507498</v>
      </c>
      <c r="BD165">
        <v>117.88129200124247</v>
      </c>
      <c r="BE165">
        <v>-38.654708144089355</v>
      </c>
      <c r="BF165" s="6">
        <f t="shared" si="172"/>
        <v>5.9663217250641836</v>
      </c>
      <c r="BG165" s="6">
        <f t="shared" si="173"/>
        <v>3.1214350443134338</v>
      </c>
      <c r="BH165" s="6">
        <f t="shared" si="174"/>
        <v>3.1269020738292577</v>
      </c>
      <c r="BI165" s="6">
        <f t="shared" si="175"/>
        <v>3.1269020738292577</v>
      </c>
      <c r="BJ165">
        <v>130.97921333471385</v>
      </c>
      <c r="BK165">
        <v>-42.949675715654841</v>
      </c>
      <c r="BV165" s="38"/>
      <c r="BW165" s="6">
        <f t="shared" si="113"/>
        <v>2.6179938779914895</v>
      </c>
      <c r="BX165" s="9">
        <f t="shared" ca="1" si="114"/>
        <v>-7.6858613235718423</v>
      </c>
      <c r="BY165" s="9">
        <f t="shared" ca="1" si="115"/>
        <v>3.5236386243669955</v>
      </c>
      <c r="BZ165" s="9">
        <f t="shared" ca="1" si="116"/>
        <v>118.18865643052588</v>
      </c>
      <c r="CA165" s="6">
        <f t="shared" ca="1" si="117"/>
        <v>-38.434533960332239</v>
      </c>
      <c r="CB165" s="6">
        <f t="shared" ca="1" si="118"/>
        <v>-0.3144095899436557</v>
      </c>
      <c r="CC165" s="6">
        <f t="shared" ca="1" si="119"/>
        <v>-1.6124617244967501E-3</v>
      </c>
      <c r="CD165" s="9">
        <f t="shared" si="120"/>
        <v>130.38865643052588</v>
      </c>
      <c r="CE165" s="9">
        <f t="shared" si="121"/>
        <v>-42.634533960332242</v>
      </c>
      <c r="CF165" s="6">
        <f t="shared" si="122"/>
        <v>-0.31602205166815245</v>
      </c>
      <c r="CG165" s="6"/>
      <c r="CH165" s="6"/>
      <c r="CI165" s="6"/>
      <c r="CJ165" s="1"/>
      <c r="CK165" s="6"/>
    </row>
    <row r="166" spans="1:89" x14ac:dyDescent="0.25">
      <c r="A166" t="s">
        <v>183</v>
      </c>
      <c r="M166" s="6"/>
      <c r="N166" s="1"/>
      <c r="O166" s="1"/>
      <c r="BC166">
        <v>2.8623399732706929</v>
      </c>
      <c r="BD166">
        <v>117.83852187016991</v>
      </c>
      <c r="BE166">
        <v>-38.695933142620568</v>
      </c>
      <c r="BF166" s="6">
        <f t="shared" si="172"/>
        <v>5.9658984434712972</v>
      </c>
      <c r="BG166" s="6">
        <f t="shared" si="173"/>
        <v>3.1035584702006043</v>
      </c>
      <c r="BH166" s="6">
        <f t="shared" si="174"/>
        <v>3.1273253554221441</v>
      </c>
      <c r="BI166" s="6">
        <f t="shared" si="175"/>
        <v>3.1273253554221441</v>
      </c>
      <c r="BJ166">
        <v>130.93169096685546</v>
      </c>
      <c r="BK166">
        <v>-42.995481269578406</v>
      </c>
      <c r="BV166" s="38"/>
      <c r="BW166" s="6">
        <f t="shared" si="113"/>
        <v>2.6354471705114326</v>
      </c>
      <c r="BX166" s="9">
        <f t="shared" ca="1" si="114"/>
        <v>-7.7001911717063649</v>
      </c>
      <c r="BY166" s="9">
        <f t="shared" ca="1" si="115"/>
        <v>3.5153017647702072</v>
      </c>
      <c r="BZ166" s="9">
        <f t="shared" ca="1" si="116"/>
        <v>118.17432658239136</v>
      </c>
      <c r="CA166" s="6">
        <f t="shared" ca="1" si="117"/>
        <v>-38.442870819929027</v>
      </c>
      <c r="CB166" s="6">
        <f t="shared" ca="1" si="118"/>
        <v>-0.31450904886681624</v>
      </c>
      <c r="CC166" s="6">
        <f t="shared" ca="1" si="119"/>
        <v>-1.6032373192723659E-3</v>
      </c>
      <c r="CD166" s="9">
        <f t="shared" si="120"/>
        <v>130.37432658239135</v>
      </c>
      <c r="CE166" s="9">
        <f t="shared" si="121"/>
        <v>-42.64287081992903</v>
      </c>
      <c r="CF166" s="6">
        <f t="shared" si="122"/>
        <v>-0.31611228618608861</v>
      </c>
      <c r="CG166" s="6"/>
      <c r="CH166" s="6"/>
      <c r="CI166" s="6"/>
      <c r="CJ166" s="1"/>
      <c r="CK166" s="6"/>
    </row>
    <row r="167" spans="1:89" x14ac:dyDescent="0.25">
      <c r="B167" t="str">
        <f t="shared" ref="B167:E167" si="183">B156</f>
        <v>xi (in)</v>
      </c>
      <c r="C167" t="str">
        <f t="shared" si="183"/>
        <v>yi (in)</v>
      </c>
      <c r="D167" t="str">
        <f t="shared" si="183"/>
        <v>xj (in)</v>
      </c>
      <c r="E167" t="str">
        <f t="shared" si="183"/>
        <v>yj (in)</v>
      </c>
      <c r="F167" s="1" t="s">
        <v>184</v>
      </c>
      <c r="G167" s="1" t="s">
        <v>185</v>
      </c>
      <c r="H167" s="1" t="s">
        <v>179</v>
      </c>
      <c r="I167" s="1" t="s">
        <v>180</v>
      </c>
      <c r="J167" s="1" t="s">
        <v>181</v>
      </c>
      <c r="K167" s="1" t="s">
        <v>182</v>
      </c>
      <c r="L167" s="1" t="s">
        <v>38</v>
      </c>
      <c r="M167" s="1" t="s">
        <v>39</v>
      </c>
      <c r="N167" s="1" t="s">
        <v>40</v>
      </c>
      <c r="O167" s="1" t="s">
        <v>41</v>
      </c>
      <c r="P167" s="1" t="s">
        <v>42</v>
      </c>
      <c r="BC167">
        <v>2.879793265790636</v>
      </c>
      <c r="BD167">
        <v>117.79048928726726</v>
      </c>
      <c r="BE167">
        <v>-38.745931675275337</v>
      </c>
      <c r="BF167" s="6">
        <f t="shared" si="172"/>
        <v>5.9653945009299392</v>
      </c>
      <c r="BG167" s="6">
        <f t="shared" si="173"/>
        <v>3.0856012351393032</v>
      </c>
      <c r="BH167" s="6">
        <f t="shared" si="174"/>
        <v>3.1278292979635021</v>
      </c>
      <c r="BI167" s="6">
        <f t="shared" si="175"/>
        <v>3.1278292979635021</v>
      </c>
      <c r="BJ167">
        <v>130.87832143029695</v>
      </c>
      <c r="BK167">
        <v>-43.051035194750376</v>
      </c>
      <c r="BV167" s="38"/>
      <c r="BW167" s="6">
        <f t="shared" si="113"/>
        <v>2.6529004630313757</v>
      </c>
      <c r="BX167" s="9">
        <f t="shared" ca="1" si="114"/>
        <v>-7.7154816072505241</v>
      </c>
      <c r="BY167" s="9">
        <f t="shared" ca="1" si="115"/>
        <v>3.5063746500553847</v>
      </c>
      <c r="BZ167" s="9">
        <f t="shared" ca="1" si="116"/>
        <v>118.1590361468472</v>
      </c>
      <c r="CA167" s="6">
        <f t="shared" ca="1" si="117"/>
        <v>-38.451797934643849</v>
      </c>
      <c r="CB167" s="6">
        <f t="shared" ca="1" si="118"/>
        <v>-0.31461543473626868</v>
      </c>
      <c r="CC167" s="6">
        <f t="shared" ca="1" si="119"/>
        <v>-1.5933683464933737E-3</v>
      </c>
      <c r="CD167" s="9">
        <f t="shared" si="120"/>
        <v>130.35903614684719</v>
      </c>
      <c r="CE167" s="9">
        <f t="shared" si="121"/>
        <v>-42.651797934643852</v>
      </c>
      <c r="CF167" s="6">
        <f t="shared" si="122"/>
        <v>-0.31620880308276206</v>
      </c>
      <c r="CG167" s="6"/>
      <c r="CH167" s="6"/>
      <c r="CI167" s="6"/>
      <c r="CJ167" s="1"/>
      <c r="CK167" s="6"/>
    </row>
    <row r="168" spans="1:89" x14ac:dyDescent="0.25">
      <c r="A168" s="1" t="str">
        <f t="shared" ref="A168:E175" si="184">A157</f>
        <v>Segment 1</v>
      </c>
      <c r="B168" s="6">
        <f t="shared" si="184"/>
        <v>5.3199115589857549</v>
      </c>
      <c r="C168" s="6">
        <f t="shared" si="184"/>
        <v>12.316596161463188</v>
      </c>
      <c r="D168" s="6">
        <f t="shared" si="184"/>
        <v>-6.6613299937790984</v>
      </c>
      <c r="E168" s="6">
        <f t="shared" si="184"/>
        <v>11.645886944066518</v>
      </c>
      <c r="F168" s="6">
        <f>IF(E168-C168=0,0,MIN(MAX(($B$148-C168)/(E168-C168),0),1))</f>
        <v>0</v>
      </c>
      <c r="G168" s="6">
        <f>IF(E168-C168=0,0,MIN(MAX(($B$152-C168)/(E168-C168),0),1))</f>
        <v>0.32217391615116114</v>
      </c>
      <c r="H168" s="6">
        <f>IF(AND(F168=0,G168=0),0,IF(C168&gt;E168,B168+(F168*(D168-B168)),B168+(G168*(D168-B168))))</f>
        <v>5.3199115589857549</v>
      </c>
      <c r="I168" s="6">
        <f>IF(AND(F168=0,G168=0),0,IF(C168&gt;E168,C168+(F168*(E168-C168)),C168+(G168*(E168-C168))))</f>
        <v>12.316596161463188</v>
      </c>
      <c r="J168" s="9">
        <f>IF(AND(F168=0,G168=0),0,IF(C168&gt;E168,B168+(G168*(D168-B168)),B168+(F168*(D168-B168))))</f>
        <v>1.4598680475784831</v>
      </c>
      <c r="K168" s="9">
        <f>IF(AND(F168=0,G168=0),0,IF(C168&gt;E168,C168+(G168*(E168-C168)),C168+(F168*(E168-C168))))</f>
        <v>12.100511146295823</v>
      </c>
      <c r="L168" s="6">
        <f>0.85*$B$143</f>
        <v>4250</v>
      </c>
      <c r="M168" s="6">
        <f>L168</f>
        <v>4250</v>
      </c>
      <c r="N168" s="10">
        <f t="shared" ref="N168" si="185">(1/6)*(K168-I168)*((L168*((2*H168)+J168))+(M168*(H168+(2*J168))))</f>
        <v>-3113.1436556211384</v>
      </c>
      <c r="O168" s="10">
        <f t="shared" ref="O168" si="186">((1/12)*(K168-I168)*(L168*H168*((3*I168)+K168)+L168*J168*(I168+K168)+M168*H168*(I168+K168)+M168*J168*(I168+(3*K168))))</f>
        <v>-38070.814929572065</v>
      </c>
      <c r="P168" s="10">
        <f>((1/24)*(K168-I168)*(H168*H168*((3*L168)+M168)+2*H168*J168*(L168+M168)+J168*J168*(L168+(3*M168))))</f>
        <v>-5846.7538308236608</v>
      </c>
      <c r="BC168">
        <v>2.8972465583105791</v>
      </c>
      <c r="BD168">
        <v>117.73615656738845</v>
      </c>
      <c r="BE168">
        <v>-38.807340931399537</v>
      </c>
      <c r="BF168" s="6">
        <f t="shared" si="172"/>
        <v>5.9647869870934613</v>
      </c>
      <c r="BG168" s="6">
        <f t="shared" si="173"/>
        <v>3.0675404287828822</v>
      </c>
      <c r="BH168" s="6">
        <f t="shared" si="174"/>
        <v>3.1284368117999799</v>
      </c>
      <c r="BI168" s="6">
        <f t="shared" si="175"/>
        <v>3.1284368117999799</v>
      </c>
      <c r="BJ168">
        <v>130.81795174154271</v>
      </c>
      <c r="BK168">
        <v>-43.119267701555039</v>
      </c>
      <c r="BV168" s="38"/>
      <c r="BW168" s="6">
        <f t="shared" si="113"/>
        <v>2.6703537555513188</v>
      </c>
      <c r="BX168" s="9">
        <f t="shared" ca="1" si="114"/>
        <v>-7.7318376898513748</v>
      </c>
      <c r="BY168" s="9">
        <f t="shared" ca="1" si="115"/>
        <v>3.4967322704177164</v>
      </c>
      <c r="BZ168" s="9">
        <f t="shared" ca="1" si="116"/>
        <v>118.14268006424635</v>
      </c>
      <c r="CA168" s="6">
        <f t="shared" ca="1" si="117"/>
        <v>-38.461440314281518</v>
      </c>
      <c r="CB168" s="6">
        <f t="shared" ca="1" si="118"/>
        <v>-0.31472996988230545</v>
      </c>
      <c r="CC168" s="6">
        <f t="shared" ca="1" si="119"/>
        <v>-1.5827402001961643E-3</v>
      </c>
      <c r="CD168" s="9">
        <f t="shared" si="120"/>
        <v>130.34268006424634</v>
      </c>
      <c r="CE168" s="9">
        <f t="shared" si="121"/>
        <v>-42.661440314281521</v>
      </c>
      <c r="CF168" s="6">
        <f t="shared" si="122"/>
        <v>-0.31631271008250161</v>
      </c>
      <c r="CG168" s="6"/>
      <c r="CH168" s="6"/>
      <c r="CI168" s="6"/>
      <c r="CJ168" s="1"/>
      <c r="CK168" s="6"/>
    </row>
    <row r="169" spans="1:89" x14ac:dyDescent="0.25">
      <c r="A169" s="1" t="str">
        <f t="shared" si="184"/>
        <v>Segment 2</v>
      </c>
      <c r="B169" s="6">
        <f t="shared" si="184"/>
        <v>-6.6613299937790984</v>
      </c>
      <c r="C169" s="6">
        <f t="shared" si="184"/>
        <v>11.645886944066518</v>
      </c>
      <c r="D169" s="6">
        <f t="shared" si="184"/>
        <v>-5.7670510372502024</v>
      </c>
      <c r="E169" s="6">
        <f t="shared" si="184"/>
        <v>-4.3291017929532867</v>
      </c>
      <c r="F169" s="6">
        <f t="shared" ref="F169:F175" si="187">IF(E169-C169=0,0,MIN(MAX(($B$148-C169)/(E169-C169),0),1))</f>
        <v>0</v>
      </c>
      <c r="G169" s="6">
        <f t="shared" ref="G169:G175" si="188">IF(E169-C169=0,0,MIN(MAX(($B$152-C169)/(E169-C169),0),1))</f>
        <v>0</v>
      </c>
      <c r="H169" s="6">
        <f t="shared" ref="H169:H175" si="189">IF(AND(F169=0,G169=0),0,IF(C169&gt;E169,B169+(F169*(D169-B169)),B169+(G169*(D169-B169))))</f>
        <v>0</v>
      </c>
      <c r="I169" s="6">
        <f t="shared" ref="I169:I175" si="190">IF(AND(F169=0,G169=0),0,IF(C169&gt;E169,C169+(F169*(E169-C169)),C169+(G169*(E169-C169))))</f>
        <v>0</v>
      </c>
      <c r="J169" s="9">
        <f t="shared" ref="J169:J175" si="191">IF(AND(F169=0,G169=0),0,IF(C169&gt;E169,B169+(G169*(D169-B169)),B169+(F169*(D169-B169))))</f>
        <v>0</v>
      </c>
      <c r="K169" s="9">
        <f t="shared" ref="K169:K175" si="192">IF(AND(F169=0,G169=0),0,IF(C169&gt;E169,C169+(G169*(E169-C169)),C169+(F169*(E169-C169))))</f>
        <v>0</v>
      </c>
      <c r="L169" s="6">
        <f t="shared" ref="L169:L175" si="193">0.85*$B$143</f>
        <v>4250</v>
      </c>
      <c r="M169" s="6">
        <f t="shared" ref="M169:M175" si="194">L169</f>
        <v>4250</v>
      </c>
      <c r="N169" s="10">
        <f t="shared" ref="N169:N175" si="195">(1/6)*(K169-I169)*((L169*((2*H169)+J169))+(M169*(H169+(2*J169))))</f>
        <v>0</v>
      </c>
      <c r="O169" s="10">
        <f t="shared" ref="O169:O175" si="196">((1/12)*(K169-I169)*(L169*H169*((3*I169)+K169)+L169*J169*(I169+K169)+M169*H169*(I169+K169)+M169*J169*(I169+(3*K169))))</f>
        <v>0</v>
      </c>
      <c r="P169" s="10">
        <f t="shared" ref="P169:P175" si="197">((1/24)*(K169-I169)*(H169*H169*((3*L169)+M169)+2*H169*J169*(L169+M169)+J169*J169*(L169+(3*M169))))</f>
        <v>0</v>
      </c>
      <c r="BC169">
        <v>2.9146998508305222</v>
      </c>
      <c r="BD169">
        <v>117.69439245944842</v>
      </c>
      <c r="BE169">
        <v>-38.875042391643376</v>
      </c>
      <c r="BF169" s="6">
        <f t="shared" si="172"/>
        <v>5.9641627543353959</v>
      </c>
      <c r="BG169" s="6">
        <f t="shared" si="173"/>
        <v>3.0494629035048737</v>
      </c>
      <c r="BH169" s="6">
        <f t="shared" si="174"/>
        <v>3.1290610445580453</v>
      </c>
      <c r="BI169" s="6">
        <f t="shared" si="175"/>
        <v>3.1290610445580453</v>
      </c>
      <c r="BJ169">
        <v>130.7715471771649</v>
      </c>
      <c r="BK169">
        <v>-43.19449154627042</v>
      </c>
      <c r="BV169" s="38"/>
      <c r="BW169" s="6">
        <f t="shared" si="113"/>
        <v>2.6878070480712619</v>
      </c>
      <c r="BX169" s="9">
        <f t="shared" ca="1" si="114"/>
        <v>-7.7493795085656814</v>
      </c>
      <c r="BY169" s="9">
        <f t="shared" ca="1" si="115"/>
        <v>3.4862252386518975</v>
      </c>
      <c r="BZ169" s="9">
        <f t="shared" ca="1" si="116"/>
        <v>118.12513824553204</v>
      </c>
      <c r="CA169" s="6">
        <f t="shared" ca="1" si="117"/>
        <v>-38.471947346047337</v>
      </c>
      <c r="CB169" s="6">
        <f t="shared" ca="1" si="118"/>
        <v>-0.31485410168646533</v>
      </c>
      <c r="CC169" s="6">
        <f t="shared" ca="1" si="119"/>
        <v>-1.5712170921220461E-3</v>
      </c>
      <c r="CD169" s="9">
        <f t="shared" si="120"/>
        <v>130.32513824553203</v>
      </c>
      <c r="CE169" s="9">
        <f t="shared" si="121"/>
        <v>-42.67194734604734</v>
      </c>
      <c r="CF169" s="6">
        <f t="shared" si="122"/>
        <v>-0.31642531877858737</v>
      </c>
      <c r="CG169" s="6"/>
      <c r="CH169" s="6"/>
      <c r="CI169" s="6"/>
      <c r="CJ169" s="1"/>
      <c r="CK169" s="6"/>
    </row>
    <row r="170" spans="1:89" x14ac:dyDescent="0.25">
      <c r="A170" s="1" t="str">
        <f t="shared" si="184"/>
        <v>Segment 3</v>
      </c>
      <c r="B170" s="6">
        <f t="shared" si="184"/>
        <v>-5.7670510372502024</v>
      </c>
      <c r="C170" s="6">
        <f t="shared" si="184"/>
        <v>-4.3291017929532867</v>
      </c>
      <c r="D170" s="6">
        <f t="shared" si="184"/>
        <v>-5.7670510372502024</v>
      </c>
      <c r="E170" s="6">
        <f t="shared" si="184"/>
        <v>-4.3291017929532867</v>
      </c>
      <c r="F170" s="6">
        <f t="shared" si="187"/>
        <v>0</v>
      </c>
      <c r="G170" s="6">
        <f t="shared" si="188"/>
        <v>0</v>
      </c>
      <c r="H170" s="6">
        <f t="shared" si="189"/>
        <v>0</v>
      </c>
      <c r="I170" s="6">
        <f t="shared" si="190"/>
        <v>0</v>
      </c>
      <c r="J170" s="9">
        <f t="shared" si="191"/>
        <v>0</v>
      </c>
      <c r="K170" s="9">
        <f t="shared" si="192"/>
        <v>0</v>
      </c>
      <c r="L170" s="6">
        <f t="shared" si="193"/>
        <v>4250</v>
      </c>
      <c r="M170" s="6">
        <f t="shared" si="194"/>
        <v>4250</v>
      </c>
      <c r="N170" s="10">
        <f t="shared" si="195"/>
        <v>0</v>
      </c>
      <c r="O170" s="10">
        <f t="shared" si="196"/>
        <v>0</v>
      </c>
      <c r="P170" s="10">
        <f t="shared" si="197"/>
        <v>0</v>
      </c>
      <c r="BC170">
        <v>2.9321531433504653</v>
      </c>
      <c r="BD170">
        <v>117.68004757477411</v>
      </c>
      <c r="BE170">
        <v>-38.939798058788206</v>
      </c>
      <c r="BF170" s="6">
        <f t="shared" si="172"/>
        <v>5.9636304059932854</v>
      </c>
      <c r="BG170" s="6">
        <f t="shared" si="173"/>
        <v>3.0314772626428201</v>
      </c>
      <c r="BH170" s="6">
        <f t="shared" si="174"/>
        <v>3.1295933929001558</v>
      </c>
      <c r="BI170" s="6">
        <f t="shared" si="175"/>
        <v>3.1295933929001558</v>
      </c>
      <c r="BJ170">
        <v>130.75560841641567</v>
      </c>
      <c r="BK170">
        <v>-43.266442287542453</v>
      </c>
      <c r="BV170" s="38"/>
      <c r="BW170" s="6">
        <f t="shared" si="113"/>
        <v>2.705260340591205</v>
      </c>
      <c r="BX170" s="9">
        <f t="shared" ca="1" si="114"/>
        <v>-7.768245079470006</v>
      </c>
      <c r="BY170" s="9">
        <f t="shared" ca="1" si="115"/>
        <v>3.474673631282073</v>
      </c>
      <c r="BZ170" s="9">
        <f t="shared" ca="1" si="116"/>
        <v>118.10627267462772</v>
      </c>
      <c r="CA170" s="6">
        <f t="shared" ca="1" si="117"/>
        <v>-38.483498953417161</v>
      </c>
      <c r="CB170" s="6">
        <f t="shared" ca="1" si="118"/>
        <v>-0.31498955724020938</v>
      </c>
      <c r="CC170" s="6">
        <f t="shared" ca="1" si="119"/>
        <v>-1.5586368933608319E-3</v>
      </c>
      <c r="CD170" s="9">
        <f t="shared" si="120"/>
        <v>130.30627267462771</v>
      </c>
      <c r="CE170" s="9">
        <f t="shared" si="121"/>
        <v>-42.683498953417164</v>
      </c>
      <c r="CF170" s="6">
        <f t="shared" si="122"/>
        <v>-0.31654819413357022</v>
      </c>
      <c r="CG170" s="6"/>
      <c r="CH170" s="6"/>
      <c r="CI170" s="6"/>
      <c r="CJ170" s="1"/>
      <c r="CK170" s="6"/>
    </row>
    <row r="171" spans="1:89" x14ac:dyDescent="0.25">
      <c r="A171" s="1" t="str">
        <f t="shared" si="184"/>
        <v>Segment 4</v>
      </c>
      <c r="B171" s="6">
        <f t="shared" si="184"/>
        <v>-5.7670510372502024</v>
      </c>
      <c r="C171" s="6">
        <f t="shared" si="184"/>
        <v>-4.3291017929532867</v>
      </c>
      <c r="D171" s="6">
        <f t="shared" si="184"/>
        <v>-5.3199115589857549</v>
      </c>
      <c r="E171" s="6">
        <f t="shared" si="184"/>
        <v>-12.316596161463188</v>
      </c>
      <c r="F171" s="6">
        <f t="shared" si="187"/>
        <v>0</v>
      </c>
      <c r="G171" s="6">
        <f t="shared" si="188"/>
        <v>0</v>
      </c>
      <c r="H171" s="6">
        <f t="shared" si="189"/>
        <v>0</v>
      </c>
      <c r="I171" s="6">
        <f t="shared" si="190"/>
        <v>0</v>
      </c>
      <c r="J171" s="9">
        <f t="shared" si="191"/>
        <v>0</v>
      </c>
      <c r="K171" s="9">
        <f t="shared" si="192"/>
        <v>0</v>
      </c>
      <c r="L171" s="6">
        <f t="shared" si="193"/>
        <v>4250</v>
      </c>
      <c r="M171" s="6">
        <f t="shared" si="194"/>
        <v>4250</v>
      </c>
      <c r="N171" s="10">
        <f t="shared" si="195"/>
        <v>0</v>
      </c>
      <c r="O171" s="10">
        <f t="shared" si="196"/>
        <v>0</v>
      </c>
      <c r="P171" s="10">
        <f t="shared" si="197"/>
        <v>0</v>
      </c>
      <c r="BC171">
        <v>2.9496064358704084</v>
      </c>
      <c r="BD171">
        <v>117.66518354254561</v>
      </c>
      <c r="BE171">
        <v>-39.012924299388473</v>
      </c>
      <c r="BF171" s="6">
        <f t="shared" si="172"/>
        <v>5.9630327032132966</v>
      </c>
      <c r="BG171" s="6">
        <f t="shared" si="173"/>
        <v>3.0134262673428882</v>
      </c>
      <c r="BH171" s="6">
        <f t="shared" si="174"/>
        <v>3.1301910956801446</v>
      </c>
      <c r="BI171" s="6">
        <f t="shared" si="175"/>
        <v>3.1301910956801446</v>
      </c>
      <c r="BJ171">
        <v>130.73909282505068</v>
      </c>
      <c r="BK171">
        <v>-43.347693665987194</v>
      </c>
      <c r="BV171" s="38"/>
      <c r="BW171" s="6">
        <f t="shared" si="113"/>
        <v>2.7227136331111481</v>
      </c>
      <c r="BX171" s="9">
        <f t="shared" ca="1" si="114"/>
        <v>-7.7885939226697047</v>
      </c>
      <c r="BY171" s="9">
        <f t="shared" ca="1" si="115"/>
        <v>3.4618590136370386</v>
      </c>
      <c r="BZ171" s="9">
        <f t="shared" ca="1" si="116"/>
        <v>118.08592383142802</v>
      </c>
      <c r="CA171" s="6">
        <f t="shared" ca="1" si="117"/>
        <v>-38.496313571062196</v>
      </c>
      <c r="CB171" s="6">
        <f t="shared" ca="1" si="118"/>
        <v>-0.31513841369631534</v>
      </c>
      <c r="CC171" s="6">
        <f t="shared" ca="1" si="119"/>
        <v>-1.5448044918737747E-3</v>
      </c>
      <c r="CD171" s="9">
        <f t="shared" si="120"/>
        <v>130.28592383142802</v>
      </c>
      <c r="CE171" s="9">
        <f t="shared" si="121"/>
        <v>-42.696313571062198</v>
      </c>
      <c r="CF171" s="6">
        <f t="shared" si="122"/>
        <v>-0.31668321818818912</v>
      </c>
      <c r="CG171" s="6"/>
      <c r="CH171" s="6"/>
      <c r="CI171" s="6"/>
      <c r="CJ171" s="1"/>
      <c r="CK171" s="6"/>
    </row>
    <row r="172" spans="1:89" x14ac:dyDescent="0.25">
      <c r="A172" s="1" t="str">
        <f t="shared" si="184"/>
        <v>Segment 5</v>
      </c>
      <c r="B172" s="6">
        <f t="shared" si="184"/>
        <v>-5.3199115589857549</v>
      </c>
      <c r="C172" s="6">
        <f t="shared" si="184"/>
        <v>-12.316596161463188</v>
      </c>
      <c r="D172" s="6">
        <f t="shared" si="184"/>
        <v>6.6613299937790984</v>
      </c>
      <c r="E172" s="6">
        <f t="shared" si="184"/>
        <v>-11.645886944066518</v>
      </c>
      <c r="F172" s="6">
        <f t="shared" si="187"/>
        <v>1</v>
      </c>
      <c r="G172" s="6">
        <f t="shared" si="188"/>
        <v>1</v>
      </c>
      <c r="H172" s="6">
        <f t="shared" si="189"/>
        <v>6.6613299937790984</v>
      </c>
      <c r="I172" s="6">
        <f t="shared" si="190"/>
        <v>-11.645886944066518</v>
      </c>
      <c r="J172" s="9">
        <f t="shared" si="191"/>
        <v>6.6613299937790984</v>
      </c>
      <c r="K172" s="9">
        <f t="shared" si="192"/>
        <v>-11.645886944066518</v>
      </c>
      <c r="L172" s="6">
        <f t="shared" si="193"/>
        <v>4250</v>
      </c>
      <c r="M172" s="6">
        <f t="shared" si="194"/>
        <v>4250</v>
      </c>
      <c r="N172" s="10">
        <f t="shared" si="195"/>
        <v>0</v>
      </c>
      <c r="O172" s="10">
        <f t="shared" si="196"/>
        <v>0</v>
      </c>
      <c r="P172" s="10">
        <f t="shared" si="197"/>
        <v>0</v>
      </c>
      <c r="BC172">
        <v>2.9670597283903515</v>
      </c>
      <c r="BD172">
        <v>117.64971469310193</v>
      </c>
      <c r="BE172">
        <v>-39.096479308357537</v>
      </c>
      <c r="BF172" s="6">
        <f t="shared" si="172"/>
        <v>5.9623537189570808</v>
      </c>
      <c r="BG172" s="6">
        <f t="shared" si="173"/>
        <v>2.9952939905667293</v>
      </c>
      <c r="BH172" s="6">
        <f t="shared" si="174"/>
        <v>3.1308700799363605</v>
      </c>
      <c r="BI172" s="6">
        <f t="shared" si="175"/>
        <v>3.1308700799363605</v>
      </c>
      <c r="BJ172">
        <v>130.72190521455769</v>
      </c>
      <c r="BK172">
        <v>-43.44053256484171</v>
      </c>
      <c r="BV172" s="38"/>
      <c r="BW172" s="6">
        <f t="shared" si="113"/>
        <v>2.7401669256310912</v>
      </c>
      <c r="BX172" s="9">
        <f t="shared" ca="1" si="114"/>
        <v>-7.8106115375380369</v>
      </c>
      <c r="BY172" s="9">
        <f t="shared" ca="1" si="115"/>
        <v>3.4475140220727667</v>
      </c>
      <c r="BZ172" s="9">
        <f t="shared" ca="1" si="116"/>
        <v>118.06390621655969</v>
      </c>
      <c r="CA172" s="6">
        <f t="shared" ca="1" si="117"/>
        <v>-38.510658562626467</v>
      </c>
      <c r="CB172" s="6">
        <f t="shared" ca="1" si="118"/>
        <v>-0.31530318969339</v>
      </c>
      <c r="CC172" s="6">
        <f t="shared" ca="1" si="119"/>
        <v>-1.5294831565542679E-3</v>
      </c>
      <c r="CD172" s="9">
        <f t="shared" si="120"/>
        <v>130.26390621655969</v>
      </c>
      <c r="CE172" s="9">
        <f t="shared" si="121"/>
        <v>-42.71065856262647</v>
      </c>
      <c r="CF172" s="6">
        <f t="shared" si="122"/>
        <v>-0.31683267284994426</v>
      </c>
      <c r="CG172" s="6"/>
      <c r="CH172" s="6"/>
      <c r="CI172" s="6"/>
      <c r="CJ172" s="1"/>
      <c r="CK172" s="6"/>
    </row>
    <row r="173" spans="1:89" x14ac:dyDescent="0.25">
      <c r="A173" s="1" t="str">
        <f t="shared" si="184"/>
        <v>Segment 6</v>
      </c>
      <c r="B173" s="6">
        <f t="shared" si="184"/>
        <v>6.6613299937790984</v>
      </c>
      <c r="C173" s="6">
        <f t="shared" si="184"/>
        <v>-11.645886944066518</v>
      </c>
      <c r="D173" s="6">
        <f t="shared" si="184"/>
        <v>6.2141905155146508</v>
      </c>
      <c r="E173" s="6">
        <f t="shared" si="184"/>
        <v>-3.6583925755566149</v>
      </c>
      <c r="F173" s="6">
        <f t="shared" si="187"/>
        <v>1</v>
      </c>
      <c r="G173" s="6">
        <f t="shared" si="188"/>
        <v>1</v>
      </c>
      <c r="H173" s="6">
        <f t="shared" si="189"/>
        <v>6.2141905155146508</v>
      </c>
      <c r="I173" s="6">
        <f t="shared" si="190"/>
        <v>-3.6583925755566149</v>
      </c>
      <c r="J173" s="9">
        <f t="shared" si="191"/>
        <v>6.2141905155146508</v>
      </c>
      <c r="K173" s="9">
        <f t="shared" si="192"/>
        <v>-3.6583925755566149</v>
      </c>
      <c r="L173" s="6">
        <f t="shared" si="193"/>
        <v>4250</v>
      </c>
      <c r="M173" s="6">
        <f t="shared" si="194"/>
        <v>4250</v>
      </c>
      <c r="N173" s="10">
        <f t="shared" si="195"/>
        <v>0</v>
      </c>
      <c r="O173" s="10">
        <f t="shared" si="196"/>
        <v>0</v>
      </c>
      <c r="P173" s="10">
        <f t="shared" si="197"/>
        <v>0</v>
      </c>
      <c r="BC173">
        <v>2.9845130209102946</v>
      </c>
      <c r="BD173">
        <v>117.6335341803271</v>
      </c>
      <c r="BE173">
        <v>-39.193301880548809</v>
      </c>
      <c r="BF173" s="6">
        <f t="shared" si="172"/>
        <v>5.9615715275140522</v>
      </c>
      <c r="BG173" s="6">
        <f t="shared" si="173"/>
        <v>2.9770585066037576</v>
      </c>
      <c r="BH173" s="6">
        <f t="shared" si="174"/>
        <v>3.1316522713793891</v>
      </c>
      <c r="BI173" s="6">
        <f t="shared" si="175"/>
        <v>3.1316522713793891</v>
      </c>
      <c r="BJ173">
        <v>130.70392686703011</v>
      </c>
      <c r="BK173">
        <v>-43.548113200609784</v>
      </c>
      <c r="BV173" s="38"/>
      <c r="BW173" s="6">
        <f t="shared" si="113"/>
        <v>2.7576202181510343</v>
      </c>
      <c r="BX173" s="9">
        <f t="shared" ca="1" si="114"/>
        <v>-7.8345150150977219</v>
      </c>
      <c r="BY173" s="9">
        <f t="shared" ca="1" si="115"/>
        <v>3.4313085981619906</v>
      </c>
      <c r="BZ173" s="9">
        <f t="shared" ca="1" si="116"/>
        <v>118.040002739</v>
      </c>
      <c r="CA173" s="6">
        <f t="shared" ca="1" si="117"/>
        <v>-38.526863986537244</v>
      </c>
      <c r="CB173" s="6">
        <f t="shared" ca="1" si="118"/>
        <v>-0.31548696543050747</v>
      </c>
      <c r="CC173" s="6">
        <f t="shared" ca="1" si="119"/>
        <v>-1.5123831896440287E-3</v>
      </c>
      <c r="CD173" s="9">
        <f t="shared" si="120"/>
        <v>130.240002739</v>
      </c>
      <c r="CE173" s="9">
        <f t="shared" si="121"/>
        <v>-42.726863986537246</v>
      </c>
      <c r="CF173" s="6">
        <f t="shared" si="122"/>
        <v>-0.3169993486201515</v>
      </c>
      <c r="CG173" s="6"/>
      <c r="CH173" s="6"/>
      <c r="CI173" s="6"/>
      <c r="CJ173" s="1"/>
      <c r="CK173" s="6"/>
    </row>
    <row r="174" spans="1:89" x14ac:dyDescent="0.25">
      <c r="A174" s="1" t="str">
        <f t="shared" si="184"/>
        <v>Segment 7</v>
      </c>
      <c r="B174" s="6">
        <f t="shared" si="184"/>
        <v>6.2141905155146508</v>
      </c>
      <c r="C174" s="6">
        <f t="shared" si="184"/>
        <v>-3.6583925755566149</v>
      </c>
      <c r="D174" s="6">
        <f t="shared" si="184"/>
        <v>6.2141905155146508</v>
      </c>
      <c r="E174" s="6">
        <f t="shared" si="184"/>
        <v>-3.6583925755566149</v>
      </c>
      <c r="F174" s="6">
        <f t="shared" si="187"/>
        <v>0</v>
      </c>
      <c r="G174" s="6">
        <f t="shared" si="188"/>
        <v>0</v>
      </c>
      <c r="H174" s="6">
        <f t="shared" si="189"/>
        <v>0</v>
      </c>
      <c r="I174" s="6">
        <f t="shared" si="190"/>
        <v>0</v>
      </c>
      <c r="J174" s="9">
        <f t="shared" si="191"/>
        <v>0</v>
      </c>
      <c r="K174" s="9">
        <f t="shared" si="192"/>
        <v>0</v>
      </c>
      <c r="L174" s="6">
        <f t="shared" si="193"/>
        <v>4250</v>
      </c>
      <c r="M174" s="6">
        <f t="shared" si="194"/>
        <v>4250</v>
      </c>
      <c r="N174" s="10">
        <f t="shared" si="195"/>
        <v>0</v>
      </c>
      <c r="O174" s="10">
        <f t="shared" si="196"/>
        <v>0</v>
      </c>
      <c r="P174" s="10">
        <f t="shared" si="197"/>
        <v>0</v>
      </c>
      <c r="BC174">
        <v>3.0019663134302377</v>
      </c>
      <c r="BD174">
        <v>117.6165054453397</v>
      </c>
      <c r="BE174">
        <v>-39.307438471348114</v>
      </c>
      <c r="BF174" s="6">
        <f t="shared" si="172"/>
        <v>5.9606549377038869</v>
      </c>
      <c r="BG174" s="6">
        <f t="shared" si="173"/>
        <v>2.9586886242736492</v>
      </c>
      <c r="BH174" s="6">
        <f t="shared" si="174"/>
        <v>3.1325688611895544</v>
      </c>
      <c r="BI174" s="6">
        <f t="shared" si="175"/>
        <v>3.1325688611895544</v>
      </c>
      <c r="BJ174">
        <v>130.68500605037744</v>
      </c>
      <c r="BK174">
        <v>-43.674931634831239</v>
      </c>
      <c r="BV174" s="38"/>
      <c r="BW174" s="6">
        <f t="shared" si="113"/>
        <v>2.7750735106709774</v>
      </c>
      <c r="BX174" s="9">
        <f t="shared" ca="1" si="114"/>
        <v>-7.8605601686526683</v>
      </c>
      <c r="BY174" s="9">
        <f t="shared" ca="1" si="115"/>
        <v>3.4128316063040884</v>
      </c>
      <c r="BZ174" s="9">
        <f t="shared" ca="1" si="116"/>
        <v>118.01395758544506</v>
      </c>
      <c r="CA174" s="6">
        <f t="shared" ca="1" si="117"/>
        <v>-38.545340978395146</v>
      </c>
      <c r="CB174" s="6">
        <f t="shared" ca="1" si="118"/>
        <v>-0.31569354212798173</v>
      </c>
      <c r="CC174" s="6">
        <f t="shared" ca="1" si="119"/>
        <v>-1.4931468502906164E-3</v>
      </c>
      <c r="CD174" s="9">
        <f t="shared" si="120"/>
        <v>130.21395758544506</v>
      </c>
      <c r="CE174" s="9">
        <f t="shared" si="121"/>
        <v>-42.745340978395149</v>
      </c>
      <c r="CF174" s="6">
        <f t="shared" si="122"/>
        <v>-0.31718668897827235</v>
      </c>
      <c r="CG174" s="6"/>
      <c r="CH174" s="6"/>
      <c r="CI174" s="6"/>
      <c r="CJ174" s="1"/>
      <c r="CK174" s="6"/>
    </row>
    <row r="175" spans="1:89" ht="15.75" thickBot="1" x14ac:dyDescent="0.3">
      <c r="A175" s="1" t="str">
        <f t="shared" si="184"/>
        <v>Segment 8</v>
      </c>
      <c r="B175" s="6">
        <f t="shared" si="184"/>
        <v>6.2141905155146508</v>
      </c>
      <c r="C175" s="6">
        <f t="shared" si="184"/>
        <v>-3.6583925755566149</v>
      </c>
      <c r="D175" s="6">
        <f t="shared" si="184"/>
        <v>5.3199115589857549</v>
      </c>
      <c r="E175" s="6">
        <f t="shared" si="184"/>
        <v>12.316596161463188</v>
      </c>
      <c r="F175" s="6">
        <f t="shared" si="187"/>
        <v>1</v>
      </c>
      <c r="G175" s="6">
        <f t="shared" si="188"/>
        <v>0.98647354193955583</v>
      </c>
      <c r="H175" s="6">
        <f t="shared" si="189"/>
        <v>5.3320079857855811</v>
      </c>
      <c r="I175" s="6">
        <f t="shared" si="190"/>
        <v>12.100511146295823</v>
      </c>
      <c r="J175" s="9">
        <f t="shared" si="191"/>
        <v>5.3199115589857549</v>
      </c>
      <c r="K175" s="9">
        <f t="shared" si="192"/>
        <v>12.316596161463188</v>
      </c>
      <c r="L175" s="6">
        <f t="shared" si="193"/>
        <v>4250</v>
      </c>
      <c r="M175" s="6">
        <f t="shared" si="194"/>
        <v>4250</v>
      </c>
      <c r="N175" s="11">
        <f t="shared" si="195"/>
        <v>4891.1554173361301</v>
      </c>
      <c r="O175" s="11">
        <f t="shared" si="196"/>
        <v>59713.733303282039</v>
      </c>
      <c r="P175" s="11">
        <f t="shared" si="197"/>
        <v>13025.054095687554</v>
      </c>
      <c r="BC175">
        <v>3.0194196059501808</v>
      </c>
      <c r="BD175">
        <v>117.59844867142755</v>
      </c>
      <c r="BE175">
        <v>-39.444895515625781</v>
      </c>
      <c r="BF175" s="6">
        <f t="shared" si="172"/>
        <v>5.9595577474865147</v>
      </c>
      <c r="BG175" s="6">
        <f t="shared" si="173"/>
        <v>2.9401381415363339</v>
      </c>
      <c r="BH175" s="6">
        <f t="shared" si="174"/>
        <v>3.1336660514069266</v>
      </c>
      <c r="BI175" s="6">
        <f t="shared" si="175"/>
        <v>3.1336660514069266</v>
      </c>
      <c r="BJ175">
        <v>130.66494296825283</v>
      </c>
      <c r="BK175">
        <v>-43.827661684028648</v>
      </c>
      <c r="BV175" s="38"/>
      <c r="BW175" s="6">
        <f t="shared" si="113"/>
        <v>2.7925268031909205</v>
      </c>
      <c r="BX175" s="9">
        <f t="shared" ca="1" si="114"/>
        <v>-7.8890506766145876</v>
      </c>
      <c r="BY175" s="9">
        <f t="shared" ca="1" si="115"/>
        <v>3.3915659852749585</v>
      </c>
      <c r="BZ175" s="9">
        <f t="shared" ca="1" si="116"/>
        <v>117.98546707748314</v>
      </c>
      <c r="CA175" s="6">
        <f t="shared" ca="1" si="117"/>
        <v>-38.566606599424276</v>
      </c>
      <c r="CB175" s="6">
        <f t="shared" ca="1" si="118"/>
        <v>-0.31592765637269343</v>
      </c>
      <c r="CC175" s="6">
        <f t="shared" ca="1" si="119"/>
        <v>-1.4713280800327524E-3</v>
      </c>
      <c r="CD175" s="9">
        <f t="shared" si="120"/>
        <v>130.18546707748314</v>
      </c>
      <c r="CE175" s="9">
        <f t="shared" si="121"/>
        <v>-42.766606599424279</v>
      </c>
      <c r="CF175" s="6">
        <f t="shared" si="122"/>
        <v>-0.31739898445272618</v>
      </c>
      <c r="CG175" s="6"/>
      <c r="CH175" s="6"/>
      <c r="CI175" s="6"/>
      <c r="CJ175" s="1"/>
      <c r="CK175" s="6"/>
    </row>
    <row r="176" spans="1:89" ht="15.75" thickTop="1" x14ac:dyDescent="0.25">
      <c r="M176" s="9"/>
      <c r="N176" s="6">
        <f>SUM(N168:N175)</f>
        <v>1778.0117617149917</v>
      </c>
      <c r="O176" s="6">
        <f t="shared" ref="O176:P176" si="198">SUM(O168:O175)</f>
        <v>21642.918373709974</v>
      </c>
      <c r="P176" s="6">
        <f t="shared" si="198"/>
        <v>7178.3002648638931</v>
      </c>
      <c r="BC176">
        <v>3.0368728984701239</v>
      </c>
      <c r="BD176">
        <v>117.57911814541377</v>
      </c>
      <c r="BE176">
        <v>-39.615057174129952</v>
      </c>
      <c r="BF176" s="6">
        <f t="shared" si="172"/>
        <v>5.9582079369273115</v>
      </c>
      <c r="BG176" s="6">
        <f t="shared" si="173"/>
        <v>2.9213350384571877</v>
      </c>
      <c r="BH176" s="6">
        <f t="shared" si="174"/>
        <v>3.1350158619661297</v>
      </c>
      <c r="BI176" s="6">
        <f t="shared" si="175"/>
        <v>3.1350158619661297</v>
      </c>
      <c r="BJ176">
        <v>130.6434646060153</v>
      </c>
      <c r="BK176">
        <v>-44.01673019347772</v>
      </c>
      <c r="BV176" s="38"/>
      <c r="BW176" s="6">
        <f t="shared" si="113"/>
        <v>2.8099800957108636</v>
      </c>
      <c r="BX176" s="9">
        <f t="shared" ca="1" si="114"/>
        <v>-7.9203499526578582</v>
      </c>
      <c r="BY176" s="9">
        <f t="shared" ca="1" si="115"/>
        <v>3.3668547238946118</v>
      </c>
      <c r="BZ176" s="9">
        <f t="shared" ca="1" si="116"/>
        <v>117.95416780143987</v>
      </c>
      <c r="CA176" s="6">
        <f t="shared" ca="1" si="117"/>
        <v>-38.591317860804622</v>
      </c>
      <c r="CB176" s="6">
        <f t="shared" ca="1" si="118"/>
        <v>-0.31619527203508885</v>
      </c>
      <c r="CC176" s="6">
        <f t="shared" ca="1" si="119"/>
        <v>-1.4463648793167083E-3</v>
      </c>
      <c r="CD176" s="9">
        <f t="shared" si="120"/>
        <v>130.15416780143985</v>
      </c>
      <c r="CE176" s="9">
        <f t="shared" si="121"/>
        <v>-42.791317860804625</v>
      </c>
      <c r="CF176" s="6">
        <f t="shared" si="122"/>
        <v>-0.31764163691440556</v>
      </c>
      <c r="CG176" s="6"/>
      <c r="CH176" s="6"/>
      <c r="CI176" s="6"/>
      <c r="CJ176" s="1"/>
      <c r="CK176" s="6"/>
    </row>
    <row r="177" spans="1:89" x14ac:dyDescent="0.25">
      <c r="BC177">
        <v>3.054326190990067</v>
      </c>
      <c r="BD177">
        <v>117.55816160211185</v>
      </c>
      <c r="BE177">
        <v>-39.833598525417685</v>
      </c>
      <c r="BF177" s="6">
        <f t="shared" si="172"/>
        <v>5.9564855092004638</v>
      </c>
      <c r="BG177" s="6">
        <f t="shared" si="173"/>
        <v>2.9021593182103969</v>
      </c>
      <c r="BH177" s="6">
        <f t="shared" si="174"/>
        <v>3.1367382896929774</v>
      </c>
      <c r="BI177" s="6">
        <f t="shared" si="175"/>
        <v>3.1367382896929774</v>
      </c>
      <c r="BJ177">
        <v>130.62017955790205</v>
      </c>
      <c r="BK177">
        <v>-44.259553917130759</v>
      </c>
      <c r="BV177" s="38"/>
      <c r="BW177" s="6">
        <f t="shared" si="113"/>
        <v>2.8274333882308067</v>
      </c>
      <c r="BX177" s="9">
        <f t="shared" ca="1" si="114"/>
        <v>-7.9548967201264702</v>
      </c>
      <c r="BY177" s="9">
        <f t="shared" ca="1" si="115"/>
        <v>3.3378535914292797</v>
      </c>
      <c r="BZ177" s="9">
        <f t="shared" ca="1" si="116"/>
        <v>117.91962103397125</v>
      </c>
      <c r="CA177" s="6">
        <f t="shared" ca="1" si="117"/>
        <v>-38.620318993269954</v>
      </c>
      <c r="CB177" s="6">
        <f t="shared" ca="1" si="118"/>
        <v>-0.31650398358251663</v>
      </c>
      <c r="CC177" s="6">
        <f t="shared" ca="1" si="119"/>
        <v>-1.417541127193833E-3</v>
      </c>
      <c r="CD177" s="9">
        <f t="shared" si="120"/>
        <v>130.11962103397124</v>
      </c>
      <c r="CE177" s="9">
        <f t="shared" si="121"/>
        <v>-42.820318993269957</v>
      </c>
      <c r="CF177" s="6">
        <f t="shared" si="122"/>
        <v>-0.31792152470971047</v>
      </c>
      <c r="CG177" s="6"/>
      <c r="CH177" s="6"/>
      <c r="CI177" s="6"/>
      <c r="CJ177" s="1"/>
      <c r="CK177" s="6"/>
    </row>
    <row r="178" spans="1:89" x14ac:dyDescent="0.25">
      <c r="A178" t="s">
        <v>188</v>
      </c>
      <c r="B178">
        <f>(N176+M165)/1000</f>
        <v>11.822222221124189</v>
      </c>
      <c r="C178" t="s">
        <v>68</v>
      </c>
      <c r="BC178">
        <v>3.0717794835100101</v>
      </c>
      <c r="BD178">
        <v>117.53504026949746</v>
      </c>
      <c r="BE178">
        <v>-40.129205797927185</v>
      </c>
      <c r="BF178" s="6">
        <f t="shared" si="172"/>
        <v>5.9541715044022911</v>
      </c>
      <c r="BG178" s="6">
        <f t="shared" si="173"/>
        <v>2.8823920208922811</v>
      </c>
      <c r="BH178" s="6">
        <f t="shared" si="174"/>
        <v>3.1390522944911501</v>
      </c>
      <c r="BI178" s="6">
        <f t="shared" si="175"/>
        <v>3.1390522944911501</v>
      </c>
      <c r="BJ178">
        <v>130.5944891883305</v>
      </c>
      <c r="BK178">
        <v>-44.588006442141314</v>
      </c>
      <c r="BV178" s="38"/>
      <c r="BW178" s="6">
        <f t="shared" si="113"/>
        <v>2.8448866807507498</v>
      </c>
      <c r="BX178" s="9">
        <f t="shared" ca="1" si="114"/>
        <v>-7.9932257528552526</v>
      </c>
      <c r="BY178" s="9">
        <f t="shared" ca="1" si="115"/>
        <v>3.3034644406098792</v>
      </c>
      <c r="BZ178" s="9">
        <f t="shared" ca="1" si="116"/>
        <v>117.88129200124247</v>
      </c>
      <c r="CA178" s="6">
        <f t="shared" ca="1" si="117"/>
        <v>-38.654708144089355</v>
      </c>
      <c r="CB178" s="6">
        <f t="shared" ca="1" si="118"/>
        <v>-0.31686358211540283</v>
      </c>
      <c r="CC178" s="6">
        <f t="shared" ca="1" si="119"/>
        <v>-1.3839329764823161E-3</v>
      </c>
      <c r="CD178" s="9">
        <f t="shared" si="120"/>
        <v>130.08129200124247</v>
      </c>
      <c r="CE178" s="9">
        <f t="shared" si="121"/>
        <v>-42.854708144089358</v>
      </c>
      <c r="CF178" s="6">
        <f t="shared" si="122"/>
        <v>-0.31824751509188515</v>
      </c>
      <c r="CG178" s="6"/>
      <c r="CH178" s="6"/>
      <c r="CI178" s="6"/>
      <c r="CJ178" s="1"/>
      <c r="CK178" s="6"/>
    </row>
    <row r="179" spans="1:89" x14ac:dyDescent="0.25">
      <c r="A179" t="s">
        <v>100</v>
      </c>
      <c r="B179">
        <f>(N165+O176)/1000</f>
        <v>140.96352429495579</v>
      </c>
      <c r="C179" t="s">
        <v>69</v>
      </c>
      <c r="BC179">
        <v>3.0892327760299532</v>
      </c>
      <c r="BD179">
        <v>117.50907670340089</v>
      </c>
      <c r="BE179">
        <v>-40.556120576698703</v>
      </c>
      <c r="BF179" s="6">
        <f t="shared" si="172"/>
        <v>5.9508539693346334</v>
      </c>
      <c r="BG179" s="6">
        <f t="shared" si="173"/>
        <v>2.8616211933046802</v>
      </c>
      <c r="BH179" s="6">
        <f t="shared" si="174"/>
        <v>-3.1408154776207784</v>
      </c>
      <c r="BI179" s="6">
        <f t="shared" si="175"/>
        <v>3.1408154776207784</v>
      </c>
      <c r="BJ179">
        <v>130.56564078155654</v>
      </c>
      <c r="BK179">
        <v>-45.062356196331891</v>
      </c>
      <c r="BV179" s="38"/>
      <c r="BW179" s="6">
        <f t="shared" si="113"/>
        <v>2.8623399732706929</v>
      </c>
      <c r="BX179" s="9">
        <f t="shared" ca="1" si="114"/>
        <v>-8.0359958839278107</v>
      </c>
      <c r="BY179" s="9">
        <f t="shared" ca="1" si="115"/>
        <v>3.2622394420786662</v>
      </c>
      <c r="BZ179" s="9">
        <f t="shared" ca="1" si="116"/>
        <v>117.83852187016991</v>
      </c>
      <c r="CA179" s="6">
        <f t="shared" ca="1" si="117"/>
        <v>-38.695933142620568</v>
      </c>
      <c r="CB179" s="6">
        <f t="shared" ca="1" si="118"/>
        <v>-0.31728686370828879</v>
      </c>
      <c r="CC179" s="6">
        <f t="shared" ca="1" si="119"/>
        <v>-1.344332275994897E-3</v>
      </c>
      <c r="CD179" s="9">
        <f t="shared" si="120"/>
        <v>130.03852187016992</v>
      </c>
      <c r="CE179" s="9">
        <f t="shared" si="121"/>
        <v>-42.895933142620571</v>
      </c>
      <c r="CF179" s="6">
        <f t="shared" si="122"/>
        <v>-0.31863119598428369</v>
      </c>
      <c r="CG179" s="6"/>
      <c r="CH179" s="6"/>
      <c r="CI179" s="6"/>
      <c r="CJ179" s="1"/>
      <c r="CK179" s="6"/>
    </row>
    <row r="180" spans="1:89" x14ac:dyDescent="0.25">
      <c r="A180" t="s">
        <v>101</v>
      </c>
      <c r="B180">
        <f>-1*(O165+P176)/1000</f>
        <v>-21.543727749325562</v>
      </c>
      <c r="C180" t="s">
        <v>69</v>
      </c>
      <c r="BC180">
        <v>3.1066860685498963</v>
      </c>
      <c r="BD180">
        <v>117.48239854183296</v>
      </c>
      <c r="BE180">
        <v>-41.138866491241338</v>
      </c>
      <c r="BF180" s="6">
        <f t="shared" si="172"/>
        <v>5.9463586311859906</v>
      </c>
      <c r="BG180" s="6">
        <f t="shared" si="173"/>
        <v>2.8396725626360944</v>
      </c>
      <c r="BH180" s="6">
        <f t="shared" si="174"/>
        <v>-3.1363201394721356</v>
      </c>
      <c r="BI180" s="6">
        <f t="shared" si="175"/>
        <v>3.1363201394721356</v>
      </c>
      <c r="BJ180">
        <v>130.5359983798144</v>
      </c>
      <c r="BK180">
        <v>-45.709851656934816</v>
      </c>
      <c r="BV180" s="38"/>
      <c r="BW180" s="6">
        <f t="shared" si="113"/>
        <v>2.879793265790636</v>
      </c>
      <c r="BX180" s="9">
        <f t="shared" ca="1" si="114"/>
        <v>-8.0840284668304605</v>
      </c>
      <c r="BY180" s="9">
        <f t="shared" ca="1" si="115"/>
        <v>3.2122409094238975</v>
      </c>
      <c r="BZ180" s="9">
        <f t="shared" ca="1" si="116"/>
        <v>117.79048928726726</v>
      </c>
      <c r="CA180" s="6">
        <f t="shared" ca="1" si="117"/>
        <v>-38.745931675275337</v>
      </c>
      <c r="CB180" s="6">
        <f t="shared" ca="1" si="118"/>
        <v>-0.31779080624964662</v>
      </c>
      <c r="CC180" s="6">
        <f t="shared" ca="1" si="119"/>
        <v>-1.2971350511472579E-3</v>
      </c>
      <c r="CD180" s="9">
        <f t="shared" si="120"/>
        <v>129.99048928726725</v>
      </c>
      <c r="CE180" s="9">
        <f t="shared" si="121"/>
        <v>-42.94593167527534</v>
      </c>
      <c r="CF180" s="6">
        <f t="shared" si="122"/>
        <v>-0.31908794130079388</v>
      </c>
      <c r="CG180" s="6"/>
      <c r="CH180" s="6"/>
      <c r="CI180" s="6"/>
      <c r="CJ180" s="1"/>
      <c r="CK180" s="6"/>
    </row>
    <row r="181" spans="1:89" x14ac:dyDescent="0.25">
      <c r="BC181">
        <v>3.1241393610698394</v>
      </c>
      <c r="BD181">
        <v>117.45947819314792</v>
      </c>
      <c r="BE181">
        <v>-41.86163240300646</v>
      </c>
      <c r="BF181" s="6">
        <f t="shared" si="172"/>
        <v>5.940827337483249</v>
      </c>
      <c r="BG181" s="6">
        <f t="shared" si="173"/>
        <v>2.8166879764134096</v>
      </c>
      <c r="BH181" s="6">
        <f t="shared" si="174"/>
        <v>-3.130788845769394</v>
      </c>
      <c r="BI181" s="6">
        <f t="shared" si="175"/>
        <v>3.130788845769394</v>
      </c>
      <c r="BJ181">
        <v>130.51053132571991</v>
      </c>
      <c r="BK181">
        <v>-46.5129248922294</v>
      </c>
      <c r="BV181" s="38"/>
      <c r="BW181" s="6">
        <f t="shared" si="113"/>
        <v>2.8972465583105791</v>
      </c>
      <c r="BX181" s="9">
        <f t="shared" ca="1" si="114"/>
        <v>-8.1383611867092753</v>
      </c>
      <c r="BY181" s="9">
        <f t="shared" ca="1" si="115"/>
        <v>3.1508316532996972</v>
      </c>
      <c r="BZ181" s="9">
        <f t="shared" ca="1" si="116"/>
        <v>117.73615656738845</v>
      </c>
      <c r="CA181" s="6">
        <f t="shared" ca="1" si="117"/>
        <v>-38.807340931399537</v>
      </c>
      <c r="CB181" s="6">
        <f t="shared" ca="1" si="118"/>
        <v>-0.31839832008612495</v>
      </c>
      <c r="CC181" s="6">
        <f t="shared" ca="1" si="119"/>
        <v>-1.240175574498015E-3</v>
      </c>
      <c r="CD181" s="9">
        <f t="shared" si="120"/>
        <v>129.93615656738845</v>
      </c>
      <c r="CE181" s="9">
        <f t="shared" si="121"/>
        <v>-43.00734093139954</v>
      </c>
      <c r="CF181" s="6">
        <f t="shared" si="122"/>
        <v>-0.31963849566062297</v>
      </c>
      <c r="CG181" s="6"/>
      <c r="CH181" s="6"/>
      <c r="CI181" s="6"/>
      <c r="CJ181" s="1"/>
      <c r="CK181" s="6"/>
    </row>
    <row r="182" spans="1:89" x14ac:dyDescent="0.25">
      <c r="A182" t="s">
        <v>54</v>
      </c>
      <c r="BC182">
        <v>3.1415926535897825</v>
      </c>
      <c r="BD182">
        <v>117.44744718527186</v>
      </c>
      <c r="BE182">
        <v>-42.659999999999251</v>
      </c>
      <c r="BF182" s="6">
        <f t="shared" si="172"/>
        <v>5.934776536955531</v>
      </c>
      <c r="BG182" s="6">
        <f t="shared" si="173"/>
        <v>2.7931838833657485</v>
      </c>
      <c r="BH182" s="6">
        <f t="shared" si="174"/>
        <v>-3.124738045241676</v>
      </c>
      <c r="BI182" s="6">
        <f t="shared" si="175"/>
        <v>3.124738045241676</v>
      </c>
      <c r="BJ182">
        <v>130.49716353919095</v>
      </c>
      <c r="BK182">
        <v>-47.399999999999167</v>
      </c>
      <c r="BV182" s="38"/>
      <c r="BW182" s="6">
        <f t="shared" si="113"/>
        <v>2.9146998508305222</v>
      </c>
      <c r="BX182" s="9">
        <f t="shared" ca="1" si="114"/>
        <v>-8.1801252946493008</v>
      </c>
      <c r="BY182" s="9">
        <f t="shared" ca="1" si="115"/>
        <v>3.0831301930558581</v>
      </c>
      <c r="BZ182" s="9">
        <f t="shared" ca="1" si="116"/>
        <v>117.69439245944842</v>
      </c>
      <c r="CA182" s="6">
        <f t="shared" ca="1" si="117"/>
        <v>-38.875042391643376</v>
      </c>
      <c r="CB182" s="6">
        <f t="shared" ca="1" si="118"/>
        <v>-0.31902255284419007</v>
      </c>
      <c r="CC182" s="6">
        <f t="shared" ca="1" si="119"/>
        <v>-1.1814919302545193E-3</v>
      </c>
      <c r="CD182" s="9">
        <f t="shared" si="120"/>
        <v>129.89439245944843</v>
      </c>
      <c r="CE182" s="9">
        <f t="shared" si="121"/>
        <v>-43.075042391643379</v>
      </c>
      <c r="CF182" s="6">
        <f t="shared" si="122"/>
        <v>-0.32020404477444459</v>
      </c>
      <c r="CG182" s="6"/>
      <c r="CH182" s="6"/>
      <c r="CI182" s="6"/>
      <c r="CJ182" s="1"/>
      <c r="CK182" s="6"/>
    </row>
    <row r="183" spans="1:89" x14ac:dyDescent="0.25">
      <c r="BC183">
        <v>3.1590459461097256</v>
      </c>
      <c r="BD183">
        <v>117.45947819314139</v>
      </c>
      <c r="BE183">
        <v>-43.458367596992595</v>
      </c>
      <c r="BF183" s="6">
        <f t="shared" si="172"/>
        <v>5.9288176641220076</v>
      </c>
      <c r="BG183" s="6">
        <f t="shared" si="173"/>
        <v>2.7697717180122821</v>
      </c>
      <c r="BH183" s="6">
        <f t="shared" si="174"/>
        <v>-3.1187791724081526</v>
      </c>
      <c r="BI183" s="6">
        <f t="shared" si="175"/>
        <v>3.1187791724081526</v>
      </c>
      <c r="BJ183">
        <v>130.51053132571266</v>
      </c>
      <c r="BK183">
        <v>-48.287075107769546</v>
      </c>
      <c r="BV183" s="38"/>
      <c r="BW183" s="6">
        <f t="shared" si="113"/>
        <v>2.9321531433504653</v>
      </c>
      <c r="BX183" s="9">
        <f t="shared" ca="1" si="114"/>
        <v>-8.1944701793236163</v>
      </c>
      <c r="BY183" s="9">
        <f t="shared" ca="1" si="115"/>
        <v>3.0183745259110282</v>
      </c>
      <c r="BZ183" s="9">
        <f t="shared" ca="1" si="116"/>
        <v>117.68004757477411</v>
      </c>
      <c r="CA183" s="6">
        <f t="shared" ca="1" si="117"/>
        <v>-38.939798058788206</v>
      </c>
      <c r="CB183" s="6">
        <f t="shared" ca="1" si="118"/>
        <v>-0.3195549011863012</v>
      </c>
      <c r="CC183" s="6">
        <f t="shared" ca="1" si="119"/>
        <v>-1.1312479987481416E-3</v>
      </c>
      <c r="CD183" s="9">
        <f t="shared" si="120"/>
        <v>129.8800475747741</v>
      </c>
      <c r="CE183" s="9">
        <f t="shared" si="121"/>
        <v>-43.139798058788209</v>
      </c>
      <c r="CF183" s="6">
        <f t="shared" si="122"/>
        <v>-0.32068614918504934</v>
      </c>
      <c r="CG183" s="6"/>
      <c r="CH183" s="6"/>
      <c r="CI183" s="6"/>
      <c r="CJ183" s="1"/>
      <c r="CK183" s="6"/>
    </row>
    <row r="184" spans="1:89" x14ac:dyDescent="0.25">
      <c r="A184">
        <f>A14</f>
        <v>0</v>
      </c>
      <c r="B184" t="str">
        <f t="shared" ref="B184:E184" si="199">B14</f>
        <v>Bar #</v>
      </c>
      <c r="C184" t="str">
        <f t="shared" si="199"/>
        <v>As (in^2)</v>
      </c>
      <c r="D184" t="str">
        <f t="shared" si="199"/>
        <v>x</v>
      </c>
      <c r="E184" t="str">
        <f t="shared" si="199"/>
        <v>y</v>
      </c>
      <c r="F184" s="1" t="s">
        <v>55</v>
      </c>
      <c r="G184" s="1" t="s">
        <v>56</v>
      </c>
      <c r="H184" s="1" t="s">
        <v>21</v>
      </c>
      <c r="I184" s="1" t="s">
        <v>22</v>
      </c>
      <c r="J184" s="1" t="s">
        <v>57</v>
      </c>
      <c r="K184" s="1" t="s">
        <v>58</v>
      </c>
      <c r="L184" s="1" t="s">
        <v>189</v>
      </c>
      <c r="M184" s="1" t="s">
        <v>227</v>
      </c>
      <c r="N184" s="1" t="s">
        <v>60</v>
      </c>
      <c r="O184" s="1" t="s">
        <v>61</v>
      </c>
      <c r="P184" s="1" t="s">
        <v>62</v>
      </c>
      <c r="BC184">
        <v>3.1764992386296687</v>
      </c>
      <c r="BD184">
        <v>117.4823985418266</v>
      </c>
      <c r="BE184">
        <v>-44.181133508757959</v>
      </c>
      <c r="BF184" s="6">
        <f t="shared" si="172"/>
        <v>5.9234804055265871</v>
      </c>
      <c r="BG184" s="6">
        <f t="shared" si="173"/>
        <v>2.7469811668969184</v>
      </c>
      <c r="BH184" s="6">
        <f t="shared" si="174"/>
        <v>-3.1134419138127321</v>
      </c>
      <c r="BI184" s="6">
        <f t="shared" si="175"/>
        <v>3.1134419138127321</v>
      </c>
      <c r="BJ184">
        <v>130.53599837980732</v>
      </c>
      <c r="BK184">
        <v>-49.090148343064399</v>
      </c>
      <c r="BV184" s="38"/>
      <c r="BW184" s="6">
        <f t="shared" si="113"/>
        <v>2.9496064358704084</v>
      </c>
      <c r="BX184" s="9">
        <f t="shared" ca="1" si="114"/>
        <v>-8.2093342115521182</v>
      </c>
      <c r="BY184" s="9">
        <f t="shared" ca="1" si="115"/>
        <v>2.9452482853107611</v>
      </c>
      <c r="BZ184" s="9">
        <f t="shared" ca="1" si="116"/>
        <v>117.66518354254561</v>
      </c>
      <c r="CA184" s="6">
        <f t="shared" ca="1" si="117"/>
        <v>-39.012924299388473</v>
      </c>
      <c r="CB184" s="6">
        <f t="shared" ca="1" si="118"/>
        <v>-0.32015260396628936</v>
      </c>
      <c r="CC184" s="6">
        <f t="shared" ca="1" si="119"/>
        <v>-1.0748307669368187E-3</v>
      </c>
      <c r="CD184" s="9">
        <f t="shared" si="120"/>
        <v>129.86518354254559</v>
      </c>
      <c r="CE184" s="9">
        <f t="shared" si="121"/>
        <v>-43.212924299388476</v>
      </c>
      <c r="CF184" s="6">
        <f t="shared" si="122"/>
        <v>-0.32122743473322618</v>
      </c>
      <c r="CG184" s="6"/>
      <c r="CH184" s="6"/>
      <c r="CI184" s="6"/>
      <c r="CJ184" s="1"/>
      <c r="CK184" s="6"/>
    </row>
    <row r="185" spans="1:89" x14ac:dyDescent="0.25">
      <c r="A185">
        <f t="shared" ref="A185:E194" si="200">A15</f>
        <v>1</v>
      </c>
      <c r="B185">
        <f t="shared" si="200"/>
        <v>8</v>
      </c>
      <c r="C185" s="6">
        <f t="shared" ca="1" si="200"/>
        <v>0.79</v>
      </c>
      <c r="D185" s="6">
        <f t="shared" si="200"/>
        <v>2</v>
      </c>
      <c r="E185" s="6">
        <f t="shared" si="200"/>
        <v>2</v>
      </c>
      <c r="F185" s="6">
        <f t="shared" ref="F185:F194" si="201">D185-$I$2</f>
        <v>-4</v>
      </c>
      <c r="G185" s="6">
        <f t="shared" ref="G185:G194" si="202">E185-$I$3</f>
        <v>-10</v>
      </c>
      <c r="H185" s="6">
        <f t="shared" ref="H185:H194" si="203">F185*COS($B$27)+G185*SIN($B$27)</f>
        <v>3.4348228364243911</v>
      </c>
      <c r="I185" s="6">
        <f t="shared" ref="I185:I194" si="204">-1*F185*SIN($B$27)+G185*COS($B$27)</f>
        <v>10.2079376997696</v>
      </c>
      <c r="J185" s="6">
        <f t="shared" ref="J185:J194" si="205">$G$38-I185</f>
        <v>2.1086584616935884</v>
      </c>
      <c r="K185" s="6">
        <f t="shared" ref="K185:K194" ca="1" si="206">IF($B$28=0,-1,IF(C185=0,0,(($B$28-J185)/$B$28)*$B$30)*IF($B$28&lt;0,-1,1))</f>
        <v>-5.9167226630041057E-3</v>
      </c>
      <c r="L185" s="6">
        <f ca="1">IF(K185&lt;0,0,IF(K185&lt;=$B$145,0.85*$B$143*((2*K185/$B$145)-POWER(K185/$B$145,2)),0.85*$B$143))/1000</f>
        <v>0</v>
      </c>
      <c r="M185" s="6">
        <f ca="1">IF(K185&gt;0,MIN((K185*B$13),B$12)-L185,MAX(K185*B$13,-1*B$12))</f>
        <v>-60</v>
      </c>
      <c r="N185" s="6">
        <f t="shared" ref="N185:N194" ca="1" si="207">M185*C185</f>
        <v>-47.400000000000006</v>
      </c>
      <c r="O185" s="6">
        <f t="shared" ref="O185:O194" ca="1" si="208">N185*I185</f>
        <v>-483.85624696907911</v>
      </c>
      <c r="P185" s="6">
        <f t="shared" ref="P185:P194" ca="1" si="209">N185*H185*-1</f>
        <v>162.81060244651616</v>
      </c>
      <c r="BC185">
        <v>3.1939525311496118</v>
      </c>
      <c r="BD185">
        <v>117.50907670339473</v>
      </c>
      <c r="BE185">
        <v>-44.763879423300914</v>
      </c>
      <c r="BF185" s="6">
        <f t="shared" si="172"/>
        <v>5.9192173725822128</v>
      </c>
      <c r="BG185" s="6">
        <f t="shared" si="173"/>
        <v>2.7252648414326011</v>
      </c>
      <c r="BH185" s="6">
        <f t="shared" si="174"/>
        <v>-3.1091788808683578</v>
      </c>
      <c r="BI185" s="6">
        <f t="shared" si="175"/>
        <v>3.1091788808683578</v>
      </c>
      <c r="BJ185">
        <v>130.56564078154969</v>
      </c>
      <c r="BK185">
        <v>-49.73764380366768</v>
      </c>
      <c r="BV185" s="38"/>
      <c r="BW185" s="6">
        <f t="shared" si="113"/>
        <v>2.9670597283903515</v>
      </c>
      <c r="BX185" s="9">
        <f t="shared" ca="1" si="114"/>
        <v>-8.2248030609957965</v>
      </c>
      <c r="BY185" s="9">
        <f t="shared" ca="1" si="115"/>
        <v>2.8616932763416969</v>
      </c>
      <c r="BZ185" s="9">
        <f t="shared" ca="1" si="116"/>
        <v>117.64971469310193</v>
      </c>
      <c r="CA185" s="6">
        <f t="shared" ca="1" si="117"/>
        <v>-39.096479308357537</v>
      </c>
      <c r="CB185" s="6">
        <f t="shared" ca="1" si="118"/>
        <v>-0.32083158822250563</v>
      </c>
      <c r="CC185" s="6">
        <f t="shared" ca="1" si="119"/>
        <v>-1.0107384590178903E-3</v>
      </c>
      <c r="CD185" s="9">
        <f t="shared" si="120"/>
        <v>129.84971469310193</v>
      </c>
      <c r="CE185" s="9">
        <f t="shared" si="121"/>
        <v>-43.29647930835754</v>
      </c>
      <c r="CF185" s="6">
        <f t="shared" si="122"/>
        <v>-0.32184232668152352</v>
      </c>
      <c r="CG185" s="6"/>
      <c r="CH185" s="6"/>
      <c r="CI185" s="6"/>
      <c r="CJ185" s="1"/>
      <c r="CK185" s="6"/>
    </row>
    <row r="186" spans="1:89" x14ac:dyDescent="0.25">
      <c r="A186">
        <f t="shared" si="200"/>
        <v>2</v>
      </c>
      <c r="B186">
        <f t="shared" si="200"/>
        <v>8</v>
      </c>
      <c r="C186" s="6">
        <f t="shared" ca="1" si="200"/>
        <v>0.79</v>
      </c>
      <c r="D186" s="6">
        <f t="shared" si="200"/>
        <v>2</v>
      </c>
      <c r="E186" s="6">
        <f t="shared" si="200"/>
        <v>4</v>
      </c>
      <c r="F186" s="6">
        <f t="shared" si="201"/>
        <v>-4</v>
      </c>
      <c r="G186" s="6">
        <f t="shared" si="202"/>
        <v>-8</v>
      </c>
      <c r="H186" s="6">
        <f t="shared" si="203"/>
        <v>3.5466077059905032</v>
      </c>
      <c r="I186" s="6">
        <f t="shared" si="204"/>
        <v>8.2110641076421249</v>
      </c>
      <c r="J186" s="6">
        <f t="shared" si="205"/>
        <v>4.1055320538210633</v>
      </c>
      <c r="K186" s="6">
        <f t="shared" ca="1" si="206"/>
        <v>-1.4360749202881395E-2</v>
      </c>
      <c r="L186" s="6">
        <f t="shared" ref="L186:L194" ca="1" si="210">IF(K186&lt;0,0,IF(K186&lt;=$B$145,0.85*$B$143*((2*K186/$B$145)-POWER(K186/$B$145,2)),0.85*$B$143))/1000</f>
        <v>0</v>
      </c>
      <c r="M186" s="6">
        <f t="shared" ref="M186:M194" ca="1" si="211">IF(K186&gt;0,MIN((K186*B$13),B$12)-L186,MAX(K186*B$13,-1*B$12))</f>
        <v>-60</v>
      </c>
      <c r="N186" s="6">
        <f t="shared" ca="1" si="207"/>
        <v>-47.400000000000006</v>
      </c>
      <c r="O186" s="6">
        <f t="shared" ca="1" si="208"/>
        <v>-389.20443870223676</v>
      </c>
      <c r="P186" s="6">
        <f t="shared" ca="1" si="209"/>
        <v>168.10920526394986</v>
      </c>
      <c r="BC186">
        <v>3.2114058236695548</v>
      </c>
      <c r="BD186">
        <v>117.53504026949628</v>
      </c>
      <c r="BE186">
        <v>-45.19079420207273</v>
      </c>
      <c r="BF186" s="6">
        <f t="shared" si="172"/>
        <v>5.9161225832677466</v>
      </c>
      <c r="BG186" s="6">
        <f t="shared" si="173"/>
        <v>2.7047167595981918</v>
      </c>
      <c r="BH186" s="6">
        <f t="shared" si="174"/>
        <v>-3.1060840915538916</v>
      </c>
      <c r="BI186" s="6">
        <f t="shared" si="175"/>
        <v>3.1060840915538916</v>
      </c>
      <c r="BJ186">
        <v>130.59448918832919</v>
      </c>
      <c r="BK186">
        <v>-50.211993557858591</v>
      </c>
      <c r="BV186" s="38"/>
      <c r="BW186" s="6">
        <f t="shared" si="113"/>
        <v>2.9845130209102946</v>
      </c>
      <c r="BX186" s="9">
        <f t="shared" ca="1" si="114"/>
        <v>-8.2409835737706203</v>
      </c>
      <c r="BY186" s="9">
        <f t="shared" ca="1" si="115"/>
        <v>2.7648707041504252</v>
      </c>
      <c r="BZ186" s="9">
        <f t="shared" ca="1" si="116"/>
        <v>117.6335341803271</v>
      </c>
      <c r="CA186" s="6">
        <f t="shared" ca="1" si="117"/>
        <v>-39.193301880548809</v>
      </c>
      <c r="CB186" s="6">
        <f t="shared" ca="1" si="118"/>
        <v>-0.32161377966553439</v>
      </c>
      <c r="CC186" s="6">
        <f t="shared" ca="1" si="119"/>
        <v>-9.3690470259721881E-4</v>
      </c>
      <c r="CD186" s="9">
        <f t="shared" si="120"/>
        <v>129.83353418032709</v>
      </c>
      <c r="CE186" s="9">
        <f t="shared" si="121"/>
        <v>-43.393301880548812</v>
      </c>
      <c r="CF186" s="6">
        <f t="shared" si="122"/>
        <v>-0.32255068436813161</v>
      </c>
      <c r="CG186" s="6"/>
      <c r="CH186" s="6"/>
      <c r="CI186" s="6"/>
      <c r="CJ186" s="1"/>
      <c r="CK186" s="6"/>
    </row>
    <row r="187" spans="1:89" x14ac:dyDescent="0.25">
      <c r="A187">
        <f t="shared" si="200"/>
        <v>3</v>
      </c>
      <c r="B187">
        <f t="shared" si="200"/>
        <v>8</v>
      </c>
      <c r="C187" s="6">
        <f t="shared" ca="1" si="200"/>
        <v>0.79</v>
      </c>
      <c r="D187" s="6">
        <f t="shared" si="200"/>
        <v>4</v>
      </c>
      <c r="E187" s="6">
        <f t="shared" si="200"/>
        <v>2</v>
      </c>
      <c r="F187" s="6">
        <f t="shared" si="201"/>
        <v>-2</v>
      </c>
      <c r="G187" s="6">
        <f t="shared" si="202"/>
        <v>-10</v>
      </c>
      <c r="H187" s="6">
        <f t="shared" si="203"/>
        <v>1.4379492442969157</v>
      </c>
      <c r="I187" s="6">
        <f t="shared" si="204"/>
        <v>10.096152830203488</v>
      </c>
      <c r="J187" s="6">
        <f t="shared" si="205"/>
        <v>2.2204433312597001</v>
      </c>
      <c r="K187" s="6">
        <f t="shared" ca="1" si="206"/>
        <v>-6.3894187861309173E-3</v>
      </c>
      <c r="L187" s="6">
        <f t="shared" ca="1" si="210"/>
        <v>0</v>
      </c>
      <c r="M187" s="6">
        <f t="shared" ca="1" si="211"/>
        <v>-60</v>
      </c>
      <c r="N187" s="6">
        <f t="shared" ca="1" si="207"/>
        <v>-47.400000000000006</v>
      </c>
      <c r="O187" s="6">
        <f t="shared" ca="1" si="208"/>
        <v>-478.55764415164538</v>
      </c>
      <c r="P187" s="6">
        <f t="shared" ca="1" si="209"/>
        <v>68.158794179673819</v>
      </c>
      <c r="BC187">
        <v>3.2288591161894979</v>
      </c>
      <c r="BD187">
        <v>117.55816160211116</v>
      </c>
      <c r="BE187">
        <v>-45.486401474582237</v>
      </c>
      <c r="BF187" s="6">
        <f t="shared" si="172"/>
        <v>5.9139994950515256</v>
      </c>
      <c r="BG187" s="6">
        <f t="shared" si="173"/>
        <v>2.6851403788620276</v>
      </c>
      <c r="BH187" s="6">
        <f t="shared" si="174"/>
        <v>-3.1039610033376706</v>
      </c>
      <c r="BI187" s="6">
        <f t="shared" si="175"/>
        <v>3.1039610033376706</v>
      </c>
      <c r="BJ187">
        <v>130.62017955790128</v>
      </c>
      <c r="BK187">
        <v>-50.540446082869153</v>
      </c>
      <c r="BV187" s="38"/>
      <c r="BW187" s="6">
        <f t="shared" si="113"/>
        <v>3.0019663134302377</v>
      </c>
      <c r="BX187" s="9">
        <f t="shared" ca="1" si="114"/>
        <v>-8.2580123087580262</v>
      </c>
      <c r="BY187" s="9">
        <f t="shared" ca="1" si="115"/>
        <v>2.6507341133511204</v>
      </c>
      <c r="BZ187" s="9">
        <f t="shared" ca="1" si="116"/>
        <v>117.6165054453397</v>
      </c>
      <c r="CA187" s="6">
        <f t="shared" ca="1" si="117"/>
        <v>-39.307438471348114</v>
      </c>
      <c r="CB187" s="6">
        <f t="shared" ca="1" si="118"/>
        <v>-0.32253036947569896</v>
      </c>
      <c r="CC187" s="6">
        <f t="shared" ca="1" si="119"/>
        <v>-8.5039165540062866E-4</v>
      </c>
      <c r="CD187" s="9">
        <f t="shared" si="120"/>
        <v>129.81650544533969</v>
      </c>
      <c r="CE187" s="9">
        <f t="shared" si="121"/>
        <v>-43.507438471348117</v>
      </c>
      <c r="CF187" s="6">
        <f t="shared" si="122"/>
        <v>-0.32338076113109959</v>
      </c>
      <c r="CG187" s="6"/>
      <c r="CH187" s="6"/>
      <c r="CI187" s="6"/>
      <c r="CJ187" s="1"/>
      <c r="CK187" s="6"/>
    </row>
    <row r="188" spans="1:89" x14ac:dyDescent="0.25">
      <c r="A188">
        <f t="shared" si="200"/>
        <v>4</v>
      </c>
      <c r="B188">
        <f t="shared" si="200"/>
        <v>8</v>
      </c>
      <c r="C188" s="6">
        <f t="shared" ca="1" si="200"/>
        <v>0.79</v>
      </c>
      <c r="D188" s="6">
        <f t="shared" si="200"/>
        <v>4</v>
      </c>
      <c r="E188" s="6">
        <f t="shared" si="200"/>
        <v>4</v>
      </c>
      <c r="F188" s="6">
        <f t="shared" si="201"/>
        <v>-2</v>
      </c>
      <c r="G188" s="6">
        <f t="shared" si="202"/>
        <v>-8</v>
      </c>
      <c r="H188" s="6">
        <f t="shared" si="203"/>
        <v>1.5497341138630278</v>
      </c>
      <c r="I188" s="6">
        <f t="shared" si="204"/>
        <v>8.0992792380760132</v>
      </c>
      <c r="J188" s="6">
        <f t="shared" si="205"/>
        <v>4.217316923387175</v>
      </c>
      <c r="K188" s="6">
        <f t="shared" ca="1" si="206"/>
        <v>-1.4833445326008207E-2</v>
      </c>
      <c r="L188" s="6">
        <f t="shared" ca="1" si="210"/>
        <v>0</v>
      </c>
      <c r="M188" s="6">
        <f t="shared" ca="1" si="211"/>
        <v>-60</v>
      </c>
      <c r="N188" s="6">
        <f t="shared" ca="1" si="207"/>
        <v>-47.400000000000006</v>
      </c>
      <c r="O188" s="6">
        <f t="shared" ca="1" si="208"/>
        <v>-383.90583588480308</v>
      </c>
      <c r="P188" s="6">
        <f t="shared" ca="1" si="209"/>
        <v>73.457396997107523</v>
      </c>
      <c r="BC188">
        <v>3.246312408709441</v>
      </c>
      <c r="BD188">
        <v>117.57911814541163</v>
      </c>
      <c r="BE188">
        <v>-45.704942825870326</v>
      </c>
      <c r="BF188" s="6">
        <f t="shared" si="172"/>
        <v>5.9124437730584374</v>
      </c>
      <c r="BG188" s="6">
        <f t="shared" si="173"/>
        <v>2.6661313643489963</v>
      </c>
      <c r="BH188" s="6">
        <f t="shared" si="174"/>
        <v>-3.1024052813445824</v>
      </c>
      <c r="BI188" s="6">
        <f t="shared" si="175"/>
        <v>3.1024052813445824</v>
      </c>
      <c r="BJ188">
        <v>130.64346460601291</v>
      </c>
      <c r="BK188">
        <v>-50.783269806522583</v>
      </c>
      <c r="BV188" s="38"/>
      <c r="BW188" s="6">
        <f t="shared" si="113"/>
        <v>3.0194196059501808</v>
      </c>
      <c r="BX188" s="9">
        <f t="shared" ca="1" si="114"/>
        <v>-8.2760690826701762</v>
      </c>
      <c r="BY188" s="9">
        <f t="shared" ca="1" si="115"/>
        <v>2.5132770690734532</v>
      </c>
      <c r="BZ188" s="9">
        <f t="shared" ca="1" si="116"/>
        <v>117.59844867142755</v>
      </c>
      <c r="CA188" s="6">
        <f t="shared" ca="1" si="117"/>
        <v>-39.444895515625781</v>
      </c>
      <c r="CB188" s="6">
        <f t="shared" ca="1" si="118"/>
        <v>-0.32362755969307155</v>
      </c>
      <c r="CC188" s="6">
        <f t="shared" ca="1" si="119"/>
        <v>-7.468507773435441E-4</v>
      </c>
      <c r="CD188" s="9">
        <f t="shared" si="120"/>
        <v>129.79844867142754</v>
      </c>
      <c r="CE188" s="9">
        <f t="shared" si="121"/>
        <v>-43.644895515625784</v>
      </c>
      <c r="CF188" s="6">
        <f t="shared" si="122"/>
        <v>-0.3243744104704151</v>
      </c>
      <c r="CG188" s="6"/>
      <c r="CH188" s="6"/>
      <c r="CI188" s="6"/>
      <c r="CJ188" s="1"/>
      <c r="CK188" s="6"/>
    </row>
    <row r="189" spans="1:89" x14ac:dyDescent="0.25">
      <c r="A189">
        <f t="shared" si="200"/>
        <v>5</v>
      </c>
      <c r="B189">
        <f t="shared" si="200"/>
        <v>0</v>
      </c>
      <c r="C189" s="6">
        <f t="shared" ca="1" si="200"/>
        <v>0</v>
      </c>
      <c r="D189" s="6">
        <f t="shared" si="200"/>
        <v>6</v>
      </c>
      <c r="E189" s="6">
        <f t="shared" si="200"/>
        <v>2</v>
      </c>
      <c r="F189" s="6">
        <f t="shared" si="201"/>
        <v>0</v>
      </c>
      <c r="G189" s="6">
        <f t="shared" si="202"/>
        <v>-10</v>
      </c>
      <c r="H189" s="6">
        <f t="shared" si="203"/>
        <v>-0.55892434783055955</v>
      </c>
      <c r="I189" s="6">
        <f t="shared" si="204"/>
        <v>9.9843679606373765</v>
      </c>
      <c r="J189" s="6">
        <f t="shared" si="205"/>
        <v>2.3322282008258117</v>
      </c>
      <c r="K189" s="6">
        <f t="shared" ca="1" si="206"/>
        <v>0</v>
      </c>
      <c r="L189" s="6">
        <f t="shared" ca="1" si="210"/>
        <v>0</v>
      </c>
      <c r="M189" s="6">
        <f t="shared" ca="1" si="211"/>
        <v>0</v>
      </c>
      <c r="N189" s="6">
        <f t="shared" ca="1" si="207"/>
        <v>0</v>
      </c>
      <c r="O189" s="6">
        <f t="shared" ca="1" si="208"/>
        <v>0</v>
      </c>
      <c r="P189" s="6">
        <f t="shared" ca="1" si="209"/>
        <v>0</v>
      </c>
      <c r="BC189">
        <v>3.2637657012293841</v>
      </c>
      <c r="BD189">
        <v>117.59844867142668</v>
      </c>
      <c r="BE189">
        <v>-45.87510448437412</v>
      </c>
      <c r="BF189" s="6">
        <f t="shared" si="172"/>
        <v>5.9112428097941478</v>
      </c>
      <c r="BG189" s="6">
        <f t="shared" si="173"/>
        <v>2.6474771085647637</v>
      </c>
      <c r="BH189" s="6">
        <f t="shared" si="174"/>
        <v>-3.1012043180802928</v>
      </c>
      <c r="BI189" s="6">
        <f t="shared" si="175"/>
        <v>3.1012043180802928</v>
      </c>
      <c r="BJ189">
        <v>130.66494296825186</v>
      </c>
      <c r="BK189">
        <v>-50.972338315971243</v>
      </c>
      <c r="BV189" s="38"/>
      <c r="BW189" s="6">
        <f t="shared" si="113"/>
        <v>3.0368728984701239</v>
      </c>
      <c r="BX189" s="9">
        <f t="shared" ca="1" si="114"/>
        <v>-8.295399608683951</v>
      </c>
      <c r="BY189" s="9">
        <f t="shared" ca="1" si="115"/>
        <v>2.3431154105692826</v>
      </c>
      <c r="BZ189" s="9">
        <f t="shared" ca="1" si="116"/>
        <v>117.57911814541377</v>
      </c>
      <c r="CA189" s="6">
        <f t="shared" ca="1" si="117"/>
        <v>-39.615057174129952</v>
      </c>
      <c r="CB189" s="6">
        <f t="shared" ca="1" si="118"/>
        <v>-0.3249773702522748</v>
      </c>
      <c r="CC189" s="6">
        <f t="shared" ca="1" si="119"/>
        <v>-6.1950963240375856E-4</v>
      </c>
      <c r="CD189" s="9">
        <f t="shared" si="120"/>
        <v>129.77911814541378</v>
      </c>
      <c r="CE189" s="9">
        <f t="shared" si="121"/>
        <v>-43.815057174129954</v>
      </c>
      <c r="CF189" s="6">
        <f t="shared" si="122"/>
        <v>-0.32559687988467856</v>
      </c>
      <c r="CG189" s="6"/>
      <c r="CH189" s="6"/>
      <c r="CI189" s="6"/>
      <c r="CJ189" s="1"/>
      <c r="CK189" s="6"/>
    </row>
    <row r="190" spans="1:89" x14ac:dyDescent="0.25">
      <c r="A190">
        <f t="shared" si="200"/>
        <v>6</v>
      </c>
      <c r="B190">
        <f t="shared" si="200"/>
        <v>0</v>
      </c>
      <c r="C190" s="6">
        <f t="shared" ca="1" si="200"/>
        <v>0</v>
      </c>
      <c r="D190" s="6">
        <f t="shared" si="200"/>
        <v>0</v>
      </c>
      <c r="E190" s="6">
        <f t="shared" si="200"/>
        <v>8.66</v>
      </c>
      <c r="F190" s="6">
        <f t="shared" si="201"/>
        <v>-6</v>
      </c>
      <c r="G190" s="6">
        <f t="shared" si="202"/>
        <v>-3.34</v>
      </c>
      <c r="H190" s="6">
        <f t="shared" si="203"/>
        <v>5.8039400442070201</v>
      </c>
      <c r="I190" s="6">
        <f t="shared" si="204"/>
        <v>3.6701335075512196</v>
      </c>
      <c r="J190" s="6">
        <f t="shared" si="205"/>
        <v>8.6464626539119678</v>
      </c>
      <c r="K190" s="6">
        <f t="shared" ca="1" si="206"/>
        <v>0</v>
      </c>
      <c r="L190" s="6">
        <f t="shared" ca="1" si="210"/>
        <v>0</v>
      </c>
      <c r="M190" s="6">
        <f t="shared" ca="1" si="211"/>
        <v>0</v>
      </c>
      <c r="N190" s="6">
        <f t="shared" ca="1" si="207"/>
        <v>0</v>
      </c>
      <c r="O190" s="6">
        <f t="shared" ca="1" si="208"/>
        <v>0</v>
      </c>
      <c r="P190" s="6">
        <f t="shared" ca="1" si="209"/>
        <v>0</v>
      </c>
      <c r="BC190">
        <v>3.2812189937493272</v>
      </c>
      <c r="BD190">
        <v>117.61650544533737</v>
      </c>
      <c r="BE190">
        <v>-46.012561528652263</v>
      </c>
      <c r="BF190" s="6">
        <f t="shared" si="172"/>
        <v>5.9102808202263812</v>
      </c>
      <c r="BG190" s="6">
        <f t="shared" si="173"/>
        <v>2.629061826477054</v>
      </c>
      <c r="BH190" s="6">
        <f t="shared" si="174"/>
        <v>-3.1002423285125262</v>
      </c>
      <c r="BI190" s="6">
        <f t="shared" si="175"/>
        <v>3.1002423285125262</v>
      </c>
      <c r="BJ190">
        <v>130.68500605037485</v>
      </c>
      <c r="BK190">
        <v>-51.125068365169177</v>
      </c>
      <c r="BV190" s="38"/>
      <c r="BW190" s="6">
        <f t="shared" si="113"/>
        <v>3.054326190990067</v>
      </c>
      <c r="BX190" s="9">
        <f t="shared" ca="1" si="114"/>
        <v>-8.3163561519858717</v>
      </c>
      <c r="BY190" s="9">
        <f t="shared" ca="1" si="115"/>
        <v>2.1245740592815494</v>
      </c>
      <c r="BZ190" s="9">
        <f t="shared" ca="1" si="116"/>
        <v>117.55816160211185</v>
      </c>
      <c r="CA190" s="6">
        <f t="shared" ca="1" si="117"/>
        <v>-39.833598525417685</v>
      </c>
      <c r="CB190" s="6">
        <f t="shared" ca="1" si="118"/>
        <v>-0.32669979797912196</v>
      </c>
      <c r="CC190" s="6">
        <f t="shared" ca="1" si="119"/>
        <v>-4.5709717206116052E-4</v>
      </c>
      <c r="CD190" s="9">
        <f t="shared" si="120"/>
        <v>129.75816160211184</v>
      </c>
      <c r="CE190" s="9">
        <f t="shared" si="121"/>
        <v>-44.033598525417688</v>
      </c>
      <c r="CF190" s="6">
        <f t="shared" si="122"/>
        <v>-0.32715689515118312</v>
      </c>
      <c r="CG190" s="6"/>
      <c r="CH190" s="6"/>
      <c r="CI190" s="6"/>
      <c r="CJ190" s="1"/>
      <c r="CK190" s="6"/>
    </row>
    <row r="191" spans="1:89" x14ac:dyDescent="0.25">
      <c r="A191">
        <f t="shared" si="200"/>
        <v>7</v>
      </c>
      <c r="B191">
        <f t="shared" si="200"/>
        <v>0</v>
      </c>
      <c r="C191" s="6">
        <f t="shared" ca="1" si="200"/>
        <v>0</v>
      </c>
      <c r="D191" s="6">
        <f t="shared" si="200"/>
        <v>2</v>
      </c>
      <c r="E191" s="6">
        <f t="shared" si="200"/>
        <v>22</v>
      </c>
      <c r="F191" s="6">
        <f t="shared" si="201"/>
        <v>-4</v>
      </c>
      <c r="G191" s="6">
        <f t="shared" si="202"/>
        <v>10</v>
      </c>
      <c r="H191" s="6">
        <f t="shared" si="203"/>
        <v>4.55267153208551</v>
      </c>
      <c r="I191" s="6">
        <f t="shared" si="204"/>
        <v>-9.7607982215051532</v>
      </c>
      <c r="J191" s="6">
        <f t="shared" si="205"/>
        <v>22.077394382968343</v>
      </c>
      <c r="K191" s="6">
        <f t="shared" ca="1" si="206"/>
        <v>0</v>
      </c>
      <c r="L191" s="6">
        <f t="shared" ca="1" si="210"/>
        <v>0</v>
      </c>
      <c r="M191" s="6">
        <f t="shared" ca="1" si="211"/>
        <v>0</v>
      </c>
      <c r="N191" s="6">
        <f t="shared" ca="1" si="207"/>
        <v>0</v>
      </c>
      <c r="O191" s="6">
        <f t="shared" ca="1" si="208"/>
        <v>0</v>
      </c>
      <c r="P191" s="6">
        <f t="shared" ca="1" si="209"/>
        <v>0</v>
      </c>
      <c r="BC191">
        <v>3.2986722862692703</v>
      </c>
      <c r="BD191">
        <v>117.63353418032615</v>
      </c>
      <c r="BE191">
        <v>-46.126698119451419</v>
      </c>
      <c r="BF191" s="6">
        <f t="shared" si="172"/>
        <v>5.9094886929667521</v>
      </c>
      <c r="BG191" s="6">
        <f t="shared" si="173"/>
        <v>2.6108164066974817</v>
      </c>
      <c r="BH191" s="6">
        <f t="shared" si="174"/>
        <v>-3.0994502012528971</v>
      </c>
      <c r="BI191" s="6">
        <f t="shared" si="175"/>
        <v>3.0994502012528971</v>
      </c>
      <c r="BJ191">
        <v>130.70392686702905</v>
      </c>
      <c r="BK191">
        <v>-51.251886799390462</v>
      </c>
      <c r="BV191" s="38"/>
      <c r="BW191" s="6">
        <f t="shared" si="113"/>
        <v>3.0717794835100101</v>
      </c>
      <c r="BX191" s="9">
        <f t="shared" ca="1" si="114"/>
        <v>-8.3394774846002662</v>
      </c>
      <c r="BY191" s="9">
        <f t="shared" ca="1" si="115"/>
        <v>1.8289667867720496</v>
      </c>
      <c r="BZ191" s="9">
        <f t="shared" ca="1" si="116"/>
        <v>117.53504026949746</v>
      </c>
      <c r="CA191" s="6">
        <f t="shared" ca="1" si="117"/>
        <v>-40.129205797927185</v>
      </c>
      <c r="CB191" s="6">
        <f t="shared" ca="1" si="118"/>
        <v>-0.32901380277729525</v>
      </c>
      <c r="CC191" s="6">
        <f t="shared" ca="1" si="119"/>
        <v>-2.3907819600138547E-4</v>
      </c>
      <c r="CD191" s="9">
        <f t="shared" si="120"/>
        <v>129.73504026949746</v>
      </c>
      <c r="CE191" s="9">
        <f t="shared" si="121"/>
        <v>-44.329205797927187</v>
      </c>
      <c r="CF191" s="6">
        <f t="shared" si="122"/>
        <v>-0.32925288097329664</v>
      </c>
      <c r="CG191" s="6"/>
      <c r="CH191" s="6"/>
      <c r="CI191" s="6"/>
      <c r="CJ191" s="1"/>
      <c r="CK191" s="6"/>
    </row>
    <row r="192" spans="1:89" x14ac:dyDescent="0.25">
      <c r="A192">
        <f t="shared" si="200"/>
        <v>8</v>
      </c>
      <c r="B192">
        <f t="shared" si="200"/>
        <v>0</v>
      </c>
      <c r="C192" s="6">
        <f t="shared" ca="1" si="200"/>
        <v>0</v>
      </c>
      <c r="D192" s="6">
        <f t="shared" si="200"/>
        <v>10</v>
      </c>
      <c r="E192" s="6">
        <f t="shared" si="200"/>
        <v>22</v>
      </c>
      <c r="F192" s="6">
        <f t="shared" si="201"/>
        <v>4</v>
      </c>
      <c r="G192" s="6">
        <f t="shared" si="202"/>
        <v>10</v>
      </c>
      <c r="H192" s="6">
        <f t="shared" si="203"/>
        <v>-3.4348228364243911</v>
      </c>
      <c r="I192" s="6">
        <f t="shared" si="204"/>
        <v>-10.2079376997696</v>
      </c>
      <c r="J192" s="6">
        <f t="shared" si="205"/>
        <v>22.52453386123279</v>
      </c>
      <c r="K192" s="6">
        <f t="shared" ca="1" si="206"/>
        <v>0</v>
      </c>
      <c r="L192" s="6">
        <f t="shared" ca="1" si="210"/>
        <v>0</v>
      </c>
      <c r="M192" s="6">
        <f t="shared" ca="1" si="211"/>
        <v>0</v>
      </c>
      <c r="N192" s="6">
        <f t="shared" ca="1" si="207"/>
        <v>0</v>
      </c>
      <c r="O192" s="6">
        <f t="shared" ca="1" si="208"/>
        <v>0</v>
      </c>
      <c r="P192" s="6">
        <f t="shared" ca="1" si="209"/>
        <v>0</v>
      </c>
      <c r="BC192">
        <v>3.3161255787892134</v>
      </c>
      <c r="BD192">
        <v>117.64971469310052</v>
      </c>
      <c r="BE192">
        <v>-46.223520691642655</v>
      </c>
      <c r="BF192" s="6">
        <f t="shared" si="172"/>
        <v>5.9088223122598897</v>
      </c>
      <c r="BG192" s="6">
        <f t="shared" si="173"/>
        <v>2.5926967334706763</v>
      </c>
      <c r="BH192" s="6">
        <f t="shared" si="174"/>
        <v>-3.0987838205460347</v>
      </c>
      <c r="BI192" s="6">
        <f t="shared" si="175"/>
        <v>3.0987838205460347</v>
      </c>
      <c r="BJ192">
        <v>130.72190521455613</v>
      </c>
      <c r="BK192">
        <v>-51.359467435158507</v>
      </c>
      <c r="BV192" s="38"/>
      <c r="BW192" s="6">
        <f t="shared" si="113"/>
        <v>3.0892327760299532</v>
      </c>
      <c r="BX192" s="9">
        <f t="shared" ca="1" si="114"/>
        <v>-8.3654410506968304</v>
      </c>
      <c r="BY192" s="9">
        <f t="shared" ca="1" si="115"/>
        <v>1.4020520080005312</v>
      </c>
      <c r="BZ192" s="9">
        <f t="shared" ca="1" si="116"/>
        <v>117.50907670340089</v>
      </c>
      <c r="CA192" s="6">
        <f t="shared" ca="1" si="117"/>
        <v>-40.556120576698703</v>
      </c>
      <c r="CB192" s="6">
        <f t="shared" ca="1" si="118"/>
        <v>-0.33233133784495306</v>
      </c>
      <c r="CC192" s="6">
        <f t="shared" ca="1" si="119"/>
        <v>7.3080816721082797E-5</v>
      </c>
      <c r="CD192" s="9">
        <f t="shared" si="120"/>
        <v>129.70907670340088</v>
      </c>
      <c r="CE192" s="9">
        <f t="shared" si="121"/>
        <v>-44.756120576698706</v>
      </c>
      <c r="CF192" s="6">
        <f t="shared" si="122"/>
        <v>-0.33225825702823197</v>
      </c>
      <c r="CG192" s="6"/>
      <c r="CH192" s="6"/>
      <c r="CI192" s="6"/>
      <c r="CJ192" s="1"/>
      <c r="CK192" s="6"/>
    </row>
    <row r="193" spans="1:89" x14ac:dyDescent="0.25">
      <c r="A193">
        <f t="shared" si="200"/>
        <v>9</v>
      </c>
      <c r="B193">
        <f t="shared" si="200"/>
        <v>0</v>
      </c>
      <c r="C193" s="6">
        <f t="shared" ca="1" si="200"/>
        <v>0</v>
      </c>
      <c r="D193" s="6">
        <f t="shared" si="200"/>
        <v>2</v>
      </c>
      <c r="E193" s="6">
        <f t="shared" si="200"/>
        <v>2</v>
      </c>
      <c r="F193" s="6">
        <f t="shared" si="201"/>
        <v>-4</v>
      </c>
      <c r="G193" s="6">
        <f t="shared" si="202"/>
        <v>-10</v>
      </c>
      <c r="H193" s="6">
        <f t="shared" si="203"/>
        <v>3.4348228364243911</v>
      </c>
      <c r="I193" s="6">
        <f t="shared" si="204"/>
        <v>10.2079376997696</v>
      </c>
      <c r="J193" s="6">
        <f t="shared" si="205"/>
        <v>2.1086584616935884</v>
      </c>
      <c r="K193" s="6">
        <f t="shared" ca="1" si="206"/>
        <v>0</v>
      </c>
      <c r="L193" s="6">
        <f t="shared" ca="1" si="210"/>
        <v>0</v>
      </c>
      <c r="M193" s="6">
        <f t="shared" ca="1" si="211"/>
        <v>0</v>
      </c>
      <c r="N193" s="6">
        <f t="shared" ca="1" si="207"/>
        <v>0</v>
      </c>
      <c r="O193" s="6">
        <f t="shared" ca="1" si="208"/>
        <v>0</v>
      </c>
      <c r="P193" s="6">
        <f t="shared" ca="1" si="209"/>
        <v>0</v>
      </c>
      <c r="BC193">
        <v>3.3335788713091565</v>
      </c>
      <c r="BD193">
        <v>117.66518354254538</v>
      </c>
      <c r="BE193">
        <v>-46.307075700611556</v>
      </c>
      <c r="BF193" s="6">
        <f t="shared" si="172"/>
        <v>5.9082520332872539</v>
      </c>
      <c r="BG193" s="6">
        <f t="shared" si="173"/>
        <v>2.5746731619780974</v>
      </c>
      <c r="BH193" s="6">
        <f t="shared" si="174"/>
        <v>-3.0982135415733989</v>
      </c>
      <c r="BI193" s="6">
        <f t="shared" si="175"/>
        <v>3.0982135415733989</v>
      </c>
      <c r="BJ193">
        <v>130.73909282505042</v>
      </c>
      <c r="BK193">
        <v>-51.452306334012839</v>
      </c>
      <c r="BV193" s="38"/>
      <c r="BW193" s="6">
        <f t="shared" si="113"/>
        <v>3.1066860685498963</v>
      </c>
      <c r="BX193" s="9">
        <f t="shared" ca="1" si="114"/>
        <v>-8.3921192122647597</v>
      </c>
      <c r="BY193" s="9">
        <f t="shared" ca="1" si="115"/>
        <v>0.81930609345789662</v>
      </c>
      <c r="BZ193" s="9">
        <f t="shared" ca="1" si="116"/>
        <v>117.48239854183296</v>
      </c>
      <c r="CA193" s="6">
        <f t="shared" ca="1" si="117"/>
        <v>-41.138866491241338</v>
      </c>
      <c r="CB193" s="6">
        <f t="shared" ca="1" si="118"/>
        <v>-0.33682667599359567</v>
      </c>
      <c r="CC193" s="6">
        <f t="shared" ca="1" si="119"/>
        <v>4.9519327795871648E-4</v>
      </c>
      <c r="CD193" s="9">
        <f t="shared" si="120"/>
        <v>129.68239854183295</v>
      </c>
      <c r="CE193" s="9">
        <f t="shared" si="121"/>
        <v>-45.33886649124134</v>
      </c>
      <c r="CF193" s="6">
        <f t="shared" si="122"/>
        <v>-0.33633148271563695</v>
      </c>
      <c r="CG193" s="6"/>
      <c r="CH193" s="6"/>
      <c r="CI193" s="6"/>
      <c r="CJ193" s="1"/>
      <c r="CK193" s="6"/>
    </row>
    <row r="194" spans="1:89" ht="15.75" thickBot="1" x14ac:dyDescent="0.3">
      <c r="A194">
        <f t="shared" si="200"/>
        <v>10</v>
      </c>
      <c r="B194">
        <f t="shared" si="200"/>
        <v>0</v>
      </c>
      <c r="C194" s="6">
        <f t="shared" ca="1" si="200"/>
        <v>0</v>
      </c>
      <c r="D194" s="6">
        <f t="shared" si="200"/>
        <v>10</v>
      </c>
      <c r="E194" s="6">
        <f t="shared" si="200"/>
        <v>2</v>
      </c>
      <c r="F194" s="6">
        <f t="shared" si="201"/>
        <v>4</v>
      </c>
      <c r="G194" s="6">
        <f t="shared" si="202"/>
        <v>-10</v>
      </c>
      <c r="H194" s="6">
        <f t="shared" si="203"/>
        <v>-4.55267153208551</v>
      </c>
      <c r="I194" s="6">
        <f t="shared" si="204"/>
        <v>9.7607982215051532</v>
      </c>
      <c r="J194" s="6">
        <f t="shared" si="205"/>
        <v>2.5557979399580351</v>
      </c>
      <c r="K194" s="11">
        <f t="shared" ca="1" si="206"/>
        <v>0</v>
      </c>
      <c r="L194" s="6">
        <f t="shared" ca="1" si="210"/>
        <v>0</v>
      </c>
      <c r="M194" s="6">
        <f t="shared" ca="1" si="211"/>
        <v>0</v>
      </c>
      <c r="N194" s="11">
        <f t="shared" ca="1" si="207"/>
        <v>0</v>
      </c>
      <c r="O194" s="11">
        <f t="shared" ca="1" si="208"/>
        <v>0</v>
      </c>
      <c r="P194" s="11">
        <f t="shared" ca="1" si="209"/>
        <v>0</v>
      </c>
      <c r="BC194">
        <v>3.3510321638290996</v>
      </c>
      <c r="BD194">
        <v>117.68004757477324</v>
      </c>
      <c r="BE194">
        <v>-46.380201941211951</v>
      </c>
      <c r="BF194" s="6">
        <f t="shared" si="172"/>
        <v>5.907757109129844</v>
      </c>
      <c r="BG194" s="6">
        <f t="shared" si="173"/>
        <v>2.5567249453007443</v>
      </c>
      <c r="BH194" s="6">
        <f t="shared" si="174"/>
        <v>-3.097718617415989</v>
      </c>
      <c r="BI194" s="6">
        <f t="shared" si="175"/>
        <v>3.097718617415989</v>
      </c>
      <c r="BJ194">
        <v>130.7556084164147</v>
      </c>
      <c r="BK194">
        <v>-51.533557712457721</v>
      </c>
      <c r="BV194" s="38"/>
      <c r="BW194" s="6">
        <f t="shared" si="113"/>
        <v>3.1241393610698394</v>
      </c>
      <c r="BX194" s="9">
        <f t="shared" ca="1" si="114"/>
        <v>-8.4150395609498077</v>
      </c>
      <c r="BY194" s="9">
        <f t="shared" ca="1" si="115"/>
        <v>9.6540181692773785E-2</v>
      </c>
      <c r="BZ194" s="9">
        <f t="shared" ca="1" si="116"/>
        <v>117.45947819314792</v>
      </c>
      <c r="CA194" s="6">
        <f t="shared" ca="1" si="117"/>
        <v>-41.86163240300646</v>
      </c>
      <c r="CB194" s="6">
        <f t="shared" ca="1" si="118"/>
        <v>-0.34235796969633725</v>
      </c>
      <c r="CC194" s="6">
        <f t="shared" ca="1" si="119"/>
        <v>1.0130639841640088E-3</v>
      </c>
      <c r="CD194" s="9">
        <f t="shared" si="120"/>
        <v>129.65947819314792</v>
      </c>
      <c r="CE194" s="9">
        <f t="shared" si="121"/>
        <v>-46.061632403006463</v>
      </c>
      <c r="CF194" s="6">
        <f t="shared" si="122"/>
        <v>-0.34134490571217324</v>
      </c>
      <c r="CG194" s="6"/>
      <c r="CH194" s="6"/>
      <c r="CI194" s="6"/>
      <c r="CJ194" s="1"/>
      <c r="CK194" s="6"/>
    </row>
    <row r="195" spans="1:89" ht="15.75" thickTop="1" x14ac:dyDescent="0.25">
      <c r="K195" s="13">
        <f ca="1">MIN(K185:K194)</f>
        <v>-1.4833445326008207E-2</v>
      </c>
      <c r="N195" s="6">
        <f ca="1">SUM(N185:N194)</f>
        <v>-189.60000000000002</v>
      </c>
      <c r="O195" s="6">
        <f ca="1">SUM(O185:O194)</f>
        <v>-1735.5241657077643</v>
      </c>
      <c r="P195" s="6">
        <f ca="1">SUM(P185:P194)</f>
        <v>472.53599888724733</v>
      </c>
      <c r="BC195">
        <v>3.3684854563490427</v>
      </c>
      <c r="BD195">
        <v>117.69439245944814</v>
      </c>
      <c r="BE195">
        <v>-46.444957608356667</v>
      </c>
      <c r="BF195" s="6">
        <f t="shared" ref="BF195:BF258" si="212">IF(BC195&lt;&gt;"",IF(AND(BD195=0,BE195=0),0,MOD(ATAN2(BD195,BE195),2*PI())),NA())</f>
        <v>5.9073225331798831</v>
      </c>
      <c r="BG195" s="6">
        <f t="shared" ref="BG195:BG258" si="213">ABS(BC195-BF195)</f>
        <v>2.5388370768308404</v>
      </c>
      <c r="BH195" s="6">
        <f t="shared" ref="BH195:BH258" si="214">ATAN2(COS($U$13-BF195),SIN($U$13-BF195))</f>
        <v>-3.0972840414660281</v>
      </c>
      <c r="BI195" s="6">
        <f t="shared" ref="BI195:BI258" si="215">ABS(BH195)</f>
        <v>3.0972840414660281</v>
      </c>
      <c r="BJ195">
        <v>130.77154717716459</v>
      </c>
      <c r="BK195">
        <v>-51.605508453729627</v>
      </c>
      <c r="BV195" s="38"/>
      <c r="BW195" s="6">
        <f t="shared" si="113"/>
        <v>3.1415926535897825</v>
      </c>
      <c r="BX195" s="9">
        <f t="shared" ca="1" si="114"/>
        <v>-8.4270705688258687</v>
      </c>
      <c r="BY195" s="9">
        <f t="shared" ca="1" si="115"/>
        <v>-0.70182741530001636</v>
      </c>
      <c r="BZ195" s="9">
        <f t="shared" ca="1" si="116"/>
        <v>117.44744718527186</v>
      </c>
      <c r="CA195" s="6">
        <f t="shared" ca="1" si="117"/>
        <v>-42.659999999999251</v>
      </c>
      <c r="CB195" s="6">
        <f t="shared" ca="1" si="118"/>
        <v>-0.34840877022405553</v>
      </c>
      <c r="CC195" s="6">
        <f t="shared" ca="1" si="119"/>
        <v>1.5774410827965599E-3</v>
      </c>
      <c r="CD195" s="9">
        <f t="shared" si="120"/>
        <v>129.64744718527186</v>
      </c>
      <c r="CE195" s="9">
        <f t="shared" si="121"/>
        <v>-46.859999999999253</v>
      </c>
      <c r="CF195" s="6">
        <f t="shared" si="122"/>
        <v>-0.34683132914125897</v>
      </c>
      <c r="CG195" s="6"/>
      <c r="CH195" s="6"/>
      <c r="CI195" s="6"/>
      <c r="CJ195" s="1"/>
      <c r="CK195" s="6"/>
    </row>
    <row r="196" spans="1:89" x14ac:dyDescent="0.25">
      <c r="A196" t="s">
        <v>190</v>
      </c>
      <c r="B196" s="9">
        <f ca="1">N195</f>
        <v>-189.60000000000002</v>
      </c>
      <c r="C196" t="s">
        <v>68</v>
      </c>
      <c r="BC196">
        <v>3.3859387488689858</v>
      </c>
      <c r="BD196">
        <v>117.7082883250755</v>
      </c>
      <c r="BE196">
        <v>-46.502876204506158</v>
      </c>
      <c r="BF196" s="6">
        <f t="shared" si="212"/>
        <v>5.9069371503514594</v>
      </c>
      <c r="BG196" s="6">
        <f t="shared" si="213"/>
        <v>2.5209984014824736</v>
      </c>
      <c r="BH196" s="6">
        <f t="shared" si="214"/>
        <v>-3.0968986586376044</v>
      </c>
      <c r="BI196" s="6">
        <f t="shared" si="215"/>
        <v>3.0968986586376044</v>
      </c>
      <c r="BJ196">
        <v>130.78698702786167</v>
      </c>
      <c r="BK196">
        <v>-51.669862449451287</v>
      </c>
      <c r="BV196" s="38"/>
      <c r="BW196" s="6">
        <f t="shared" si="113"/>
        <v>3.1590459461097256</v>
      </c>
      <c r="BX196" s="9">
        <f t="shared" ca="1" si="114"/>
        <v>-8.4150395609563304</v>
      </c>
      <c r="BY196" s="9">
        <f t="shared" ca="1" si="115"/>
        <v>-1.5001950122933607</v>
      </c>
      <c r="BZ196" s="9">
        <f t="shared" ca="1" si="116"/>
        <v>117.45947819314139</v>
      </c>
      <c r="CA196" s="6">
        <f t="shared" ca="1" si="117"/>
        <v>-43.458367596992595</v>
      </c>
      <c r="CB196" s="6">
        <f t="shared" ca="1" si="118"/>
        <v>-0.35436764305757906</v>
      </c>
      <c r="CC196" s="6">
        <f t="shared" ca="1" si="119"/>
        <v>2.1306546389328602E-3</v>
      </c>
      <c r="CD196" s="9">
        <f t="shared" si="120"/>
        <v>129.65947819314138</v>
      </c>
      <c r="CE196" s="9">
        <f t="shared" si="121"/>
        <v>-47.658367596992598</v>
      </c>
      <c r="CF196" s="6">
        <f t="shared" si="122"/>
        <v>-0.3522369884186462</v>
      </c>
      <c r="CG196" s="6"/>
      <c r="CH196" s="6"/>
      <c r="CI196" s="6"/>
      <c r="CJ196" s="1"/>
      <c r="CK196" s="6"/>
    </row>
    <row r="197" spans="1:89" x14ac:dyDescent="0.25">
      <c r="A197" t="s">
        <v>100</v>
      </c>
      <c r="B197" s="9">
        <f ca="1">O195</f>
        <v>-1735.5241657077643</v>
      </c>
      <c r="C197" t="s">
        <v>69</v>
      </c>
      <c r="BC197">
        <v>3.4033920413889289</v>
      </c>
      <c r="BD197">
        <v>117.72179360562394</v>
      </c>
      <c r="BE197">
        <v>-46.555126867602681</v>
      </c>
      <c r="BF197" s="6">
        <f t="shared" si="212"/>
        <v>5.906592475655204</v>
      </c>
      <c r="BG197" s="6">
        <f t="shared" si="213"/>
        <v>2.503200434266275</v>
      </c>
      <c r="BH197" s="6">
        <f t="shared" si="214"/>
        <v>-3.096553983941349</v>
      </c>
      <c r="BI197" s="6">
        <f t="shared" si="215"/>
        <v>3.096553983941349</v>
      </c>
      <c r="BJ197">
        <v>130.80199289513772</v>
      </c>
      <c r="BK197">
        <v>-51.727918741780755</v>
      </c>
      <c r="BV197" s="38"/>
      <c r="BW197" s="6">
        <f t="shared" si="113"/>
        <v>3.1764992386296687</v>
      </c>
      <c r="BX197" s="9">
        <f t="shared" ca="1" si="114"/>
        <v>-8.3921192122711261</v>
      </c>
      <c r="BY197" s="9">
        <f t="shared" ca="1" si="115"/>
        <v>-2.2229609240587251</v>
      </c>
      <c r="BZ197" s="9">
        <f t="shared" ca="1" si="116"/>
        <v>117.4823985418266</v>
      </c>
      <c r="CA197" s="6">
        <f t="shared" ca="1" si="117"/>
        <v>-44.181133508757959</v>
      </c>
      <c r="CB197" s="6">
        <f t="shared" ca="1" si="118"/>
        <v>-0.35970490165299912</v>
      </c>
      <c r="CC197" s="6">
        <f t="shared" ca="1" si="119"/>
        <v>2.6238316529252903E-3</v>
      </c>
      <c r="CD197" s="9">
        <f t="shared" si="120"/>
        <v>129.68239854182659</v>
      </c>
      <c r="CE197" s="9">
        <f t="shared" si="121"/>
        <v>-48.381133508757962</v>
      </c>
      <c r="CF197" s="6">
        <f t="shared" si="122"/>
        <v>-0.35708107000007383</v>
      </c>
      <c r="CG197" s="6"/>
      <c r="CH197" s="6"/>
      <c r="CI197" s="6"/>
      <c r="CJ197" s="1"/>
      <c r="CK197" s="6"/>
    </row>
    <row r="198" spans="1:89" x14ac:dyDescent="0.25">
      <c r="A198" t="s">
        <v>101</v>
      </c>
      <c r="B198" s="9">
        <f ca="1">P195</f>
        <v>472.53599888724733</v>
      </c>
      <c r="C198" t="s">
        <v>69</v>
      </c>
      <c r="BC198">
        <v>3.420845333908872</v>
      </c>
      <c r="BD198">
        <v>117.7349577519709</v>
      </c>
      <c r="BE198">
        <v>-46.602618630056064</v>
      </c>
      <c r="BF198" s="6">
        <f t="shared" si="212"/>
        <v>5.9062819271176563</v>
      </c>
      <c r="BG198" s="6">
        <f t="shared" si="213"/>
        <v>2.4854365932087843</v>
      </c>
      <c r="BH198" s="6">
        <f t="shared" si="214"/>
        <v>-3.0962434354038013</v>
      </c>
      <c r="BI198" s="6">
        <f t="shared" si="215"/>
        <v>3.0962434354038013</v>
      </c>
      <c r="BJ198">
        <v>130.81661972441211</v>
      </c>
      <c r="BK198">
        <v>-51.780687366728955</v>
      </c>
      <c r="BV198" s="38"/>
      <c r="BW198" s="6">
        <f t="shared" si="113"/>
        <v>3.1939525311496118</v>
      </c>
      <c r="BX198" s="9">
        <f t="shared" ca="1" si="114"/>
        <v>-8.3654410507029979</v>
      </c>
      <c r="BY198" s="9">
        <f t="shared" ca="1" si="115"/>
        <v>-2.8057068386016795</v>
      </c>
      <c r="BZ198" s="9">
        <f t="shared" ca="1" si="116"/>
        <v>117.50907670339473</v>
      </c>
      <c r="CA198" s="6">
        <f t="shared" ca="1" si="117"/>
        <v>-44.763879423300914</v>
      </c>
      <c r="CB198" s="6">
        <f t="shared" ca="1" si="118"/>
        <v>-0.36396793459737375</v>
      </c>
      <c r="CC198" s="6">
        <f t="shared" ca="1" si="119"/>
        <v>3.0160393114505024E-3</v>
      </c>
      <c r="CD198" s="9">
        <f t="shared" si="120"/>
        <v>129.70907670339471</v>
      </c>
      <c r="CE198" s="9">
        <f t="shared" si="121"/>
        <v>-48.963879423300916</v>
      </c>
      <c r="CF198" s="6">
        <f t="shared" si="122"/>
        <v>-0.36095189528592325</v>
      </c>
      <c r="CG198" s="6"/>
      <c r="CH198" s="6"/>
      <c r="CI198" s="6"/>
      <c r="CJ198" s="1"/>
      <c r="CK198" s="6"/>
    </row>
    <row r="199" spans="1:89" x14ac:dyDescent="0.25">
      <c r="BC199">
        <v>3.4382986264288151</v>
      </c>
      <c r="BD199">
        <v>117.74782320713798</v>
      </c>
      <c r="BE199">
        <v>-46.646070394639104</v>
      </c>
      <c r="BF199" s="6">
        <f t="shared" si="212"/>
        <v>5.9060003117318933</v>
      </c>
      <c r="BG199" s="6">
        <f t="shared" si="213"/>
        <v>2.4677016853030782</v>
      </c>
      <c r="BH199" s="6">
        <f t="shared" si="214"/>
        <v>-3.0959618200180383</v>
      </c>
      <c r="BI199" s="6">
        <f t="shared" si="215"/>
        <v>3.0959618200180383</v>
      </c>
      <c r="BJ199">
        <v>130.83091467459775</v>
      </c>
      <c r="BK199">
        <v>-51.828967105154561</v>
      </c>
      <c r="BV199" s="38"/>
      <c r="BW199" s="6">
        <f t="shared" si="113"/>
        <v>3.2114058236695548</v>
      </c>
      <c r="BX199" s="9">
        <f t="shared" ca="1" si="114"/>
        <v>-8.3394774846014457</v>
      </c>
      <c r="BY199" s="9">
        <f t="shared" ca="1" si="115"/>
        <v>-3.2326216173734963</v>
      </c>
      <c r="BZ199" s="9">
        <f t="shared" ca="1" si="116"/>
        <v>117.53504026949628</v>
      </c>
      <c r="CA199" s="6">
        <f t="shared" ca="1" si="117"/>
        <v>-45.19079420207273</v>
      </c>
      <c r="CB199" s="6">
        <f t="shared" ca="1" si="118"/>
        <v>-0.36706272391183947</v>
      </c>
      <c r="CC199" s="6">
        <f t="shared" ca="1" si="119"/>
        <v>3.2997092103529968E-3</v>
      </c>
      <c r="CD199" s="9">
        <f t="shared" si="120"/>
        <v>129.73504026949627</v>
      </c>
      <c r="CE199" s="9">
        <f t="shared" si="121"/>
        <v>-49.390794202072733</v>
      </c>
      <c r="CF199" s="6">
        <f t="shared" si="122"/>
        <v>-0.36376301470148648</v>
      </c>
      <c r="CG199" s="6"/>
      <c r="CH199" s="6"/>
      <c r="CI199" s="6"/>
      <c r="CJ199" s="1"/>
      <c r="CK199" s="6"/>
    </row>
    <row r="200" spans="1:89" x14ac:dyDescent="0.25">
      <c r="A200" t="s">
        <v>99</v>
      </c>
      <c r="B200" s="9">
        <f ca="1">B178+B196</f>
        <v>-177.77777777887584</v>
      </c>
      <c r="C200" t="s">
        <v>68</v>
      </c>
      <c r="BC200">
        <v>3.4557519189487582</v>
      </c>
      <c r="BD200">
        <v>117.76042684874693</v>
      </c>
      <c r="BE200">
        <v>-46.68605920823385</v>
      </c>
      <c r="BF200" s="6">
        <f t="shared" si="212"/>
        <v>5.9057434712804646</v>
      </c>
      <c r="BG200" s="6">
        <f t="shared" si="213"/>
        <v>2.4499915523317064</v>
      </c>
      <c r="BH200" s="6">
        <f t="shared" si="214"/>
        <v>-3.0957049795666096</v>
      </c>
      <c r="BI200" s="6">
        <f t="shared" si="215"/>
        <v>3.0957049795666096</v>
      </c>
      <c r="BJ200">
        <v>130.84491872082992</v>
      </c>
      <c r="BK200">
        <v>-51.873399120259833</v>
      </c>
      <c r="BV200" s="38"/>
      <c r="BW200" s="6">
        <f t="shared" si="113"/>
        <v>3.2288591161894979</v>
      </c>
      <c r="BX200" s="9">
        <f t="shared" ca="1" si="114"/>
        <v>-8.3163561519865681</v>
      </c>
      <c r="BY200" s="9">
        <f t="shared" ca="1" si="115"/>
        <v>-3.5282288898830032</v>
      </c>
      <c r="BZ200" s="9">
        <f t="shared" ca="1" si="116"/>
        <v>117.55816160211116</v>
      </c>
      <c r="CA200" s="6">
        <f t="shared" ca="1" si="117"/>
        <v>-45.486401474582237</v>
      </c>
      <c r="CB200" s="6">
        <f t="shared" ca="1" si="118"/>
        <v>-0.36918581212806034</v>
      </c>
      <c r="CC200" s="6">
        <f t="shared" ca="1" si="119"/>
        <v>3.4937146622724402E-3</v>
      </c>
      <c r="CD200" s="9">
        <f t="shared" si="120"/>
        <v>129.75816160211116</v>
      </c>
      <c r="CE200" s="9">
        <f t="shared" si="121"/>
        <v>-49.68640147458224</v>
      </c>
      <c r="CF200" s="6">
        <f t="shared" si="122"/>
        <v>-0.3656920974657879</v>
      </c>
      <c r="CG200" s="6"/>
      <c r="CH200" s="6"/>
      <c r="CI200" s="6"/>
      <c r="CJ200" s="1"/>
      <c r="CK200" s="6"/>
    </row>
    <row r="201" spans="1:89" x14ac:dyDescent="0.25">
      <c r="A201" t="s">
        <v>100</v>
      </c>
      <c r="B201" s="9">
        <f ca="1">B197+B179</f>
        <v>-1594.5606414128085</v>
      </c>
      <c r="C201" t="s">
        <v>69</v>
      </c>
      <c r="BC201">
        <v>3.4732052114687013</v>
      </c>
      <c r="BD201">
        <v>117.7728010935279</v>
      </c>
      <c r="BE201">
        <v>-46.723054355424061</v>
      </c>
      <c r="BF201" s="6">
        <f t="shared" si="212"/>
        <v>5.9055080325820661</v>
      </c>
      <c r="BG201" s="6">
        <f t="shared" si="213"/>
        <v>2.4323028211133648</v>
      </c>
      <c r="BH201" s="6">
        <f t="shared" si="214"/>
        <v>-3.0954695408682111</v>
      </c>
      <c r="BI201" s="6">
        <f t="shared" si="215"/>
        <v>3.0954695408682111</v>
      </c>
      <c r="BJ201">
        <v>130.85866788169767</v>
      </c>
      <c r="BK201">
        <v>-51.914504839360063</v>
      </c>
      <c r="BV201" s="38"/>
      <c r="BW201" s="6">
        <f t="shared" si="113"/>
        <v>3.246312408709441</v>
      </c>
      <c r="BX201" s="9">
        <f t="shared" ca="1" si="114"/>
        <v>-8.2953996086860968</v>
      </c>
      <c r="BY201" s="9">
        <f t="shared" ca="1" si="115"/>
        <v>-3.7467702411710917</v>
      </c>
      <c r="BZ201" s="9">
        <f t="shared" ca="1" si="116"/>
        <v>117.57911814541163</v>
      </c>
      <c r="CA201" s="6">
        <f t="shared" ca="1" si="117"/>
        <v>-45.704942825870326</v>
      </c>
      <c r="CB201" s="6">
        <f t="shared" ca="1" si="118"/>
        <v>-0.37074153412114885</v>
      </c>
      <c r="CC201" s="6">
        <f t="shared" ca="1" si="119"/>
        <v>3.635515225679065E-3</v>
      </c>
      <c r="CD201" s="9">
        <f t="shared" si="120"/>
        <v>129.77911814541162</v>
      </c>
      <c r="CE201" s="9">
        <f t="shared" si="121"/>
        <v>-49.904942825870329</v>
      </c>
      <c r="CF201" s="6">
        <f t="shared" si="122"/>
        <v>-0.36710601889546979</v>
      </c>
      <c r="CG201" s="6"/>
      <c r="CH201" s="6"/>
      <c r="CI201" s="6"/>
      <c r="CJ201" s="1"/>
      <c r="CK201" s="6"/>
    </row>
    <row r="202" spans="1:89" x14ac:dyDescent="0.25">
      <c r="A202" t="s">
        <v>101</v>
      </c>
      <c r="B202" s="9">
        <f ca="1">B198+B180</f>
        <v>450.99227113792176</v>
      </c>
      <c r="C202" t="s">
        <v>69</v>
      </c>
      <c r="BC202">
        <v>3.4906585039886444</v>
      </c>
      <c r="BD202">
        <v>117.78497473982813</v>
      </c>
      <c r="BE202">
        <v>-46.757441950309797</v>
      </c>
      <c r="BF202" s="6">
        <f t="shared" si="212"/>
        <v>5.9052912275675586</v>
      </c>
      <c r="BG202" s="6">
        <f t="shared" si="213"/>
        <v>2.4146327235789142</v>
      </c>
      <c r="BH202" s="6">
        <f t="shared" si="214"/>
        <v>-3.0952527358537036</v>
      </c>
      <c r="BI202" s="6">
        <f t="shared" si="215"/>
        <v>3.0952527358537036</v>
      </c>
      <c r="BJ202">
        <v>130.87219415536458</v>
      </c>
      <c r="BK202">
        <v>-51.952713278121998</v>
      </c>
      <c r="BV202" s="38"/>
      <c r="BW202" s="6">
        <f t="shared" si="113"/>
        <v>3.2637657012293841</v>
      </c>
      <c r="BX202" s="9">
        <f t="shared" ca="1" si="114"/>
        <v>-8.276069082671043</v>
      </c>
      <c r="BY202" s="9">
        <f t="shared" ca="1" si="115"/>
        <v>-3.9169318996748856</v>
      </c>
      <c r="BZ202" s="9">
        <f t="shared" ca="1" si="116"/>
        <v>117.59844867142668</v>
      </c>
      <c r="CA202" s="6">
        <f t="shared" ca="1" si="117"/>
        <v>-45.87510448437412</v>
      </c>
      <c r="CB202" s="6">
        <f t="shared" ca="1" si="118"/>
        <v>-0.37194249738543844</v>
      </c>
      <c r="CC202" s="6">
        <f t="shared" ca="1" si="119"/>
        <v>3.7447395506703951E-3</v>
      </c>
      <c r="CD202" s="9">
        <f t="shared" si="120"/>
        <v>129.79844867142668</v>
      </c>
      <c r="CE202" s="9">
        <f t="shared" si="121"/>
        <v>-50.075104484374123</v>
      </c>
      <c r="CF202" s="6">
        <f t="shared" si="122"/>
        <v>-0.36819775783476805</v>
      </c>
      <c r="CG202" s="6"/>
      <c r="CH202" s="6"/>
      <c r="CI202" s="6"/>
      <c r="CJ202" s="1"/>
      <c r="CK202" s="6"/>
    </row>
    <row r="203" spans="1:89" x14ac:dyDescent="0.25">
      <c r="BC203">
        <v>3.5081117965085875</v>
      </c>
      <c r="BD203">
        <v>117.79697362565875</v>
      </c>
      <c r="BE203">
        <v>-46.789543004243718</v>
      </c>
      <c r="BF203" s="6">
        <f t="shared" si="212"/>
        <v>5.9050907612635726</v>
      </c>
      <c r="BG203" s="6">
        <f t="shared" si="213"/>
        <v>2.3969789647549851</v>
      </c>
      <c r="BH203" s="6">
        <f t="shared" si="214"/>
        <v>-3.0950522695497176</v>
      </c>
      <c r="BI203" s="6">
        <f t="shared" si="215"/>
        <v>3.0950522695497176</v>
      </c>
      <c r="BJ203">
        <v>130.88552625073194</v>
      </c>
      <c r="BK203">
        <v>-51.98838111582635</v>
      </c>
      <c r="BV203" s="38"/>
      <c r="BW203" s="6">
        <f t="shared" si="113"/>
        <v>3.2812189937493272</v>
      </c>
      <c r="BX203" s="9">
        <f t="shared" ca="1" si="114"/>
        <v>-8.2580123087603567</v>
      </c>
      <c r="BY203" s="9">
        <f t="shared" ca="1" si="115"/>
        <v>-4.054388943953029</v>
      </c>
      <c r="BZ203" s="9">
        <f t="shared" ca="1" si="116"/>
        <v>117.61650544533737</v>
      </c>
      <c r="CA203" s="6">
        <f t="shared" ca="1" si="117"/>
        <v>-46.012561528652263</v>
      </c>
      <c r="CB203" s="6">
        <f t="shared" ca="1" si="118"/>
        <v>-0.37290448695320533</v>
      </c>
      <c r="CC203" s="6">
        <f t="shared" ca="1" si="119"/>
        <v>3.8320555322705059E-3</v>
      </c>
      <c r="CD203" s="9">
        <f t="shared" si="120"/>
        <v>129.81650544533736</v>
      </c>
      <c r="CE203" s="9">
        <f t="shared" si="121"/>
        <v>-50.212561528652266</v>
      </c>
      <c r="CF203" s="6">
        <f t="shared" si="122"/>
        <v>-0.36907243142093482</v>
      </c>
      <c r="CG203" s="6"/>
      <c r="CH203" s="6"/>
      <c r="CI203" s="6"/>
      <c r="CJ203" s="1"/>
      <c r="CK203" s="6"/>
    </row>
    <row r="204" spans="1:89" x14ac:dyDescent="0.25">
      <c r="A204" s="8" t="s">
        <v>64</v>
      </c>
      <c r="B204">
        <f ca="1">((B201*COS(-1*B27))+(B202*SIN(-1*B27)))</f>
        <v>1566.8609618393045</v>
      </c>
      <c r="C204" t="s">
        <v>69</v>
      </c>
      <c r="BC204">
        <v>3.5255650890285306</v>
      </c>
      <c r="BD204">
        <v>117.80882115654467</v>
      </c>
      <c r="BE204">
        <v>-46.819626918809298</v>
      </c>
      <c r="BF204" s="6">
        <f t="shared" si="212"/>
        <v>5.9049047133507289</v>
      </c>
      <c r="BG204" s="6">
        <f t="shared" si="213"/>
        <v>2.3793396243221983</v>
      </c>
      <c r="BH204" s="6">
        <f t="shared" si="214"/>
        <v>-3.0948662216368739</v>
      </c>
      <c r="BI204" s="6">
        <f t="shared" si="215"/>
        <v>3.0948662216368739</v>
      </c>
      <c r="BJ204">
        <v>130.89869017393852</v>
      </c>
      <c r="BK204">
        <v>-52.021807687565882</v>
      </c>
      <c r="BV204" s="38"/>
      <c r="BW204" s="6">
        <f t="shared" si="113"/>
        <v>3.2986722862692703</v>
      </c>
      <c r="BX204" s="9">
        <f t="shared" ca="1" si="114"/>
        <v>-8.2409835737715724</v>
      </c>
      <c r="BY204" s="9">
        <f t="shared" ca="1" si="115"/>
        <v>-4.1685255347521846</v>
      </c>
      <c r="BZ204" s="9">
        <f t="shared" ca="1" si="116"/>
        <v>117.63353418032615</v>
      </c>
      <c r="CA204" s="6">
        <f t="shared" ca="1" si="117"/>
        <v>-46.126698119451419</v>
      </c>
      <c r="CB204" s="6">
        <f t="shared" ca="1" si="118"/>
        <v>-0.3736966142128339</v>
      </c>
      <c r="CC204" s="6">
        <f t="shared" ca="1" si="119"/>
        <v>3.90382030862868E-3</v>
      </c>
      <c r="CD204" s="9">
        <f t="shared" si="120"/>
        <v>129.83353418032615</v>
      </c>
      <c r="CE204" s="9">
        <f t="shared" si="121"/>
        <v>-50.326698119451422</v>
      </c>
      <c r="CF204" s="6">
        <f t="shared" si="122"/>
        <v>-0.36979279390420522</v>
      </c>
      <c r="CG204" s="6"/>
      <c r="CH204" s="6"/>
      <c r="CI204" s="6"/>
      <c r="CJ204" s="1"/>
      <c r="CK204" s="6"/>
    </row>
    <row r="205" spans="1:89" x14ac:dyDescent="0.25">
      <c r="A205" s="8" t="s">
        <v>65</v>
      </c>
      <c r="B205">
        <f ca="1">(-1*(B201)*SIN(-1*B27))+((B202)*COS(-1*B27))</f>
        <v>-539.41115490224831</v>
      </c>
      <c r="C205" t="s">
        <v>69</v>
      </c>
      <c r="BC205">
        <v>3.5430183815484737</v>
      </c>
      <c r="BD205">
        <v>117.82053872038149</v>
      </c>
      <c r="BE205">
        <v>-46.847921717573108</v>
      </c>
      <c r="BF205" s="6">
        <f t="shared" si="212"/>
        <v>5.9047314635874288</v>
      </c>
      <c r="BG205" s="6">
        <f t="shared" si="213"/>
        <v>2.3617130820389551</v>
      </c>
      <c r="BH205" s="6">
        <f t="shared" si="214"/>
        <v>-3.0946929718735738</v>
      </c>
      <c r="BI205" s="6">
        <f t="shared" si="215"/>
        <v>3.0946929718735738</v>
      </c>
      <c r="BJ205">
        <v>130.91170968931277</v>
      </c>
      <c r="BK205">
        <v>-52.053246352859006</v>
      </c>
      <c r="BV205" s="38"/>
      <c r="BW205" s="6">
        <f t="shared" si="113"/>
        <v>3.3161255787892134</v>
      </c>
      <c r="BX205" s="9">
        <f t="shared" ca="1" si="114"/>
        <v>-8.2248030609972034</v>
      </c>
      <c r="BY205" s="9">
        <f t="shared" ca="1" si="115"/>
        <v>-4.2653481069434207</v>
      </c>
      <c r="BZ205" s="9">
        <f t="shared" ca="1" si="116"/>
        <v>117.64971469310052</v>
      </c>
      <c r="CA205" s="6">
        <f t="shared" ca="1" si="117"/>
        <v>-46.223520691642655</v>
      </c>
      <c r="CB205" s="6">
        <f t="shared" ca="1" si="118"/>
        <v>-0.37436299491969655</v>
      </c>
      <c r="CC205" s="6">
        <f t="shared" ca="1" si="119"/>
        <v>3.9640862251978937E-3</v>
      </c>
      <c r="CD205" s="9">
        <f t="shared" si="120"/>
        <v>129.84971469310051</v>
      </c>
      <c r="CE205" s="9">
        <f t="shared" si="121"/>
        <v>-50.423520691642658</v>
      </c>
      <c r="CF205" s="6">
        <f t="shared" si="122"/>
        <v>-0.37039890869449865</v>
      </c>
      <c r="CG205" s="6"/>
      <c r="CH205" s="6"/>
      <c r="CI205" s="6"/>
      <c r="CJ205" s="1"/>
      <c r="CK205" s="6"/>
    </row>
    <row r="206" spans="1:89" x14ac:dyDescent="0.25">
      <c r="BC206">
        <v>3.5604716740684168</v>
      </c>
      <c r="BD206">
        <v>117.83214603749677</v>
      </c>
      <c r="BE206">
        <v>-46.874621902564385</v>
      </c>
      <c r="BF206" s="6">
        <f t="shared" si="212"/>
        <v>5.9045696346590208</v>
      </c>
      <c r="BG206" s="6">
        <f t="shared" si="213"/>
        <v>2.344097960590604</v>
      </c>
      <c r="BH206" s="6">
        <f t="shared" si="214"/>
        <v>-3.0945311429451658</v>
      </c>
      <c r="BI206" s="6">
        <f t="shared" si="215"/>
        <v>3.0945311429451658</v>
      </c>
      <c r="BJ206">
        <v>130.92460670832975</v>
      </c>
      <c r="BK206">
        <v>-52.082913225071536</v>
      </c>
      <c r="BV206" s="38"/>
      <c r="BW206" s="6">
        <f t="shared" si="113"/>
        <v>3.3335788713091565</v>
      </c>
      <c r="BX206" s="9">
        <f t="shared" ca="1" si="114"/>
        <v>-8.2093342115523456</v>
      </c>
      <c r="BY206" s="9">
        <f t="shared" ca="1" si="115"/>
        <v>-4.3489031159123215</v>
      </c>
      <c r="BZ206" s="9">
        <f t="shared" ca="1" si="116"/>
        <v>117.66518354254538</v>
      </c>
      <c r="CA206" s="6">
        <f t="shared" ca="1" si="117"/>
        <v>-46.307075700611556</v>
      </c>
      <c r="CB206" s="6">
        <f t="shared" ca="1" si="118"/>
        <v>-0.37493327389233216</v>
      </c>
      <c r="CC206" s="6">
        <f t="shared" ca="1" si="119"/>
        <v>4.0155731254161164E-3</v>
      </c>
      <c r="CD206" s="9">
        <f t="shared" si="120"/>
        <v>129.86518354254537</v>
      </c>
      <c r="CE206" s="9">
        <f t="shared" si="121"/>
        <v>-50.507075700611558</v>
      </c>
      <c r="CF206" s="6">
        <f t="shared" si="122"/>
        <v>-0.37091770076691605</v>
      </c>
      <c r="CG206" s="6"/>
      <c r="CH206" s="6"/>
      <c r="CI206" s="6"/>
      <c r="CJ206" s="1"/>
      <c r="CK206" s="6"/>
    </row>
    <row r="207" spans="1:89" x14ac:dyDescent="0.25">
      <c r="BC207">
        <v>3.5779249665883599</v>
      </c>
      <c r="BD207">
        <v>117.84366143450852</v>
      </c>
      <c r="BE207">
        <v>-46.899894569158043</v>
      </c>
      <c r="BF207" s="6">
        <f t="shared" si="212"/>
        <v>5.9044180477159038</v>
      </c>
      <c r="BG207" s="6">
        <f t="shared" si="213"/>
        <v>2.3264930811275439</v>
      </c>
      <c r="BH207" s="6">
        <f t="shared" si="214"/>
        <v>-3.0943795560020488</v>
      </c>
      <c r="BI207" s="6">
        <f t="shared" si="215"/>
        <v>3.0943795560020488</v>
      </c>
      <c r="BJ207">
        <v>130.93740159389836</v>
      </c>
      <c r="BK207">
        <v>-52.110993965731154</v>
      </c>
      <c r="BV207" s="38"/>
      <c r="BW207" s="6">
        <f t="shared" si="113"/>
        <v>3.3510321638290996</v>
      </c>
      <c r="BX207" s="9">
        <f t="shared" ca="1" si="114"/>
        <v>-8.1944701793244832</v>
      </c>
      <c r="BY207" s="9">
        <f t="shared" ca="1" si="115"/>
        <v>-4.4220293565127164</v>
      </c>
      <c r="BZ207" s="9">
        <f t="shared" ca="1" si="116"/>
        <v>117.68004757477324</v>
      </c>
      <c r="CA207" s="6">
        <f t="shared" ca="1" si="117"/>
        <v>-46.380201941211951</v>
      </c>
      <c r="CB207" s="6">
        <f t="shared" ca="1" si="118"/>
        <v>-0.37542819804974215</v>
      </c>
      <c r="CC207" s="6">
        <f t="shared" ca="1" si="119"/>
        <v>4.0601824868118919E-3</v>
      </c>
      <c r="CD207" s="9">
        <f t="shared" si="120"/>
        <v>129.88004757477324</v>
      </c>
      <c r="CE207" s="9">
        <f t="shared" si="121"/>
        <v>-50.580201941211953</v>
      </c>
      <c r="CF207" s="6">
        <f t="shared" si="122"/>
        <v>-0.37136801556293025</v>
      </c>
      <c r="CG207" s="6"/>
      <c r="CH207" s="6"/>
      <c r="CI207" s="6"/>
      <c r="CJ207" s="1"/>
      <c r="CK207" s="6"/>
    </row>
    <row r="208" spans="1:89" x14ac:dyDescent="0.25">
      <c r="BC208">
        <v>3.595378259108303</v>
      </c>
      <c r="BD208">
        <v>117.85510208903413</v>
      </c>
      <c r="BE208">
        <v>-46.923884208629126</v>
      </c>
      <c r="BF208" s="6">
        <f t="shared" si="212"/>
        <v>5.9042756875510332</v>
      </c>
      <c r="BG208" s="6">
        <f t="shared" si="213"/>
        <v>2.3088974284427302</v>
      </c>
      <c r="BH208" s="6">
        <f t="shared" si="214"/>
        <v>-3.0942371958371782</v>
      </c>
      <c r="BI208" s="6">
        <f t="shared" si="215"/>
        <v>3.0942371958371782</v>
      </c>
      <c r="BJ208">
        <v>130.95011343226014</v>
      </c>
      <c r="BK208">
        <v>-52.137649120699024</v>
      </c>
      <c r="BV208" s="38"/>
      <c r="BW208" s="6">
        <f t="shared" ref="BW208:BW271" si="216">BC195</f>
        <v>3.3684854563490427</v>
      </c>
      <c r="BX208" s="9">
        <f t="shared" ref="BX208:BX271" ca="1" si="217">BD195-$BW$5</f>
        <v>-8.180125294649585</v>
      </c>
      <c r="BY208" s="9">
        <f t="shared" ref="BY208:BY271" ca="1" si="218">BE195-$BX$5</f>
        <v>-4.4867850236574327</v>
      </c>
      <c r="BZ208" s="9">
        <f t="shared" ref="BZ208:BZ271" ca="1" si="219">BX208-$CE$5</f>
        <v>117.69439245944814</v>
      </c>
      <c r="CA208" s="6">
        <f t="shared" ref="CA208:CA271" ca="1" si="220">BY208-$CF$5</f>
        <v>-46.444957608356667</v>
      </c>
      <c r="CB208" s="6">
        <f t="shared" ref="CB208:CB271" ca="1" si="221">ATAN2(BZ208,CA208)</f>
        <v>-0.37586277399970325</v>
      </c>
      <c r="CC208" s="6">
        <f t="shared" ref="CC208:CC271" ca="1" si="222">ATAN2(COS(CF208-CB208),SIN(CF208-CB208))</f>
        <v>4.0992883769805366E-3</v>
      </c>
      <c r="CD208" s="9">
        <f t="shared" ref="CD208:CD271" si="223">BD195-$BW$6</f>
        <v>129.89439245944814</v>
      </c>
      <c r="CE208" s="9">
        <f t="shared" ref="CE208:CE271" si="224">BE195-$BX$6</f>
        <v>-50.64495760835667</v>
      </c>
      <c r="CF208" s="6">
        <f t="shared" ref="CF208:CF271" si="225">ATAN2(CD208,CE208)</f>
        <v>-0.37176348562272271</v>
      </c>
      <c r="CG208" s="6"/>
      <c r="CH208" s="6"/>
      <c r="CI208" s="6"/>
      <c r="CJ208" s="1"/>
      <c r="CK208" s="6"/>
    </row>
    <row r="209" spans="55:89" x14ac:dyDescent="0.25">
      <c r="BC209">
        <v>3.6128315516282461</v>
      </c>
      <c r="BD209">
        <v>117.86648422642862</v>
      </c>
      <c r="BE209">
        <v>-46.946716526540442</v>
      </c>
      <c r="BF209" s="6">
        <f t="shared" si="212"/>
        <v>5.9041416749286215</v>
      </c>
      <c r="BG209" s="6">
        <f t="shared" si="213"/>
        <v>2.2913101233003754</v>
      </c>
      <c r="BH209" s="6">
        <f t="shared" si="214"/>
        <v>-3.0941031832147665</v>
      </c>
      <c r="BI209" s="6">
        <f t="shared" si="215"/>
        <v>3.0941031832147665</v>
      </c>
      <c r="BJ209">
        <v>130.96276025158735</v>
      </c>
      <c r="BK209">
        <v>-52.163018362822712</v>
      </c>
      <c r="BV209" s="38"/>
      <c r="BW209" s="6">
        <f t="shared" si="216"/>
        <v>3.3859387488689858</v>
      </c>
      <c r="BX209" s="9">
        <f t="shared" ca="1" si="217"/>
        <v>-8.1662294290222235</v>
      </c>
      <c r="BY209" s="9">
        <f t="shared" ca="1" si="218"/>
        <v>-4.5447036198069242</v>
      </c>
      <c r="BZ209" s="9">
        <f t="shared" ca="1" si="219"/>
        <v>117.7082883250755</v>
      </c>
      <c r="CA209" s="6">
        <f t="shared" ca="1" si="220"/>
        <v>-46.502876204506158</v>
      </c>
      <c r="CB209" s="6">
        <f t="shared" ca="1" si="221"/>
        <v>-0.37624815682812651</v>
      </c>
      <c r="CC209" s="6">
        <f t="shared" ca="1" si="222"/>
        <v>4.133911315576333E-3</v>
      </c>
      <c r="CD209" s="9">
        <f t="shared" si="223"/>
        <v>129.90828832507549</v>
      </c>
      <c r="CE209" s="9">
        <f t="shared" si="224"/>
        <v>-50.702876204506161</v>
      </c>
      <c r="CF209" s="6">
        <f t="shared" si="225"/>
        <v>-0.37211424551255018</v>
      </c>
      <c r="CG209" s="6"/>
      <c r="CH209" s="6"/>
      <c r="CI209" s="6"/>
      <c r="CJ209" s="1"/>
      <c r="CK209" s="6"/>
    </row>
    <row r="210" spans="55:89" x14ac:dyDescent="0.25">
      <c r="BC210">
        <v>3.6302848441481892</v>
      </c>
      <c r="BD210">
        <v>117.87782329105083</v>
      </c>
      <c r="BE210">
        <v>-46.968501503338075</v>
      </c>
      <c r="BF210" s="6">
        <f t="shared" si="212"/>
        <v>5.904015244450445</v>
      </c>
      <c r="BG210" s="6">
        <f t="shared" si="213"/>
        <v>2.2737304003022558</v>
      </c>
      <c r="BH210" s="6">
        <f t="shared" si="214"/>
        <v>-3.09397675273659</v>
      </c>
      <c r="BI210" s="6">
        <f t="shared" si="215"/>
        <v>3.09397675273659</v>
      </c>
      <c r="BJ210">
        <v>130.9753592122787</v>
      </c>
      <c r="BK210">
        <v>-52.187223892597856</v>
      </c>
      <c r="BV210" s="38"/>
      <c r="BW210" s="6">
        <f t="shared" si="216"/>
        <v>3.4033920413889289</v>
      </c>
      <c r="BX210" s="9">
        <f t="shared" ca="1" si="217"/>
        <v>-8.15272414847378</v>
      </c>
      <c r="BY210" s="9">
        <f t="shared" ca="1" si="218"/>
        <v>-4.5969542829034467</v>
      </c>
      <c r="BZ210" s="9">
        <f t="shared" ca="1" si="219"/>
        <v>117.72179360562394</v>
      </c>
      <c r="CA210" s="6">
        <f t="shared" ca="1" si="220"/>
        <v>-46.555126867602681</v>
      </c>
      <c r="CB210" s="6">
        <f t="shared" ca="1" si="221"/>
        <v>-0.37659283152438205</v>
      </c>
      <c r="CC210" s="6">
        <f t="shared" ca="1" si="222"/>
        <v>4.1648269239157321E-3</v>
      </c>
      <c r="CD210" s="9">
        <f t="shared" si="223"/>
        <v>129.92179360562395</v>
      </c>
      <c r="CE210" s="9">
        <f t="shared" si="224"/>
        <v>-50.755126867602684</v>
      </c>
      <c r="CF210" s="6">
        <f t="shared" si="225"/>
        <v>-0.37242800460046632</v>
      </c>
      <c r="CG210" s="6"/>
      <c r="CH210" s="6"/>
      <c r="CI210" s="6"/>
      <c r="CJ210" s="1"/>
      <c r="CK210" s="6"/>
    </row>
    <row r="211" spans="55:89" x14ac:dyDescent="0.25">
      <c r="BC211">
        <v>3.6477381366681323</v>
      </c>
      <c r="BD211">
        <v>117.88913409361304</v>
      </c>
      <c r="BE211">
        <v>-46.989335870040385</v>
      </c>
      <c r="BF211" s="6">
        <f t="shared" si="212"/>
        <v>5.9038957266828085</v>
      </c>
      <c r="BG211" s="6">
        <f t="shared" si="213"/>
        <v>2.2561575900146762</v>
      </c>
      <c r="BH211" s="6">
        <f t="shared" si="214"/>
        <v>-3.0938572349689535</v>
      </c>
      <c r="BI211" s="6">
        <f t="shared" si="215"/>
        <v>3.0938572349689535</v>
      </c>
      <c r="BJ211">
        <v>130.98792677068116</v>
      </c>
      <c r="BK211">
        <v>-52.210373188933758</v>
      </c>
      <c r="BV211" s="38"/>
      <c r="BW211" s="6">
        <f t="shared" si="216"/>
        <v>3.420845333908872</v>
      </c>
      <c r="BX211" s="9">
        <f t="shared" ca="1" si="217"/>
        <v>-8.139560002126828</v>
      </c>
      <c r="BY211" s="9">
        <f t="shared" ca="1" si="218"/>
        <v>-4.6444460453568297</v>
      </c>
      <c r="BZ211" s="9">
        <f t="shared" ca="1" si="219"/>
        <v>117.7349577519709</v>
      </c>
      <c r="CA211" s="6">
        <f t="shared" ca="1" si="220"/>
        <v>-46.602618630056064</v>
      </c>
      <c r="CB211" s="6">
        <f t="shared" ca="1" si="221"/>
        <v>-0.37690338006192964</v>
      </c>
      <c r="CC211" s="6">
        <f t="shared" ca="1" si="222"/>
        <v>4.192636411029349E-3</v>
      </c>
      <c r="CD211" s="9">
        <f t="shared" si="223"/>
        <v>129.9349577519709</v>
      </c>
      <c r="CE211" s="9">
        <f t="shared" si="224"/>
        <v>-50.802618630056067</v>
      </c>
      <c r="CF211" s="6">
        <f t="shared" si="225"/>
        <v>-0.37271074365090029</v>
      </c>
      <c r="CG211" s="6"/>
      <c r="CH211" s="6"/>
      <c r="CI211" s="6"/>
      <c r="CJ211" s="1"/>
      <c r="CK211" s="6"/>
    </row>
    <row r="212" spans="55:89" x14ac:dyDescent="0.25">
      <c r="BC212">
        <v>3.6651914291880754</v>
      </c>
      <c r="BD212">
        <v>117.90043094731043</v>
      </c>
      <c r="BE212">
        <v>-47.009305123962605</v>
      </c>
      <c r="BF212" s="6">
        <f t="shared" si="212"/>
        <v>5.903782533655006</v>
      </c>
      <c r="BG212" s="6">
        <f t="shared" si="213"/>
        <v>2.2385911044669307</v>
      </c>
      <c r="BH212" s="6">
        <f t="shared" si="214"/>
        <v>-3.093744041941151</v>
      </c>
      <c r="BI212" s="6">
        <f t="shared" si="215"/>
        <v>3.093744041941151</v>
      </c>
      <c r="BJ212">
        <v>131.00047883034492</v>
      </c>
      <c r="BK212">
        <v>-52.23256124884734</v>
      </c>
      <c r="BV212" s="38"/>
      <c r="BW212" s="6">
        <f t="shared" si="216"/>
        <v>3.4382986264288151</v>
      </c>
      <c r="BX212" s="9">
        <f t="shared" ca="1" si="217"/>
        <v>-8.1266945469597403</v>
      </c>
      <c r="BY212" s="9">
        <f t="shared" ca="1" si="218"/>
        <v>-4.6878978099398694</v>
      </c>
      <c r="BZ212" s="9">
        <f t="shared" ca="1" si="219"/>
        <v>117.74782320713798</v>
      </c>
      <c r="CA212" s="6">
        <f t="shared" ca="1" si="220"/>
        <v>-46.646070394639104</v>
      </c>
      <c r="CB212" s="6">
        <f t="shared" ca="1" si="221"/>
        <v>-0.37718499544769296</v>
      </c>
      <c r="CC212" s="6">
        <f t="shared" ca="1" si="222"/>
        <v>4.2178137730723986E-3</v>
      </c>
      <c r="CD212" s="9">
        <f t="shared" si="223"/>
        <v>129.94782320713799</v>
      </c>
      <c r="CE212" s="9">
        <f t="shared" si="224"/>
        <v>-50.846070394639106</v>
      </c>
      <c r="CF212" s="6">
        <f t="shared" si="225"/>
        <v>-0.37296718167462056</v>
      </c>
      <c r="CG212" s="6"/>
      <c r="CH212" s="6"/>
      <c r="CI212" s="6"/>
      <c r="CJ212" s="1"/>
      <c r="CK212" s="6"/>
    </row>
    <row r="213" spans="55:89" x14ac:dyDescent="0.25">
      <c r="BC213">
        <v>3.6826447217080185</v>
      </c>
      <c r="BD213">
        <v>117.91172777899007</v>
      </c>
      <c r="BE213">
        <v>-47.028485188080019</v>
      </c>
      <c r="BF213" s="6">
        <f t="shared" si="212"/>
        <v>5.9036751469222031</v>
      </c>
      <c r="BG213" s="6">
        <f t="shared" si="213"/>
        <v>2.2210304252141846</v>
      </c>
      <c r="BH213" s="6">
        <f t="shared" si="214"/>
        <v>-3.0936366552083481</v>
      </c>
      <c r="BI213" s="6">
        <f t="shared" si="215"/>
        <v>3.0936366552083481</v>
      </c>
      <c r="BJ213">
        <v>131.01303086554452</v>
      </c>
      <c r="BK213">
        <v>-52.253872431200023</v>
      </c>
      <c r="BV213" s="38"/>
      <c r="BW213" s="6">
        <f t="shared" si="216"/>
        <v>3.4557519189487582</v>
      </c>
      <c r="BX213" s="9">
        <f t="shared" ca="1" si="217"/>
        <v>-8.1140909053507926</v>
      </c>
      <c r="BY213" s="9">
        <f t="shared" ca="1" si="218"/>
        <v>-4.7278866235346158</v>
      </c>
      <c r="BZ213" s="9">
        <f t="shared" ca="1" si="219"/>
        <v>117.76042684874693</v>
      </c>
      <c r="CA213" s="6">
        <f t="shared" ca="1" si="220"/>
        <v>-46.68605920823385</v>
      </c>
      <c r="CB213" s="6">
        <f t="shared" ca="1" si="221"/>
        <v>-0.37744183589912178</v>
      </c>
      <c r="CC213" s="6">
        <f t="shared" ca="1" si="222"/>
        <v>4.2407382914959046E-3</v>
      </c>
      <c r="CD213" s="9">
        <f t="shared" si="223"/>
        <v>129.96042684874692</v>
      </c>
      <c r="CE213" s="9">
        <f t="shared" si="224"/>
        <v>-50.886059208233853</v>
      </c>
      <c r="CF213" s="6">
        <f t="shared" si="225"/>
        <v>-0.37320109760762588</v>
      </c>
      <c r="CG213" s="6"/>
      <c r="CH213" s="6"/>
      <c r="CI213" s="6"/>
      <c r="CJ213" s="1"/>
      <c r="CK213" s="6"/>
    </row>
    <row r="214" spans="55:89" x14ac:dyDescent="0.25">
      <c r="BC214">
        <v>3.7000980142279616</v>
      </c>
      <c r="BD214">
        <v>117.92303823400778</v>
      </c>
      <c r="BE214">
        <v>-47.046943781978953</v>
      </c>
      <c r="BF214" s="6">
        <f t="shared" si="212"/>
        <v>5.9035731077433686</v>
      </c>
      <c r="BG214" s="6">
        <f t="shared" si="213"/>
        <v>2.203475093515407</v>
      </c>
      <c r="BH214" s="6">
        <f t="shared" si="214"/>
        <v>-3.0935346160295136</v>
      </c>
      <c r="BI214" s="6">
        <f t="shared" si="215"/>
        <v>3.0935346160295136</v>
      </c>
      <c r="BJ214">
        <v>131.02559803778641</v>
      </c>
      <c r="BK214">
        <v>-52.27438197997661</v>
      </c>
      <c r="BV214" s="38"/>
      <c r="BW214" s="6">
        <f t="shared" si="216"/>
        <v>3.4732052114687013</v>
      </c>
      <c r="BX214" s="9">
        <f t="shared" ca="1" si="217"/>
        <v>-8.1017166605698208</v>
      </c>
      <c r="BY214" s="9">
        <f t="shared" ca="1" si="218"/>
        <v>-4.764881770724827</v>
      </c>
      <c r="BZ214" s="9">
        <f t="shared" ca="1" si="219"/>
        <v>117.7728010935279</v>
      </c>
      <c r="CA214" s="6">
        <f t="shared" ca="1" si="220"/>
        <v>-46.723054355424061</v>
      </c>
      <c r="CB214" s="6">
        <f t="shared" ca="1" si="221"/>
        <v>-0.3776772745975201</v>
      </c>
      <c r="CC214" s="6">
        <f t="shared" ca="1" si="222"/>
        <v>4.2617174345550004E-3</v>
      </c>
      <c r="CD214" s="9">
        <f t="shared" si="223"/>
        <v>129.97280109352789</v>
      </c>
      <c r="CE214" s="9">
        <f t="shared" si="224"/>
        <v>-50.923054355424064</v>
      </c>
      <c r="CF214" s="6">
        <f t="shared" si="225"/>
        <v>-0.37341555716296509</v>
      </c>
      <c r="CG214" s="6"/>
      <c r="CH214" s="6"/>
      <c r="CI214" s="6"/>
      <c r="CJ214" s="1"/>
      <c r="CK214" s="6"/>
    </row>
    <row r="215" spans="55:89" x14ac:dyDescent="0.25">
      <c r="BC215">
        <v>3.7175513067479047</v>
      </c>
      <c r="BD215">
        <v>117.9343757813419</v>
      </c>
      <c r="BE215">
        <v>-47.064741559625169</v>
      </c>
      <c r="BF215" s="6">
        <f t="shared" si="212"/>
        <v>5.9034760089842839</v>
      </c>
      <c r="BG215" s="6">
        <f t="shared" si="213"/>
        <v>2.1859247022363792</v>
      </c>
      <c r="BH215" s="6">
        <f t="shared" si="214"/>
        <v>-3.0934375172704289</v>
      </c>
      <c r="BI215" s="6">
        <f t="shared" si="215"/>
        <v>3.0934375172704289</v>
      </c>
      <c r="BJ215">
        <v>131.03819531260211</v>
      </c>
      <c r="BK215">
        <v>-52.294157288472405</v>
      </c>
      <c r="BV215" s="38"/>
      <c r="BW215" s="6">
        <f t="shared" si="216"/>
        <v>3.4906585039886444</v>
      </c>
      <c r="BX215" s="9">
        <f t="shared" ca="1" si="217"/>
        <v>-8.0895430142695943</v>
      </c>
      <c r="BY215" s="9">
        <f t="shared" ca="1" si="218"/>
        <v>-4.7992693656105629</v>
      </c>
      <c r="BZ215" s="9">
        <f t="shared" ca="1" si="219"/>
        <v>117.78497473982813</v>
      </c>
      <c r="CA215" s="6">
        <f t="shared" ca="1" si="220"/>
        <v>-46.757441950309797</v>
      </c>
      <c r="CB215" s="6">
        <f t="shared" ca="1" si="221"/>
        <v>-0.37789407961202792</v>
      </c>
      <c r="CC215" s="6">
        <f t="shared" ca="1" si="222"/>
        <v>4.2810033460396468E-3</v>
      </c>
      <c r="CD215" s="9">
        <f t="shared" si="223"/>
        <v>129.98497473982812</v>
      </c>
      <c r="CE215" s="9">
        <f t="shared" si="224"/>
        <v>-50.9574419503098</v>
      </c>
      <c r="CF215" s="6">
        <f t="shared" si="225"/>
        <v>-0.37361307626598828</v>
      </c>
      <c r="CG215" s="6"/>
      <c r="CH215" s="6"/>
      <c r="CI215" s="6"/>
      <c r="CJ215" s="1"/>
      <c r="CK215" s="6"/>
    </row>
    <row r="216" spans="55:89" x14ac:dyDescent="0.25">
      <c r="BC216">
        <v>3.7350045992678478</v>
      </c>
      <c r="BD216">
        <v>117.94575379273461</v>
      </c>
      <c r="BE216">
        <v>-47.081933069642382</v>
      </c>
      <c r="BF216" s="6">
        <f t="shared" si="212"/>
        <v>5.9033834882577851</v>
      </c>
      <c r="BG216" s="6">
        <f t="shared" si="213"/>
        <v>2.1683788889899374</v>
      </c>
      <c r="BH216" s="6">
        <f t="shared" si="214"/>
        <v>-3.0933449965439301</v>
      </c>
      <c r="BI216" s="6">
        <f t="shared" si="215"/>
        <v>3.0933449965439301</v>
      </c>
      <c r="BJ216">
        <v>131.0508375474829</v>
      </c>
      <c r="BK216">
        <v>-52.313258966269309</v>
      </c>
      <c r="BV216" s="38"/>
      <c r="BW216" s="6">
        <f t="shared" si="216"/>
        <v>3.5081117965085875</v>
      </c>
      <c r="BX216" s="9">
        <f t="shared" ca="1" si="217"/>
        <v>-8.0775441284389728</v>
      </c>
      <c r="BY216" s="9">
        <f t="shared" ca="1" si="218"/>
        <v>-4.8313704195444842</v>
      </c>
      <c r="BZ216" s="9">
        <f t="shared" ca="1" si="219"/>
        <v>117.79697362565875</v>
      </c>
      <c r="CA216" s="6">
        <f t="shared" ca="1" si="220"/>
        <v>-46.789543004243718</v>
      </c>
      <c r="CB216" s="6">
        <f t="shared" ca="1" si="221"/>
        <v>-0.37809454591601366</v>
      </c>
      <c r="CC216" s="6">
        <f t="shared" ca="1" si="222"/>
        <v>4.2988049368424819E-3</v>
      </c>
      <c r="CD216" s="9">
        <f t="shared" si="223"/>
        <v>129.99697362565874</v>
      </c>
      <c r="CE216" s="9">
        <f t="shared" si="224"/>
        <v>-50.989543004243721</v>
      </c>
      <c r="CF216" s="6">
        <f t="shared" si="225"/>
        <v>-0.37379574097917118</v>
      </c>
      <c r="CG216" s="6"/>
      <c r="CH216" s="6"/>
      <c r="CI216" s="6"/>
      <c r="CJ216" s="1"/>
      <c r="CK216" s="6"/>
    </row>
    <row r="217" spans="55:89" x14ac:dyDescent="0.25">
      <c r="BC217">
        <v>3.7524578917877909</v>
      </c>
      <c r="BD217">
        <v>117.95718564178803</v>
      </c>
      <c r="BE217">
        <v>-47.098567555168906</v>
      </c>
      <c r="BF217" s="6">
        <f t="shared" si="212"/>
        <v>5.9032952223074382</v>
      </c>
      <c r="BG217" s="6">
        <f t="shared" si="213"/>
        <v>2.1508373305196473</v>
      </c>
      <c r="BH217" s="6">
        <f t="shared" si="214"/>
        <v>-3.0932567305935832</v>
      </c>
      <c r="BI217" s="6">
        <f t="shared" si="215"/>
        <v>3.0932567305935832</v>
      </c>
      <c r="BJ217">
        <v>131.06353960198669</v>
      </c>
      <c r="BK217">
        <v>-52.331741727965451</v>
      </c>
      <c r="BV217" s="38"/>
      <c r="BW217" s="6">
        <f t="shared" si="216"/>
        <v>3.5255650890285306</v>
      </c>
      <c r="BX217" s="9">
        <f t="shared" ca="1" si="217"/>
        <v>-8.0656965975530568</v>
      </c>
      <c r="BY217" s="9">
        <f t="shared" ca="1" si="218"/>
        <v>-4.8614543341100642</v>
      </c>
      <c r="BZ217" s="9">
        <f t="shared" ca="1" si="219"/>
        <v>117.80882115654467</v>
      </c>
      <c r="CA217" s="6">
        <f t="shared" ca="1" si="220"/>
        <v>-46.819626918809298</v>
      </c>
      <c r="CB217" s="6">
        <f t="shared" ca="1" si="221"/>
        <v>-0.37828059382885704</v>
      </c>
      <c r="CC217" s="6">
        <f t="shared" ca="1" si="222"/>
        <v>4.3152968964204064E-3</v>
      </c>
      <c r="CD217" s="9">
        <f t="shared" si="223"/>
        <v>130.00882115654466</v>
      </c>
      <c r="CE217" s="9">
        <f t="shared" si="224"/>
        <v>-51.019626918809301</v>
      </c>
      <c r="CF217" s="6">
        <f t="shared" si="225"/>
        <v>-0.37396529693243663</v>
      </c>
      <c r="CG217" s="6"/>
      <c r="CH217" s="6"/>
      <c r="CI217" s="6"/>
      <c r="CJ217" s="1"/>
      <c r="CK217" s="6"/>
    </row>
    <row r="218" spans="55:89" x14ac:dyDescent="0.25">
      <c r="BC218">
        <v>3.769911184307734</v>
      </c>
      <c r="BD218">
        <v>117.96868477562958</v>
      </c>
      <c r="BE218">
        <v>-47.114689640505013</v>
      </c>
      <c r="BF218" s="6">
        <f t="shared" si="212"/>
        <v>5.9032109221486513</v>
      </c>
      <c r="BG218" s="6">
        <f t="shared" si="213"/>
        <v>2.1332997378409173</v>
      </c>
      <c r="BH218" s="6">
        <f t="shared" si="214"/>
        <v>-3.0931724304347963</v>
      </c>
      <c r="BI218" s="6">
        <f t="shared" si="215"/>
        <v>3.0931724304347963</v>
      </c>
      <c r="BJ218">
        <v>131.0763164173662</v>
      </c>
      <c r="BK218">
        <v>-52.349655156116683</v>
      </c>
      <c r="BV218" s="38"/>
      <c r="BW218" s="6">
        <f t="shared" si="216"/>
        <v>3.5430183815484737</v>
      </c>
      <c r="BX218" s="9">
        <f t="shared" ca="1" si="217"/>
        <v>-8.0539790337162316</v>
      </c>
      <c r="BY218" s="9">
        <f t="shared" ca="1" si="218"/>
        <v>-4.8897491328738738</v>
      </c>
      <c r="BZ218" s="9">
        <f t="shared" ca="1" si="219"/>
        <v>117.82053872038149</v>
      </c>
      <c r="CA218" s="6">
        <f t="shared" ca="1" si="220"/>
        <v>-46.847921717573108</v>
      </c>
      <c r="CB218" s="6">
        <f t="shared" ca="1" si="221"/>
        <v>-0.37845384359215761</v>
      </c>
      <c r="CC218" s="6">
        <f t="shared" ca="1" si="222"/>
        <v>4.3306265163871047E-3</v>
      </c>
      <c r="CD218" s="9">
        <f t="shared" si="223"/>
        <v>130.0205387203815</v>
      </c>
      <c r="CE218" s="9">
        <f t="shared" si="224"/>
        <v>-51.047921717573111</v>
      </c>
      <c r="CF218" s="6">
        <f t="shared" si="225"/>
        <v>-0.37412321707577051</v>
      </c>
      <c r="CG218" s="6"/>
      <c r="CH218" s="6"/>
      <c r="CI218" s="6"/>
      <c r="CJ218" s="1"/>
      <c r="CK218" s="6"/>
    </row>
    <row r="219" spans="55:89" x14ac:dyDescent="0.25">
      <c r="BC219">
        <v>3.7873644768276771</v>
      </c>
      <c r="BD219">
        <v>117.98026480256154</v>
      </c>
      <c r="BE219">
        <v>-47.13033990943277</v>
      </c>
      <c r="BF219" s="6">
        <f t="shared" si="212"/>
        <v>5.9031303290564283</v>
      </c>
      <c r="BG219" s="6">
        <f t="shared" si="213"/>
        <v>2.1157658522287512</v>
      </c>
      <c r="BH219" s="6">
        <f t="shared" si="214"/>
        <v>-3.0930918373425733</v>
      </c>
      <c r="BI219" s="6">
        <f t="shared" si="215"/>
        <v>3.0930918373425733</v>
      </c>
      <c r="BJ219">
        <v>131.08918311395726</v>
      </c>
      <c r="BK219">
        <v>-52.367044343814186</v>
      </c>
      <c r="BV219" s="38"/>
      <c r="BW219" s="6">
        <f t="shared" si="216"/>
        <v>3.5604716740684168</v>
      </c>
      <c r="BX219" s="9">
        <f t="shared" ca="1" si="217"/>
        <v>-8.0423717166009538</v>
      </c>
      <c r="BY219" s="9">
        <f t="shared" ca="1" si="218"/>
        <v>-4.9164493178651512</v>
      </c>
      <c r="BZ219" s="9">
        <f t="shared" ca="1" si="219"/>
        <v>117.83214603749677</v>
      </c>
      <c r="CA219" s="6">
        <f t="shared" ca="1" si="220"/>
        <v>-46.874621902564385</v>
      </c>
      <c r="CB219" s="6">
        <f t="shared" ca="1" si="221"/>
        <v>-0.37861567252056516</v>
      </c>
      <c r="CC219" s="6">
        <f t="shared" ca="1" si="222"/>
        <v>4.3449189168180405E-3</v>
      </c>
      <c r="CD219" s="9">
        <f t="shared" si="223"/>
        <v>130.03214603749677</v>
      </c>
      <c r="CE219" s="9">
        <f t="shared" si="224"/>
        <v>-51.074621902564388</v>
      </c>
      <c r="CF219" s="6">
        <f t="shared" si="225"/>
        <v>-0.37427075360374712</v>
      </c>
      <c r="CG219" s="6"/>
      <c r="CH219" s="6"/>
      <c r="CI219" s="6"/>
      <c r="CJ219" s="1"/>
      <c r="CK219" s="6"/>
    </row>
    <row r="220" spans="55:89" x14ac:dyDescent="0.25">
      <c r="BC220">
        <v>3.8048177693476202</v>
      </c>
      <c r="BD220">
        <v>117.99193956888223</v>
      </c>
      <c r="BE220">
        <v>-47.14555540418381</v>
      </c>
      <c r="BF220" s="6">
        <f t="shared" si="212"/>
        <v>5.9030532111081033</v>
      </c>
      <c r="BG220" s="6">
        <f t="shared" si="213"/>
        <v>2.0982354417604832</v>
      </c>
      <c r="BH220" s="6">
        <f t="shared" si="214"/>
        <v>-3.0930147193942483</v>
      </c>
      <c r="BI220" s="6">
        <f t="shared" si="215"/>
        <v>3.0930147193942483</v>
      </c>
      <c r="BJ220">
        <v>131.10215507653581</v>
      </c>
      <c r="BK220">
        <v>-52.38395044909312</v>
      </c>
      <c r="BV220" s="38"/>
      <c r="BW220" s="6">
        <f t="shared" si="216"/>
        <v>3.5779249665883599</v>
      </c>
      <c r="BX220" s="9">
        <f t="shared" ca="1" si="217"/>
        <v>-8.0308563195892049</v>
      </c>
      <c r="BY220" s="9">
        <f t="shared" ca="1" si="218"/>
        <v>-4.9417219844588089</v>
      </c>
      <c r="BZ220" s="9">
        <f t="shared" ca="1" si="219"/>
        <v>117.84366143450852</v>
      </c>
      <c r="CA220" s="6">
        <f t="shared" ca="1" si="220"/>
        <v>-46.899894569158043</v>
      </c>
      <c r="CB220" s="6">
        <f t="shared" ca="1" si="221"/>
        <v>-0.37876725946368223</v>
      </c>
      <c r="CC220" s="6">
        <f t="shared" ca="1" si="222"/>
        <v>4.3582811106887562E-3</v>
      </c>
      <c r="CD220" s="9">
        <f t="shared" si="223"/>
        <v>130.04366143450852</v>
      </c>
      <c r="CE220" s="9">
        <f t="shared" si="224"/>
        <v>-51.099894569158046</v>
      </c>
      <c r="CF220" s="6">
        <f t="shared" si="225"/>
        <v>-0.37440897835299347</v>
      </c>
      <c r="CG220" s="6"/>
      <c r="CH220" s="6"/>
      <c r="CI220" s="6"/>
      <c r="CJ220" s="1"/>
      <c r="CK220" s="6"/>
    </row>
    <row r="221" spans="55:89" x14ac:dyDescent="0.25">
      <c r="BC221">
        <v>3.8222710618675633</v>
      </c>
      <c r="BD221">
        <v>118.00372324549099</v>
      </c>
      <c r="BE221">
        <v>-47.160370051225598</v>
      </c>
      <c r="BF221" s="6">
        <f t="shared" si="212"/>
        <v>5.9029793602949541</v>
      </c>
      <c r="BG221" s="6">
        <f t="shared" si="213"/>
        <v>2.0807082984273908</v>
      </c>
      <c r="BH221" s="6">
        <f t="shared" si="214"/>
        <v>-3.0929408685810991</v>
      </c>
      <c r="BI221" s="6">
        <f t="shared" si="215"/>
        <v>3.0929408685810991</v>
      </c>
      <c r="BJ221">
        <v>131.11524805054555</v>
      </c>
      <c r="BK221">
        <v>-52.400411168028441</v>
      </c>
      <c r="BV221" s="38"/>
      <c r="BW221" s="6">
        <f t="shared" si="216"/>
        <v>3.595378259108303</v>
      </c>
      <c r="BX221" s="9">
        <f t="shared" ca="1" si="217"/>
        <v>-8.0194156650635904</v>
      </c>
      <c r="BY221" s="9">
        <f t="shared" ca="1" si="218"/>
        <v>-4.9657116239298915</v>
      </c>
      <c r="BZ221" s="9">
        <f t="shared" ca="1" si="219"/>
        <v>117.85510208903413</v>
      </c>
      <c r="CA221" s="6">
        <f t="shared" ca="1" si="220"/>
        <v>-46.923884208629126</v>
      </c>
      <c r="CB221" s="6">
        <f t="shared" ca="1" si="221"/>
        <v>-0.37890961962855296</v>
      </c>
      <c r="CC221" s="6">
        <f t="shared" ca="1" si="222"/>
        <v>4.3708051851967808E-3</v>
      </c>
      <c r="CD221" s="9">
        <f t="shared" si="223"/>
        <v>130.05510208903414</v>
      </c>
      <c r="CE221" s="9">
        <f t="shared" si="224"/>
        <v>-51.123884208629129</v>
      </c>
      <c r="CF221" s="6">
        <f t="shared" si="225"/>
        <v>-0.37453881444335618</v>
      </c>
      <c r="CG221" s="6"/>
      <c r="CH221" s="6"/>
      <c r="CI221" s="6"/>
      <c r="CJ221" s="1"/>
      <c r="CK221" s="6"/>
    </row>
    <row r="222" spans="55:89" x14ac:dyDescent="0.25">
      <c r="BC222">
        <v>3.8397243543875064</v>
      </c>
      <c r="BD222">
        <v>118.01563040916625</v>
      </c>
      <c r="BE222">
        <v>-47.174815032140216</v>
      </c>
      <c r="BF222" s="6">
        <f t="shared" si="212"/>
        <v>5.9029085900240155</v>
      </c>
      <c r="BG222" s="6">
        <f t="shared" si="213"/>
        <v>2.0631842356365091</v>
      </c>
      <c r="BH222" s="6">
        <f t="shared" si="214"/>
        <v>-3.0928700983101605</v>
      </c>
      <c r="BI222" s="6">
        <f t="shared" si="215"/>
        <v>3.0928700983101605</v>
      </c>
      <c r="BJ222">
        <v>131.12847823240693</v>
      </c>
      <c r="BK222">
        <v>-52.416461146822463</v>
      </c>
      <c r="BV222" s="38"/>
      <c r="BW222" s="6">
        <f t="shared" si="216"/>
        <v>3.6128315516282461</v>
      </c>
      <c r="BX222" s="9">
        <f t="shared" ca="1" si="217"/>
        <v>-8.0080335276690988</v>
      </c>
      <c r="BY222" s="9">
        <f t="shared" ca="1" si="218"/>
        <v>-4.9885439418412076</v>
      </c>
      <c r="BZ222" s="9">
        <f t="shared" ca="1" si="219"/>
        <v>117.86648422642862</v>
      </c>
      <c r="CA222" s="6">
        <f t="shared" ca="1" si="220"/>
        <v>-46.946716526540442</v>
      </c>
      <c r="CB222" s="6">
        <f t="shared" ca="1" si="221"/>
        <v>-0.37904363225096432</v>
      </c>
      <c r="CC222" s="6">
        <f t="shared" ca="1" si="222"/>
        <v>4.382570828889043E-3</v>
      </c>
      <c r="CD222" s="9">
        <f t="shared" si="223"/>
        <v>130.06648422642863</v>
      </c>
      <c r="CE222" s="9">
        <f t="shared" si="224"/>
        <v>-51.146716526540445</v>
      </c>
      <c r="CF222" s="6">
        <f t="shared" si="225"/>
        <v>-0.37466106142207528</v>
      </c>
      <c r="CG222" s="6"/>
      <c r="CH222" s="6"/>
      <c r="CI222" s="6"/>
      <c r="CJ222" s="1"/>
      <c r="CK222" s="6"/>
    </row>
    <row r="223" spans="55:89" x14ac:dyDescent="0.25">
      <c r="BC223">
        <v>3.8571776469074495</v>
      </c>
      <c r="BD223">
        <v>118.0276761310087</v>
      </c>
      <c r="BE223">
        <v>-47.188919104296005</v>
      </c>
      <c r="BF223" s="6">
        <f t="shared" si="212"/>
        <v>5.9028407330114305</v>
      </c>
      <c r="BG223" s="6">
        <f t="shared" si="213"/>
        <v>2.0456630861039811</v>
      </c>
      <c r="BH223" s="6">
        <f t="shared" si="214"/>
        <v>-3.0928022412975755</v>
      </c>
      <c r="BI223" s="6">
        <f t="shared" si="215"/>
        <v>3.0928022412975755</v>
      </c>
      <c r="BJ223">
        <v>131.14186236778744</v>
      </c>
      <c r="BK223">
        <v>-52.432132338106669</v>
      </c>
      <c r="BV223" s="38"/>
      <c r="BW223" s="6">
        <f t="shared" si="216"/>
        <v>3.6302848441481892</v>
      </c>
      <c r="BX223" s="9">
        <f t="shared" ca="1" si="217"/>
        <v>-7.996694463046893</v>
      </c>
      <c r="BY223" s="9">
        <f t="shared" ca="1" si="218"/>
        <v>-5.0103289186388409</v>
      </c>
      <c r="BZ223" s="9">
        <f t="shared" ca="1" si="219"/>
        <v>117.87782329105083</v>
      </c>
      <c r="CA223" s="6">
        <f t="shared" ca="1" si="220"/>
        <v>-46.968501503338075</v>
      </c>
      <c r="CB223" s="6">
        <f t="shared" ca="1" si="221"/>
        <v>-0.37917006272914117</v>
      </c>
      <c r="CC223" s="6">
        <f t="shared" ca="1" si="222"/>
        <v>4.3936473520401753E-3</v>
      </c>
      <c r="CD223" s="9">
        <f t="shared" si="223"/>
        <v>130.07782329105083</v>
      </c>
      <c r="CE223" s="9">
        <f t="shared" si="224"/>
        <v>-51.168501503338078</v>
      </c>
      <c r="CF223" s="6">
        <f t="shared" si="225"/>
        <v>-0.37477641537710099</v>
      </c>
      <c r="CG223" s="6"/>
      <c r="CH223" s="6"/>
      <c r="CI223" s="6"/>
      <c r="CJ223" s="1"/>
      <c r="CK223" s="6"/>
    </row>
    <row r="224" spans="55:89" x14ac:dyDescent="0.25">
      <c r="BC224">
        <v>3.8746309394273926</v>
      </c>
      <c r="BD224">
        <v>118.03987606622042</v>
      </c>
      <c r="BE224">
        <v>-47.202708882023387</v>
      </c>
      <c r="BF224" s="6">
        <f t="shared" si="212"/>
        <v>5.9027756394713942</v>
      </c>
      <c r="BG224" s="6">
        <f t="shared" si="213"/>
        <v>2.0281447000440016</v>
      </c>
      <c r="BH224" s="6">
        <f t="shared" si="214"/>
        <v>-3.0927371477575392</v>
      </c>
      <c r="BI224" s="6">
        <f t="shared" si="215"/>
        <v>3.0927371477575392</v>
      </c>
      <c r="BJ224">
        <v>131.15541785135602</v>
      </c>
      <c r="BK224">
        <v>-52.447454313359316</v>
      </c>
      <c r="BV224" s="38"/>
      <c r="BW224" s="6">
        <f t="shared" si="216"/>
        <v>3.6477381366681323</v>
      </c>
      <c r="BX224" s="9">
        <f t="shared" ca="1" si="217"/>
        <v>-7.9853836604846862</v>
      </c>
      <c r="BY224" s="9">
        <f t="shared" ca="1" si="218"/>
        <v>-5.031163285341151</v>
      </c>
      <c r="BZ224" s="9">
        <f t="shared" ca="1" si="219"/>
        <v>117.88913409361304</v>
      </c>
      <c r="CA224" s="6">
        <f t="shared" ca="1" si="220"/>
        <v>-46.989335870040385</v>
      </c>
      <c r="CB224" s="6">
        <f t="shared" ca="1" si="221"/>
        <v>-0.37928958049677741</v>
      </c>
      <c r="CC224" s="6">
        <f t="shared" ca="1" si="222"/>
        <v>4.4040953173764552E-3</v>
      </c>
      <c r="CD224" s="9">
        <f t="shared" si="223"/>
        <v>130.08913409361304</v>
      </c>
      <c r="CE224" s="9">
        <f t="shared" si="224"/>
        <v>-51.189335870040388</v>
      </c>
      <c r="CF224" s="6">
        <f t="shared" si="225"/>
        <v>-0.37488548517940096</v>
      </c>
      <c r="CG224" s="6"/>
      <c r="CH224" s="6"/>
      <c r="CI224" s="6"/>
      <c r="CJ224" s="1"/>
      <c r="CK224" s="6"/>
    </row>
    <row r="225" spans="55:89" x14ac:dyDescent="0.25">
      <c r="BC225">
        <v>3.8920842319473357</v>
      </c>
      <c r="BD225">
        <v>118.05224655344367</v>
      </c>
      <c r="BE225">
        <v>-47.216209081742072</v>
      </c>
      <c r="BF225" s="6">
        <f t="shared" si="212"/>
        <v>5.9027131755989801</v>
      </c>
      <c r="BG225" s="6">
        <f t="shared" si="213"/>
        <v>2.0106289436516445</v>
      </c>
      <c r="BH225" s="6">
        <f t="shared" si="214"/>
        <v>-3.0926746838851251</v>
      </c>
      <c r="BI225" s="6">
        <f t="shared" si="215"/>
        <v>3.0926746838851251</v>
      </c>
      <c r="BJ225">
        <v>131.16916283715963</v>
      </c>
      <c r="BK225">
        <v>-52.462454535268968</v>
      </c>
      <c r="BV225" s="38"/>
      <c r="BW225" s="6">
        <f t="shared" si="216"/>
        <v>3.6651914291880754</v>
      </c>
      <c r="BX225" s="9">
        <f t="shared" ca="1" si="217"/>
        <v>-7.9740868067872981</v>
      </c>
      <c r="BY225" s="9">
        <f t="shared" ca="1" si="218"/>
        <v>-5.0511325392633708</v>
      </c>
      <c r="BZ225" s="9">
        <f t="shared" ca="1" si="219"/>
        <v>117.90043094731043</v>
      </c>
      <c r="CA225" s="6">
        <f t="shared" ca="1" si="220"/>
        <v>-47.009305123962605</v>
      </c>
      <c r="CB225" s="6">
        <f t="shared" ca="1" si="221"/>
        <v>-0.37940277352458029</v>
      </c>
      <c r="CC225" s="6">
        <f t="shared" ca="1" si="222"/>
        <v>4.4139678623328895E-3</v>
      </c>
      <c r="CD225" s="9">
        <f t="shared" si="223"/>
        <v>130.10043094731043</v>
      </c>
      <c r="CE225" s="9">
        <f t="shared" si="224"/>
        <v>-51.209305123962608</v>
      </c>
      <c r="CF225" s="6">
        <f t="shared" si="225"/>
        <v>-0.3749888056622474</v>
      </c>
      <c r="CG225" s="6"/>
      <c r="CH225" s="6"/>
      <c r="CI225" s="6"/>
      <c r="CJ225" s="1"/>
      <c r="CK225" s="6"/>
    </row>
    <row r="226" spans="55:89" x14ac:dyDescent="0.25">
      <c r="BC226">
        <v>3.9095375244672788</v>
      </c>
      <c r="BD226">
        <v>118.06480472344929</v>
      </c>
      <c r="BE226">
        <v>-47.229442736999374</v>
      </c>
      <c r="BF226" s="6">
        <f t="shared" si="212"/>
        <v>5.9026532223022334</v>
      </c>
      <c r="BG226" s="6">
        <f t="shared" si="213"/>
        <v>1.9931156978349547</v>
      </c>
      <c r="BH226" s="6">
        <f t="shared" si="214"/>
        <v>-3.0926147305883784</v>
      </c>
      <c r="BI226" s="6">
        <f t="shared" si="215"/>
        <v>3.0926147305883784</v>
      </c>
      <c r="BJ226">
        <v>131.18311635938809</v>
      </c>
      <c r="BK226">
        <v>-52.477158596665973</v>
      </c>
      <c r="BV226" s="38"/>
      <c r="BW226" s="6">
        <f t="shared" si="216"/>
        <v>3.6826447217080185</v>
      </c>
      <c r="BX226" s="9">
        <f t="shared" ca="1" si="217"/>
        <v>-7.9627899751076541</v>
      </c>
      <c r="BY226" s="9">
        <f t="shared" ca="1" si="218"/>
        <v>-5.0703126033807848</v>
      </c>
      <c r="BZ226" s="9">
        <f t="shared" ca="1" si="219"/>
        <v>117.91172777899007</v>
      </c>
      <c r="CA226" s="6">
        <f t="shared" ca="1" si="220"/>
        <v>-47.028485188080019</v>
      </c>
      <c r="CB226" s="6">
        <f t="shared" ca="1" si="221"/>
        <v>-0.37951016025738304</v>
      </c>
      <c r="CC226" s="6">
        <f t="shared" ca="1" si="222"/>
        <v>4.4233117872149452E-3</v>
      </c>
      <c r="CD226" s="9">
        <f t="shared" si="223"/>
        <v>130.11172777899006</v>
      </c>
      <c r="CE226" s="9">
        <f t="shared" si="224"/>
        <v>-51.228485188080022</v>
      </c>
      <c r="CF226" s="6">
        <f t="shared" si="225"/>
        <v>-0.3750868484701681</v>
      </c>
      <c r="CG226" s="6"/>
      <c r="CH226" s="6"/>
      <c r="CI226" s="6"/>
      <c r="CJ226" s="1"/>
      <c r="CK226" s="6"/>
    </row>
    <row r="227" spans="55:89" x14ac:dyDescent="0.25">
      <c r="BC227">
        <v>3.9269908169872219</v>
      </c>
      <c r="BD227">
        <v>118.07756860702077</v>
      </c>
      <c r="BE227">
        <v>-47.242431393017156</v>
      </c>
      <c r="BF227" s="6">
        <f t="shared" si="212"/>
        <v>5.902595674083404</v>
      </c>
      <c r="BG227" s="6">
        <f t="shared" si="213"/>
        <v>1.9756048570961822</v>
      </c>
      <c r="BH227" s="6">
        <f t="shared" si="214"/>
        <v>-3.092557182369549</v>
      </c>
      <c r="BI227" s="6">
        <f t="shared" si="215"/>
        <v>3.092557182369549</v>
      </c>
      <c r="BJ227">
        <v>131.19729845224529</v>
      </c>
      <c r="BK227">
        <v>-52.491590436685726</v>
      </c>
      <c r="BV227" s="38"/>
      <c r="BW227" s="6">
        <f t="shared" si="216"/>
        <v>3.7000980142279616</v>
      </c>
      <c r="BX227" s="9">
        <f t="shared" ca="1" si="217"/>
        <v>-7.9514795200899471</v>
      </c>
      <c r="BY227" s="9">
        <f t="shared" ca="1" si="218"/>
        <v>-5.0887711972797192</v>
      </c>
      <c r="BZ227" s="9">
        <f t="shared" ca="1" si="219"/>
        <v>117.92303823400778</v>
      </c>
      <c r="CA227" s="6">
        <f t="shared" ca="1" si="220"/>
        <v>-47.046943781978953</v>
      </c>
      <c r="CB227" s="6">
        <f t="shared" ca="1" si="221"/>
        <v>-0.37961219943621777</v>
      </c>
      <c r="CC227" s="6">
        <f t="shared" ca="1" si="222"/>
        <v>4.4321684499283301E-3</v>
      </c>
      <c r="CD227" s="9">
        <f t="shared" si="223"/>
        <v>130.12303823400777</v>
      </c>
      <c r="CE227" s="9">
        <f t="shared" si="224"/>
        <v>-51.246943781978956</v>
      </c>
      <c r="CF227" s="6">
        <f t="shared" si="225"/>
        <v>-0.37518003098628944</v>
      </c>
      <c r="CG227" s="6"/>
      <c r="CH227" s="6"/>
      <c r="CI227" s="6"/>
      <c r="CJ227" s="1"/>
      <c r="CK227" s="6"/>
    </row>
    <row r="228" spans="55:89" x14ac:dyDescent="0.25">
      <c r="BC228">
        <v>3.944444109507165</v>
      </c>
      <c r="BD228">
        <v>118.09055726299202</v>
      </c>
      <c r="BE228">
        <v>-47.255195276163064</v>
      </c>
      <c r="BF228" s="6">
        <f t="shared" si="212"/>
        <v>5.9025404381636735</v>
      </c>
      <c r="BG228" s="6">
        <f t="shared" si="213"/>
        <v>1.9580963286565085</v>
      </c>
      <c r="BH228" s="6">
        <f t="shared" si="214"/>
        <v>-3.0925019464498185</v>
      </c>
      <c r="BI228" s="6">
        <f t="shared" si="215"/>
        <v>3.0925019464498185</v>
      </c>
      <c r="BJ228">
        <v>131.21173029221336</v>
      </c>
      <c r="BK228">
        <v>-52.505772529070072</v>
      </c>
      <c r="BV228" s="38"/>
      <c r="BW228" s="6">
        <f t="shared" si="216"/>
        <v>3.7175513067479047</v>
      </c>
      <c r="BX228" s="9">
        <f t="shared" ca="1" si="217"/>
        <v>-7.9401419727558249</v>
      </c>
      <c r="BY228" s="9">
        <f t="shared" ca="1" si="218"/>
        <v>-5.1065689749259349</v>
      </c>
      <c r="BZ228" s="9">
        <f t="shared" ca="1" si="219"/>
        <v>117.9343757813419</v>
      </c>
      <c r="CA228" s="6">
        <f t="shared" ca="1" si="220"/>
        <v>-47.064741559625169</v>
      </c>
      <c r="CB228" s="6">
        <f t="shared" ca="1" si="221"/>
        <v>-0.37970929819530236</v>
      </c>
      <c r="CC228" s="6">
        <f t="shared" ca="1" si="222"/>
        <v>4.4405745028249788E-3</v>
      </c>
      <c r="CD228" s="9">
        <f t="shared" si="223"/>
        <v>130.1343757813419</v>
      </c>
      <c r="CE228" s="9">
        <f t="shared" si="224"/>
        <v>-51.264741559625172</v>
      </c>
      <c r="CF228" s="6">
        <f t="shared" si="225"/>
        <v>-0.37526872369247738</v>
      </c>
      <c r="CG228" s="6"/>
      <c r="CH228" s="6"/>
      <c r="CI228" s="6"/>
      <c r="CJ228" s="1"/>
      <c r="CK228" s="6"/>
    </row>
    <row r="229" spans="55:89" x14ac:dyDescent="0.25">
      <c r="BC229">
        <v>3.9618974020271081</v>
      </c>
      <c r="BD229">
        <v>118.10379091875454</v>
      </c>
      <c r="BE229">
        <v>-47.267753445673911</v>
      </c>
      <c r="BF229" s="6">
        <f t="shared" si="212"/>
        <v>5.9024874337751276</v>
      </c>
      <c r="BG229" s="6">
        <f t="shared" si="213"/>
        <v>1.9405900317480196</v>
      </c>
      <c r="BH229" s="6">
        <f t="shared" si="214"/>
        <v>-3.0924489420612726</v>
      </c>
      <c r="BI229" s="6">
        <f t="shared" si="215"/>
        <v>3.0924489420612726</v>
      </c>
      <c r="BJ229">
        <v>131.22643435417172</v>
      </c>
      <c r="BK229">
        <v>-52.519726050748787</v>
      </c>
      <c r="BV229" s="38"/>
      <c r="BW229" s="6">
        <f t="shared" si="216"/>
        <v>3.7350045992678478</v>
      </c>
      <c r="BX229" s="9">
        <f t="shared" ca="1" si="217"/>
        <v>-7.9287639613631171</v>
      </c>
      <c r="BY229" s="9">
        <f t="shared" ca="1" si="218"/>
        <v>-5.1237604849431477</v>
      </c>
      <c r="BZ229" s="9">
        <f t="shared" ca="1" si="219"/>
        <v>117.94575379273461</v>
      </c>
      <c r="CA229" s="6">
        <f t="shared" ca="1" si="220"/>
        <v>-47.081933069642382</v>
      </c>
      <c r="CB229" s="6">
        <f t="shared" ca="1" si="221"/>
        <v>-0.37980181892180098</v>
      </c>
      <c r="CC229" s="6">
        <f t="shared" ca="1" si="222"/>
        <v>4.4485625170895271E-3</v>
      </c>
      <c r="CD229" s="9">
        <f t="shared" si="223"/>
        <v>130.14575379273461</v>
      </c>
      <c r="CE229" s="9">
        <f t="shared" si="224"/>
        <v>-51.281933069642385</v>
      </c>
      <c r="CF229" s="6">
        <f t="shared" si="225"/>
        <v>-0.37535325640471146</v>
      </c>
      <c r="CG229" s="6"/>
      <c r="CH229" s="6"/>
      <c r="CI229" s="6"/>
      <c r="CJ229" s="1"/>
      <c r="CK229" s="6"/>
    </row>
    <row r="230" spans="55:89" x14ac:dyDescent="0.25">
      <c r="BC230">
        <v>3.9793506945470511</v>
      </c>
      <c r="BD230">
        <v>118.11729111807554</v>
      </c>
      <c r="BE230">
        <v>-47.280123933731588</v>
      </c>
      <c r="BF230" s="6">
        <f t="shared" si="212"/>
        <v>5.9024365915601269</v>
      </c>
      <c r="BG230" s="6">
        <f t="shared" si="213"/>
        <v>1.9230858970130758</v>
      </c>
      <c r="BH230" s="6">
        <f t="shared" si="214"/>
        <v>-3.0923980998462719</v>
      </c>
      <c r="BI230" s="6">
        <f t="shared" si="215"/>
        <v>3.0923980998462719</v>
      </c>
      <c r="BJ230">
        <v>131.24143457563949</v>
      </c>
      <c r="BK230">
        <v>-52.533471037479543</v>
      </c>
      <c r="BV230" s="38"/>
      <c r="BW230" s="6">
        <f t="shared" si="216"/>
        <v>3.7524578917877909</v>
      </c>
      <c r="BX230" s="9">
        <f t="shared" ca="1" si="217"/>
        <v>-7.917332112309694</v>
      </c>
      <c r="BY230" s="9">
        <f t="shared" ca="1" si="218"/>
        <v>-5.1403949704696714</v>
      </c>
      <c r="BZ230" s="9">
        <f t="shared" ca="1" si="219"/>
        <v>117.95718564178803</v>
      </c>
      <c r="CA230" s="6">
        <f t="shared" ca="1" si="220"/>
        <v>-47.098567555168906</v>
      </c>
      <c r="CB230" s="6">
        <f t="shared" ca="1" si="221"/>
        <v>-0.37989008487214843</v>
      </c>
      <c r="CC230" s="6">
        <f t="shared" ca="1" si="222"/>
        <v>4.4561614928033131E-3</v>
      </c>
      <c r="CD230" s="9">
        <f t="shared" si="223"/>
        <v>130.15718564178803</v>
      </c>
      <c r="CE230" s="9">
        <f t="shared" si="224"/>
        <v>-51.298567555168908</v>
      </c>
      <c r="CF230" s="6">
        <f t="shared" si="225"/>
        <v>-0.37543392337934511</v>
      </c>
      <c r="CG230" s="6"/>
      <c r="CH230" s="6"/>
      <c r="CI230" s="6"/>
      <c r="CJ230" s="1"/>
      <c r="CK230" s="6"/>
    </row>
    <row r="231" spans="55:89" x14ac:dyDescent="0.25">
      <c r="BC231">
        <v>3.9968039870669942</v>
      </c>
      <c r="BD231">
        <v>118.13108089514867</v>
      </c>
      <c r="BE231">
        <v>-47.292323869029076</v>
      </c>
      <c r="BF231" s="6">
        <f t="shared" si="212"/>
        <v>5.9023878531685918</v>
      </c>
      <c r="BG231" s="6">
        <f t="shared" si="213"/>
        <v>1.9055838661015976</v>
      </c>
      <c r="BH231" s="6">
        <f t="shared" si="214"/>
        <v>-3.0923493614547368</v>
      </c>
      <c r="BI231" s="6">
        <f t="shared" si="215"/>
        <v>3.0923493614547368</v>
      </c>
      <c r="BJ231">
        <v>131.25675655016519</v>
      </c>
      <c r="BK231">
        <v>-52.547026521143415</v>
      </c>
      <c r="BV231" s="38"/>
      <c r="BW231" s="6">
        <f t="shared" si="216"/>
        <v>3.769911184307734</v>
      </c>
      <c r="BX231" s="9">
        <f t="shared" ca="1" si="217"/>
        <v>-7.9058329784681405</v>
      </c>
      <c r="BY231" s="9">
        <f t="shared" ca="1" si="218"/>
        <v>-5.1565170558057787</v>
      </c>
      <c r="BZ231" s="9">
        <f t="shared" ca="1" si="219"/>
        <v>117.96868477562958</v>
      </c>
      <c r="CA231" s="6">
        <f t="shared" ca="1" si="220"/>
        <v>-47.114689640505013</v>
      </c>
      <c r="CB231" s="6">
        <f t="shared" ca="1" si="221"/>
        <v>-0.37997438503093489</v>
      </c>
      <c r="CC231" s="6">
        <f t="shared" ca="1" si="222"/>
        <v>4.4633973005218652E-3</v>
      </c>
      <c r="CD231" s="9">
        <f t="shared" si="223"/>
        <v>130.16868477562957</v>
      </c>
      <c r="CE231" s="9">
        <f t="shared" si="224"/>
        <v>-51.314689640505016</v>
      </c>
      <c r="CF231" s="6">
        <f t="shared" si="225"/>
        <v>-0.37551098773041303</v>
      </c>
      <c r="CG231" s="6"/>
      <c r="CH231" s="6"/>
      <c r="CI231" s="6"/>
      <c r="CJ231" s="1"/>
      <c r="CK231" s="6"/>
    </row>
    <row r="232" spans="55:89" x14ac:dyDescent="0.25">
      <c r="BC232">
        <v>4.0142572795869373</v>
      </c>
      <c r="BD232">
        <v>118.14518496791612</v>
      </c>
      <c r="BE232">
        <v>-47.304369590313101</v>
      </c>
      <c r="BF232" s="6">
        <f t="shared" si="212"/>
        <v>5.902341170985296</v>
      </c>
      <c r="BG232" s="6">
        <f t="shared" si="213"/>
        <v>1.8880838913983586</v>
      </c>
      <c r="BH232" s="6">
        <f t="shared" si="214"/>
        <v>-3.092302679271441</v>
      </c>
      <c r="BI232" s="6">
        <f t="shared" si="215"/>
        <v>3.092302679271441</v>
      </c>
      <c r="BJ232">
        <v>131.27242774212903</v>
      </c>
      <c r="BK232">
        <v>-52.560410655903446</v>
      </c>
      <c r="BV232" s="38"/>
      <c r="BW232" s="6">
        <f t="shared" si="216"/>
        <v>3.7873644768276771</v>
      </c>
      <c r="BX232" s="9">
        <f t="shared" ca="1" si="217"/>
        <v>-7.8942529515361883</v>
      </c>
      <c r="BY232" s="9">
        <f t="shared" ca="1" si="218"/>
        <v>-5.172167324733536</v>
      </c>
      <c r="BZ232" s="9">
        <f t="shared" ca="1" si="219"/>
        <v>117.98026480256154</v>
      </c>
      <c r="CA232" s="6">
        <f t="shared" ca="1" si="220"/>
        <v>-47.13033990943277</v>
      </c>
      <c r="CB232" s="6">
        <f t="shared" ca="1" si="221"/>
        <v>-0.38005497812315797</v>
      </c>
      <c r="CC232" s="6">
        <f t="shared" ca="1" si="222"/>
        <v>4.4702930449687641E-3</v>
      </c>
      <c r="CD232" s="9">
        <f t="shared" si="223"/>
        <v>130.18026480256154</v>
      </c>
      <c r="CE232" s="9">
        <f t="shared" si="224"/>
        <v>-51.330339909432773</v>
      </c>
      <c r="CF232" s="6">
        <f t="shared" si="225"/>
        <v>-0.37558468507818921</v>
      </c>
      <c r="CG232" s="6"/>
      <c r="CH232" s="6"/>
      <c r="CI232" s="6"/>
      <c r="CJ232" s="1"/>
      <c r="CK232" s="6"/>
    </row>
    <row r="233" spans="55:89" x14ac:dyDescent="0.25">
      <c r="BC233">
        <v>4.0317105721068804</v>
      </c>
      <c r="BD233">
        <v>118.15962994887316</v>
      </c>
      <c r="BE233">
        <v>-47.316276754273588</v>
      </c>
      <c r="BF233" s="6">
        <f t="shared" si="212"/>
        <v>5.9022965079498588</v>
      </c>
      <c r="BG233" s="6">
        <f t="shared" si="213"/>
        <v>1.8705859358429784</v>
      </c>
      <c r="BH233" s="6">
        <f t="shared" si="214"/>
        <v>-3.0922580162360038</v>
      </c>
      <c r="BI233" s="6">
        <f t="shared" si="215"/>
        <v>3.0922580162360038</v>
      </c>
      <c r="BJ233">
        <v>131.28847772097018</v>
      </c>
      <c r="BK233">
        <v>-52.573640838081765</v>
      </c>
      <c r="BV233" s="38"/>
      <c r="BW233" s="6">
        <f t="shared" si="216"/>
        <v>3.8048177693476202</v>
      </c>
      <c r="BX233" s="9">
        <f t="shared" ca="1" si="217"/>
        <v>-7.8825781852154932</v>
      </c>
      <c r="BY233" s="9">
        <f t="shared" ca="1" si="218"/>
        <v>-5.1873828194845757</v>
      </c>
      <c r="BZ233" s="9">
        <f t="shared" ca="1" si="219"/>
        <v>117.99193956888223</v>
      </c>
      <c r="CA233" s="6">
        <f t="shared" ca="1" si="220"/>
        <v>-47.14555540418381</v>
      </c>
      <c r="CB233" s="6">
        <f t="shared" ca="1" si="221"/>
        <v>-0.38013209607148335</v>
      </c>
      <c r="CC233" s="6">
        <f t="shared" ca="1" si="222"/>
        <v>4.4768693782992752E-3</v>
      </c>
      <c r="CD233" s="9">
        <f t="shared" si="223"/>
        <v>130.19193956888222</v>
      </c>
      <c r="CE233" s="9">
        <f t="shared" si="224"/>
        <v>-51.345555404183813</v>
      </c>
      <c r="CF233" s="6">
        <f t="shared" si="225"/>
        <v>-0.37565522669318407</v>
      </c>
      <c r="CG233" s="6"/>
      <c r="CH233" s="6"/>
      <c r="CI233" s="6"/>
      <c r="CJ233" s="1"/>
      <c r="CK233" s="6"/>
    </row>
    <row r="234" spans="55:89" x14ac:dyDescent="0.25">
      <c r="BC234">
        <v>4.0491638646268235</v>
      </c>
      <c r="BD234">
        <v>118.17444459508886</v>
      </c>
      <c r="BE234">
        <v>-47.328060431520022</v>
      </c>
      <c r="BF234" s="6">
        <f t="shared" si="212"/>
        <v>5.9022538375783569</v>
      </c>
      <c r="BG234" s="6">
        <f t="shared" si="213"/>
        <v>1.8530899729515333</v>
      </c>
      <c r="BH234" s="6">
        <f t="shared" si="214"/>
        <v>-3.0922153458645019</v>
      </c>
      <c r="BI234" s="6">
        <f t="shared" si="215"/>
        <v>3.0922153458645019</v>
      </c>
      <c r="BJ234">
        <v>131.30493843898762</v>
      </c>
      <c r="BK234">
        <v>-52.58673381280002</v>
      </c>
      <c r="BV234" s="38"/>
      <c r="BW234" s="6">
        <f t="shared" si="216"/>
        <v>3.8222710618675633</v>
      </c>
      <c r="BX234" s="9">
        <f t="shared" ca="1" si="217"/>
        <v>-7.8707945086067355</v>
      </c>
      <c r="BY234" s="9">
        <f t="shared" ca="1" si="218"/>
        <v>-5.2021974665263642</v>
      </c>
      <c r="BZ234" s="9">
        <f t="shared" ca="1" si="219"/>
        <v>118.00372324549099</v>
      </c>
      <c r="CA234" s="6">
        <f t="shared" ca="1" si="220"/>
        <v>-47.160370051225598</v>
      </c>
      <c r="CB234" s="6">
        <f t="shared" ca="1" si="221"/>
        <v>-0.38020594688463255</v>
      </c>
      <c r="CC234" s="6">
        <f t="shared" ca="1" si="222"/>
        <v>4.48314476107431E-3</v>
      </c>
      <c r="CD234" s="9">
        <f t="shared" si="223"/>
        <v>130.20372324549098</v>
      </c>
      <c r="CE234" s="9">
        <f t="shared" si="224"/>
        <v>-51.360370051225601</v>
      </c>
      <c r="CF234" s="6">
        <f t="shared" si="225"/>
        <v>-0.37572280212355824</v>
      </c>
      <c r="CG234" s="6"/>
      <c r="CH234" s="6"/>
      <c r="CI234" s="6"/>
      <c r="CJ234" s="1"/>
      <c r="CK234" s="6"/>
    </row>
    <row r="235" spans="55:89" x14ac:dyDescent="0.25">
      <c r="BC235">
        <v>4.0666171571467666</v>
      </c>
      <c r="BD235">
        <v>118.18966009033944</v>
      </c>
      <c r="BE235">
        <v>-47.339735197666705</v>
      </c>
      <c r="BF235" s="6">
        <f t="shared" si="212"/>
        <v>5.9022131441143495</v>
      </c>
      <c r="BG235" s="6">
        <f t="shared" si="213"/>
        <v>1.8355959869675829</v>
      </c>
      <c r="BH235" s="6">
        <f t="shared" si="214"/>
        <v>-3.0921746524004945</v>
      </c>
      <c r="BI235" s="6">
        <f t="shared" si="215"/>
        <v>3.0921746524004945</v>
      </c>
      <c r="BJ235">
        <v>131.3218445448216</v>
      </c>
      <c r="BK235">
        <v>-52.599705775185228</v>
      </c>
      <c r="BV235" s="38"/>
      <c r="BW235" s="6">
        <f t="shared" si="216"/>
        <v>3.8397243543875064</v>
      </c>
      <c r="BX235" s="9">
        <f t="shared" ca="1" si="217"/>
        <v>-7.8588873449314747</v>
      </c>
      <c r="BY235" s="9">
        <f t="shared" ca="1" si="218"/>
        <v>-5.2166424474409823</v>
      </c>
      <c r="BZ235" s="9">
        <f t="shared" ca="1" si="219"/>
        <v>118.01563040916625</v>
      </c>
      <c r="CA235" s="6">
        <f t="shared" ca="1" si="220"/>
        <v>-47.174815032140216</v>
      </c>
      <c r="CB235" s="6">
        <f t="shared" ca="1" si="221"/>
        <v>-0.38027671715557104</v>
      </c>
      <c r="CC235" s="6">
        <f t="shared" ca="1" si="222"/>
        <v>4.4891356877219124E-3</v>
      </c>
      <c r="CD235" s="9">
        <f t="shared" si="223"/>
        <v>130.21563040916624</v>
      </c>
      <c r="CE235" s="9">
        <f t="shared" si="224"/>
        <v>-51.374815032140219</v>
      </c>
      <c r="CF235" s="6">
        <f t="shared" si="225"/>
        <v>-0.37578758146784913</v>
      </c>
      <c r="CG235" s="6"/>
      <c r="CH235" s="6"/>
      <c r="CI235" s="6"/>
      <c r="CJ235" s="1"/>
      <c r="CK235" s="6"/>
    </row>
    <row r="236" spans="55:89" x14ac:dyDescent="0.25">
      <c r="BC236">
        <v>4.0840704496667097</v>
      </c>
      <c r="BD236">
        <v>118.20531035905613</v>
      </c>
      <c r="BE236">
        <v>-47.351315224037414</v>
      </c>
      <c r="BF236" s="6">
        <f t="shared" si="212"/>
        <v>5.9021744227753032</v>
      </c>
      <c r="BG236" s="6">
        <f t="shared" si="213"/>
        <v>1.8181039731085935</v>
      </c>
      <c r="BH236" s="6">
        <f t="shared" si="214"/>
        <v>-3.0921359310614482</v>
      </c>
      <c r="BI236" s="6">
        <f t="shared" si="215"/>
        <v>3.0921359310614482</v>
      </c>
      <c r="BJ236">
        <v>131.33923373228458</v>
      </c>
      <c r="BK236">
        <v>-52.612572471152681</v>
      </c>
      <c r="BV236" s="38"/>
      <c r="BW236" s="6">
        <f t="shared" si="216"/>
        <v>3.8571776469074495</v>
      </c>
      <c r="BX236" s="9">
        <f t="shared" ca="1" si="217"/>
        <v>-7.8468416230890199</v>
      </c>
      <c r="BY236" s="9">
        <f t="shared" ca="1" si="218"/>
        <v>-5.2307465195967708</v>
      </c>
      <c r="BZ236" s="9">
        <f t="shared" ca="1" si="219"/>
        <v>118.0276761310087</v>
      </c>
      <c r="CA236" s="6">
        <f t="shared" ca="1" si="220"/>
        <v>-47.188919104296005</v>
      </c>
      <c r="CB236" s="6">
        <f t="shared" ca="1" si="221"/>
        <v>-0.38034457416815604</v>
      </c>
      <c r="CC236" s="6">
        <f t="shared" ca="1" si="222"/>
        <v>4.4948568760031504E-3</v>
      </c>
      <c r="CD236" s="9">
        <f t="shared" si="223"/>
        <v>130.22767613100871</v>
      </c>
      <c r="CE236" s="9">
        <f t="shared" si="224"/>
        <v>-51.388919104296008</v>
      </c>
      <c r="CF236" s="6">
        <f t="shared" si="225"/>
        <v>-0.37584971729215289</v>
      </c>
      <c r="CG236" s="6"/>
      <c r="CH236" s="6"/>
      <c r="CI236" s="6"/>
      <c r="CJ236" s="1"/>
      <c r="CK236" s="6"/>
    </row>
    <row r="237" spans="55:89" x14ac:dyDescent="0.25">
      <c r="BC237">
        <v>4.1015237421866528</v>
      </c>
      <c r="BD237">
        <v>118.2214324449406</v>
      </c>
      <c r="BE237">
        <v>-47.362814357588157</v>
      </c>
      <c r="BF237" s="6">
        <f t="shared" si="212"/>
        <v>5.9021376802659358</v>
      </c>
      <c r="BG237" s="6">
        <f t="shared" si="213"/>
        <v>1.8006139380792829</v>
      </c>
      <c r="BH237" s="6">
        <f t="shared" si="214"/>
        <v>-3.0920991885520808</v>
      </c>
      <c r="BI237" s="6">
        <f t="shared" si="215"/>
        <v>3.0920991885520808</v>
      </c>
      <c r="BJ237">
        <v>131.35714716104511</v>
      </c>
      <c r="BK237">
        <v>-52.625349286209058</v>
      </c>
      <c r="BV237" s="38"/>
      <c r="BW237" s="6">
        <f t="shared" si="216"/>
        <v>3.8746309394273926</v>
      </c>
      <c r="BX237" s="9">
        <f t="shared" ca="1" si="217"/>
        <v>-7.8346416878773084</v>
      </c>
      <c r="BY237" s="9">
        <f t="shared" ca="1" si="218"/>
        <v>-5.2445362973241529</v>
      </c>
      <c r="BZ237" s="9">
        <f t="shared" ca="1" si="219"/>
        <v>118.03987606622042</v>
      </c>
      <c r="CA237" s="6">
        <f t="shared" ca="1" si="220"/>
        <v>-47.202708882023387</v>
      </c>
      <c r="CB237" s="6">
        <f t="shared" ca="1" si="221"/>
        <v>-0.38040966770819229</v>
      </c>
      <c r="CC237" s="6">
        <f t="shared" ca="1" si="222"/>
        <v>4.500321429422637E-3</v>
      </c>
      <c r="CD237" s="9">
        <f t="shared" si="223"/>
        <v>130.2398760662204</v>
      </c>
      <c r="CE237" s="9">
        <f t="shared" si="224"/>
        <v>-51.40270888202339</v>
      </c>
      <c r="CF237" s="6">
        <f t="shared" si="225"/>
        <v>-0.37590934627876965</v>
      </c>
      <c r="CG237" s="6"/>
      <c r="CH237" s="6"/>
      <c r="CI237" s="6"/>
      <c r="CJ237" s="1"/>
      <c r="CK237" s="6"/>
    </row>
    <row r="238" spans="55:89" x14ac:dyDescent="0.25">
      <c r="BC238">
        <v>4.1189770347065959</v>
      </c>
      <c r="BD238">
        <v>118.23806693062507</v>
      </c>
      <c r="BE238">
        <v>-47.374246206597491</v>
      </c>
      <c r="BF238" s="6">
        <f t="shared" si="212"/>
        <v>5.9021029353684913</v>
      </c>
      <c r="BG238" s="6">
        <f t="shared" si="213"/>
        <v>1.7831259006618954</v>
      </c>
      <c r="BH238" s="6">
        <f t="shared" si="214"/>
        <v>-3.0920644436546363</v>
      </c>
      <c r="BI238" s="6">
        <f t="shared" si="215"/>
        <v>3.0920644436546363</v>
      </c>
      <c r="BJ238">
        <v>131.37562992291674</v>
      </c>
      <c r="BK238">
        <v>-52.638051340663878</v>
      </c>
      <c r="BV238" s="38"/>
      <c r="BW238" s="6">
        <f t="shared" si="216"/>
        <v>3.8920842319473357</v>
      </c>
      <c r="BX238" s="9">
        <f t="shared" ca="1" si="217"/>
        <v>-7.8222712006540576</v>
      </c>
      <c r="BY238" s="9">
        <f t="shared" ca="1" si="218"/>
        <v>-5.2580364970428377</v>
      </c>
      <c r="BZ238" s="9">
        <f t="shared" ca="1" si="219"/>
        <v>118.05224655344367</v>
      </c>
      <c r="CA238" s="6">
        <f t="shared" ca="1" si="220"/>
        <v>-47.216209081742072</v>
      </c>
      <c r="CB238" s="6">
        <f t="shared" ca="1" si="221"/>
        <v>-0.38047213158060639</v>
      </c>
      <c r="CC238" s="6">
        <f t="shared" ca="1" si="222"/>
        <v>4.5055409725039408E-3</v>
      </c>
      <c r="CD238" s="9">
        <f t="shared" si="223"/>
        <v>130.25224655344365</v>
      </c>
      <c r="CE238" s="9">
        <f t="shared" si="224"/>
        <v>-51.416209081742075</v>
      </c>
      <c r="CF238" s="6">
        <f t="shared" si="225"/>
        <v>-0.37596659060810245</v>
      </c>
      <c r="CG238" s="6"/>
      <c r="CH238" s="6"/>
      <c r="CI238" s="6"/>
      <c r="CJ238" s="1"/>
      <c r="CK238" s="6"/>
    </row>
    <row r="239" spans="55:89" x14ac:dyDescent="0.25">
      <c r="BC239">
        <v>4.136430327226539</v>
      </c>
      <c r="BD239">
        <v>118.25525844026322</v>
      </c>
      <c r="BE239">
        <v>-47.38562421917571</v>
      </c>
      <c r="BF239" s="6">
        <f t="shared" si="212"/>
        <v>5.9020702198262596</v>
      </c>
      <c r="BG239" s="6">
        <f t="shared" si="213"/>
        <v>1.7656398925997205</v>
      </c>
      <c r="BH239" s="6">
        <f t="shared" si="214"/>
        <v>-3.0920317281124046</v>
      </c>
      <c r="BI239" s="6">
        <f t="shared" si="215"/>
        <v>3.0920317281124046</v>
      </c>
      <c r="BJ239">
        <v>131.39473160029246</v>
      </c>
      <c r="BK239">
        <v>-52.650693576861897</v>
      </c>
      <c r="BV239" s="38"/>
      <c r="BW239" s="6">
        <f t="shared" si="216"/>
        <v>3.9095375244672788</v>
      </c>
      <c r="BX239" s="9">
        <f t="shared" ca="1" si="217"/>
        <v>-7.8097130306484388</v>
      </c>
      <c r="BY239" s="9">
        <f t="shared" ca="1" si="218"/>
        <v>-5.27127015230014</v>
      </c>
      <c r="BZ239" s="9">
        <f t="shared" ca="1" si="219"/>
        <v>118.06480472344929</v>
      </c>
      <c r="CA239" s="6">
        <f t="shared" ca="1" si="220"/>
        <v>-47.229442736999374</v>
      </c>
      <c r="CB239" s="6">
        <f t="shared" ca="1" si="221"/>
        <v>-0.38053208487735246</v>
      </c>
      <c r="CC239" s="6">
        <f t="shared" ca="1" si="222"/>
        <v>4.5105257630117523E-3</v>
      </c>
      <c r="CD239" s="9">
        <f t="shared" si="223"/>
        <v>130.26480472344929</v>
      </c>
      <c r="CE239" s="9">
        <f t="shared" si="224"/>
        <v>-51.429442736999377</v>
      </c>
      <c r="CF239" s="6">
        <f t="shared" si="225"/>
        <v>-0.37602155911434071</v>
      </c>
      <c r="CG239" s="6"/>
      <c r="CH239" s="6"/>
      <c r="CI239" s="6"/>
      <c r="CJ239" s="1"/>
      <c r="CK239" s="6"/>
    </row>
    <row r="240" spans="55:89" x14ac:dyDescent="0.25">
      <c r="BC240">
        <v>4.1538836197464821</v>
      </c>
      <c r="BD240">
        <v>118.27305621877306</v>
      </c>
      <c r="BE240">
        <v>-47.396961765369788</v>
      </c>
      <c r="BF240" s="6">
        <f t="shared" si="212"/>
        <v>5.9020395794229819</v>
      </c>
      <c r="BG240" s="6">
        <f t="shared" si="213"/>
        <v>1.7481559596764997</v>
      </c>
      <c r="BH240" s="6">
        <f t="shared" si="214"/>
        <v>-3.0920010877091268</v>
      </c>
      <c r="BI240" s="6">
        <f t="shared" si="215"/>
        <v>3.0920010877091268</v>
      </c>
      <c r="BJ240">
        <v>131.41450690974784</v>
      </c>
      <c r="BK240">
        <v>-52.663290850410874</v>
      </c>
      <c r="BV240" s="38"/>
      <c r="BW240" s="6">
        <f t="shared" si="216"/>
        <v>3.9269908169872219</v>
      </c>
      <c r="BX240" s="9">
        <f t="shared" ca="1" si="217"/>
        <v>-7.7969491470769583</v>
      </c>
      <c r="BY240" s="9">
        <f t="shared" ca="1" si="218"/>
        <v>-5.2842588083179223</v>
      </c>
      <c r="BZ240" s="9">
        <f t="shared" ca="1" si="219"/>
        <v>118.07756860702077</v>
      </c>
      <c r="CA240" s="6">
        <f t="shared" ca="1" si="220"/>
        <v>-47.242431393017156</v>
      </c>
      <c r="CB240" s="6">
        <f t="shared" ca="1" si="221"/>
        <v>-0.38058963309618182</v>
      </c>
      <c r="CC240" s="6">
        <f t="shared" ca="1" si="222"/>
        <v>4.5152847905624571E-3</v>
      </c>
      <c r="CD240" s="9">
        <f t="shared" si="223"/>
        <v>130.27756860702075</v>
      </c>
      <c r="CE240" s="9">
        <f t="shared" si="224"/>
        <v>-51.442431393017159</v>
      </c>
      <c r="CF240" s="6">
        <f t="shared" si="225"/>
        <v>-0.37607434830561937</v>
      </c>
      <c r="CG240" s="6"/>
      <c r="CH240" s="6"/>
      <c r="CI240" s="6"/>
      <c r="CJ240" s="1"/>
      <c r="CK240" s="6"/>
    </row>
    <row r="241" spans="55:89" x14ac:dyDescent="0.25">
      <c r="BC241">
        <v>4.1713369122664252</v>
      </c>
      <c r="BD241">
        <v>118.29151481166626</v>
      </c>
      <c r="BE241">
        <v>-47.408272221224003</v>
      </c>
      <c r="BF241" s="6">
        <f t="shared" si="212"/>
        <v>5.9020110753393675</v>
      </c>
      <c r="BG241" s="6">
        <f t="shared" si="213"/>
        <v>1.7306741630729423</v>
      </c>
      <c r="BH241" s="6">
        <f t="shared" si="214"/>
        <v>-3.0919725836255125</v>
      </c>
      <c r="BI241" s="6">
        <f t="shared" si="215"/>
        <v>3.0919725836255125</v>
      </c>
      <c r="BJ241">
        <v>131.43501645740696</v>
      </c>
      <c r="BK241">
        <v>-52.675858023582222</v>
      </c>
      <c r="BV241" s="38"/>
      <c r="BW241" s="6">
        <f t="shared" si="216"/>
        <v>3.944444109507165</v>
      </c>
      <c r="BX241" s="9">
        <f t="shared" ca="1" si="217"/>
        <v>-7.7839604911057023</v>
      </c>
      <c r="BY241" s="9">
        <f t="shared" ca="1" si="218"/>
        <v>-5.2970226914638303</v>
      </c>
      <c r="BZ241" s="9">
        <f t="shared" ca="1" si="219"/>
        <v>118.09055726299202</v>
      </c>
      <c r="CA241" s="6">
        <f t="shared" ca="1" si="220"/>
        <v>-47.255195276163064</v>
      </c>
      <c r="CB241" s="6">
        <f t="shared" ca="1" si="221"/>
        <v>-0.3806448690159131</v>
      </c>
      <c r="CC241" s="6">
        <f t="shared" ca="1" si="222"/>
        <v>4.5198258523946877E-3</v>
      </c>
      <c r="CD241" s="9">
        <f t="shared" si="223"/>
        <v>130.29055726299202</v>
      </c>
      <c r="CE241" s="9">
        <f t="shared" si="224"/>
        <v>-51.455195276163067</v>
      </c>
      <c r="CF241" s="6">
        <f t="shared" si="225"/>
        <v>-0.37612504316351841</v>
      </c>
      <c r="CG241" s="6"/>
      <c r="CH241" s="6"/>
      <c r="CI241" s="6"/>
      <c r="CJ241" s="1"/>
      <c r="CK241" s="6"/>
    </row>
    <row r="242" spans="55:89" x14ac:dyDescent="0.25">
      <c r="BC242">
        <v>4.1887902047863683</v>
      </c>
      <c r="BD242">
        <v>118.3106948762364</v>
      </c>
      <c r="BE242">
        <v>-47.419569051891123</v>
      </c>
      <c r="BF242" s="6">
        <f t="shared" si="212"/>
        <v>5.901984785896973</v>
      </c>
      <c r="BG242" s="6">
        <f t="shared" si="213"/>
        <v>1.7131945811106046</v>
      </c>
      <c r="BH242" s="6">
        <f t="shared" si="214"/>
        <v>-3.0919462941831179</v>
      </c>
      <c r="BI242" s="6">
        <f t="shared" si="215"/>
        <v>3.0919462941831179</v>
      </c>
      <c r="BJ242">
        <v>131.45632764026266</v>
      </c>
      <c r="BK242">
        <v>-52.688410057656803</v>
      </c>
      <c r="BV242" s="38"/>
      <c r="BW242" s="6">
        <f t="shared" si="216"/>
        <v>3.9618974020271081</v>
      </c>
      <c r="BX242" s="9">
        <f t="shared" ca="1" si="217"/>
        <v>-7.7707268353431829</v>
      </c>
      <c r="BY242" s="9">
        <f t="shared" ca="1" si="218"/>
        <v>-5.3095808609746769</v>
      </c>
      <c r="BZ242" s="9">
        <f t="shared" ca="1" si="219"/>
        <v>118.10379091875454</v>
      </c>
      <c r="CA242" s="6">
        <f t="shared" ca="1" si="220"/>
        <v>-47.267753445673911</v>
      </c>
      <c r="CB242" s="6">
        <f t="shared" ca="1" si="221"/>
        <v>-0.38069787340445893</v>
      </c>
      <c r="CC242" s="6">
        <f t="shared" ca="1" si="222"/>
        <v>4.524155613487236E-3</v>
      </c>
      <c r="CD242" s="9">
        <f t="shared" si="223"/>
        <v>130.30379091875454</v>
      </c>
      <c r="CE242" s="9">
        <f t="shared" si="224"/>
        <v>-51.467753445673914</v>
      </c>
      <c r="CF242" s="6">
        <f t="shared" si="225"/>
        <v>-0.3761737177909717</v>
      </c>
      <c r="CG242" s="6"/>
      <c r="CH242" s="6"/>
      <c r="CI242" s="6"/>
      <c r="CJ242" s="1"/>
      <c r="CK242" s="6"/>
    </row>
    <row r="243" spans="55:89" x14ac:dyDescent="0.25">
      <c r="BC243">
        <v>4.2062434973063114</v>
      </c>
      <c r="BD243">
        <v>118.3306641307104</v>
      </c>
      <c r="BE243">
        <v>-47.430865905427034</v>
      </c>
      <c r="BF243" s="6">
        <f t="shared" si="212"/>
        <v>5.9019608086229818</v>
      </c>
      <c r="BG243" s="6">
        <f t="shared" si="213"/>
        <v>1.6957173113166704</v>
      </c>
      <c r="BH243" s="6">
        <f t="shared" si="214"/>
        <v>-3.0919223169091268</v>
      </c>
      <c r="BI243" s="6">
        <f t="shared" si="215"/>
        <v>3.0919223169091268</v>
      </c>
      <c r="BJ243">
        <v>131.47851570078933</v>
      </c>
      <c r="BK243">
        <v>-52.700962117141145</v>
      </c>
      <c r="BV243" s="38"/>
      <c r="BW243" s="6">
        <f t="shared" si="216"/>
        <v>3.9793506945470511</v>
      </c>
      <c r="BX243" s="9">
        <f t="shared" ca="1" si="217"/>
        <v>-7.7572266360221818</v>
      </c>
      <c r="BY243" s="9">
        <f t="shared" ca="1" si="218"/>
        <v>-5.3219513490323536</v>
      </c>
      <c r="BZ243" s="9">
        <f t="shared" ca="1" si="219"/>
        <v>118.11729111807554</v>
      </c>
      <c r="CA243" s="6">
        <f t="shared" ca="1" si="220"/>
        <v>-47.280123933731588</v>
      </c>
      <c r="CB243" s="6">
        <f t="shared" ca="1" si="221"/>
        <v>-0.38074871561945911</v>
      </c>
      <c r="CC243" s="6">
        <f t="shared" ca="1" si="222"/>
        <v>4.5282796566369363E-3</v>
      </c>
      <c r="CD243" s="9">
        <f t="shared" si="223"/>
        <v>130.31729111807553</v>
      </c>
      <c r="CE243" s="9">
        <f t="shared" si="224"/>
        <v>-51.480123933731591</v>
      </c>
      <c r="CF243" s="6">
        <f t="shared" si="225"/>
        <v>-0.37622043596282218</v>
      </c>
      <c r="CG243" s="6"/>
      <c r="CH243" s="6"/>
      <c r="CI243" s="6"/>
      <c r="CJ243" s="1"/>
      <c r="CK243" s="6"/>
    </row>
    <row r="244" spans="55:89" x14ac:dyDescent="0.25">
      <c r="BC244">
        <v>4.2236967898262545</v>
      </c>
      <c r="BD244">
        <v>118.35149849641662</v>
      </c>
      <c r="BE244">
        <v>-47.442176709339599</v>
      </c>
      <c r="BF244" s="6">
        <f t="shared" si="212"/>
        <v>5.9019392628531211</v>
      </c>
      <c r="BG244" s="6">
        <f t="shared" si="213"/>
        <v>1.6782424730268666</v>
      </c>
      <c r="BH244" s="6">
        <f t="shared" si="214"/>
        <v>-3.0919007711392661</v>
      </c>
      <c r="BI244" s="6">
        <f t="shared" si="215"/>
        <v>3.0919007711392661</v>
      </c>
      <c r="BJ244">
        <v>131.50166499601846</v>
      </c>
      <c r="BK244">
        <v>-52.713529677043994</v>
      </c>
      <c r="BV244" s="38"/>
      <c r="BW244" s="6">
        <f t="shared" si="216"/>
        <v>3.9968039870669942</v>
      </c>
      <c r="BX244" s="9">
        <f t="shared" ca="1" si="217"/>
        <v>-7.7434368589490532</v>
      </c>
      <c r="BY244" s="9">
        <f t="shared" ca="1" si="218"/>
        <v>-5.3341512843298418</v>
      </c>
      <c r="BZ244" s="9">
        <f t="shared" ca="1" si="219"/>
        <v>118.13108089514867</v>
      </c>
      <c r="CA244" s="6">
        <f t="shared" ca="1" si="220"/>
        <v>-47.292323869029076</v>
      </c>
      <c r="CB244" s="6">
        <f t="shared" ca="1" si="221"/>
        <v>-0.38079745401099419</v>
      </c>
      <c r="CC244" s="6">
        <f t="shared" ca="1" si="222"/>
        <v>4.532202513679807E-3</v>
      </c>
      <c r="CD244" s="9">
        <f t="shared" si="223"/>
        <v>130.33108089514866</v>
      </c>
      <c r="CE244" s="9">
        <f t="shared" si="224"/>
        <v>-51.492323869029079</v>
      </c>
      <c r="CF244" s="6">
        <f t="shared" si="225"/>
        <v>-0.37626525149731438</v>
      </c>
      <c r="CG244" s="6"/>
      <c r="CH244" s="6"/>
      <c r="CI244" s="6"/>
      <c r="CJ244" s="1"/>
      <c r="CK244" s="6"/>
    </row>
    <row r="245" spans="55:89" x14ac:dyDescent="0.25">
      <c r="BC245">
        <v>4.2411500823461976</v>
      </c>
      <c r="BD245">
        <v>118.37328347343562</v>
      </c>
      <c r="BE245">
        <v>-47.453515773743185</v>
      </c>
      <c r="BF245" s="6">
        <f t="shared" si="212"/>
        <v>5.9019202929610328</v>
      </c>
      <c r="BG245" s="6">
        <f t="shared" si="213"/>
        <v>1.6607702106148352</v>
      </c>
      <c r="BH245" s="6">
        <f t="shared" si="214"/>
        <v>-3.0918818012471778</v>
      </c>
      <c r="BI245" s="6">
        <f t="shared" si="215"/>
        <v>3.0918818012471778</v>
      </c>
      <c r="BJ245">
        <v>131.52587052603957</v>
      </c>
      <c r="BK245">
        <v>-52.726128637492423</v>
      </c>
      <c r="BV245" s="38"/>
      <c r="BW245" s="6">
        <f t="shared" si="216"/>
        <v>4.0142572795869373</v>
      </c>
      <c r="BX245" s="9">
        <f t="shared" ca="1" si="217"/>
        <v>-7.729332786181601</v>
      </c>
      <c r="BY245" s="9">
        <f t="shared" ca="1" si="218"/>
        <v>-5.3461970056138668</v>
      </c>
      <c r="BZ245" s="9">
        <f t="shared" ca="1" si="219"/>
        <v>118.14518496791612</v>
      </c>
      <c r="CA245" s="6">
        <f t="shared" ca="1" si="220"/>
        <v>-47.304369590313101</v>
      </c>
      <c r="CB245" s="6">
        <f t="shared" ca="1" si="221"/>
        <v>-0.38084413619428986</v>
      </c>
      <c r="CC245" s="6">
        <f t="shared" ca="1" si="222"/>
        <v>4.5359276842552587E-3</v>
      </c>
      <c r="CD245" s="9">
        <f t="shared" si="223"/>
        <v>130.34518496791611</v>
      </c>
      <c r="CE245" s="9">
        <f t="shared" si="224"/>
        <v>-51.504369590313104</v>
      </c>
      <c r="CF245" s="6">
        <f t="shared" si="225"/>
        <v>-0.3763082085100346</v>
      </c>
      <c r="CG245" s="6"/>
      <c r="CH245" s="6"/>
      <c r="CI245" s="6"/>
      <c r="CJ245" s="1"/>
      <c r="CK245" s="6"/>
    </row>
    <row r="246" spans="55:89" x14ac:dyDescent="0.25">
      <c r="BC246">
        <v>4.2586033748661407</v>
      </c>
      <c r="BD246">
        <v>118.39611579117086</v>
      </c>
      <c r="BE246">
        <v>-47.464897911348025</v>
      </c>
      <c r="BF246" s="6">
        <f t="shared" si="212"/>
        <v>5.9019040722583744</v>
      </c>
      <c r="BG246" s="6">
        <f t="shared" si="213"/>
        <v>1.6433006973922337</v>
      </c>
      <c r="BH246" s="6">
        <f t="shared" si="214"/>
        <v>-3.0918655805445194</v>
      </c>
      <c r="BI246" s="6">
        <f t="shared" si="215"/>
        <v>3.0918655805445194</v>
      </c>
      <c r="BJ246">
        <v>131.55123976796762</v>
      </c>
      <c r="BK246">
        <v>-52.738775457053357</v>
      </c>
      <c r="BV246" s="38"/>
      <c r="BW246" s="6">
        <f t="shared" si="216"/>
        <v>4.0317105721068804</v>
      </c>
      <c r="BX246" s="9">
        <f t="shared" ca="1" si="217"/>
        <v>-7.7148878052245635</v>
      </c>
      <c r="BY246" s="9">
        <f t="shared" ca="1" si="218"/>
        <v>-5.3581041695743536</v>
      </c>
      <c r="BZ246" s="9">
        <f t="shared" ca="1" si="219"/>
        <v>118.15962994887316</v>
      </c>
      <c r="CA246" s="6">
        <f t="shared" ca="1" si="220"/>
        <v>-47.316276754273588</v>
      </c>
      <c r="CB246" s="6">
        <f t="shared" ca="1" si="221"/>
        <v>-0.38088879922972757</v>
      </c>
      <c r="CC246" s="6">
        <f t="shared" ca="1" si="222"/>
        <v>4.5394576455689553E-3</v>
      </c>
      <c r="CD246" s="9">
        <f t="shared" si="223"/>
        <v>130.35962994887316</v>
      </c>
      <c r="CE246" s="9">
        <f t="shared" si="224"/>
        <v>-51.516276754273591</v>
      </c>
      <c r="CF246" s="6">
        <f t="shared" si="225"/>
        <v>-0.37634934158415861</v>
      </c>
      <c r="CG246" s="6"/>
      <c r="CH246" s="6"/>
      <c r="CI246" s="6"/>
      <c r="CJ246" s="1"/>
      <c r="CK246" s="6"/>
    </row>
    <row r="247" spans="55:89" x14ac:dyDescent="0.25">
      <c r="BC247">
        <v>4.2760566673860838</v>
      </c>
      <c r="BD247">
        <v>118.42010543091929</v>
      </c>
      <c r="BE247">
        <v>-47.476338565935784</v>
      </c>
      <c r="BF247" s="6">
        <f t="shared" si="212"/>
        <v>5.9018908079067387</v>
      </c>
      <c r="BG247" s="6">
        <f t="shared" si="213"/>
        <v>1.6258341405206549</v>
      </c>
      <c r="BH247" s="6">
        <f t="shared" si="214"/>
        <v>-3.0918523161928837</v>
      </c>
      <c r="BI247" s="6">
        <f t="shared" si="215"/>
        <v>3.0918523161928837</v>
      </c>
      <c r="BJ247">
        <v>131.57789492324366</v>
      </c>
      <c r="BK247">
        <v>-52.751487295484203</v>
      </c>
      <c r="BV247" s="38"/>
      <c r="BW247" s="6">
        <f t="shared" si="216"/>
        <v>4.0491638646268235</v>
      </c>
      <c r="BX247" s="9">
        <f t="shared" ca="1" si="217"/>
        <v>-7.7000731590088662</v>
      </c>
      <c r="BY247" s="9">
        <f t="shared" ca="1" si="218"/>
        <v>-5.369887846820788</v>
      </c>
      <c r="BZ247" s="9">
        <f t="shared" ca="1" si="219"/>
        <v>118.17444459508886</v>
      </c>
      <c r="CA247" s="6">
        <f t="shared" ca="1" si="220"/>
        <v>-47.328060431520022</v>
      </c>
      <c r="CB247" s="6">
        <f t="shared" ca="1" si="221"/>
        <v>-0.38093146960122909</v>
      </c>
      <c r="CC247" s="6">
        <f t="shared" ca="1" si="222"/>
        <v>4.5427938425754433E-3</v>
      </c>
      <c r="CD247" s="9">
        <f t="shared" si="223"/>
        <v>130.37444459508885</v>
      </c>
      <c r="CE247" s="9">
        <f t="shared" si="224"/>
        <v>-51.528060431520025</v>
      </c>
      <c r="CF247" s="6">
        <f t="shared" si="225"/>
        <v>-0.37638867575865365</v>
      </c>
      <c r="CG247" s="6"/>
      <c r="CH247" s="6"/>
      <c r="CI247" s="6"/>
      <c r="CJ247" s="1"/>
      <c r="CK247" s="6"/>
    </row>
    <row r="248" spans="55:89" x14ac:dyDescent="0.25">
      <c r="BC248">
        <v>4.2935099599060269</v>
      </c>
      <c r="BD248">
        <v>118.44537809719108</v>
      </c>
      <c r="BE248">
        <v>-47.487853963022999</v>
      </c>
      <c r="BF248" s="6">
        <f t="shared" si="212"/>
        <v>5.9018807469615187</v>
      </c>
      <c r="BG248" s="6">
        <f t="shared" si="213"/>
        <v>1.6083707870554917</v>
      </c>
      <c r="BH248" s="6">
        <f t="shared" si="214"/>
        <v>-3.0918422552476637</v>
      </c>
      <c r="BI248" s="6">
        <f t="shared" si="215"/>
        <v>3.0918422552476637</v>
      </c>
      <c r="BJ248">
        <v>131.60597566354565</v>
      </c>
      <c r="BK248">
        <v>-52.764282181136664</v>
      </c>
      <c r="BV248" s="38"/>
      <c r="BW248" s="6">
        <f t="shared" si="216"/>
        <v>4.0666171571467666</v>
      </c>
      <c r="BX248" s="9">
        <f t="shared" ca="1" si="217"/>
        <v>-7.6848576637582795</v>
      </c>
      <c r="BY248" s="9">
        <f t="shared" ca="1" si="218"/>
        <v>-5.3815626129674712</v>
      </c>
      <c r="BZ248" s="9">
        <f t="shared" ca="1" si="219"/>
        <v>118.18966009033944</v>
      </c>
      <c r="CA248" s="6">
        <f t="shared" ca="1" si="220"/>
        <v>-47.339735197666705</v>
      </c>
      <c r="CB248" s="6">
        <f t="shared" ca="1" si="221"/>
        <v>-0.38097216306523646</v>
      </c>
      <c r="CC248" s="6">
        <f t="shared" ca="1" si="222"/>
        <v>4.545936665379724E-3</v>
      </c>
      <c r="CD248" s="9">
        <f t="shared" si="223"/>
        <v>130.38966009033945</v>
      </c>
      <c r="CE248" s="9">
        <f t="shared" si="224"/>
        <v>-51.539735197666708</v>
      </c>
      <c r="CF248" s="6">
        <f t="shared" si="225"/>
        <v>-0.37642622639985673</v>
      </c>
      <c r="CG248" s="6"/>
      <c r="CH248" s="6"/>
      <c r="CI248" s="6"/>
      <c r="CJ248" s="1"/>
      <c r="CK248" s="6"/>
    </row>
    <row r="249" spans="55:89" x14ac:dyDescent="0.25">
      <c r="BC249">
        <v>4.31096325242597</v>
      </c>
      <c r="BD249">
        <v>118.47207828317443</v>
      </c>
      <c r="BE249">
        <v>-47.499461278766283</v>
      </c>
      <c r="BF249" s="6">
        <f t="shared" si="212"/>
        <v>5.9018741839950755</v>
      </c>
      <c r="BG249" s="6">
        <f t="shared" si="213"/>
        <v>1.5909109315691055</v>
      </c>
      <c r="BH249" s="6">
        <f t="shared" si="214"/>
        <v>-3.0918356922812205</v>
      </c>
      <c r="BI249" s="6">
        <f t="shared" si="215"/>
        <v>3.0918356922812205</v>
      </c>
      <c r="BJ249">
        <v>131.63564253686047</v>
      </c>
      <c r="BK249">
        <v>-52.777179198629199</v>
      </c>
      <c r="BV249" s="38"/>
      <c r="BW249" s="6">
        <f t="shared" si="216"/>
        <v>4.0840704496667097</v>
      </c>
      <c r="BX249" s="9">
        <f t="shared" ca="1" si="217"/>
        <v>-7.669207395041596</v>
      </c>
      <c r="BY249" s="9">
        <f t="shared" ca="1" si="218"/>
        <v>-5.3931426393381798</v>
      </c>
      <c r="BZ249" s="9">
        <f t="shared" ca="1" si="219"/>
        <v>118.20531035905613</v>
      </c>
      <c r="CA249" s="6">
        <f t="shared" ca="1" si="220"/>
        <v>-47.351315224037414</v>
      </c>
      <c r="CB249" s="6">
        <f t="shared" ca="1" si="221"/>
        <v>-0.38101088440428338</v>
      </c>
      <c r="CC249" s="6">
        <f t="shared" ca="1" si="222"/>
        <v>4.5488854169574147E-3</v>
      </c>
      <c r="CD249" s="9">
        <f t="shared" si="223"/>
        <v>130.40531035905613</v>
      </c>
      <c r="CE249" s="9">
        <f t="shared" si="224"/>
        <v>-51.551315224037417</v>
      </c>
      <c r="CF249" s="6">
        <f t="shared" si="225"/>
        <v>-0.37646199898732596</v>
      </c>
      <c r="CG249" s="6"/>
      <c r="CH249" s="6"/>
      <c r="CI249" s="6"/>
      <c r="CJ249" s="1"/>
      <c r="CK249" s="6"/>
    </row>
    <row r="250" spans="55:89" x14ac:dyDescent="0.25">
      <c r="BC250">
        <v>4.3284165449459131</v>
      </c>
      <c r="BD250">
        <v>118.50037308201274</v>
      </c>
      <c r="BE250">
        <v>-47.511178843019735</v>
      </c>
      <c r="BF250" s="6">
        <f t="shared" si="212"/>
        <v>5.901871470618123</v>
      </c>
      <c r="BG250" s="6">
        <f t="shared" si="213"/>
        <v>1.5734549256722099</v>
      </c>
      <c r="BH250" s="6">
        <f t="shared" si="214"/>
        <v>-3.091832978904268</v>
      </c>
      <c r="BI250" s="6">
        <f t="shared" si="215"/>
        <v>3.091832978904268</v>
      </c>
      <c r="BJ250">
        <v>131.66708120223637</v>
      </c>
      <c r="BK250">
        <v>-52.790198714466371</v>
      </c>
      <c r="BV250" s="38"/>
      <c r="BW250" s="6">
        <f t="shared" si="216"/>
        <v>4.1015237421866528</v>
      </c>
      <c r="BX250" s="9">
        <f t="shared" ca="1" si="217"/>
        <v>-7.6530853091571203</v>
      </c>
      <c r="BY250" s="9">
        <f t="shared" ca="1" si="218"/>
        <v>-5.4046417728889224</v>
      </c>
      <c r="BZ250" s="9">
        <f t="shared" ca="1" si="219"/>
        <v>118.2214324449406</v>
      </c>
      <c r="CA250" s="6">
        <f t="shared" ca="1" si="220"/>
        <v>-47.362814357588157</v>
      </c>
      <c r="CB250" s="6">
        <f t="shared" ca="1" si="221"/>
        <v>-0.38104762691365007</v>
      </c>
      <c r="CC250" s="6">
        <f t="shared" ca="1" si="222"/>
        <v>4.5516382545940925E-3</v>
      </c>
      <c r="CD250" s="9">
        <f t="shared" si="223"/>
        <v>130.42143244494059</v>
      </c>
      <c r="CE250" s="9">
        <f t="shared" si="224"/>
        <v>-51.562814357588159</v>
      </c>
      <c r="CF250" s="6">
        <f t="shared" si="225"/>
        <v>-0.37649598865905598</v>
      </c>
      <c r="CG250" s="6"/>
      <c r="CH250" s="6"/>
      <c r="CI250" s="6"/>
      <c r="CJ250" s="1"/>
      <c r="CK250" s="6"/>
    </row>
    <row r="251" spans="55:89" x14ac:dyDescent="0.25">
      <c r="BC251">
        <v>4.3458698374658562</v>
      </c>
      <c r="BD251">
        <v>118.53045699556195</v>
      </c>
      <c r="BE251">
        <v>-47.523026374189968</v>
      </c>
      <c r="BF251" s="6">
        <f t="shared" si="212"/>
        <v>5.9018730276396045</v>
      </c>
      <c r="BG251" s="6">
        <f t="shared" si="213"/>
        <v>1.5560031901737483</v>
      </c>
      <c r="BH251" s="6">
        <f t="shared" si="214"/>
        <v>-3.0918345359257495</v>
      </c>
      <c r="BI251" s="6">
        <f t="shared" si="215"/>
        <v>3.0918345359257495</v>
      </c>
      <c r="BJ251">
        <v>131.70050777284661</v>
      </c>
      <c r="BK251">
        <v>-52.803362637988855</v>
      </c>
      <c r="BV251" s="38"/>
      <c r="BW251" s="6">
        <f t="shared" si="216"/>
        <v>4.1189770347065959</v>
      </c>
      <c r="BX251" s="9">
        <f t="shared" ca="1" si="217"/>
        <v>-7.6364508234726571</v>
      </c>
      <c r="BY251" s="9">
        <f t="shared" ca="1" si="218"/>
        <v>-5.4160736218982564</v>
      </c>
      <c r="BZ251" s="9">
        <f t="shared" ca="1" si="219"/>
        <v>118.23806693062507</v>
      </c>
      <c r="CA251" s="6">
        <f t="shared" ca="1" si="220"/>
        <v>-47.374246206597491</v>
      </c>
      <c r="CB251" s="6">
        <f t="shared" ca="1" si="221"/>
        <v>-0.38108237181109528</v>
      </c>
      <c r="CC251" s="6">
        <f t="shared" ca="1" si="222"/>
        <v>4.5541921230542459E-3</v>
      </c>
      <c r="CD251" s="9">
        <f t="shared" si="223"/>
        <v>130.43806693062507</v>
      </c>
      <c r="CE251" s="9">
        <f t="shared" si="224"/>
        <v>-51.574246206597493</v>
      </c>
      <c r="CF251" s="6">
        <f t="shared" si="225"/>
        <v>-0.37652817968804103</v>
      </c>
      <c r="CG251" s="6"/>
      <c r="CH251" s="6"/>
      <c r="CI251" s="6"/>
      <c r="CJ251" s="1"/>
      <c r="CK251" s="6"/>
    </row>
    <row r="252" spans="55:89" x14ac:dyDescent="0.25">
      <c r="BC252">
        <v>4.3633231299857993</v>
      </c>
      <c r="BD252">
        <v>118.56255804981986</v>
      </c>
      <c r="BE252">
        <v>-47.535025260176603</v>
      </c>
      <c r="BF252" s="6">
        <f t="shared" si="212"/>
        <v>5.9018793606472038</v>
      </c>
      <c r="BG252" s="6">
        <f t="shared" si="213"/>
        <v>1.5385562306614045</v>
      </c>
      <c r="BH252" s="6">
        <f t="shared" si="214"/>
        <v>-3.0918408689333488</v>
      </c>
      <c r="BI252" s="6">
        <f t="shared" si="215"/>
        <v>3.0918408689333488</v>
      </c>
      <c r="BJ252">
        <v>131.73617561091095</v>
      </c>
      <c r="BK252">
        <v>-52.816694733529559</v>
      </c>
      <c r="BV252" s="38"/>
      <c r="BW252" s="6">
        <f t="shared" si="216"/>
        <v>4.136430327226539</v>
      </c>
      <c r="BX252" s="9">
        <f t="shared" ca="1" si="217"/>
        <v>-7.6192593138345046</v>
      </c>
      <c r="BY252" s="9">
        <f t="shared" ca="1" si="218"/>
        <v>-5.4274516344764763</v>
      </c>
      <c r="BZ252" s="9">
        <f t="shared" ca="1" si="219"/>
        <v>118.25525844026322</v>
      </c>
      <c r="CA252" s="6">
        <f t="shared" ca="1" si="220"/>
        <v>-47.38562421917571</v>
      </c>
      <c r="CB252" s="6">
        <f t="shared" ca="1" si="221"/>
        <v>-0.38111508735332678</v>
      </c>
      <c r="CC252" s="6">
        <f t="shared" ca="1" si="222"/>
        <v>4.5565426585270075E-3</v>
      </c>
      <c r="CD252" s="9">
        <f t="shared" si="223"/>
        <v>130.45525844026321</v>
      </c>
      <c r="CE252" s="9">
        <f t="shared" si="224"/>
        <v>-51.585624219175713</v>
      </c>
      <c r="CF252" s="6">
        <f t="shared" si="225"/>
        <v>-0.37655854469479977</v>
      </c>
      <c r="CG252" s="6"/>
      <c r="CH252" s="6"/>
      <c r="CI252" s="6"/>
      <c r="CJ252" s="1"/>
      <c r="CK252" s="6"/>
    </row>
    <row r="253" spans="55:89" x14ac:dyDescent="0.25">
      <c r="BC253">
        <v>4.3807764225057424</v>
      </c>
      <c r="BD253">
        <v>118.59694564539555</v>
      </c>
      <c r="BE253">
        <v>-47.547198905753376</v>
      </c>
      <c r="BF253" s="6">
        <f t="shared" si="212"/>
        <v>5.9018910800870392</v>
      </c>
      <c r="BG253" s="6">
        <f t="shared" si="213"/>
        <v>1.5211146575812968</v>
      </c>
      <c r="BH253" s="6">
        <f t="shared" si="214"/>
        <v>-3.0918525883731842</v>
      </c>
      <c r="BI253" s="6">
        <f t="shared" si="215"/>
        <v>3.0918525883731842</v>
      </c>
      <c r="BJ253">
        <v>131.77438405043949</v>
      </c>
      <c r="BK253">
        <v>-52.830221006392641</v>
      </c>
      <c r="BV253" s="38"/>
      <c r="BW253" s="6">
        <f t="shared" si="216"/>
        <v>4.1538836197464821</v>
      </c>
      <c r="BX253" s="9">
        <f t="shared" ca="1" si="217"/>
        <v>-7.6014615353246597</v>
      </c>
      <c r="BY253" s="9">
        <f t="shared" ca="1" si="218"/>
        <v>-5.4387891806705539</v>
      </c>
      <c r="BZ253" s="9">
        <f t="shared" ca="1" si="219"/>
        <v>118.27305621877306</v>
      </c>
      <c r="CA253" s="6">
        <f t="shared" ca="1" si="220"/>
        <v>-47.396961765369788</v>
      </c>
      <c r="CB253" s="6">
        <f t="shared" ca="1" si="221"/>
        <v>-0.38114572775660444</v>
      </c>
      <c r="CC253" s="6">
        <f t="shared" ca="1" si="222"/>
        <v>4.5586840724108901E-3</v>
      </c>
      <c r="CD253" s="9">
        <f t="shared" si="223"/>
        <v>130.47305621877305</v>
      </c>
      <c r="CE253" s="9">
        <f t="shared" si="224"/>
        <v>-51.596961765369791</v>
      </c>
      <c r="CF253" s="6">
        <f t="shared" si="225"/>
        <v>-0.37658704368419355</v>
      </c>
      <c r="CG253" s="6"/>
      <c r="CH253" s="6"/>
      <c r="CI253" s="6"/>
      <c r="CJ253" s="1"/>
      <c r="CK253" s="6"/>
    </row>
    <row r="254" spans="55:89" x14ac:dyDescent="0.25">
      <c r="BC254">
        <v>4.3982297150256855</v>
      </c>
      <c r="BD254">
        <v>118.63394079233866</v>
      </c>
      <c r="BE254">
        <v>-47.559573150708324</v>
      </c>
      <c r="BF254" s="6">
        <f t="shared" si="212"/>
        <v>5.9019089276708172</v>
      </c>
      <c r="BG254" s="6">
        <f t="shared" si="213"/>
        <v>1.5036792126451317</v>
      </c>
      <c r="BH254" s="6">
        <f t="shared" si="214"/>
        <v>-3.0918704359569622</v>
      </c>
      <c r="BI254" s="6">
        <f t="shared" si="215"/>
        <v>3.0918704359569622</v>
      </c>
      <c r="BJ254">
        <v>131.81548976926518</v>
      </c>
      <c r="BK254">
        <v>-52.843970167453691</v>
      </c>
      <c r="BV254" s="38"/>
      <c r="BW254" s="6">
        <f t="shared" si="216"/>
        <v>4.1713369122664252</v>
      </c>
      <c r="BX254" s="9">
        <f t="shared" ca="1" si="217"/>
        <v>-7.5830029424314631</v>
      </c>
      <c r="BY254" s="9">
        <f t="shared" ca="1" si="218"/>
        <v>-5.4500996365247687</v>
      </c>
      <c r="BZ254" s="9">
        <f t="shared" ca="1" si="219"/>
        <v>118.29151481166626</v>
      </c>
      <c r="CA254" s="6">
        <f t="shared" ca="1" si="220"/>
        <v>-47.408272221224003</v>
      </c>
      <c r="CB254" s="6">
        <f t="shared" ca="1" si="221"/>
        <v>-0.38117423184021848</v>
      </c>
      <c r="CC254" s="6">
        <f t="shared" ca="1" si="222"/>
        <v>4.5606090068283089E-3</v>
      </c>
      <c r="CD254" s="9">
        <f t="shared" si="223"/>
        <v>130.49151481166626</v>
      </c>
      <c r="CE254" s="9">
        <f t="shared" si="224"/>
        <v>-51.608272221224006</v>
      </c>
      <c r="CF254" s="6">
        <f t="shared" si="225"/>
        <v>-0.37661362283339017</v>
      </c>
      <c r="CG254" s="6"/>
      <c r="CH254" s="6"/>
      <c r="CI254" s="6"/>
      <c r="CJ254" s="1"/>
      <c r="CK254" s="6"/>
    </row>
    <row r="255" spans="55:89" x14ac:dyDescent="0.25">
      <c r="BC255">
        <v>4.4156830075456286</v>
      </c>
      <c r="BD255">
        <v>118.67392960526061</v>
      </c>
      <c r="BE255">
        <v>-47.572176792801088</v>
      </c>
      <c r="BF255" s="6">
        <f t="shared" si="212"/>
        <v>5.901933811366165</v>
      </c>
      <c r="BG255" s="6">
        <f t="shared" si="213"/>
        <v>1.4862508038205364</v>
      </c>
      <c r="BH255" s="6">
        <f t="shared" si="214"/>
        <v>-3.09189531965231</v>
      </c>
      <c r="BI255" s="6">
        <f t="shared" si="215"/>
        <v>3.09189531965231</v>
      </c>
      <c r="BJ255">
        <v>131.85992178362289</v>
      </c>
      <c r="BK255">
        <v>-52.857974214223432</v>
      </c>
      <c r="BV255" s="38"/>
      <c r="BW255" s="6">
        <f t="shared" si="216"/>
        <v>4.1887902047863683</v>
      </c>
      <c r="BX255" s="9">
        <f t="shared" ca="1" si="217"/>
        <v>-7.5638228778613268</v>
      </c>
      <c r="BY255" s="9">
        <f t="shared" ca="1" si="218"/>
        <v>-5.4613964671918893</v>
      </c>
      <c r="BZ255" s="9">
        <f t="shared" ca="1" si="219"/>
        <v>118.3106948762364</v>
      </c>
      <c r="CA255" s="6">
        <f t="shared" ca="1" si="220"/>
        <v>-47.419569051891123</v>
      </c>
      <c r="CB255" s="6">
        <f t="shared" ca="1" si="221"/>
        <v>-0.38120052128261372</v>
      </c>
      <c r="CC255" s="6">
        <f t="shared" ca="1" si="222"/>
        <v>4.5623083509266351E-3</v>
      </c>
      <c r="CD255" s="9">
        <f t="shared" si="223"/>
        <v>130.51069487623639</v>
      </c>
      <c r="CE255" s="9">
        <f t="shared" si="224"/>
        <v>-51.619569051891126</v>
      </c>
      <c r="CF255" s="6">
        <f t="shared" si="225"/>
        <v>-0.37663821293168709</v>
      </c>
      <c r="CG255" s="6"/>
      <c r="CH255" s="6"/>
      <c r="CI255" s="6"/>
      <c r="CJ255" s="1"/>
      <c r="CK255" s="6"/>
    </row>
    <row r="256" spans="55:89" x14ac:dyDescent="0.25">
      <c r="BC256">
        <v>4.4331363000655717</v>
      </c>
      <c r="BD256">
        <v>118.71738136982124</v>
      </c>
      <c r="BE256">
        <v>-47.585042247833613</v>
      </c>
      <c r="BF256" s="6">
        <f t="shared" si="212"/>
        <v>5.9019668524799238</v>
      </c>
      <c r="BG256" s="6">
        <f t="shared" si="213"/>
        <v>1.4688305524143521</v>
      </c>
      <c r="BH256" s="6">
        <f t="shared" si="214"/>
        <v>-3.0919283607660688</v>
      </c>
      <c r="BI256" s="6">
        <f t="shared" si="215"/>
        <v>3.0919283607660688</v>
      </c>
      <c r="BJ256">
        <v>131.9082015220236</v>
      </c>
      <c r="BK256">
        <v>-52.872269164259571</v>
      </c>
      <c r="BV256" s="38"/>
      <c r="BW256" s="6">
        <f t="shared" si="216"/>
        <v>4.2062434973063114</v>
      </c>
      <c r="BX256" s="9">
        <f t="shared" ca="1" si="217"/>
        <v>-7.5438536233873208</v>
      </c>
      <c r="BY256" s="9">
        <f t="shared" ca="1" si="218"/>
        <v>-5.4726933207277995</v>
      </c>
      <c r="BZ256" s="9">
        <f t="shared" ca="1" si="219"/>
        <v>118.3306641307104</v>
      </c>
      <c r="CA256" s="6">
        <f t="shared" ca="1" si="220"/>
        <v>-47.430865905427034</v>
      </c>
      <c r="CB256" s="6">
        <f t="shared" ca="1" si="221"/>
        <v>-0.38122449855660412</v>
      </c>
      <c r="CC256" s="6">
        <f t="shared" ca="1" si="222"/>
        <v>4.5637710238307641E-3</v>
      </c>
      <c r="CD256" s="9">
        <f t="shared" si="223"/>
        <v>130.53066413071039</v>
      </c>
      <c r="CE256" s="9">
        <f t="shared" si="224"/>
        <v>-51.630865905427036</v>
      </c>
      <c r="CF256" s="6">
        <f t="shared" si="225"/>
        <v>-0.37666072753277335</v>
      </c>
      <c r="CG256" s="6"/>
      <c r="CH256" s="6"/>
      <c r="CI256" s="6"/>
      <c r="CJ256" s="1"/>
      <c r="CK256" s="6"/>
    </row>
    <row r="257" spans="55:89" x14ac:dyDescent="0.25">
      <c r="BC257">
        <v>4.4505895925855148</v>
      </c>
      <c r="BD257">
        <v>118.76487313201974</v>
      </c>
      <c r="BE257">
        <v>-47.59820639501973</v>
      </c>
      <c r="BF257" s="6">
        <f t="shared" si="212"/>
        <v>5.9020094500506968</v>
      </c>
      <c r="BG257" s="6">
        <f t="shared" si="213"/>
        <v>1.451419857465182</v>
      </c>
      <c r="BH257" s="6">
        <f t="shared" si="214"/>
        <v>-3.0919709583368418</v>
      </c>
      <c r="BI257" s="6">
        <f t="shared" si="215"/>
        <v>3.0919709583368418</v>
      </c>
      <c r="BJ257">
        <v>131.9609701466886</v>
      </c>
      <c r="BK257">
        <v>-52.886895994466364</v>
      </c>
      <c r="BV257" s="38"/>
      <c r="BW257" s="6">
        <f t="shared" si="216"/>
        <v>4.2236967898262545</v>
      </c>
      <c r="BX257" s="9">
        <f t="shared" ca="1" si="217"/>
        <v>-7.5230192576810992</v>
      </c>
      <c r="BY257" s="9">
        <f t="shared" ca="1" si="218"/>
        <v>-5.4840041246403644</v>
      </c>
      <c r="BZ257" s="9">
        <f t="shared" ca="1" si="219"/>
        <v>118.35149849641662</v>
      </c>
      <c r="CA257" s="6">
        <f t="shared" ca="1" si="220"/>
        <v>-47.442176709339599</v>
      </c>
      <c r="CB257" s="6">
        <f t="shared" ca="1" si="221"/>
        <v>-0.38124604432646486</v>
      </c>
      <c r="CC257" s="6">
        <f t="shared" ca="1" si="222"/>
        <v>4.5649837028531315E-3</v>
      </c>
      <c r="CD257" s="9">
        <f t="shared" si="223"/>
        <v>130.55149849641663</v>
      </c>
      <c r="CE257" s="9">
        <f t="shared" si="224"/>
        <v>-51.642176709339601</v>
      </c>
      <c r="CF257" s="6">
        <f t="shared" si="225"/>
        <v>-0.37668106062361173</v>
      </c>
      <c r="CG257" s="6"/>
      <c r="CH257" s="6"/>
      <c r="CI257" s="6"/>
      <c r="CJ257" s="1"/>
      <c r="CK257" s="6"/>
    </row>
    <row r="258" spans="55:89" x14ac:dyDescent="0.25">
      <c r="BC258">
        <v>4.4680428851054579</v>
      </c>
      <c r="BD258">
        <v>118.8171237957295</v>
      </c>
      <c r="BE258">
        <v>-47.611711674069184</v>
      </c>
      <c r="BF258" s="6">
        <f t="shared" si="212"/>
        <v>5.9020633705732353</v>
      </c>
      <c r="BG258" s="6">
        <f t="shared" si="213"/>
        <v>1.4340204854677774</v>
      </c>
      <c r="BH258" s="6">
        <f t="shared" si="214"/>
        <v>-3.0920248788593803</v>
      </c>
      <c r="BI258" s="6">
        <f t="shared" si="215"/>
        <v>3.0920248788593803</v>
      </c>
      <c r="BJ258">
        <v>132.01902643969945</v>
      </c>
      <c r="BK258">
        <v>-52.901901860076869</v>
      </c>
      <c r="BV258" s="38"/>
      <c r="BW258" s="6">
        <f t="shared" si="216"/>
        <v>4.2411500823461976</v>
      </c>
      <c r="BX258" s="9">
        <f t="shared" ca="1" si="217"/>
        <v>-7.5012342806621035</v>
      </c>
      <c r="BY258" s="9">
        <f t="shared" ca="1" si="218"/>
        <v>-5.4953431890439504</v>
      </c>
      <c r="BZ258" s="9">
        <f t="shared" ca="1" si="219"/>
        <v>118.37328347343562</v>
      </c>
      <c r="CA258" s="6">
        <f t="shared" ca="1" si="220"/>
        <v>-47.453515773743185</v>
      </c>
      <c r="CB258" s="6">
        <f t="shared" ca="1" si="221"/>
        <v>-0.38126501421855374</v>
      </c>
      <c r="CC258" s="6">
        <f t="shared" ca="1" si="222"/>
        <v>4.5659304877535001E-3</v>
      </c>
      <c r="CD258" s="9">
        <f t="shared" si="223"/>
        <v>130.57328347343562</v>
      </c>
      <c r="CE258" s="9">
        <f t="shared" si="224"/>
        <v>-51.653515773743187</v>
      </c>
      <c r="CF258" s="6">
        <f t="shared" si="225"/>
        <v>-0.37669908373080024</v>
      </c>
      <c r="CG258" s="6"/>
      <c r="CH258" s="6"/>
      <c r="CI258" s="6"/>
      <c r="CJ258" s="1"/>
      <c r="CK258" s="6"/>
    </row>
    <row r="259" spans="55:89" x14ac:dyDescent="0.25">
      <c r="BC259">
        <v>4.485496177625401</v>
      </c>
      <c r="BD259">
        <v>118.87504239249562</v>
      </c>
      <c r="BE259">
        <v>-47.625607539340159</v>
      </c>
      <c r="BF259" s="6">
        <f t="shared" ref="BF259:BF322" si="226">IF(BC259&lt;&gt;"",IF(AND(BD259=0,BE259=0),0,MOD(ATAN2(BD259,BE259),2*PI())),NA())</f>
        <v>5.9021308755567672</v>
      </c>
      <c r="BG259" s="6">
        <f t="shared" ref="BG259:BG322" si="227">ABS(BC259-BF259)</f>
        <v>1.4166346979313662</v>
      </c>
      <c r="BH259" s="6">
        <f t="shared" ref="BH259:BH322" si="228">ATAN2(COS($U$13-BF259),SIN($U$13-BF259))</f>
        <v>-3.0920923838429122</v>
      </c>
      <c r="BI259" s="6">
        <f t="shared" ref="BI259:BI322" si="229">ABS(BH259)</f>
        <v>3.0920923838429122</v>
      </c>
      <c r="BJ259">
        <v>132.08338043610624</v>
      </c>
      <c r="BK259">
        <v>-52.917341710377954</v>
      </c>
      <c r="BV259" s="38"/>
      <c r="BW259" s="6">
        <f t="shared" si="216"/>
        <v>4.2586033748661407</v>
      </c>
      <c r="BX259" s="9">
        <f t="shared" ca="1" si="217"/>
        <v>-7.478401962926867</v>
      </c>
      <c r="BY259" s="9">
        <f t="shared" ca="1" si="218"/>
        <v>-5.506725326648791</v>
      </c>
      <c r="BZ259" s="9">
        <f t="shared" ca="1" si="219"/>
        <v>118.39611579117086</v>
      </c>
      <c r="CA259" s="6">
        <f t="shared" ca="1" si="220"/>
        <v>-47.464897911348025</v>
      </c>
      <c r="CB259" s="6">
        <f t="shared" ca="1" si="221"/>
        <v>-0.38128123492121169</v>
      </c>
      <c r="CC259" s="6">
        <f t="shared" ca="1" si="222"/>
        <v>4.5665924958283588E-3</v>
      </c>
      <c r="CD259" s="9">
        <f t="shared" si="223"/>
        <v>130.59611579117086</v>
      </c>
      <c r="CE259" s="9">
        <f t="shared" si="224"/>
        <v>-51.664897911348028</v>
      </c>
      <c r="CF259" s="6">
        <f t="shared" si="225"/>
        <v>-0.37671464242538333</v>
      </c>
      <c r="CG259" s="6"/>
      <c r="CH259" s="6"/>
      <c r="CI259" s="6"/>
      <c r="CJ259" s="1"/>
      <c r="CK259" s="6"/>
    </row>
    <row r="260" spans="55:89" x14ac:dyDescent="0.25">
      <c r="BC260">
        <v>4.5029494701453441</v>
      </c>
      <c r="BD260">
        <v>118.93979805872677</v>
      </c>
      <c r="BE260">
        <v>-47.63995242528965</v>
      </c>
      <c r="BF260" s="6">
        <f t="shared" si="226"/>
        <v>5.9022149071988856</v>
      </c>
      <c r="BG260" s="6">
        <f t="shared" si="227"/>
        <v>1.3992654370535416</v>
      </c>
      <c r="BH260" s="6">
        <f t="shared" si="228"/>
        <v>-3.0921764154850306</v>
      </c>
      <c r="BI260" s="6">
        <f t="shared" si="229"/>
        <v>3.0921764154850306</v>
      </c>
      <c r="BJ260">
        <v>132.15533117636306</v>
      </c>
      <c r="BK260">
        <v>-52.933280472544055</v>
      </c>
      <c r="BV260" s="38"/>
      <c r="BW260" s="6">
        <f t="shared" si="216"/>
        <v>4.2760566673860838</v>
      </c>
      <c r="BX260" s="9">
        <f t="shared" ca="1" si="217"/>
        <v>-7.4544123231784312</v>
      </c>
      <c r="BY260" s="9">
        <f t="shared" ca="1" si="218"/>
        <v>-5.5181659812365496</v>
      </c>
      <c r="BZ260" s="9">
        <f t="shared" ca="1" si="219"/>
        <v>118.42010543091929</v>
      </c>
      <c r="CA260" s="6">
        <f t="shared" ca="1" si="220"/>
        <v>-47.476338565935784</v>
      </c>
      <c r="CB260" s="6">
        <f t="shared" ca="1" si="221"/>
        <v>-0.38129449927284775</v>
      </c>
      <c r="CC260" s="6">
        <f t="shared" ca="1" si="222"/>
        <v>4.5669473539787786E-3</v>
      </c>
      <c r="CD260" s="9">
        <f t="shared" si="223"/>
        <v>130.6201054309193</v>
      </c>
      <c r="CE260" s="9">
        <f t="shared" si="224"/>
        <v>-51.676338565935787</v>
      </c>
      <c r="CF260" s="6">
        <f t="shared" si="225"/>
        <v>-0.37672755191886897</v>
      </c>
      <c r="CG260" s="6"/>
      <c r="CH260" s="6"/>
      <c r="CI260" s="6"/>
      <c r="CJ260" s="1"/>
      <c r="CK260" s="6"/>
    </row>
    <row r="261" spans="55:89" x14ac:dyDescent="0.25">
      <c r="BC261">
        <v>4.5204027626652872</v>
      </c>
      <c r="BD261">
        <v>119.01292429951236</v>
      </c>
      <c r="BE261">
        <v>-47.654816457439168</v>
      </c>
      <c r="BF261" s="6">
        <f t="shared" si="226"/>
        <v>5.9023193661410076</v>
      </c>
      <c r="BG261" s="6">
        <f t="shared" si="227"/>
        <v>1.3819166034757204</v>
      </c>
      <c r="BH261" s="6">
        <f t="shared" si="228"/>
        <v>-3.0922808744271526</v>
      </c>
      <c r="BI261" s="6">
        <f t="shared" si="229"/>
        <v>3.0922808744271526</v>
      </c>
      <c r="BJ261">
        <v>132.23658255501374</v>
      </c>
      <c r="BK261">
        <v>-52.949796063821296</v>
      </c>
      <c r="BV261" s="38"/>
      <c r="BW261" s="6">
        <f t="shared" si="216"/>
        <v>4.2935099599060269</v>
      </c>
      <c r="BX261" s="9">
        <f t="shared" ca="1" si="217"/>
        <v>-7.4291396569066421</v>
      </c>
      <c r="BY261" s="9">
        <f t="shared" ca="1" si="218"/>
        <v>-5.5296813783237653</v>
      </c>
      <c r="BZ261" s="9">
        <f t="shared" ca="1" si="219"/>
        <v>118.44537809719108</v>
      </c>
      <c r="CA261" s="6">
        <f t="shared" ca="1" si="220"/>
        <v>-47.487853963022999</v>
      </c>
      <c r="CB261" s="6">
        <f t="shared" ca="1" si="221"/>
        <v>-0.38130456021806763</v>
      </c>
      <c r="CC261" s="6">
        <f t="shared" ca="1" si="222"/>
        <v>4.5669685746465016E-3</v>
      </c>
      <c r="CD261" s="9">
        <f t="shared" si="223"/>
        <v>130.64537809719107</v>
      </c>
      <c r="CE261" s="9">
        <f t="shared" si="224"/>
        <v>-51.687853963023002</v>
      </c>
      <c r="CF261" s="6">
        <f t="shared" si="225"/>
        <v>-0.37673759164342113</v>
      </c>
      <c r="CG261" s="6"/>
      <c r="CH261" s="6"/>
      <c r="CI261" s="6"/>
      <c r="CJ261" s="1"/>
      <c r="CK261" s="6"/>
    </row>
    <row r="262" spans="55:89" x14ac:dyDescent="0.25">
      <c r="BC262">
        <v>4.5378560551852303</v>
      </c>
      <c r="BD262">
        <v>119.09647930904904</v>
      </c>
      <c r="BE262">
        <v>-47.670285306463157</v>
      </c>
      <c r="BF262" s="6">
        <f t="shared" si="226"/>
        <v>5.9024495400223449</v>
      </c>
      <c r="BG262" s="6">
        <f t="shared" si="227"/>
        <v>1.3645934848371146</v>
      </c>
      <c r="BH262" s="6">
        <f t="shared" si="228"/>
        <v>-3.0924110483084899</v>
      </c>
      <c r="BI262" s="6">
        <f t="shared" si="229"/>
        <v>3.0924110483084899</v>
      </c>
      <c r="BJ262">
        <v>132.32942145449894</v>
      </c>
      <c r="BK262">
        <v>-52.966983673847949</v>
      </c>
      <c r="BV262" s="38"/>
      <c r="BW262" s="6">
        <f t="shared" si="216"/>
        <v>4.31096325242597</v>
      </c>
      <c r="BX262" s="9">
        <f t="shared" ca="1" si="217"/>
        <v>-7.4024394709232979</v>
      </c>
      <c r="BY262" s="9">
        <f t="shared" ca="1" si="218"/>
        <v>-5.5412886940670489</v>
      </c>
      <c r="BZ262" s="9">
        <f t="shared" ca="1" si="219"/>
        <v>118.47207828317443</v>
      </c>
      <c r="CA262" s="6">
        <f t="shared" ca="1" si="220"/>
        <v>-47.499461278766283</v>
      </c>
      <c r="CB262" s="6">
        <f t="shared" ca="1" si="221"/>
        <v>-0.38131112318451071</v>
      </c>
      <c r="CC262" s="6">
        <f t="shared" ca="1" si="222"/>
        <v>4.5666247707653049E-3</v>
      </c>
      <c r="CD262" s="9">
        <f t="shared" si="223"/>
        <v>130.67207828317441</v>
      </c>
      <c r="CE262" s="9">
        <f t="shared" si="224"/>
        <v>-51.699461278766286</v>
      </c>
      <c r="CF262" s="6">
        <f t="shared" si="225"/>
        <v>-0.37674449841374541</v>
      </c>
      <c r="CG262" s="6"/>
      <c r="CH262" s="6"/>
      <c r="CI262" s="6"/>
      <c r="CJ262" s="1"/>
      <c r="CK262" s="6"/>
    </row>
    <row r="263" spans="55:89" x14ac:dyDescent="0.25">
      <c r="BC263">
        <v>4.5553093477051734</v>
      </c>
      <c r="BD263">
        <v>119.19330188019337</v>
      </c>
      <c r="BE263">
        <v>-47.686465819210675</v>
      </c>
      <c r="BF263" s="6">
        <f t="shared" si="226"/>
        <v>5.9026127898575274</v>
      </c>
      <c r="BG263" s="6">
        <f t="shared" si="227"/>
        <v>1.347303442152354</v>
      </c>
      <c r="BH263" s="6">
        <f t="shared" si="228"/>
        <v>-3.0925742981436724</v>
      </c>
      <c r="BI263" s="6">
        <f t="shared" si="229"/>
        <v>3.0925742981436724</v>
      </c>
      <c r="BJ263">
        <v>132.43700208910374</v>
      </c>
      <c r="BK263">
        <v>-52.98496202134519</v>
      </c>
      <c r="BV263" s="38"/>
      <c r="BW263" s="6">
        <f t="shared" si="216"/>
        <v>4.3284165449459131</v>
      </c>
      <c r="BX263" s="9">
        <f t="shared" ca="1" si="217"/>
        <v>-7.3741446720849808</v>
      </c>
      <c r="BY263" s="9">
        <f t="shared" ca="1" si="218"/>
        <v>-5.5530062583205009</v>
      </c>
      <c r="BZ263" s="9">
        <f t="shared" ca="1" si="219"/>
        <v>118.50037308201274</v>
      </c>
      <c r="CA263" s="6">
        <f t="shared" ca="1" si="220"/>
        <v>-47.511178843019735</v>
      </c>
      <c r="CB263" s="6">
        <f t="shared" ca="1" si="221"/>
        <v>-0.38131383656146289</v>
      </c>
      <c r="CC263" s="6">
        <f t="shared" ca="1" si="222"/>
        <v>4.5658786764393167E-3</v>
      </c>
      <c r="CD263" s="9">
        <f t="shared" si="223"/>
        <v>130.70037308201273</v>
      </c>
      <c r="CE263" s="9">
        <f t="shared" si="224"/>
        <v>-51.711178843019738</v>
      </c>
      <c r="CF263" s="6">
        <f t="shared" si="225"/>
        <v>-0.37674795788502358</v>
      </c>
      <c r="CG263" s="6"/>
      <c r="CH263" s="6"/>
      <c r="CI263" s="6"/>
      <c r="CJ263" s="1"/>
      <c r="CK263" s="6"/>
    </row>
    <row r="264" spans="55:89" x14ac:dyDescent="0.25">
      <c r="BC264">
        <v>4.5727626402251165</v>
      </c>
      <c r="BD264">
        <v>119.30743847130067</v>
      </c>
      <c r="BE264">
        <v>-47.703494554999459</v>
      </c>
      <c r="BF264" s="6">
        <f t="shared" si="226"/>
        <v>5.9028196988887096</v>
      </c>
      <c r="BG264" s="6">
        <f t="shared" si="227"/>
        <v>1.3300570586635931</v>
      </c>
      <c r="BH264" s="6">
        <f t="shared" si="228"/>
        <v>-3.0927812071748546</v>
      </c>
      <c r="BI264" s="6">
        <f t="shared" si="229"/>
        <v>3.0927812071748546</v>
      </c>
      <c r="BJ264">
        <v>132.5638205236674</v>
      </c>
      <c r="BK264">
        <v>-53.003882838888288</v>
      </c>
      <c r="BV264" s="38"/>
      <c r="BW264" s="6">
        <f t="shared" si="216"/>
        <v>4.3458698374658562</v>
      </c>
      <c r="BX264" s="9">
        <f t="shared" ca="1" si="217"/>
        <v>-7.3440607585357753</v>
      </c>
      <c r="BY264" s="9">
        <f t="shared" ca="1" si="218"/>
        <v>-5.5648537894907335</v>
      </c>
      <c r="BZ264" s="9">
        <f t="shared" ca="1" si="219"/>
        <v>118.53045699556195</v>
      </c>
      <c r="CA264" s="6">
        <f t="shared" ca="1" si="220"/>
        <v>-47.523026374189968</v>
      </c>
      <c r="CB264" s="6">
        <f t="shared" ca="1" si="221"/>
        <v>-0.38131227953998187</v>
      </c>
      <c r="CC264" s="6">
        <f t="shared" ca="1" si="222"/>
        <v>4.5646858989183414E-3</v>
      </c>
      <c r="CD264" s="9">
        <f t="shared" si="223"/>
        <v>130.73045699556195</v>
      </c>
      <c r="CE264" s="9">
        <f t="shared" si="224"/>
        <v>-51.723026374189971</v>
      </c>
      <c r="CF264" s="6">
        <f t="shared" si="225"/>
        <v>-0.37674759364106353</v>
      </c>
      <c r="CG264" s="6"/>
      <c r="CH264" s="6"/>
      <c r="CI264" s="6"/>
      <c r="CJ264" s="1"/>
      <c r="CK264" s="6"/>
    </row>
    <row r="265" spans="55:89" x14ac:dyDescent="0.25">
      <c r="BC265">
        <v>4.5902159327450596</v>
      </c>
      <c r="BD265">
        <v>119.44489551634554</v>
      </c>
      <c r="BE265">
        <v>-47.721551327916821</v>
      </c>
      <c r="BF265" s="6">
        <f t="shared" si="226"/>
        <v>5.9030861013937965</v>
      </c>
      <c r="BG265" s="6">
        <f t="shared" si="227"/>
        <v>1.312870168648737</v>
      </c>
      <c r="BH265" s="6">
        <f t="shared" si="228"/>
        <v>-3.0930476096799415</v>
      </c>
      <c r="BI265" s="6">
        <f t="shared" si="229"/>
        <v>3.0930476096799415</v>
      </c>
      <c r="BJ265">
        <v>132.71655057371726</v>
      </c>
      <c r="BK265">
        <v>-53.023945919907575</v>
      </c>
      <c r="BV265" s="38"/>
      <c r="BW265" s="6">
        <f t="shared" si="216"/>
        <v>4.3633231299857993</v>
      </c>
      <c r="BX265" s="9">
        <f t="shared" ca="1" si="217"/>
        <v>-7.3119597042778679</v>
      </c>
      <c r="BY265" s="9">
        <f t="shared" ca="1" si="218"/>
        <v>-5.5768526754773688</v>
      </c>
      <c r="BZ265" s="9">
        <f t="shared" ca="1" si="219"/>
        <v>118.56255804981986</v>
      </c>
      <c r="CA265" s="6">
        <f t="shared" ca="1" si="220"/>
        <v>-47.535025260176603</v>
      </c>
      <c r="CB265" s="6">
        <f t="shared" ca="1" si="221"/>
        <v>-0.38130594653238248</v>
      </c>
      <c r="CC265" s="6">
        <f t="shared" ca="1" si="222"/>
        <v>4.5629933221159047E-3</v>
      </c>
      <c r="CD265" s="9">
        <f t="shared" si="223"/>
        <v>130.76255804981986</v>
      </c>
      <c r="CE265" s="9">
        <f t="shared" si="224"/>
        <v>-51.735025260176606</v>
      </c>
      <c r="CF265" s="6">
        <f t="shared" si="225"/>
        <v>-0.37674295321026657</v>
      </c>
      <c r="CG265" s="6"/>
      <c r="CH265" s="6"/>
      <c r="CI265" s="6"/>
      <c r="CJ265" s="1"/>
      <c r="CK265" s="6"/>
    </row>
    <row r="266" spans="55:89" x14ac:dyDescent="0.25">
      <c r="BC266">
        <v>4.6076692252650027</v>
      </c>
      <c r="BD266">
        <v>119.61505717418578</v>
      </c>
      <c r="BE266">
        <v>-47.740881855385545</v>
      </c>
      <c r="BF266" s="6">
        <f t="shared" si="226"/>
        <v>5.9034369138135929</v>
      </c>
      <c r="BG266" s="6">
        <f t="shared" si="227"/>
        <v>1.2957676885485903</v>
      </c>
      <c r="BH266" s="6">
        <f t="shared" si="228"/>
        <v>-3.0933984220997379</v>
      </c>
      <c r="BI266" s="6">
        <f t="shared" si="229"/>
        <v>3.0933984220997379</v>
      </c>
      <c r="BJ266">
        <v>132.90561908242864</v>
      </c>
      <c r="BK266">
        <v>-53.045424283761719</v>
      </c>
      <c r="BV266" s="38"/>
      <c r="BW266" s="6">
        <f t="shared" si="216"/>
        <v>4.3807764225057424</v>
      </c>
      <c r="BX266" s="9">
        <f t="shared" ca="1" si="217"/>
        <v>-7.2775721087021736</v>
      </c>
      <c r="BY266" s="9">
        <f t="shared" ca="1" si="218"/>
        <v>-5.589026321054142</v>
      </c>
      <c r="BZ266" s="9">
        <f t="shared" ca="1" si="219"/>
        <v>118.59694564539555</v>
      </c>
      <c r="CA266" s="6">
        <f t="shared" ca="1" si="220"/>
        <v>-47.547198905753376</v>
      </c>
      <c r="CB266" s="6">
        <f t="shared" ca="1" si="221"/>
        <v>-0.38129422709254718</v>
      </c>
      <c r="CC266" s="6">
        <f t="shared" ca="1" si="222"/>
        <v>4.5607370517315457E-3</v>
      </c>
      <c r="CD266" s="9">
        <f t="shared" si="223"/>
        <v>130.79694564539554</v>
      </c>
      <c r="CE266" s="9">
        <f t="shared" si="224"/>
        <v>-51.747198905753379</v>
      </c>
      <c r="CF266" s="6">
        <f t="shared" si="225"/>
        <v>-0.37673349004081563</v>
      </c>
      <c r="CG266" s="6"/>
      <c r="CH266" s="6"/>
      <c r="CI266" s="6"/>
      <c r="CJ266" s="1"/>
      <c r="CK266" s="6"/>
    </row>
    <row r="267" spans="55:89" x14ac:dyDescent="0.25">
      <c r="BC267">
        <v>4.6251225177849458</v>
      </c>
      <c r="BD267">
        <v>119.83359852510422</v>
      </c>
      <c r="BE267">
        <v>-47.761838397891914</v>
      </c>
      <c r="BF267" s="6">
        <f t="shared" si="226"/>
        <v>5.9039140170306004</v>
      </c>
      <c r="BG267" s="6">
        <f t="shared" si="227"/>
        <v>1.2787914992456546</v>
      </c>
      <c r="BH267" s="6">
        <f t="shared" si="228"/>
        <v>-3.0938755253167454</v>
      </c>
      <c r="BI267" s="6">
        <f t="shared" si="229"/>
        <v>3.0938755253167454</v>
      </c>
      <c r="BJ267">
        <v>133.14844280567135</v>
      </c>
      <c r="BK267">
        <v>-53.068709330991013</v>
      </c>
      <c r="BV267" s="38"/>
      <c r="BW267" s="6">
        <f t="shared" si="216"/>
        <v>4.3982297150256855</v>
      </c>
      <c r="BX267" s="9">
        <f t="shared" ca="1" si="217"/>
        <v>-7.2405769617590607</v>
      </c>
      <c r="BY267" s="9">
        <f t="shared" ca="1" si="218"/>
        <v>-5.6014005660090902</v>
      </c>
      <c r="BZ267" s="9">
        <f t="shared" ca="1" si="219"/>
        <v>118.63394079233866</v>
      </c>
      <c r="CA267" s="6">
        <f t="shared" ca="1" si="220"/>
        <v>-47.559573150708324</v>
      </c>
      <c r="CB267" s="6">
        <f t="shared" ca="1" si="221"/>
        <v>-0.38127637950876941</v>
      </c>
      <c r="CC267" s="6">
        <f t="shared" ca="1" si="222"/>
        <v>4.5578397178496757E-3</v>
      </c>
      <c r="CD267" s="9">
        <f t="shared" si="223"/>
        <v>130.83394079233867</v>
      </c>
      <c r="CE267" s="9">
        <f t="shared" si="224"/>
        <v>-51.759573150708327</v>
      </c>
      <c r="CF267" s="6">
        <f t="shared" si="225"/>
        <v>-0.37671853979091974</v>
      </c>
      <c r="CG267" s="6"/>
      <c r="CH267" s="6"/>
      <c r="CI267" s="6"/>
      <c r="CJ267" s="1"/>
      <c r="CK267" s="6"/>
    </row>
    <row r="268" spans="55:89" x14ac:dyDescent="0.25">
      <c r="BC268">
        <v>4.6425758103048889</v>
      </c>
      <c r="BD268">
        <v>120.12920579811332</v>
      </c>
      <c r="BE268">
        <v>-47.784959730535789</v>
      </c>
      <c r="BF268" s="6">
        <f t="shared" si="226"/>
        <v>5.9045944439468139</v>
      </c>
      <c r="BG268" s="6">
        <f t="shared" si="227"/>
        <v>1.262018633641925</v>
      </c>
      <c r="BH268" s="6">
        <f t="shared" si="228"/>
        <v>-3.0945559522329589</v>
      </c>
      <c r="BI268" s="6">
        <f t="shared" si="229"/>
        <v>3.0945559522329589</v>
      </c>
      <c r="BJ268">
        <v>133.47689533123702</v>
      </c>
      <c r="BK268">
        <v>-53.094399700595318</v>
      </c>
      <c r="BV268" s="38"/>
      <c r="BW268" s="6">
        <f t="shared" si="216"/>
        <v>4.4156830075456286</v>
      </c>
      <c r="BX268" s="9">
        <f t="shared" ca="1" si="217"/>
        <v>-7.2005881488371131</v>
      </c>
      <c r="BY268" s="9">
        <f t="shared" ca="1" si="218"/>
        <v>-5.6140042081018535</v>
      </c>
      <c r="BZ268" s="9">
        <f t="shared" ca="1" si="219"/>
        <v>118.67392960526061</v>
      </c>
      <c r="CA268" s="6">
        <f t="shared" ca="1" si="220"/>
        <v>-47.572176792801088</v>
      </c>
      <c r="CB268" s="6">
        <f t="shared" ca="1" si="221"/>
        <v>-0.38125149581342116</v>
      </c>
      <c r="CC268" s="6">
        <f t="shared" ca="1" si="222"/>
        <v>4.5542069061040302E-3</v>
      </c>
      <c r="CD268" s="9">
        <f t="shared" si="223"/>
        <v>130.8739296052606</v>
      </c>
      <c r="CE268" s="9">
        <f t="shared" si="224"/>
        <v>-51.772176792801091</v>
      </c>
      <c r="CF268" s="6">
        <f t="shared" si="225"/>
        <v>-0.37669728890731713</v>
      </c>
      <c r="CG268" s="6"/>
      <c r="CH268" s="6"/>
      <c r="CI268" s="6"/>
      <c r="CJ268" s="1"/>
      <c r="CK268" s="6"/>
    </row>
    <row r="269" spans="55:89" x14ac:dyDescent="0.25">
      <c r="BC269">
        <v>4.660029102824832</v>
      </c>
      <c r="BD269">
        <v>120.56184427181765</v>
      </c>
      <c r="BE269">
        <v>-47.811150296520282</v>
      </c>
      <c r="BF269" s="6">
        <f t="shared" si="226"/>
        <v>5.9056397514981027</v>
      </c>
      <c r="BG269" s="6">
        <f t="shared" si="227"/>
        <v>1.2456106486732708</v>
      </c>
      <c r="BH269" s="6">
        <f t="shared" si="228"/>
        <v>-3.0956012597842477</v>
      </c>
      <c r="BI269" s="6">
        <f t="shared" si="229"/>
        <v>3.0956012597842477</v>
      </c>
      <c r="BJ269">
        <v>133.95760474646406</v>
      </c>
      <c r="BK269">
        <v>-53.123500329466978</v>
      </c>
      <c r="BV269" s="38"/>
      <c r="BW269" s="6">
        <f t="shared" si="216"/>
        <v>4.4331363000655717</v>
      </c>
      <c r="BX269" s="9">
        <f t="shared" ca="1" si="217"/>
        <v>-7.1571363842764839</v>
      </c>
      <c r="BY269" s="9">
        <f t="shared" ca="1" si="218"/>
        <v>-5.6268696631343786</v>
      </c>
      <c r="BZ269" s="9">
        <f t="shared" ca="1" si="219"/>
        <v>118.71738136982124</v>
      </c>
      <c r="CA269" s="6">
        <f t="shared" ca="1" si="220"/>
        <v>-47.585042247833613</v>
      </c>
      <c r="CB269" s="6">
        <f t="shared" ca="1" si="221"/>
        <v>-0.38121845469966209</v>
      </c>
      <c r="CC269" s="6">
        <f t="shared" ca="1" si="222"/>
        <v>4.5497223629649688E-3</v>
      </c>
      <c r="CD269" s="9">
        <f t="shared" si="223"/>
        <v>130.91738136982124</v>
      </c>
      <c r="CE269" s="9">
        <f t="shared" si="224"/>
        <v>-51.785042247833616</v>
      </c>
      <c r="CF269" s="6">
        <f t="shared" si="225"/>
        <v>-0.37666873233669712</v>
      </c>
      <c r="CG269" s="6"/>
      <c r="CH269" s="6"/>
      <c r="CI269" s="6"/>
      <c r="CJ269" s="1"/>
      <c r="CK269" s="6"/>
    </row>
    <row r="270" spans="55:89" x14ac:dyDescent="0.25">
      <c r="BC270">
        <v>4.6774823953447751</v>
      </c>
      <c r="BD270">
        <v>121.28693996948407</v>
      </c>
      <c r="BE270">
        <v>-47.842169819416938</v>
      </c>
      <c r="BF270" s="6">
        <f t="shared" si="226"/>
        <v>5.9074687234417915</v>
      </c>
      <c r="BG270" s="6">
        <f t="shared" si="227"/>
        <v>1.2299863280970165</v>
      </c>
      <c r="BH270" s="6">
        <f t="shared" si="228"/>
        <v>-3.0974302317279365</v>
      </c>
      <c r="BI270" s="6">
        <f t="shared" si="229"/>
        <v>3.0974302317279365</v>
      </c>
      <c r="BJ270">
        <v>134.76326663276006</v>
      </c>
      <c r="BK270">
        <v>-53.15796646601882</v>
      </c>
      <c r="BV270" s="38"/>
      <c r="BW270" s="6">
        <f t="shared" si="216"/>
        <v>4.4505895925855148</v>
      </c>
      <c r="BX270" s="9">
        <f t="shared" ca="1" si="217"/>
        <v>-7.1096446220779796</v>
      </c>
      <c r="BY270" s="9">
        <f t="shared" ca="1" si="218"/>
        <v>-5.6400338103204959</v>
      </c>
      <c r="BZ270" s="9">
        <f t="shared" ca="1" si="219"/>
        <v>118.76487313201974</v>
      </c>
      <c r="CA270" s="6">
        <f t="shared" ca="1" si="220"/>
        <v>-47.59820639501973</v>
      </c>
      <c r="CB270" s="6">
        <f t="shared" ca="1" si="221"/>
        <v>-0.38117585712888941</v>
      </c>
      <c r="CC270" s="6">
        <f t="shared" ca="1" si="222"/>
        <v>4.5442414489120222E-3</v>
      </c>
      <c r="CD270" s="9">
        <f t="shared" si="223"/>
        <v>130.96487313201973</v>
      </c>
      <c r="CE270" s="9">
        <f t="shared" si="224"/>
        <v>-51.798206395019733</v>
      </c>
      <c r="CF270" s="6">
        <f t="shared" si="225"/>
        <v>-0.37663161567997738</v>
      </c>
      <c r="CG270" s="6"/>
      <c r="CH270" s="6"/>
      <c r="CI270" s="6"/>
      <c r="CJ270" s="1"/>
      <c r="CK270" s="6"/>
    </row>
    <row r="271" spans="55:89" x14ac:dyDescent="0.25">
      <c r="BC271">
        <v>4.6949356878647182</v>
      </c>
      <c r="BD271">
        <v>122.92266656123917</v>
      </c>
      <c r="BE271">
        <v>-47.882554192932211</v>
      </c>
      <c r="BF271" s="6">
        <f t="shared" si="226"/>
        <v>5.9117338027666175</v>
      </c>
      <c r="BG271" s="6">
        <f t="shared" si="227"/>
        <v>1.2167981149018994</v>
      </c>
      <c r="BH271" s="6">
        <f t="shared" si="228"/>
        <v>-3.1016953110527625</v>
      </c>
      <c r="BI271" s="6">
        <f t="shared" si="229"/>
        <v>3.1016953110527625</v>
      </c>
      <c r="BJ271">
        <v>136.58074062359907</v>
      </c>
      <c r="BK271">
        <v>-53.202837992146897</v>
      </c>
      <c r="BV271" s="38"/>
      <c r="BW271" s="6">
        <f t="shared" si="216"/>
        <v>4.4680428851054579</v>
      </c>
      <c r="BX271" s="9">
        <f t="shared" ca="1" si="217"/>
        <v>-7.0573939583682233</v>
      </c>
      <c r="BY271" s="9">
        <f t="shared" ca="1" si="218"/>
        <v>-5.65353908936995</v>
      </c>
      <c r="BZ271" s="9">
        <f t="shared" ca="1" si="219"/>
        <v>118.8171237957295</v>
      </c>
      <c r="CA271" s="6">
        <f t="shared" ca="1" si="220"/>
        <v>-47.611711674069184</v>
      </c>
      <c r="CB271" s="6">
        <f t="shared" ca="1" si="221"/>
        <v>-0.38112193660635074</v>
      </c>
      <c r="CC271" s="6">
        <f t="shared" ca="1" si="222"/>
        <v>4.5375820315879936E-3</v>
      </c>
      <c r="CD271" s="9">
        <f t="shared" si="223"/>
        <v>131.0171237957295</v>
      </c>
      <c r="CE271" s="9">
        <f t="shared" si="224"/>
        <v>-51.811711674069187</v>
      </c>
      <c r="CF271" s="6">
        <f t="shared" si="225"/>
        <v>-0.37658435457476275</v>
      </c>
      <c r="CG271" s="6"/>
      <c r="CH271" s="6"/>
      <c r="CI271" s="6"/>
      <c r="CJ271" s="1"/>
      <c r="CK271" s="6"/>
    </row>
    <row r="272" spans="55:89" x14ac:dyDescent="0.25">
      <c r="BC272">
        <v>4.7123889803846613</v>
      </c>
      <c r="BD272">
        <v>127.97999999998966</v>
      </c>
      <c r="BE272">
        <v>-47.926276407553352</v>
      </c>
      <c r="BF272" s="6">
        <f t="shared" si="226"/>
        <v>5.9248683712013417</v>
      </c>
      <c r="BG272" s="6">
        <f t="shared" si="227"/>
        <v>1.2124793908166804</v>
      </c>
      <c r="BH272" s="6">
        <f t="shared" si="228"/>
        <v>-3.1148298794874867</v>
      </c>
      <c r="BI272" s="6">
        <f t="shared" si="229"/>
        <v>3.1148298794874867</v>
      </c>
      <c r="BJ272">
        <v>142.19999999998851</v>
      </c>
      <c r="BK272">
        <v>-53.251418230614831</v>
      </c>
      <c r="BV272" s="38"/>
      <c r="BW272" s="6">
        <f t="shared" ref="BW272:BW335" si="230">BC259</f>
        <v>4.485496177625401</v>
      </c>
      <c r="BX272" s="9">
        <f t="shared" ref="BX272:BX335" ca="1" si="231">BD259-$BW$5</f>
        <v>-6.9994753616021086</v>
      </c>
      <c r="BY272" s="9">
        <f t="shared" ref="BY272:BY335" ca="1" si="232">BE259-$BX$5</f>
        <v>-5.6674349546409246</v>
      </c>
      <c r="BZ272" s="9">
        <f t="shared" ref="BZ272:BZ335" ca="1" si="233">BX272-$CE$5</f>
        <v>118.87504239249562</v>
      </c>
      <c r="CA272" s="6">
        <f t="shared" ref="CA272:CA335" ca="1" si="234">BY272-$CF$5</f>
        <v>-47.625607539340159</v>
      </c>
      <c r="CB272" s="6">
        <f t="shared" ref="CB272:CB335" ca="1" si="235">ATAN2(BZ272,CA272)</f>
        <v>-0.38105443162281927</v>
      </c>
      <c r="CC272" s="6">
        <f t="shared" ref="CC272:CC335" ca="1" si="236">ATAN2(COS(CF272-CB272),SIN(CF272-CB272))</f>
        <v>4.5295115613728787E-3</v>
      </c>
      <c r="CD272" s="9">
        <f t="shared" ref="CD272:CD335" si="237">BD259-$BW$6</f>
        <v>131.07504239249562</v>
      </c>
      <c r="CE272" s="9">
        <f t="shared" ref="CE272:CE335" si="238">BE259-$BX$6</f>
        <v>-51.825607539340162</v>
      </c>
      <c r="CF272" s="6">
        <f t="shared" ref="CF272:CF335" si="239">ATAN2(CD272,CE272)</f>
        <v>-0.37652492006144639</v>
      </c>
      <c r="CG272" s="6"/>
      <c r="CH272" s="6"/>
      <c r="CI272" s="6"/>
      <c r="CJ272" s="1"/>
      <c r="CK272" s="6"/>
    </row>
    <row r="273" spans="55:89" x14ac:dyDescent="0.25">
      <c r="BC273">
        <v>4.7298422729046044</v>
      </c>
      <c r="BD273">
        <v>133.03733343864306</v>
      </c>
      <c r="BE273">
        <v>-47.88255419268517</v>
      </c>
      <c r="BF273" s="6">
        <f t="shared" si="226"/>
        <v>5.9377021660679903</v>
      </c>
      <c r="BG273" s="6">
        <f t="shared" si="227"/>
        <v>1.2078598931633859</v>
      </c>
      <c r="BH273" s="6">
        <f t="shared" si="228"/>
        <v>-3.1276636743541353</v>
      </c>
      <c r="BI273" s="6">
        <f t="shared" si="229"/>
        <v>3.1276636743541353</v>
      </c>
      <c r="BJ273">
        <v>147.81925937627005</v>
      </c>
      <c r="BK273">
        <v>-53.202837991872407</v>
      </c>
      <c r="BV273" s="38"/>
      <c r="BW273" s="6">
        <f t="shared" si="230"/>
        <v>4.5029494701453441</v>
      </c>
      <c r="BX273" s="9">
        <f t="shared" ca="1" si="231"/>
        <v>-6.9347196953709584</v>
      </c>
      <c r="BY273" s="9">
        <f t="shared" ca="1" si="232"/>
        <v>-5.6817798405904156</v>
      </c>
      <c r="BZ273" s="9">
        <f t="shared" ca="1" si="233"/>
        <v>118.93979805872677</v>
      </c>
      <c r="CA273" s="6">
        <f t="shared" ca="1" si="234"/>
        <v>-47.63995242528965</v>
      </c>
      <c r="CB273" s="6">
        <f t="shared" ca="1" si="235"/>
        <v>-0.38097039998070015</v>
      </c>
      <c r="CC273" s="6">
        <f t="shared" ca="1" si="236"/>
        <v>4.5197282931381819E-3</v>
      </c>
      <c r="CD273" s="9">
        <f t="shared" si="237"/>
        <v>131.13979805872677</v>
      </c>
      <c r="CE273" s="9">
        <f t="shared" si="238"/>
        <v>-51.839952425289653</v>
      </c>
      <c r="CF273" s="6">
        <f t="shared" si="239"/>
        <v>-0.37645067168756197</v>
      </c>
      <c r="CG273" s="6"/>
      <c r="CH273" s="6"/>
      <c r="CI273" s="6"/>
      <c r="CJ273" s="1"/>
      <c r="CK273" s="6"/>
    </row>
    <row r="274" spans="55:89" x14ac:dyDescent="0.25">
      <c r="BC274">
        <v>4.7472955654245474</v>
      </c>
      <c r="BD274">
        <v>134.67306002989687</v>
      </c>
      <c r="BE274">
        <v>-47.842169818749902</v>
      </c>
      <c r="BF274" s="6">
        <f t="shared" si="226"/>
        <v>5.9418439717796474</v>
      </c>
      <c r="BG274" s="6">
        <f t="shared" si="227"/>
        <v>1.1945484063551</v>
      </c>
      <c r="BH274" s="6">
        <f t="shared" si="228"/>
        <v>-3.1318054800657924</v>
      </c>
      <c r="BI274" s="6">
        <f t="shared" si="229"/>
        <v>3.1318054800657924</v>
      </c>
      <c r="BJ274">
        <v>149.63673336655208</v>
      </c>
      <c r="BK274">
        <v>-53.157966465277667</v>
      </c>
      <c r="BV274" s="38"/>
      <c r="BW274" s="6">
        <f t="shared" si="230"/>
        <v>4.5204027626652872</v>
      </c>
      <c r="BX274" s="9">
        <f t="shared" ca="1" si="231"/>
        <v>-6.8615934545853605</v>
      </c>
      <c r="BY274" s="9">
        <f t="shared" ca="1" si="232"/>
        <v>-5.6966438727399336</v>
      </c>
      <c r="BZ274" s="9">
        <f t="shared" ca="1" si="233"/>
        <v>119.01292429951236</v>
      </c>
      <c r="CA274" s="6">
        <f t="shared" ca="1" si="234"/>
        <v>-47.654816457439168</v>
      </c>
      <c r="CB274" s="6">
        <f t="shared" ca="1" si="235"/>
        <v>-0.38086594103857857</v>
      </c>
      <c r="CC274" s="6">
        <f t="shared" ca="1" si="236"/>
        <v>4.5078332507231811E-3</v>
      </c>
      <c r="CD274" s="9">
        <f t="shared" si="237"/>
        <v>131.21292429951237</v>
      </c>
      <c r="CE274" s="9">
        <f t="shared" si="238"/>
        <v>-51.854816457439171</v>
      </c>
      <c r="CF274" s="6">
        <f t="shared" si="239"/>
        <v>-0.37635810778785539</v>
      </c>
      <c r="CG274" s="6"/>
      <c r="CH274" s="6"/>
      <c r="CI274" s="6"/>
      <c r="CJ274" s="1"/>
      <c r="CK274" s="6"/>
    </row>
    <row r="275" spans="55:89" x14ac:dyDescent="0.25">
      <c r="BC275">
        <v>4.7647488579444905</v>
      </c>
      <c r="BD275">
        <v>135.39815572844276</v>
      </c>
      <c r="BE275">
        <v>-47.81115029674924</v>
      </c>
      <c r="BF275" s="6">
        <f t="shared" si="226"/>
        <v>5.9437379313992471</v>
      </c>
      <c r="BG275" s="6">
        <f t="shared" si="227"/>
        <v>1.1789890734547566</v>
      </c>
      <c r="BH275" s="6">
        <f t="shared" si="228"/>
        <v>-3.1336994396853921</v>
      </c>
      <c r="BI275" s="6">
        <f t="shared" si="229"/>
        <v>3.1336994396853921</v>
      </c>
      <c r="BJ275">
        <v>150.44239525382528</v>
      </c>
      <c r="BK275">
        <v>-53.123500329721374</v>
      </c>
      <c r="BV275" s="38"/>
      <c r="BW275" s="6">
        <f t="shared" si="230"/>
        <v>4.5378560551852303</v>
      </c>
      <c r="BX275" s="9">
        <f t="shared" ca="1" si="231"/>
        <v>-6.7780384450486793</v>
      </c>
      <c r="BY275" s="9">
        <f t="shared" ca="1" si="232"/>
        <v>-5.7121127217639227</v>
      </c>
      <c r="BZ275" s="9">
        <f t="shared" ca="1" si="233"/>
        <v>119.09647930904904</v>
      </c>
      <c r="CA275" s="6">
        <f t="shared" ca="1" si="234"/>
        <v>-47.670285306463157</v>
      </c>
      <c r="CB275" s="6">
        <f t="shared" ca="1" si="235"/>
        <v>-0.38073576715724144</v>
      </c>
      <c r="CC275" s="6">
        <f t="shared" ca="1" si="236"/>
        <v>4.4932870609160624E-3</v>
      </c>
      <c r="CD275" s="9">
        <f t="shared" si="237"/>
        <v>131.29647930904903</v>
      </c>
      <c r="CE275" s="9">
        <f t="shared" si="238"/>
        <v>-51.87028530646316</v>
      </c>
      <c r="CF275" s="6">
        <f t="shared" si="239"/>
        <v>-0.37624248009632538</v>
      </c>
      <c r="CG275" s="6"/>
      <c r="CH275" s="6"/>
      <c r="CI275" s="6"/>
      <c r="CJ275" s="1"/>
      <c r="CK275" s="6"/>
    </row>
    <row r="276" spans="55:89" x14ac:dyDescent="0.25">
      <c r="BC276">
        <v>4.7822021504644336</v>
      </c>
      <c r="BD276">
        <v>135.83079420172263</v>
      </c>
      <c r="BE276">
        <v>-47.784959730409177</v>
      </c>
      <c r="BF276" s="6">
        <f t="shared" si="226"/>
        <v>5.9449098801248992</v>
      </c>
      <c r="BG276" s="6">
        <f t="shared" si="227"/>
        <v>1.1627077296604655</v>
      </c>
      <c r="BH276" s="6">
        <f t="shared" si="228"/>
        <v>-3.1348713884110442</v>
      </c>
      <c r="BI276" s="6">
        <f t="shared" si="229"/>
        <v>3.1348713884110442</v>
      </c>
      <c r="BJ276">
        <v>150.92310466858069</v>
      </c>
      <c r="BK276">
        <v>-53.094399700454638</v>
      </c>
      <c r="BV276" s="38"/>
      <c r="BW276" s="6">
        <f t="shared" si="230"/>
        <v>4.5553093477051734</v>
      </c>
      <c r="BX276" s="9">
        <f t="shared" ca="1" si="231"/>
        <v>-6.6812158739043497</v>
      </c>
      <c r="BY276" s="9">
        <f t="shared" ca="1" si="232"/>
        <v>-5.7282932345114403</v>
      </c>
      <c r="BZ276" s="9">
        <f t="shared" ca="1" si="233"/>
        <v>119.19330188019337</v>
      </c>
      <c r="CA276" s="6">
        <f t="shared" ca="1" si="234"/>
        <v>-47.686465819210675</v>
      </c>
      <c r="CB276" s="6">
        <f t="shared" ca="1" si="235"/>
        <v>-0.38057251732205871</v>
      </c>
      <c r="CC276" s="6">
        <f t="shared" ca="1" si="236"/>
        <v>4.47534097736657E-3</v>
      </c>
      <c r="CD276" s="9">
        <f t="shared" si="237"/>
        <v>131.39330188019338</v>
      </c>
      <c r="CE276" s="9">
        <f t="shared" si="238"/>
        <v>-51.886465819210677</v>
      </c>
      <c r="CF276" s="6">
        <f t="shared" si="239"/>
        <v>-0.37609717634469214</v>
      </c>
      <c r="CG276" s="6"/>
      <c r="CH276" s="6"/>
      <c r="CI276" s="6"/>
      <c r="CJ276" s="1"/>
      <c r="CK276" s="6"/>
    </row>
    <row r="277" spans="55:89" x14ac:dyDescent="0.25">
      <c r="BC277">
        <v>4.7996554429843767</v>
      </c>
      <c r="BD277">
        <v>136.12640147419486</v>
      </c>
      <c r="BE277">
        <v>-47.761838397385404</v>
      </c>
      <c r="BF277" s="6">
        <f t="shared" si="226"/>
        <v>5.9457410850485033</v>
      </c>
      <c r="BG277" s="6">
        <f t="shared" si="227"/>
        <v>1.1460856420641266</v>
      </c>
      <c r="BH277" s="6">
        <f t="shared" si="228"/>
        <v>-3.1357025933346483</v>
      </c>
      <c r="BI277" s="6">
        <f t="shared" si="229"/>
        <v>3.1357025933346483</v>
      </c>
      <c r="BJ277">
        <v>151.25155719354984</v>
      </c>
      <c r="BK277">
        <v>-53.068709330428227</v>
      </c>
      <c r="BV277" s="38"/>
      <c r="BW277" s="6">
        <f t="shared" si="230"/>
        <v>4.5727626402251165</v>
      </c>
      <c r="BX277" s="9">
        <f t="shared" ca="1" si="231"/>
        <v>-6.567079282797053</v>
      </c>
      <c r="BY277" s="9">
        <f t="shared" ca="1" si="232"/>
        <v>-5.7453219703002247</v>
      </c>
      <c r="BZ277" s="9">
        <f t="shared" ca="1" si="233"/>
        <v>119.30743847130067</v>
      </c>
      <c r="CA277" s="6">
        <f t="shared" ca="1" si="234"/>
        <v>-47.703494554999459</v>
      </c>
      <c r="CB277" s="6">
        <f t="shared" ca="1" si="235"/>
        <v>-0.38036560829087668</v>
      </c>
      <c r="CC277" s="6">
        <f t="shared" ca="1" si="236"/>
        <v>4.4529217221240813E-3</v>
      </c>
      <c r="CD277" s="9">
        <f t="shared" si="237"/>
        <v>131.50743847130067</v>
      </c>
      <c r="CE277" s="9">
        <f t="shared" si="238"/>
        <v>-51.903494554999462</v>
      </c>
      <c r="CF277" s="6">
        <f t="shared" si="239"/>
        <v>-0.3759126865687526</v>
      </c>
      <c r="CG277" s="6"/>
      <c r="CH277" s="6"/>
      <c r="CI277" s="6"/>
      <c r="CJ277" s="1"/>
      <c r="CK277" s="6"/>
    </row>
    <row r="278" spans="55:89" x14ac:dyDescent="0.25">
      <c r="BC278">
        <v>4.8171087355043198</v>
      </c>
      <c r="BD278">
        <v>136.34494282578717</v>
      </c>
      <c r="BE278">
        <v>-47.740881855367057</v>
      </c>
      <c r="BF278" s="6">
        <f t="shared" si="226"/>
        <v>5.9463788229352623</v>
      </c>
      <c r="BG278" s="6">
        <f t="shared" si="227"/>
        <v>1.1292700874309425</v>
      </c>
      <c r="BH278" s="6">
        <f t="shared" si="228"/>
        <v>-3.1363403312214073</v>
      </c>
      <c r="BI278" s="6">
        <f t="shared" si="229"/>
        <v>3.1363403312214073</v>
      </c>
      <c r="BJ278">
        <v>151.49438091754129</v>
      </c>
      <c r="BK278">
        <v>-53.04542428374117</v>
      </c>
      <c r="BV278" s="38"/>
      <c r="BW278" s="6">
        <f t="shared" si="230"/>
        <v>4.5902159327450596</v>
      </c>
      <c r="BX278" s="9">
        <f t="shared" ca="1" si="231"/>
        <v>-6.4296222377521843</v>
      </c>
      <c r="BY278" s="9">
        <f t="shared" ca="1" si="232"/>
        <v>-5.7633787432175865</v>
      </c>
      <c r="BZ278" s="9">
        <f t="shared" ca="1" si="233"/>
        <v>119.44489551634554</v>
      </c>
      <c r="CA278" s="6">
        <f t="shared" ca="1" si="234"/>
        <v>-47.721551327916821</v>
      </c>
      <c r="CB278" s="6">
        <f t="shared" ca="1" si="235"/>
        <v>-0.38009920578578971</v>
      </c>
      <c r="CC278" s="6">
        <f t="shared" ca="1" si="236"/>
        <v>4.42442870073112E-3</v>
      </c>
      <c r="CD278" s="9">
        <f t="shared" si="237"/>
        <v>131.64489551634554</v>
      </c>
      <c r="CE278" s="9">
        <f t="shared" si="238"/>
        <v>-51.921551327916823</v>
      </c>
      <c r="CF278" s="6">
        <f t="shared" si="239"/>
        <v>-0.37567477708505859</v>
      </c>
      <c r="CG278" s="6"/>
      <c r="CH278" s="6"/>
      <c r="CI278" s="6"/>
      <c r="CJ278" s="1"/>
      <c r="CK278" s="6"/>
    </row>
    <row r="279" spans="55:89" x14ac:dyDescent="0.25">
      <c r="BC279">
        <v>4.8345620280242629</v>
      </c>
      <c r="BD279">
        <v>136.5151044842643</v>
      </c>
      <c r="BE279">
        <v>-47.721551328319023</v>
      </c>
      <c r="BF279" s="6">
        <f t="shared" si="226"/>
        <v>5.9468938329183993</v>
      </c>
      <c r="BG279" s="6">
        <f t="shared" si="227"/>
        <v>1.1123318048941364</v>
      </c>
      <c r="BH279" s="6">
        <f t="shared" si="228"/>
        <v>-3.1368553412045443</v>
      </c>
      <c r="BI279" s="6">
        <f t="shared" si="229"/>
        <v>3.1368553412045443</v>
      </c>
      <c r="BJ279">
        <v>151.68344942696032</v>
      </c>
      <c r="BK279">
        <v>-53.023945920354471</v>
      </c>
      <c r="BV279" s="38"/>
      <c r="BW279" s="6">
        <f t="shared" si="230"/>
        <v>4.6076692252650027</v>
      </c>
      <c r="BX279" s="9">
        <f t="shared" ca="1" si="231"/>
        <v>-6.2594605799119449</v>
      </c>
      <c r="BY279" s="9">
        <f t="shared" ca="1" si="232"/>
        <v>-5.7827092706863112</v>
      </c>
      <c r="BZ279" s="9">
        <f t="shared" ca="1" si="233"/>
        <v>119.61505717418578</v>
      </c>
      <c r="CA279" s="6">
        <f t="shared" ca="1" si="234"/>
        <v>-47.740881855385545</v>
      </c>
      <c r="CB279" s="6">
        <f t="shared" ca="1" si="235"/>
        <v>-0.3797483933659932</v>
      </c>
      <c r="CC279" s="6">
        <f t="shared" ca="1" si="236"/>
        <v>4.3873523244646329E-3</v>
      </c>
      <c r="CD279" s="9">
        <f t="shared" si="237"/>
        <v>131.81505717418577</v>
      </c>
      <c r="CE279" s="9">
        <f t="shared" si="238"/>
        <v>-51.940881855385548</v>
      </c>
      <c r="CF279" s="6">
        <f t="shared" si="239"/>
        <v>-0.37536104104152856</v>
      </c>
      <c r="CG279" s="6"/>
      <c r="CH279" s="6"/>
      <c r="CI279" s="6"/>
      <c r="CJ279" s="1"/>
      <c r="CK279" s="6"/>
    </row>
    <row r="280" spans="55:89" x14ac:dyDescent="0.25">
      <c r="BC280">
        <v>4.852015320544206</v>
      </c>
      <c r="BD280">
        <v>136.65256152824941</v>
      </c>
      <c r="BE280">
        <v>-47.70349455471289</v>
      </c>
      <c r="BF280" s="6">
        <f t="shared" si="226"/>
        <v>5.9473249836681399</v>
      </c>
      <c r="BG280" s="6">
        <f t="shared" si="227"/>
        <v>1.0953096631239339</v>
      </c>
      <c r="BH280" s="6">
        <f t="shared" si="228"/>
        <v>-3.1372864919542849</v>
      </c>
      <c r="BI280" s="6">
        <f t="shared" si="229"/>
        <v>3.1372864919542849</v>
      </c>
      <c r="BJ280">
        <v>151.83617947583267</v>
      </c>
      <c r="BK280">
        <v>-53.003882838569879</v>
      </c>
      <c r="BV280" s="38"/>
      <c r="BW280" s="6">
        <f t="shared" si="230"/>
        <v>4.6251225177849458</v>
      </c>
      <c r="BX280" s="9">
        <f t="shared" ca="1" si="231"/>
        <v>-6.0409192289935021</v>
      </c>
      <c r="BY280" s="9">
        <f t="shared" ca="1" si="232"/>
        <v>-5.8036658131926799</v>
      </c>
      <c r="BZ280" s="9">
        <f t="shared" ca="1" si="233"/>
        <v>119.83359852510422</v>
      </c>
      <c r="CA280" s="6">
        <f t="shared" ca="1" si="234"/>
        <v>-47.761838397891914</v>
      </c>
      <c r="CB280" s="6">
        <f t="shared" ca="1" si="235"/>
        <v>-0.37927129014898558</v>
      </c>
      <c r="CC280" s="6">
        <f t="shared" ca="1" si="236"/>
        <v>4.3374917670924162E-3</v>
      </c>
      <c r="CD280" s="9">
        <f t="shared" si="237"/>
        <v>132.03359852510422</v>
      </c>
      <c r="CE280" s="9">
        <f t="shared" si="238"/>
        <v>-51.961838397891917</v>
      </c>
      <c r="CF280" s="6">
        <f t="shared" si="239"/>
        <v>-0.37493379838189317</v>
      </c>
      <c r="CG280" s="6"/>
      <c r="CH280" s="6"/>
      <c r="CI280" s="6"/>
      <c r="CJ280" s="1"/>
      <c r="CK280" s="6"/>
    </row>
    <row r="281" spans="55:89" x14ac:dyDescent="0.25">
      <c r="BC281">
        <v>4.8694686130641491</v>
      </c>
      <c r="BD281">
        <v>136.76669811994179</v>
      </c>
      <c r="BE281">
        <v>-47.686465819294398</v>
      </c>
      <c r="BF281" s="6">
        <f t="shared" si="226"/>
        <v>5.9476956959199558</v>
      </c>
      <c r="BG281" s="6">
        <f t="shared" si="227"/>
        <v>1.0782270828558067</v>
      </c>
      <c r="BH281" s="6">
        <f t="shared" si="228"/>
        <v>-3.1376572042061008</v>
      </c>
      <c r="BI281" s="6">
        <f t="shared" si="229"/>
        <v>3.1376572042061008</v>
      </c>
      <c r="BJ281">
        <v>151.96299791104644</v>
      </c>
      <c r="BK281">
        <v>-52.984962021438221</v>
      </c>
      <c r="BV281" s="38"/>
      <c r="BW281" s="6">
        <f t="shared" si="230"/>
        <v>4.6425758103048889</v>
      </c>
      <c r="BX281" s="9">
        <f t="shared" ca="1" si="231"/>
        <v>-5.7453119559844055</v>
      </c>
      <c r="BY281" s="9">
        <f t="shared" ca="1" si="232"/>
        <v>-5.8267871458365548</v>
      </c>
      <c r="BZ281" s="9">
        <f t="shared" ca="1" si="233"/>
        <v>120.12920579811332</v>
      </c>
      <c r="CA281" s="6">
        <f t="shared" ca="1" si="234"/>
        <v>-47.784959730535789</v>
      </c>
      <c r="CB281" s="6">
        <f t="shared" ca="1" si="235"/>
        <v>-0.37859086323277247</v>
      </c>
      <c r="CC281" s="6">
        <f t="shared" ca="1" si="236"/>
        <v>4.2671585662424905E-3</v>
      </c>
      <c r="CD281" s="9">
        <f t="shared" si="237"/>
        <v>132.32920579811332</v>
      </c>
      <c r="CE281" s="9">
        <f t="shared" si="238"/>
        <v>-51.984959730535792</v>
      </c>
      <c r="CF281" s="6">
        <f t="shared" si="239"/>
        <v>-0.37432370466652998</v>
      </c>
      <c r="CG281" s="6"/>
      <c r="CH281" s="6"/>
      <c r="CI281" s="6"/>
      <c r="CJ281" s="1"/>
      <c r="CK281" s="6"/>
    </row>
    <row r="282" spans="55:89" x14ac:dyDescent="0.25">
      <c r="BC282">
        <v>4.8869219055840922</v>
      </c>
      <c r="BD282">
        <v>136.86352069192364</v>
      </c>
      <c r="BE282">
        <v>-47.670285307053156</v>
      </c>
      <c r="BF282" s="6">
        <f t="shared" si="226"/>
        <v>5.9480210680452732</v>
      </c>
      <c r="BG282" s="6">
        <f t="shared" si="227"/>
        <v>1.061099162461181</v>
      </c>
      <c r="BH282" s="6">
        <f t="shared" si="228"/>
        <v>-3.1379825763314182</v>
      </c>
      <c r="BI282" s="6">
        <f t="shared" si="229"/>
        <v>3.1379825763314182</v>
      </c>
      <c r="BJ282">
        <v>152.07057854658183</v>
      </c>
      <c r="BK282">
        <v>-52.966983674503503</v>
      </c>
      <c r="BV282" s="38"/>
      <c r="BW282" s="6">
        <f t="shared" si="230"/>
        <v>4.660029102824832</v>
      </c>
      <c r="BX282" s="9">
        <f t="shared" ca="1" si="231"/>
        <v>-5.3126734822800756</v>
      </c>
      <c r="BY282" s="9">
        <f t="shared" ca="1" si="232"/>
        <v>-5.8529777118210475</v>
      </c>
      <c r="BZ282" s="9">
        <f t="shared" ca="1" si="233"/>
        <v>120.56184427181765</v>
      </c>
      <c r="CA282" s="6">
        <f t="shared" ca="1" si="234"/>
        <v>-47.811150296520282</v>
      </c>
      <c r="CB282" s="6">
        <f t="shared" ca="1" si="235"/>
        <v>-0.37754555568148385</v>
      </c>
      <c r="CC282" s="6">
        <f t="shared" ca="1" si="236"/>
        <v>4.1603301193967601E-3</v>
      </c>
      <c r="CD282" s="9">
        <f t="shared" si="237"/>
        <v>132.76184427181764</v>
      </c>
      <c r="CE282" s="9">
        <f t="shared" si="238"/>
        <v>-52.011150296520285</v>
      </c>
      <c r="CF282" s="6">
        <f t="shared" si="239"/>
        <v>-0.37338522556208709</v>
      </c>
      <c r="CG282" s="6"/>
      <c r="CH282" s="6"/>
      <c r="CI282" s="6"/>
      <c r="CJ282" s="1"/>
      <c r="CK282" s="6"/>
    </row>
    <row r="283" spans="55:89" x14ac:dyDescent="0.25">
      <c r="BC283">
        <v>4.9043751981040353</v>
      </c>
      <c r="BD283">
        <v>136.94707570119613</v>
      </c>
      <c r="BE283">
        <v>-47.654816457860463</v>
      </c>
      <c r="BF283" s="6">
        <f t="shared" si="226"/>
        <v>5.9483113500663212</v>
      </c>
      <c r="BG283" s="6">
        <f t="shared" si="227"/>
        <v>1.0439361519622858</v>
      </c>
      <c r="BH283" s="6">
        <f t="shared" si="228"/>
        <v>-3.1382728583524662</v>
      </c>
      <c r="BI283" s="6">
        <f t="shared" si="229"/>
        <v>3.1382728583524662</v>
      </c>
      <c r="BJ283">
        <v>152.16341744577346</v>
      </c>
      <c r="BK283">
        <v>-52.949796064289401</v>
      </c>
      <c r="BV283" s="38"/>
      <c r="BW283" s="6">
        <f t="shared" si="230"/>
        <v>4.6774823953447751</v>
      </c>
      <c r="BX283" s="9">
        <f t="shared" ca="1" si="231"/>
        <v>-4.5875777846136572</v>
      </c>
      <c r="BY283" s="9">
        <f t="shared" ca="1" si="232"/>
        <v>-5.8839972347177039</v>
      </c>
      <c r="BZ283" s="9">
        <f t="shared" ca="1" si="233"/>
        <v>121.28693996948407</v>
      </c>
      <c r="CA283" s="6">
        <f t="shared" ca="1" si="234"/>
        <v>-47.842169819416938</v>
      </c>
      <c r="CB283" s="6">
        <f t="shared" ca="1" si="235"/>
        <v>-0.37571658373779437</v>
      </c>
      <c r="CC283" s="6">
        <f t="shared" ca="1" si="236"/>
        <v>3.9758459410558222E-3</v>
      </c>
      <c r="CD283" s="9">
        <f t="shared" si="237"/>
        <v>133.48693996948407</v>
      </c>
      <c r="CE283" s="9">
        <f t="shared" si="238"/>
        <v>-52.042169819416941</v>
      </c>
      <c r="CF283" s="6">
        <f t="shared" si="239"/>
        <v>-0.37174073779673855</v>
      </c>
      <c r="CG283" s="6"/>
      <c r="CH283" s="6"/>
      <c r="CI283" s="6"/>
      <c r="CJ283" s="1"/>
      <c r="CK283" s="6"/>
    </row>
    <row r="284" spans="55:89" x14ac:dyDescent="0.25">
      <c r="BC284">
        <v>4.9218284906239784</v>
      </c>
      <c r="BD284">
        <v>137.02020194135224</v>
      </c>
      <c r="BE284">
        <v>-47.639952425336041</v>
      </c>
      <c r="BF284" s="6">
        <f t="shared" si="226"/>
        <v>5.9485737916421488</v>
      </c>
      <c r="BG284" s="6">
        <f t="shared" si="227"/>
        <v>1.0267453010181704</v>
      </c>
      <c r="BH284" s="6">
        <f t="shared" si="228"/>
        <v>-3.1385352999282938</v>
      </c>
      <c r="BI284" s="6">
        <f t="shared" si="229"/>
        <v>3.1385352999282938</v>
      </c>
      <c r="BJ284">
        <v>152.24466882372471</v>
      </c>
      <c r="BK284">
        <v>-52.933280472595598</v>
      </c>
      <c r="BV284" s="38"/>
      <c r="BW284" s="6">
        <f t="shared" si="230"/>
        <v>4.6949356878647182</v>
      </c>
      <c r="BX284" s="9">
        <f t="shared" ca="1" si="231"/>
        <v>-2.9518511928585554</v>
      </c>
      <c r="BY284" s="9">
        <f t="shared" ca="1" si="232"/>
        <v>-5.9243816082329772</v>
      </c>
      <c r="BZ284" s="9">
        <f t="shared" ca="1" si="233"/>
        <v>122.92266656123917</v>
      </c>
      <c r="CA284" s="6">
        <f t="shared" ca="1" si="234"/>
        <v>-47.882554192932211</v>
      </c>
      <c r="CB284" s="6">
        <f t="shared" ca="1" si="235"/>
        <v>-0.3714515044129687</v>
      </c>
      <c r="CC284" s="6">
        <f t="shared" ca="1" si="236"/>
        <v>3.5538896999665064E-3</v>
      </c>
      <c r="CD284" s="9">
        <f t="shared" si="237"/>
        <v>135.12266656123916</v>
      </c>
      <c r="CE284" s="9">
        <f t="shared" si="238"/>
        <v>-52.082554192932214</v>
      </c>
      <c r="CF284" s="6">
        <f t="shared" si="239"/>
        <v>-0.3678976147130022</v>
      </c>
      <c r="CG284" s="6"/>
      <c r="CH284" s="6"/>
      <c r="CI284" s="6"/>
      <c r="CJ284" s="1"/>
      <c r="CK284" s="6"/>
    </row>
    <row r="285" spans="55:89" x14ac:dyDescent="0.25">
      <c r="BC285">
        <v>4.9392817831439215</v>
      </c>
      <c r="BD285">
        <v>137.08495760816334</v>
      </c>
      <c r="BE285">
        <v>-47.625607539718558</v>
      </c>
      <c r="BF285" s="6">
        <f t="shared" si="226"/>
        <v>5.9488136940875807</v>
      </c>
      <c r="BG285" s="6">
        <f t="shared" si="227"/>
        <v>1.0095319109436591</v>
      </c>
      <c r="BH285" s="6">
        <f t="shared" si="228"/>
        <v>-3.1387752023737256</v>
      </c>
      <c r="BI285" s="6">
        <f t="shared" si="229"/>
        <v>3.1387752023737256</v>
      </c>
      <c r="BJ285">
        <v>152.31661956462594</v>
      </c>
      <c r="BK285">
        <v>-52.917341710798397</v>
      </c>
      <c r="BV285" s="38"/>
      <c r="BW285" s="6">
        <f t="shared" si="230"/>
        <v>4.7123889803846613</v>
      </c>
      <c r="BX285" s="9">
        <f t="shared" ca="1" si="231"/>
        <v>2.1054822458919347</v>
      </c>
      <c r="BY285" s="9">
        <f t="shared" ca="1" si="232"/>
        <v>-5.9681038228541183</v>
      </c>
      <c r="BZ285" s="9">
        <f t="shared" ca="1" si="233"/>
        <v>127.97999999998966</v>
      </c>
      <c r="CA285" s="6">
        <f t="shared" ca="1" si="234"/>
        <v>-47.926276407553352</v>
      </c>
      <c r="CB285" s="6">
        <f t="shared" ca="1" si="235"/>
        <v>-0.35831693597824482</v>
      </c>
      <c r="CC285" s="6">
        <f t="shared" ca="1" si="236"/>
        <v>2.3086132961737671E-3</v>
      </c>
      <c r="CD285" s="9">
        <f t="shared" si="237"/>
        <v>140.17999999998966</v>
      </c>
      <c r="CE285" s="9">
        <f t="shared" si="238"/>
        <v>-52.126276407553355</v>
      </c>
      <c r="CF285" s="6">
        <f t="shared" si="239"/>
        <v>-0.35600832268207105</v>
      </c>
      <c r="CG285" s="6"/>
      <c r="CH285" s="6"/>
      <c r="CI285" s="6"/>
      <c r="CJ285" s="1"/>
      <c r="CK285" s="6"/>
    </row>
    <row r="286" spans="55:89" x14ac:dyDescent="0.25">
      <c r="BC286">
        <v>4.9567350756638646</v>
      </c>
      <c r="BD286">
        <v>137.14287620388774</v>
      </c>
      <c r="BE286">
        <v>-47.611711673852497</v>
      </c>
      <c r="BF286" s="6">
        <f t="shared" si="226"/>
        <v>5.9490350428194398</v>
      </c>
      <c r="BG286" s="6">
        <f t="shared" si="227"/>
        <v>0.99229996715557522</v>
      </c>
      <c r="BH286" s="6">
        <f t="shared" si="228"/>
        <v>-3.1389965511055848</v>
      </c>
      <c r="BI286" s="6">
        <f t="shared" si="229"/>
        <v>3.1389965511055848</v>
      </c>
      <c r="BJ286">
        <v>152.38097355987526</v>
      </c>
      <c r="BK286">
        <v>-52.901901859836109</v>
      </c>
      <c r="BV286" s="38"/>
      <c r="BW286" s="6">
        <f t="shared" si="230"/>
        <v>4.7298422729046044</v>
      </c>
      <c r="BX286" s="9">
        <f t="shared" ca="1" si="231"/>
        <v>7.1628156845453361</v>
      </c>
      <c r="BY286" s="9">
        <f t="shared" ca="1" si="232"/>
        <v>-5.9243816079859357</v>
      </c>
      <c r="BZ286" s="9">
        <f t="shared" ca="1" si="233"/>
        <v>133.03733343864306</v>
      </c>
      <c r="CA286" s="6">
        <f t="shared" ca="1" si="234"/>
        <v>-47.88255419268517</v>
      </c>
      <c r="CB286" s="6">
        <f t="shared" ca="1" si="235"/>
        <v>-0.34548314111159556</v>
      </c>
      <c r="CC286" s="6">
        <f t="shared" ca="1" si="236"/>
        <v>1.164766382792892E-3</v>
      </c>
      <c r="CD286" s="9">
        <f t="shared" si="237"/>
        <v>145.23733343864305</v>
      </c>
      <c r="CE286" s="9">
        <f t="shared" si="238"/>
        <v>-52.082554192685173</v>
      </c>
      <c r="CF286" s="6">
        <f t="shared" si="239"/>
        <v>-0.34431837472880267</v>
      </c>
      <c r="CG286" s="6"/>
      <c r="CH286" s="6"/>
      <c r="CI286" s="6"/>
      <c r="CJ286" s="1"/>
      <c r="CK286" s="6"/>
    </row>
    <row r="287" spans="55:89" x14ac:dyDescent="0.25">
      <c r="BC287">
        <v>4.9741883681838077</v>
      </c>
      <c r="BD287">
        <v>137.19512686807661</v>
      </c>
      <c r="BE287">
        <v>-47.598206395073774</v>
      </c>
      <c r="BF287" s="6">
        <f t="shared" si="226"/>
        <v>5.9492409049548458</v>
      </c>
      <c r="BG287" s="6">
        <f t="shared" si="227"/>
        <v>0.97505253677103809</v>
      </c>
      <c r="BH287" s="6">
        <f t="shared" si="228"/>
        <v>-3.1392024132409908</v>
      </c>
      <c r="BI287" s="6">
        <f t="shared" si="229"/>
        <v>3.1392024132409908</v>
      </c>
      <c r="BJ287">
        <v>152.43902985341845</v>
      </c>
      <c r="BK287">
        <v>-52.886895994526412</v>
      </c>
      <c r="BV287" s="38"/>
      <c r="BW287" s="6">
        <f t="shared" si="230"/>
        <v>4.7472955654245474</v>
      </c>
      <c r="BX287" s="9">
        <f t="shared" ca="1" si="231"/>
        <v>8.79854227579915</v>
      </c>
      <c r="BY287" s="9">
        <f t="shared" ca="1" si="232"/>
        <v>-5.8839972340506677</v>
      </c>
      <c r="BZ287" s="9">
        <f t="shared" ca="1" si="233"/>
        <v>134.67306002989687</v>
      </c>
      <c r="CA287" s="6">
        <f t="shared" ca="1" si="234"/>
        <v>-47.842169818749902</v>
      </c>
      <c r="CB287" s="6">
        <f t="shared" ca="1" si="235"/>
        <v>-0.34134133539993855</v>
      </c>
      <c r="CC287" s="6">
        <f t="shared" ca="1" si="236"/>
        <v>8.104129098348567E-4</v>
      </c>
      <c r="CD287" s="9">
        <f t="shared" si="237"/>
        <v>146.87306002989686</v>
      </c>
      <c r="CE287" s="9">
        <f t="shared" si="238"/>
        <v>-52.042169818749905</v>
      </c>
      <c r="CF287" s="6">
        <f t="shared" si="239"/>
        <v>-0.34053092249010369</v>
      </c>
      <c r="CG287" s="6"/>
      <c r="CH287" s="6"/>
      <c r="CI287" s="6"/>
      <c r="CJ287" s="1"/>
      <c r="CK287" s="6"/>
    </row>
    <row r="288" spans="55:89" x14ac:dyDescent="0.25">
      <c r="BC288">
        <v>4.9916416607037508</v>
      </c>
      <c r="BD288">
        <v>137.24261862930453</v>
      </c>
      <c r="BE288">
        <v>-47.585042247351694</v>
      </c>
      <c r="BF288" s="6">
        <f t="shared" si="226"/>
        <v>5.9494336888344321</v>
      </c>
      <c r="BG288" s="6">
        <f t="shared" si="227"/>
        <v>0.95779202813068132</v>
      </c>
      <c r="BH288" s="6">
        <f t="shared" si="228"/>
        <v>-3.1393951971205771</v>
      </c>
      <c r="BI288" s="6">
        <f t="shared" si="229"/>
        <v>3.1393951971205771</v>
      </c>
      <c r="BJ288">
        <v>152.49179847700503</v>
      </c>
      <c r="BK288">
        <v>-52.872269163724106</v>
      </c>
      <c r="BV288" s="38"/>
      <c r="BW288" s="6">
        <f t="shared" si="230"/>
        <v>4.7647488579444905</v>
      </c>
      <c r="BX288" s="9">
        <f t="shared" ca="1" si="231"/>
        <v>9.5236379743450357</v>
      </c>
      <c r="BY288" s="9">
        <f t="shared" ca="1" si="232"/>
        <v>-5.8529777120500057</v>
      </c>
      <c r="BZ288" s="9">
        <f t="shared" ca="1" si="233"/>
        <v>135.39815572844276</v>
      </c>
      <c r="CA288" s="6">
        <f t="shared" ca="1" si="234"/>
        <v>-47.81115029674924</v>
      </c>
      <c r="CB288" s="6">
        <f t="shared" ca="1" si="235"/>
        <v>-0.33944737578033934</v>
      </c>
      <c r="CC288" s="6">
        <f t="shared" ca="1" si="236"/>
        <v>6.5077776546429422E-4</v>
      </c>
      <c r="CD288" s="9">
        <f t="shared" si="237"/>
        <v>147.59815572844275</v>
      </c>
      <c r="CE288" s="9">
        <f t="shared" si="238"/>
        <v>-52.011150296749243</v>
      </c>
      <c r="CF288" s="6">
        <f t="shared" si="239"/>
        <v>-0.33879659801487505</v>
      </c>
      <c r="CG288" s="6"/>
      <c r="CH288" s="6"/>
      <c r="CI288" s="6"/>
      <c r="CJ288" s="1"/>
      <c r="CK288" s="6"/>
    </row>
    <row r="289" spans="55:89" x14ac:dyDescent="0.25">
      <c r="BC289">
        <v>5.0090949532236939</v>
      </c>
      <c r="BD289">
        <v>137.28607039473948</v>
      </c>
      <c r="BE289">
        <v>-47.572176792801088</v>
      </c>
      <c r="BF289" s="6">
        <f t="shared" si="226"/>
        <v>5.9496153188778926</v>
      </c>
      <c r="BG289" s="6">
        <f t="shared" si="227"/>
        <v>0.94052036565419872</v>
      </c>
      <c r="BH289" s="6">
        <f t="shared" si="228"/>
        <v>-3.1395768271640376</v>
      </c>
      <c r="BI289" s="6">
        <f t="shared" si="229"/>
        <v>3.1395768271640376</v>
      </c>
      <c r="BJ289">
        <v>152.5400782163772</v>
      </c>
      <c r="BK289">
        <v>-52.857974214223432</v>
      </c>
      <c r="BV289" s="38"/>
      <c r="BW289" s="6">
        <f t="shared" si="230"/>
        <v>4.7822021504644336</v>
      </c>
      <c r="BX289" s="9">
        <f t="shared" ca="1" si="231"/>
        <v>9.9562764476249015</v>
      </c>
      <c r="BY289" s="9">
        <f t="shared" ca="1" si="232"/>
        <v>-5.8267871457099432</v>
      </c>
      <c r="BZ289" s="9">
        <f t="shared" ca="1" si="233"/>
        <v>135.83079420172263</v>
      </c>
      <c r="CA289" s="6">
        <f t="shared" ca="1" si="234"/>
        <v>-47.784959730409177</v>
      </c>
      <c r="CB289" s="6">
        <f t="shared" ca="1" si="235"/>
        <v>-0.33827542705468677</v>
      </c>
      <c r="CC289" s="6">
        <f t="shared" ca="1" si="236"/>
        <v>5.5274398575522188E-4</v>
      </c>
      <c r="CD289" s="9">
        <f t="shared" si="237"/>
        <v>148.03079420172261</v>
      </c>
      <c r="CE289" s="9">
        <f t="shared" si="238"/>
        <v>-51.98495973040918</v>
      </c>
      <c r="CF289" s="6">
        <f t="shared" si="239"/>
        <v>-0.33772268306893155</v>
      </c>
      <c r="CG289" s="6"/>
      <c r="CH289" s="6"/>
      <c r="CI289" s="6"/>
      <c r="CJ289" s="1"/>
      <c r="CK289" s="6"/>
    </row>
    <row r="290" spans="55:89" x14ac:dyDescent="0.25">
      <c r="BC290">
        <v>5.026548245743637</v>
      </c>
      <c r="BD290">
        <v>137.3260592076617</v>
      </c>
      <c r="BE290">
        <v>-47.559573150708395</v>
      </c>
      <c r="BF290" s="6">
        <f t="shared" si="226"/>
        <v>5.9497873567144115</v>
      </c>
      <c r="BG290" s="6">
        <f t="shared" si="227"/>
        <v>0.92323911097077449</v>
      </c>
      <c r="BH290" s="6">
        <f t="shared" si="228"/>
        <v>-3.1397488650005565</v>
      </c>
      <c r="BI290" s="6">
        <f t="shared" si="229"/>
        <v>3.1397488650005565</v>
      </c>
      <c r="BJ290">
        <v>152.58451023073522</v>
      </c>
      <c r="BK290">
        <v>-52.843970167453769</v>
      </c>
      <c r="BV290" s="38"/>
      <c r="BW290" s="6">
        <f t="shared" si="230"/>
        <v>4.7996554429843767</v>
      </c>
      <c r="BX290" s="9">
        <f t="shared" ca="1" si="231"/>
        <v>10.25188372009714</v>
      </c>
      <c r="BY290" s="9">
        <f t="shared" ca="1" si="232"/>
        <v>-5.8036658126861695</v>
      </c>
      <c r="BZ290" s="9">
        <f t="shared" ca="1" si="233"/>
        <v>136.12640147419486</v>
      </c>
      <c r="CA290" s="6">
        <f t="shared" ca="1" si="234"/>
        <v>-47.761838397385404</v>
      </c>
      <c r="CB290" s="6">
        <f t="shared" ca="1" si="235"/>
        <v>-0.33744422213108299</v>
      </c>
      <c r="CC290" s="6">
        <f t="shared" ca="1" si="236"/>
        <v>4.835519862630977E-4</v>
      </c>
      <c r="CD290" s="9">
        <f t="shared" si="237"/>
        <v>148.32640147419485</v>
      </c>
      <c r="CE290" s="9">
        <f t="shared" si="238"/>
        <v>-51.961838397385407</v>
      </c>
      <c r="CF290" s="6">
        <f t="shared" si="239"/>
        <v>-0.3369606701448199</v>
      </c>
      <c r="CG290" s="6"/>
      <c r="CH290" s="6"/>
      <c r="CI290" s="6"/>
      <c r="CJ290" s="1"/>
      <c r="CK290" s="6"/>
    </row>
    <row r="291" spans="55:89" x14ac:dyDescent="0.25">
      <c r="BC291">
        <v>5.0440015382635801</v>
      </c>
      <c r="BD291">
        <v>137.36305435460454</v>
      </c>
      <c r="BE291">
        <v>-47.547198905753426</v>
      </c>
      <c r="BF291" s="6">
        <f t="shared" si="226"/>
        <v>5.9499510870807448</v>
      </c>
      <c r="BG291" s="6">
        <f t="shared" si="227"/>
        <v>0.90594954881716472</v>
      </c>
      <c r="BH291" s="6">
        <f t="shared" si="228"/>
        <v>-3.1399125953668898</v>
      </c>
      <c r="BI291" s="6">
        <f t="shared" si="229"/>
        <v>3.1399125953668898</v>
      </c>
      <c r="BJ291">
        <v>152.6256159495606</v>
      </c>
      <c r="BK291">
        <v>-52.830221006392691</v>
      </c>
      <c r="BV291" s="38"/>
      <c r="BW291" s="6">
        <f t="shared" si="230"/>
        <v>4.8171087355043198</v>
      </c>
      <c r="BX291" s="9">
        <f t="shared" ca="1" si="231"/>
        <v>10.470425071689448</v>
      </c>
      <c r="BY291" s="9">
        <f t="shared" ca="1" si="232"/>
        <v>-5.7827092706678229</v>
      </c>
      <c r="BZ291" s="9">
        <f t="shared" ca="1" si="233"/>
        <v>136.34494282578717</v>
      </c>
      <c r="CA291" s="6">
        <f t="shared" ca="1" si="234"/>
        <v>-47.740881855367057</v>
      </c>
      <c r="CB291" s="6">
        <f t="shared" ca="1" si="235"/>
        <v>-0.33680648424432419</v>
      </c>
      <c r="CC291" s="6">
        <f t="shared" ca="1" si="236"/>
        <v>4.3065034850220396E-4</v>
      </c>
      <c r="CD291" s="9">
        <f t="shared" si="237"/>
        <v>148.54494282578716</v>
      </c>
      <c r="CE291" s="9">
        <f t="shared" si="238"/>
        <v>-51.94088185536706</v>
      </c>
      <c r="CF291" s="6">
        <f t="shared" si="239"/>
        <v>-0.33637583389582199</v>
      </c>
      <c r="CG291" s="6"/>
      <c r="CH291" s="6"/>
      <c r="CI291" s="6"/>
      <c r="CJ291" s="1"/>
      <c r="CK291" s="6"/>
    </row>
    <row r="292" spans="55:89" x14ac:dyDescent="0.25">
      <c r="BC292">
        <v>5.0614548307835232</v>
      </c>
      <c r="BD292">
        <v>137.39744195018056</v>
      </c>
      <c r="BE292">
        <v>-47.535025260176752</v>
      </c>
      <c r="BF292" s="6">
        <f t="shared" si="226"/>
        <v>5.9501075800699903</v>
      </c>
      <c r="BG292" s="6">
        <f t="shared" si="227"/>
        <v>0.88865274928646709</v>
      </c>
      <c r="BH292" s="6">
        <f t="shared" si="228"/>
        <v>-3.1400690883561353</v>
      </c>
      <c r="BI292" s="6">
        <f t="shared" si="229"/>
        <v>3.1400690883561353</v>
      </c>
      <c r="BJ292">
        <v>152.66382438908951</v>
      </c>
      <c r="BK292">
        <v>-52.816694733529722</v>
      </c>
      <c r="BV292" s="38"/>
      <c r="BW292" s="6">
        <f t="shared" si="230"/>
        <v>4.8345620280242629</v>
      </c>
      <c r="BX292" s="9">
        <f t="shared" ca="1" si="231"/>
        <v>10.640586730166575</v>
      </c>
      <c r="BY292" s="9">
        <f t="shared" ca="1" si="232"/>
        <v>-5.7633787436197892</v>
      </c>
      <c r="BZ292" s="9">
        <f t="shared" ca="1" si="233"/>
        <v>136.5151044842643</v>
      </c>
      <c r="CA292" s="6">
        <f t="shared" ca="1" si="234"/>
        <v>-47.721551328319023</v>
      </c>
      <c r="CB292" s="6">
        <f t="shared" ca="1" si="235"/>
        <v>-0.33629147426118705</v>
      </c>
      <c r="CC292" s="6">
        <f t="shared" ca="1" si="236"/>
        <v>3.8804339606068883E-4</v>
      </c>
      <c r="CD292" s="9">
        <f t="shared" si="237"/>
        <v>148.71510448426429</v>
      </c>
      <c r="CE292" s="9">
        <f t="shared" si="238"/>
        <v>-51.921551328319026</v>
      </c>
      <c r="CF292" s="6">
        <f t="shared" si="239"/>
        <v>-0.33590343086512636</v>
      </c>
      <c r="CG292" s="6"/>
      <c r="CH292" s="6"/>
      <c r="CI292" s="6"/>
      <c r="CJ292" s="1"/>
      <c r="CK292" s="6"/>
    </row>
    <row r="293" spans="55:89" x14ac:dyDescent="0.25">
      <c r="BC293">
        <v>5.0789081233034663</v>
      </c>
      <c r="BD293">
        <v>137.42954300443819</v>
      </c>
      <c r="BE293">
        <v>-47.523026374190017</v>
      </c>
      <c r="BF293" s="6">
        <f t="shared" si="226"/>
        <v>5.9502577370720156</v>
      </c>
      <c r="BG293" s="6">
        <f t="shared" si="227"/>
        <v>0.87134961376854925</v>
      </c>
      <c r="BH293" s="6">
        <f t="shared" si="228"/>
        <v>-3.1402192453581605</v>
      </c>
      <c r="BI293" s="6">
        <f t="shared" si="229"/>
        <v>3.1402192453581605</v>
      </c>
      <c r="BJ293">
        <v>152.69949222715354</v>
      </c>
      <c r="BK293">
        <v>-52.803362637988904</v>
      </c>
      <c r="BV293" s="38"/>
      <c r="BW293" s="6">
        <f t="shared" si="230"/>
        <v>4.852015320544206</v>
      </c>
      <c r="BX293" s="9">
        <f t="shared" ca="1" si="231"/>
        <v>10.778043774151683</v>
      </c>
      <c r="BY293" s="9">
        <f t="shared" ca="1" si="232"/>
        <v>-5.7453219700136557</v>
      </c>
      <c r="BZ293" s="9">
        <f t="shared" ca="1" si="233"/>
        <v>136.65256152824941</v>
      </c>
      <c r="CA293" s="6">
        <f t="shared" ca="1" si="234"/>
        <v>-47.70349455471289</v>
      </c>
      <c r="CB293" s="6">
        <f t="shared" ca="1" si="235"/>
        <v>-0.3358603235114464</v>
      </c>
      <c r="CC293" s="6">
        <f t="shared" ca="1" si="236"/>
        <v>3.5245005924355866E-4</v>
      </c>
      <c r="CD293" s="9">
        <f t="shared" si="237"/>
        <v>148.8525615282494</v>
      </c>
      <c r="CE293" s="9">
        <f t="shared" si="238"/>
        <v>-51.903494554712893</v>
      </c>
      <c r="CF293" s="6">
        <f t="shared" si="239"/>
        <v>-0.33550787345220284</v>
      </c>
      <c r="CG293" s="6"/>
      <c r="CH293" s="6"/>
      <c r="CI293" s="6"/>
      <c r="CJ293" s="1"/>
      <c r="CK293" s="6"/>
    </row>
    <row r="294" spans="55:89" x14ac:dyDescent="0.25">
      <c r="BC294">
        <v>5.0963614158234094</v>
      </c>
      <c r="BD294">
        <v>137.45962691798744</v>
      </c>
      <c r="BE294">
        <v>-47.511178843019785</v>
      </c>
      <c r="BF294" s="6">
        <f t="shared" si="226"/>
        <v>5.9504023252549461</v>
      </c>
      <c r="BG294" s="6">
        <f t="shared" si="227"/>
        <v>0.85404090943153665</v>
      </c>
      <c r="BH294" s="6">
        <f t="shared" si="228"/>
        <v>-3.1403638335410911</v>
      </c>
      <c r="BI294" s="6">
        <f t="shared" si="229"/>
        <v>3.1403638335410911</v>
      </c>
      <c r="BJ294">
        <v>152.7329187977638</v>
      </c>
      <c r="BK294">
        <v>-52.790198714466428</v>
      </c>
      <c r="BV294" s="38"/>
      <c r="BW294" s="6">
        <f t="shared" si="230"/>
        <v>4.8694686130641491</v>
      </c>
      <c r="BX294" s="9">
        <f t="shared" ca="1" si="231"/>
        <v>10.892180365844069</v>
      </c>
      <c r="BY294" s="9">
        <f t="shared" ca="1" si="232"/>
        <v>-5.7282932345951636</v>
      </c>
      <c r="BZ294" s="9">
        <f t="shared" ca="1" si="233"/>
        <v>136.76669811994179</v>
      </c>
      <c r="CA294" s="6">
        <f t="shared" ca="1" si="234"/>
        <v>-47.686465819294398</v>
      </c>
      <c r="CB294" s="6">
        <f t="shared" ca="1" si="235"/>
        <v>-0.33548961125963017</v>
      </c>
      <c r="CC294" s="6">
        <f t="shared" ca="1" si="236"/>
        <v>3.2189958454043044E-4</v>
      </c>
      <c r="CD294" s="9">
        <f t="shared" si="237"/>
        <v>148.96669811994178</v>
      </c>
      <c r="CE294" s="9">
        <f t="shared" si="238"/>
        <v>-51.886465819294401</v>
      </c>
      <c r="CF294" s="6">
        <f t="shared" si="239"/>
        <v>-0.33516771167508974</v>
      </c>
      <c r="CG294" s="6"/>
      <c r="CH294" s="6"/>
      <c r="CI294" s="6"/>
      <c r="CJ294" s="1"/>
      <c r="CK294" s="6"/>
    </row>
    <row r="295" spans="55:89" x14ac:dyDescent="0.25">
      <c r="BC295">
        <v>5.1138147083433525</v>
      </c>
      <c r="BD295">
        <v>137.48792171682558</v>
      </c>
      <c r="BE295">
        <v>-47.499461278766383</v>
      </c>
      <c r="BF295" s="6">
        <f t="shared" si="226"/>
        <v>5.9505420038349071</v>
      </c>
      <c r="BG295" s="6">
        <f t="shared" si="227"/>
        <v>0.83672729549155456</v>
      </c>
      <c r="BH295" s="6">
        <f t="shared" si="228"/>
        <v>-3.1405035121210521</v>
      </c>
      <c r="BI295" s="6">
        <f t="shared" si="229"/>
        <v>3.1405035121210521</v>
      </c>
      <c r="BJ295">
        <v>152.76435746313953</v>
      </c>
      <c r="BK295">
        <v>-52.777179198629312</v>
      </c>
      <c r="BV295" s="38"/>
      <c r="BW295" s="6">
        <f t="shared" si="230"/>
        <v>4.8869219055840922</v>
      </c>
      <c r="BX295" s="9">
        <f t="shared" ca="1" si="231"/>
        <v>10.989002937825916</v>
      </c>
      <c r="BY295" s="9">
        <f t="shared" ca="1" si="232"/>
        <v>-5.7121127223539219</v>
      </c>
      <c r="BZ295" s="9">
        <f t="shared" ca="1" si="233"/>
        <v>136.86352069192364</v>
      </c>
      <c r="CA295" s="6">
        <f t="shared" ca="1" si="234"/>
        <v>-47.670285307053156</v>
      </c>
      <c r="CB295" s="6">
        <f t="shared" ca="1" si="235"/>
        <v>-0.33516423913431331</v>
      </c>
      <c r="CC295" s="6">
        <f t="shared" ca="1" si="236"/>
        <v>2.9512481085847147E-4</v>
      </c>
      <c r="CD295" s="9">
        <f t="shared" si="237"/>
        <v>149.06352069192363</v>
      </c>
      <c r="CE295" s="9">
        <f t="shared" si="238"/>
        <v>-51.870285307053159</v>
      </c>
      <c r="CF295" s="6">
        <f t="shared" si="239"/>
        <v>-0.33486911432345484</v>
      </c>
      <c r="CG295" s="6"/>
      <c r="CH295" s="6"/>
      <c r="CI295" s="6"/>
      <c r="CJ295" s="1"/>
      <c r="CK295" s="6"/>
    </row>
    <row r="296" spans="55:89" x14ac:dyDescent="0.25">
      <c r="BC296">
        <v>5.1312680008632956</v>
      </c>
      <c r="BD296">
        <v>137.51462190280913</v>
      </c>
      <c r="BE296">
        <v>-47.487853963023227</v>
      </c>
      <c r="BF296" s="6">
        <f t="shared" si="226"/>
        <v>5.950677344384709</v>
      </c>
      <c r="BG296" s="6">
        <f t="shared" si="227"/>
        <v>0.81940934352141337</v>
      </c>
      <c r="BH296" s="6">
        <f t="shared" si="228"/>
        <v>-3.140638852670854</v>
      </c>
      <c r="BI296" s="6">
        <f t="shared" si="229"/>
        <v>3.140638852670854</v>
      </c>
      <c r="BJ296">
        <v>152.79402433645458</v>
      </c>
      <c r="BK296">
        <v>-52.76428218113692</v>
      </c>
      <c r="BV296" s="38"/>
      <c r="BW296" s="6">
        <f t="shared" si="230"/>
        <v>4.9043751981040353</v>
      </c>
      <c r="BX296" s="9">
        <f t="shared" ca="1" si="231"/>
        <v>11.072557947098403</v>
      </c>
      <c r="BY296" s="9">
        <f t="shared" ca="1" si="232"/>
        <v>-5.6966438731612286</v>
      </c>
      <c r="BZ296" s="9">
        <f t="shared" ca="1" si="233"/>
        <v>136.94707570119613</v>
      </c>
      <c r="CA296" s="6">
        <f t="shared" ca="1" si="234"/>
        <v>-47.654816457860463</v>
      </c>
      <c r="CB296" s="6">
        <f t="shared" ca="1" si="235"/>
        <v>-0.33487395711326512</v>
      </c>
      <c r="CC296" s="6">
        <f t="shared" ca="1" si="236"/>
        <v>2.7126736276456015E-4</v>
      </c>
      <c r="CD296" s="9">
        <f t="shared" si="237"/>
        <v>149.14707570119612</v>
      </c>
      <c r="CE296" s="9">
        <f t="shared" si="238"/>
        <v>-51.854816457860466</v>
      </c>
      <c r="CF296" s="6">
        <f t="shared" si="239"/>
        <v>-0.33460268975050056</v>
      </c>
      <c r="CG296" s="6"/>
      <c r="CH296" s="6"/>
      <c r="CI296" s="6"/>
      <c r="CJ296" s="1"/>
      <c r="CK296" s="6"/>
    </row>
    <row r="297" spans="55:89" x14ac:dyDescent="0.25">
      <c r="BC297">
        <v>5.1487212933832387</v>
      </c>
      <c r="BD297">
        <v>137.53989456908027</v>
      </c>
      <c r="BE297">
        <v>-47.476338565935372</v>
      </c>
      <c r="BF297" s="6">
        <f t="shared" si="226"/>
        <v>5.9508088467097728</v>
      </c>
      <c r="BG297" s="6">
        <f t="shared" si="227"/>
        <v>0.80208755332653414</v>
      </c>
      <c r="BH297" s="6">
        <f t="shared" si="228"/>
        <v>-3.1407703549959178</v>
      </c>
      <c r="BI297" s="6">
        <f t="shared" si="229"/>
        <v>3.1407703549959178</v>
      </c>
      <c r="BJ297">
        <v>152.82210507675586</v>
      </c>
      <c r="BK297">
        <v>-52.751487295483741</v>
      </c>
      <c r="BV297" s="38"/>
      <c r="BW297" s="6">
        <f t="shared" si="230"/>
        <v>4.9218284906239784</v>
      </c>
      <c r="BX297" s="9">
        <f t="shared" ca="1" si="231"/>
        <v>11.145684187254517</v>
      </c>
      <c r="BY297" s="9">
        <f t="shared" ca="1" si="232"/>
        <v>-5.681779840636807</v>
      </c>
      <c r="BZ297" s="9">
        <f t="shared" ca="1" si="233"/>
        <v>137.02020194135224</v>
      </c>
      <c r="CA297" s="6">
        <f t="shared" ca="1" si="234"/>
        <v>-47.639952425336041</v>
      </c>
      <c r="CB297" s="6">
        <f t="shared" ca="1" si="235"/>
        <v>-0.3346115155374374</v>
      </c>
      <c r="CC297" s="6">
        <f t="shared" ca="1" si="236"/>
        <v>2.4972126473821188E-4</v>
      </c>
      <c r="CD297" s="9">
        <f t="shared" si="237"/>
        <v>149.22020194135223</v>
      </c>
      <c r="CE297" s="9">
        <f t="shared" si="238"/>
        <v>-51.839952425336044</v>
      </c>
      <c r="CF297" s="6">
        <f t="shared" si="239"/>
        <v>-0.33436179427269919</v>
      </c>
      <c r="CG297" s="6"/>
      <c r="CH297" s="6"/>
      <c r="CI297" s="6"/>
      <c r="CJ297" s="1"/>
      <c r="CK297" s="6"/>
    </row>
    <row r="298" spans="55:89" x14ac:dyDescent="0.25">
      <c r="BC298">
        <v>5.1661745859031818</v>
      </c>
      <c r="BD298">
        <v>137.56388420882894</v>
      </c>
      <c r="BE298">
        <v>-47.464897911347663</v>
      </c>
      <c r="BF298" s="6">
        <f t="shared" si="226"/>
        <v>5.9509369514143566</v>
      </c>
      <c r="BG298" s="6">
        <f t="shared" si="227"/>
        <v>0.78476236551117484</v>
      </c>
      <c r="BH298" s="6">
        <f t="shared" si="228"/>
        <v>-3.1408984597005016</v>
      </c>
      <c r="BI298" s="6">
        <f t="shared" si="229"/>
        <v>3.1408984597005016</v>
      </c>
      <c r="BJ298">
        <v>152.84876023203216</v>
      </c>
      <c r="BK298">
        <v>-52.738775457052959</v>
      </c>
      <c r="BV298" s="38"/>
      <c r="BW298" s="6">
        <f t="shared" si="230"/>
        <v>4.9392817831439215</v>
      </c>
      <c r="BX298" s="9">
        <f t="shared" ca="1" si="231"/>
        <v>11.210439854065612</v>
      </c>
      <c r="BY298" s="9">
        <f t="shared" ca="1" si="232"/>
        <v>-5.6674349550193241</v>
      </c>
      <c r="BZ298" s="9">
        <f t="shared" ca="1" si="233"/>
        <v>137.08495760816334</v>
      </c>
      <c r="CA298" s="6">
        <f t="shared" ca="1" si="234"/>
        <v>-47.625607539718558</v>
      </c>
      <c r="CB298" s="6">
        <f t="shared" ca="1" si="235"/>
        <v>-0.3343716130920058</v>
      </c>
      <c r="CC298" s="6">
        <f t="shared" ca="1" si="236"/>
        <v>2.3004412285804185E-4</v>
      </c>
      <c r="CD298" s="9">
        <f t="shared" si="237"/>
        <v>149.28495760816332</v>
      </c>
      <c r="CE298" s="9">
        <f t="shared" si="238"/>
        <v>-51.825607539718561</v>
      </c>
      <c r="CF298" s="6">
        <f t="shared" si="239"/>
        <v>-0.33414156896914776</v>
      </c>
      <c r="CG298" s="6"/>
      <c r="CH298" s="6"/>
      <c r="CI298" s="6"/>
      <c r="CJ298" s="1"/>
      <c r="CK298" s="6"/>
    </row>
    <row r="299" spans="55:89" x14ac:dyDescent="0.25">
      <c r="BC299">
        <v>5.1836278784231249</v>
      </c>
      <c r="BD299">
        <v>137.58671652656415</v>
      </c>
      <c r="BE299">
        <v>-47.453515773743035</v>
      </c>
      <c r="BF299" s="6">
        <f t="shared" si="226"/>
        <v>5.9510620499655049</v>
      </c>
      <c r="BG299" s="6">
        <f t="shared" si="227"/>
        <v>0.76743417154238003</v>
      </c>
      <c r="BH299" s="6">
        <f t="shared" si="228"/>
        <v>-3.1410235582516499</v>
      </c>
      <c r="BI299" s="6">
        <f t="shared" si="229"/>
        <v>3.1410235582516499</v>
      </c>
      <c r="BJ299">
        <v>152.87412947396015</v>
      </c>
      <c r="BK299">
        <v>-52.726128637492259</v>
      </c>
      <c r="BV299" s="38"/>
      <c r="BW299" s="6">
        <f t="shared" si="230"/>
        <v>4.9567350756638646</v>
      </c>
      <c r="BX299" s="9">
        <f t="shared" ca="1" si="231"/>
        <v>11.268358449790014</v>
      </c>
      <c r="BY299" s="9">
        <f t="shared" ca="1" si="232"/>
        <v>-5.6535390891532629</v>
      </c>
      <c r="BZ299" s="9">
        <f t="shared" ca="1" si="233"/>
        <v>137.14287620388774</v>
      </c>
      <c r="CA299" s="6">
        <f t="shared" ca="1" si="234"/>
        <v>-47.611711673852497</v>
      </c>
      <c r="CB299" s="6">
        <f t="shared" ca="1" si="235"/>
        <v>-0.33415026436014617</v>
      </c>
      <c r="CC299" s="6">
        <f t="shared" ca="1" si="236"/>
        <v>2.1190383756330977E-4</v>
      </c>
      <c r="CD299" s="9">
        <f t="shared" si="237"/>
        <v>149.34287620388773</v>
      </c>
      <c r="CE299" s="9">
        <f t="shared" si="238"/>
        <v>-51.8117116738525</v>
      </c>
      <c r="CF299" s="6">
        <f t="shared" si="239"/>
        <v>-0.33393836052258286</v>
      </c>
      <c r="CG299" s="6"/>
      <c r="CH299" s="6"/>
      <c r="CI299" s="6"/>
      <c r="CJ299" s="1"/>
      <c r="CK299" s="6"/>
    </row>
    <row r="300" spans="55:89" x14ac:dyDescent="0.25">
      <c r="BC300">
        <v>5.201081170943068</v>
      </c>
      <c r="BD300">
        <v>137.60850150358331</v>
      </c>
      <c r="BE300">
        <v>-47.442176709339599</v>
      </c>
      <c r="BF300" s="6">
        <f t="shared" si="226"/>
        <v>5.9511844928187934</v>
      </c>
      <c r="BG300" s="6">
        <f t="shared" si="227"/>
        <v>0.75010332187572537</v>
      </c>
      <c r="BH300" s="6">
        <f t="shared" si="228"/>
        <v>-3.1411460011049384</v>
      </c>
      <c r="BI300" s="6">
        <f t="shared" si="229"/>
        <v>3.1411460011049384</v>
      </c>
      <c r="BJ300">
        <v>152.89833500398146</v>
      </c>
      <c r="BK300">
        <v>-52.713529677043994</v>
      </c>
      <c r="BV300" s="38"/>
      <c r="BW300" s="6">
        <f t="shared" si="230"/>
        <v>4.9741883681838077</v>
      </c>
      <c r="BX300" s="9">
        <f t="shared" ca="1" si="231"/>
        <v>11.32060911397889</v>
      </c>
      <c r="BY300" s="9">
        <f t="shared" ca="1" si="232"/>
        <v>-5.6400338103745398</v>
      </c>
      <c r="BZ300" s="9">
        <f t="shared" ca="1" si="233"/>
        <v>137.19512686807661</v>
      </c>
      <c r="CA300" s="6">
        <f t="shared" ca="1" si="234"/>
        <v>-47.598206395073774</v>
      </c>
      <c r="CB300" s="6">
        <f t="shared" ca="1" si="235"/>
        <v>-0.33394440222474009</v>
      </c>
      <c r="CC300" s="6">
        <f t="shared" ca="1" si="236"/>
        <v>1.9504516295620888E-4</v>
      </c>
      <c r="CD300" s="9">
        <f t="shared" si="237"/>
        <v>149.3951268680766</v>
      </c>
      <c r="CE300" s="9">
        <f t="shared" si="238"/>
        <v>-51.798206395073777</v>
      </c>
      <c r="CF300" s="6">
        <f t="shared" si="239"/>
        <v>-0.33374935706178388</v>
      </c>
      <c r="CG300" s="6"/>
      <c r="CH300" s="6"/>
      <c r="CI300" s="6"/>
      <c r="CJ300" s="1"/>
      <c r="CK300" s="6"/>
    </row>
    <row r="301" spans="55:89" x14ac:dyDescent="0.25">
      <c r="BC301">
        <v>5.2185344634630111</v>
      </c>
      <c r="BD301">
        <v>137.62933586928932</v>
      </c>
      <c r="BE301">
        <v>-47.430865905426842</v>
      </c>
      <c r="BF301" s="6">
        <f t="shared" si="226"/>
        <v>5.9513045960601723</v>
      </c>
      <c r="BG301" s="6">
        <f t="shared" si="227"/>
        <v>0.73277013259716117</v>
      </c>
      <c r="BH301" s="6">
        <f t="shared" si="228"/>
        <v>-3.1412661043463173</v>
      </c>
      <c r="BI301" s="6">
        <f t="shared" si="229"/>
        <v>3.1412661043463173</v>
      </c>
      <c r="BJ301">
        <v>152.92148429921036</v>
      </c>
      <c r="BK301">
        <v>-52.700962117140932</v>
      </c>
      <c r="BV301" s="38"/>
      <c r="BW301" s="6">
        <f t="shared" si="230"/>
        <v>4.9916416607037508</v>
      </c>
      <c r="BX301" s="9">
        <f t="shared" ca="1" si="231"/>
        <v>11.368100875206807</v>
      </c>
      <c r="BY301" s="9">
        <f t="shared" ca="1" si="232"/>
        <v>-5.6268696626524601</v>
      </c>
      <c r="BZ301" s="9">
        <f t="shared" ca="1" si="233"/>
        <v>137.24261862930453</v>
      </c>
      <c r="CA301" s="6">
        <f t="shared" ca="1" si="234"/>
        <v>-47.585042247351694</v>
      </c>
      <c r="CB301" s="6">
        <f t="shared" ca="1" si="235"/>
        <v>-0.33375161834515432</v>
      </c>
      <c r="CC301" s="6">
        <f t="shared" ca="1" si="236"/>
        <v>1.7926791343414461E-4</v>
      </c>
      <c r="CD301" s="9">
        <f t="shared" si="237"/>
        <v>149.44261862930452</v>
      </c>
      <c r="CE301" s="9">
        <f t="shared" si="238"/>
        <v>-51.785042247351697</v>
      </c>
      <c r="CF301" s="6">
        <f t="shared" si="239"/>
        <v>-0.33357235043172018</v>
      </c>
      <c r="CG301" s="6"/>
      <c r="CH301" s="6"/>
      <c r="CI301" s="6"/>
      <c r="CJ301" s="1"/>
      <c r="CK301" s="6"/>
    </row>
    <row r="302" spans="55:89" x14ac:dyDescent="0.25">
      <c r="BC302">
        <v>5.2359877559829542</v>
      </c>
      <c r="BD302">
        <v>137.64930512376279</v>
      </c>
      <c r="BE302">
        <v>-47.419569051890583</v>
      </c>
      <c r="BF302" s="6">
        <f t="shared" si="226"/>
        <v>5.9514226468721878</v>
      </c>
      <c r="BG302" s="6">
        <f t="shared" si="227"/>
        <v>0.71543489088923362</v>
      </c>
      <c r="BH302" s="6">
        <f t="shared" si="228"/>
        <v>-3.1413841551583328</v>
      </c>
      <c r="BI302" s="6">
        <f t="shared" si="229"/>
        <v>3.1413841551583328</v>
      </c>
      <c r="BJ302">
        <v>152.94367235973644</v>
      </c>
      <c r="BK302">
        <v>-52.688410057656199</v>
      </c>
      <c r="BV302" s="38"/>
      <c r="BW302" s="6">
        <f t="shared" si="230"/>
        <v>5.0090949532236939</v>
      </c>
      <c r="BX302" s="9">
        <f t="shared" ca="1" si="231"/>
        <v>11.411552640641759</v>
      </c>
      <c r="BY302" s="9">
        <f t="shared" ca="1" si="232"/>
        <v>-5.6140042081018535</v>
      </c>
      <c r="BZ302" s="9">
        <f t="shared" ca="1" si="233"/>
        <v>137.28607039473948</v>
      </c>
      <c r="CA302" s="6">
        <f t="shared" ca="1" si="234"/>
        <v>-47.572176792801088</v>
      </c>
      <c r="CB302" s="6">
        <f t="shared" ca="1" si="235"/>
        <v>-0.33356998830169382</v>
      </c>
      <c r="CC302" s="6">
        <f t="shared" ca="1" si="236"/>
        <v>1.6441230082853142E-4</v>
      </c>
      <c r="CD302" s="9">
        <f t="shared" si="237"/>
        <v>149.48607039473947</v>
      </c>
      <c r="CE302" s="9">
        <f t="shared" si="238"/>
        <v>-51.772176792801091</v>
      </c>
      <c r="CF302" s="6">
        <f t="shared" si="239"/>
        <v>-0.33340557600086529</v>
      </c>
      <c r="CG302" s="6"/>
      <c r="CH302" s="6"/>
      <c r="CI302" s="6"/>
      <c r="CJ302" s="1"/>
      <c r="CK302" s="6"/>
    </row>
    <row r="303" spans="55:89" x14ac:dyDescent="0.25">
      <c r="BC303">
        <v>5.2534410485028973</v>
      </c>
      <c r="BD303">
        <v>137.66848518833348</v>
      </c>
      <c r="BE303">
        <v>-47.408272221223889</v>
      </c>
      <c r="BF303" s="6">
        <f t="shared" si="226"/>
        <v>5.9515389080915693</v>
      </c>
      <c r="BG303" s="6">
        <f t="shared" si="227"/>
        <v>0.69809785958867199</v>
      </c>
      <c r="BH303" s="6">
        <f t="shared" si="228"/>
        <v>-3.1415004163777143</v>
      </c>
      <c r="BI303" s="6">
        <f t="shared" si="229"/>
        <v>3.1415004163777143</v>
      </c>
      <c r="BJ303">
        <v>152.96498354259276</v>
      </c>
      <c r="BK303">
        <v>-52.675858023582094</v>
      </c>
      <c r="BV303" s="38"/>
      <c r="BW303" s="6">
        <f t="shared" si="230"/>
        <v>5.026548245743637</v>
      </c>
      <c r="BX303" s="9">
        <f t="shared" ca="1" si="231"/>
        <v>11.451541453563976</v>
      </c>
      <c r="BY303" s="9">
        <f t="shared" ca="1" si="232"/>
        <v>-5.6014005660091613</v>
      </c>
      <c r="BZ303" s="9">
        <f t="shared" ca="1" si="233"/>
        <v>137.3260592076617</v>
      </c>
      <c r="CA303" s="6">
        <f t="shared" ca="1" si="234"/>
        <v>-47.559573150708395</v>
      </c>
      <c r="CB303" s="6">
        <f t="shared" ca="1" si="235"/>
        <v>-0.33339795046517451</v>
      </c>
      <c r="CC303" s="6">
        <f t="shared" ca="1" si="236"/>
        <v>1.5034878975933585E-4</v>
      </c>
      <c r="CD303" s="9">
        <f t="shared" si="237"/>
        <v>149.52605920766169</v>
      </c>
      <c r="CE303" s="9">
        <f t="shared" si="238"/>
        <v>-51.759573150708398</v>
      </c>
      <c r="CF303" s="6">
        <f t="shared" si="239"/>
        <v>-0.33324760167541517</v>
      </c>
      <c r="CG303" s="6"/>
      <c r="CH303" s="6"/>
      <c r="CI303" s="6"/>
      <c r="CJ303" s="1"/>
      <c r="CK303" s="6"/>
    </row>
    <row r="304" spans="55:89" x14ac:dyDescent="0.25">
      <c r="BC304">
        <v>5.2708943410228404</v>
      </c>
      <c r="BD304">
        <v>137.68694378122686</v>
      </c>
      <c r="BE304">
        <v>-47.396961765369845</v>
      </c>
      <c r="BF304" s="6">
        <f t="shared" si="226"/>
        <v>5.9516536220259146</v>
      </c>
      <c r="BG304" s="6">
        <f t="shared" si="227"/>
        <v>0.68075928100307426</v>
      </c>
      <c r="BH304" s="6">
        <f t="shared" si="228"/>
        <v>3.1415701768675266</v>
      </c>
      <c r="BI304" s="6">
        <f t="shared" si="229"/>
        <v>3.1415701768675266</v>
      </c>
      <c r="BJ304">
        <v>152.98549309025205</v>
      </c>
      <c r="BK304">
        <v>-52.663290850410938</v>
      </c>
      <c r="BV304" s="38"/>
      <c r="BW304" s="6">
        <f t="shared" si="230"/>
        <v>5.0440015382635801</v>
      </c>
      <c r="BX304" s="9">
        <f t="shared" ca="1" si="231"/>
        <v>11.488536600506819</v>
      </c>
      <c r="BY304" s="9">
        <f t="shared" ca="1" si="232"/>
        <v>-5.5890263210541917</v>
      </c>
      <c r="BZ304" s="9">
        <f t="shared" ca="1" si="233"/>
        <v>137.36305435460454</v>
      </c>
      <c r="CA304" s="6">
        <f t="shared" ca="1" si="234"/>
        <v>-47.547198905753426</v>
      </c>
      <c r="CB304" s="6">
        <f t="shared" ca="1" si="235"/>
        <v>-0.33323422009884157</v>
      </c>
      <c r="CC304" s="6">
        <f t="shared" ca="1" si="236"/>
        <v>1.3697091193443089E-4</v>
      </c>
      <c r="CD304" s="9">
        <f t="shared" si="237"/>
        <v>149.56305435460453</v>
      </c>
      <c r="CE304" s="9">
        <f t="shared" si="238"/>
        <v>-51.747198905753429</v>
      </c>
      <c r="CF304" s="6">
        <f t="shared" si="239"/>
        <v>-0.33309724918690714</v>
      </c>
      <c r="CG304" s="6"/>
      <c r="CH304" s="6"/>
      <c r="CI304" s="6"/>
      <c r="CJ304" s="1"/>
      <c r="CK304" s="6"/>
    </row>
    <row r="305" spans="55:89" x14ac:dyDescent="0.25">
      <c r="BC305">
        <v>5.2883476335427835</v>
      </c>
      <c r="BD305">
        <v>137.70474155973653</v>
      </c>
      <c r="BE305">
        <v>-47.385624219175668</v>
      </c>
      <c r="BF305" s="6">
        <f t="shared" si="226"/>
        <v>5.9517670136921144</v>
      </c>
      <c r="BG305" s="6">
        <f t="shared" si="227"/>
        <v>0.66341938014933088</v>
      </c>
      <c r="BH305" s="6">
        <f t="shared" si="228"/>
        <v>3.1414567852013269</v>
      </c>
      <c r="BI305" s="6">
        <f t="shared" si="229"/>
        <v>3.1414567852013269</v>
      </c>
      <c r="BJ305">
        <v>153.00526839970726</v>
      </c>
      <c r="BK305">
        <v>-52.650693576861855</v>
      </c>
      <c r="BV305" s="38"/>
      <c r="BW305" s="6">
        <f t="shared" si="230"/>
        <v>5.0614548307835232</v>
      </c>
      <c r="BX305" s="9">
        <f t="shared" ca="1" si="231"/>
        <v>11.52292419608284</v>
      </c>
      <c r="BY305" s="9">
        <f t="shared" ca="1" si="232"/>
        <v>-5.5768526754775181</v>
      </c>
      <c r="BZ305" s="9">
        <f t="shared" ca="1" si="233"/>
        <v>137.39744195018056</v>
      </c>
      <c r="CA305" s="6">
        <f t="shared" ca="1" si="234"/>
        <v>-47.535025260176752</v>
      </c>
      <c r="CB305" s="6">
        <f t="shared" ca="1" si="235"/>
        <v>-0.33307772710959604</v>
      </c>
      <c r="CC305" s="6">
        <f t="shared" ca="1" si="236"/>
        <v>1.2419006439384761E-4</v>
      </c>
      <c r="CD305" s="9">
        <f t="shared" si="237"/>
        <v>149.59744195018055</v>
      </c>
      <c r="CE305" s="9">
        <f t="shared" si="238"/>
        <v>-51.735025260176755</v>
      </c>
      <c r="CF305" s="6">
        <f t="shared" si="239"/>
        <v>-0.3329535370452022</v>
      </c>
      <c r="CG305" s="6"/>
      <c r="CH305" s="6"/>
      <c r="CI305" s="6"/>
      <c r="CJ305" s="1"/>
      <c r="CK305" s="6"/>
    </row>
    <row r="306" spans="55:89" x14ac:dyDescent="0.25">
      <c r="BC306">
        <v>5.3058009260627266</v>
      </c>
      <c r="BD306">
        <v>137.72193306937456</v>
      </c>
      <c r="BE306">
        <v>-47.374246206597476</v>
      </c>
      <c r="BF306" s="6">
        <f t="shared" si="226"/>
        <v>5.951879293594847</v>
      </c>
      <c r="BG306" s="6">
        <f t="shared" si="227"/>
        <v>0.64607836753212045</v>
      </c>
      <c r="BH306" s="6">
        <f t="shared" si="228"/>
        <v>3.1413445052985942</v>
      </c>
      <c r="BI306" s="6">
        <f t="shared" si="229"/>
        <v>3.1413445052985942</v>
      </c>
      <c r="BJ306">
        <v>153.02437007708284</v>
      </c>
      <c r="BK306">
        <v>-52.638051340663864</v>
      </c>
      <c r="BV306" s="38"/>
      <c r="BW306" s="6">
        <f t="shared" si="230"/>
        <v>5.0789081233034663</v>
      </c>
      <c r="BX306" s="9">
        <f t="shared" ca="1" si="231"/>
        <v>11.555025250340464</v>
      </c>
      <c r="BY306" s="9">
        <f t="shared" ca="1" si="232"/>
        <v>-5.5648537894907832</v>
      </c>
      <c r="BZ306" s="9">
        <f t="shared" ca="1" si="233"/>
        <v>137.42954300443819</v>
      </c>
      <c r="CA306" s="6">
        <f t="shared" ca="1" si="234"/>
        <v>-47.523026374190017</v>
      </c>
      <c r="CB306" s="6">
        <f t="shared" ca="1" si="235"/>
        <v>-0.33292757010757085</v>
      </c>
      <c r="CC306" s="6">
        <f t="shared" ca="1" si="236"/>
        <v>1.1193167429307538E-4</v>
      </c>
      <c r="CD306" s="9">
        <f t="shared" si="237"/>
        <v>149.62954300443818</v>
      </c>
      <c r="CE306" s="9">
        <f t="shared" si="238"/>
        <v>-51.72302637419002</v>
      </c>
      <c r="CF306" s="6">
        <f t="shared" si="239"/>
        <v>-0.33281563843327777</v>
      </c>
      <c r="CG306" s="6"/>
      <c r="CH306" s="6"/>
      <c r="CI306" s="6"/>
      <c r="CJ306" s="1"/>
      <c r="CK306" s="6"/>
    </row>
    <row r="307" spans="55:89" x14ac:dyDescent="0.25">
      <c r="BC307">
        <v>5.3232542185826697</v>
      </c>
      <c r="BD307">
        <v>137.73856755505895</v>
      </c>
      <c r="BE307">
        <v>-47.362814357587922</v>
      </c>
      <c r="BF307" s="6">
        <f t="shared" si="226"/>
        <v>5.951990660118855</v>
      </c>
      <c r="BG307" s="6">
        <f t="shared" si="227"/>
        <v>0.62873644153618535</v>
      </c>
      <c r="BH307" s="6">
        <f t="shared" si="228"/>
        <v>3.1412331387745862</v>
      </c>
      <c r="BI307" s="6">
        <f t="shared" si="229"/>
        <v>3.1412331387745862</v>
      </c>
      <c r="BJ307">
        <v>153.04285283895439</v>
      </c>
      <c r="BK307">
        <v>-52.625349286208802</v>
      </c>
      <c r="BV307" s="38"/>
      <c r="BW307" s="6">
        <f t="shared" si="230"/>
        <v>5.0963614158234094</v>
      </c>
      <c r="BX307" s="9">
        <f t="shared" ca="1" si="231"/>
        <v>11.585109163889712</v>
      </c>
      <c r="BY307" s="9">
        <f t="shared" ca="1" si="232"/>
        <v>-5.5530062583205506</v>
      </c>
      <c r="BZ307" s="9">
        <f t="shared" ca="1" si="233"/>
        <v>137.45962691798744</v>
      </c>
      <c r="CA307" s="6">
        <f t="shared" ca="1" si="234"/>
        <v>-47.511178843019785</v>
      </c>
      <c r="CB307" s="6">
        <f t="shared" ca="1" si="235"/>
        <v>-0.33278298192463979</v>
      </c>
      <c r="CC307" s="6">
        <f t="shared" ca="1" si="236"/>
        <v>1.0013232293315522E-4</v>
      </c>
      <c r="CD307" s="9">
        <f t="shared" si="237"/>
        <v>149.65962691798742</v>
      </c>
      <c r="CE307" s="9">
        <f t="shared" si="238"/>
        <v>-51.711178843019788</v>
      </c>
      <c r="CF307" s="6">
        <f t="shared" si="239"/>
        <v>-0.33268284960170663</v>
      </c>
      <c r="CG307" s="6"/>
      <c r="CH307" s="6"/>
      <c r="CI307" s="6"/>
      <c r="CJ307" s="1"/>
      <c r="CK307" s="6"/>
    </row>
    <row r="308" spans="55:89" x14ac:dyDescent="0.25">
      <c r="BC308">
        <v>5.3407075111026128</v>
      </c>
      <c r="BD308">
        <v>137.75468964094341</v>
      </c>
      <c r="BE308">
        <v>-47.35131522403718</v>
      </c>
      <c r="BF308" s="6">
        <f t="shared" si="226"/>
        <v>5.9521013016269491</v>
      </c>
      <c r="BG308" s="6">
        <f t="shared" si="227"/>
        <v>0.61139379052433629</v>
      </c>
      <c r="BH308" s="6">
        <f t="shared" si="228"/>
        <v>3.1411224972664922</v>
      </c>
      <c r="BI308" s="6">
        <f t="shared" si="229"/>
        <v>3.1411224972664922</v>
      </c>
      <c r="BJ308">
        <v>153.06076626771491</v>
      </c>
      <c r="BK308">
        <v>-52.612572471152419</v>
      </c>
      <c r="BV308" s="38"/>
      <c r="BW308" s="6">
        <f t="shared" si="230"/>
        <v>5.1138147083433525</v>
      </c>
      <c r="BX308" s="9">
        <f t="shared" ca="1" si="231"/>
        <v>11.613403962727858</v>
      </c>
      <c r="BY308" s="9">
        <f t="shared" ca="1" si="232"/>
        <v>-5.5412886940671484</v>
      </c>
      <c r="BZ308" s="9">
        <f t="shared" ca="1" si="233"/>
        <v>137.48792171682558</v>
      </c>
      <c r="CA308" s="6">
        <f t="shared" ca="1" si="234"/>
        <v>-47.499461278766383</v>
      </c>
      <c r="CB308" s="6">
        <f t="shared" ca="1" si="235"/>
        <v>-0.33264330334467929</v>
      </c>
      <c r="CC308" s="6">
        <f t="shared" ca="1" si="236"/>
        <v>8.8737556560525288E-5</v>
      </c>
      <c r="CD308" s="9">
        <f t="shared" si="237"/>
        <v>149.68792171682557</v>
      </c>
      <c r="CE308" s="9">
        <f t="shared" si="238"/>
        <v>-51.699461278766385</v>
      </c>
      <c r="CF308" s="6">
        <f t="shared" si="239"/>
        <v>-0.33255456578811876</v>
      </c>
      <c r="CG308" s="6"/>
      <c r="CH308" s="6"/>
      <c r="CI308" s="6"/>
      <c r="CJ308" s="1"/>
      <c r="CK308" s="6"/>
    </row>
    <row r="309" spans="55:89" x14ac:dyDescent="0.25">
      <c r="BC309">
        <v>5.3581608036225559</v>
      </c>
      <c r="BD309">
        <v>137.77033990965998</v>
      </c>
      <c r="BE309">
        <v>-47.339735197666336</v>
      </c>
      <c r="BF309" s="6">
        <f t="shared" si="226"/>
        <v>5.9522113983150122</v>
      </c>
      <c r="BG309" s="6">
        <f t="shared" si="227"/>
        <v>0.59405059469245636</v>
      </c>
      <c r="BH309" s="6">
        <f t="shared" si="228"/>
        <v>3.141012400578429</v>
      </c>
      <c r="BI309" s="6">
        <f t="shared" si="229"/>
        <v>3.141012400578429</v>
      </c>
      <c r="BJ309">
        <v>153.07815545517775</v>
      </c>
      <c r="BK309">
        <v>-52.599705775184816</v>
      </c>
      <c r="BV309" s="38"/>
      <c r="BW309" s="6">
        <f t="shared" si="230"/>
        <v>5.1312680008632956</v>
      </c>
      <c r="BX309" s="9">
        <f t="shared" ca="1" si="231"/>
        <v>11.640104148711401</v>
      </c>
      <c r="BY309" s="9">
        <f t="shared" ca="1" si="232"/>
        <v>-5.5296813783239926</v>
      </c>
      <c r="BZ309" s="9">
        <f t="shared" ca="1" si="233"/>
        <v>137.51462190280913</v>
      </c>
      <c r="CA309" s="6">
        <f t="shared" ca="1" si="234"/>
        <v>-47.487853963023227</v>
      </c>
      <c r="CB309" s="6">
        <f t="shared" ca="1" si="235"/>
        <v>-0.33250796279487732</v>
      </c>
      <c r="CC309" s="6">
        <f t="shared" ca="1" si="236"/>
        <v>7.7700195331320554E-5</v>
      </c>
      <c r="CD309" s="9">
        <f t="shared" si="237"/>
        <v>149.71462190280911</v>
      </c>
      <c r="CE309" s="9">
        <f t="shared" si="238"/>
        <v>-51.68785396302323</v>
      </c>
      <c r="CF309" s="6">
        <f t="shared" si="239"/>
        <v>-0.332430262599546</v>
      </c>
      <c r="CG309" s="6"/>
      <c r="CH309" s="6"/>
      <c r="CI309" s="6"/>
      <c r="CJ309" s="1"/>
      <c r="CK309" s="6"/>
    </row>
    <row r="310" spans="55:89" x14ac:dyDescent="0.25">
      <c r="BC310">
        <v>5.375614096142499</v>
      </c>
      <c r="BD310">
        <v>137.78555540491129</v>
      </c>
      <c r="BE310">
        <v>-47.328060431520107</v>
      </c>
      <c r="BF310" s="6">
        <f t="shared" si="226"/>
        <v>5.9523211238678089</v>
      </c>
      <c r="BG310" s="6">
        <f t="shared" si="227"/>
        <v>0.57670702772530991</v>
      </c>
      <c r="BH310" s="6">
        <f t="shared" si="228"/>
        <v>3.1409026750256324</v>
      </c>
      <c r="BI310" s="6">
        <f t="shared" si="229"/>
        <v>3.1409026750256324</v>
      </c>
      <c r="BJ310">
        <v>153.09506156101256</v>
      </c>
      <c r="BK310">
        <v>-52.586733812800119</v>
      </c>
      <c r="BV310" s="38"/>
      <c r="BW310" s="6">
        <f t="shared" si="230"/>
        <v>5.1487212933832387</v>
      </c>
      <c r="BX310" s="9">
        <f t="shared" ca="1" si="231"/>
        <v>11.665376814982551</v>
      </c>
      <c r="BY310" s="9">
        <f t="shared" ca="1" si="232"/>
        <v>-5.5181659812361374</v>
      </c>
      <c r="BZ310" s="9">
        <f t="shared" ca="1" si="233"/>
        <v>137.53989456908027</v>
      </c>
      <c r="CA310" s="6">
        <f t="shared" ca="1" si="234"/>
        <v>-47.476338565935372</v>
      </c>
      <c r="CB310" s="6">
        <f t="shared" ca="1" si="235"/>
        <v>-0.33237646046981301</v>
      </c>
      <c r="CC310" s="6">
        <f t="shared" ca="1" si="236"/>
        <v>6.6979012355805612E-5</v>
      </c>
      <c r="CD310" s="9">
        <f t="shared" si="237"/>
        <v>149.73989456908026</v>
      </c>
      <c r="CE310" s="9">
        <f t="shared" si="238"/>
        <v>-51.676338565935374</v>
      </c>
      <c r="CF310" s="6">
        <f t="shared" si="239"/>
        <v>-0.3323094814574572</v>
      </c>
      <c r="CG310" s="6"/>
      <c r="CH310" s="6"/>
      <c r="CI310" s="6"/>
      <c r="CJ310" s="1"/>
      <c r="CK310" s="6"/>
    </row>
    <row r="311" spans="55:89" x14ac:dyDescent="0.25">
      <c r="BC311">
        <v>5.3930673886624421</v>
      </c>
      <c r="BD311">
        <v>137.80037005112661</v>
      </c>
      <c r="BE311">
        <v>-47.316276754273687</v>
      </c>
      <c r="BF311" s="6">
        <f t="shared" si="226"/>
        <v>5.9524306469724673</v>
      </c>
      <c r="BG311" s="6">
        <f t="shared" si="227"/>
        <v>0.5593632583100252</v>
      </c>
      <c r="BH311" s="6">
        <f t="shared" si="228"/>
        <v>3.140793151920974</v>
      </c>
      <c r="BI311" s="6">
        <f t="shared" si="229"/>
        <v>3.140793151920974</v>
      </c>
      <c r="BJ311">
        <v>153.11152227902957</v>
      </c>
      <c r="BK311">
        <v>-52.573640838081872</v>
      </c>
      <c r="BV311" s="38"/>
      <c r="BW311" s="6">
        <f t="shared" si="230"/>
        <v>5.1661745859031818</v>
      </c>
      <c r="BX311" s="9">
        <f t="shared" ca="1" si="231"/>
        <v>11.689366454731214</v>
      </c>
      <c r="BY311" s="9">
        <f t="shared" ca="1" si="232"/>
        <v>-5.5067253266484286</v>
      </c>
      <c r="BZ311" s="9">
        <f t="shared" ca="1" si="233"/>
        <v>137.56388420882894</v>
      </c>
      <c r="CA311" s="6">
        <f t="shared" ca="1" si="234"/>
        <v>-47.464897911347663</v>
      </c>
      <c r="CB311" s="6">
        <f t="shared" ca="1" si="235"/>
        <v>-0.33224835576522976</v>
      </c>
      <c r="CC311" s="6">
        <f t="shared" ca="1" si="236"/>
        <v>5.6537688891300508E-5</v>
      </c>
      <c r="CD311" s="9">
        <f t="shared" si="237"/>
        <v>149.76388420882893</v>
      </c>
      <c r="CE311" s="9">
        <f t="shared" si="238"/>
        <v>-51.664897911347666</v>
      </c>
      <c r="CF311" s="6">
        <f t="shared" si="239"/>
        <v>-0.33219181807633846</v>
      </c>
      <c r="CG311" s="6"/>
      <c r="CH311" s="6"/>
      <c r="CI311" s="6"/>
      <c r="CJ311" s="1"/>
      <c r="CK311" s="6"/>
    </row>
    <row r="312" spans="55:89" x14ac:dyDescent="0.25">
      <c r="BC312">
        <v>5.4105206811823852</v>
      </c>
      <c r="BD312">
        <v>137.81481503208335</v>
      </c>
      <c r="BE312">
        <v>-47.304369590312952</v>
      </c>
      <c r="BF312" s="6">
        <f t="shared" si="226"/>
        <v>5.9525401326996796</v>
      </c>
      <c r="BG312" s="6">
        <f t="shared" si="227"/>
        <v>0.54201945151729447</v>
      </c>
      <c r="BH312" s="6">
        <f t="shared" si="228"/>
        <v>3.1406836661937616</v>
      </c>
      <c r="BI312" s="6">
        <f t="shared" si="229"/>
        <v>3.1406836661937616</v>
      </c>
      <c r="BJ312">
        <v>153.12757225787038</v>
      </c>
      <c r="BK312">
        <v>-52.560410655903276</v>
      </c>
      <c r="BV312" s="38"/>
      <c r="BW312" s="6">
        <f t="shared" si="230"/>
        <v>5.1836278784231249</v>
      </c>
      <c r="BX312" s="9">
        <f t="shared" ca="1" si="231"/>
        <v>11.712198772466422</v>
      </c>
      <c r="BY312" s="9">
        <f t="shared" ca="1" si="232"/>
        <v>-5.4953431890438011</v>
      </c>
      <c r="BZ312" s="9">
        <f t="shared" ca="1" si="233"/>
        <v>137.58671652656415</v>
      </c>
      <c r="CA312" s="6">
        <f t="shared" ca="1" si="234"/>
        <v>-47.453515773743035</v>
      </c>
      <c r="CB312" s="6">
        <f t="shared" ca="1" si="235"/>
        <v>-0.33212325721408159</v>
      </c>
      <c r="CC312" s="6">
        <f t="shared" ca="1" si="236"/>
        <v>4.6343978191032427E-5</v>
      </c>
      <c r="CD312" s="9">
        <f t="shared" si="237"/>
        <v>149.78671652656413</v>
      </c>
      <c r="CE312" s="9">
        <f t="shared" si="238"/>
        <v>-51.653515773743038</v>
      </c>
      <c r="CF312" s="6">
        <f t="shared" si="239"/>
        <v>-0.33207691323589056</v>
      </c>
      <c r="CG312" s="6"/>
      <c r="CH312" s="6"/>
      <c r="CI312" s="6"/>
      <c r="CJ312" s="1"/>
      <c r="CK312" s="6"/>
    </row>
    <row r="313" spans="55:89" x14ac:dyDescent="0.25">
      <c r="BC313">
        <v>5.4279739737023283</v>
      </c>
      <c r="BD313">
        <v>137.82891910485108</v>
      </c>
      <c r="BE313">
        <v>-47.292323869028927</v>
      </c>
      <c r="BF313" s="6">
        <f t="shared" si="226"/>
        <v>5.9526497438079584</v>
      </c>
      <c r="BG313" s="6">
        <f t="shared" si="227"/>
        <v>0.52467577010563016</v>
      </c>
      <c r="BH313" s="6">
        <f t="shared" si="228"/>
        <v>3.1405740550854828</v>
      </c>
      <c r="BI313" s="6">
        <f t="shared" si="229"/>
        <v>3.1405740550854828</v>
      </c>
      <c r="BJ313">
        <v>153.14324344983453</v>
      </c>
      <c r="BK313">
        <v>-52.547026521143252</v>
      </c>
      <c r="BV313" s="38"/>
      <c r="BW313" s="6">
        <f t="shared" si="230"/>
        <v>5.201081170943068</v>
      </c>
      <c r="BX313" s="9">
        <f t="shared" ca="1" si="231"/>
        <v>11.733983749485589</v>
      </c>
      <c r="BY313" s="9">
        <f t="shared" ca="1" si="232"/>
        <v>-5.4840041246403644</v>
      </c>
      <c r="BZ313" s="9">
        <f t="shared" ca="1" si="233"/>
        <v>137.60850150358331</v>
      </c>
      <c r="CA313" s="6">
        <f t="shared" ca="1" si="234"/>
        <v>-47.442176709339599</v>
      </c>
      <c r="CB313" s="6">
        <f t="shared" ca="1" si="235"/>
        <v>-0.3320008143607926</v>
      </c>
      <c r="CC313" s="6">
        <f t="shared" ca="1" si="236"/>
        <v>3.6369030826932658E-5</v>
      </c>
      <c r="CD313" s="9">
        <f t="shared" si="237"/>
        <v>149.8085015035833</v>
      </c>
      <c r="CE313" s="9">
        <f t="shared" si="238"/>
        <v>-51.642176709339601</v>
      </c>
      <c r="CF313" s="6">
        <f t="shared" si="239"/>
        <v>-0.33196444532996566</v>
      </c>
      <c r="CG313" s="6"/>
      <c r="CH313" s="6"/>
      <c r="CI313" s="6"/>
      <c r="CJ313" s="1"/>
      <c r="CK313" s="6"/>
    </row>
    <row r="314" spans="55:89" x14ac:dyDescent="0.25">
      <c r="BC314">
        <v>5.4454272662222714</v>
      </c>
      <c r="BD314">
        <v>137.84270888192387</v>
      </c>
      <c r="BE314">
        <v>-47.280123933731474</v>
      </c>
      <c r="BF314" s="6">
        <f t="shared" si="226"/>
        <v>5.9527596419771562</v>
      </c>
      <c r="BG314" s="6">
        <f t="shared" si="227"/>
        <v>0.50733237575488488</v>
      </c>
      <c r="BH314" s="6">
        <f t="shared" si="228"/>
        <v>3.140464156916285</v>
      </c>
      <c r="BI314" s="6">
        <f t="shared" si="229"/>
        <v>3.140464156916285</v>
      </c>
      <c r="BJ314">
        <v>153.15856542435986</v>
      </c>
      <c r="BK314">
        <v>-52.533471037479416</v>
      </c>
      <c r="BV314" s="38"/>
      <c r="BW314" s="6">
        <f t="shared" si="230"/>
        <v>5.2185344634630111</v>
      </c>
      <c r="BX314" s="9">
        <f t="shared" ca="1" si="231"/>
        <v>11.754818115191597</v>
      </c>
      <c r="BY314" s="9">
        <f t="shared" ca="1" si="232"/>
        <v>-5.4726933207276076</v>
      </c>
      <c r="BZ314" s="9">
        <f t="shared" ca="1" si="233"/>
        <v>137.62933586928932</v>
      </c>
      <c r="CA314" s="6">
        <f t="shared" ca="1" si="234"/>
        <v>-47.430865905426842</v>
      </c>
      <c r="CB314" s="6">
        <f t="shared" ca="1" si="235"/>
        <v>-0.33188071111941386</v>
      </c>
      <c r="CC314" s="6">
        <f t="shared" ca="1" si="236"/>
        <v>2.6586843606180025E-5</v>
      </c>
      <c r="CD314" s="9">
        <f t="shared" si="237"/>
        <v>149.82933586928931</v>
      </c>
      <c r="CE314" s="9">
        <f t="shared" si="238"/>
        <v>-51.630865905426845</v>
      </c>
      <c r="CF314" s="6">
        <f t="shared" si="239"/>
        <v>-0.33185412427580768</v>
      </c>
      <c r="CG314" s="6"/>
      <c r="CH314" s="6"/>
      <c r="CI314" s="6"/>
      <c r="CJ314" s="1"/>
      <c r="CK314" s="6"/>
    </row>
    <row r="315" spans="55:89" x14ac:dyDescent="0.25">
      <c r="BC315">
        <v>5.4628805587422145</v>
      </c>
      <c r="BD315">
        <v>137.85620908124503</v>
      </c>
      <c r="BE315">
        <v>-47.26775344567374</v>
      </c>
      <c r="BF315" s="6">
        <f t="shared" si="226"/>
        <v>5.9528699890002255</v>
      </c>
      <c r="BG315" s="6">
        <f t="shared" si="227"/>
        <v>0.48998943025801101</v>
      </c>
      <c r="BH315" s="6">
        <f t="shared" si="228"/>
        <v>3.1403538098932158</v>
      </c>
      <c r="BI315" s="6">
        <f t="shared" si="229"/>
        <v>3.1403538098932158</v>
      </c>
      <c r="BJ315">
        <v>153.17356564582781</v>
      </c>
      <c r="BK315">
        <v>-52.519726050748602</v>
      </c>
      <c r="BV315" s="38"/>
      <c r="BW315" s="6">
        <f t="shared" si="230"/>
        <v>5.2359877559829542</v>
      </c>
      <c r="BX315" s="9">
        <f t="shared" ca="1" si="231"/>
        <v>11.774787369665063</v>
      </c>
      <c r="BY315" s="9">
        <f t="shared" ca="1" si="232"/>
        <v>-5.4613964671913493</v>
      </c>
      <c r="BZ315" s="9">
        <f t="shared" ca="1" si="233"/>
        <v>137.64930512376279</v>
      </c>
      <c r="CA315" s="6">
        <f t="shared" ca="1" si="234"/>
        <v>-47.419569051890583</v>
      </c>
      <c r="CB315" s="6">
        <f t="shared" ca="1" si="235"/>
        <v>-0.33176266030739859</v>
      </c>
      <c r="CC315" s="6">
        <f t="shared" ca="1" si="236"/>
        <v>1.6973806317599482E-5</v>
      </c>
      <c r="CD315" s="9">
        <f t="shared" si="237"/>
        <v>149.84930512376278</v>
      </c>
      <c r="CE315" s="9">
        <f t="shared" si="238"/>
        <v>-51.619569051890586</v>
      </c>
      <c r="CF315" s="6">
        <f t="shared" si="239"/>
        <v>-0.33174568650108099</v>
      </c>
      <c r="CG315" s="6"/>
      <c r="CH315" s="6"/>
      <c r="CI315" s="6"/>
      <c r="CJ315" s="1"/>
      <c r="CK315" s="6"/>
    </row>
    <row r="316" spans="55:89" x14ac:dyDescent="0.25">
      <c r="BC316">
        <v>5.4803338512621576</v>
      </c>
      <c r="BD316">
        <v>137.86944273700786</v>
      </c>
      <c r="BE316">
        <v>-47.255195276163128</v>
      </c>
      <c r="BF316" s="6">
        <f t="shared" si="226"/>
        <v>5.9529809479632894</v>
      </c>
      <c r="BG316" s="6">
        <f t="shared" si="227"/>
        <v>0.47264709670113181</v>
      </c>
      <c r="BH316" s="6">
        <f t="shared" si="228"/>
        <v>3.1402428509301519</v>
      </c>
      <c r="BI316" s="6">
        <f t="shared" si="229"/>
        <v>3.1402428509301519</v>
      </c>
      <c r="BJ316">
        <v>153.1882697077865</v>
      </c>
      <c r="BK316">
        <v>-52.505772529070143</v>
      </c>
      <c r="BV316" s="38"/>
      <c r="BW316" s="6">
        <f t="shared" si="230"/>
        <v>5.2534410485028973</v>
      </c>
      <c r="BX316" s="9">
        <f t="shared" ca="1" si="231"/>
        <v>11.793967434235753</v>
      </c>
      <c r="BY316" s="9">
        <f t="shared" ca="1" si="232"/>
        <v>-5.450099636524655</v>
      </c>
      <c r="BZ316" s="9">
        <f t="shared" ca="1" si="233"/>
        <v>137.66848518833348</v>
      </c>
      <c r="CA316" s="6">
        <f t="shared" ca="1" si="234"/>
        <v>-47.408272221223889</v>
      </c>
      <c r="CB316" s="6">
        <f t="shared" ca="1" si="235"/>
        <v>-0.33164639908801663</v>
      </c>
      <c r="CC316" s="6">
        <f t="shared" ca="1" si="236"/>
        <v>7.5083240926310246E-6</v>
      </c>
      <c r="CD316" s="9">
        <f t="shared" si="237"/>
        <v>149.86848518833347</v>
      </c>
      <c r="CE316" s="9">
        <f t="shared" si="238"/>
        <v>-51.608272221223892</v>
      </c>
      <c r="CF316" s="6">
        <f t="shared" si="239"/>
        <v>-0.331638890763924</v>
      </c>
      <c r="CG316" s="6"/>
      <c r="CH316" s="6"/>
      <c r="CI316" s="6"/>
      <c r="CJ316" s="1"/>
      <c r="CK316" s="6"/>
    </row>
    <row r="317" spans="55:89" x14ac:dyDescent="0.25">
      <c r="BC317">
        <v>5.4977871437821006</v>
      </c>
      <c r="BD317">
        <v>137.88243139297884</v>
      </c>
      <c r="BE317">
        <v>-47.242431393017114</v>
      </c>
      <c r="BF317" s="6">
        <f t="shared" si="226"/>
        <v>5.9530926844221161</v>
      </c>
      <c r="BG317" s="6">
        <f t="shared" si="227"/>
        <v>0.45530554064001549</v>
      </c>
      <c r="BH317" s="6">
        <f t="shared" si="228"/>
        <v>3.1401311144713251</v>
      </c>
      <c r="BI317" s="6">
        <f t="shared" si="229"/>
        <v>3.1401311144713251</v>
      </c>
      <c r="BJ317">
        <v>153.20270154775426</v>
      </c>
      <c r="BK317">
        <v>-52.491590436685684</v>
      </c>
      <c r="BV317" s="38"/>
      <c r="BW317" s="6">
        <f t="shared" si="230"/>
        <v>5.2708943410228404</v>
      </c>
      <c r="BX317" s="9">
        <f t="shared" ca="1" si="231"/>
        <v>11.812426027129135</v>
      </c>
      <c r="BY317" s="9">
        <f t="shared" ca="1" si="232"/>
        <v>-5.4387891806706108</v>
      </c>
      <c r="BZ317" s="9">
        <f t="shared" ca="1" si="233"/>
        <v>137.68694378122686</v>
      </c>
      <c r="CA317" s="6">
        <f t="shared" ca="1" si="234"/>
        <v>-47.396961765369845</v>
      </c>
      <c r="CB317" s="6">
        <f t="shared" ca="1" si="235"/>
        <v>-0.33153168515367126</v>
      </c>
      <c r="CC317" s="6">
        <f t="shared" ca="1" si="236"/>
        <v>-1.829498646133132E-6</v>
      </c>
      <c r="CD317" s="9">
        <f t="shared" si="237"/>
        <v>149.88694378122685</v>
      </c>
      <c r="CE317" s="9">
        <f t="shared" si="238"/>
        <v>-51.596961765369848</v>
      </c>
      <c r="CF317" s="6">
        <f t="shared" si="239"/>
        <v>-0.3315335146523174</v>
      </c>
      <c r="CG317" s="6"/>
      <c r="CH317" s="6"/>
      <c r="CI317" s="6"/>
      <c r="CJ317" s="1"/>
      <c r="CK317" s="6"/>
    </row>
    <row r="318" spans="55:89" x14ac:dyDescent="0.25">
      <c r="BC318">
        <v>5.5152404363020437</v>
      </c>
      <c r="BD318">
        <v>137.89519527655028</v>
      </c>
      <c r="BE318">
        <v>-47.22944273699926</v>
      </c>
      <c r="BF318" s="6">
        <f t="shared" si="226"/>
        <v>5.9532053675995478</v>
      </c>
      <c r="BG318" s="6">
        <f t="shared" si="227"/>
        <v>0.43796493129750402</v>
      </c>
      <c r="BH318" s="6">
        <f t="shared" si="228"/>
        <v>3.1400184312938935</v>
      </c>
      <c r="BI318" s="6">
        <f t="shared" si="229"/>
        <v>3.1400184312938935</v>
      </c>
      <c r="BJ318">
        <v>153.21688364061143</v>
      </c>
      <c r="BK318">
        <v>-52.477158596665845</v>
      </c>
      <c r="BV318" s="38"/>
      <c r="BW318" s="6">
        <f t="shared" si="230"/>
        <v>5.2883476335427835</v>
      </c>
      <c r="BX318" s="9">
        <f t="shared" ca="1" si="231"/>
        <v>11.830223805638809</v>
      </c>
      <c r="BY318" s="9">
        <f t="shared" ca="1" si="232"/>
        <v>-5.4274516344764336</v>
      </c>
      <c r="BZ318" s="9">
        <f t="shared" ca="1" si="233"/>
        <v>137.70474155973653</v>
      </c>
      <c r="CA318" s="6">
        <f t="shared" ca="1" si="234"/>
        <v>-47.385624219175668</v>
      </c>
      <c r="CB318" s="6">
        <f t="shared" ca="1" si="235"/>
        <v>-0.3314182934874717</v>
      </c>
      <c r="CC318" s="6">
        <f t="shared" ca="1" si="236"/>
        <v>-1.1058126158647319E-5</v>
      </c>
      <c r="CD318" s="9">
        <f t="shared" si="237"/>
        <v>149.90474155973652</v>
      </c>
      <c r="CE318" s="9">
        <f t="shared" si="238"/>
        <v>-51.585624219175671</v>
      </c>
      <c r="CF318" s="6">
        <f t="shared" si="239"/>
        <v>-0.33142935161363035</v>
      </c>
      <c r="CG318" s="6"/>
      <c r="CH318" s="6"/>
      <c r="CI318" s="6"/>
      <c r="CJ318" s="1"/>
      <c r="CK318" s="6"/>
    </row>
    <row r="319" spans="55:89" x14ac:dyDescent="0.25">
      <c r="BC319">
        <v>5.5326937288219868</v>
      </c>
      <c r="BD319">
        <v>137.90775344655592</v>
      </c>
      <c r="BE319">
        <v>-47.216209081742029</v>
      </c>
      <c r="BF319" s="6">
        <f t="shared" si="226"/>
        <v>5.9533191716307332</v>
      </c>
      <c r="BG319" s="6">
        <f t="shared" si="227"/>
        <v>0.42062544280874636</v>
      </c>
      <c r="BH319" s="6">
        <f t="shared" si="228"/>
        <v>3.139904627262708</v>
      </c>
      <c r="BI319" s="6">
        <f t="shared" si="229"/>
        <v>3.139904627262708</v>
      </c>
      <c r="BJ319">
        <v>153.23083716283989</v>
      </c>
      <c r="BK319">
        <v>-52.462454535268918</v>
      </c>
      <c r="BV319" s="38"/>
      <c r="BW319" s="6">
        <f t="shared" si="230"/>
        <v>5.3058009260627266</v>
      </c>
      <c r="BX319" s="9">
        <f t="shared" ca="1" si="231"/>
        <v>11.847415315276834</v>
      </c>
      <c r="BY319" s="9">
        <f t="shared" ca="1" si="232"/>
        <v>-5.4160736218982422</v>
      </c>
      <c r="BZ319" s="9">
        <f t="shared" ca="1" si="233"/>
        <v>137.72193306937456</v>
      </c>
      <c r="CA319" s="6">
        <f t="shared" ca="1" si="234"/>
        <v>-47.374246206597476</v>
      </c>
      <c r="CB319" s="6">
        <f t="shared" ca="1" si="235"/>
        <v>-0.33130601358473916</v>
      </c>
      <c r="CC319" s="6">
        <f t="shared" ca="1" si="236"/>
        <v>-2.0194821127472732E-5</v>
      </c>
      <c r="CD319" s="9">
        <f t="shared" si="237"/>
        <v>149.92193306937455</v>
      </c>
      <c r="CE319" s="9">
        <f t="shared" si="238"/>
        <v>-51.574246206597479</v>
      </c>
      <c r="CF319" s="6">
        <f t="shared" si="239"/>
        <v>-0.33132620840586663</v>
      </c>
      <c r="CG319" s="6"/>
      <c r="CH319" s="6"/>
      <c r="CI319" s="6"/>
      <c r="CJ319" s="1"/>
      <c r="CK319" s="6"/>
    </row>
    <row r="320" spans="55:89" x14ac:dyDescent="0.25">
      <c r="BC320">
        <v>5.5501470213419299</v>
      </c>
      <c r="BD320">
        <v>137.92012393377914</v>
      </c>
      <c r="BE320">
        <v>-47.202708882023231</v>
      </c>
      <c r="BF320" s="6">
        <f t="shared" si="226"/>
        <v>5.9534342768668793</v>
      </c>
      <c r="BG320" s="6">
        <f t="shared" si="227"/>
        <v>0.40328725552494937</v>
      </c>
      <c r="BH320" s="6">
        <f t="shared" si="228"/>
        <v>3.1397895220265619</v>
      </c>
      <c r="BI320" s="6">
        <f t="shared" si="229"/>
        <v>3.1397895220265619</v>
      </c>
      <c r="BJ320">
        <v>153.24458214864347</v>
      </c>
      <c r="BK320">
        <v>-52.447454313359145</v>
      </c>
      <c r="BV320" s="38"/>
      <c r="BW320" s="6">
        <f t="shared" si="230"/>
        <v>5.3232542185826697</v>
      </c>
      <c r="BX320" s="9">
        <f t="shared" ca="1" si="231"/>
        <v>11.864049800961226</v>
      </c>
      <c r="BY320" s="9">
        <f t="shared" ca="1" si="232"/>
        <v>-5.404641772888688</v>
      </c>
      <c r="BZ320" s="9">
        <f t="shared" ca="1" si="233"/>
        <v>137.73856755505895</v>
      </c>
      <c r="CA320" s="6">
        <f t="shared" ca="1" si="234"/>
        <v>-47.362814357587922</v>
      </c>
      <c r="CB320" s="6">
        <f t="shared" ca="1" si="235"/>
        <v>-0.33119464706073121</v>
      </c>
      <c r="CC320" s="6">
        <f t="shared" ca="1" si="236"/>
        <v>-2.9255842326325606E-5</v>
      </c>
      <c r="CD320" s="9">
        <f t="shared" si="237"/>
        <v>149.93856755505894</v>
      </c>
      <c r="CE320" s="9">
        <f t="shared" si="238"/>
        <v>-51.562814357587925</v>
      </c>
      <c r="CF320" s="6">
        <f t="shared" si="239"/>
        <v>-0.33122390290305753</v>
      </c>
      <c r="CG320" s="6"/>
      <c r="CH320" s="6"/>
      <c r="CI320" s="6"/>
      <c r="CJ320" s="1"/>
      <c r="CK320" s="6"/>
    </row>
    <row r="321" spans="55:89" x14ac:dyDescent="0.25">
      <c r="BC321">
        <v>5.567600313861873</v>
      </c>
      <c r="BD321">
        <v>137.93232386899035</v>
      </c>
      <c r="BE321">
        <v>-47.188919104295508</v>
      </c>
      <c r="BF321" s="6">
        <f t="shared" si="226"/>
        <v>5.9535508712657439</v>
      </c>
      <c r="BG321" s="6">
        <f t="shared" si="227"/>
        <v>0.38595055740387085</v>
      </c>
      <c r="BH321" s="6">
        <f t="shared" si="228"/>
        <v>3.1396729276276973</v>
      </c>
      <c r="BI321" s="6">
        <f t="shared" si="229"/>
        <v>3.1396729276276973</v>
      </c>
      <c r="BJ321">
        <v>153.25813763221149</v>
      </c>
      <c r="BK321">
        <v>-52.432132338106115</v>
      </c>
      <c r="BV321" s="38"/>
      <c r="BW321" s="6">
        <f t="shared" si="230"/>
        <v>5.3407075111026128</v>
      </c>
      <c r="BX321" s="9">
        <f t="shared" ca="1" si="231"/>
        <v>11.880171886845687</v>
      </c>
      <c r="BY321" s="9">
        <f t="shared" ca="1" si="232"/>
        <v>-5.3931426393379454</v>
      </c>
      <c r="BZ321" s="9">
        <f t="shared" ca="1" si="233"/>
        <v>137.75468964094341</v>
      </c>
      <c r="CA321" s="6">
        <f t="shared" ca="1" si="234"/>
        <v>-47.35131522403718</v>
      </c>
      <c r="CB321" s="6">
        <f t="shared" ca="1" si="235"/>
        <v>-0.33108400555263706</v>
      </c>
      <c r="CC321" s="6">
        <f t="shared" ca="1" si="236"/>
        <v>-3.8256617826692985E-5</v>
      </c>
      <c r="CD321" s="9">
        <f t="shared" si="237"/>
        <v>149.9546896409434</v>
      </c>
      <c r="CE321" s="9">
        <f t="shared" si="238"/>
        <v>-51.551315224037182</v>
      </c>
      <c r="CF321" s="6">
        <f t="shared" si="239"/>
        <v>-0.33112226217046375</v>
      </c>
      <c r="CG321" s="6"/>
      <c r="CH321" s="6"/>
      <c r="CI321" s="6"/>
      <c r="CJ321" s="1"/>
      <c r="CK321" s="6"/>
    </row>
    <row r="322" spans="55:89" x14ac:dyDescent="0.25">
      <c r="BC322">
        <v>5.5850536063818161</v>
      </c>
      <c r="BD322">
        <v>137.94436959083319</v>
      </c>
      <c r="BE322">
        <v>-47.174815032139961</v>
      </c>
      <c r="BF322" s="6">
        <f t="shared" si="226"/>
        <v>5.9536691518995664</v>
      </c>
      <c r="BG322" s="6">
        <f t="shared" si="227"/>
        <v>0.36861554551775022</v>
      </c>
      <c r="BH322" s="6">
        <f t="shared" si="228"/>
        <v>3.1395546469938749</v>
      </c>
      <c r="BI322" s="6">
        <f t="shared" si="229"/>
        <v>3.1395546469938749</v>
      </c>
      <c r="BJ322">
        <v>153.27152176759242</v>
      </c>
      <c r="BK322">
        <v>-52.416461146822179</v>
      </c>
      <c r="BV322" s="38"/>
      <c r="BW322" s="6">
        <f t="shared" si="230"/>
        <v>5.3581608036225559</v>
      </c>
      <c r="BX322" s="9">
        <f t="shared" ca="1" si="231"/>
        <v>11.895822155562257</v>
      </c>
      <c r="BY322" s="9">
        <f t="shared" ca="1" si="232"/>
        <v>-5.3815626129671017</v>
      </c>
      <c r="BZ322" s="9">
        <f t="shared" ca="1" si="233"/>
        <v>137.77033990965998</v>
      </c>
      <c r="CA322" s="6">
        <f t="shared" ca="1" si="234"/>
        <v>-47.339735197666336</v>
      </c>
      <c r="CB322" s="6">
        <f t="shared" ca="1" si="235"/>
        <v>-0.33097390886457384</v>
      </c>
      <c r="CC322" s="6">
        <f t="shared" ca="1" si="236"/>
        <v>-4.7211898012988751E-5</v>
      </c>
      <c r="CD322" s="9">
        <f t="shared" si="237"/>
        <v>149.97033990965997</v>
      </c>
      <c r="CE322" s="9">
        <f t="shared" si="238"/>
        <v>-51.539735197666339</v>
      </c>
      <c r="CF322" s="6">
        <f t="shared" si="239"/>
        <v>-0.33102112076258683</v>
      </c>
      <c r="CG322" s="6"/>
      <c r="CH322" s="6"/>
      <c r="CI322" s="6"/>
      <c r="CJ322" s="1"/>
      <c r="CK322" s="6"/>
    </row>
    <row r="323" spans="55:89" x14ac:dyDescent="0.25">
      <c r="BC323">
        <v>5.6025068989017592</v>
      </c>
      <c r="BD323">
        <v>137.95627675450856</v>
      </c>
      <c r="BE323">
        <v>-47.160370051225534</v>
      </c>
      <c r="BF323" s="6">
        <f t="shared" ref="BF323:BF362" si="240">IF(BC323&lt;&gt;"",IF(AND(BD323=0,BE323=0),0,MOD(ATAN2(BD323,BE323),2*PI())),NA())</f>
        <v>5.9537893265973496</v>
      </c>
      <c r="BG323" s="6">
        <f t="shared" ref="BG323:BG362" si="241">ABS(BC323-BF323)</f>
        <v>0.35128242769559037</v>
      </c>
      <c r="BH323" s="6">
        <f t="shared" ref="BH323:BH362" si="242">ATAN2(COS($U$13-BF323),SIN($U$13-BF323))</f>
        <v>3.1394344722960916</v>
      </c>
      <c r="BI323" s="6">
        <f t="shared" ref="BI323:BI362" si="243">ABS(BH323)</f>
        <v>3.1394344722960916</v>
      </c>
      <c r="BJ323">
        <v>153.28475194945395</v>
      </c>
      <c r="BK323">
        <v>-52.40041116802837</v>
      </c>
      <c r="BV323" s="38"/>
      <c r="BW323" s="6">
        <f t="shared" si="230"/>
        <v>5.375614096142499</v>
      </c>
      <c r="BX323" s="9">
        <f t="shared" ca="1" si="231"/>
        <v>11.911037650813569</v>
      </c>
      <c r="BY323" s="9">
        <f t="shared" ca="1" si="232"/>
        <v>-5.3698878468208733</v>
      </c>
      <c r="BZ323" s="9">
        <f t="shared" ca="1" si="233"/>
        <v>137.78555540491129</v>
      </c>
      <c r="CA323" s="6">
        <f t="shared" ca="1" si="234"/>
        <v>-47.328060431520107</v>
      </c>
      <c r="CB323" s="6">
        <f t="shared" ca="1" si="235"/>
        <v>-0.33086418331177697</v>
      </c>
      <c r="CC323" s="6">
        <f t="shared" ca="1" si="236"/>
        <v>-5.6135892048725378E-5</v>
      </c>
      <c r="CD323" s="9">
        <f t="shared" si="237"/>
        <v>149.98555540491128</v>
      </c>
      <c r="CE323" s="9">
        <f t="shared" si="238"/>
        <v>-51.52806043152011</v>
      </c>
      <c r="CF323" s="6">
        <f t="shared" si="239"/>
        <v>-0.3309203192038257</v>
      </c>
      <c r="CG323" s="6"/>
      <c r="CH323" s="6"/>
      <c r="CI323" s="6"/>
      <c r="CJ323" s="1"/>
      <c r="CK323" s="6"/>
    </row>
    <row r="324" spans="55:89" x14ac:dyDescent="0.25">
      <c r="BC324">
        <v>5.6199601914217023</v>
      </c>
      <c r="BD324">
        <v>137.9680604311167</v>
      </c>
      <c r="BE324">
        <v>-47.145555404183398</v>
      </c>
      <c r="BF324" s="6">
        <f t="shared" si="240"/>
        <v>5.9539116157613545</v>
      </c>
      <c r="BG324" s="6">
        <f t="shared" si="241"/>
        <v>0.33395142433965219</v>
      </c>
      <c r="BH324" s="6">
        <f t="shared" si="242"/>
        <v>3.1393121831320867</v>
      </c>
      <c r="BI324" s="6">
        <f t="shared" si="243"/>
        <v>3.1393121831320867</v>
      </c>
      <c r="BJ324">
        <v>153.297844923463</v>
      </c>
      <c r="BK324">
        <v>-52.383950449092666</v>
      </c>
      <c r="BV324" s="38"/>
      <c r="BW324" s="6">
        <f t="shared" si="230"/>
        <v>5.3930673886624421</v>
      </c>
      <c r="BX324" s="9">
        <f t="shared" ca="1" si="231"/>
        <v>11.925852297028882</v>
      </c>
      <c r="BY324" s="9">
        <f t="shared" ca="1" si="232"/>
        <v>-5.3581041695744531</v>
      </c>
      <c r="BZ324" s="9">
        <f t="shared" ca="1" si="233"/>
        <v>137.80037005112661</v>
      </c>
      <c r="CA324" s="6">
        <f t="shared" ca="1" si="234"/>
        <v>-47.316276754273687</v>
      </c>
      <c r="CB324" s="6">
        <f t="shared" ca="1" si="235"/>
        <v>-0.33075466020711863</v>
      </c>
      <c r="CC324" s="6">
        <f t="shared" ca="1" si="236"/>
        <v>-6.5042392486946987E-5</v>
      </c>
      <c r="CD324" s="9">
        <f t="shared" si="237"/>
        <v>150.00037005112659</v>
      </c>
      <c r="CE324" s="9">
        <f t="shared" si="238"/>
        <v>-51.51627675427369</v>
      </c>
      <c r="CF324" s="6">
        <f t="shared" si="239"/>
        <v>-0.33081970259960558</v>
      </c>
      <c r="CG324" s="6"/>
      <c r="CH324" s="6"/>
      <c r="CI324" s="6"/>
      <c r="CJ324" s="1"/>
      <c r="CK324" s="6"/>
    </row>
    <row r="325" spans="55:89" x14ac:dyDescent="0.25">
      <c r="BC325">
        <v>5.6374134839416454</v>
      </c>
      <c r="BD325">
        <v>137.9797351974378</v>
      </c>
      <c r="BE325">
        <v>-47.13033990943255</v>
      </c>
      <c r="BF325" s="6">
        <f t="shared" si="240"/>
        <v>5.9540362543961658</v>
      </c>
      <c r="BG325" s="6">
        <f t="shared" si="241"/>
        <v>0.31662277045452036</v>
      </c>
      <c r="BH325" s="6">
        <f t="shared" si="242"/>
        <v>3.1391875444972754</v>
      </c>
      <c r="BI325" s="6">
        <f t="shared" si="243"/>
        <v>3.1391875444972754</v>
      </c>
      <c r="BJ325">
        <v>153.31081688604201</v>
      </c>
      <c r="BK325">
        <v>-52.367044343813944</v>
      </c>
      <c r="BV325" s="38"/>
      <c r="BW325" s="6">
        <f t="shared" si="230"/>
        <v>5.4105206811823852</v>
      </c>
      <c r="BX325" s="9">
        <f t="shared" ca="1" si="231"/>
        <v>11.940297277985621</v>
      </c>
      <c r="BY325" s="9">
        <f t="shared" ca="1" si="232"/>
        <v>-5.3461970056137176</v>
      </c>
      <c r="BZ325" s="9">
        <f t="shared" ca="1" si="233"/>
        <v>137.81481503208335</v>
      </c>
      <c r="CA325" s="6">
        <f t="shared" ca="1" si="234"/>
        <v>-47.304369590312952</v>
      </c>
      <c r="CB325" s="6">
        <f t="shared" ca="1" si="235"/>
        <v>-0.33064517447990627</v>
      </c>
      <c r="CC325" s="6">
        <f t="shared" ca="1" si="236"/>
        <v>-7.3944888883625826E-5</v>
      </c>
      <c r="CD325" s="9">
        <f t="shared" si="237"/>
        <v>150.01481503208333</v>
      </c>
      <c r="CE325" s="9">
        <f t="shared" si="238"/>
        <v>-51.504369590312955</v>
      </c>
      <c r="CF325" s="6">
        <f t="shared" si="239"/>
        <v>-0.33071911936878989</v>
      </c>
      <c r="CG325" s="6"/>
      <c r="CH325" s="6"/>
      <c r="CI325" s="6"/>
      <c r="CJ325" s="1"/>
      <c r="CK325" s="6"/>
    </row>
    <row r="326" spans="55:89" x14ac:dyDescent="0.25">
      <c r="BC326">
        <v>5.6548667764615885</v>
      </c>
      <c r="BD326">
        <v>137.9913152243698</v>
      </c>
      <c r="BE326">
        <v>-47.1146896405048</v>
      </c>
      <c r="BF326" s="6">
        <f t="shared" si="240"/>
        <v>5.9541634943911159</v>
      </c>
      <c r="BG326" s="6">
        <f t="shared" si="241"/>
        <v>0.29929671792952739</v>
      </c>
      <c r="BH326" s="6">
        <f t="shared" si="242"/>
        <v>3.1390603045023253</v>
      </c>
      <c r="BI326" s="6">
        <f t="shared" si="243"/>
        <v>3.1390603045023253</v>
      </c>
      <c r="BJ326">
        <v>153.32368358263309</v>
      </c>
      <c r="BK326">
        <v>-52.349655156116441</v>
      </c>
      <c r="BV326" s="38"/>
      <c r="BW326" s="6">
        <f t="shared" si="230"/>
        <v>5.4279739737023283</v>
      </c>
      <c r="BX326" s="9">
        <f t="shared" ca="1" si="231"/>
        <v>11.954401350753358</v>
      </c>
      <c r="BY326" s="9">
        <f t="shared" ca="1" si="232"/>
        <v>-5.3341512843296925</v>
      </c>
      <c r="BZ326" s="9">
        <f t="shared" ca="1" si="233"/>
        <v>137.82891910485108</v>
      </c>
      <c r="CA326" s="6">
        <f t="shared" ca="1" si="234"/>
        <v>-47.292323869028927</v>
      </c>
      <c r="CB326" s="6">
        <f t="shared" ca="1" si="235"/>
        <v>-0.33053556337162809</v>
      </c>
      <c r="CC326" s="6">
        <f t="shared" ca="1" si="236"/>
        <v>-8.2856674967601851E-5</v>
      </c>
      <c r="CD326" s="9">
        <f t="shared" si="237"/>
        <v>150.02891910485107</v>
      </c>
      <c r="CE326" s="9">
        <f t="shared" si="238"/>
        <v>-51.49232386902893</v>
      </c>
      <c r="CF326" s="6">
        <f t="shared" si="239"/>
        <v>-0.3306184200465957</v>
      </c>
      <c r="CG326" s="6"/>
      <c r="CH326" s="6"/>
      <c r="CI326" s="6"/>
      <c r="CJ326" s="1"/>
      <c r="CK326" s="6"/>
    </row>
    <row r="327" spans="55:89" x14ac:dyDescent="0.25">
      <c r="BC327">
        <v>5.6723200689815316</v>
      </c>
      <c r="BD327">
        <v>138.00281435821105</v>
      </c>
      <c r="BE327">
        <v>-47.09856755516855</v>
      </c>
      <c r="BF327" s="6">
        <f t="shared" si="240"/>
        <v>5.9542936071127919</v>
      </c>
      <c r="BG327" s="6">
        <f t="shared" si="241"/>
        <v>0.28197353813126025</v>
      </c>
      <c r="BH327" s="6">
        <f t="shared" si="242"/>
        <v>3.1389301917806494</v>
      </c>
      <c r="BI327" s="6">
        <f t="shared" si="243"/>
        <v>3.1389301917806494</v>
      </c>
      <c r="BJ327">
        <v>153.33646039801229</v>
      </c>
      <c r="BK327">
        <v>-52.331741727965053</v>
      </c>
      <c r="BV327" s="38"/>
      <c r="BW327" s="6">
        <f t="shared" si="230"/>
        <v>5.4454272662222714</v>
      </c>
      <c r="BX327" s="9">
        <f t="shared" ca="1" si="231"/>
        <v>11.968191127826145</v>
      </c>
      <c r="BY327" s="9">
        <f t="shared" ca="1" si="232"/>
        <v>-5.3219513490322399</v>
      </c>
      <c r="BZ327" s="9">
        <f t="shared" ca="1" si="233"/>
        <v>137.84270888192387</v>
      </c>
      <c r="CA327" s="6">
        <f t="shared" ca="1" si="234"/>
        <v>-47.280123933731474</v>
      </c>
      <c r="CB327" s="6">
        <f t="shared" ca="1" si="235"/>
        <v>-0.33042566520243</v>
      </c>
      <c r="CC327" s="6">
        <f t="shared" ca="1" si="236"/>
        <v>-9.1790949895753648E-5</v>
      </c>
      <c r="CD327" s="9">
        <f t="shared" si="237"/>
        <v>150.04270888192386</v>
      </c>
      <c r="CE327" s="9">
        <f t="shared" si="238"/>
        <v>-51.480123933731477</v>
      </c>
      <c r="CF327" s="6">
        <f t="shared" si="239"/>
        <v>-0.33051745615232575</v>
      </c>
      <c r="CG327" s="6"/>
      <c r="CH327" s="6"/>
      <c r="CI327" s="6"/>
      <c r="CJ327" s="1"/>
      <c r="CK327" s="6"/>
    </row>
    <row r="328" spans="55:89" x14ac:dyDescent="0.25">
      <c r="BC328">
        <v>5.6897733615014747</v>
      </c>
      <c r="BD328">
        <v>138.01424620726507</v>
      </c>
      <c r="BE328">
        <v>-47.081933069642432</v>
      </c>
      <c r="BF328" s="6">
        <f t="shared" si="240"/>
        <v>5.9544268863660239</v>
      </c>
      <c r="BG328" s="6">
        <f t="shared" si="241"/>
        <v>0.26465352486454918</v>
      </c>
      <c r="BH328" s="6">
        <f t="shared" si="242"/>
        <v>3.1387969125274173</v>
      </c>
      <c r="BI328" s="6">
        <f t="shared" si="243"/>
        <v>3.1387969125274173</v>
      </c>
      <c r="BJ328">
        <v>153.34916245251674</v>
      </c>
      <c r="BK328">
        <v>-52.313258966269366</v>
      </c>
      <c r="BV328" s="38"/>
      <c r="BW328" s="6">
        <f t="shared" si="230"/>
        <v>5.4628805587422145</v>
      </c>
      <c r="BX328" s="9">
        <f t="shared" ca="1" si="231"/>
        <v>11.981691327147303</v>
      </c>
      <c r="BY328" s="9">
        <f t="shared" ca="1" si="232"/>
        <v>-5.3095808609745063</v>
      </c>
      <c r="BZ328" s="9">
        <f t="shared" ca="1" si="233"/>
        <v>137.85620908124503</v>
      </c>
      <c r="CA328" s="6">
        <f t="shared" ca="1" si="234"/>
        <v>-47.26775344567374</v>
      </c>
      <c r="CB328" s="6">
        <f t="shared" ca="1" si="235"/>
        <v>-0.33031531817936033</v>
      </c>
      <c r="CC328" s="6">
        <f t="shared" ca="1" si="236"/>
        <v>-1.0076091597743808E-4</v>
      </c>
      <c r="CD328" s="9">
        <f t="shared" si="237"/>
        <v>150.05620908124502</v>
      </c>
      <c r="CE328" s="9">
        <f t="shared" si="238"/>
        <v>-51.467753445673743</v>
      </c>
      <c r="CF328" s="6">
        <f t="shared" si="239"/>
        <v>-0.33041607909533777</v>
      </c>
      <c r="CG328" s="6"/>
      <c r="CH328" s="6"/>
      <c r="CI328" s="6"/>
      <c r="CJ328" s="1"/>
      <c r="CK328" s="6"/>
    </row>
    <row r="329" spans="55:89" x14ac:dyDescent="0.25">
      <c r="BC329">
        <v>5.7072266540214178</v>
      </c>
      <c r="BD329">
        <v>138.02562421865741</v>
      </c>
      <c r="BE329">
        <v>-47.064741559624984</v>
      </c>
      <c r="BF329" s="6">
        <f t="shared" si="240"/>
        <v>5.9545636518086837</v>
      </c>
      <c r="BG329" s="6">
        <f t="shared" si="241"/>
        <v>0.24733699778726592</v>
      </c>
      <c r="BH329" s="6">
        <f t="shared" si="242"/>
        <v>3.1386601470847575</v>
      </c>
      <c r="BI329" s="6">
        <f t="shared" si="243"/>
        <v>3.1386601470847575</v>
      </c>
      <c r="BJ329">
        <v>153.36180468739713</v>
      </c>
      <c r="BK329">
        <v>-52.294157288472206</v>
      </c>
      <c r="BV329" s="38"/>
      <c r="BW329" s="6">
        <f t="shared" si="230"/>
        <v>5.4803338512621576</v>
      </c>
      <c r="BX329" s="9">
        <f t="shared" ca="1" si="231"/>
        <v>11.994924982910135</v>
      </c>
      <c r="BY329" s="9">
        <f t="shared" ca="1" si="232"/>
        <v>-5.2970226914638943</v>
      </c>
      <c r="BZ329" s="9">
        <f t="shared" ca="1" si="233"/>
        <v>137.86944273700786</v>
      </c>
      <c r="CA329" s="6">
        <f t="shared" ca="1" si="234"/>
        <v>-47.255195276163128</v>
      </c>
      <c r="CB329" s="6">
        <f t="shared" ca="1" si="235"/>
        <v>-0.33020435921629671</v>
      </c>
      <c r="CC329" s="6">
        <f t="shared" ca="1" si="236"/>
        <v>-1.0977987534582789E-4</v>
      </c>
      <c r="CD329" s="9">
        <f t="shared" si="237"/>
        <v>150.06944273700785</v>
      </c>
      <c r="CE329" s="9">
        <f t="shared" si="238"/>
        <v>-51.455195276163131</v>
      </c>
      <c r="CF329" s="6">
        <f t="shared" si="239"/>
        <v>-0.33031413909164253</v>
      </c>
      <c r="CG329" s="6"/>
      <c r="CH329" s="6"/>
      <c r="CI329" s="6"/>
      <c r="CJ329" s="1"/>
      <c r="CK329" s="6"/>
    </row>
    <row r="330" spans="55:89" x14ac:dyDescent="0.25">
      <c r="BC330">
        <v>5.7246799465413609</v>
      </c>
      <c r="BD330">
        <v>138.03696176599149</v>
      </c>
      <c r="BE330">
        <v>-47.046943781978761</v>
      </c>
      <c r="BF330" s="6">
        <f t="shared" si="240"/>
        <v>5.9547042529062546</v>
      </c>
      <c r="BG330" s="6">
        <f t="shared" si="241"/>
        <v>0.23002430636489368</v>
      </c>
      <c r="BH330" s="6">
        <f t="shared" si="242"/>
        <v>3.1385195459871866</v>
      </c>
      <c r="BI330" s="6">
        <f t="shared" si="243"/>
        <v>3.1385195459871866</v>
      </c>
      <c r="BJ330">
        <v>153.37440196221277</v>
      </c>
      <c r="BK330">
        <v>-52.274381979976397</v>
      </c>
      <c r="BV330" s="38"/>
      <c r="BW330" s="6">
        <f t="shared" si="230"/>
        <v>5.4977871437821006</v>
      </c>
      <c r="BX330" s="9">
        <f t="shared" ca="1" si="231"/>
        <v>12.007913638881121</v>
      </c>
      <c r="BY330" s="9">
        <f t="shared" ca="1" si="232"/>
        <v>-5.2842588083178796</v>
      </c>
      <c r="BZ330" s="9">
        <f t="shared" ca="1" si="233"/>
        <v>137.88243139297884</v>
      </c>
      <c r="CA330" s="6">
        <f t="shared" ca="1" si="234"/>
        <v>-47.242431393017114</v>
      </c>
      <c r="CB330" s="6">
        <f t="shared" ca="1" si="235"/>
        <v>-0.33009262275746981</v>
      </c>
      <c r="CC330" s="6">
        <f t="shared" ca="1" si="236"/>
        <v>-1.188613262423921E-4</v>
      </c>
      <c r="CD330" s="9">
        <f t="shared" si="237"/>
        <v>150.08243139297883</v>
      </c>
      <c r="CE330" s="9">
        <f t="shared" si="238"/>
        <v>-51.442431393017117</v>
      </c>
      <c r="CF330" s="6">
        <f t="shared" si="239"/>
        <v>-0.3302114840837122</v>
      </c>
      <c r="CG330" s="6"/>
      <c r="CH330" s="6"/>
      <c r="CI330" s="6"/>
      <c r="CJ330" s="1"/>
      <c r="CK330" s="6"/>
    </row>
    <row r="331" spans="55:89" x14ac:dyDescent="0.25">
      <c r="BC331">
        <v>5.742133239061304</v>
      </c>
      <c r="BD331">
        <v>138.0482722210094</v>
      </c>
      <c r="BE331">
        <v>-47.028485188079898</v>
      </c>
      <c r="BF331" s="6">
        <f t="shared" si="240"/>
        <v>5.954849073555244</v>
      </c>
      <c r="BG331" s="6">
        <f t="shared" si="241"/>
        <v>0.21271583449393994</v>
      </c>
      <c r="BH331" s="6">
        <f t="shared" si="242"/>
        <v>3.1383747253381973</v>
      </c>
      <c r="BI331" s="6">
        <f t="shared" si="243"/>
        <v>3.1383747253381973</v>
      </c>
      <c r="BJ331">
        <v>153.38696913445489</v>
      </c>
      <c r="BK331">
        <v>-52.253872431199888</v>
      </c>
      <c r="BV331" s="38"/>
      <c r="BW331" s="6">
        <f t="shared" si="230"/>
        <v>5.5152404363020437</v>
      </c>
      <c r="BX331" s="9">
        <f t="shared" ca="1" si="231"/>
        <v>12.020677522452559</v>
      </c>
      <c r="BY331" s="9">
        <f t="shared" ca="1" si="232"/>
        <v>-5.2712701523000263</v>
      </c>
      <c r="BZ331" s="9">
        <f t="shared" ca="1" si="233"/>
        <v>137.89519527655028</v>
      </c>
      <c r="CA331" s="6">
        <f t="shared" ca="1" si="234"/>
        <v>-47.22944273699926</v>
      </c>
      <c r="CB331" s="6">
        <f t="shared" ca="1" si="235"/>
        <v>-0.32997993958003879</v>
      </c>
      <c r="CC331" s="6">
        <f t="shared" ca="1" si="236"/>
        <v>-1.2801906092813067E-4</v>
      </c>
      <c r="CD331" s="9">
        <f t="shared" si="237"/>
        <v>150.09519527655027</v>
      </c>
      <c r="CE331" s="9">
        <f t="shared" si="238"/>
        <v>-51.429442736999263</v>
      </c>
      <c r="CF331" s="6">
        <f t="shared" si="239"/>
        <v>-0.33010795864096693</v>
      </c>
      <c r="CG331" s="6"/>
      <c r="CH331" s="6"/>
      <c r="CI331" s="6"/>
      <c r="CJ331" s="1"/>
      <c r="CK331" s="6"/>
    </row>
    <row r="332" spans="55:89" x14ac:dyDescent="0.25">
      <c r="BC332">
        <v>5.7595865315812471</v>
      </c>
      <c r="BD332">
        <v>138.05956905268866</v>
      </c>
      <c r="BE332">
        <v>-47.009305123962328</v>
      </c>
      <c r="BF332" s="6">
        <f t="shared" si="240"/>
        <v>5.954998537503597</v>
      </c>
      <c r="BG332" s="6">
        <f t="shared" si="241"/>
        <v>0.19541200592234986</v>
      </c>
      <c r="BH332" s="6">
        <f t="shared" si="242"/>
        <v>3.1382252613898443</v>
      </c>
      <c r="BI332" s="6">
        <f t="shared" si="243"/>
        <v>3.1382252613898443</v>
      </c>
      <c r="BJ332">
        <v>153.39952116965407</v>
      </c>
      <c r="BK332">
        <v>-52.232561248847027</v>
      </c>
      <c r="BV332" s="38"/>
      <c r="BW332" s="6">
        <f t="shared" si="230"/>
        <v>5.5326937288219868</v>
      </c>
      <c r="BX332" s="9">
        <f t="shared" ca="1" si="231"/>
        <v>12.033235692458192</v>
      </c>
      <c r="BY332" s="9">
        <f t="shared" ca="1" si="232"/>
        <v>-5.2580364970427951</v>
      </c>
      <c r="BZ332" s="9">
        <f t="shared" ca="1" si="233"/>
        <v>137.90775344655592</v>
      </c>
      <c r="CA332" s="6">
        <f t="shared" ca="1" si="234"/>
        <v>-47.216209081742029</v>
      </c>
      <c r="CB332" s="6">
        <f t="shared" ca="1" si="235"/>
        <v>-0.32986613554885286</v>
      </c>
      <c r="CC332" s="6">
        <f t="shared" ca="1" si="236"/>
        <v>-1.3726726742957496E-4</v>
      </c>
      <c r="CD332" s="9">
        <f t="shared" si="237"/>
        <v>150.1077534465559</v>
      </c>
      <c r="CE332" s="9">
        <f t="shared" si="238"/>
        <v>-51.416209081742032</v>
      </c>
      <c r="CF332" s="6">
        <f t="shared" si="239"/>
        <v>-0.33000340281628243</v>
      </c>
      <c r="CG332" s="6"/>
      <c r="CH332" s="6"/>
      <c r="CI332" s="6"/>
      <c r="CJ332" s="1"/>
      <c r="CK332" s="6"/>
    </row>
    <row r="333" spans="55:89" x14ac:dyDescent="0.25">
      <c r="BC333">
        <v>5.7770398241011902</v>
      </c>
      <c r="BD333">
        <v>138.07086590638602</v>
      </c>
      <c r="BE333">
        <v>-46.98933587004008</v>
      </c>
      <c r="BF333" s="6">
        <f t="shared" si="240"/>
        <v>5.9551531147702708</v>
      </c>
      <c r="BG333" s="6">
        <f t="shared" si="241"/>
        <v>0.17811329066908055</v>
      </c>
      <c r="BH333" s="6">
        <f t="shared" si="242"/>
        <v>3.1380706841231705</v>
      </c>
      <c r="BI333" s="6">
        <f t="shared" si="243"/>
        <v>3.1380706841231705</v>
      </c>
      <c r="BJ333">
        <v>153.4120732293178</v>
      </c>
      <c r="BK333">
        <v>-52.210373188933417</v>
      </c>
      <c r="BV333" s="38"/>
      <c r="BW333" s="6">
        <f t="shared" si="230"/>
        <v>5.5501470213419299</v>
      </c>
      <c r="BX333" s="9">
        <f t="shared" ca="1" si="231"/>
        <v>12.045606179681414</v>
      </c>
      <c r="BY333" s="9">
        <f t="shared" ca="1" si="232"/>
        <v>-5.2445362973239966</v>
      </c>
      <c r="BZ333" s="9">
        <f t="shared" ca="1" si="233"/>
        <v>137.92012393377914</v>
      </c>
      <c r="CA333" s="6">
        <f t="shared" ca="1" si="234"/>
        <v>-47.202708882023231</v>
      </c>
      <c r="CB333" s="6">
        <f t="shared" ca="1" si="235"/>
        <v>-0.32975103031270719</v>
      </c>
      <c r="CC333" s="6">
        <f t="shared" ca="1" si="236"/>
        <v>-1.4662063598619435E-4</v>
      </c>
      <c r="CD333" s="9">
        <f t="shared" si="237"/>
        <v>150.12012393377913</v>
      </c>
      <c r="CE333" s="9">
        <f t="shared" si="238"/>
        <v>-51.402708882023234</v>
      </c>
      <c r="CF333" s="6">
        <f t="shared" si="239"/>
        <v>-0.32989765094869339</v>
      </c>
      <c r="CG333" s="6"/>
      <c r="CH333" s="6"/>
      <c r="CI333" s="6"/>
      <c r="CJ333" s="1"/>
      <c r="CK333" s="6"/>
    </row>
    <row r="334" spans="55:89" x14ac:dyDescent="0.25">
      <c r="BC334">
        <v>5.7944931166211333</v>
      </c>
      <c r="BD334">
        <v>138.08217670894871</v>
      </c>
      <c r="BE334">
        <v>-46.968501503337968</v>
      </c>
      <c r="BF334" s="6">
        <f t="shared" si="240"/>
        <v>5.9553133292770459</v>
      </c>
      <c r="BG334" s="6">
        <f t="shared" si="241"/>
        <v>0.16082021265591262</v>
      </c>
      <c r="BH334" s="6">
        <f t="shared" si="242"/>
        <v>3.1379104696163953</v>
      </c>
      <c r="BI334" s="6">
        <f t="shared" si="243"/>
        <v>3.1379104696163953</v>
      </c>
      <c r="BJ334">
        <v>153.42464078772079</v>
      </c>
      <c r="BK334">
        <v>-52.187223892597743</v>
      </c>
      <c r="BV334" s="38"/>
      <c r="BW334" s="6">
        <f t="shared" si="230"/>
        <v>5.567600313861873</v>
      </c>
      <c r="BX334" s="9">
        <f t="shared" ca="1" si="231"/>
        <v>12.057806114892628</v>
      </c>
      <c r="BY334" s="9">
        <f t="shared" ca="1" si="232"/>
        <v>-5.2307465195962735</v>
      </c>
      <c r="BZ334" s="9">
        <f t="shared" ca="1" si="233"/>
        <v>137.93232386899035</v>
      </c>
      <c r="CA334" s="6">
        <f t="shared" ca="1" si="234"/>
        <v>-47.188919104295508</v>
      </c>
      <c r="CB334" s="6">
        <f t="shared" ca="1" si="235"/>
        <v>-0.32963443591384212</v>
      </c>
      <c r="CC334" s="6">
        <f t="shared" ca="1" si="236"/>
        <v>-1.5609447251535571E-4</v>
      </c>
      <c r="CD334" s="9">
        <f t="shared" si="237"/>
        <v>150.13232386899034</v>
      </c>
      <c r="CE334" s="9">
        <f t="shared" si="238"/>
        <v>-51.38891910429551</v>
      </c>
      <c r="CF334" s="6">
        <f t="shared" si="239"/>
        <v>-0.32979053038635747</v>
      </c>
      <c r="CG334" s="6"/>
      <c r="CH334" s="6"/>
      <c r="CI334" s="6"/>
      <c r="CJ334" s="1"/>
      <c r="CK334" s="6"/>
    </row>
    <row r="335" spans="55:89" x14ac:dyDescent="0.25">
      <c r="BC335">
        <v>5.8119464091410764</v>
      </c>
      <c r="BD335">
        <v>138.09351577357049</v>
      </c>
      <c r="BE335">
        <v>-46.946716526540207</v>
      </c>
      <c r="BF335" s="6">
        <f t="shared" si="240"/>
        <v>5.955479767996998</v>
      </c>
      <c r="BG335" s="6">
        <f t="shared" si="241"/>
        <v>0.14353335885592156</v>
      </c>
      <c r="BH335" s="6">
        <f t="shared" si="242"/>
        <v>3.1377440308964433</v>
      </c>
      <c r="BI335" s="6">
        <f t="shared" si="243"/>
        <v>3.1377440308964433</v>
      </c>
      <c r="BJ335">
        <v>153.43723974841166</v>
      </c>
      <c r="BK335">
        <v>-52.163018362822449</v>
      </c>
      <c r="BV335" s="38"/>
      <c r="BW335" s="6">
        <f t="shared" si="230"/>
        <v>5.5850536063818161</v>
      </c>
      <c r="BX335" s="9">
        <f t="shared" ca="1" si="231"/>
        <v>12.069851836735467</v>
      </c>
      <c r="BY335" s="9">
        <f t="shared" ca="1" si="232"/>
        <v>-5.2166424474407265</v>
      </c>
      <c r="BZ335" s="9">
        <f t="shared" ca="1" si="233"/>
        <v>137.94436959083319</v>
      </c>
      <c r="CA335" s="6">
        <f t="shared" ca="1" si="234"/>
        <v>-47.174815032139961</v>
      </c>
      <c r="CB335" s="6">
        <f t="shared" ca="1" si="235"/>
        <v>-0.32951615528001998</v>
      </c>
      <c r="CC335" s="6">
        <f t="shared" ca="1" si="236"/>
        <v>-1.65704821604995E-4</v>
      </c>
      <c r="CD335" s="9">
        <f t="shared" si="237"/>
        <v>150.14436959083318</v>
      </c>
      <c r="CE335" s="9">
        <f t="shared" si="238"/>
        <v>-51.374815032139963</v>
      </c>
      <c r="CF335" s="6">
        <f t="shared" si="239"/>
        <v>-0.32968186010162498</v>
      </c>
      <c r="CG335" s="6"/>
      <c r="CH335" s="6"/>
      <c r="CI335" s="6"/>
      <c r="CJ335" s="1"/>
      <c r="CK335" s="6"/>
    </row>
    <row r="336" spans="55:89" x14ac:dyDescent="0.25">
      <c r="BC336">
        <v>5.8293997016610195</v>
      </c>
      <c r="BD336">
        <v>138.10489791096487</v>
      </c>
      <c r="BE336">
        <v>-46.92388420862887</v>
      </c>
      <c r="BF336" s="6">
        <f t="shared" si="240"/>
        <v>5.9556530919939608</v>
      </c>
      <c r="BG336" s="6">
        <f t="shared" si="241"/>
        <v>0.12625339033294125</v>
      </c>
      <c r="BH336" s="6">
        <f t="shared" si="242"/>
        <v>3.1375707068994805</v>
      </c>
      <c r="BI336" s="6">
        <f t="shared" si="243"/>
        <v>3.1375707068994805</v>
      </c>
      <c r="BJ336">
        <v>153.44988656773873</v>
      </c>
      <c r="BK336">
        <v>-52.13764912069874</v>
      </c>
      <c r="BV336" s="38"/>
      <c r="BW336" s="6">
        <f t="shared" ref="BW336:BW375" si="244">BC323</f>
        <v>5.6025068989017592</v>
      </c>
      <c r="BX336" s="9">
        <f t="shared" ref="BX336:BX375" ca="1" si="245">BD323-$BW$5</f>
        <v>12.081759000410841</v>
      </c>
      <c r="BY336" s="9">
        <f t="shared" ref="BY336:BY375" ca="1" si="246">BE323-$BX$5</f>
        <v>-5.2021974665263002</v>
      </c>
      <c r="BZ336" s="9">
        <f t="shared" ref="BZ336:BZ375" ca="1" si="247">BX336-$CE$5</f>
        <v>137.95627675450856</v>
      </c>
      <c r="CA336" s="6">
        <f t="shared" ref="CA336:CA375" ca="1" si="248">BY336-$CF$5</f>
        <v>-47.160370051225534</v>
      </c>
      <c r="CB336" s="6">
        <f t="shared" ref="CB336:CB375" ca="1" si="249">ATAN2(BZ336,CA336)</f>
        <v>-0.32939598058223685</v>
      </c>
      <c r="CC336" s="6">
        <f t="shared" ref="CC336:CC375" ca="1" si="250">ATAN2(COS(CF336-CB336),SIN(CF336-CB336))</f>
        <v>-1.7546860040645876E-4</v>
      </c>
      <c r="CD336" s="9">
        <f t="shared" ref="CD336:CD375" si="251">BD323-$BW$6</f>
        <v>150.15627675450855</v>
      </c>
      <c r="CE336" s="9">
        <f t="shared" ref="CE336:CE375" si="252">BE323-$BX$6</f>
        <v>-51.360370051225537</v>
      </c>
      <c r="CF336" s="6">
        <f t="shared" ref="CF336:CF375" si="253">ATAN2(CD336,CE336)</f>
        <v>-0.32957144918264331</v>
      </c>
      <c r="CG336" s="6"/>
      <c r="CH336" s="6"/>
      <c r="CI336" s="6"/>
      <c r="CJ336" s="1"/>
      <c r="CK336" s="6"/>
    </row>
    <row r="337" spans="55:89" x14ac:dyDescent="0.25">
      <c r="BC337">
        <v>5.8468529941809626</v>
      </c>
      <c r="BD337">
        <v>138.11633856549122</v>
      </c>
      <c r="BE337">
        <v>-46.899894569158072</v>
      </c>
      <c r="BF337" s="6">
        <f t="shared" si="240"/>
        <v>5.9558340498369127</v>
      </c>
      <c r="BG337" s="6">
        <f t="shared" si="241"/>
        <v>0.10898105565595007</v>
      </c>
      <c r="BH337" s="6">
        <f t="shared" si="242"/>
        <v>3.1373897490565286</v>
      </c>
      <c r="BI337" s="6">
        <f t="shared" si="243"/>
        <v>3.1373897490565286</v>
      </c>
      <c r="BJ337">
        <v>153.46259840610136</v>
      </c>
      <c r="BK337">
        <v>-52.11099396573119</v>
      </c>
      <c r="BV337" s="38"/>
      <c r="BW337" s="6">
        <f t="shared" si="244"/>
        <v>5.6199601914217023</v>
      </c>
      <c r="BX337" s="9">
        <f t="shared" ca="1" si="245"/>
        <v>12.093542677018974</v>
      </c>
      <c r="BY337" s="9">
        <f t="shared" ca="1" si="246"/>
        <v>-5.1873828194841636</v>
      </c>
      <c r="BZ337" s="9">
        <f t="shared" ca="1" si="247"/>
        <v>137.9680604311167</v>
      </c>
      <c r="CA337" s="6">
        <f t="shared" ca="1" si="248"/>
        <v>-47.145555404183398</v>
      </c>
      <c r="CB337" s="6">
        <f t="shared" ca="1" si="249"/>
        <v>-0.32927369141823148</v>
      </c>
      <c r="CC337" s="6">
        <f t="shared" ca="1" si="250"/>
        <v>-1.8540374668474247E-4</v>
      </c>
      <c r="CD337" s="9">
        <f t="shared" si="251"/>
        <v>150.16806043111669</v>
      </c>
      <c r="CE337" s="9">
        <f t="shared" si="252"/>
        <v>-51.345555404183401</v>
      </c>
      <c r="CF337" s="6">
        <f t="shared" si="253"/>
        <v>-0.32945909516491623</v>
      </c>
      <c r="CG337" s="6"/>
      <c r="CH337" s="6"/>
      <c r="CI337" s="6"/>
      <c r="CJ337" s="1"/>
      <c r="CK337" s="6"/>
    </row>
    <row r="338" spans="55:89" x14ac:dyDescent="0.25">
      <c r="BC338">
        <v>5.8643062867009057</v>
      </c>
      <c r="BD338">
        <v>138.12785396250223</v>
      </c>
      <c r="BE338">
        <v>-46.87462190256408</v>
      </c>
      <c r="BF338" s="6">
        <f t="shared" si="240"/>
        <v>5.9560234940338272</v>
      </c>
      <c r="BG338" s="6">
        <f t="shared" si="241"/>
        <v>9.1717207332921546E-2</v>
      </c>
      <c r="BH338" s="6">
        <f t="shared" si="242"/>
        <v>3.137200304859614</v>
      </c>
      <c r="BI338" s="6">
        <f t="shared" si="243"/>
        <v>3.137200304859614</v>
      </c>
      <c r="BJ338">
        <v>153.47539329166915</v>
      </c>
      <c r="BK338">
        <v>-52.082913225071195</v>
      </c>
      <c r="BV338" s="38"/>
      <c r="BW338" s="6">
        <f t="shared" si="244"/>
        <v>5.6374134839416454</v>
      </c>
      <c r="BX338" s="9">
        <f t="shared" ca="1" si="245"/>
        <v>12.105217443340081</v>
      </c>
      <c r="BY338" s="9">
        <f t="shared" ca="1" si="246"/>
        <v>-5.1721673247333158</v>
      </c>
      <c r="BZ338" s="9">
        <f t="shared" ca="1" si="247"/>
        <v>137.9797351974378</v>
      </c>
      <c r="CA338" s="6">
        <f t="shared" ca="1" si="248"/>
        <v>-47.13033990943255</v>
      </c>
      <c r="CB338" s="6">
        <f t="shared" ca="1" si="249"/>
        <v>-0.32914905278342027</v>
      </c>
      <c r="CC338" s="6">
        <f t="shared" ca="1" si="250"/>
        <v>-1.9552938415967613E-4</v>
      </c>
      <c r="CD338" s="9">
        <f t="shared" si="251"/>
        <v>150.17973519743779</v>
      </c>
      <c r="CE338" s="9">
        <f t="shared" si="252"/>
        <v>-51.330339909432553</v>
      </c>
      <c r="CF338" s="6">
        <f t="shared" si="253"/>
        <v>-0.32934458216757995</v>
      </c>
      <c r="CG338" s="6"/>
      <c r="CH338" s="6"/>
      <c r="CI338" s="6"/>
      <c r="CJ338" s="1"/>
      <c r="CK338" s="6"/>
    </row>
    <row r="339" spans="55:89" x14ac:dyDescent="0.25">
      <c r="BC339">
        <v>5.8817595792208488</v>
      </c>
      <c r="BD339">
        <v>138.13946127961773</v>
      </c>
      <c r="BE339">
        <v>-46.847921717572937</v>
      </c>
      <c r="BF339" s="6">
        <f t="shared" si="240"/>
        <v>5.9562224013273166</v>
      </c>
      <c r="BG339" s="6">
        <f t="shared" si="241"/>
        <v>7.4462822106467819E-2</v>
      </c>
      <c r="BH339" s="6">
        <f t="shared" si="242"/>
        <v>3.1370013975661246</v>
      </c>
      <c r="BI339" s="6">
        <f t="shared" si="243"/>
        <v>3.1370013975661246</v>
      </c>
      <c r="BJ339">
        <v>153.48829031068638</v>
      </c>
      <c r="BK339">
        <v>-52.053246352858821</v>
      </c>
      <c r="BV339" s="38"/>
      <c r="BW339" s="6">
        <f t="shared" si="244"/>
        <v>5.6548667764615885</v>
      </c>
      <c r="BX339" s="9">
        <f t="shared" ca="1" si="245"/>
        <v>12.116797470272076</v>
      </c>
      <c r="BY339" s="9">
        <f t="shared" ca="1" si="246"/>
        <v>-5.1565170558055655</v>
      </c>
      <c r="BZ339" s="9">
        <f t="shared" ca="1" si="247"/>
        <v>137.9913152243698</v>
      </c>
      <c r="CA339" s="6">
        <f t="shared" ca="1" si="248"/>
        <v>-47.1146896405048</v>
      </c>
      <c r="CB339" s="6">
        <f t="shared" ca="1" si="249"/>
        <v>-0.32902181278847054</v>
      </c>
      <c r="CC339" s="6">
        <f t="shared" ca="1" si="250"/>
        <v>-2.0586600845828862E-4</v>
      </c>
      <c r="CD339" s="9">
        <f t="shared" si="251"/>
        <v>150.19131522436979</v>
      </c>
      <c r="CE339" s="9">
        <f t="shared" si="252"/>
        <v>-51.314689640504803</v>
      </c>
      <c r="CF339" s="6">
        <f t="shared" si="253"/>
        <v>-0.32922767879692882</v>
      </c>
      <c r="CG339" s="6"/>
      <c r="CH339" s="6"/>
      <c r="CI339" s="6"/>
      <c r="CJ339" s="1"/>
      <c r="CK339" s="6"/>
    </row>
    <row r="340" spans="55:89" x14ac:dyDescent="0.25">
      <c r="BC340">
        <v>5.8992128717407919</v>
      </c>
      <c r="BD340">
        <v>138.15117884345429</v>
      </c>
      <c r="BE340">
        <v>-46.819626918809014</v>
      </c>
      <c r="BF340" s="6">
        <f t="shared" si="240"/>
        <v>5.9564318979823971</v>
      </c>
      <c r="BG340" s="6">
        <f t="shared" si="241"/>
        <v>5.7219026241605242E-2</v>
      </c>
      <c r="BH340" s="6">
        <f t="shared" si="242"/>
        <v>3.1367919009110441</v>
      </c>
      <c r="BI340" s="6">
        <f t="shared" si="243"/>
        <v>3.1367919009110441</v>
      </c>
      <c r="BJ340">
        <v>153.50130982606032</v>
      </c>
      <c r="BK340">
        <v>-52.02180768756557</v>
      </c>
      <c r="BV340" s="38"/>
      <c r="BW340" s="6">
        <f t="shared" si="244"/>
        <v>5.6723200689815316</v>
      </c>
      <c r="BX340" s="9">
        <f t="shared" ca="1" si="245"/>
        <v>12.128296604113331</v>
      </c>
      <c r="BY340" s="9">
        <f t="shared" ca="1" si="246"/>
        <v>-5.1403949704693161</v>
      </c>
      <c r="BZ340" s="9">
        <f t="shared" ca="1" si="247"/>
        <v>138.00281435821105</v>
      </c>
      <c r="CA340" s="6">
        <f t="shared" ca="1" si="248"/>
        <v>-47.09856755516855</v>
      </c>
      <c r="CB340" s="6">
        <f t="shared" ca="1" si="249"/>
        <v>-0.32889170006679447</v>
      </c>
      <c r="CC340" s="6">
        <f t="shared" ca="1" si="250"/>
        <v>-2.1643569831147899E-4</v>
      </c>
      <c r="CD340" s="9">
        <f t="shared" si="251"/>
        <v>150.20281435821104</v>
      </c>
      <c r="CE340" s="9">
        <f t="shared" si="252"/>
        <v>-51.298567555168553</v>
      </c>
      <c r="CF340" s="6">
        <f t="shared" si="253"/>
        <v>-0.32910813576510595</v>
      </c>
      <c r="CG340" s="6"/>
      <c r="CH340" s="6"/>
      <c r="CI340" s="6"/>
      <c r="CJ340" s="1"/>
      <c r="CK340" s="6"/>
    </row>
    <row r="341" spans="55:89" x14ac:dyDescent="0.25">
      <c r="BC341">
        <v>5.916666164260735</v>
      </c>
      <c r="BD341">
        <v>138.16302637434015</v>
      </c>
      <c r="BE341">
        <v>-46.789543004243406</v>
      </c>
      <c r="BF341" s="6">
        <f t="shared" si="240"/>
        <v>5.9566532915919668</v>
      </c>
      <c r="BG341" s="6">
        <f t="shared" si="241"/>
        <v>3.9987127331231775E-2</v>
      </c>
      <c r="BH341" s="6">
        <f t="shared" si="242"/>
        <v>3.1365705073014745</v>
      </c>
      <c r="BI341" s="6">
        <f t="shared" si="243"/>
        <v>3.1365705073014745</v>
      </c>
      <c r="BJ341">
        <v>153.51447374926684</v>
      </c>
      <c r="BK341">
        <v>-51.988381115826002</v>
      </c>
      <c r="BV341" s="38"/>
      <c r="BW341" s="6">
        <f t="shared" si="244"/>
        <v>5.6897733615014747</v>
      </c>
      <c r="BX341" s="9">
        <f t="shared" ca="1" si="245"/>
        <v>12.139728453167351</v>
      </c>
      <c r="BY341" s="9">
        <f t="shared" ca="1" si="246"/>
        <v>-5.1237604849431975</v>
      </c>
      <c r="BZ341" s="9">
        <f t="shared" ca="1" si="247"/>
        <v>138.01424620726507</v>
      </c>
      <c r="CA341" s="6">
        <f t="shared" ca="1" si="248"/>
        <v>-47.081933069642432</v>
      </c>
      <c r="CB341" s="6">
        <f t="shared" ca="1" si="249"/>
        <v>-0.3287584208135626</v>
      </c>
      <c r="CC341" s="6">
        <f t="shared" ca="1" si="250"/>
        <v>-2.2726235674203066E-4</v>
      </c>
      <c r="CD341" s="9">
        <f t="shared" si="251"/>
        <v>150.21424620726506</v>
      </c>
      <c r="CE341" s="9">
        <f t="shared" si="252"/>
        <v>-51.281933069642434</v>
      </c>
      <c r="CF341" s="6">
        <f t="shared" si="253"/>
        <v>-0.32898568317030463</v>
      </c>
      <c r="CG341" s="6"/>
      <c r="CH341" s="6"/>
      <c r="CI341" s="6"/>
      <c r="CJ341" s="1"/>
      <c r="CK341" s="6"/>
    </row>
    <row r="342" spans="55:89" x14ac:dyDescent="0.25">
      <c r="BC342">
        <v>5.9341194567806781</v>
      </c>
      <c r="BD342">
        <v>138.17502526017026</v>
      </c>
      <c r="BE342">
        <v>-46.757441950309342</v>
      </c>
      <c r="BF342" s="6">
        <f t="shared" si="240"/>
        <v>5.9568881114983521</v>
      </c>
      <c r="BG342" s="6">
        <f t="shared" si="241"/>
        <v>2.2768654717673975E-2</v>
      </c>
      <c r="BH342" s="6">
        <f t="shared" si="242"/>
        <v>3.1363356873950892</v>
      </c>
      <c r="BI342" s="6">
        <f t="shared" si="243"/>
        <v>3.1363356873950892</v>
      </c>
      <c r="BJ342">
        <v>153.5278058446336</v>
      </c>
      <c r="BK342">
        <v>-51.952713278121493</v>
      </c>
      <c r="BV342" s="38"/>
      <c r="BW342" s="6">
        <f t="shared" si="244"/>
        <v>5.7072266540214178</v>
      </c>
      <c r="BX342" s="9">
        <f t="shared" ca="1" si="245"/>
        <v>12.151106464559689</v>
      </c>
      <c r="BY342" s="9">
        <f t="shared" ca="1" si="246"/>
        <v>-5.1065689749257501</v>
      </c>
      <c r="BZ342" s="9">
        <f t="shared" ca="1" si="247"/>
        <v>138.02562421865741</v>
      </c>
      <c r="CA342" s="6">
        <f t="shared" ca="1" si="248"/>
        <v>-47.064741559624984</v>
      </c>
      <c r="CB342" s="6">
        <f t="shared" ca="1" si="249"/>
        <v>-0.32862165537090243</v>
      </c>
      <c r="CC342" s="6">
        <f t="shared" ca="1" si="250"/>
        <v>-2.3837198922466166E-4</v>
      </c>
      <c r="CD342" s="9">
        <f t="shared" si="251"/>
        <v>150.2256242186574</v>
      </c>
      <c r="CE342" s="9">
        <f t="shared" si="252"/>
        <v>-51.264741559624987</v>
      </c>
      <c r="CF342" s="6">
        <f t="shared" si="253"/>
        <v>-0.32886002736012709</v>
      </c>
      <c r="CG342" s="6"/>
      <c r="CH342" s="6"/>
      <c r="CI342" s="6"/>
      <c r="CJ342" s="1"/>
      <c r="CK342" s="6"/>
    </row>
    <row r="343" spans="55:89" x14ac:dyDescent="0.25">
      <c r="BC343">
        <v>5.9515727493006212</v>
      </c>
      <c r="BD343">
        <v>138.1871989064706</v>
      </c>
      <c r="BE343">
        <v>-46.723054355423677</v>
      </c>
      <c r="BF343" s="6">
        <f t="shared" si="240"/>
        <v>5.9571381607350258</v>
      </c>
      <c r="BG343" s="6">
        <f t="shared" si="241"/>
        <v>5.565411434404588E-3</v>
      </c>
      <c r="BH343" s="6">
        <f t="shared" si="242"/>
        <v>3.1360856381584155</v>
      </c>
      <c r="BI343" s="6">
        <f t="shared" si="243"/>
        <v>3.1360856381584155</v>
      </c>
      <c r="BJ343">
        <v>153.54133211830066</v>
      </c>
      <c r="BK343">
        <v>-51.914504839359637</v>
      </c>
      <c r="BV343" s="38"/>
      <c r="BW343" s="6">
        <f t="shared" si="244"/>
        <v>5.7246799465413609</v>
      </c>
      <c r="BX343" s="9">
        <f t="shared" ca="1" si="245"/>
        <v>12.162444011893768</v>
      </c>
      <c r="BY343" s="9">
        <f t="shared" ca="1" si="246"/>
        <v>-5.0887711972795273</v>
      </c>
      <c r="BZ343" s="9">
        <f t="shared" ca="1" si="247"/>
        <v>138.03696176599149</v>
      </c>
      <c r="CA343" s="6">
        <f t="shared" ca="1" si="248"/>
        <v>-47.046943781978761</v>
      </c>
      <c r="CB343" s="6">
        <f t="shared" ca="1" si="249"/>
        <v>-0.32848105427333135</v>
      </c>
      <c r="CC343" s="6">
        <f t="shared" ca="1" si="250"/>
        <v>-2.4979302579875018E-4</v>
      </c>
      <c r="CD343" s="9">
        <f t="shared" si="251"/>
        <v>150.23696176599148</v>
      </c>
      <c r="CE343" s="9">
        <f t="shared" si="252"/>
        <v>-51.246943781978764</v>
      </c>
      <c r="CF343" s="6">
        <f t="shared" si="253"/>
        <v>-0.3287308472991301</v>
      </c>
      <c r="CG343" s="6"/>
      <c r="CH343" s="6"/>
      <c r="CI343" s="6"/>
      <c r="CJ343" s="1"/>
      <c r="CK343" s="6"/>
    </row>
    <row r="344" spans="55:89" x14ac:dyDescent="0.25">
      <c r="BC344">
        <v>5.9690260418205643</v>
      </c>
      <c r="BD344">
        <v>138.19957315125171</v>
      </c>
      <c r="BE344">
        <v>-46.686059208233573</v>
      </c>
      <c r="BF344" s="6">
        <f t="shared" si="240"/>
        <v>5.957405583597752</v>
      </c>
      <c r="BG344" s="6">
        <f t="shared" si="241"/>
        <v>1.1620458222812324E-2</v>
      </c>
      <c r="BH344" s="6">
        <f t="shared" si="242"/>
        <v>3.1358182152956893</v>
      </c>
      <c r="BI344" s="6">
        <f t="shared" si="243"/>
        <v>3.1358182152956893</v>
      </c>
      <c r="BJ344">
        <v>153.55508127916858</v>
      </c>
      <c r="BK344">
        <v>-51.873399120259521</v>
      </c>
      <c r="BV344" s="38"/>
      <c r="BW344" s="6">
        <f t="shared" si="244"/>
        <v>5.742133239061304</v>
      </c>
      <c r="BX344" s="9">
        <f t="shared" ca="1" si="245"/>
        <v>12.173754466911674</v>
      </c>
      <c r="BY344" s="9">
        <f t="shared" ca="1" si="246"/>
        <v>-5.070312603380664</v>
      </c>
      <c r="BZ344" s="9">
        <f t="shared" ca="1" si="247"/>
        <v>138.0482722210094</v>
      </c>
      <c r="CA344" s="6">
        <f t="shared" ca="1" si="248"/>
        <v>-47.028485188079898</v>
      </c>
      <c r="CB344" s="6">
        <f t="shared" ca="1" si="249"/>
        <v>-0.32833623362434239</v>
      </c>
      <c r="CC344" s="6">
        <f t="shared" ca="1" si="250"/>
        <v>-2.6155669770278056E-4</v>
      </c>
      <c r="CD344" s="9">
        <f t="shared" si="251"/>
        <v>150.24827222100939</v>
      </c>
      <c r="CE344" s="9">
        <f t="shared" si="252"/>
        <v>-51.228485188079901</v>
      </c>
      <c r="CF344" s="6">
        <f t="shared" si="253"/>
        <v>-0.32859779032204517</v>
      </c>
      <c r="CG344" s="6"/>
      <c r="CH344" s="6"/>
      <c r="CI344" s="6"/>
      <c r="CJ344" s="1"/>
      <c r="CK344" s="6"/>
    </row>
    <row r="345" spans="55:89" x14ac:dyDescent="0.25">
      <c r="BC345">
        <v>5.9864793343405074</v>
      </c>
      <c r="BD345">
        <v>138.21217679286079</v>
      </c>
      <c r="BE345">
        <v>-46.646070394638841</v>
      </c>
      <c r="BF345" s="6">
        <f t="shared" si="240"/>
        <v>5.9576929547339343</v>
      </c>
      <c r="BG345" s="6">
        <f t="shared" si="241"/>
        <v>2.8786379606573043E-2</v>
      </c>
      <c r="BH345" s="6">
        <f t="shared" si="242"/>
        <v>3.1355308441595069</v>
      </c>
      <c r="BI345" s="6">
        <f t="shared" si="243"/>
        <v>3.1355308441595069</v>
      </c>
      <c r="BJ345">
        <v>153.56908532540086</v>
      </c>
      <c r="BK345">
        <v>-51.828967105154263</v>
      </c>
      <c r="BV345" s="38"/>
      <c r="BW345" s="6">
        <f t="shared" si="244"/>
        <v>5.7595865315812471</v>
      </c>
      <c r="BX345" s="9">
        <f t="shared" ca="1" si="245"/>
        <v>12.185051298590935</v>
      </c>
      <c r="BY345" s="9">
        <f t="shared" ca="1" si="246"/>
        <v>-5.0511325392630937</v>
      </c>
      <c r="BZ345" s="9">
        <f t="shared" ca="1" si="247"/>
        <v>138.05956905268866</v>
      </c>
      <c r="CA345" s="6">
        <f t="shared" ca="1" si="248"/>
        <v>-47.009305123962328</v>
      </c>
      <c r="CB345" s="6">
        <f t="shared" ca="1" si="249"/>
        <v>-0.32818676967598903</v>
      </c>
      <c r="CC345" s="6">
        <f t="shared" ca="1" si="250"/>
        <v>-2.7369747891825558E-4</v>
      </c>
      <c r="CD345" s="9">
        <f t="shared" si="251"/>
        <v>150.25956905268865</v>
      </c>
      <c r="CE345" s="9">
        <f t="shared" si="252"/>
        <v>-51.209305123962331</v>
      </c>
      <c r="CF345" s="6">
        <f t="shared" si="253"/>
        <v>-0.32846046715490729</v>
      </c>
      <c r="CG345" s="6"/>
      <c r="CH345" s="6"/>
      <c r="CI345" s="6"/>
      <c r="CJ345" s="1"/>
      <c r="CK345" s="6"/>
    </row>
    <row r="346" spans="55:89" x14ac:dyDescent="0.25">
      <c r="BC346">
        <v>6.0039326268604505</v>
      </c>
      <c r="BD346">
        <v>138.22504224802725</v>
      </c>
      <c r="BE346">
        <v>-46.602618630055666</v>
      </c>
      <c r="BF346" s="6">
        <f t="shared" si="240"/>
        <v>5.9580033983638545</v>
      </c>
      <c r="BG346" s="6">
        <f t="shared" si="241"/>
        <v>4.5929228496595975E-2</v>
      </c>
      <c r="BH346" s="6">
        <f t="shared" si="242"/>
        <v>3.1352204005295867</v>
      </c>
      <c r="BI346" s="6">
        <f t="shared" si="243"/>
        <v>3.1352204005295867</v>
      </c>
      <c r="BJ346">
        <v>153.58338027558582</v>
      </c>
      <c r="BK346">
        <v>-51.780687366728515</v>
      </c>
      <c r="BV346" s="38"/>
      <c r="BW346" s="6">
        <f t="shared" si="244"/>
        <v>5.7770398241011902</v>
      </c>
      <c r="BX346" s="9">
        <f t="shared" ca="1" si="245"/>
        <v>12.196348152288294</v>
      </c>
      <c r="BY346" s="9">
        <f t="shared" ca="1" si="246"/>
        <v>-5.0311632853408454</v>
      </c>
      <c r="BZ346" s="9">
        <f t="shared" ca="1" si="247"/>
        <v>138.07086590638602</v>
      </c>
      <c r="CA346" s="6">
        <f t="shared" ca="1" si="248"/>
        <v>-46.98933587004008</v>
      </c>
      <c r="CB346" s="6">
        <f t="shared" ca="1" si="249"/>
        <v>-0.32803219240931525</v>
      </c>
      <c r="CC346" s="6">
        <f t="shared" ca="1" si="250"/>
        <v>-2.8625360918521636E-4</v>
      </c>
      <c r="CD346" s="9">
        <f t="shared" si="251"/>
        <v>150.27086590638601</v>
      </c>
      <c r="CE346" s="9">
        <f t="shared" si="252"/>
        <v>-51.189335870040082</v>
      </c>
      <c r="CF346" s="6">
        <f t="shared" si="253"/>
        <v>-0.32831844601850046</v>
      </c>
      <c r="CG346" s="6"/>
      <c r="CH346" s="6"/>
      <c r="CI346" s="6"/>
      <c r="CJ346" s="1"/>
      <c r="CK346" s="6"/>
    </row>
    <row r="347" spans="55:89" x14ac:dyDescent="0.25">
      <c r="BC347">
        <v>6.0213859193803936</v>
      </c>
      <c r="BD347">
        <v>138.23820639437437</v>
      </c>
      <c r="BE347">
        <v>-46.555126867602311</v>
      </c>
      <c r="BF347" s="6">
        <f t="shared" si="240"/>
        <v>5.958340750484707</v>
      </c>
      <c r="BG347" s="6">
        <f t="shared" si="241"/>
        <v>6.3045168895686565E-2</v>
      </c>
      <c r="BH347" s="6">
        <f t="shared" si="242"/>
        <v>3.1348830484087342</v>
      </c>
      <c r="BI347" s="6">
        <f t="shared" si="243"/>
        <v>3.1348830484087342</v>
      </c>
      <c r="BJ347">
        <v>153.59800710486041</v>
      </c>
      <c r="BK347">
        <v>-51.727918741780343</v>
      </c>
      <c r="BV347" s="38"/>
      <c r="BW347" s="6">
        <f t="shared" si="244"/>
        <v>5.7944931166211333</v>
      </c>
      <c r="BX347" s="9">
        <f t="shared" ca="1" si="245"/>
        <v>12.207658954850984</v>
      </c>
      <c r="BY347" s="9">
        <f t="shared" ca="1" si="246"/>
        <v>-5.0103289186387343</v>
      </c>
      <c r="BZ347" s="9">
        <f t="shared" ca="1" si="247"/>
        <v>138.08217670894871</v>
      </c>
      <c r="CA347" s="6">
        <f t="shared" ca="1" si="248"/>
        <v>-46.968501503337968</v>
      </c>
      <c r="CB347" s="6">
        <f t="shared" ca="1" si="249"/>
        <v>-0.32787197790254052</v>
      </c>
      <c r="CC347" s="6">
        <f t="shared" ca="1" si="250"/>
        <v>-2.9926771580490735E-4</v>
      </c>
      <c r="CD347" s="9">
        <f t="shared" si="251"/>
        <v>150.2821767089487</v>
      </c>
      <c r="CE347" s="9">
        <f t="shared" si="252"/>
        <v>-51.168501503337971</v>
      </c>
      <c r="CF347" s="6">
        <f t="shared" si="253"/>
        <v>-0.32817124561834543</v>
      </c>
      <c r="CG347" s="6"/>
      <c r="CH347" s="6"/>
      <c r="CI347" s="6"/>
      <c r="CJ347" s="1"/>
      <c r="CK347" s="6"/>
    </row>
    <row r="348" spans="55:89" x14ac:dyDescent="0.25">
      <c r="BC348">
        <v>6.0388392119003367</v>
      </c>
      <c r="BD348">
        <v>138.25171167492243</v>
      </c>
      <c r="BE348">
        <v>-46.502876204505696</v>
      </c>
      <c r="BF348" s="6">
        <f t="shared" si="240"/>
        <v>5.958709783683366</v>
      </c>
      <c r="BG348" s="6">
        <f t="shared" si="241"/>
        <v>8.0129428216970666E-2</v>
      </c>
      <c r="BH348" s="6">
        <f t="shared" si="242"/>
        <v>3.1345140152100752</v>
      </c>
      <c r="BI348" s="6">
        <f t="shared" si="243"/>
        <v>3.1345140152100752</v>
      </c>
      <c r="BJ348">
        <v>153.61301297213603</v>
      </c>
      <c r="BK348">
        <v>-51.669862449450775</v>
      </c>
      <c r="BV348" s="38"/>
      <c r="BW348" s="6">
        <f t="shared" si="244"/>
        <v>5.8119464091410764</v>
      </c>
      <c r="BX348" s="9">
        <f t="shared" ca="1" si="245"/>
        <v>12.218998019472764</v>
      </c>
      <c r="BY348" s="9">
        <f t="shared" ca="1" si="246"/>
        <v>-4.9885439418409732</v>
      </c>
      <c r="BZ348" s="9">
        <f t="shared" ca="1" si="247"/>
        <v>138.09351577357049</v>
      </c>
      <c r="CA348" s="6">
        <f t="shared" ca="1" si="248"/>
        <v>-46.946716526540207</v>
      </c>
      <c r="CB348" s="6">
        <f t="shared" ca="1" si="249"/>
        <v>-0.32770553918258782</v>
      </c>
      <c r="CC348" s="6">
        <f t="shared" ca="1" si="250"/>
        <v>-3.1278755910618688E-4</v>
      </c>
      <c r="CD348" s="9">
        <f t="shared" si="251"/>
        <v>150.29351577357048</v>
      </c>
      <c r="CE348" s="9">
        <f t="shared" si="252"/>
        <v>-51.14671652654021</v>
      </c>
      <c r="CF348" s="6">
        <f t="shared" si="253"/>
        <v>-0.32801832674169401</v>
      </c>
      <c r="CG348" s="6"/>
      <c r="CH348" s="6"/>
      <c r="CI348" s="6"/>
      <c r="CJ348" s="1"/>
      <c r="CK348" s="6"/>
    </row>
    <row r="349" spans="55:89" x14ac:dyDescent="0.25">
      <c r="BC349">
        <v>6.0562925044202798</v>
      </c>
      <c r="BD349">
        <v>138.26560754055004</v>
      </c>
      <c r="BE349">
        <v>-46.444957608356304</v>
      </c>
      <c r="BF349" s="6">
        <f t="shared" si="240"/>
        <v>5.9591165253046992</v>
      </c>
      <c r="BG349" s="6">
        <f t="shared" si="241"/>
        <v>9.7175979115580624E-2</v>
      </c>
      <c r="BH349" s="6">
        <f t="shared" si="242"/>
        <v>3.1341072735887421</v>
      </c>
      <c r="BI349" s="6">
        <f t="shared" si="243"/>
        <v>3.1341072735887421</v>
      </c>
      <c r="BJ349">
        <v>153.62845282283337</v>
      </c>
      <c r="BK349">
        <v>-51.605508453729229</v>
      </c>
      <c r="BV349" s="38"/>
      <c r="BW349" s="6">
        <f t="shared" si="244"/>
        <v>5.8293997016610195</v>
      </c>
      <c r="BX349" s="9">
        <f t="shared" ca="1" si="245"/>
        <v>12.230380156867142</v>
      </c>
      <c r="BY349" s="9">
        <f t="shared" ca="1" si="246"/>
        <v>-4.9657116239296357</v>
      </c>
      <c r="BZ349" s="9">
        <f t="shared" ca="1" si="247"/>
        <v>138.10489791096487</v>
      </c>
      <c r="CA349" s="6">
        <f t="shared" ca="1" si="248"/>
        <v>-46.92388420862887</v>
      </c>
      <c r="CB349" s="6">
        <f t="shared" ca="1" si="249"/>
        <v>-0.32753221518562547</v>
      </c>
      <c r="CC349" s="6">
        <f t="shared" ca="1" si="250"/>
        <v>-3.2686693211853024E-4</v>
      </c>
      <c r="CD349" s="9">
        <f t="shared" si="251"/>
        <v>150.30489791096485</v>
      </c>
      <c r="CE349" s="9">
        <f t="shared" si="252"/>
        <v>-51.123884208628873</v>
      </c>
      <c r="CF349" s="6">
        <f t="shared" si="253"/>
        <v>-0.32785908211774401</v>
      </c>
      <c r="CG349" s="6"/>
      <c r="CH349" s="6"/>
      <c r="CI349" s="6"/>
      <c r="CJ349" s="1"/>
      <c r="CK349" s="6"/>
    </row>
    <row r="350" spans="55:89" x14ac:dyDescent="0.25">
      <c r="BC350">
        <v>6.0737457969402229</v>
      </c>
      <c r="BD350">
        <v>138.27995242522465</v>
      </c>
      <c r="BE350">
        <v>-46.380201941211517</v>
      </c>
      <c r="BF350" s="6">
        <f t="shared" si="240"/>
        <v>5.959568718593288</v>
      </c>
      <c r="BG350" s="6">
        <f t="shared" si="241"/>
        <v>0.11417707834693491</v>
      </c>
      <c r="BH350" s="6">
        <f t="shared" si="242"/>
        <v>3.1336550803001533</v>
      </c>
      <c r="BI350" s="6">
        <f t="shared" si="243"/>
        <v>3.1336550803001533</v>
      </c>
      <c r="BJ350">
        <v>153.64439158358294</v>
      </c>
      <c r="BK350">
        <v>-51.533557712457238</v>
      </c>
      <c r="BV350" s="38"/>
      <c r="BW350" s="6">
        <f t="shared" si="244"/>
        <v>5.8468529941809626</v>
      </c>
      <c r="BX350" s="9">
        <f t="shared" ca="1" si="245"/>
        <v>12.241820811393495</v>
      </c>
      <c r="BY350" s="9">
        <f t="shared" ca="1" si="246"/>
        <v>-4.9417219844588374</v>
      </c>
      <c r="BZ350" s="9">
        <f t="shared" ca="1" si="247"/>
        <v>138.11633856549122</v>
      </c>
      <c r="CA350" s="6">
        <f t="shared" ca="1" si="248"/>
        <v>-46.899894569158072</v>
      </c>
      <c r="CB350" s="6">
        <f t="shared" ca="1" si="249"/>
        <v>-0.3273512573426739</v>
      </c>
      <c r="CC350" s="6">
        <f t="shared" ca="1" si="250"/>
        <v>-3.4156675391355806E-4</v>
      </c>
      <c r="CD350" s="9">
        <f t="shared" si="251"/>
        <v>150.31633856549121</v>
      </c>
      <c r="CE350" s="9">
        <f t="shared" si="252"/>
        <v>-51.099894569158074</v>
      </c>
      <c r="CF350" s="6">
        <f t="shared" si="253"/>
        <v>-0.32769282409658745</v>
      </c>
      <c r="CG350" s="6"/>
      <c r="CH350" s="6"/>
      <c r="CI350" s="6"/>
      <c r="CJ350" s="1"/>
      <c r="CK350" s="6"/>
    </row>
    <row r="351" spans="55:89" x14ac:dyDescent="0.25">
      <c r="BC351">
        <v>6.091199089460166</v>
      </c>
      <c r="BD351">
        <v>138.29481645745216</v>
      </c>
      <c r="BE351">
        <v>-46.307075700611087</v>
      </c>
      <c r="BF351" s="6">
        <f t="shared" si="240"/>
        <v>5.9600765095691814</v>
      </c>
      <c r="BG351" s="6">
        <f t="shared" si="241"/>
        <v>0.13112257989098453</v>
      </c>
      <c r="BH351" s="6">
        <f t="shared" si="242"/>
        <v>3.1331472893242598</v>
      </c>
      <c r="BI351" s="6">
        <f t="shared" si="243"/>
        <v>3.1331472893242598</v>
      </c>
      <c r="BJ351">
        <v>153.66090717494683</v>
      </c>
      <c r="BK351">
        <v>-51.45230633401232</v>
      </c>
      <c r="BV351" s="38"/>
      <c r="BW351" s="6">
        <f t="shared" si="244"/>
        <v>5.8643062867009057</v>
      </c>
      <c r="BX351" s="9">
        <f t="shared" ca="1" si="245"/>
        <v>12.253336208404505</v>
      </c>
      <c r="BY351" s="9">
        <f t="shared" ca="1" si="246"/>
        <v>-4.9164493178648456</v>
      </c>
      <c r="BZ351" s="9">
        <f t="shared" ca="1" si="247"/>
        <v>138.12785396250223</v>
      </c>
      <c r="CA351" s="6">
        <f t="shared" ca="1" si="248"/>
        <v>-46.87462190256408</v>
      </c>
      <c r="CB351" s="6">
        <f t="shared" ca="1" si="249"/>
        <v>-0.32716181314575893</v>
      </c>
      <c r="CC351" s="6">
        <f t="shared" ca="1" si="250"/>
        <v>-3.5695640925476058E-4</v>
      </c>
      <c r="CD351" s="9">
        <f t="shared" si="251"/>
        <v>150.32785396250222</v>
      </c>
      <c r="CE351" s="9">
        <f t="shared" si="252"/>
        <v>-51.074621902564083</v>
      </c>
      <c r="CF351" s="6">
        <f t="shared" si="253"/>
        <v>-0.32751876955501369</v>
      </c>
      <c r="CG351" s="6"/>
      <c r="CH351" s="6"/>
      <c r="CI351" s="6"/>
      <c r="CJ351" s="1"/>
      <c r="CK351" s="6"/>
    </row>
    <row r="352" spans="55:89" x14ac:dyDescent="0.25">
      <c r="BC352">
        <v>6.1086523819801091</v>
      </c>
      <c r="BD352">
        <v>138.31028530689724</v>
      </c>
      <c r="BE352">
        <v>-46.223520691642406</v>
      </c>
      <c r="BF352" s="6">
        <f t="shared" si="240"/>
        <v>5.9606535031342291</v>
      </c>
      <c r="BG352" s="6">
        <f t="shared" si="241"/>
        <v>0.14799887884587992</v>
      </c>
      <c r="BH352" s="6">
        <f t="shared" si="242"/>
        <v>3.1325702957592121</v>
      </c>
      <c r="BI352" s="6">
        <f t="shared" si="243"/>
        <v>3.1325702957592121</v>
      </c>
      <c r="BJ352">
        <v>153.67809478544137</v>
      </c>
      <c r="BK352">
        <v>-51.35946743515823</v>
      </c>
      <c r="BV352" s="38"/>
      <c r="BW352" s="6">
        <f t="shared" si="244"/>
        <v>5.8817595792208488</v>
      </c>
      <c r="BX352" s="9">
        <f t="shared" ca="1" si="245"/>
        <v>12.26494352552001</v>
      </c>
      <c r="BY352" s="9">
        <f t="shared" ca="1" si="246"/>
        <v>-4.8897491328737033</v>
      </c>
      <c r="BZ352" s="9">
        <f t="shared" ca="1" si="247"/>
        <v>138.13946127961773</v>
      </c>
      <c r="CA352" s="6">
        <f t="shared" ca="1" si="248"/>
        <v>-46.847921717572937</v>
      </c>
      <c r="CB352" s="6">
        <f t="shared" ca="1" si="249"/>
        <v>-0.32696290585226923</v>
      </c>
      <c r="CC352" s="6">
        <f t="shared" ca="1" si="250"/>
        <v>-3.7311540330753346E-4</v>
      </c>
      <c r="CD352" s="9">
        <f t="shared" si="251"/>
        <v>150.33946127961772</v>
      </c>
      <c r="CE352" s="9">
        <f t="shared" si="252"/>
        <v>-51.04792171757294</v>
      </c>
      <c r="CF352" s="6">
        <f t="shared" si="253"/>
        <v>-0.32733602125557676</v>
      </c>
      <c r="CG352" s="6"/>
      <c r="CH352" s="6"/>
      <c r="CI352" s="6"/>
      <c r="CJ352" s="1"/>
      <c r="CK352" s="6"/>
    </row>
    <row r="353" spans="55:89" x14ac:dyDescent="0.25">
      <c r="BC353">
        <v>6.1261056745000522</v>
      </c>
      <c r="BD353">
        <v>138.32646581966955</v>
      </c>
      <c r="BE353">
        <v>-46.126698119450552</v>
      </c>
      <c r="BF353" s="6">
        <f t="shared" si="240"/>
        <v>5.9613184486634481</v>
      </c>
      <c r="BG353" s="6">
        <f t="shared" si="241"/>
        <v>0.1647872258366041</v>
      </c>
      <c r="BH353" s="6">
        <f t="shared" si="242"/>
        <v>3.1319053502299932</v>
      </c>
      <c r="BI353" s="6">
        <f t="shared" si="243"/>
        <v>3.1319053502299932</v>
      </c>
      <c r="BJ353">
        <v>153.69607313296618</v>
      </c>
      <c r="BK353">
        <v>-51.251886799389503</v>
      </c>
      <c r="BV353" s="38"/>
      <c r="BW353" s="6">
        <f t="shared" si="244"/>
        <v>5.8992128717407919</v>
      </c>
      <c r="BX353" s="9">
        <f t="shared" ca="1" si="245"/>
        <v>12.276661089356566</v>
      </c>
      <c r="BY353" s="9">
        <f t="shared" ca="1" si="246"/>
        <v>-4.86145433410978</v>
      </c>
      <c r="BZ353" s="9">
        <f t="shared" ca="1" si="247"/>
        <v>138.15117884345429</v>
      </c>
      <c r="CA353" s="6">
        <f t="shared" ca="1" si="248"/>
        <v>-46.819626918809014</v>
      </c>
      <c r="CB353" s="6">
        <f t="shared" ca="1" si="249"/>
        <v>-0.32675340919718876</v>
      </c>
      <c r="CC353" s="6">
        <f t="shared" ca="1" si="250"/>
        <v>-3.9013542371268972E-4</v>
      </c>
      <c r="CD353" s="9">
        <f t="shared" si="251"/>
        <v>150.35117884345428</v>
      </c>
      <c r="CE353" s="9">
        <f t="shared" si="252"/>
        <v>-51.019626918809017</v>
      </c>
      <c r="CF353" s="6">
        <f t="shared" si="253"/>
        <v>-0.32714354462090145</v>
      </c>
      <c r="CG353" s="6"/>
      <c r="CH353" s="6"/>
      <c r="CI353" s="6"/>
      <c r="CJ353" s="1"/>
      <c r="CK353" s="6"/>
    </row>
    <row r="354" spans="55:89" x14ac:dyDescent="0.25">
      <c r="BC354">
        <v>6.1435589670199953</v>
      </c>
      <c r="BD354">
        <v>138.34349455465923</v>
      </c>
      <c r="BE354">
        <v>-46.01256152865195</v>
      </c>
      <c r="BF354" s="6">
        <f t="shared" si="240"/>
        <v>5.9620980529390648</v>
      </c>
      <c r="BG354" s="6">
        <f t="shared" si="241"/>
        <v>0.18146091408093046</v>
      </c>
      <c r="BH354" s="6">
        <f t="shared" si="242"/>
        <v>3.1311257459543764</v>
      </c>
      <c r="BI354" s="6">
        <f t="shared" si="243"/>
        <v>3.1311257459543764</v>
      </c>
      <c r="BJ354">
        <v>153.71499394962137</v>
      </c>
      <c r="BK354">
        <v>-51.125068365168829</v>
      </c>
      <c r="BV354" s="38"/>
      <c r="BW354" s="6">
        <f t="shared" si="244"/>
        <v>5.916666164260735</v>
      </c>
      <c r="BX354" s="9">
        <f t="shared" ca="1" si="245"/>
        <v>12.288508620242425</v>
      </c>
      <c r="BY354" s="9">
        <f t="shared" ca="1" si="246"/>
        <v>-4.8313704195441716</v>
      </c>
      <c r="BZ354" s="9">
        <f t="shared" ca="1" si="247"/>
        <v>138.16302637434015</v>
      </c>
      <c r="CA354" s="6">
        <f t="shared" ca="1" si="248"/>
        <v>-46.789543004243406</v>
      </c>
      <c r="CB354" s="6">
        <f t="shared" ca="1" si="249"/>
        <v>-0.32653201558761968</v>
      </c>
      <c r="CC354" s="6">
        <f t="shared" ca="1" si="250"/>
        <v>-4.0812293457875842E-4</v>
      </c>
      <c r="CD354" s="9">
        <f t="shared" si="251"/>
        <v>150.36302637434014</v>
      </c>
      <c r="CE354" s="9">
        <f t="shared" si="252"/>
        <v>-50.989543004243409</v>
      </c>
      <c r="CF354" s="6">
        <f t="shared" si="253"/>
        <v>-0.32694013852219844</v>
      </c>
      <c r="CG354" s="6"/>
      <c r="CH354" s="6"/>
      <c r="CI354" s="6"/>
      <c r="CJ354" s="1"/>
      <c r="CK354" s="6"/>
    </row>
    <row r="355" spans="55:89" x14ac:dyDescent="0.25">
      <c r="BC355">
        <v>6.1610122595399384</v>
      </c>
      <c r="BD355">
        <v>138.36155132856936</v>
      </c>
      <c r="BE355">
        <v>-45.875104484373956</v>
      </c>
      <c r="BF355" s="6">
        <f t="shared" si="240"/>
        <v>5.9630319361289361</v>
      </c>
      <c r="BG355" s="6">
        <f t="shared" si="241"/>
        <v>0.19798032341100225</v>
      </c>
      <c r="BH355" s="6">
        <f t="shared" si="242"/>
        <v>3.1301918627645051</v>
      </c>
      <c r="BI355" s="6">
        <f t="shared" si="243"/>
        <v>3.1301918627645051</v>
      </c>
      <c r="BJ355">
        <v>153.73505703174374</v>
      </c>
      <c r="BK355">
        <v>-50.972338315971058</v>
      </c>
      <c r="BV355" s="38"/>
      <c r="BW355" s="6">
        <f t="shared" si="244"/>
        <v>5.9341194567806781</v>
      </c>
      <c r="BX355" s="9">
        <f t="shared" ca="1" si="245"/>
        <v>12.300507506072535</v>
      </c>
      <c r="BY355" s="9">
        <f t="shared" ca="1" si="246"/>
        <v>-4.7992693656101082</v>
      </c>
      <c r="BZ355" s="9">
        <f t="shared" ca="1" si="247"/>
        <v>138.17502526017026</v>
      </c>
      <c r="CA355" s="6">
        <f t="shared" ca="1" si="248"/>
        <v>-46.757441950309342</v>
      </c>
      <c r="CB355" s="6">
        <f t="shared" ca="1" si="249"/>
        <v>-0.32629719568123455</v>
      </c>
      <c r="CC355" s="6">
        <f t="shared" ca="1" si="250"/>
        <v>-4.2720247387173504E-4</v>
      </c>
      <c r="CD355" s="9">
        <f t="shared" si="251"/>
        <v>150.37502526017025</v>
      </c>
      <c r="CE355" s="9">
        <f t="shared" si="252"/>
        <v>-50.957441950309345</v>
      </c>
      <c r="CF355" s="6">
        <f t="shared" si="253"/>
        <v>-0.32672439815510629</v>
      </c>
      <c r="CG355" s="6"/>
      <c r="CH355" s="6"/>
      <c r="CI355" s="6"/>
      <c r="CJ355" s="1"/>
      <c r="CK355" s="6"/>
    </row>
    <row r="356" spans="55:89" x14ac:dyDescent="0.25">
      <c r="BC356">
        <v>6.1784655520598815</v>
      </c>
      <c r="BD356">
        <v>138.38088185458432</v>
      </c>
      <c r="BE356">
        <v>-45.704942825870056</v>
      </c>
      <c r="BF356" s="6">
        <f t="shared" si="240"/>
        <v>5.9641819738247941</v>
      </c>
      <c r="BG356" s="6">
        <f t="shared" si="241"/>
        <v>0.21428357823508737</v>
      </c>
      <c r="BH356" s="6">
        <f t="shared" si="242"/>
        <v>3.1290418250686471</v>
      </c>
      <c r="BI356" s="6">
        <f t="shared" si="243"/>
        <v>3.1290418250686471</v>
      </c>
      <c r="BJ356">
        <v>153.75653539398257</v>
      </c>
      <c r="BK356">
        <v>-50.783269806522284</v>
      </c>
      <c r="BV356" s="38"/>
      <c r="BW356" s="6">
        <f t="shared" si="244"/>
        <v>5.9515727493006212</v>
      </c>
      <c r="BX356" s="9">
        <f t="shared" ca="1" si="245"/>
        <v>12.312681152372875</v>
      </c>
      <c r="BY356" s="9">
        <f t="shared" ca="1" si="246"/>
        <v>-4.7648817707244433</v>
      </c>
      <c r="BZ356" s="9">
        <f t="shared" ca="1" si="247"/>
        <v>138.1871989064706</v>
      </c>
      <c r="CA356" s="6">
        <f t="shared" ca="1" si="248"/>
        <v>-46.723054355423677</v>
      </c>
      <c r="CB356" s="6">
        <f t="shared" ca="1" si="249"/>
        <v>-0.32604714644456007</v>
      </c>
      <c r="CC356" s="6">
        <f t="shared" ca="1" si="250"/>
        <v>-4.4752089139815654E-4</v>
      </c>
      <c r="CD356" s="9">
        <f t="shared" si="251"/>
        <v>150.38719890647059</v>
      </c>
      <c r="CE356" s="9">
        <f t="shared" si="252"/>
        <v>-50.92305435542368</v>
      </c>
      <c r="CF356" s="6">
        <f t="shared" si="253"/>
        <v>-0.32649466733595822</v>
      </c>
      <c r="CG356" s="6"/>
      <c r="CH356" s="6"/>
      <c r="CI356" s="6"/>
      <c r="CJ356" s="1"/>
      <c r="CK356" s="6"/>
    </row>
    <row r="357" spans="55:89" x14ac:dyDescent="0.25">
      <c r="BC357">
        <v>6.1959188445798246</v>
      </c>
      <c r="BD357">
        <v>138.40183839788327</v>
      </c>
      <c r="BE357">
        <v>-45.486401474582237</v>
      </c>
      <c r="BF357" s="6">
        <f t="shared" si="240"/>
        <v>5.9656515023933894</v>
      </c>
      <c r="BG357" s="6">
        <f t="shared" si="241"/>
        <v>0.23026734218643519</v>
      </c>
      <c r="BH357" s="6">
        <f t="shared" si="242"/>
        <v>3.1275722965000519</v>
      </c>
      <c r="BI357" s="6">
        <f t="shared" si="243"/>
        <v>3.1275722965000519</v>
      </c>
      <c r="BJ357">
        <v>153.77982044209253</v>
      </c>
      <c r="BK357">
        <v>-50.540446082869153</v>
      </c>
      <c r="BV357" s="38"/>
      <c r="BW357" s="6">
        <f t="shared" si="244"/>
        <v>5.9690260418205643</v>
      </c>
      <c r="BX357" s="9">
        <f t="shared" ca="1" si="245"/>
        <v>12.325055397153989</v>
      </c>
      <c r="BY357" s="9">
        <f t="shared" ca="1" si="246"/>
        <v>-4.7278866235343386</v>
      </c>
      <c r="BZ357" s="9">
        <f t="shared" ca="1" si="247"/>
        <v>138.19957315125171</v>
      </c>
      <c r="CA357" s="6">
        <f t="shared" ca="1" si="248"/>
        <v>-46.686059208233573</v>
      </c>
      <c r="CB357" s="6">
        <f t="shared" ca="1" si="249"/>
        <v>-0.3257797235818346</v>
      </c>
      <c r="CC357" s="6">
        <f t="shared" ca="1" si="250"/>
        <v>-4.6925286328564075E-4</v>
      </c>
      <c r="CD357" s="9">
        <f t="shared" si="251"/>
        <v>150.3995731512517</v>
      </c>
      <c r="CE357" s="9">
        <f t="shared" si="252"/>
        <v>-50.886059208233576</v>
      </c>
      <c r="CF357" s="6">
        <f t="shared" si="253"/>
        <v>-0.32624897644512024</v>
      </c>
      <c r="CG357" s="6"/>
      <c r="CH357" s="6"/>
      <c r="CI357" s="6"/>
      <c r="CJ357" s="1"/>
      <c r="CK357" s="6"/>
    </row>
    <row r="358" spans="55:89" x14ac:dyDescent="0.25">
      <c r="BC358">
        <v>6.2133721370997677</v>
      </c>
      <c r="BD358">
        <v>138.42495973049733</v>
      </c>
      <c r="BE358">
        <v>-45.190794202073064</v>
      </c>
      <c r="BF358" s="6">
        <f t="shared" si="240"/>
        <v>5.9676296567639531</v>
      </c>
      <c r="BG358" s="6">
        <f t="shared" si="241"/>
        <v>0.24574248033581458</v>
      </c>
      <c r="BH358" s="6">
        <f t="shared" si="242"/>
        <v>3.1255941421294882</v>
      </c>
      <c r="BI358" s="6">
        <f t="shared" si="243"/>
        <v>3.1255941421294882</v>
      </c>
      <c r="BJ358">
        <v>153.80551081166371</v>
      </c>
      <c r="BK358">
        <v>-50.21199355785896</v>
      </c>
      <c r="BV358" s="38"/>
      <c r="BW358" s="6">
        <f t="shared" si="244"/>
        <v>5.9864793343405074</v>
      </c>
      <c r="BX358" s="9">
        <f t="shared" ca="1" si="245"/>
        <v>12.337659038763064</v>
      </c>
      <c r="BY358" s="9">
        <f t="shared" ca="1" si="246"/>
        <v>-4.6878978099396065</v>
      </c>
      <c r="BZ358" s="9">
        <f t="shared" ca="1" si="247"/>
        <v>138.21217679286079</v>
      </c>
      <c r="CA358" s="6">
        <f t="shared" ca="1" si="248"/>
        <v>-46.646070394638841</v>
      </c>
      <c r="CB358" s="6">
        <f t="shared" ca="1" si="249"/>
        <v>-0.325492352445652</v>
      </c>
      <c r="CC358" s="6">
        <f t="shared" ca="1" si="250"/>
        <v>-4.9260816428792209E-4</v>
      </c>
      <c r="CD358" s="9">
        <f t="shared" si="251"/>
        <v>150.41217679286078</v>
      </c>
      <c r="CE358" s="9">
        <f t="shared" si="252"/>
        <v>-50.846070394638843</v>
      </c>
      <c r="CF358" s="6">
        <f t="shared" si="253"/>
        <v>-0.32598496060993992</v>
      </c>
      <c r="CG358" s="6"/>
      <c r="CH358" s="6"/>
      <c r="CI358" s="6"/>
      <c r="CJ358" s="1"/>
      <c r="CK358" s="6"/>
    </row>
    <row r="359" spans="55:89" x14ac:dyDescent="0.25">
      <c r="BC359">
        <v>6.2308254296197108</v>
      </c>
      <c r="BD359">
        <v>138.45092329659545</v>
      </c>
      <c r="BE359">
        <v>-44.763879423302079</v>
      </c>
      <c r="BF359" s="6">
        <f t="shared" si="240"/>
        <v>5.9704741382225786</v>
      </c>
      <c r="BG359" s="6">
        <f t="shared" si="241"/>
        <v>0.2603512913971322</v>
      </c>
      <c r="BH359" s="6">
        <f t="shared" si="242"/>
        <v>3.1227496606708627</v>
      </c>
      <c r="BI359" s="6">
        <f t="shared" si="243"/>
        <v>3.1227496606708627</v>
      </c>
      <c r="BJ359">
        <v>153.83435921843937</v>
      </c>
      <c r="BK359">
        <v>-49.737643803668973</v>
      </c>
      <c r="BV359" s="38"/>
      <c r="BW359" s="6">
        <f t="shared" si="244"/>
        <v>6.0039326268604505</v>
      </c>
      <c r="BX359" s="9">
        <f t="shared" ca="1" si="245"/>
        <v>12.350524493929527</v>
      </c>
      <c r="BY359" s="9">
        <f t="shared" ca="1" si="246"/>
        <v>-4.6444460453564318</v>
      </c>
      <c r="BZ359" s="9">
        <f t="shared" ca="1" si="247"/>
        <v>138.22504224802725</v>
      </c>
      <c r="CA359" s="6">
        <f t="shared" ca="1" si="248"/>
        <v>-46.602618630055666</v>
      </c>
      <c r="CB359" s="6">
        <f t="shared" ca="1" si="249"/>
        <v>-0.32518190881573134</v>
      </c>
      <c r="CC359" s="6">
        <f t="shared" ca="1" si="250"/>
        <v>-5.178414023005451E-4</v>
      </c>
      <c r="CD359" s="9">
        <f t="shared" si="251"/>
        <v>150.42504224802724</v>
      </c>
      <c r="CE359" s="9">
        <f t="shared" si="252"/>
        <v>-50.802618630055669</v>
      </c>
      <c r="CF359" s="6">
        <f t="shared" si="253"/>
        <v>-0.32569975021803188</v>
      </c>
      <c r="CG359" s="6"/>
      <c r="CH359" s="6"/>
      <c r="CI359" s="6"/>
      <c r="CJ359" s="1"/>
      <c r="CK359" s="6"/>
    </row>
    <row r="360" spans="55:89" x14ac:dyDescent="0.25">
      <c r="BC360">
        <v>6.2482787221396539</v>
      </c>
      <c r="BD360">
        <v>138.47760145816065</v>
      </c>
      <c r="BE360">
        <v>-44.181133508759999</v>
      </c>
      <c r="BF360" s="6">
        <f t="shared" si="240"/>
        <v>5.9743453082080302</v>
      </c>
      <c r="BG360" s="6">
        <f t="shared" si="241"/>
        <v>0.27393341393162363</v>
      </c>
      <c r="BH360" s="6">
        <f t="shared" si="242"/>
        <v>3.118878490685411</v>
      </c>
      <c r="BI360" s="6">
        <f t="shared" si="243"/>
        <v>3.118878490685411</v>
      </c>
      <c r="BJ360">
        <v>153.8640016201785</v>
      </c>
      <c r="BK360">
        <v>-49.090148343066666</v>
      </c>
      <c r="BV360" s="38"/>
      <c r="BW360" s="6">
        <f t="shared" si="244"/>
        <v>6.0213859193803936</v>
      </c>
      <c r="BX360" s="9">
        <f t="shared" ca="1" si="245"/>
        <v>12.363688640276649</v>
      </c>
      <c r="BY360" s="9">
        <f t="shared" ca="1" si="246"/>
        <v>-4.5969542829030772</v>
      </c>
      <c r="BZ360" s="9">
        <f t="shared" ca="1" si="247"/>
        <v>138.23820639437437</v>
      </c>
      <c r="CA360" s="6">
        <f t="shared" ca="1" si="248"/>
        <v>-46.555126867602311</v>
      </c>
      <c r="CB360" s="6">
        <f t="shared" ca="1" si="249"/>
        <v>-0.32484455669487888</v>
      </c>
      <c r="CC360" s="6">
        <f t="shared" ca="1" si="250"/>
        <v>-5.4526526621900828E-4</v>
      </c>
      <c r="CD360" s="9">
        <f t="shared" si="251"/>
        <v>150.43820639437436</v>
      </c>
      <c r="CE360" s="9">
        <f t="shared" si="252"/>
        <v>-50.755126867602314</v>
      </c>
      <c r="CF360" s="6">
        <f t="shared" si="253"/>
        <v>-0.32538982196109789</v>
      </c>
      <c r="CG360" s="6"/>
      <c r="CH360" s="6"/>
      <c r="CI360" s="6"/>
      <c r="CJ360" s="1"/>
      <c r="CK360" s="6"/>
    </row>
    <row r="361" spans="55:89" x14ac:dyDescent="0.25">
      <c r="BC361">
        <v>6.2657320146595969</v>
      </c>
      <c r="BD361">
        <v>138.50052180684116</v>
      </c>
      <c r="BE361">
        <v>-43.458367596994641</v>
      </c>
      <c r="BF361" s="6">
        <f t="shared" si="240"/>
        <v>5.9791368868288872</v>
      </c>
      <c r="BG361" s="6">
        <f t="shared" si="241"/>
        <v>0.28659512783070973</v>
      </c>
      <c r="BH361" s="6">
        <f t="shared" si="242"/>
        <v>3.114086912064554</v>
      </c>
      <c r="BI361" s="6">
        <f t="shared" si="243"/>
        <v>3.114086912064554</v>
      </c>
      <c r="BJ361">
        <v>153.88946867426796</v>
      </c>
      <c r="BK361">
        <v>-48.28707510777182</v>
      </c>
      <c r="BV361" s="38"/>
      <c r="BW361" s="6">
        <f t="shared" si="244"/>
        <v>6.0388392119003367</v>
      </c>
      <c r="BX361" s="9">
        <f t="shared" ca="1" si="245"/>
        <v>12.377193920824709</v>
      </c>
      <c r="BY361" s="9">
        <f t="shared" ca="1" si="246"/>
        <v>-4.5447036198064623</v>
      </c>
      <c r="BZ361" s="9">
        <f t="shared" ca="1" si="247"/>
        <v>138.25171167492243</v>
      </c>
      <c r="CA361" s="6">
        <f t="shared" ca="1" si="248"/>
        <v>-46.502876204505696</v>
      </c>
      <c r="CB361" s="6">
        <f t="shared" ca="1" si="249"/>
        <v>-0.32447552349621983</v>
      </c>
      <c r="CC361" s="6">
        <f t="shared" ca="1" si="250"/>
        <v>-5.752688929550609E-4</v>
      </c>
      <c r="CD361" s="9">
        <f t="shared" si="251"/>
        <v>150.45171167492242</v>
      </c>
      <c r="CE361" s="9">
        <f t="shared" si="252"/>
        <v>-50.702876204505699</v>
      </c>
      <c r="CF361" s="6">
        <f t="shared" si="253"/>
        <v>-0.32505079238917489</v>
      </c>
      <c r="CG361" s="6"/>
      <c r="CH361" s="6"/>
      <c r="CI361" s="6"/>
      <c r="CJ361" s="1"/>
      <c r="CK361" s="6"/>
    </row>
    <row r="362" spans="55:89" x14ac:dyDescent="0.25">
      <c r="BC362">
        <v>6.28318530717954</v>
      </c>
      <c r="BD362">
        <v>138.5125528147145</v>
      </c>
      <c r="BE362">
        <v>-42.660000000002782</v>
      </c>
      <c r="BF362" s="6">
        <f t="shared" si="240"/>
        <v>5.9844176250876364</v>
      </c>
      <c r="BG362" s="6">
        <f t="shared" si="241"/>
        <v>0.29876768209190363</v>
      </c>
      <c r="BH362" s="6">
        <f t="shared" si="242"/>
        <v>3.1088061738058048</v>
      </c>
      <c r="BI362" s="6">
        <f t="shared" si="243"/>
        <v>3.1088061738058048</v>
      </c>
      <c r="BJ362">
        <v>153.90283646079388</v>
      </c>
      <c r="BK362">
        <v>-47.400000000003089</v>
      </c>
      <c r="BV362" s="38"/>
      <c r="BW362" s="6">
        <f t="shared" si="244"/>
        <v>6.0562925044202798</v>
      </c>
      <c r="BX362" s="9">
        <f t="shared" ca="1" si="245"/>
        <v>12.391089786452312</v>
      </c>
      <c r="BY362" s="9">
        <f t="shared" ca="1" si="246"/>
        <v>-4.4867850236570703</v>
      </c>
      <c r="BZ362" s="9">
        <f t="shared" ca="1" si="247"/>
        <v>138.26560754055004</v>
      </c>
      <c r="CA362" s="6">
        <f t="shared" ca="1" si="248"/>
        <v>-46.444957608356304</v>
      </c>
      <c r="CB362" s="6">
        <f t="shared" ca="1" si="249"/>
        <v>-0.32406878187488752</v>
      </c>
      <c r="CC362" s="6">
        <f t="shared" ca="1" si="250"/>
        <v>-6.0834387041652782E-4</v>
      </c>
      <c r="CD362" s="9">
        <f t="shared" si="251"/>
        <v>150.46560754055002</v>
      </c>
      <c r="CE362" s="9">
        <f t="shared" si="252"/>
        <v>-50.644957608356307</v>
      </c>
      <c r="CF362" s="6">
        <f t="shared" si="253"/>
        <v>-0.32467712574530405</v>
      </c>
      <c r="CG362" s="6"/>
      <c r="CH362" s="6"/>
      <c r="CI362" s="6"/>
      <c r="CJ362" s="1"/>
      <c r="CK362" s="6"/>
    </row>
    <row r="363" spans="55:89" x14ac:dyDescent="0.25">
      <c r="BC363" s="6"/>
      <c r="BD363" s="6"/>
      <c r="BE363" s="6"/>
      <c r="BF363" s="6"/>
      <c r="BG363" s="6"/>
      <c r="BH363" s="6"/>
      <c r="BI363" s="6"/>
      <c r="BW363" s="6">
        <f t="shared" si="244"/>
        <v>6.0737457969402229</v>
      </c>
      <c r="BX363" s="9">
        <f t="shared" ca="1" si="245"/>
        <v>12.405434671126926</v>
      </c>
      <c r="BY363" s="9">
        <f t="shared" ca="1" si="246"/>
        <v>-4.422029356512283</v>
      </c>
      <c r="BZ363" s="9">
        <f t="shared" ca="1" si="247"/>
        <v>138.27995242522465</v>
      </c>
      <c r="CA363" s="6">
        <f t="shared" ca="1" si="248"/>
        <v>-46.380201941211517</v>
      </c>
      <c r="CB363" s="6">
        <f t="shared" ca="1" si="249"/>
        <v>-0.32361658858629838</v>
      </c>
      <c r="CC363" s="6">
        <f t="shared" ca="1" si="250"/>
        <v>-6.4512193928767392E-4</v>
      </c>
      <c r="CD363" s="9">
        <f t="shared" si="251"/>
        <v>150.47995242522464</v>
      </c>
      <c r="CE363" s="9">
        <f t="shared" si="252"/>
        <v>-50.58020194121152</v>
      </c>
      <c r="CF363" s="6">
        <f t="shared" si="253"/>
        <v>-0.32426171052558606</v>
      </c>
      <c r="CG363" s="6"/>
      <c r="CH363" s="6"/>
      <c r="CI363" s="6"/>
      <c r="CJ363" s="1"/>
      <c r="CK363" s="6"/>
    </row>
    <row r="364" spans="55:89" x14ac:dyDescent="0.25">
      <c r="BC364" s="6"/>
      <c r="BD364" s="6"/>
      <c r="BE364" s="6"/>
      <c r="BF364" s="6"/>
      <c r="BG364" s="6"/>
      <c r="BH364" s="6"/>
      <c r="BI364" s="6"/>
      <c r="BW364" s="6">
        <f t="shared" si="244"/>
        <v>6.091199089460166</v>
      </c>
      <c r="BX364" s="9">
        <f t="shared" ca="1" si="245"/>
        <v>12.420298703354433</v>
      </c>
      <c r="BY364" s="9">
        <f t="shared" ca="1" si="246"/>
        <v>-4.3489031159118525</v>
      </c>
      <c r="BZ364" s="9">
        <f t="shared" ca="1" si="247"/>
        <v>138.29481645745216</v>
      </c>
      <c r="CA364" s="6">
        <f t="shared" ca="1" si="248"/>
        <v>-46.307075700611087</v>
      </c>
      <c r="CB364" s="6">
        <f t="shared" ca="1" si="249"/>
        <v>-0.32310879761040467</v>
      </c>
      <c r="CC364" s="6">
        <f t="shared" ca="1" si="250"/>
        <v>-6.8643117364303174E-4</v>
      </c>
      <c r="CD364" s="9">
        <f t="shared" si="251"/>
        <v>150.49481645745215</v>
      </c>
      <c r="CE364" s="9">
        <f t="shared" si="252"/>
        <v>-50.50707570061109</v>
      </c>
      <c r="CF364" s="6">
        <f t="shared" si="253"/>
        <v>-0.32379522878404771</v>
      </c>
      <c r="CG364" s="6"/>
      <c r="CH364" s="6"/>
      <c r="CI364" s="6"/>
      <c r="CJ364" s="1"/>
      <c r="CK364" s="6"/>
    </row>
    <row r="365" spans="55:89" x14ac:dyDescent="0.25">
      <c r="BW365" s="6">
        <f t="shared" si="244"/>
        <v>6.1086523819801091</v>
      </c>
      <c r="BX365" s="9">
        <f t="shared" ca="1" si="245"/>
        <v>12.435767552799518</v>
      </c>
      <c r="BY365" s="9">
        <f t="shared" ca="1" si="246"/>
        <v>-4.265348106943172</v>
      </c>
      <c r="BZ365" s="9">
        <f t="shared" ca="1" si="247"/>
        <v>138.31028530689724</v>
      </c>
      <c r="CA365" s="6">
        <f t="shared" ca="1" si="248"/>
        <v>-46.223520691642406</v>
      </c>
      <c r="CB365" s="6">
        <f t="shared" ca="1" si="249"/>
        <v>-0.3225318040453567</v>
      </c>
      <c r="CC365" s="6">
        <f t="shared" ca="1" si="250"/>
        <v>-7.3338240166176416E-4</v>
      </c>
      <c r="CD365" s="9">
        <f t="shared" si="251"/>
        <v>150.51028530689723</v>
      </c>
      <c r="CE365" s="9">
        <f t="shared" si="252"/>
        <v>-50.423520691642409</v>
      </c>
      <c r="CF365" s="6">
        <f t="shared" si="253"/>
        <v>-0.32326518644701846</v>
      </c>
      <c r="CG365" s="6"/>
      <c r="CH365" s="6"/>
      <c r="CI365" s="6"/>
      <c r="CJ365" s="1"/>
      <c r="CK365" s="6"/>
    </row>
    <row r="366" spans="55:89" x14ac:dyDescent="0.25">
      <c r="BW366" s="6">
        <f t="shared" si="244"/>
        <v>6.1261056745000522</v>
      </c>
      <c r="BX366" s="9">
        <f t="shared" ca="1" si="245"/>
        <v>12.451948065571827</v>
      </c>
      <c r="BY366" s="9">
        <f t="shared" ca="1" si="246"/>
        <v>-4.1685255347513177</v>
      </c>
      <c r="BZ366" s="9">
        <f t="shared" ca="1" si="247"/>
        <v>138.32646581966955</v>
      </c>
      <c r="CA366" s="6">
        <f t="shared" ca="1" si="248"/>
        <v>-46.126698119450552</v>
      </c>
      <c r="CB366" s="6">
        <f t="shared" ca="1" si="249"/>
        <v>-0.32186685851613778</v>
      </c>
      <c r="CC366" s="6">
        <f t="shared" ca="1" si="250"/>
        <v>-7.8750720927506235E-4</v>
      </c>
      <c r="CD366" s="9">
        <f t="shared" si="251"/>
        <v>150.52646581966954</v>
      </c>
      <c r="CE366" s="9">
        <f t="shared" si="252"/>
        <v>-50.326698119450555</v>
      </c>
      <c r="CF366" s="6">
        <f t="shared" si="253"/>
        <v>-0.32265436572541284</v>
      </c>
      <c r="CG366" s="6"/>
      <c r="CH366" s="6"/>
      <c r="CI366" s="6"/>
      <c r="CJ366" s="1"/>
      <c r="CK366" s="6"/>
    </row>
    <row r="367" spans="55:89" x14ac:dyDescent="0.25">
      <c r="BW367" s="6">
        <f t="shared" si="244"/>
        <v>6.1435589670199953</v>
      </c>
      <c r="BX367" s="9">
        <f t="shared" ca="1" si="245"/>
        <v>12.468976800561506</v>
      </c>
      <c r="BY367" s="9">
        <f t="shared" ca="1" si="246"/>
        <v>-4.0543889439527163</v>
      </c>
      <c r="BZ367" s="9">
        <f t="shared" ca="1" si="247"/>
        <v>138.34349455465923</v>
      </c>
      <c r="CA367" s="6">
        <f t="shared" ca="1" si="248"/>
        <v>-46.01256152865195</v>
      </c>
      <c r="CB367" s="6">
        <f t="shared" ca="1" si="249"/>
        <v>-0.32108725424052154</v>
      </c>
      <c r="CC367" s="6">
        <f t="shared" ca="1" si="250"/>
        <v>-8.5098838074171279E-4</v>
      </c>
      <c r="CD367" s="9">
        <f t="shared" si="251"/>
        <v>150.54349455465922</v>
      </c>
      <c r="CE367" s="9">
        <f t="shared" si="252"/>
        <v>-50.212561528651953</v>
      </c>
      <c r="CF367" s="6">
        <f t="shared" si="253"/>
        <v>-0.32193824262126325</v>
      </c>
      <c r="CG367" s="6"/>
      <c r="CH367" s="6"/>
      <c r="CI367" s="6"/>
      <c r="CJ367" s="1"/>
      <c r="CK367" s="6"/>
    </row>
    <row r="368" spans="55:89" x14ac:dyDescent="0.25">
      <c r="BW368" s="6">
        <f t="shared" si="244"/>
        <v>6.1610122595399384</v>
      </c>
      <c r="BX368" s="9">
        <f t="shared" ca="1" si="245"/>
        <v>12.487033574471639</v>
      </c>
      <c r="BY368" s="9">
        <f t="shared" ca="1" si="246"/>
        <v>-3.9169318996747222</v>
      </c>
      <c r="BZ368" s="9">
        <f t="shared" ca="1" si="247"/>
        <v>138.36155132856936</v>
      </c>
      <c r="CA368" s="6">
        <f t="shared" ca="1" si="248"/>
        <v>-45.875104484373956</v>
      </c>
      <c r="CB368" s="6">
        <f t="shared" ca="1" si="249"/>
        <v>-0.32015337105064984</v>
      </c>
      <c r="CC368" s="6">
        <f t="shared" ca="1" si="250"/>
        <v>-9.270661844593131E-4</v>
      </c>
      <c r="CD368" s="9">
        <f t="shared" si="251"/>
        <v>150.56155132856935</v>
      </c>
      <c r="CE368" s="9">
        <f t="shared" si="252"/>
        <v>-50.075104484373959</v>
      </c>
      <c r="CF368" s="6">
        <f t="shared" si="253"/>
        <v>-0.32108043723510915</v>
      </c>
      <c r="CG368" s="6"/>
      <c r="CH368" s="6"/>
      <c r="CI368" s="6"/>
      <c r="CJ368" s="1"/>
      <c r="CK368" s="6"/>
    </row>
    <row r="369" spans="75:89" x14ac:dyDescent="0.25">
      <c r="BW369" s="6">
        <f t="shared" si="244"/>
        <v>6.1784655520598815</v>
      </c>
      <c r="BX369" s="9">
        <f t="shared" ca="1" si="245"/>
        <v>12.506364100486593</v>
      </c>
      <c r="BY369" s="9">
        <f t="shared" ca="1" si="246"/>
        <v>-3.7467702411708217</v>
      </c>
      <c r="BZ369" s="9">
        <f t="shared" ca="1" si="247"/>
        <v>138.38088185458432</v>
      </c>
      <c r="CA369" s="6">
        <f t="shared" ca="1" si="248"/>
        <v>-45.704942825870056</v>
      </c>
      <c r="CB369" s="6">
        <f t="shared" ca="1" si="249"/>
        <v>-0.31900333335479181</v>
      </c>
      <c r="CC369" s="6">
        <f t="shared" ca="1" si="250"/>
        <v>-1.0208048552872162E-3</v>
      </c>
      <c r="CD369" s="9">
        <f t="shared" si="251"/>
        <v>150.58088185458431</v>
      </c>
      <c r="CE369" s="9">
        <f t="shared" si="252"/>
        <v>-49.904942825870059</v>
      </c>
      <c r="CF369" s="6">
        <f t="shared" si="253"/>
        <v>-0.32002413821007902</v>
      </c>
      <c r="CG369" s="6"/>
      <c r="CH369" s="6"/>
      <c r="CI369" s="6"/>
      <c r="CJ369" s="1"/>
      <c r="CK369" s="6"/>
    </row>
    <row r="370" spans="75:89" x14ac:dyDescent="0.25">
      <c r="BW370" s="6">
        <f t="shared" si="244"/>
        <v>6.1959188445798246</v>
      </c>
      <c r="BX370" s="9">
        <f t="shared" ca="1" si="245"/>
        <v>12.527320643785544</v>
      </c>
      <c r="BY370" s="9">
        <f t="shared" ca="1" si="246"/>
        <v>-3.5282288898830032</v>
      </c>
      <c r="BZ370" s="9">
        <f t="shared" ca="1" si="247"/>
        <v>138.40183839788327</v>
      </c>
      <c r="CA370" s="6">
        <f t="shared" ca="1" si="248"/>
        <v>-45.486401474582237</v>
      </c>
      <c r="CB370" s="6">
        <f t="shared" ca="1" si="249"/>
        <v>-0.31753380478619692</v>
      </c>
      <c r="CC370" s="6">
        <f t="shared" ca="1" si="250"/>
        <v>-1.1406699025653944E-3</v>
      </c>
      <c r="CD370" s="9">
        <f t="shared" si="251"/>
        <v>150.60183839788326</v>
      </c>
      <c r="CE370" s="9">
        <f t="shared" si="252"/>
        <v>-49.68640147458224</v>
      </c>
      <c r="CF370" s="6">
        <f t="shared" si="253"/>
        <v>-0.31867447468876231</v>
      </c>
      <c r="CG370" s="6"/>
      <c r="CH370" s="6"/>
      <c r="CI370" s="6"/>
      <c r="CJ370" s="1"/>
      <c r="CK370" s="6"/>
    </row>
    <row r="371" spans="75:89" x14ac:dyDescent="0.25">
      <c r="BW371" s="6">
        <f t="shared" si="244"/>
        <v>6.2133721370997677</v>
      </c>
      <c r="BX371" s="9">
        <f t="shared" ca="1" si="245"/>
        <v>12.550441976399611</v>
      </c>
      <c r="BY371" s="9">
        <f t="shared" ca="1" si="246"/>
        <v>-3.2326216173738302</v>
      </c>
      <c r="BZ371" s="9">
        <f t="shared" ca="1" si="247"/>
        <v>138.42495973049733</v>
      </c>
      <c r="CA371" s="6">
        <f t="shared" ca="1" si="248"/>
        <v>-45.190794202073064</v>
      </c>
      <c r="CB371" s="6">
        <f t="shared" ca="1" si="249"/>
        <v>-0.31555565041563288</v>
      </c>
      <c r="CC371" s="6">
        <f t="shared" ca="1" si="250"/>
        <v>-1.302174069835127E-3</v>
      </c>
      <c r="CD371" s="9">
        <f t="shared" si="251"/>
        <v>150.62495973049732</v>
      </c>
      <c r="CE371" s="9">
        <f t="shared" si="252"/>
        <v>-49.390794202073067</v>
      </c>
      <c r="CF371" s="6">
        <f t="shared" si="253"/>
        <v>-0.31685782448546801</v>
      </c>
      <c r="CG371" s="6"/>
      <c r="CH371" s="6"/>
      <c r="CI371" s="6"/>
      <c r="CJ371" s="1"/>
      <c r="CK371" s="6"/>
    </row>
    <row r="372" spans="75:89" x14ac:dyDescent="0.25">
      <c r="BW372" s="6">
        <f t="shared" si="244"/>
        <v>6.2308254296197108</v>
      </c>
      <c r="BX372" s="9">
        <f t="shared" ca="1" si="245"/>
        <v>12.576405542497724</v>
      </c>
      <c r="BY372" s="9">
        <f t="shared" ca="1" si="246"/>
        <v>-2.8057068386028448</v>
      </c>
      <c r="BZ372" s="9">
        <f t="shared" ca="1" si="247"/>
        <v>138.45092329659545</v>
      </c>
      <c r="CA372" s="6">
        <f t="shared" ca="1" si="248"/>
        <v>-44.763879423302079</v>
      </c>
      <c r="CB372" s="6">
        <f t="shared" ca="1" si="249"/>
        <v>-0.31271116895700773</v>
      </c>
      <c r="CC372" s="6">
        <f t="shared" ca="1" si="250"/>
        <v>-1.5347148379145081E-3</v>
      </c>
      <c r="CD372" s="9">
        <f t="shared" si="251"/>
        <v>150.65092329659544</v>
      </c>
      <c r="CE372" s="9">
        <f t="shared" si="252"/>
        <v>-48.963879423302082</v>
      </c>
      <c r="CF372" s="6">
        <f t="shared" si="253"/>
        <v>-0.31424588379492224</v>
      </c>
      <c r="CG372" s="6"/>
      <c r="CH372" s="6"/>
      <c r="CI372" s="6"/>
      <c r="CJ372" s="1"/>
      <c r="CK372" s="6"/>
    </row>
    <row r="373" spans="75:89" x14ac:dyDescent="0.25">
      <c r="BW373" s="6">
        <f t="shared" si="244"/>
        <v>6.2482787221396539</v>
      </c>
      <c r="BX373" s="9">
        <f t="shared" ca="1" si="245"/>
        <v>12.603083704062925</v>
      </c>
      <c r="BY373" s="9">
        <f t="shared" ca="1" si="246"/>
        <v>-2.2229609240607644</v>
      </c>
      <c r="BZ373" s="9">
        <f t="shared" ca="1" si="247"/>
        <v>138.47760145816065</v>
      </c>
      <c r="CA373" s="6">
        <f t="shared" ca="1" si="248"/>
        <v>-44.181133508759999</v>
      </c>
      <c r="CB373" s="6">
        <f t="shared" ca="1" si="249"/>
        <v>-0.30883999897155578</v>
      </c>
      <c r="CC373" s="6">
        <f t="shared" ca="1" si="250"/>
        <v>-1.8517600842857254E-3</v>
      </c>
      <c r="CD373" s="9">
        <f t="shared" si="251"/>
        <v>150.67760145816064</v>
      </c>
      <c r="CE373" s="9">
        <f t="shared" si="252"/>
        <v>-48.381133508760001</v>
      </c>
      <c r="CF373" s="6">
        <f t="shared" si="253"/>
        <v>-0.31069175905584151</v>
      </c>
      <c r="CG373" s="6"/>
      <c r="CH373" s="6"/>
      <c r="CI373" s="6"/>
      <c r="CJ373" s="1"/>
      <c r="CK373" s="6"/>
    </row>
    <row r="374" spans="75:89" x14ac:dyDescent="0.25">
      <c r="BW374" s="6">
        <f t="shared" si="244"/>
        <v>6.2657320146595969</v>
      </c>
      <c r="BX374" s="9">
        <f t="shared" ca="1" si="245"/>
        <v>12.62600405274344</v>
      </c>
      <c r="BY374" s="9">
        <f t="shared" ca="1" si="246"/>
        <v>-1.5001950122954071</v>
      </c>
      <c r="BZ374" s="9">
        <f t="shared" ca="1" si="247"/>
        <v>138.50052180684116</v>
      </c>
      <c r="CA374" s="6">
        <f t="shared" ca="1" si="248"/>
        <v>-43.458367596994641</v>
      </c>
      <c r="CB374" s="6">
        <f t="shared" ca="1" si="249"/>
        <v>-0.30404842035069896</v>
      </c>
      <c r="CC374" s="6">
        <f t="shared" ca="1" si="250"/>
        <v>-2.245105092653521E-3</v>
      </c>
      <c r="CD374" s="9">
        <f t="shared" si="251"/>
        <v>150.70052180684115</v>
      </c>
      <c r="CE374" s="9">
        <f t="shared" si="252"/>
        <v>-47.658367596994644</v>
      </c>
      <c r="CF374" s="6">
        <f t="shared" si="253"/>
        <v>-0.30629352544335248</v>
      </c>
      <c r="CG374" s="6"/>
      <c r="CH374" s="6"/>
      <c r="CI374" s="6"/>
      <c r="CJ374" s="1"/>
      <c r="CK374" s="6"/>
    </row>
    <row r="375" spans="75:89" x14ac:dyDescent="0.25">
      <c r="BW375" s="6">
        <f t="shared" si="244"/>
        <v>6.28318530717954</v>
      </c>
      <c r="BX375" s="9">
        <f t="shared" ca="1" si="245"/>
        <v>12.638035060616772</v>
      </c>
      <c r="BY375" s="9">
        <f t="shared" ca="1" si="246"/>
        <v>-0.70182741530354775</v>
      </c>
      <c r="BZ375" s="9">
        <f t="shared" ca="1" si="247"/>
        <v>138.5125528147145</v>
      </c>
      <c r="CA375" s="6">
        <f t="shared" ca="1" si="248"/>
        <v>-42.660000000002782</v>
      </c>
      <c r="CB375" s="6">
        <f t="shared" ca="1" si="249"/>
        <v>-0.29876768209194965</v>
      </c>
      <c r="CC375" s="6">
        <f t="shared" ca="1" si="250"/>
        <v>-2.6798501375128736E-3</v>
      </c>
      <c r="CD375" s="9">
        <f t="shared" si="251"/>
        <v>150.71255281471448</v>
      </c>
      <c r="CE375" s="9">
        <f t="shared" si="252"/>
        <v>-46.860000000002785</v>
      </c>
      <c r="CF375" s="6">
        <f t="shared" si="253"/>
        <v>-0.30144753222946252</v>
      </c>
      <c r="CG375" s="6"/>
      <c r="CH375" s="6"/>
      <c r="CI375" s="6"/>
      <c r="CJ375" s="1"/>
      <c r="CK375" s="6"/>
    </row>
    <row r="376" spans="75:89" x14ac:dyDescent="0.25">
      <c r="BW376" s="6"/>
    </row>
    <row r="377" spans="75:89" x14ac:dyDescent="0.25">
      <c r="BW377" s="6"/>
    </row>
    <row r="378" spans="75:89" x14ac:dyDescent="0.25">
      <c r="BW378" s="6"/>
    </row>
  </sheetData>
  <phoneticPr fontId="3" type="noConversion"/>
  <dataValidations disablePrompts="1" count="4">
    <dataValidation type="list" allowBlank="1" showInputMessage="1" showErrorMessage="1" sqref="F26" xr:uid="{4CE73F95-5EFB-4CF7-8296-522B2E0DD06E}">
      <formula1>"gross,web"</formula1>
    </dataValidation>
    <dataValidation type="list" allowBlank="1" showInputMessage="1" showErrorMessage="1" sqref="B15:B24" xr:uid="{BECF4FF3-0F1C-45C0-9B4F-612E97CB0852}">
      <formula1>$G$14:$G$29</formula1>
    </dataValidation>
    <dataValidation type="list" allowBlank="1" showInputMessage="1" showErrorMessage="1" sqref="AE2" xr:uid="{FC993A26-B9CA-4338-9813-199EC9B1DB94}">
      <formula1>"6,8,12,24,36,72,180,360"</formula1>
    </dataValidation>
    <dataValidation type="list" allowBlank="1" showInputMessage="1" showErrorMessage="1" sqref="B1" xr:uid="{9BC63E87-8495-41F0-9100-35456B261A63}">
      <formula1>"PCA_Parabolic,Whitney"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p">
                <anchor moveWithCells="1" sizeWithCells="1">
                  <from>
                    <xdr:col>7</xdr:col>
                    <xdr:colOff>47625</xdr:colOff>
                    <xdr:row>3</xdr:row>
                    <xdr:rowOff>9525</xdr:rowOff>
                  </from>
                  <to>
                    <xdr:col>9</xdr:col>
                    <xdr:colOff>190500</xdr:colOff>
                    <xdr:row>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waterfall_solver">
                <anchor moveWithCells="1" sizeWithCells="1">
                  <from>
                    <xdr:col>7</xdr:col>
                    <xdr:colOff>66675</xdr:colOff>
                    <xdr:row>8</xdr:row>
                    <xdr:rowOff>28575</xdr:rowOff>
                  </from>
                  <to>
                    <xdr:col>9</xdr:col>
                    <xdr:colOff>200025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waterfall_solver_vector">
                <anchor moveWithCells="1" sizeWithCells="1">
                  <from>
                    <xdr:col>19</xdr:col>
                    <xdr:colOff>295275</xdr:colOff>
                    <xdr:row>24</xdr:row>
                    <xdr:rowOff>85725</xdr:rowOff>
                  </from>
                  <to>
                    <xdr:col>20</xdr:col>
                    <xdr:colOff>800100</xdr:colOff>
                    <xdr:row>27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7" name="Button 6">
              <controlPr defaultSize="0" print="0" autoFill="0" autoPict="0" macro="[0]!mx_my">
                <anchor moveWithCells="1" sizeWithCells="1">
                  <from>
                    <xdr:col>29</xdr:col>
                    <xdr:colOff>295275</xdr:colOff>
                    <xdr:row>2</xdr:row>
                    <xdr:rowOff>85725</xdr:rowOff>
                  </from>
                  <to>
                    <xdr:col>31</xdr:col>
                    <xdr:colOff>180975</xdr:colOff>
                    <xdr:row>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print="0" autoFill="0" autoPict="0" macro="[0]!bisection_method_for_na_alt_reference">
                <anchor moveWithCells="1" sizeWithCells="1">
                  <from>
                    <xdr:col>21</xdr:col>
                    <xdr:colOff>352425</xdr:colOff>
                    <xdr:row>23</xdr:row>
                    <xdr:rowOff>19050</xdr:rowOff>
                  </from>
                  <to>
                    <xdr:col>22</xdr:col>
                    <xdr:colOff>857250</xdr:colOff>
                    <xdr:row>27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L_Section_Capacity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2020-11-07T15:23:03Z</dcterms:created>
  <dcterms:modified xsi:type="dcterms:W3CDTF">2020-11-16T02:19:33Z</dcterms:modified>
</cp:coreProperties>
</file>