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427968" documentId="114_{4C9766C2-934B-FE43-8898-95272A9847CE}" xr6:coauthVersionLast="45" xr6:coauthVersionMax="45" xr10:uidLastSave="{0E9E7601-04AF-4DEA-B520-F6D869C993BC}"/>
  <bookViews>
    <workbookView xWindow="-120" yWindow="-120" windowWidth="27930" windowHeight="182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1" l="1"/>
  <c r="D17" i="1"/>
  <c r="D16" i="1"/>
  <c r="D15" i="1"/>
  <c r="I3" i="1" l="1"/>
  <c r="I2" i="1"/>
  <c r="AZ3" i="1" l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65" i="1"/>
  <c r="AZ166" i="1"/>
  <c r="AZ167" i="1"/>
  <c r="AZ168" i="1"/>
  <c r="AZ169" i="1"/>
  <c r="AZ170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2" i="1"/>
  <c r="B130" i="1"/>
  <c r="C125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B91" i="1" l="1"/>
  <c r="A97" i="1"/>
  <c r="A98" i="1"/>
  <c r="B98" i="1"/>
  <c r="B90" i="1"/>
  <c r="A90" i="1"/>
  <c r="AE46" i="1" l="1"/>
  <c r="AE41" i="1"/>
  <c r="AE37" i="1"/>
  <c r="AD37" i="1" s="1"/>
  <c r="U13" i="1"/>
  <c r="AV3" i="1"/>
  <c r="AV4" i="1"/>
  <c r="AV5" i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2" i="1"/>
  <c r="AX358" i="1" l="1"/>
  <c r="BF358" i="1" s="1"/>
  <c r="AX350" i="1"/>
  <c r="BF350" i="1" s="1"/>
  <c r="AX349" i="1"/>
  <c r="BF349" i="1" s="1"/>
  <c r="AX317" i="1"/>
  <c r="BF317" i="1" s="1"/>
  <c r="AX293" i="1"/>
  <c r="BF293" i="1" s="1"/>
  <c r="AX285" i="1"/>
  <c r="BF285" i="1" s="1"/>
  <c r="AX261" i="1"/>
  <c r="BF261" i="1" s="1"/>
  <c r="AX253" i="1"/>
  <c r="BF253" i="1" s="1"/>
  <c r="AX245" i="1"/>
  <c r="BF245" i="1" s="1"/>
  <c r="AX237" i="1"/>
  <c r="BF237" i="1" s="1"/>
  <c r="AX229" i="1"/>
  <c r="BF229" i="1" s="1"/>
  <c r="AX221" i="1"/>
  <c r="BF221" i="1" s="1"/>
  <c r="AX213" i="1"/>
  <c r="BF213" i="1" s="1"/>
  <c r="AX205" i="1"/>
  <c r="BF205" i="1" s="1"/>
  <c r="AX356" i="1"/>
  <c r="BF356" i="1" s="1"/>
  <c r="AX355" i="1"/>
  <c r="BF355" i="1" s="1"/>
  <c r="AX361" i="1"/>
  <c r="BF361" i="1" s="1"/>
  <c r="AX353" i="1"/>
  <c r="BF353" i="1" s="1"/>
  <c r="AX357" i="1"/>
  <c r="BF357" i="1" s="1"/>
  <c r="AX333" i="1"/>
  <c r="BF333" i="1" s="1"/>
  <c r="AX309" i="1"/>
  <c r="BF309" i="1" s="1"/>
  <c r="AX277" i="1"/>
  <c r="BF277" i="1" s="1"/>
  <c r="AX362" i="1"/>
  <c r="BF362" i="1" s="1"/>
  <c r="AX346" i="1"/>
  <c r="BF346" i="1" s="1"/>
  <c r="AX330" i="1"/>
  <c r="BF330" i="1" s="1"/>
  <c r="AX314" i="1"/>
  <c r="BF314" i="1" s="1"/>
  <c r="AX298" i="1"/>
  <c r="BF298" i="1" s="1"/>
  <c r="AX282" i="1"/>
  <c r="BF282" i="1" s="1"/>
  <c r="AX266" i="1"/>
  <c r="BF266" i="1" s="1"/>
  <c r="AX250" i="1"/>
  <c r="BF250" i="1" s="1"/>
  <c r="AX234" i="1"/>
  <c r="BF234" i="1" s="1"/>
  <c r="AX218" i="1"/>
  <c r="BF218" i="1" s="1"/>
  <c r="AX202" i="1"/>
  <c r="BF202" i="1" s="1"/>
  <c r="AX186" i="1"/>
  <c r="BF186" i="1" s="1"/>
  <c r="AX352" i="1"/>
  <c r="BF352" i="1" s="1"/>
  <c r="AX336" i="1"/>
  <c r="BF336" i="1" s="1"/>
  <c r="AX320" i="1"/>
  <c r="BF320" i="1" s="1"/>
  <c r="AX312" i="1"/>
  <c r="BF312" i="1" s="1"/>
  <c r="AX341" i="1"/>
  <c r="BF341" i="1" s="1"/>
  <c r="AX325" i="1"/>
  <c r="BF325" i="1" s="1"/>
  <c r="AX301" i="1"/>
  <c r="BF301" i="1" s="1"/>
  <c r="AX269" i="1"/>
  <c r="BF269" i="1" s="1"/>
  <c r="AX354" i="1"/>
  <c r="BF354" i="1" s="1"/>
  <c r="AX338" i="1"/>
  <c r="BF338" i="1" s="1"/>
  <c r="AX322" i="1"/>
  <c r="BF322" i="1" s="1"/>
  <c r="AX306" i="1"/>
  <c r="BF306" i="1" s="1"/>
  <c r="AX290" i="1"/>
  <c r="BF290" i="1" s="1"/>
  <c r="AX274" i="1"/>
  <c r="BF274" i="1" s="1"/>
  <c r="AX258" i="1"/>
  <c r="BF258" i="1" s="1"/>
  <c r="AX242" i="1"/>
  <c r="BF242" i="1" s="1"/>
  <c r="AX226" i="1"/>
  <c r="BF226" i="1" s="1"/>
  <c r="AX210" i="1"/>
  <c r="BF210" i="1" s="1"/>
  <c r="AX194" i="1"/>
  <c r="BF194" i="1" s="1"/>
  <c r="AX360" i="1"/>
  <c r="BF360" i="1" s="1"/>
  <c r="AX344" i="1"/>
  <c r="BF344" i="1" s="1"/>
  <c r="AX328" i="1"/>
  <c r="BF328" i="1" s="1"/>
  <c r="AX359" i="1"/>
  <c r="BF359" i="1" s="1"/>
  <c r="AX351" i="1"/>
  <c r="BF351" i="1" s="1"/>
  <c r="AX197" i="1"/>
  <c r="BF197" i="1" s="1"/>
  <c r="AX189" i="1"/>
  <c r="BF189" i="1" s="1"/>
  <c r="AX348" i="1"/>
  <c r="BF348" i="1" s="1"/>
  <c r="AX345" i="1"/>
  <c r="BF345" i="1" s="1"/>
  <c r="AX304" i="1"/>
  <c r="BF304" i="1" s="1"/>
  <c r="AX296" i="1"/>
  <c r="BF296" i="1" s="1"/>
  <c r="AX342" i="1"/>
  <c r="BF342" i="1" s="1"/>
  <c r="AX334" i="1"/>
  <c r="BF334" i="1" s="1"/>
  <c r="AX326" i="1"/>
  <c r="BF326" i="1" s="1"/>
  <c r="AX340" i="1"/>
  <c r="BF340" i="1" s="1"/>
  <c r="AX332" i="1"/>
  <c r="BF332" i="1" s="1"/>
  <c r="AX324" i="1"/>
  <c r="BF324" i="1" s="1"/>
  <c r="AX347" i="1"/>
  <c r="BF347" i="1" s="1"/>
  <c r="AX339" i="1"/>
  <c r="BF339" i="1" s="1"/>
  <c r="AX331" i="1"/>
  <c r="BF331" i="1" s="1"/>
  <c r="AX323" i="1"/>
  <c r="BF323" i="1" s="1"/>
  <c r="AX337" i="1"/>
  <c r="BF337" i="1" s="1"/>
  <c r="AX329" i="1"/>
  <c r="BF329" i="1" s="1"/>
  <c r="AX288" i="1"/>
  <c r="BF288" i="1" s="1"/>
  <c r="AX280" i="1"/>
  <c r="BF280" i="1" s="1"/>
  <c r="AX272" i="1"/>
  <c r="BF272" i="1" s="1"/>
  <c r="AX264" i="1"/>
  <c r="BF264" i="1" s="1"/>
  <c r="AX256" i="1"/>
  <c r="BF256" i="1" s="1"/>
  <c r="AX343" i="1"/>
  <c r="BF343" i="1" s="1"/>
  <c r="AX335" i="1"/>
  <c r="BF335" i="1" s="1"/>
  <c r="AX327" i="1"/>
  <c r="BF327" i="1" s="1"/>
  <c r="AX248" i="1"/>
  <c r="BF248" i="1" s="1"/>
  <c r="AX318" i="1"/>
  <c r="BF318" i="1" s="1"/>
  <c r="AX310" i="1"/>
  <c r="BF310" i="1" s="1"/>
  <c r="AX302" i="1"/>
  <c r="BF302" i="1" s="1"/>
  <c r="AX294" i="1"/>
  <c r="BF294" i="1" s="1"/>
  <c r="AX286" i="1"/>
  <c r="BF286" i="1" s="1"/>
  <c r="AX278" i="1"/>
  <c r="BF278" i="1" s="1"/>
  <c r="AX270" i="1"/>
  <c r="BF270" i="1" s="1"/>
  <c r="AX262" i="1"/>
  <c r="BF262" i="1" s="1"/>
  <c r="AX254" i="1"/>
  <c r="BF254" i="1" s="1"/>
  <c r="AX246" i="1"/>
  <c r="BF246" i="1" s="1"/>
  <c r="AX238" i="1"/>
  <c r="BF238" i="1" s="1"/>
  <c r="AX230" i="1"/>
  <c r="BF230" i="1" s="1"/>
  <c r="AX222" i="1"/>
  <c r="BF222" i="1" s="1"/>
  <c r="AX214" i="1"/>
  <c r="BF214" i="1" s="1"/>
  <c r="AX206" i="1"/>
  <c r="BF206" i="1" s="1"/>
  <c r="AX198" i="1"/>
  <c r="BF198" i="1" s="1"/>
  <c r="AX190" i="1"/>
  <c r="BF190" i="1" s="1"/>
  <c r="AX316" i="1"/>
  <c r="BF316" i="1" s="1"/>
  <c r="AX308" i="1"/>
  <c r="BF308" i="1" s="1"/>
  <c r="AX300" i="1"/>
  <c r="BF300" i="1" s="1"/>
  <c r="AX292" i="1"/>
  <c r="BF292" i="1" s="1"/>
  <c r="AX284" i="1"/>
  <c r="BF284" i="1" s="1"/>
  <c r="AX276" i="1"/>
  <c r="BF276" i="1" s="1"/>
  <c r="AX268" i="1"/>
  <c r="BF268" i="1" s="1"/>
  <c r="AX260" i="1"/>
  <c r="BF260" i="1" s="1"/>
  <c r="AX252" i="1"/>
  <c r="BF252" i="1" s="1"/>
  <c r="AX244" i="1"/>
  <c r="BF244" i="1" s="1"/>
  <c r="AX236" i="1"/>
  <c r="BF236" i="1" s="1"/>
  <c r="AX228" i="1"/>
  <c r="BF228" i="1" s="1"/>
  <c r="AX220" i="1"/>
  <c r="BF220" i="1" s="1"/>
  <c r="AX212" i="1"/>
  <c r="BF212" i="1" s="1"/>
  <c r="AX204" i="1"/>
  <c r="BF204" i="1" s="1"/>
  <c r="AX196" i="1"/>
  <c r="BF196" i="1" s="1"/>
  <c r="AX188" i="1"/>
  <c r="BF188" i="1" s="1"/>
  <c r="AX315" i="1"/>
  <c r="BF315" i="1" s="1"/>
  <c r="AX307" i="1"/>
  <c r="BF307" i="1" s="1"/>
  <c r="AX299" i="1"/>
  <c r="BF299" i="1" s="1"/>
  <c r="AX291" i="1"/>
  <c r="BF291" i="1" s="1"/>
  <c r="AX283" i="1"/>
  <c r="BF283" i="1" s="1"/>
  <c r="AX275" i="1"/>
  <c r="BF275" i="1" s="1"/>
  <c r="AX267" i="1"/>
  <c r="BF267" i="1" s="1"/>
  <c r="AX259" i="1"/>
  <c r="BF259" i="1" s="1"/>
  <c r="AX251" i="1"/>
  <c r="BF251" i="1" s="1"/>
  <c r="AX243" i="1"/>
  <c r="BF243" i="1" s="1"/>
  <c r="AX235" i="1"/>
  <c r="BF235" i="1" s="1"/>
  <c r="AX227" i="1"/>
  <c r="BF227" i="1" s="1"/>
  <c r="AX219" i="1"/>
  <c r="BF219" i="1" s="1"/>
  <c r="AX211" i="1"/>
  <c r="BF211" i="1" s="1"/>
  <c r="AX203" i="1"/>
  <c r="BF203" i="1" s="1"/>
  <c r="AX195" i="1"/>
  <c r="BF195" i="1" s="1"/>
  <c r="AX187" i="1"/>
  <c r="BF187" i="1" s="1"/>
  <c r="AX321" i="1"/>
  <c r="BF321" i="1" s="1"/>
  <c r="AX313" i="1"/>
  <c r="BF313" i="1" s="1"/>
  <c r="AX305" i="1"/>
  <c r="BF305" i="1" s="1"/>
  <c r="AX297" i="1"/>
  <c r="BF297" i="1" s="1"/>
  <c r="AX289" i="1"/>
  <c r="BF289" i="1" s="1"/>
  <c r="AX281" i="1"/>
  <c r="BF281" i="1" s="1"/>
  <c r="AX273" i="1"/>
  <c r="BF273" i="1" s="1"/>
  <c r="AX265" i="1"/>
  <c r="BF265" i="1" s="1"/>
  <c r="AX257" i="1"/>
  <c r="BF257" i="1" s="1"/>
  <c r="AX249" i="1"/>
  <c r="BF249" i="1" s="1"/>
  <c r="AX241" i="1"/>
  <c r="BF241" i="1" s="1"/>
  <c r="AX233" i="1"/>
  <c r="BF233" i="1" s="1"/>
  <c r="AX225" i="1"/>
  <c r="BF225" i="1" s="1"/>
  <c r="AX217" i="1"/>
  <c r="BF217" i="1" s="1"/>
  <c r="AX209" i="1"/>
  <c r="BF209" i="1" s="1"/>
  <c r="AX201" i="1"/>
  <c r="BF201" i="1" s="1"/>
  <c r="AX193" i="1"/>
  <c r="BF193" i="1" s="1"/>
  <c r="AX185" i="1"/>
  <c r="BF185" i="1" s="1"/>
  <c r="AX240" i="1"/>
  <c r="BF240" i="1" s="1"/>
  <c r="AX232" i="1"/>
  <c r="BF232" i="1" s="1"/>
  <c r="AX224" i="1"/>
  <c r="BF224" i="1" s="1"/>
  <c r="AX216" i="1"/>
  <c r="BF216" i="1" s="1"/>
  <c r="AX208" i="1"/>
  <c r="BF208" i="1" s="1"/>
  <c r="AX200" i="1"/>
  <c r="BF200" i="1" s="1"/>
  <c r="AX192" i="1"/>
  <c r="BF192" i="1" s="1"/>
  <c r="AX184" i="1"/>
  <c r="BF184" i="1" s="1"/>
  <c r="AX319" i="1"/>
  <c r="BF319" i="1" s="1"/>
  <c r="AX311" i="1"/>
  <c r="BF311" i="1" s="1"/>
  <c r="AX303" i="1"/>
  <c r="BF303" i="1" s="1"/>
  <c r="AX295" i="1"/>
  <c r="BF295" i="1" s="1"/>
  <c r="AX287" i="1"/>
  <c r="BF287" i="1" s="1"/>
  <c r="AX279" i="1"/>
  <c r="BF279" i="1" s="1"/>
  <c r="AX271" i="1"/>
  <c r="BF271" i="1" s="1"/>
  <c r="AX263" i="1"/>
  <c r="BF263" i="1" s="1"/>
  <c r="AX255" i="1"/>
  <c r="BF255" i="1" s="1"/>
  <c r="AX247" i="1"/>
  <c r="BF247" i="1" s="1"/>
  <c r="AX239" i="1"/>
  <c r="BF239" i="1" s="1"/>
  <c r="AX231" i="1"/>
  <c r="BF231" i="1" s="1"/>
  <c r="AX223" i="1"/>
  <c r="BF223" i="1" s="1"/>
  <c r="AX215" i="1"/>
  <c r="BF215" i="1" s="1"/>
  <c r="AX207" i="1"/>
  <c r="BF207" i="1" s="1"/>
  <c r="AX199" i="1"/>
  <c r="BF199" i="1" s="1"/>
  <c r="AX191" i="1"/>
  <c r="BF191" i="1" s="1"/>
  <c r="AX183" i="1"/>
  <c r="BF183" i="1" s="1"/>
  <c r="BA182" i="1"/>
  <c r="AX182" i="1"/>
  <c r="BA181" i="1"/>
  <c r="AX181" i="1"/>
  <c r="BF181" i="1" s="1"/>
  <c r="BA180" i="1"/>
  <c r="AX180" i="1"/>
  <c r="BF180" i="1" s="1"/>
  <c r="BA179" i="1"/>
  <c r="AX179" i="1"/>
  <c r="BF179" i="1" s="1"/>
  <c r="BA178" i="1"/>
  <c r="AX178" i="1"/>
  <c r="BA177" i="1"/>
  <c r="AX177" i="1"/>
  <c r="BF177" i="1" s="1"/>
  <c r="BA176" i="1"/>
  <c r="AX176" i="1"/>
  <c r="BF176" i="1" s="1"/>
  <c r="BA175" i="1"/>
  <c r="AX175" i="1"/>
  <c r="BF175" i="1" s="1"/>
  <c r="BA174" i="1"/>
  <c r="AX174" i="1"/>
  <c r="BA173" i="1"/>
  <c r="AX173" i="1"/>
  <c r="BF173" i="1" s="1"/>
  <c r="BA172" i="1"/>
  <c r="AX172" i="1"/>
  <c r="BA171" i="1"/>
  <c r="AX171" i="1"/>
  <c r="BF171" i="1" s="1"/>
  <c r="BA170" i="1"/>
  <c r="AX170" i="1"/>
  <c r="BA169" i="1"/>
  <c r="AX169" i="1"/>
  <c r="BF169" i="1" s="1"/>
  <c r="BA168" i="1"/>
  <c r="AX168" i="1"/>
  <c r="BA167" i="1"/>
  <c r="AX167" i="1"/>
  <c r="BF167" i="1" s="1"/>
  <c r="BA166" i="1"/>
  <c r="AX166" i="1"/>
  <c r="BA165" i="1"/>
  <c r="AX165" i="1"/>
  <c r="BF165" i="1" s="1"/>
  <c r="BA164" i="1"/>
  <c r="AX164" i="1"/>
  <c r="BF164" i="1" s="1"/>
  <c r="BA163" i="1"/>
  <c r="AX163" i="1"/>
  <c r="BF163" i="1" s="1"/>
  <c r="BA162" i="1"/>
  <c r="AX162" i="1"/>
  <c r="BA161" i="1"/>
  <c r="AX161" i="1"/>
  <c r="BA160" i="1"/>
  <c r="AX160" i="1"/>
  <c r="BF160" i="1" s="1"/>
  <c r="BA159" i="1"/>
  <c r="AX159" i="1"/>
  <c r="BF159" i="1" s="1"/>
  <c r="BA158" i="1"/>
  <c r="AX158" i="1"/>
  <c r="BA157" i="1"/>
  <c r="AX157" i="1"/>
  <c r="BF157" i="1" s="1"/>
  <c r="BA156" i="1"/>
  <c r="AX156" i="1"/>
  <c r="BF156" i="1" s="1"/>
  <c r="BA155" i="1"/>
  <c r="AX155" i="1"/>
  <c r="BF155" i="1" s="1"/>
  <c r="BA154" i="1"/>
  <c r="AX154" i="1"/>
  <c r="BA153" i="1"/>
  <c r="AX153" i="1"/>
  <c r="BF153" i="1" s="1"/>
  <c r="BA152" i="1"/>
  <c r="AX152" i="1"/>
  <c r="BA151" i="1"/>
  <c r="AX151" i="1"/>
  <c r="BF151" i="1" s="1"/>
  <c r="BA150" i="1"/>
  <c r="AX150" i="1"/>
  <c r="BA149" i="1"/>
  <c r="AX149" i="1"/>
  <c r="BF149" i="1" s="1"/>
  <c r="BA148" i="1"/>
  <c r="AX148" i="1"/>
  <c r="BF148" i="1" s="1"/>
  <c r="BA147" i="1"/>
  <c r="AX147" i="1"/>
  <c r="BF147" i="1" s="1"/>
  <c r="BA146" i="1"/>
  <c r="AX146" i="1"/>
  <c r="BA145" i="1"/>
  <c r="AX145" i="1"/>
  <c r="BF145" i="1" s="1"/>
  <c r="BA144" i="1"/>
  <c r="AX144" i="1"/>
  <c r="BA143" i="1"/>
  <c r="AX143" i="1"/>
  <c r="BF143" i="1" s="1"/>
  <c r="BA142" i="1"/>
  <c r="AX142" i="1"/>
  <c r="BA141" i="1"/>
  <c r="AX141" i="1"/>
  <c r="BF141" i="1" s="1"/>
  <c r="BA140" i="1"/>
  <c r="AX140" i="1"/>
  <c r="BF140" i="1" s="1"/>
  <c r="BA139" i="1"/>
  <c r="AX139" i="1"/>
  <c r="BF139" i="1" s="1"/>
  <c r="BA138" i="1"/>
  <c r="AX138" i="1"/>
  <c r="BA137" i="1"/>
  <c r="AX137" i="1"/>
  <c r="BF137" i="1" s="1"/>
  <c r="BA136" i="1"/>
  <c r="AX136" i="1"/>
  <c r="BF136" i="1" s="1"/>
  <c r="BA135" i="1"/>
  <c r="AX135" i="1"/>
  <c r="BF135" i="1" s="1"/>
  <c r="BA134" i="1"/>
  <c r="AX134" i="1"/>
  <c r="BA133" i="1"/>
  <c r="AX133" i="1"/>
  <c r="BF133" i="1" s="1"/>
  <c r="BA132" i="1"/>
  <c r="AX132" i="1"/>
  <c r="BA131" i="1"/>
  <c r="AX131" i="1"/>
  <c r="BF131" i="1" s="1"/>
  <c r="BA130" i="1"/>
  <c r="AX130" i="1"/>
  <c r="BA129" i="1"/>
  <c r="AX129" i="1"/>
  <c r="BA128" i="1"/>
  <c r="AX128" i="1"/>
  <c r="BF128" i="1" s="1"/>
  <c r="BA127" i="1"/>
  <c r="AX127" i="1"/>
  <c r="BF127" i="1" s="1"/>
  <c r="BA126" i="1"/>
  <c r="AX126" i="1"/>
  <c r="BA125" i="1"/>
  <c r="AX125" i="1"/>
  <c r="BF125" i="1" s="1"/>
  <c r="BA124" i="1"/>
  <c r="AX124" i="1"/>
  <c r="BF124" i="1" s="1"/>
  <c r="BA123" i="1"/>
  <c r="AX123" i="1"/>
  <c r="BF123" i="1" s="1"/>
  <c r="BA122" i="1"/>
  <c r="AX122" i="1"/>
  <c r="BA121" i="1"/>
  <c r="AX121" i="1"/>
  <c r="BF121" i="1" s="1"/>
  <c r="BA120" i="1"/>
  <c r="AX120" i="1"/>
  <c r="BA119" i="1"/>
  <c r="AX119" i="1"/>
  <c r="BF119" i="1" s="1"/>
  <c r="BA118" i="1"/>
  <c r="AX118" i="1"/>
  <c r="BF118" i="1" s="1"/>
  <c r="BA117" i="1"/>
  <c r="AX117" i="1"/>
  <c r="BF117" i="1" s="1"/>
  <c r="BA116" i="1"/>
  <c r="AX116" i="1"/>
  <c r="BF116" i="1" s="1"/>
  <c r="BA115" i="1"/>
  <c r="AX115" i="1"/>
  <c r="BF115" i="1" s="1"/>
  <c r="BA114" i="1"/>
  <c r="AX114" i="1"/>
  <c r="BF114" i="1" s="1"/>
  <c r="BA113" i="1"/>
  <c r="AX113" i="1"/>
  <c r="BF113" i="1" s="1"/>
  <c r="BA112" i="1"/>
  <c r="AX112" i="1"/>
  <c r="BF112" i="1" s="1"/>
  <c r="BA111" i="1"/>
  <c r="AX111" i="1"/>
  <c r="BF111" i="1" s="1"/>
  <c r="BA110" i="1"/>
  <c r="AX110" i="1"/>
  <c r="BA109" i="1"/>
  <c r="AX109" i="1"/>
  <c r="BF109" i="1" s="1"/>
  <c r="BA108" i="1"/>
  <c r="AX108" i="1"/>
  <c r="BF108" i="1" s="1"/>
  <c r="BA107" i="1"/>
  <c r="AX107" i="1"/>
  <c r="BF107" i="1" s="1"/>
  <c r="BA106" i="1"/>
  <c r="AX106" i="1"/>
  <c r="BA105" i="1"/>
  <c r="AX105" i="1"/>
  <c r="BF105" i="1" s="1"/>
  <c r="BA104" i="1"/>
  <c r="AX104" i="1"/>
  <c r="BA103" i="1"/>
  <c r="AX103" i="1"/>
  <c r="BF103" i="1" s="1"/>
  <c r="BA102" i="1"/>
  <c r="AX102" i="1"/>
  <c r="BF102" i="1" s="1"/>
  <c r="BA101" i="1"/>
  <c r="AX101" i="1"/>
  <c r="BF101" i="1" s="1"/>
  <c r="BA100" i="1"/>
  <c r="AX100" i="1"/>
  <c r="BA99" i="1"/>
  <c r="AX99" i="1"/>
  <c r="BF99" i="1" s="1"/>
  <c r="BA98" i="1"/>
  <c r="AX98" i="1"/>
  <c r="BF98" i="1" s="1"/>
  <c r="BA97" i="1"/>
  <c r="AX97" i="1"/>
  <c r="BA96" i="1"/>
  <c r="AX96" i="1"/>
  <c r="BF96" i="1" s="1"/>
  <c r="BA95" i="1"/>
  <c r="AX95" i="1"/>
  <c r="BF95" i="1" s="1"/>
  <c r="BA94" i="1"/>
  <c r="AX94" i="1"/>
  <c r="BA93" i="1"/>
  <c r="AX93" i="1"/>
  <c r="BF93" i="1" s="1"/>
  <c r="BA92" i="1"/>
  <c r="AX92" i="1"/>
  <c r="BF92" i="1" s="1"/>
  <c r="BA91" i="1"/>
  <c r="AX91" i="1"/>
  <c r="BF91" i="1" s="1"/>
  <c r="BA90" i="1"/>
  <c r="AX90" i="1"/>
  <c r="BA89" i="1"/>
  <c r="AX89" i="1"/>
  <c r="BF89" i="1" s="1"/>
  <c r="BA88" i="1"/>
  <c r="AX88" i="1"/>
  <c r="BA87" i="1"/>
  <c r="AX87" i="1"/>
  <c r="BF87" i="1" s="1"/>
  <c r="BA86" i="1"/>
  <c r="AX86" i="1"/>
  <c r="BF86" i="1" s="1"/>
  <c r="BA85" i="1"/>
  <c r="AX85" i="1"/>
  <c r="BF85" i="1" s="1"/>
  <c r="BA84" i="1"/>
  <c r="AX84" i="1"/>
  <c r="BF84" i="1" s="1"/>
  <c r="BA83" i="1"/>
  <c r="AX83" i="1"/>
  <c r="BF83" i="1" s="1"/>
  <c r="BA82" i="1"/>
  <c r="AX82" i="1"/>
  <c r="BA81" i="1"/>
  <c r="AX81" i="1"/>
  <c r="BF81" i="1" s="1"/>
  <c r="BA80" i="1"/>
  <c r="AX80" i="1"/>
  <c r="BA79" i="1"/>
  <c r="AX79" i="1"/>
  <c r="BF79" i="1" s="1"/>
  <c r="BA78" i="1"/>
  <c r="AX78" i="1"/>
  <c r="BA77" i="1"/>
  <c r="AX77" i="1"/>
  <c r="BF77" i="1" s="1"/>
  <c r="BA76" i="1"/>
  <c r="AX76" i="1"/>
  <c r="BF76" i="1" s="1"/>
  <c r="BA75" i="1"/>
  <c r="AX75" i="1"/>
  <c r="BF75" i="1" s="1"/>
  <c r="BA74" i="1"/>
  <c r="AX74" i="1"/>
  <c r="BA73" i="1"/>
  <c r="AX73" i="1"/>
  <c r="BA72" i="1"/>
  <c r="AX72" i="1"/>
  <c r="BA71" i="1"/>
  <c r="AX71" i="1"/>
  <c r="BF71" i="1" s="1"/>
  <c r="BA70" i="1"/>
  <c r="AX70" i="1"/>
  <c r="BF70" i="1" s="1"/>
  <c r="BA69" i="1"/>
  <c r="AX69" i="1"/>
  <c r="BF69" i="1" s="1"/>
  <c r="BA68" i="1"/>
  <c r="AX68" i="1"/>
  <c r="BA67" i="1"/>
  <c r="AX67" i="1"/>
  <c r="BF67" i="1" s="1"/>
  <c r="BA66" i="1"/>
  <c r="AX66" i="1"/>
  <c r="BF66" i="1" s="1"/>
  <c r="BA65" i="1"/>
  <c r="AX65" i="1"/>
  <c r="BF65" i="1" s="1"/>
  <c r="BA64" i="1"/>
  <c r="AX64" i="1"/>
  <c r="BF64" i="1" s="1"/>
  <c r="BA63" i="1"/>
  <c r="AX63" i="1"/>
  <c r="BF63" i="1" s="1"/>
  <c r="BA62" i="1"/>
  <c r="AX62" i="1"/>
  <c r="BA61" i="1"/>
  <c r="AX61" i="1"/>
  <c r="BF61" i="1" s="1"/>
  <c r="BA60" i="1"/>
  <c r="AX60" i="1"/>
  <c r="BF60" i="1" s="1"/>
  <c r="BA59" i="1"/>
  <c r="AX59" i="1"/>
  <c r="BF59" i="1" s="1"/>
  <c r="BA58" i="1"/>
  <c r="AX58" i="1"/>
  <c r="BA57" i="1"/>
  <c r="AX57" i="1"/>
  <c r="BF57" i="1" s="1"/>
  <c r="BA56" i="1"/>
  <c r="AX56" i="1"/>
  <c r="BA55" i="1"/>
  <c r="AX55" i="1"/>
  <c r="BF55" i="1" s="1"/>
  <c r="BA54" i="1"/>
  <c r="AX54" i="1"/>
  <c r="BF54" i="1" s="1"/>
  <c r="BA53" i="1"/>
  <c r="AX53" i="1"/>
  <c r="BF53" i="1" s="1"/>
  <c r="BA52" i="1"/>
  <c r="AX52" i="1"/>
  <c r="BA51" i="1"/>
  <c r="AX51" i="1"/>
  <c r="BF51" i="1" s="1"/>
  <c r="BA50" i="1"/>
  <c r="AX50" i="1"/>
  <c r="BF50" i="1" s="1"/>
  <c r="BA49" i="1"/>
  <c r="AX49" i="1"/>
  <c r="BF49" i="1" s="1"/>
  <c r="BA48" i="1"/>
  <c r="AX48" i="1"/>
  <c r="BF48" i="1" s="1"/>
  <c r="BA47" i="1"/>
  <c r="AX47" i="1"/>
  <c r="BF47" i="1" s="1"/>
  <c r="BA46" i="1"/>
  <c r="AX46" i="1"/>
  <c r="BA45" i="1"/>
  <c r="AX45" i="1"/>
  <c r="BF45" i="1" s="1"/>
  <c r="BA44" i="1"/>
  <c r="AX44" i="1"/>
  <c r="BF44" i="1" s="1"/>
  <c r="BA43" i="1"/>
  <c r="AX43" i="1"/>
  <c r="BF43" i="1" s="1"/>
  <c r="BA42" i="1"/>
  <c r="AX42" i="1"/>
  <c r="BA41" i="1"/>
  <c r="AX41" i="1"/>
  <c r="BA40" i="1"/>
  <c r="AX40" i="1"/>
  <c r="BF40" i="1" s="1"/>
  <c r="BA39" i="1"/>
  <c r="AX39" i="1"/>
  <c r="BF39" i="1" s="1"/>
  <c r="BA38" i="1"/>
  <c r="AX38" i="1"/>
  <c r="BF38" i="1" s="1"/>
  <c r="BA37" i="1"/>
  <c r="AX37" i="1"/>
  <c r="BF37" i="1" s="1"/>
  <c r="BA36" i="1"/>
  <c r="AX36" i="1"/>
  <c r="BA35" i="1"/>
  <c r="AX35" i="1"/>
  <c r="BF35" i="1" s="1"/>
  <c r="BA34" i="1"/>
  <c r="AX34" i="1"/>
  <c r="BF34" i="1" s="1"/>
  <c r="BA33" i="1"/>
  <c r="AX33" i="1"/>
  <c r="BF33" i="1" s="1"/>
  <c r="BA32" i="1"/>
  <c r="AX32" i="1"/>
  <c r="BF32" i="1" s="1"/>
  <c r="BA31" i="1"/>
  <c r="AX31" i="1"/>
  <c r="BF31" i="1" s="1"/>
  <c r="BA30" i="1"/>
  <c r="AX30" i="1"/>
  <c r="BF30" i="1" s="1"/>
  <c r="BA29" i="1"/>
  <c r="AX29" i="1"/>
  <c r="BF29" i="1" s="1"/>
  <c r="BA28" i="1"/>
  <c r="AX28" i="1"/>
  <c r="BF28" i="1" s="1"/>
  <c r="BA27" i="1"/>
  <c r="AX27" i="1"/>
  <c r="BF27" i="1" s="1"/>
  <c r="BA26" i="1"/>
  <c r="AX26" i="1"/>
  <c r="BA25" i="1"/>
  <c r="AX25" i="1"/>
  <c r="BF25" i="1" s="1"/>
  <c r="BA24" i="1"/>
  <c r="AX24" i="1"/>
  <c r="BF24" i="1" s="1"/>
  <c r="BA23" i="1"/>
  <c r="AX23" i="1"/>
  <c r="BF23" i="1" s="1"/>
  <c r="BA22" i="1"/>
  <c r="AX22" i="1"/>
  <c r="BF22" i="1" s="1"/>
  <c r="BA21" i="1"/>
  <c r="AX21" i="1"/>
  <c r="BF21" i="1" s="1"/>
  <c r="BA20" i="1"/>
  <c r="AX20" i="1"/>
  <c r="BF20" i="1" s="1"/>
  <c r="BA19" i="1"/>
  <c r="AX19" i="1"/>
  <c r="BF19" i="1" s="1"/>
  <c r="BA18" i="1"/>
  <c r="AX18" i="1"/>
  <c r="BA17" i="1"/>
  <c r="AX17" i="1"/>
  <c r="BF17" i="1" s="1"/>
  <c r="BA16" i="1"/>
  <c r="AX16" i="1"/>
  <c r="BF16" i="1" s="1"/>
  <c r="BA15" i="1"/>
  <c r="AX15" i="1"/>
  <c r="BF15" i="1" s="1"/>
  <c r="BA14" i="1"/>
  <c r="AX14" i="1"/>
  <c r="BF14" i="1" s="1"/>
  <c r="BA13" i="1"/>
  <c r="AX13" i="1"/>
  <c r="BF13" i="1" s="1"/>
  <c r="BA12" i="1"/>
  <c r="AX12" i="1"/>
  <c r="BA11" i="1"/>
  <c r="AX11" i="1"/>
  <c r="BF11" i="1" s="1"/>
  <c r="BA10" i="1"/>
  <c r="AX10" i="1"/>
  <c r="BF10" i="1" s="1"/>
  <c r="BA9" i="1"/>
  <c r="AX9" i="1"/>
  <c r="BA8" i="1"/>
  <c r="AX8" i="1"/>
  <c r="BA7" i="1"/>
  <c r="AX7" i="1"/>
  <c r="BF7" i="1" s="1"/>
  <c r="BA6" i="1"/>
  <c r="AX6" i="1"/>
  <c r="BF6" i="1" s="1"/>
  <c r="BA5" i="1"/>
  <c r="AX5" i="1"/>
  <c r="BF5" i="1" s="1"/>
  <c r="BA4" i="1"/>
  <c r="AX4" i="1"/>
  <c r="BA3" i="1"/>
  <c r="AX3" i="1"/>
  <c r="BF3" i="1" s="1"/>
  <c r="BA2" i="1"/>
  <c r="AX2" i="1"/>
  <c r="BF2" i="1" s="1"/>
  <c r="AW362" i="1"/>
  <c r="AW361" i="1"/>
  <c r="AW360" i="1"/>
  <c r="AW359" i="1"/>
  <c r="AW358" i="1"/>
  <c r="AW357" i="1"/>
  <c r="AW356" i="1"/>
  <c r="AW355" i="1"/>
  <c r="AW354" i="1"/>
  <c r="AW353" i="1"/>
  <c r="AW352" i="1"/>
  <c r="AW351" i="1"/>
  <c r="AW350" i="1"/>
  <c r="AW349" i="1"/>
  <c r="AW348" i="1"/>
  <c r="AW347" i="1"/>
  <c r="AW346" i="1"/>
  <c r="AW345" i="1"/>
  <c r="AW344" i="1"/>
  <c r="AW343" i="1"/>
  <c r="AW342" i="1"/>
  <c r="AW341" i="1"/>
  <c r="AW340" i="1"/>
  <c r="AW339" i="1"/>
  <c r="AW338" i="1"/>
  <c r="AW337" i="1"/>
  <c r="AW336" i="1"/>
  <c r="AW335" i="1"/>
  <c r="AW334" i="1"/>
  <c r="AW333" i="1"/>
  <c r="AW332" i="1"/>
  <c r="AW331" i="1"/>
  <c r="AW330" i="1"/>
  <c r="AW329" i="1"/>
  <c r="AW328" i="1"/>
  <c r="AW327" i="1"/>
  <c r="AW326" i="1"/>
  <c r="AW325" i="1"/>
  <c r="AW324" i="1"/>
  <c r="AW323" i="1"/>
  <c r="AW322" i="1"/>
  <c r="AW321" i="1"/>
  <c r="AW320" i="1"/>
  <c r="AW319" i="1"/>
  <c r="AW318" i="1"/>
  <c r="AW317" i="1"/>
  <c r="AW316" i="1"/>
  <c r="AW315" i="1"/>
  <c r="AW314" i="1"/>
  <c r="AW313" i="1"/>
  <c r="AW312" i="1"/>
  <c r="AW311" i="1"/>
  <c r="AW310" i="1"/>
  <c r="AW309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90" i="1"/>
  <c r="AW289" i="1"/>
  <c r="AW288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6" i="1"/>
  <c r="AW265" i="1"/>
  <c r="AW264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42" i="1"/>
  <c r="AW241" i="1"/>
  <c r="AW240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5" i="1"/>
  <c r="AW194" i="1"/>
  <c r="AW193" i="1"/>
  <c r="AW192" i="1"/>
  <c r="AW191" i="1"/>
  <c r="AW190" i="1"/>
  <c r="AW189" i="1"/>
  <c r="AW188" i="1"/>
  <c r="AW187" i="1"/>
  <c r="AW186" i="1"/>
  <c r="AW185" i="1"/>
  <c r="AW184" i="1"/>
  <c r="AW183" i="1"/>
  <c r="AW182" i="1"/>
  <c r="BB182" i="1" s="1"/>
  <c r="AW181" i="1"/>
  <c r="BB181" i="1" s="1"/>
  <c r="AW180" i="1"/>
  <c r="BB180" i="1" s="1"/>
  <c r="AW179" i="1"/>
  <c r="BB179" i="1" s="1"/>
  <c r="AW178" i="1"/>
  <c r="BB178" i="1" s="1"/>
  <c r="AW177" i="1"/>
  <c r="BB177" i="1" s="1"/>
  <c r="AW176" i="1"/>
  <c r="BB176" i="1" s="1"/>
  <c r="AW175" i="1"/>
  <c r="BB175" i="1" s="1"/>
  <c r="AW174" i="1"/>
  <c r="BB174" i="1" s="1"/>
  <c r="AW173" i="1"/>
  <c r="BB173" i="1" s="1"/>
  <c r="AW172" i="1"/>
  <c r="BB172" i="1" s="1"/>
  <c r="AW171" i="1"/>
  <c r="BB171" i="1" s="1"/>
  <c r="AW170" i="1"/>
  <c r="BB170" i="1" s="1"/>
  <c r="AW169" i="1"/>
  <c r="BB169" i="1" s="1"/>
  <c r="AW168" i="1"/>
  <c r="BB168" i="1" s="1"/>
  <c r="AW167" i="1"/>
  <c r="BB167" i="1" s="1"/>
  <c r="AW166" i="1"/>
  <c r="BB166" i="1" s="1"/>
  <c r="AW165" i="1"/>
  <c r="BB165" i="1" s="1"/>
  <c r="AW164" i="1"/>
  <c r="BB164" i="1" s="1"/>
  <c r="AW163" i="1"/>
  <c r="BB163" i="1" s="1"/>
  <c r="AW162" i="1"/>
  <c r="BB162" i="1" s="1"/>
  <c r="AW161" i="1"/>
  <c r="BB161" i="1" s="1"/>
  <c r="AW160" i="1"/>
  <c r="BB160" i="1" s="1"/>
  <c r="AW159" i="1"/>
  <c r="BB159" i="1" s="1"/>
  <c r="AW158" i="1"/>
  <c r="BB158" i="1" s="1"/>
  <c r="AW157" i="1"/>
  <c r="BB157" i="1" s="1"/>
  <c r="AW156" i="1"/>
  <c r="BB156" i="1" s="1"/>
  <c r="AW155" i="1"/>
  <c r="BB155" i="1" s="1"/>
  <c r="AW154" i="1"/>
  <c r="BB154" i="1" s="1"/>
  <c r="AW153" i="1"/>
  <c r="BB153" i="1" s="1"/>
  <c r="AW152" i="1"/>
  <c r="BB152" i="1" s="1"/>
  <c r="AW151" i="1"/>
  <c r="BB151" i="1" s="1"/>
  <c r="AW150" i="1"/>
  <c r="BB150" i="1" s="1"/>
  <c r="AW149" i="1"/>
  <c r="BB149" i="1" s="1"/>
  <c r="AW148" i="1"/>
  <c r="BB148" i="1" s="1"/>
  <c r="AW147" i="1"/>
  <c r="BB147" i="1" s="1"/>
  <c r="AW146" i="1"/>
  <c r="BB146" i="1" s="1"/>
  <c r="AW145" i="1"/>
  <c r="BB145" i="1" s="1"/>
  <c r="AW144" i="1"/>
  <c r="BB144" i="1" s="1"/>
  <c r="AW143" i="1"/>
  <c r="BB143" i="1" s="1"/>
  <c r="AW142" i="1"/>
  <c r="BB142" i="1" s="1"/>
  <c r="AW141" i="1"/>
  <c r="BB141" i="1" s="1"/>
  <c r="AW140" i="1"/>
  <c r="BB140" i="1" s="1"/>
  <c r="AW139" i="1"/>
  <c r="BB139" i="1" s="1"/>
  <c r="AW138" i="1"/>
  <c r="BB138" i="1" s="1"/>
  <c r="AW137" i="1"/>
  <c r="BB137" i="1" s="1"/>
  <c r="AW136" i="1"/>
  <c r="BB136" i="1" s="1"/>
  <c r="AW135" i="1"/>
  <c r="BB135" i="1" s="1"/>
  <c r="AW134" i="1"/>
  <c r="BB134" i="1" s="1"/>
  <c r="AW133" i="1"/>
  <c r="BB133" i="1" s="1"/>
  <c r="AW132" i="1"/>
  <c r="BB132" i="1" s="1"/>
  <c r="AW131" i="1"/>
  <c r="BB131" i="1" s="1"/>
  <c r="AW130" i="1"/>
  <c r="BB130" i="1" s="1"/>
  <c r="AW129" i="1"/>
  <c r="BB129" i="1" s="1"/>
  <c r="AW128" i="1"/>
  <c r="BB128" i="1" s="1"/>
  <c r="AW127" i="1"/>
  <c r="BB127" i="1" s="1"/>
  <c r="AW126" i="1"/>
  <c r="BB126" i="1" s="1"/>
  <c r="AW125" i="1"/>
  <c r="BB125" i="1" s="1"/>
  <c r="AW124" i="1"/>
  <c r="BB124" i="1" s="1"/>
  <c r="AW123" i="1"/>
  <c r="BB123" i="1" s="1"/>
  <c r="AW122" i="1"/>
  <c r="BB122" i="1" s="1"/>
  <c r="AW121" i="1"/>
  <c r="BB121" i="1" s="1"/>
  <c r="AW120" i="1"/>
  <c r="BB120" i="1" s="1"/>
  <c r="AW119" i="1"/>
  <c r="BB119" i="1" s="1"/>
  <c r="AW118" i="1"/>
  <c r="BB118" i="1" s="1"/>
  <c r="AW117" i="1"/>
  <c r="BB117" i="1" s="1"/>
  <c r="AW116" i="1"/>
  <c r="BB116" i="1" s="1"/>
  <c r="AW115" i="1"/>
  <c r="BB115" i="1" s="1"/>
  <c r="AW114" i="1"/>
  <c r="BB114" i="1" s="1"/>
  <c r="AW113" i="1"/>
  <c r="BB113" i="1" s="1"/>
  <c r="AW112" i="1"/>
  <c r="BB112" i="1" s="1"/>
  <c r="AW111" i="1"/>
  <c r="BB111" i="1" s="1"/>
  <c r="AW110" i="1"/>
  <c r="BB110" i="1" s="1"/>
  <c r="AW109" i="1"/>
  <c r="BB109" i="1" s="1"/>
  <c r="AW108" i="1"/>
  <c r="BB108" i="1" s="1"/>
  <c r="AW107" i="1"/>
  <c r="BB107" i="1" s="1"/>
  <c r="AW106" i="1"/>
  <c r="BB106" i="1" s="1"/>
  <c r="AW105" i="1"/>
  <c r="BB105" i="1" s="1"/>
  <c r="AW104" i="1"/>
  <c r="BB104" i="1" s="1"/>
  <c r="AW103" i="1"/>
  <c r="BB103" i="1" s="1"/>
  <c r="AW102" i="1"/>
  <c r="BB102" i="1" s="1"/>
  <c r="AW101" i="1"/>
  <c r="BB101" i="1" s="1"/>
  <c r="AW100" i="1"/>
  <c r="BB100" i="1" s="1"/>
  <c r="AW99" i="1"/>
  <c r="BB99" i="1" s="1"/>
  <c r="AW98" i="1"/>
  <c r="BB98" i="1" s="1"/>
  <c r="AW97" i="1"/>
  <c r="BB97" i="1" s="1"/>
  <c r="AW96" i="1"/>
  <c r="BB96" i="1" s="1"/>
  <c r="AW95" i="1"/>
  <c r="BB95" i="1" s="1"/>
  <c r="AW94" i="1"/>
  <c r="BB94" i="1" s="1"/>
  <c r="AW93" i="1"/>
  <c r="BB93" i="1" s="1"/>
  <c r="AW92" i="1"/>
  <c r="BB92" i="1" s="1"/>
  <c r="AW91" i="1"/>
  <c r="BB91" i="1" s="1"/>
  <c r="AW90" i="1"/>
  <c r="BB90" i="1" s="1"/>
  <c r="AW89" i="1"/>
  <c r="BB89" i="1" s="1"/>
  <c r="AW88" i="1"/>
  <c r="BB88" i="1" s="1"/>
  <c r="AW87" i="1"/>
  <c r="BB87" i="1" s="1"/>
  <c r="AW86" i="1"/>
  <c r="BB86" i="1" s="1"/>
  <c r="AW85" i="1"/>
  <c r="BB85" i="1" s="1"/>
  <c r="AW84" i="1"/>
  <c r="BB84" i="1" s="1"/>
  <c r="AW83" i="1"/>
  <c r="BB83" i="1" s="1"/>
  <c r="AW82" i="1"/>
  <c r="BB82" i="1" s="1"/>
  <c r="AW81" i="1"/>
  <c r="BB81" i="1" s="1"/>
  <c r="AW80" i="1"/>
  <c r="BB80" i="1" s="1"/>
  <c r="AW79" i="1"/>
  <c r="BB79" i="1" s="1"/>
  <c r="AW78" i="1"/>
  <c r="BB78" i="1" s="1"/>
  <c r="AW77" i="1"/>
  <c r="BB77" i="1" s="1"/>
  <c r="AW76" i="1"/>
  <c r="BB76" i="1" s="1"/>
  <c r="AW75" i="1"/>
  <c r="BB75" i="1" s="1"/>
  <c r="AW74" i="1"/>
  <c r="BB74" i="1" s="1"/>
  <c r="AW73" i="1"/>
  <c r="BB73" i="1" s="1"/>
  <c r="AW72" i="1"/>
  <c r="BB72" i="1" s="1"/>
  <c r="AW71" i="1"/>
  <c r="BB71" i="1" s="1"/>
  <c r="AW70" i="1"/>
  <c r="BB70" i="1" s="1"/>
  <c r="AW69" i="1"/>
  <c r="BB69" i="1" s="1"/>
  <c r="AW68" i="1"/>
  <c r="BB68" i="1" s="1"/>
  <c r="AW67" i="1"/>
  <c r="BB67" i="1" s="1"/>
  <c r="AW66" i="1"/>
  <c r="BB66" i="1" s="1"/>
  <c r="AW65" i="1"/>
  <c r="BB65" i="1" s="1"/>
  <c r="AW64" i="1"/>
  <c r="BB64" i="1" s="1"/>
  <c r="AW63" i="1"/>
  <c r="BB63" i="1" s="1"/>
  <c r="AW62" i="1"/>
  <c r="BB62" i="1" s="1"/>
  <c r="AW61" i="1"/>
  <c r="BB61" i="1" s="1"/>
  <c r="AW60" i="1"/>
  <c r="BB60" i="1" s="1"/>
  <c r="AW59" i="1"/>
  <c r="BB59" i="1" s="1"/>
  <c r="AW58" i="1"/>
  <c r="BB58" i="1" s="1"/>
  <c r="AW57" i="1"/>
  <c r="BB57" i="1" s="1"/>
  <c r="AW56" i="1"/>
  <c r="BB56" i="1" s="1"/>
  <c r="AW55" i="1"/>
  <c r="BB55" i="1" s="1"/>
  <c r="AW54" i="1"/>
  <c r="BB54" i="1" s="1"/>
  <c r="AW53" i="1"/>
  <c r="BB53" i="1" s="1"/>
  <c r="AW52" i="1"/>
  <c r="BB52" i="1" s="1"/>
  <c r="AW51" i="1"/>
  <c r="BB51" i="1" s="1"/>
  <c r="AW50" i="1"/>
  <c r="BB50" i="1" s="1"/>
  <c r="AW49" i="1"/>
  <c r="BB49" i="1" s="1"/>
  <c r="AW48" i="1"/>
  <c r="BB48" i="1" s="1"/>
  <c r="AW47" i="1"/>
  <c r="BB47" i="1" s="1"/>
  <c r="AW46" i="1"/>
  <c r="BB46" i="1" s="1"/>
  <c r="AW45" i="1"/>
  <c r="BB45" i="1" s="1"/>
  <c r="AW44" i="1"/>
  <c r="BB44" i="1" s="1"/>
  <c r="AW43" i="1"/>
  <c r="BB43" i="1" s="1"/>
  <c r="AW42" i="1"/>
  <c r="BB42" i="1" s="1"/>
  <c r="AW41" i="1"/>
  <c r="BB41" i="1" s="1"/>
  <c r="AW40" i="1"/>
  <c r="BB40" i="1" s="1"/>
  <c r="AW39" i="1"/>
  <c r="BB39" i="1" s="1"/>
  <c r="AW38" i="1"/>
  <c r="BB38" i="1" s="1"/>
  <c r="AW37" i="1"/>
  <c r="BB37" i="1" s="1"/>
  <c r="AW36" i="1"/>
  <c r="BB36" i="1" s="1"/>
  <c r="AW35" i="1"/>
  <c r="BB35" i="1" s="1"/>
  <c r="AW34" i="1"/>
  <c r="BB34" i="1" s="1"/>
  <c r="AW33" i="1"/>
  <c r="BB33" i="1" s="1"/>
  <c r="AW32" i="1"/>
  <c r="BB32" i="1" s="1"/>
  <c r="AW31" i="1"/>
  <c r="BB31" i="1" s="1"/>
  <c r="AW30" i="1"/>
  <c r="BB30" i="1" s="1"/>
  <c r="AW29" i="1"/>
  <c r="BB29" i="1" s="1"/>
  <c r="AW28" i="1"/>
  <c r="BB28" i="1" s="1"/>
  <c r="AW27" i="1"/>
  <c r="BB27" i="1" s="1"/>
  <c r="AW26" i="1"/>
  <c r="BB26" i="1" s="1"/>
  <c r="AW25" i="1"/>
  <c r="BB25" i="1" s="1"/>
  <c r="AW24" i="1"/>
  <c r="BB24" i="1" s="1"/>
  <c r="AW23" i="1"/>
  <c r="BB23" i="1" s="1"/>
  <c r="AW22" i="1"/>
  <c r="BB22" i="1" s="1"/>
  <c r="AW21" i="1"/>
  <c r="BB21" i="1" s="1"/>
  <c r="AW20" i="1"/>
  <c r="BB20" i="1" s="1"/>
  <c r="AW19" i="1"/>
  <c r="BB19" i="1" s="1"/>
  <c r="AW18" i="1"/>
  <c r="BB18" i="1" s="1"/>
  <c r="AW17" i="1"/>
  <c r="BB17" i="1" s="1"/>
  <c r="AW16" i="1"/>
  <c r="BB16" i="1" s="1"/>
  <c r="AW15" i="1"/>
  <c r="BB15" i="1" s="1"/>
  <c r="AW14" i="1"/>
  <c r="BB14" i="1" s="1"/>
  <c r="AW13" i="1"/>
  <c r="BB13" i="1" s="1"/>
  <c r="AW12" i="1"/>
  <c r="BB12" i="1" s="1"/>
  <c r="AW11" i="1"/>
  <c r="BB11" i="1" s="1"/>
  <c r="AW10" i="1"/>
  <c r="BB10" i="1" s="1"/>
  <c r="AW9" i="1"/>
  <c r="BB9" i="1" s="1"/>
  <c r="AW8" i="1"/>
  <c r="BB8" i="1" s="1"/>
  <c r="AW7" i="1"/>
  <c r="BB7" i="1" s="1"/>
  <c r="AW6" i="1"/>
  <c r="BB6" i="1" s="1"/>
  <c r="AW5" i="1"/>
  <c r="BB5" i="1" s="1"/>
  <c r="AW4" i="1"/>
  <c r="BB4" i="1" s="1"/>
  <c r="AW3" i="1"/>
  <c r="BB3" i="1" s="1"/>
  <c r="AW2" i="1"/>
  <c r="BB2" i="1" s="1"/>
  <c r="AD46" i="1"/>
  <c r="AD45" i="1"/>
  <c r="AE38" i="1"/>
  <c r="AD38" i="1"/>
  <c r="AD39" i="1" s="1"/>
  <c r="AE39" i="1" s="1"/>
  <c r="BC182" i="1" l="1"/>
  <c r="BG182" i="1" s="1"/>
  <c r="BF182" i="1"/>
  <c r="BC178" i="1"/>
  <c r="BG178" i="1" s="1"/>
  <c r="BF178" i="1"/>
  <c r="BC174" i="1"/>
  <c r="BG174" i="1" s="1"/>
  <c r="BF174" i="1"/>
  <c r="BC172" i="1"/>
  <c r="BG172" i="1" s="1"/>
  <c r="BF172" i="1"/>
  <c r="BC170" i="1"/>
  <c r="BG170" i="1" s="1"/>
  <c r="BF170" i="1"/>
  <c r="BC168" i="1"/>
  <c r="BG168" i="1" s="1"/>
  <c r="BF168" i="1"/>
  <c r="BC166" i="1"/>
  <c r="BG166" i="1" s="1"/>
  <c r="BF166" i="1"/>
  <c r="BC162" i="1"/>
  <c r="BG162" i="1" s="1"/>
  <c r="BF162" i="1"/>
  <c r="BC161" i="1"/>
  <c r="BG161" i="1" s="1"/>
  <c r="BF161" i="1"/>
  <c r="BC158" i="1"/>
  <c r="BG158" i="1" s="1"/>
  <c r="BF158" i="1"/>
  <c r="BC154" i="1"/>
  <c r="BG154" i="1" s="1"/>
  <c r="BF154" i="1"/>
  <c r="BC152" i="1"/>
  <c r="BG152" i="1" s="1"/>
  <c r="BF152" i="1"/>
  <c r="BC150" i="1"/>
  <c r="BG150" i="1" s="1"/>
  <c r="BF150" i="1"/>
  <c r="BC146" i="1"/>
  <c r="BG146" i="1" s="1"/>
  <c r="BF146" i="1"/>
  <c r="BC144" i="1"/>
  <c r="BG144" i="1" s="1"/>
  <c r="BF144" i="1"/>
  <c r="BC142" i="1"/>
  <c r="BG142" i="1" s="1"/>
  <c r="BF142" i="1"/>
  <c r="BC138" i="1"/>
  <c r="BG138" i="1" s="1"/>
  <c r="BF138" i="1"/>
  <c r="BC134" i="1"/>
  <c r="BG134" i="1" s="1"/>
  <c r="BF134" i="1"/>
  <c r="BC132" i="1"/>
  <c r="BG132" i="1" s="1"/>
  <c r="BF132" i="1"/>
  <c r="BC130" i="1"/>
  <c r="BG130" i="1" s="1"/>
  <c r="BF130" i="1"/>
  <c r="BC129" i="1"/>
  <c r="BG129" i="1" s="1"/>
  <c r="BF129" i="1"/>
  <c r="BC126" i="1"/>
  <c r="BG126" i="1" s="1"/>
  <c r="BF126" i="1"/>
  <c r="BC122" i="1"/>
  <c r="BG122" i="1" s="1"/>
  <c r="BF122" i="1"/>
  <c r="BC120" i="1"/>
  <c r="BG120" i="1" s="1"/>
  <c r="BF120" i="1"/>
  <c r="BC110" i="1"/>
  <c r="BG110" i="1" s="1"/>
  <c r="BF110" i="1"/>
  <c r="BC106" i="1"/>
  <c r="BG106" i="1" s="1"/>
  <c r="BF106" i="1"/>
  <c r="BC104" i="1"/>
  <c r="BG104" i="1" s="1"/>
  <c r="BF104" i="1"/>
  <c r="BC100" i="1"/>
  <c r="BG100" i="1" s="1"/>
  <c r="BF100" i="1"/>
  <c r="BC97" i="1"/>
  <c r="BG97" i="1" s="1"/>
  <c r="BF97" i="1"/>
  <c r="BC94" i="1"/>
  <c r="BG94" i="1" s="1"/>
  <c r="BF94" i="1"/>
  <c r="BC90" i="1"/>
  <c r="BG90" i="1" s="1"/>
  <c r="BF90" i="1"/>
  <c r="BC88" i="1"/>
  <c r="BG88" i="1" s="1"/>
  <c r="BF88" i="1"/>
  <c r="BC82" i="1"/>
  <c r="BG82" i="1" s="1"/>
  <c r="BF82" i="1"/>
  <c r="BC80" i="1"/>
  <c r="BG80" i="1" s="1"/>
  <c r="BF80" i="1"/>
  <c r="BC78" i="1"/>
  <c r="BG78" i="1" s="1"/>
  <c r="BF78" i="1"/>
  <c r="BC74" i="1"/>
  <c r="BG74" i="1" s="1"/>
  <c r="BF74" i="1"/>
  <c r="BC73" i="1"/>
  <c r="BG73" i="1" s="1"/>
  <c r="BF73" i="1"/>
  <c r="BC72" i="1"/>
  <c r="BG72" i="1" s="1"/>
  <c r="BF72" i="1"/>
  <c r="BC68" i="1"/>
  <c r="BG68" i="1" s="1"/>
  <c r="BF68" i="1"/>
  <c r="BC62" i="1"/>
  <c r="BG62" i="1" s="1"/>
  <c r="BF62" i="1"/>
  <c r="BC58" i="1"/>
  <c r="BG58" i="1" s="1"/>
  <c r="BF58" i="1"/>
  <c r="BC56" i="1"/>
  <c r="BG56" i="1" s="1"/>
  <c r="BF56" i="1"/>
  <c r="BC52" i="1"/>
  <c r="BG52" i="1" s="1"/>
  <c r="BF52" i="1"/>
  <c r="BC46" i="1"/>
  <c r="BG46" i="1" s="1"/>
  <c r="BF46" i="1"/>
  <c r="BC42" i="1"/>
  <c r="BG42" i="1" s="1"/>
  <c r="BF42" i="1"/>
  <c r="BC41" i="1"/>
  <c r="BG41" i="1" s="1"/>
  <c r="BF41" i="1"/>
  <c r="BC36" i="1"/>
  <c r="BG36" i="1" s="1"/>
  <c r="BF36" i="1"/>
  <c r="BC26" i="1"/>
  <c r="BG26" i="1" s="1"/>
  <c r="BF26" i="1"/>
  <c r="BC18" i="1"/>
  <c r="BG18" i="1" s="1"/>
  <c r="BF18" i="1"/>
  <c r="BC12" i="1"/>
  <c r="BG12" i="1" s="1"/>
  <c r="BF12" i="1"/>
  <c r="BC9" i="1"/>
  <c r="BG9" i="1" s="1"/>
  <c r="BF9" i="1"/>
  <c r="BC8" i="1"/>
  <c r="BG8" i="1" s="1"/>
  <c r="BF8" i="1"/>
  <c r="BC4" i="1"/>
  <c r="BG4" i="1" s="1"/>
  <c r="BF4" i="1"/>
  <c r="BC24" i="1"/>
  <c r="BG24" i="1" s="1"/>
  <c r="BC136" i="1"/>
  <c r="BG136" i="1" s="1"/>
  <c r="BC116" i="1"/>
  <c r="BG116" i="1" s="1"/>
  <c r="BC17" i="1"/>
  <c r="BG17" i="1" s="1"/>
  <c r="BC21" i="1"/>
  <c r="BG21" i="1" s="1"/>
  <c r="BC25" i="1"/>
  <c r="BG25" i="1" s="1"/>
  <c r="BC29" i="1"/>
  <c r="BG29" i="1" s="1"/>
  <c r="BC33" i="1"/>
  <c r="BG33" i="1" s="1"/>
  <c r="BC37" i="1"/>
  <c r="BG37" i="1" s="1"/>
  <c r="BC45" i="1"/>
  <c r="BG45" i="1" s="1"/>
  <c r="BC53" i="1"/>
  <c r="BG53" i="1" s="1"/>
  <c r="BC57" i="1"/>
  <c r="BG57" i="1" s="1"/>
  <c r="BC61" i="1"/>
  <c r="BG61" i="1" s="1"/>
  <c r="BC65" i="1"/>
  <c r="BG65" i="1" s="1"/>
  <c r="BC69" i="1"/>
  <c r="BG69" i="1" s="1"/>
  <c r="BC77" i="1"/>
  <c r="BG77" i="1" s="1"/>
  <c r="BC81" i="1"/>
  <c r="BG81" i="1" s="1"/>
  <c r="BC85" i="1"/>
  <c r="BG85" i="1" s="1"/>
  <c r="BC89" i="1"/>
  <c r="BG89" i="1" s="1"/>
  <c r="BC93" i="1"/>
  <c r="BG93" i="1" s="1"/>
  <c r="BC101" i="1"/>
  <c r="BG101" i="1" s="1"/>
  <c r="BC105" i="1"/>
  <c r="BG105" i="1" s="1"/>
  <c r="BC109" i="1"/>
  <c r="BG109" i="1" s="1"/>
  <c r="BC113" i="1"/>
  <c r="BG113" i="1" s="1"/>
  <c r="BC117" i="1"/>
  <c r="BG117" i="1" s="1"/>
  <c r="BC121" i="1"/>
  <c r="BG121" i="1" s="1"/>
  <c r="BC125" i="1"/>
  <c r="BG125" i="1" s="1"/>
  <c r="BC133" i="1"/>
  <c r="BG133" i="1" s="1"/>
  <c r="BC137" i="1"/>
  <c r="BG137" i="1" s="1"/>
  <c r="BC141" i="1"/>
  <c r="BG141" i="1" s="1"/>
  <c r="BC145" i="1"/>
  <c r="BG145" i="1" s="1"/>
  <c r="BC149" i="1"/>
  <c r="BG149" i="1" s="1"/>
  <c r="BC153" i="1"/>
  <c r="BG153" i="1" s="1"/>
  <c r="BC157" i="1"/>
  <c r="BG157" i="1" s="1"/>
  <c r="BC165" i="1"/>
  <c r="BG165" i="1" s="1"/>
  <c r="BC169" i="1"/>
  <c r="BG169" i="1" s="1"/>
  <c r="BC173" i="1"/>
  <c r="BG173" i="1" s="1"/>
  <c r="BC177" i="1"/>
  <c r="BG177" i="1" s="1"/>
  <c r="BC181" i="1"/>
  <c r="BG181" i="1" s="1"/>
  <c r="BC96" i="1"/>
  <c r="BG96" i="1" s="1"/>
  <c r="BC5" i="1"/>
  <c r="BG5" i="1" s="1"/>
  <c r="BC13" i="1"/>
  <c r="BG13" i="1" s="1"/>
  <c r="BC49" i="1"/>
  <c r="BG49" i="1" s="1"/>
  <c r="BC84" i="1"/>
  <c r="BG84" i="1" s="1"/>
  <c r="BC148" i="1"/>
  <c r="BG148" i="1" s="1"/>
  <c r="BC14" i="1"/>
  <c r="BG14" i="1" s="1"/>
  <c r="BC86" i="1"/>
  <c r="BG86" i="1" s="1"/>
  <c r="BC20" i="1"/>
  <c r="BG20" i="1" s="1"/>
  <c r="BC48" i="1"/>
  <c r="BG48" i="1" s="1"/>
  <c r="BC112" i="1"/>
  <c r="BG112" i="1" s="1"/>
  <c r="BC180" i="1"/>
  <c r="BG180" i="1" s="1"/>
  <c r="BC22" i="1"/>
  <c r="BG22" i="1" s="1"/>
  <c r="BC30" i="1"/>
  <c r="BG30" i="1" s="1"/>
  <c r="BC38" i="1"/>
  <c r="BG38" i="1" s="1"/>
  <c r="BC54" i="1"/>
  <c r="BG54" i="1" s="1"/>
  <c r="BC70" i="1"/>
  <c r="BG70" i="1" s="1"/>
  <c r="BC102" i="1"/>
  <c r="BG102" i="1" s="1"/>
  <c r="BC118" i="1"/>
  <c r="BG118" i="1" s="1"/>
  <c r="BC160" i="1"/>
  <c r="BG160" i="1" s="1"/>
  <c r="BC64" i="1"/>
  <c r="BG64" i="1" s="1"/>
  <c r="BC164" i="1"/>
  <c r="BG164" i="1" s="1"/>
  <c r="BC6" i="1"/>
  <c r="BG6" i="1" s="1"/>
  <c r="BC10" i="1"/>
  <c r="BG10" i="1" s="1"/>
  <c r="BC92" i="1"/>
  <c r="BG92" i="1" s="1"/>
  <c r="BC124" i="1"/>
  <c r="BG124" i="1" s="1"/>
  <c r="BC176" i="1"/>
  <c r="BG176" i="1" s="1"/>
  <c r="BC7" i="1"/>
  <c r="BG7" i="1" s="1"/>
  <c r="BC11" i="1"/>
  <c r="BG11" i="1" s="1"/>
  <c r="BC15" i="1"/>
  <c r="BG15" i="1" s="1"/>
  <c r="BC19" i="1"/>
  <c r="BG19" i="1" s="1"/>
  <c r="BC23" i="1"/>
  <c r="BG23" i="1" s="1"/>
  <c r="BC27" i="1"/>
  <c r="BG27" i="1" s="1"/>
  <c r="BC35" i="1"/>
  <c r="BG35" i="1" s="1"/>
  <c r="BC39" i="1"/>
  <c r="BG39" i="1" s="1"/>
  <c r="BC43" i="1"/>
  <c r="BG43" i="1" s="1"/>
  <c r="BC47" i="1"/>
  <c r="BG47" i="1" s="1"/>
  <c r="BC51" i="1"/>
  <c r="BG51" i="1" s="1"/>
  <c r="BC55" i="1"/>
  <c r="BG55" i="1" s="1"/>
  <c r="BC59" i="1"/>
  <c r="BG59" i="1" s="1"/>
  <c r="BC63" i="1"/>
  <c r="BG63" i="1" s="1"/>
  <c r="BC67" i="1"/>
  <c r="BG67" i="1" s="1"/>
  <c r="BC71" i="1"/>
  <c r="BG71" i="1" s="1"/>
  <c r="BC75" i="1"/>
  <c r="BG75" i="1" s="1"/>
  <c r="BC79" i="1"/>
  <c r="BG79" i="1" s="1"/>
  <c r="BC83" i="1"/>
  <c r="BG83" i="1" s="1"/>
  <c r="BC87" i="1"/>
  <c r="BG87" i="1" s="1"/>
  <c r="BC91" i="1"/>
  <c r="BG91" i="1" s="1"/>
  <c r="BC95" i="1"/>
  <c r="BG95" i="1" s="1"/>
  <c r="BC99" i="1"/>
  <c r="BG99" i="1" s="1"/>
  <c r="BC103" i="1"/>
  <c r="BG103" i="1" s="1"/>
  <c r="BC107" i="1"/>
  <c r="BG107" i="1" s="1"/>
  <c r="BC111" i="1"/>
  <c r="BG111" i="1" s="1"/>
  <c r="BC115" i="1"/>
  <c r="BG115" i="1" s="1"/>
  <c r="BC119" i="1"/>
  <c r="BG119" i="1" s="1"/>
  <c r="BC123" i="1"/>
  <c r="BG123" i="1" s="1"/>
  <c r="BC127" i="1"/>
  <c r="BG127" i="1" s="1"/>
  <c r="BC131" i="1"/>
  <c r="BG131" i="1" s="1"/>
  <c r="BC135" i="1"/>
  <c r="BG135" i="1" s="1"/>
  <c r="BC139" i="1"/>
  <c r="BG139" i="1" s="1"/>
  <c r="BC143" i="1"/>
  <c r="BG143" i="1" s="1"/>
  <c r="BC147" i="1"/>
  <c r="BG147" i="1" s="1"/>
  <c r="BC151" i="1"/>
  <c r="BG151" i="1" s="1"/>
  <c r="BC155" i="1"/>
  <c r="BG155" i="1" s="1"/>
  <c r="BC159" i="1"/>
  <c r="BG159" i="1" s="1"/>
  <c r="BC163" i="1"/>
  <c r="BG163" i="1" s="1"/>
  <c r="BC167" i="1"/>
  <c r="BG167" i="1" s="1"/>
  <c r="BC171" i="1"/>
  <c r="BG171" i="1" s="1"/>
  <c r="BC175" i="1"/>
  <c r="BG175" i="1" s="1"/>
  <c r="BC179" i="1"/>
  <c r="BG179" i="1" s="1"/>
  <c r="BC32" i="1"/>
  <c r="BG32" i="1" s="1"/>
  <c r="BC128" i="1"/>
  <c r="BG128" i="1" s="1"/>
  <c r="BC16" i="1"/>
  <c r="BG16" i="1" s="1"/>
  <c r="BC44" i="1"/>
  <c r="BG44" i="1" s="1"/>
  <c r="BC60" i="1"/>
  <c r="BG60" i="1" s="1"/>
  <c r="BC108" i="1"/>
  <c r="BG108" i="1" s="1"/>
  <c r="BC31" i="1"/>
  <c r="BG31" i="1" s="1"/>
  <c r="BC28" i="1"/>
  <c r="BG28" i="1" s="1"/>
  <c r="BC34" i="1"/>
  <c r="BG34" i="1" s="1"/>
  <c r="BC40" i="1"/>
  <c r="BG40" i="1" s="1"/>
  <c r="BC50" i="1"/>
  <c r="BG50" i="1" s="1"/>
  <c r="BC66" i="1"/>
  <c r="BG66" i="1" s="1"/>
  <c r="BC76" i="1"/>
  <c r="BG76" i="1" s="1"/>
  <c r="BC98" i="1"/>
  <c r="BG98" i="1" s="1"/>
  <c r="BC114" i="1"/>
  <c r="BG114" i="1" s="1"/>
  <c r="BC140" i="1"/>
  <c r="BG140" i="1" s="1"/>
  <c r="BC156" i="1"/>
  <c r="BG156" i="1" s="1"/>
  <c r="BC2" i="1"/>
  <c r="BG2" i="1" s="1"/>
  <c r="AY3" i="1"/>
  <c r="BD3" i="1" s="1"/>
  <c r="BC3" i="1"/>
  <c r="BG3" i="1" s="1"/>
  <c r="AE40" i="1"/>
  <c r="AD40" i="1"/>
  <c r="AD41" i="1" s="1"/>
  <c r="AY328" i="1"/>
  <c r="AY264" i="1"/>
  <c r="AY200" i="1"/>
  <c r="AY136" i="1"/>
  <c r="BD136" i="1" s="1"/>
  <c r="AY72" i="1"/>
  <c r="BD72" i="1" s="1"/>
  <c r="AY360" i="1"/>
  <c r="AY320" i="1"/>
  <c r="AY256" i="1"/>
  <c r="AY192" i="1"/>
  <c r="AY128" i="1"/>
  <c r="BD128" i="1" s="1"/>
  <c r="AY64" i="1"/>
  <c r="BD64" i="1" s="1"/>
  <c r="AY359" i="1"/>
  <c r="AY312" i="1"/>
  <c r="AY248" i="1"/>
  <c r="AY184" i="1"/>
  <c r="AY120" i="1"/>
  <c r="BD120" i="1" s="1"/>
  <c r="AY56" i="1"/>
  <c r="BD56" i="1" s="1"/>
  <c r="AY352" i="1"/>
  <c r="AY304" i="1"/>
  <c r="AY240" i="1"/>
  <c r="AY176" i="1"/>
  <c r="BD176" i="1" s="1"/>
  <c r="AY112" i="1"/>
  <c r="BD112" i="1" s="1"/>
  <c r="AY48" i="1"/>
  <c r="BD48" i="1" s="1"/>
  <c r="AY351" i="1"/>
  <c r="AY296" i="1"/>
  <c r="AY232" i="1"/>
  <c r="AY168" i="1"/>
  <c r="BD168" i="1" s="1"/>
  <c r="AY104" i="1"/>
  <c r="BD104" i="1" s="1"/>
  <c r="AY40" i="1"/>
  <c r="BD40" i="1" s="1"/>
  <c r="AY344" i="1"/>
  <c r="AY288" i="1"/>
  <c r="AY224" i="1"/>
  <c r="AY160" i="1"/>
  <c r="BD160" i="1" s="1"/>
  <c r="AY96" i="1"/>
  <c r="BD96" i="1" s="1"/>
  <c r="AY32" i="1"/>
  <c r="BD32" i="1" s="1"/>
  <c r="AY336" i="1"/>
  <c r="AY280" i="1"/>
  <c r="AY216" i="1"/>
  <c r="AY152" i="1"/>
  <c r="BD152" i="1" s="1"/>
  <c r="AY88" i="1"/>
  <c r="BD88" i="1" s="1"/>
  <c r="AY24" i="1"/>
  <c r="BD24" i="1" s="1"/>
  <c r="AY335" i="1"/>
  <c r="AY272" i="1"/>
  <c r="AY208" i="1"/>
  <c r="AY144" i="1"/>
  <c r="BD144" i="1" s="1"/>
  <c r="AY80" i="1"/>
  <c r="BD80" i="1" s="1"/>
  <c r="AY16" i="1"/>
  <c r="BD16" i="1" s="1"/>
  <c r="AY287" i="1"/>
  <c r="AY239" i="1"/>
  <c r="AY207" i="1"/>
  <c r="AY167" i="1"/>
  <c r="BD167" i="1" s="1"/>
  <c r="AY151" i="1"/>
  <c r="BD151" i="1" s="1"/>
  <c r="AY119" i="1"/>
  <c r="BD119" i="1" s="1"/>
  <c r="AY95" i="1"/>
  <c r="BD95" i="1" s="1"/>
  <c r="AY63" i="1"/>
  <c r="BD63" i="1" s="1"/>
  <c r="AY47" i="1"/>
  <c r="BD47" i="1" s="1"/>
  <c r="AY362" i="1"/>
  <c r="AY354" i="1"/>
  <c r="AY346" i="1"/>
  <c r="AY338" i="1"/>
  <c r="AY330" i="1"/>
  <c r="AY322" i="1"/>
  <c r="AY314" i="1"/>
  <c r="AY306" i="1"/>
  <c r="AY298" i="1"/>
  <c r="AY290" i="1"/>
  <c r="AY282" i="1"/>
  <c r="AY274" i="1"/>
  <c r="AY266" i="1"/>
  <c r="AY258" i="1"/>
  <c r="AY250" i="1"/>
  <c r="AY242" i="1"/>
  <c r="AY234" i="1"/>
  <c r="AY226" i="1"/>
  <c r="AY218" i="1"/>
  <c r="AY210" i="1"/>
  <c r="AY202" i="1"/>
  <c r="AY194" i="1"/>
  <c r="AY186" i="1"/>
  <c r="AY178" i="1"/>
  <c r="BD178" i="1" s="1"/>
  <c r="AY170" i="1"/>
  <c r="BD170" i="1" s="1"/>
  <c r="AY162" i="1"/>
  <c r="BD162" i="1" s="1"/>
  <c r="AY154" i="1"/>
  <c r="BD154" i="1" s="1"/>
  <c r="AY146" i="1"/>
  <c r="BD146" i="1" s="1"/>
  <c r="AY138" i="1"/>
  <c r="BD138" i="1" s="1"/>
  <c r="AY130" i="1"/>
  <c r="BD130" i="1" s="1"/>
  <c r="AY122" i="1"/>
  <c r="BD122" i="1" s="1"/>
  <c r="AY114" i="1"/>
  <c r="BD114" i="1" s="1"/>
  <c r="AY106" i="1"/>
  <c r="BD106" i="1" s="1"/>
  <c r="AY98" i="1"/>
  <c r="BD98" i="1" s="1"/>
  <c r="AY90" i="1"/>
  <c r="BD90" i="1" s="1"/>
  <c r="AY82" i="1"/>
  <c r="BD82" i="1" s="1"/>
  <c r="AY74" i="1"/>
  <c r="BD74" i="1" s="1"/>
  <c r="AY66" i="1"/>
  <c r="BD66" i="1" s="1"/>
  <c r="AY58" i="1"/>
  <c r="BD58" i="1" s="1"/>
  <c r="AY50" i="1"/>
  <c r="BD50" i="1" s="1"/>
  <c r="AY42" i="1"/>
  <c r="BD42" i="1" s="1"/>
  <c r="AY34" i="1"/>
  <c r="BD34" i="1" s="1"/>
  <c r="AY26" i="1"/>
  <c r="BD26" i="1" s="1"/>
  <c r="AY18" i="1"/>
  <c r="BD18" i="1" s="1"/>
  <c r="AY10" i="1"/>
  <c r="BD10" i="1" s="1"/>
  <c r="AY311" i="1"/>
  <c r="AY295" i="1"/>
  <c r="AY247" i="1"/>
  <c r="AY215" i="1"/>
  <c r="AY175" i="1"/>
  <c r="BD175" i="1" s="1"/>
  <c r="AY143" i="1"/>
  <c r="BD143" i="1" s="1"/>
  <c r="AY111" i="1"/>
  <c r="BD111" i="1" s="1"/>
  <c r="AY87" i="1"/>
  <c r="BD87" i="1" s="1"/>
  <c r="AY55" i="1"/>
  <c r="BD55" i="1" s="1"/>
  <c r="AY39" i="1"/>
  <c r="BD39" i="1" s="1"/>
  <c r="AY361" i="1"/>
  <c r="AY353" i="1"/>
  <c r="AY345" i="1"/>
  <c r="AY337" i="1"/>
  <c r="AY329" i="1"/>
  <c r="AY321" i="1"/>
  <c r="AY313" i="1"/>
  <c r="AY305" i="1"/>
  <c r="AY297" i="1"/>
  <c r="AY289" i="1"/>
  <c r="AY281" i="1"/>
  <c r="AY273" i="1"/>
  <c r="AY265" i="1"/>
  <c r="AY257" i="1"/>
  <c r="AY249" i="1"/>
  <c r="AY241" i="1"/>
  <c r="AY233" i="1"/>
  <c r="AY225" i="1"/>
  <c r="AY217" i="1"/>
  <c r="AY209" i="1"/>
  <c r="AY201" i="1"/>
  <c r="AY193" i="1"/>
  <c r="AY185" i="1"/>
  <c r="AY177" i="1"/>
  <c r="BD177" i="1" s="1"/>
  <c r="AY169" i="1"/>
  <c r="BD169" i="1" s="1"/>
  <c r="AY161" i="1"/>
  <c r="BD161" i="1" s="1"/>
  <c r="AY153" i="1"/>
  <c r="BD153" i="1" s="1"/>
  <c r="AY145" i="1"/>
  <c r="BD145" i="1" s="1"/>
  <c r="AY137" i="1"/>
  <c r="BD137" i="1" s="1"/>
  <c r="AY129" i="1"/>
  <c r="BD129" i="1" s="1"/>
  <c r="AY121" i="1"/>
  <c r="BD121" i="1" s="1"/>
  <c r="AY113" i="1"/>
  <c r="BD113" i="1" s="1"/>
  <c r="AY105" i="1"/>
  <c r="BD105" i="1" s="1"/>
  <c r="AY97" i="1"/>
  <c r="BD97" i="1" s="1"/>
  <c r="AY89" i="1"/>
  <c r="BD89" i="1" s="1"/>
  <c r="AY81" i="1"/>
  <c r="BD81" i="1" s="1"/>
  <c r="AY73" i="1"/>
  <c r="BD73" i="1" s="1"/>
  <c r="AY65" i="1"/>
  <c r="BD65" i="1" s="1"/>
  <c r="AY57" i="1"/>
  <c r="BD57" i="1" s="1"/>
  <c r="AY49" i="1"/>
  <c r="BD49" i="1" s="1"/>
  <c r="AY41" i="1"/>
  <c r="BD41" i="1" s="1"/>
  <c r="AY33" i="1"/>
  <c r="BD33" i="1" s="1"/>
  <c r="AY25" i="1"/>
  <c r="BD25" i="1" s="1"/>
  <c r="AY17" i="1"/>
  <c r="BD17" i="1" s="1"/>
  <c r="AY9" i="1"/>
  <c r="BD9" i="1" s="1"/>
  <c r="AY8" i="1"/>
  <c r="BD8" i="1" s="1"/>
  <c r="AY7" i="1"/>
  <c r="BD7" i="1" s="1"/>
  <c r="AY327" i="1"/>
  <c r="AY271" i="1"/>
  <c r="AY231" i="1"/>
  <c r="AY183" i="1"/>
  <c r="AY127" i="1"/>
  <c r="BD127" i="1" s="1"/>
  <c r="AY71" i="1"/>
  <c r="BD71" i="1" s="1"/>
  <c r="AY23" i="1"/>
  <c r="BD23" i="1" s="1"/>
  <c r="AY358" i="1"/>
  <c r="AY350" i="1"/>
  <c r="AY342" i="1"/>
  <c r="AY334" i="1"/>
  <c r="AY326" i="1"/>
  <c r="AY318" i="1"/>
  <c r="AY310" i="1"/>
  <c r="AY302" i="1"/>
  <c r="AY294" i="1"/>
  <c r="AY286" i="1"/>
  <c r="AY278" i="1"/>
  <c r="AY270" i="1"/>
  <c r="AY262" i="1"/>
  <c r="AY254" i="1"/>
  <c r="AY246" i="1"/>
  <c r="AY238" i="1"/>
  <c r="AY230" i="1"/>
  <c r="AY222" i="1"/>
  <c r="AY214" i="1"/>
  <c r="AY206" i="1"/>
  <c r="AY198" i="1"/>
  <c r="AY190" i="1"/>
  <c r="AY182" i="1"/>
  <c r="BD182" i="1" s="1"/>
  <c r="AY174" i="1"/>
  <c r="BD174" i="1" s="1"/>
  <c r="AY166" i="1"/>
  <c r="BD166" i="1" s="1"/>
  <c r="AY158" i="1"/>
  <c r="BD158" i="1" s="1"/>
  <c r="AY150" i="1"/>
  <c r="BD150" i="1" s="1"/>
  <c r="AY142" i="1"/>
  <c r="BD142" i="1" s="1"/>
  <c r="AY134" i="1"/>
  <c r="BD134" i="1" s="1"/>
  <c r="AY126" i="1"/>
  <c r="BD126" i="1" s="1"/>
  <c r="AY118" i="1"/>
  <c r="BD118" i="1" s="1"/>
  <c r="AY110" i="1"/>
  <c r="BD110" i="1" s="1"/>
  <c r="AY102" i="1"/>
  <c r="BD102" i="1" s="1"/>
  <c r="AY94" i="1"/>
  <c r="BD94" i="1" s="1"/>
  <c r="AY86" i="1"/>
  <c r="BD86" i="1" s="1"/>
  <c r="AY78" i="1"/>
  <c r="BD78" i="1" s="1"/>
  <c r="AY70" i="1"/>
  <c r="BD70" i="1" s="1"/>
  <c r="AY62" i="1"/>
  <c r="BD62" i="1" s="1"/>
  <c r="AY54" i="1"/>
  <c r="BD54" i="1" s="1"/>
  <c r="AY46" i="1"/>
  <c r="BD46" i="1" s="1"/>
  <c r="AY38" i="1"/>
  <c r="BD38" i="1" s="1"/>
  <c r="AY30" i="1"/>
  <c r="BD30" i="1" s="1"/>
  <c r="AY22" i="1"/>
  <c r="BD22" i="1" s="1"/>
  <c r="AY14" i="1"/>
  <c r="BD14" i="1" s="1"/>
  <c r="AY6" i="1"/>
  <c r="BD6" i="1" s="1"/>
  <c r="AY343" i="1"/>
  <c r="AY303" i="1"/>
  <c r="AY279" i="1"/>
  <c r="AY255" i="1"/>
  <c r="AY199" i="1"/>
  <c r="AY135" i="1"/>
  <c r="BD135" i="1" s="1"/>
  <c r="AY79" i="1"/>
  <c r="BD79" i="1" s="1"/>
  <c r="AY31" i="1"/>
  <c r="BD31" i="1" s="1"/>
  <c r="AY357" i="1"/>
  <c r="AY349" i="1"/>
  <c r="AY341" i="1"/>
  <c r="AY333" i="1"/>
  <c r="AY325" i="1"/>
  <c r="AY317" i="1"/>
  <c r="AY309" i="1"/>
  <c r="AY301" i="1"/>
  <c r="AY293" i="1"/>
  <c r="AY285" i="1"/>
  <c r="AY277" i="1"/>
  <c r="AY269" i="1"/>
  <c r="AY261" i="1"/>
  <c r="AY253" i="1"/>
  <c r="AY245" i="1"/>
  <c r="AY237" i="1"/>
  <c r="AY229" i="1"/>
  <c r="AY221" i="1"/>
  <c r="AY213" i="1"/>
  <c r="AY205" i="1"/>
  <c r="AY197" i="1"/>
  <c r="AY189" i="1"/>
  <c r="AY181" i="1"/>
  <c r="BD181" i="1" s="1"/>
  <c r="AY173" i="1"/>
  <c r="BD173" i="1" s="1"/>
  <c r="AY165" i="1"/>
  <c r="BD165" i="1" s="1"/>
  <c r="AY157" i="1"/>
  <c r="BD157" i="1" s="1"/>
  <c r="AY149" i="1"/>
  <c r="BD149" i="1" s="1"/>
  <c r="AY141" i="1"/>
  <c r="BD141" i="1" s="1"/>
  <c r="AY133" i="1"/>
  <c r="BD133" i="1" s="1"/>
  <c r="AY125" i="1"/>
  <c r="BD125" i="1" s="1"/>
  <c r="AY117" i="1"/>
  <c r="BD117" i="1" s="1"/>
  <c r="AY109" i="1"/>
  <c r="BD109" i="1" s="1"/>
  <c r="AY101" i="1"/>
  <c r="BD101" i="1" s="1"/>
  <c r="AY93" i="1"/>
  <c r="BD93" i="1" s="1"/>
  <c r="AY85" i="1"/>
  <c r="BD85" i="1" s="1"/>
  <c r="AY77" i="1"/>
  <c r="BD77" i="1" s="1"/>
  <c r="AY69" i="1"/>
  <c r="BD69" i="1" s="1"/>
  <c r="AY61" i="1"/>
  <c r="BD61" i="1" s="1"/>
  <c r="AY53" i="1"/>
  <c r="BD53" i="1" s="1"/>
  <c r="AY45" i="1"/>
  <c r="BD45" i="1" s="1"/>
  <c r="AY37" i="1"/>
  <c r="BD37" i="1" s="1"/>
  <c r="AY29" i="1"/>
  <c r="BD29" i="1" s="1"/>
  <c r="AY21" i="1"/>
  <c r="BD21" i="1" s="1"/>
  <c r="AY13" i="1"/>
  <c r="BD13" i="1" s="1"/>
  <c r="AY5" i="1"/>
  <c r="BD5" i="1" s="1"/>
  <c r="AY319" i="1"/>
  <c r="AY263" i="1"/>
  <c r="AY223" i="1"/>
  <c r="AY191" i="1"/>
  <c r="AY159" i="1"/>
  <c r="BD159" i="1" s="1"/>
  <c r="AY103" i="1"/>
  <c r="BD103" i="1" s="1"/>
  <c r="AY15" i="1"/>
  <c r="BD15" i="1" s="1"/>
  <c r="AY356" i="1"/>
  <c r="AY348" i="1"/>
  <c r="AY340" i="1"/>
  <c r="AY332" i="1"/>
  <c r="AY324" i="1"/>
  <c r="AY316" i="1"/>
  <c r="AY308" i="1"/>
  <c r="AY300" i="1"/>
  <c r="AY292" i="1"/>
  <c r="AY284" i="1"/>
  <c r="AY276" i="1"/>
  <c r="AY268" i="1"/>
  <c r="AY260" i="1"/>
  <c r="AY252" i="1"/>
  <c r="AY244" i="1"/>
  <c r="AY236" i="1"/>
  <c r="AY228" i="1"/>
  <c r="AY220" i="1"/>
  <c r="AY212" i="1"/>
  <c r="AY204" i="1"/>
  <c r="AY196" i="1"/>
  <c r="AY188" i="1"/>
  <c r="AY180" i="1"/>
  <c r="BD180" i="1" s="1"/>
  <c r="AY172" i="1"/>
  <c r="BD172" i="1" s="1"/>
  <c r="AY164" i="1"/>
  <c r="BD164" i="1" s="1"/>
  <c r="AY156" i="1"/>
  <c r="BD156" i="1" s="1"/>
  <c r="AY148" i="1"/>
  <c r="BD148" i="1" s="1"/>
  <c r="AY140" i="1"/>
  <c r="BD140" i="1" s="1"/>
  <c r="AY132" i="1"/>
  <c r="BD132" i="1" s="1"/>
  <c r="AY124" i="1"/>
  <c r="BD124" i="1" s="1"/>
  <c r="AY116" i="1"/>
  <c r="BD116" i="1" s="1"/>
  <c r="AY108" i="1"/>
  <c r="BD108" i="1" s="1"/>
  <c r="AY100" i="1"/>
  <c r="BD100" i="1" s="1"/>
  <c r="AY92" i="1"/>
  <c r="BD92" i="1" s="1"/>
  <c r="AY84" i="1"/>
  <c r="BD84" i="1" s="1"/>
  <c r="AY76" i="1"/>
  <c r="BD76" i="1" s="1"/>
  <c r="AY68" i="1"/>
  <c r="BD68" i="1" s="1"/>
  <c r="AY60" i="1"/>
  <c r="BD60" i="1" s="1"/>
  <c r="AY52" i="1"/>
  <c r="BD52" i="1" s="1"/>
  <c r="AY44" i="1"/>
  <c r="BD44" i="1" s="1"/>
  <c r="AY36" i="1"/>
  <c r="BD36" i="1" s="1"/>
  <c r="AY28" i="1"/>
  <c r="BD28" i="1" s="1"/>
  <c r="AY20" i="1"/>
  <c r="BD20" i="1" s="1"/>
  <c r="AY12" i="1"/>
  <c r="BD12" i="1" s="1"/>
  <c r="AY4" i="1"/>
  <c r="BD4" i="1" s="1"/>
  <c r="AY2" i="1"/>
  <c r="AY355" i="1"/>
  <c r="AY347" i="1"/>
  <c r="AY339" i="1"/>
  <c r="AY331" i="1"/>
  <c r="AY323" i="1"/>
  <c r="AY315" i="1"/>
  <c r="AY307" i="1"/>
  <c r="AY299" i="1"/>
  <c r="AY291" i="1"/>
  <c r="AY283" i="1"/>
  <c r="AY275" i="1"/>
  <c r="AY267" i="1"/>
  <c r="AY259" i="1"/>
  <c r="AY251" i="1"/>
  <c r="AY243" i="1"/>
  <c r="AY235" i="1"/>
  <c r="AY227" i="1"/>
  <c r="AY219" i="1"/>
  <c r="AY211" i="1"/>
  <c r="AY203" i="1"/>
  <c r="AY195" i="1"/>
  <c r="AY187" i="1"/>
  <c r="AY179" i="1"/>
  <c r="BD179" i="1" s="1"/>
  <c r="AY171" i="1"/>
  <c r="BD171" i="1" s="1"/>
  <c r="AY163" i="1"/>
  <c r="BD163" i="1" s="1"/>
  <c r="AY155" i="1"/>
  <c r="BD155" i="1" s="1"/>
  <c r="AY147" i="1"/>
  <c r="BD147" i="1" s="1"/>
  <c r="AY139" i="1"/>
  <c r="BD139" i="1" s="1"/>
  <c r="AY131" i="1"/>
  <c r="BD131" i="1" s="1"/>
  <c r="AY123" i="1"/>
  <c r="BD123" i="1" s="1"/>
  <c r="AY115" i="1"/>
  <c r="BD115" i="1" s="1"/>
  <c r="AY107" i="1"/>
  <c r="BD107" i="1" s="1"/>
  <c r="AY99" i="1"/>
  <c r="BD99" i="1" s="1"/>
  <c r="AY91" i="1"/>
  <c r="BD91" i="1" s="1"/>
  <c r="AY83" i="1"/>
  <c r="BD83" i="1" s="1"/>
  <c r="AY75" i="1"/>
  <c r="BD75" i="1" s="1"/>
  <c r="AY67" i="1"/>
  <c r="BD67" i="1" s="1"/>
  <c r="AY59" i="1"/>
  <c r="BD59" i="1" s="1"/>
  <c r="AY51" i="1"/>
  <c r="BD51" i="1" s="1"/>
  <c r="AY43" i="1"/>
  <c r="BD43" i="1" s="1"/>
  <c r="AY35" i="1"/>
  <c r="BD35" i="1" s="1"/>
  <c r="AY27" i="1"/>
  <c r="BD27" i="1" s="1"/>
  <c r="AY19" i="1"/>
  <c r="BD19" i="1" s="1"/>
  <c r="AY11" i="1"/>
  <c r="BD11" i="1" s="1"/>
  <c r="AB6" i="1"/>
  <c r="U14" i="1"/>
  <c r="AA6" i="1" s="1"/>
  <c r="BE3" i="1" l="1"/>
  <c r="BE11" i="1"/>
  <c r="BE19" i="1"/>
  <c r="BE27" i="1"/>
  <c r="BE35" i="1"/>
  <c r="BE43" i="1"/>
  <c r="BE51" i="1"/>
  <c r="BE59" i="1"/>
  <c r="BE67" i="1"/>
  <c r="BE75" i="1"/>
  <c r="BE83" i="1"/>
  <c r="BE91" i="1"/>
  <c r="BE99" i="1"/>
  <c r="BE107" i="1"/>
  <c r="BE115" i="1"/>
  <c r="BE123" i="1"/>
  <c r="BE131" i="1"/>
  <c r="BE139" i="1"/>
  <c r="BE147" i="1"/>
  <c r="BE155" i="1"/>
  <c r="BE163" i="1"/>
  <c r="BE171" i="1"/>
  <c r="BE179" i="1"/>
  <c r="BE12" i="1"/>
  <c r="BE20" i="1"/>
  <c r="BE28" i="1"/>
  <c r="BE36" i="1"/>
  <c r="BE44" i="1"/>
  <c r="BE52" i="1"/>
  <c r="BE60" i="1"/>
  <c r="BE68" i="1"/>
  <c r="BE76" i="1"/>
  <c r="BE84" i="1"/>
  <c r="BE100" i="1"/>
  <c r="BE116" i="1"/>
  <c r="BE132" i="1"/>
  <c r="BE148" i="1"/>
  <c r="BE164" i="1"/>
  <c r="BE180" i="1"/>
  <c r="BE176" i="1"/>
  <c r="BE25" i="1"/>
  <c r="BE57" i="1"/>
  <c r="BE97" i="1"/>
  <c r="BE145" i="1"/>
  <c r="BE4" i="1"/>
  <c r="BE5" i="1"/>
  <c r="BE13" i="1"/>
  <c r="BE21" i="1"/>
  <c r="BE29" i="1"/>
  <c r="BE37" i="1"/>
  <c r="BE45" i="1"/>
  <c r="BE53" i="1"/>
  <c r="BE61" i="1"/>
  <c r="BE69" i="1"/>
  <c r="BE77" i="1"/>
  <c r="BE85" i="1"/>
  <c r="BE93" i="1"/>
  <c r="BE101" i="1"/>
  <c r="BE109" i="1"/>
  <c r="BE117" i="1"/>
  <c r="BE125" i="1"/>
  <c r="BE133" i="1"/>
  <c r="BE141" i="1"/>
  <c r="BE149" i="1"/>
  <c r="BE157" i="1"/>
  <c r="BE165" i="1"/>
  <c r="BE173" i="1"/>
  <c r="BE181" i="1"/>
  <c r="BE110" i="1"/>
  <c r="BE126" i="1"/>
  <c r="BE134" i="1"/>
  <c r="BE150" i="1"/>
  <c r="BE158" i="1"/>
  <c r="BE174" i="1"/>
  <c r="BE143" i="1"/>
  <c r="BE167" i="1"/>
  <c r="BE24" i="1"/>
  <c r="BE40" i="1"/>
  <c r="BE48" i="1"/>
  <c r="BE56" i="1"/>
  <c r="BE80" i="1"/>
  <c r="BE104" i="1"/>
  <c r="BE128" i="1"/>
  <c r="BE152" i="1"/>
  <c r="BE17" i="1"/>
  <c r="BE65" i="1"/>
  <c r="BE105" i="1"/>
  <c r="BE137" i="1"/>
  <c r="BE6" i="1"/>
  <c r="BE14" i="1"/>
  <c r="BE22" i="1"/>
  <c r="BE30" i="1"/>
  <c r="BE38" i="1"/>
  <c r="BE46" i="1"/>
  <c r="BE54" i="1"/>
  <c r="BE62" i="1"/>
  <c r="BE70" i="1"/>
  <c r="BE78" i="1"/>
  <c r="BE86" i="1"/>
  <c r="BE94" i="1"/>
  <c r="BE102" i="1"/>
  <c r="BE118" i="1"/>
  <c r="BE142" i="1"/>
  <c r="BE166" i="1"/>
  <c r="BE182" i="1"/>
  <c r="BE151" i="1"/>
  <c r="BE32" i="1"/>
  <c r="BE72" i="1"/>
  <c r="BE96" i="1"/>
  <c r="BE120" i="1"/>
  <c r="BE144" i="1"/>
  <c r="BE49" i="1"/>
  <c r="BE89" i="1"/>
  <c r="BE121" i="1"/>
  <c r="BE153" i="1"/>
  <c r="BE177" i="1"/>
  <c r="BE7" i="1"/>
  <c r="BE15" i="1"/>
  <c r="BE23" i="1"/>
  <c r="BE31" i="1"/>
  <c r="BE39" i="1"/>
  <c r="BE47" i="1"/>
  <c r="BE55" i="1"/>
  <c r="BE63" i="1"/>
  <c r="BE71" i="1"/>
  <c r="BE79" i="1"/>
  <c r="BE87" i="1"/>
  <c r="BE95" i="1"/>
  <c r="BE103" i="1"/>
  <c r="BE111" i="1"/>
  <c r="BE119" i="1"/>
  <c r="BE127" i="1"/>
  <c r="BE135" i="1"/>
  <c r="BE159" i="1"/>
  <c r="BE175" i="1"/>
  <c r="BE16" i="1"/>
  <c r="BE64" i="1"/>
  <c r="BE88" i="1"/>
  <c r="BE112" i="1"/>
  <c r="BE136" i="1"/>
  <c r="BE168" i="1"/>
  <c r="BE33" i="1"/>
  <c r="BE81" i="1"/>
  <c r="BE113" i="1"/>
  <c r="BE161" i="1"/>
  <c r="BE8" i="1"/>
  <c r="BE9" i="1"/>
  <c r="BE10" i="1"/>
  <c r="BE18" i="1"/>
  <c r="BE26" i="1"/>
  <c r="BE34" i="1"/>
  <c r="BE42" i="1"/>
  <c r="BE50" i="1"/>
  <c r="BE58" i="1"/>
  <c r="BE66" i="1"/>
  <c r="BE74" i="1"/>
  <c r="BE82" i="1"/>
  <c r="BE90" i="1"/>
  <c r="BE98" i="1"/>
  <c r="BE106" i="1"/>
  <c r="BE114" i="1"/>
  <c r="BE122" i="1"/>
  <c r="BE130" i="1"/>
  <c r="BE138" i="1"/>
  <c r="BE146" i="1"/>
  <c r="BE154" i="1"/>
  <c r="BE162" i="1"/>
  <c r="BE170" i="1"/>
  <c r="BE178" i="1"/>
  <c r="BE92" i="1"/>
  <c r="BE108" i="1"/>
  <c r="BE124" i="1"/>
  <c r="BE140" i="1"/>
  <c r="BE156" i="1"/>
  <c r="BE172" i="1"/>
  <c r="BE160" i="1"/>
  <c r="BE41" i="1"/>
  <c r="BE73" i="1"/>
  <c r="BE129" i="1"/>
  <c r="BE169" i="1"/>
  <c r="BE2" i="1"/>
  <c r="BD2" i="1"/>
  <c r="U15" i="1"/>
  <c r="W16" i="1" l="1"/>
  <c r="U16" i="1"/>
  <c r="V16" i="1"/>
  <c r="W12" i="1"/>
  <c r="W11" i="1"/>
  <c r="W10" i="1"/>
  <c r="E6" i="1" l="1"/>
  <c r="A93" i="1" s="1"/>
  <c r="F27" i="1" l="1" a="1"/>
  <c r="F27" i="1" s="1"/>
  <c r="I26" i="1" l="1"/>
  <c r="C16" i="1" s="1"/>
  <c r="C105" i="1" s="1"/>
  <c r="J105" i="1" s="1"/>
  <c r="F28" i="1"/>
  <c r="H27" i="1" s="1"/>
  <c r="I27" i="1" s="1"/>
  <c r="C17" i="1"/>
  <c r="C106" i="1" s="1"/>
  <c r="J106" i="1" s="1"/>
  <c r="C18" i="1"/>
  <c r="C107" i="1" s="1"/>
  <c r="J107" i="1" s="1"/>
  <c r="C19" i="1"/>
  <c r="C108" i="1" s="1"/>
  <c r="J108" i="1" s="1"/>
  <c r="C20" i="1"/>
  <c r="C109" i="1" s="1"/>
  <c r="J109" i="1" s="1"/>
  <c r="C21" i="1"/>
  <c r="C110" i="1" s="1"/>
  <c r="J110" i="1" s="1"/>
  <c r="C22" i="1"/>
  <c r="C111" i="1" s="1"/>
  <c r="J111" i="1" s="1"/>
  <c r="C23" i="1"/>
  <c r="C112" i="1" s="1"/>
  <c r="J112" i="1" s="1"/>
  <c r="C24" i="1"/>
  <c r="C113" i="1" s="1"/>
  <c r="J113" i="1" s="1"/>
  <c r="K110" i="1" l="1"/>
  <c r="L110" i="1"/>
  <c r="K113" i="1"/>
  <c r="L113" i="1"/>
  <c r="L106" i="1"/>
  <c r="K106" i="1"/>
  <c r="K109" i="1"/>
  <c r="L109" i="1"/>
  <c r="L111" i="1"/>
  <c r="K111" i="1"/>
  <c r="L107" i="1"/>
  <c r="K107" i="1"/>
  <c r="K105" i="1"/>
  <c r="L105" i="1"/>
  <c r="K112" i="1"/>
  <c r="L112" i="1"/>
  <c r="K108" i="1"/>
  <c r="L108" i="1"/>
  <c r="B82" i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F105" i="1"/>
  <c r="F107" i="1"/>
  <c r="F106" i="1"/>
  <c r="F113" i="1"/>
  <c r="F112" i="1"/>
  <c r="F109" i="1"/>
  <c r="F111" i="1"/>
  <c r="F110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F5" i="1"/>
  <c r="B92" i="1" s="1"/>
  <c r="E4" i="1"/>
  <c r="A91" i="1" s="1"/>
  <c r="B4" i="1"/>
  <c r="B29" i="1" s="1"/>
  <c r="B3" i="1"/>
  <c r="G112" i="1" l="1"/>
  <c r="H112" i="1"/>
  <c r="G113" i="1"/>
  <c r="H113" i="1"/>
  <c r="G106" i="1"/>
  <c r="H106" i="1"/>
  <c r="F8" i="1"/>
  <c r="B95" i="1" s="1"/>
  <c r="B94" i="1"/>
  <c r="G107" i="1"/>
  <c r="H107" i="1"/>
  <c r="E92" i="1"/>
  <c r="H105" i="1"/>
  <c r="G105" i="1"/>
  <c r="H109" i="1"/>
  <c r="G109" i="1"/>
  <c r="D91" i="1"/>
  <c r="C91" i="1"/>
  <c r="E91" i="1"/>
  <c r="G110" i="1"/>
  <c r="H110" i="1"/>
  <c r="G108" i="1"/>
  <c r="H108" i="1"/>
  <c r="G111" i="1"/>
  <c r="H111" i="1"/>
  <c r="E5" i="1"/>
  <c r="A92" i="1" s="1"/>
  <c r="G4" i="1"/>
  <c r="F6" i="1"/>
  <c r="G5" i="1"/>
  <c r="E7" i="1"/>
  <c r="E8" i="1" l="1"/>
  <c r="A95" i="1" s="1"/>
  <c r="A94" i="1"/>
  <c r="F9" i="1"/>
  <c r="B93" i="1"/>
  <c r="E93" i="1" s="1"/>
  <c r="E95" i="1"/>
  <c r="C94" i="1"/>
  <c r="D92" i="1"/>
  <c r="C92" i="1"/>
  <c r="G7" i="1"/>
  <c r="G6" i="1"/>
  <c r="E94" i="1" l="1"/>
  <c r="G8" i="1"/>
  <c r="E9" i="1"/>
  <c r="A96" i="1" s="1"/>
  <c r="D93" i="1"/>
  <c r="C93" i="1"/>
  <c r="F10" i="1"/>
  <c r="B96" i="1"/>
  <c r="G9" i="1"/>
  <c r="D94" i="1"/>
  <c r="C95" i="1"/>
  <c r="D95" i="1"/>
  <c r="E96" i="1" l="1"/>
  <c r="D96" i="1"/>
  <c r="B97" i="1"/>
  <c r="D97" i="1" s="1"/>
  <c r="G11" i="1"/>
  <c r="X4" i="1" a="1"/>
  <c r="X4" i="1" s="1"/>
  <c r="C96" i="1"/>
  <c r="G10" i="1"/>
  <c r="G12" i="1" s="1"/>
  <c r="E97" i="1" l="1"/>
  <c r="E98" i="1"/>
  <c r="D98" i="1"/>
  <c r="C98" i="1"/>
  <c r="C97" i="1"/>
  <c r="Y4" i="1"/>
  <c r="X5" i="1"/>
  <c r="C15" i="1"/>
  <c r="C104" i="1" s="1"/>
  <c r="C99" i="1" l="1"/>
  <c r="B100" i="1" s="1"/>
  <c r="Y5" i="1"/>
  <c r="Y6" i="1" s="1"/>
  <c r="X6" i="1"/>
  <c r="D99" i="1"/>
  <c r="B102" i="1" s="1"/>
  <c r="E99" i="1"/>
  <c r="B101" i="1" s="1"/>
  <c r="J104" i="1"/>
  <c r="J114" i="1" s="1"/>
  <c r="J115" i="1" s="1"/>
  <c r="D127" i="1" s="1"/>
  <c r="F104" i="1"/>
  <c r="F114" i="1" s="1"/>
  <c r="B115" i="1" s="1"/>
  <c r="C62" i="1"/>
  <c r="C25" i="1"/>
  <c r="D25" i="1" s="1"/>
  <c r="B127" i="1" l="1"/>
  <c r="F127" i="1"/>
  <c r="K104" i="1"/>
  <c r="K114" i="1" s="1"/>
  <c r="J116" i="1" s="1"/>
  <c r="L104" i="1"/>
  <c r="L114" i="1" s="1"/>
  <c r="J117" i="1" s="1"/>
  <c r="H104" i="1"/>
  <c r="H114" i="1" s="1"/>
  <c r="B117" i="1" s="1"/>
  <c r="G104" i="1"/>
  <c r="G114" i="1" s="1"/>
  <c r="B116" i="1" s="1"/>
  <c r="B131" i="1" l="1"/>
  <c r="J119" i="1"/>
  <c r="D125" i="1" s="1"/>
  <c r="B119" i="1"/>
  <c r="F125" i="1" s="1"/>
  <c r="J120" i="1"/>
  <c r="D126" i="1" s="1"/>
  <c r="B120" i="1"/>
  <c r="F126" i="1" s="1"/>
  <c r="B126" i="1" l="1"/>
  <c r="B133" i="1" s="1"/>
  <c r="B125" i="1"/>
  <c r="B132" i="1" s="1"/>
  <c r="G71" i="1" l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F65" i="1" l="1"/>
  <c r="A45" i="1"/>
  <c r="C45" i="1" s="1"/>
  <c r="D56" i="1" s="1"/>
  <c r="F62" i="1"/>
  <c r="H62" i="1" s="1"/>
  <c r="Q62" i="1" s="1"/>
  <c r="A44" i="1"/>
  <c r="D44" i="1" s="1"/>
  <c r="E55" i="1" s="1"/>
  <c r="C56" i="1" s="1"/>
  <c r="F68" i="1"/>
  <c r="H68" i="1" s="1"/>
  <c r="Q68" i="1" s="1"/>
  <c r="F70" i="1"/>
  <c r="H70" i="1" s="1"/>
  <c r="Q70" i="1" s="1"/>
  <c r="A37" i="1"/>
  <c r="C37" i="1" s="1"/>
  <c r="B49" i="1" s="1"/>
  <c r="F71" i="1"/>
  <c r="I71" i="1" s="1"/>
  <c r="R71" i="1" s="1"/>
  <c r="A38" i="1"/>
  <c r="D38" i="1" s="1"/>
  <c r="E49" i="1" s="1"/>
  <c r="C50" i="1" s="1"/>
  <c r="F63" i="1"/>
  <c r="I63" i="1" s="1"/>
  <c r="R63" i="1" s="1"/>
  <c r="F67" i="1"/>
  <c r="A41" i="1"/>
  <c r="C41" i="1" s="1"/>
  <c r="D52" i="1" s="1"/>
  <c r="B53" i="1" s="1"/>
  <c r="F64" i="1"/>
  <c r="I64" i="1" s="1"/>
  <c r="R64" i="1" s="1"/>
  <c r="G67" i="1"/>
  <c r="I66" i="1"/>
  <c r="R66" i="1" s="1"/>
  <c r="H69" i="1"/>
  <c r="Q69" i="1" s="1"/>
  <c r="H65" i="1"/>
  <c r="Q65" i="1" s="1"/>
  <c r="D39" i="1"/>
  <c r="E50" i="1" s="1"/>
  <c r="C51" i="1" s="1"/>
  <c r="C40" i="1"/>
  <c r="D51" i="1" s="1"/>
  <c r="B52" i="1" s="1"/>
  <c r="C43" i="1"/>
  <c r="D54" i="1" s="1"/>
  <c r="B55" i="1" s="1"/>
  <c r="D40" i="1"/>
  <c r="E51" i="1" s="1"/>
  <c r="C52" i="1" s="1"/>
  <c r="C42" i="1"/>
  <c r="D53" i="1" s="1"/>
  <c r="B54" i="1" s="1"/>
  <c r="C39" i="1"/>
  <c r="D50" i="1" s="1"/>
  <c r="B51" i="1" s="1"/>
  <c r="D42" i="1"/>
  <c r="E53" i="1" s="1"/>
  <c r="C54" i="1" s="1"/>
  <c r="H66" i="1"/>
  <c r="Q66" i="1" s="1"/>
  <c r="I69" i="1"/>
  <c r="R69" i="1" s="1"/>
  <c r="D43" i="1"/>
  <c r="E54" i="1" s="1"/>
  <c r="C55" i="1" s="1"/>
  <c r="I65" i="1"/>
  <c r="R65" i="1" s="1"/>
  <c r="D45" i="1" l="1"/>
  <c r="E56" i="1" s="1"/>
  <c r="C44" i="1"/>
  <c r="D55" i="1" s="1"/>
  <c r="B56" i="1" s="1"/>
  <c r="I62" i="1"/>
  <c r="R62" i="1" s="1"/>
  <c r="D37" i="1"/>
  <c r="C49" i="1" s="1"/>
  <c r="C38" i="1"/>
  <c r="D49" i="1" s="1"/>
  <c r="B50" i="1" s="1"/>
  <c r="F50" i="1" s="1"/>
  <c r="G50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C53" i="1" s="1"/>
  <c r="F53" i="1" s="1"/>
  <c r="G53" i="1" s="1"/>
  <c r="H67" i="1"/>
  <c r="Q67" i="1" s="1"/>
  <c r="F51" i="1"/>
  <c r="G51" i="1" s="1"/>
  <c r="F54" i="1"/>
  <c r="G54" i="1" s="1"/>
  <c r="F56" i="1" l="1"/>
  <c r="G56" i="1" s="1"/>
  <c r="F55" i="1"/>
  <c r="G55" i="1" s="1"/>
  <c r="J38" i="1"/>
  <c r="N38" i="1" s="1"/>
  <c r="F49" i="1"/>
  <c r="G49" i="1" s="1"/>
  <c r="J39" i="1"/>
  <c r="N39" i="1" s="1"/>
  <c r="F52" i="1"/>
  <c r="G52" i="1" s="1"/>
  <c r="G38" i="1"/>
  <c r="J64" i="1" s="1"/>
  <c r="K64" i="1" s="1"/>
  <c r="L64" i="1" s="1"/>
  <c r="M64" i="1" s="1"/>
  <c r="O64" i="1" s="1"/>
  <c r="G37" i="1"/>
  <c r="G41" i="1" l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N64" i="1"/>
  <c r="J69" i="1"/>
  <c r="J62" i="1"/>
  <c r="K62" i="1" s="1"/>
  <c r="L62" i="1" s="1"/>
  <c r="M62" i="1" s="1"/>
  <c r="N62" i="1" s="1"/>
  <c r="K71" i="1" l="1"/>
  <c r="L71" i="1" s="1"/>
  <c r="M71" i="1" s="1"/>
  <c r="K70" i="1"/>
  <c r="L70" i="1" s="1"/>
  <c r="M70" i="1" s="1"/>
  <c r="K69" i="1"/>
  <c r="L69" i="1" s="1"/>
  <c r="M69" i="1" s="1"/>
  <c r="H54" i="1"/>
  <c r="J52" i="1"/>
  <c r="N33" i="1"/>
  <c r="K50" i="1"/>
  <c r="J55" i="1"/>
  <c r="O39" i="1"/>
  <c r="O34" i="1" s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K72" i="1" l="1"/>
  <c r="U3" i="1" s="1"/>
  <c r="N71" i="1"/>
  <c r="O71" i="1"/>
  <c r="N70" i="1"/>
  <c r="O70" i="1"/>
  <c r="N69" i="1"/>
  <c r="O69" i="1"/>
  <c r="M72" i="1"/>
  <c r="N34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O72" i="1" l="1"/>
  <c r="N72" i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P57" i="1" l="1"/>
  <c r="B77" i="1" s="1"/>
  <c r="N57" i="1"/>
  <c r="B75" i="1" s="1"/>
  <c r="U4" i="1" s="1"/>
  <c r="W4" i="1" s="1"/>
  <c r="O57" i="1"/>
  <c r="B76" i="1" s="1"/>
  <c r="B80" i="1" l="1"/>
  <c r="U6" i="1" s="1"/>
  <c r="W6" i="1" s="1"/>
  <c r="AB7" i="1"/>
  <c r="O58" i="1"/>
  <c r="B79" i="1"/>
  <c r="U5" i="1" s="1"/>
  <c r="P58" i="1"/>
  <c r="AB9" i="1" l="1"/>
  <c r="S58" i="1"/>
  <c r="T58" i="1"/>
  <c r="B83" i="1"/>
  <c r="U8" i="1"/>
  <c r="AA7" i="1" s="1"/>
  <c r="AA9" i="1"/>
  <c r="U7" i="1"/>
  <c r="W7" i="1" s="1"/>
  <c r="U18" i="1"/>
  <c r="AC9" i="1" l="1"/>
  <c r="V19" i="1"/>
  <c r="V21" i="1" s="1"/>
  <c r="U19" i="1"/>
  <c r="U21" i="1" s="1"/>
  <c r="W19" i="1"/>
  <c r="W21" i="1" s="1"/>
  <c r="U23" i="1" l="1"/>
  <c r="V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<sst xmlns="http://schemas.openxmlformats.org/spreadsheetml/2006/main" count="206" uniqueCount="140">
  <si>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</si>
  <si>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</si>
  <si>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</si>
  <si>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</si>
  <si>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</si>
  <si>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</si>
  <si>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</si>
  <si>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</si>
  <si>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</si>
  <si>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</si>
  <si>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</si>
  <si>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</si>
  <si>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</si>
  <si>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</si>
  <si>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</si>
  <si>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</si>
  <si>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</si>
  <si>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</si>
  <si>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</si>
  <si>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</si>
  <si>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</si>
  <si>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</si>
  <si>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</si>
  <si>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</si>
  <si>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</si>
  <si>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</si>
  <si>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</si>
  <si>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</si>
  <si>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</si>
  <si>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</si>
  <si>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</si>
  <si>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</si>
  <si>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</si>
  <si>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</si>
  <si>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</si>
  <si>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</si>
  <si>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</si>
  <si>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</si>
  <si>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</si>
  <si>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</si>
  <si>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</si>
  <si>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</si>
  <si>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</si>
  <si>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</si>
  <si>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</si>
  <si>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</si>
  <si>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</si>
  <si>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</si>
  <si>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</si>
  <si>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</si>
  <si>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</si>
  <si>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</si>
  <si>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</si>
  <si>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</si>
  <si>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</si>
  <si>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</si>
  <si>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</si>
  <si>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</si>
  <si>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</si>
  <si>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</si>
  <si>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</si>
  <si>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</si>
  <si>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</si>
  <si>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</si>
  <si>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</si>
  <si>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</si>
  <si>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</si>
  <si>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</si>
  <si>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</si>
  <si>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</si>
  <si>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</si>
  <si>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</si>
  <si>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</si>
  <si>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</si>
  <si>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</si>
  <si>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</si>
  <si>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</si>
  <si>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</si>
  <si>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</si>
  <si>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</si>
  <si>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</si>
  <si>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</si>
  <si>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</si>
  <si>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</si>
  <si>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</si>
  <si>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</si>
  <si>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</si>
  <si>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</si>
  <si>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</si>
  <si>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</si>
  <si>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</si>
  <si>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</si>
  <si>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</si>
  <si>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</si>
  <si>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</si>
  <si>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</si>
  <si>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</si>
  <si>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</si>
  <si>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</si>
  <si>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</si>
  <si>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</si>
  <si>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</si>
  <si>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</si>
  <si>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</si>
  <si>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</si>
  <si>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</si>
  <si>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</si>
  <si>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</si>
  <si>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</si>
  <si>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</si>
  <si>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</si>
  <si>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</si>
  <si>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</si>
  <si>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</si>
  <si>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</si>
  <si>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</si>
  <si>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</si>
  <si>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</si>
  <si>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</si>
  <si>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</si>
  <si>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</si>
  <si>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</si>
  <si>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</si>
  <si>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</si>
  <si>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</si>
  <si>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</si>
  <si>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</si>
  <si>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</si>
  <si>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</si>
  <si>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</si>
  <si>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</si>
  <si>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</si>
  <si>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</si>
  <si>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</si>
  <si>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x=</t>
  </si>
  <si>
    <t>y=</t>
  </si>
  <si>
    <t xml:space="preserve">x = </t>
  </si>
  <si>
    <t xml:space="preserve">y = </t>
  </si>
  <si>
    <t>Alpha Search Window</t>
  </si>
  <si>
    <t>Pi bounds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</si>
</sst>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-24</c:v>
                </c:pt>
                <c:pt idx="6">
                  <c:v>-24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12</c:v>
                </c:pt>
                <c:pt idx="3">
                  <c:v>12</c:v>
                </c:pt>
                <c:pt idx="4">
                  <c:v>24</c:v>
                </c:pt>
                <c:pt idx="5">
                  <c:v>24</c:v>
                </c:pt>
                <c:pt idx="6">
                  <c:v>12</c:v>
                </c:pt>
                <c:pt idx="7">
                  <c:v>12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9</c:v>
                </c:pt>
                <c:pt idx="1">
                  <c:v>-1</c:v>
                </c:pt>
                <c:pt idx="2">
                  <c:v>-11</c:v>
                </c:pt>
                <c:pt idx="3">
                  <c:v>-21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-34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30.962677335447385</c:v>
                </c:pt>
                <c:pt idx="1">
                  <c:v>-27.469128785519473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-7.9411177442753456</c:v>
                </c:pt>
                <c:pt idx="1">
                  <c:v>18.828670204920108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30.489803377175701</c:v>
                </c:pt>
                <c:pt idx="1">
                  <c:v>-27.94200274379115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-8.9732842859686883</c:v>
                </c:pt>
                <c:pt idx="1">
                  <c:v>17.796503663226765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-6.0000001275861727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6.2094451945644913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0.4567051684120873</c:v>
                </c:pt>
                <c:pt idx="1">
                  <c:v>-10.452882745889843</c:v>
                </c:pt>
                <c:pt idx="2">
                  <c:v>-5.4547939571509652</c:v>
                </c:pt>
                <c:pt idx="3">
                  <c:v>-5.4547939571509652</c:v>
                </c:pt>
                <c:pt idx="4">
                  <c:v>-0.4567051684120873</c:v>
                </c:pt>
                <c:pt idx="5">
                  <c:v>32.272058574493705</c:v>
                </c:pt>
                <c:pt idx="6">
                  <c:v>27.273969785754826</c:v>
                </c:pt>
                <c:pt idx="7">
                  <c:v>5.4547939571509652</c:v>
                </c:pt>
                <c:pt idx="8">
                  <c:v>0.4567051684120873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13.408632308671368</c:v>
                </c:pt>
                <c:pt idx="1">
                  <c:v>8.4105435199324923</c:v>
                </c:pt>
                <c:pt idx="2">
                  <c:v>-2.4990443943694389</c:v>
                </c:pt>
                <c:pt idx="3">
                  <c:v>-2.4990443943694389</c:v>
                </c:pt>
                <c:pt idx="4">
                  <c:v>-13.408632308671368</c:v>
                </c:pt>
                <c:pt idx="5">
                  <c:v>1.5856340575452634</c:v>
                </c:pt>
                <c:pt idx="6">
                  <c:v>12.495221971847194</c:v>
                </c:pt>
                <c:pt idx="7">
                  <c:v>2.4990443943694389</c:v>
                </c:pt>
                <c:pt idx="8">
                  <c:v>13.408632308671368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1.4376770120402487</c:v>
                </c:pt>
                <c:pt idx="1">
                  <c:v>10.529000273958523</c:v>
                </c:pt>
                <c:pt idx="2">
                  <c:v>19.6203235358768</c:v>
                </c:pt>
                <c:pt idx="3">
                  <c:v>28.711646797795073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-10.340845459102994</c:v>
                </c:pt>
                <c:pt idx="1">
                  <c:v>-6.1757714684872624</c:v>
                </c:pt>
                <c:pt idx="2">
                  <c:v>-2.0106974778715312</c:v>
                </c:pt>
                <c:pt idx="3">
                  <c:v>2.1543765127442001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-31</c:v>
                </c:pt>
                <c:pt idx="1">
                  <c:v>33.272058574493705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7.7319749511177021</c:v>
                </c:pt>
                <c:pt idx="1">
                  <c:v>7.7319749511177021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-31</c:v>
                </c:pt>
                <c:pt idx="1">
                  <c:v>33.272058574493705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8.8673064226284346</c:v>
                </c:pt>
                <c:pt idx="1">
                  <c:v>8.8673064226284346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0.4567051684120873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28.936053099577411</c:v>
                </c:pt>
                <c:pt idx="6">
                  <c:v>27.273969785754826</c:v>
                </c:pt>
                <c:pt idx="7">
                  <c:v>2.5372557973945948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13.408632308671368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8.8673064226284346</c:v>
                </c:pt>
                <c:pt idx="6">
                  <c:v>12.495221971847194</c:v>
                </c:pt>
                <c:pt idx="7">
                  <c:v>8.8673064226284346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-9.4558826417339379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27.273969785754826</c:v>
                </c:pt>
                <c:pt idx="6">
                  <c:v>19.355130144682413</c:v>
                </c:pt>
                <c:pt idx="7">
                  <c:v>0.4567051684120873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8.8673064226284346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12.495221971847194</c:v>
                </c:pt>
                <c:pt idx="6">
                  <c:v>8.8673064226284346</c:v>
                </c:pt>
                <c:pt idx="7">
                  <c:v>13.408632308671368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224.54168933391747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1.2942223293066491E-9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100</c:v>
                </c:pt>
                <c:pt idx="1">
                  <c:v>224.54168933391747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1.2942223293066491E-9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L_Section_Capacity!$AT$2:$AT$362</c:f>
              <c:numCache>
                <c:formatCode>General</c:formatCode>
                <c:ptCount val="361"/>
                <c:pt idx="0">
                  <c:v>-286.40752941242613</c:v>
                </c:pt>
                <c:pt idx="1">
                  <c:v>-286.40053702708877</c:v>
                </c:pt>
                <c:pt idx="2">
                  <c:v>-286.37954280081669</c:v>
                </c:pt>
                <c:pt idx="3">
                  <c:v>-286.34449551094747</c:v>
                </c:pt>
                <c:pt idx="4">
                  <c:v>-286.29530943724137</c:v>
                </c:pt>
                <c:pt idx="5">
                  <c:v>-286.23186399539321</c:v>
                </c:pt>
                <c:pt idx="6">
                  <c:v>-286.15400304826238</c:v>
                </c:pt>
                <c:pt idx="7">
                  <c:v>-286.06153410043379</c:v>
                </c:pt>
                <c:pt idx="8">
                  <c:v>-285.95422729518953</c:v>
                </c:pt>
                <c:pt idx="9">
                  <c:v>-285.83181417806372</c:v>
                </c:pt>
                <c:pt idx="10">
                  <c:v>-285.69398627622962</c:v>
                </c:pt>
                <c:pt idx="11">
                  <c:v>-285.54039339027815</c:v>
                </c:pt>
                <c:pt idx="12">
                  <c:v>-285.37064171715241</c:v>
                </c:pt>
                <c:pt idx="13">
                  <c:v>-285.18429161980595</c:v>
                </c:pt>
                <c:pt idx="14">
                  <c:v>-284.98085520954021</c:v>
                </c:pt>
                <c:pt idx="15">
                  <c:v>-284.75979354273727</c:v>
                </c:pt>
                <c:pt idx="16">
                  <c:v>-284.52051348735341</c:v>
                </c:pt>
                <c:pt idx="17">
                  <c:v>-284.26236423371745</c:v>
                </c:pt>
                <c:pt idx="18">
                  <c:v>-283.98463344151526</c:v>
                </c:pt>
                <c:pt idx="19">
                  <c:v>-283.68654286487197</c:v>
                </c:pt>
                <c:pt idx="20">
                  <c:v>-283.36724350329962</c:v>
                </c:pt>
                <c:pt idx="21">
                  <c:v>-283.02581024967822</c:v>
                </c:pt>
                <c:pt idx="22">
                  <c:v>-282.66123587184484</c:v>
                </c:pt>
                <c:pt idx="23">
                  <c:v>-282.27242435852946</c:v>
                </c:pt>
                <c:pt idx="24">
                  <c:v>-281.85818345286697</c:v>
                </c:pt>
                <c:pt idx="25">
                  <c:v>-281.41721641816787</c:v>
                </c:pt>
                <c:pt idx="26">
                  <c:v>-280.94811277497638</c:v>
                </c:pt>
                <c:pt idx="27">
                  <c:v>-280.44933799970022</c:v>
                </c:pt>
                <c:pt idx="28">
                  <c:v>-279.91922200100811</c:v>
                </c:pt>
                <c:pt idx="29">
                  <c:v>-279.35594627204682</c:v>
                </c:pt>
                <c:pt idx="30">
                  <c:v>-278.7575294077534</c:v>
                </c:pt>
                <c:pt idx="31">
                  <c:v>-278.12181096567451</c:v>
                </c:pt>
                <c:pt idx="32">
                  <c:v>-277.44738490371947</c:v>
                </c:pt>
                <c:pt idx="33">
                  <c:v>-276.75915316443627</c:v>
                </c:pt>
                <c:pt idx="34">
                  <c:v>-276.06846497785864</c:v>
                </c:pt>
                <c:pt idx="35">
                  <c:v>-275.37450870792134</c:v>
                </c:pt>
                <c:pt idx="36">
                  <c:v>-274.67646801505293</c:v>
                </c:pt>
                <c:pt idx="37">
                  <c:v>-273.97351684050244</c:v>
                </c:pt>
                <c:pt idx="38">
                  <c:v>-273.26481458987007</c:v>
                </c:pt>
                <c:pt idx="39">
                  <c:v>-272.54950104699196</c:v>
                </c:pt>
                <c:pt idx="40">
                  <c:v>-271.82669138223679</c:v>
                </c:pt>
                <c:pt idx="41">
                  <c:v>-271.09547075041638</c:v>
                </c:pt>
                <c:pt idx="42">
                  <c:v>-270.35488878039251</c:v>
                </c:pt>
                <c:pt idx="43">
                  <c:v>-269.6039536056993</c:v>
                </c:pt>
                <c:pt idx="44">
                  <c:v>-268.84162543458706</c:v>
                </c:pt>
                <c:pt idx="45">
                  <c:v>-268.06680970161364</c:v>
                </c:pt>
                <c:pt idx="46">
                  <c:v>-267.27834938127046</c:v>
                </c:pt>
                <c:pt idx="47">
                  <c:v>-266.47501669680025</c:v>
                </c:pt>
                <c:pt idx="48">
                  <c:v>-265.65550378786537</c:v>
                </c:pt>
                <c:pt idx="49">
                  <c:v>-264.81841237607705</c:v>
                </c:pt>
                <c:pt idx="50">
                  <c:v>-263.96224210888329</c:v>
                </c:pt>
                <c:pt idx="51">
                  <c:v>-263.085377405229</c:v>
                </c:pt>
                <c:pt idx="52">
                  <c:v>-262.18607258932417</c:v>
                </c:pt>
                <c:pt idx="53">
                  <c:v>-261.2624347882151</c:v>
                </c:pt>
                <c:pt idx="54">
                  <c:v>-260.31240454448675</c:v>
                </c:pt>
                <c:pt idx="55">
                  <c:v>-259.333733290667</c:v>
                </c:pt>
                <c:pt idx="56">
                  <c:v>-258.32395741778373</c:v>
                </c:pt>
                <c:pt idx="57">
                  <c:v>-257.28036809137825</c:v>
                </c:pt>
                <c:pt idx="58">
                  <c:v>-256.19997597621801</c:v>
                </c:pt>
                <c:pt idx="59">
                  <c:v>-255.07946987251444</c:v>
                </c:pt>
                <c:pt idx="60">
                  <c:v>-253.91516777434418</c:v>
                </c:pt>
                <c:pt idx="61">
                  <c:v>-252.70295890753755</c:v>
                </c:pt>
                <c:pt idx="62">
                  <c:v>-251.43823446480147</c:v>
                </c:pt>
                <c:pt idx="63">
                  <c:v>-249.89154988250027</c:v>
                </c:pt>
                <c:pt idx="64">
                  <c:v>-247.24734528432884</c:v>
                </c:pt>
                <c:pt idx="65">
                  <c:v>-244.56699758452544</c:v>
                </c:pt>
                <c:pt idx="66">
                  <c:v>-241.84474994922894</c:v>
                </c:pt>
                <c:pt idx="67">
                  <c:v>-239.07420085390413</c:v>
                </c:pt>
                <c:pt idx="68">
                  <c:v>-236.2481609363397</c:v>
                </c:pt>
                <c:pt idx="69">
                  <c:v>-233.35847195594036</c:v>
                </c:pt>
                <c:pt idx="70">
                  <c:v>-230.39577486607743</c:v>
                </c:pt>
                <c:pt idx="71">
                  <c:v>-227.34920842746422</c:v>
                </c:pt>
                <c:pt idx="72">
                  <c:v>-224.20601173857125</c:v>
                </c:pt>
                <c:pt idx="73">
                  <c:v>-220.95099146403393</c:v>
                </c:pt>
                <c:pt idx="74">
                  <c:v>-217.56579499479375</c:v>
                </c:pt>
                <c:pt idx="75">
                  <c:v>-214.02789938479327</c:v>
                </c:pt>
                <c:pt idx="76">
                  <c:v>-210.30917419199969</c:v>
                </c:pt>
                <c:pt idx="77">
                  <c:v>-206.37378860845268</c:v>
                </c:pt>
                <c:pt idx="78">
                  <c:v>-202.17507906121557</c:v>
                </c:pt>
                <c:pt idx="79">
                  <c:v>-197.65071195007653</c:v>
                </c:pt>
                <c:pt idx="80">
                  <c:v>-192.71493855329064</c:v>
                </c:pt>
                <c:pt idx="81">
                  <c:v>-187.2456578052103</c:v>
                </c:pt>
                <c:pt idx="82">
                  <c:v>-181.06205489039957</c:v>
                </c:pt>
                <c:pt idx="83">
                  <c:v>-174.47756401423482</c:v>
                </c:pt>
                <c:pt idx="84">
                  <c:v>-167.91425792504305</c:v>
                </c:pt>
                <c:pt idx="85">
                  <c:v>-161.36686489362108</c:v>
                </c:pt>
                <c:pt idx="86">
                  <c:v>-154.82988643446168</c:v>
                </c:pt>
                <c:pt idx="87">
                  <c:v>-148.29749281716727</c:v>
                </c:pt>
                <c:pt idx="88">
                  <c:v>-141.76337860581089</c:v>
                </c:pt>
                <c:pt idx="89">
                  <c:v>-135.22055658398904</c:v>
                </c:pt>
                <c:pt idx="90">
                  <c:v>-128.66105356563219</c:v>
                </c:pt>
                <c:pt idx="91">
                  <c:v>-117.24033629292798</c:v>
                </c:pt>
                <c:pt idx="92">
                  <c:v>-106.32710829754367</c:v>
                </c:pt>
                <c:pt idx="93">
                  <c:v>-95.867380902425282</c:v>
                </c:pt>
                <c:pt idx="94">
                  <c:v>-85.808580907927308</c:v>
                </c:pt>
                <c:pt idx="95">
                  <c:v>-76.100936550665011</c:v>
                </c:pt>
                <c:pt idx="96">
                  <c:v>-66.698303705298912</c:v>
                </c:pt>
                <c:pt idx="97">
                  <c:v>-57.872619786300078</c:v>
                </c:pt>
                <c:pt idx="98">
                  <c:v>-50.89774149019145</c:v>
                </c:pt>
                <c:pt idx="99">
                  <c:v>-45.364564790970832</c:v>
                </c:pt>
                <c:pt idx="100">
                  <c:v>-40.854849512122001</c:v>
                </c:pt>
                <c:pt idx="101">
                  <c:v>-38.524650657480692</c:v>
                </c:pt>
                <c:pt idx="102">
                  <c:v>-35.253994153544703</c:v>
                </c:pt>
                <c:pt idx="103">
                  <c:v>-32.438656291178987</c:v>
                </c:pt>
                <c:pt idx="104">
                  <c:v>-29.984897510117094</c:v>
                </c:pt>
                <c:pt idx="105">
                  <c:v>-27.823288516001728</c:v>
                </c:pt>
                <c:pt idx="106">
                  <c:v>-25.901265153534851</c:v>
                </c:pt>
                <c:pt idx="107">
                  <c:v>-24.178270037749517</c:v>
                </c:pt>
                <c:pt idx="108">
                  <c:v>-22.622487782191318</c:v>
                </c:pt>
                <c:pt idx="109">
                  <c:v>-21.208594108563148</c:v>
                </c:pt>
                <c:pt idx="110">
                  <c:v>-19.916168881099974</c:v>
                </c:pt>
                <c:pt idx="111">
                  <c:v>-18.728554623746703</c:v>
                </c:pt>
                <c:pt idx="112">
                  <c:v>-17.63202088543148</c:v>
                </c:pt>
                <c:pt idx="113">
                  <c:v>-16.615142649484056</c:v>
                </c:pt>
                <c:pt idx="114">
                  <c:v>-15.668331235545008</c:v>
                </c:pt>
                <c:pt idx="115">
                  <c:v>-14.783475709986748</c:v>
                </c:pt>
                <c:pt idx="116">
                  <c:v>-13.953665406456809</c:v>
                </c:pt>
                <c:pt idx="117">
                  <c:v>-13.172972916762468</c:v>
                </c:pt>
                <c:pt idx="118">
                  <c:v>-12.43628269319659</c:v>
                </c:pt>
                <c:pt idx="119">
                  <c:v>-11.739154324996189</c:v>
                </c:pt>
                <c:pt idx="120">
                  <c:v>-11.077712608129973</c:v>
                </c:pt>
                <c:pt idx="121">
                  <c:v>-10.448558441517434</c:v>
                </c:pt>
                <c:pt idx="122">
                  <c:v>-9.8486960605489795</c:v>
                </c:pt>
                <c:pt idx="123">
                  <c:v>-9.2754731809342275</c:v>
                </c:pt>
                <c:pt idx="124">
                  <c:v>-8.7265314534321927</c:v>
                </c:pt>
                <c:pt idx="125">
                  <c:v>-8.1997651880265821</c:v>
                </c:pt>
                <c:pt idx="126">
                  <c:v>-7.6932868249022137</c:v>
                </c:pt>
                <c:pt idx="127">
                  <c:v>-7.2053977701654386</c:v>
                </c:pt>
                <c:pt idx="128">
                  <c:v>-6.7345637137164722</c:v>
                </c:pt>
                <c:pt idx="129">
                  <c:v>-6.2793936688604903</c:v>
                </c:pt>
                <c:pt idx="130">
                  <c:v>-5.8386219767053724</c:v>
                </c:pt>
                <c:pt idx="131">
                  <c:v>-5.4110927857869804</c:v>
                </c:pt>
                <c:pt idx="132">
                  <c:v>-4.9957467760435179</c:v>
                </c:pt>
                <c:pt idx="133">
                  <c:v>-4.5228162884487402</c:v>
                </c:pt>
                <c:pt idx="134">
                  <c:v>-4.0211076607557628</c:v>
                </c:pt>
                <c:pt idx="135">
                  <c:v>-3.5401525497955788</c:v>
                </c:pt>
                <c:pt idx="136">
                  <c:v>-3.0784766501389695</c:v>
                </c:pt>
                <c:pt idx="137">
                  <c:v>-2.6347300975998791</c:v>
                </c:pt>
                <c:pt idx="138">
                  <c:v>-2.207673521388068</c:v>
                </c:pt>
                <c:pt idx="139">
                  <c:v>-1.7961658595586585</c:v>
                </c:pt>
                <c:pt idx="140">
                  <c:v>-1.3991534494305258</c:v>
                </c:pt>
                <c:pt idx="141">
                  <c:v>-1.0156604128370077</c:v>
                </c:pt>
                <c:pt idx="142">
                  <c:v>-0.64477992352871061</c:v>
                </c:pt>
                <c:pt idx="143">
                  <c:v>-0.28566641466792364</c:v>
                </c:pt>
                <c:pt idx="144">
                  <c:v>6.2471627323293429E-2</c:v>
                </c:pt>
                <c:pt idx="145">
                  <c:v>0.40037820565992771</c:v>
                </c:pt>
                <c:pt idx="146">
                  <c:v>0.72875593446966036</c:v>
                </c:pt>
                <c:pt idx="147">
                  <c:v>1.0482718943132907</c:v>
                </c:pt>
                <c:pt idx="148">
                  <c:v>1.3595631267485091</c:v>
                </c:pt>
                <c:pt idx="149">
                  <c:v>1.6632421092365917</c:v>
                </c:pt>
                <c:pt idx="150">
                  <c:v>1.9599021810064072</c:v>
                </c:pt>
                <c:pt idx="151">
                  <c:v>2.2501231441615177</c:v>
                </c:pt>
                <c:pt idx="152">
                  <c:v>2.5344770191746644</c:v>
                </c:pt>
                <c:pt idx="153">
                  <c:v>2.8135343827585015</c:v>
                </c:pt>
                <c:pt idx="154">
                  <c:v>3.0878712049692578</c:v>
                </c:pt>
                <c:pt idx="155">
                  <c:v>3.3580767056566856</c:v>
                </c:pt>
                <c:pt idx="156">
                  <c:v>3.6247623584650341</c:v>
                </c:pt>
                <c:pt idx="157">
                  <c:v>3.8885725649801941</c:v>
                </c:pt>
                <c:pt idx="158">
                  <c:v>4.1501975223756657</c:v>
                </c:pt>
                <c:pt idx="159">
                  <c:v>4.4103890414293492</c:v>
                </c:pt>
                <c:pt idx="160">
                  <c:v>4.669980387081111</c:v>
                </c:pt>
                <c:pt idx="161">
                  <c:v>4.9299114272774425</c:v>
                </c:pt>
                <c:pt idx="162">
                  <c:v>5.1912612265842846</c:v>
                </c:pt>
                <c:pt idx="163">
                  <c:v>5.4039590241525035</c:v>
                </c:pt>
                <c:pt idx="164">
                  <c:v>5.5866053157607585</c:v>
                </c:pt>
                <c:pt idx="165">
                  <c:v>5.7648791931138357</c:v>
                </c:pt>
                <c:pt idx="166">
                  <c:v>5.9400880719531388</c:v>
                </c:pt>
                <c:pt idx="167">
                  <c:v>6.1138682502142814</c:v>
                </c:pt>
                <c:pt idx="168">
                  <c:v>6.2883287198977769</c:v>
                </c:pt>
                <c:pt idx="169">
                  <c:v>6.4662701204818269</c:v>
                </c:pt>
                <c:pt idx="170">
                  <c:v>6.6515280571304558</c:v>
                </c:pt>
                <c:pt idx="171">
                  <c:v>6.8495339041067549</c:v>
                </c:pt>
                <c:pt idx="172">
                  <c:v>7.0467663841838135</c:v>
                </c:pt>
                <c:pt idx="173">
                  <c:v>7.2309350963823373</c:v>
                </c:pt>
                <c:pt idx="174">
                  <c:v>7.492072272964629</c:v>
                </c:pt>
                <c:pt idx="175">
                  <c:v>7.8343125447008539</c:v>
                </c:pt>
                <c:pt idx="176">
                  <c:v>8.3265655596738188</c:v>
                </c:pt>
                <c:pt idx="177">
                  <c:v>9.1220117902946356</c:v>
                </c:pt>
                <c:pt idx="178">
                  <c:v>10.478045003172964</c:v>
                </c:pt>
                <c:pt idx="179">
                  <c:v>11.599413382697955</c:v>
                </c:pt>
                <c:pt idx="180">
                  <c:v>12.599109831981849</c:v>
                </c:pt>
                <c:pt idx="181">
                  <c:v>11.599413380923865</c:v>
                </c:pt>
                <c:pt idx="182">
                  <c:v>10.478045006312716</c:v>
                </c:pt>
                <c:pt idx="183">
                  <c:v>9.1220117795605091</c:v>
                </c:pt>
                <c:pt idx="184">
                  <c:v>8.3265655640470317</c:v>
                </c:pt>
                <c:pt idx="185">
                  <c:v>7.8343125413767902</c:v>
                </c:pt>
                <c:pt idx="186">
                  <c:v>7.4920722657674297</c:v>
                </c:pt>
                <c:pt idx="187">
                  <c:v>7.2309350942380499</c:v>
                </c:pt>
                <c:pt idx="188">
                  <c:v>7.0467663855604723</c:v>
                </c:pt>
                <c:pt idx="189">
                  <c:v>6.8495339049201931</c:v>
                </c:pt>
                <c:pt idx="190">
                  <c:v>6.6515280714886496</c:v>
                </c:pt>
                <c:pt idx="191">
                  <c:v>6.4662701220876402</c:v>
                </c:pt>
                <c:pt idx="192">
                  <c:v>6.2883287331014284</c:v>
                </c:pt>
                <c:pt idx="193">
                  <c:v>6.1138682438764365</c:v>
                </c:pt>
                <c:pt idx="194">
                  <c:v>5.9400880730005321</c:v>
                </c:pt>
                <c:pt idx="195">
                  <c:v>5.7648791885795676</c:v>
                </c:pt>
                <c:pt idx="196">
                  <c:v>5.5866053152437027</c:v>
                </c:pt>
                <c:pt idx="197">
                  <c:v>5.4039590271132418</c:v>
                </c:pt>
                <c:pt idx="198">
                  <c:v>5.1912612371005107</c:v>
                </c:pt>
                <c:pt idx="199">
                  <c:v>4.9299114342483108</c:v>
                </c:pt>
                <c:pt idx="200">
                  <c:v>4.6699803997814708</c:v>
                </c:pt>
                <c:pt idx="201">
                  <c:v>4.4103890434446411</c:v>
                </c:pt>
                <c:pt idx="202">
                  <c:v>4.1501975234221327</c:v>
                </c:pt>
                <c:pt idx="203">
                  <c:v>3.8885725595497775</c:v>
                </c:pt>
                <c:pt idx="204">
                  <c:v>3.6247623622312544</c:v>
                </c:pt>
                <c:pt idx="205">
                  <c:v>3.358076706958224</c:v>
                </c:pt>
                <c:pt idx="206">
                  <c:v>3.0878711973812072</c:v>
                </c:pt>
                <c:pt idx="207">
                  <c:v>2.8135343754089548</c:v>
                </c:pt>
                <c:pt idx="208">
                  <c:v>2.5344770178121623</c:v>
                </c:pt>
                <c:pt idx="209">
                  <c:v>2.2501231500829588</c:v>
                </c:pt>
                <c:pt idx="210">
                  <c:v>1.9599021859780805</c:v>
                </c:pt>
                <c:pt idx="211">
                  <c:v>1.6632421100603039</c:v>
                </c:pt>
                <c:pt idx="212">
                  <c:v>1.3595631303832589</c:v>
                </c:pt>
                <c:pt idx="213">
                  <c:v>1.0482718953452206</c:v>
                </c:pt>
                <c:pt idx="214">
                  <c:v>0.72875594011990752</c:v>
                </c:pt>
                <c:pt idx="215">
                  <c:v>0.40037819917397993</c:v>
                </c:pt>
                <c:pt idx="216">
                  <c:v>6.2471625564086253E-2</c:v>
                </c:pt>
                <c:pt idx="217">
                  <c:v>-0.2856664192555286</c:v>
                </c:pt>
                <c:pt idx="218">
                  <c:v>-0.64477992863569966</c:v>
                </c:pt>
                <c:pt idx="219">
                  <c:v>-1.0156604162533256</c:v>
                </c:pt>
                <c:pt idx="220">
                  <c:v>-1.3991534493258371</c:v>
                </c:pt>
                <c:pt idx="221">
                  <c:v>-1.7961658591005629</c:v>
                </c:pt>
                <c:pt idx="222">
                  <c:v>-2.2076735294421095</c:v>
                </c:pt>
                <c:pt idx="223">
                  <c:v>-2.6347300977976431</c:v>
                </c:pt>
                <c:pt idx="224">
                  <c:v>-3.0784766529976366</c:v>
                </c:pt>
                <c:pt idx="225">
                  <c:v>-3.540152537839873</c:v>
                </c:pt>
                <c:pt idx="226">
                  <c:v>-4.0211076542386586</c:v>
                </c:pt>
                <c:pt idx="227">
                  <c:v>-4.5228162890253198</c:v>
                </c:pt>
                <c:pt idx="228">
                  <c:v>-4.9957467722640727</c:v>
                </c:pt>
                <c:pt idx="229">
                  <c:v>-5.4110927823379029</c:v>
                </c:pt>
                <c:pt idx="230">
                  <c:v>-5.8386219693853612</c:v>
                </c:pt>
                <c:pt idx="231">
                  <c:v>-6.2793936762655784</c:v>
                </c:pt>
                <c:pt idx="232">
                  <c:v>-6.7345637090935835</c:v>
                </c:pt>
                <c:pt idx="233">
                  <c:v>-7.2053977619385643</c:v>
                </c:pt>
                <c:pt idx="234">
                  <c:v>-7.6932868236573935</c:v>
                </c:pt>
                <c:pt idx="235">
                  <c:v>-8.1997651886570004</c:v>
                </c:pt>
                <c:pt idx="236">
                  <c:v>-8.7265314496062096</c:v>
                </c:pt>
                <c:pt idx="237">
                  <c:v>-9.2754731838328155</c:v>
                </c:pt>
                <c:pt idx="238">
                  <c:v>-9.8486960653247984</c:v>
                </c:pt>
                <c:pt idx="239">
                  <c:v>-10.448558442595219</c:v>
                </c:pt>
                <c:pt idx="240">
                  <c:v>-11.077712607261276</c:v>
                </c:pt>
                <c:pt idx="241">
                  <c:v>-11.739154321165568</c:v>
                </c:pt>
                <c:pt idx="242">
                  <c:v>-12.436282693340843</c:v>
                </c:pt>
                <c:pt idx="243">
                  <c:v>-13.172972920493821</c:v>
                </c:pt>
                <c:pt idx="244">
                  <c:v>-13.953665398784501</c:v>
                </c:pt>
                <c:pt idx="245">
                  <c:v>-14.78347570716398</c:v>
                </c:pt>
                <c:pt idx="246">
                  <c:v>-15.668331232043936</c:v>
                </c:pt>
                <c:pt idx="247">
                  <c:v>-16.615142645651218</c:v>
                </c:pt>
                <c:pt idx="248">
                  <c:v>-17.632020886246377</c:v>
                </c:pt>
                <c:pt idx="249">
                  <c:v>-18.714511232012498</c:v>
                </c:pt>
                <c:pt idx="250">
                  <c:v>-19.798561271027292</c:v>
                </c:pt>
                <c:pt idx="251">
                  <c:v>-20.875701823744475</c:v>
                </c:pt>
                <c:pt idx="252">
                  <c:v>-21.946944490273367</c:v>
                </c:pt>
                <c:pt idx="253">
                  <c:v>-23.013285650914256</c:v>
                </c:pt>
                <c:pt idx="254">
                  <c:v>-24.075710215429481</c:v>
                </c:pt>
                <c:pt idx="255">
                  <c:v>-25.13519522985851</c:v>
                </c:pt>
                <c:pt idx="256">
                  <c:v>-26.192713416331333</c:v>
                </c:pt>
                <c:pt idx="257">
                  <c:v>-27.249236702930709</c:v>
                </c:pt>
                <c:pt idx="258">
                  <c:v>-28.305739645482625</c:v>
                </c:pt>
                <c:pt idx="259">
                  <c:v>-29.363202964374402</c:v>
                </c:pt>
                <c:pt idx="260">
                  <c:v>-30.42261692994537</c:v>
                </c:pt>
                <c:pt idx="261">
                  <c:v>-31.484984961459475</c:v>
                </c:pt>
                <c:pt idx="262">
                  <c:v>-32.551327037861583</c:v>
                </c:pt>
                <c:pt idx="263">
                  <c:v>-33.622683390188385</c:v>
                </c:pt>
                <c:pt idx="264">
                  <c:v>-33.948587930678691</c:v>
                </c:pt>
                <c:pt idx="265">
                  <c:v>-35.041779387913472</c:v>
                </c:pt>
                <c:pt idx="266">
                  <c:v>-36.143608548773116</c:v>
                </c:pt>
                <c:pt idx="267">
                  <c:v>-37.255248260963718</c:v>
                </c:pt>
                <c:pt idx="268">
                  <c:v>-38.377910448022618</c:v>
                </c:pt>
                <c:pt idx="269">
                  <c:v>-39.51285005444511</c:v>
                </c:pt>
                <c:pt idx="270">
                  <c:v>-40.66136875218875</c:v>
                </c:pt>
                <c:pt idx="271">
                  <c:v>-41.695155127311395</c:v>
                </c:pt>
                <c:pt idx="272">
                  <c:v>-42.716096194680688</c:v>
                </c:pt>
                <c:pt idx="273">
                  <c:v>-43.726043336153381</c:v>
                </c:pt>
                <c:pt idx="274">
                  <c:v>-44.726663616008807</c:v>
                </c:pt>
                <c:pt idx="275">
                  <c:v>-45.71947349107819</c:v>
                </c:pt>
                <c:pt idx="276">
                  <c:v>-46.705865715251775</c:v>
                </c:pt>
                <c:pt idx="277">
                  <c:v>-47.687131129877557</c:v>
                </c:pt>
                <c:pt idx="278">
                  <c:v>-48.66447663890785</c:v>
                </c:pt>
                <c:pt idx="279">
                  <c:v>-49.639039997396253</c:v>
                </c:pt>
                <c:pt idx="280">
                  <c:v>-50.611902394528997</c:v>
                </c:pt>
                <c:pt idx="281">
                  <c:v>-51.584099014388443</c:v>
                </c:pt>
                <c:pt idx="282">
                  <c:v>-52.556628316485622</c:v>
                </c:pt>
                <c:pt idx="283">
                  <c:v>-53.53045999094801</c:v>
                </c:pt>
                <c:pt idx="284">
                  <c:v>-54.506542074704157</c:v>
                </c:pt>
                <c:pt idx="285">
                  <c:v>-55.48580732306803</c:v>
                </c:pt>
                <c:pt idx="286">
                  <c:v>-56.469178964586831</c:v>
                </c:pt>
                <c:pt idx="287">
                  <c:v>-57.457576101278306</c:v>
                </c:pt>
                <c:pt idx="288">
                  <c:v>-58.451918673756836</c:v>
                </c:pt>
                <c:pt idx="289">
                  <c:v>-59.453132229533345</c:v>
                </c:pt>
                <c:pt idx="290">
                  <c:v>-60.462152493748363</c:v>
                </c:pt>
                <c:pt idx="291">
                  <c:v>-61.479929863942886</c:v>
                </c:pt>
                <c:pt idx="292">
                  <c:v>-62.507433848955969</c:v>
                </c:pt>
                <c:pt idx="293">
                  <c:v>-63.545657517104075</c:v>
                </c:pt>
                <c:pt idx="294">
                  <c:v>-64.595622045998198</c:v>
                </c:pt>
                <c:pt idx="295">
                  <c:v>-65.658381336509336</c:v>
                </c:pt>
                <c:pt idx="296">
                  <c:v>-66.733711176669431</c:v>
                </c:pt>
                <c:pt idx="297">
                  <c:v>-67.788698405380131</c:v>
                </c:pt>
                <c:pt idx="298">
                  <c:v>-68.811764840383788</c:v>
                </c:pt>
                <c:pt idx="299">
                  <c:v>-69.806682377467141</c:v>
                </c:pt>
                <c:pt idx="300">
                  <c:v>-70.776793380451892</c:v>
                </c:pt>
                <c:pt idx="301">
                  <c:v>-71.725081428906861</c:v>
                </c:pt>
                <c:pt idx="302">
                  <c:v>-72.654229392805462</c:v>
                </c:pt>
                <c:pt idx="303">
                  <c:v>-73.566667324110725</c:v>
                </c:pt>
                <c:pt idx="304">
                  <c:v>-74.46461242761346</c:v>
                </c:pt>
                <c:pt idx="305">
                  <c:v>-75.350102660431872</c:v>
                </c:pt>
                <c:pt idx="306">
                  <c:v>-76.225025250995316</c:v>
                </c:pt>
                <c:pt idx="307">
                  <c:v>-77.091141086230806</c:v>
                </c:pt>
                <c:pt idx="308">
                  <c:v>-77.950105826188491</c:v>
                </c:pt>
                <c:pt idx="309">
                  <c:v>-78.803488374204818</c:v>
                </c:pt>
                <c:pt idx="310">
                  <c:v>-79.652787154438357</c:v>
                </c:pt>
                <c:pt idx="311">
                  <c:v>-80.499444783464071</c:v>
                </c:pt>
                <c:pt idx="312">
                  <c:v>-81.344861274766501</c:v>
                </c:pt>
                <c:pt idx="313">
                  <c:v>-82.190406311214986</c:v>
                </c:pt>
                <c:pt idx="314">
                  <c:v>-83.037430700749979</c:v>
                </c:pt>
                <c:pt idx="315">
                  <c:v>-83.887277259831819</c:v>
                </c:pt>
                <c:pt idx="316">
                  <c:v>-84.741291438838999</c:v>
                </c:pt>
                <c:pt idx="317">
                  <c:v>-85.600831762498686</c:v>
                </c:pt>
                <c:pt idx="318">
                  <c:v>-86.467280355890978</c:v>
                </c:pt>
                <c:pt idx="319">
                  <c:v>-87.34205369726962</c:v>
                </c:pt>
                <c:pt idx="320">
                  <c:v>-88.226613899688701</c:v>
                </c:pt>
                <c:pt idx="321">
                  <c:v>-89.621388634484532</c:v>
                </c:pt>
                <c:pt idx="322">
                  <c:v>-92.900434104159856</c:v>
                </c:pt>
                <c:pt idx="323">
                  <c:v>-97.861986563613314</c:v>
                </c:pt>
                <c:pt idx="324">
                  <c:v>-104.27143945849781</c:v>
                </c:pt>
                <c:pt idx="325">
                  <c:v>-111.95667847971538</c:v>
                </c:pt>
                <c:pt idx="326">
                  <c:v>-120.79300159304637</c:v>
                </c:pt>
                <c:pt idx="327">
                  <c:v>-130.69351623117058</c:v>
                </c:pt>
                <c:pt idx="328">
                  <c:v>-141.60311378571865</c:v>
                </c:pt>
                <c:pt idx="329">
                  <c:v>-153.49496743192952</c:v>
                </c:pt>
                <c:pt idx="330">
                  <c:v>-166.36897995317196</c:v>
                </c:pt>
                <c:pt idx="331">
                  <c:v>-180.25190744549491</c:v>
                </c:pt>
                <c:pt idx="332">
                  <c:v>-190.93300242393616</c:v>
                </c:pt>
                <c:pt idx="333">
                  <c:v>-200.81176970644003</c:v>
                </c:pt>
                <c:pt idx="334">
                  <c:v>-210.75921733119395</c:v>
                </c:pt>
                <c:pt idx="335">
                  <c:v>-220.71423907042174</c:v>
                </c:pt>
                <c:pt idx="336">
                  <c:v>-230.60720740770071</c:v>
                </c:pt>
                <c:pt idx="337">
                  <c:v>-240.34262324051895</c:v>
                </c:pt>
                <c:pt idx="338">
                  <c:v>-249.45237684731137</c:v>
                </c:pt>
                <c:pt idx="339">
                  <c:v>-257.72842071493608</c:v>
                </c:pt>
                <c:pt idx="340">
                  <c:v>-265.14288919800708</c:v>
                </c:pt>
                <c:pt idx="341">
                  <c:v>-271.63932242999516</c:v>
                </c:pt>
                <c:pt idx="342">
                  <c:v>-277.11455552018094</c:v>
                </c:pt>
                <c:pt idx="343">
                  <c:v>-281.3815355165795</c:v>
                </c:pt>
                <c:pt idx="344">
                  <c:v>-284.08274538028934</c:v>
                </c:pt>
                <c:pt idx="345">
                  <c:v>-284.75979354361175</c:v>
                </c:pt>
                <c:pt idx="346">
                  <c:v>-284.9808552108928</c:v>
                </c:pt>
                <c:pt idx="347">
                  <c:v>-285.18429162060272</c:v>
                </c:pt>
                <c:pt idx="348">
                  <c:v>-285.37064171690804</c:v>
                </c:pt>
                <c:pt idx="349">
                  <c:v>-285.5403933983136</c:v>
                </c:pt>
                <c:pt idx="350">
                  <c:v>-285.69398628335489</c:v>
                </c:pt>
                <c:pt idx="351">
                  <c:v>-285.83181417983042</c:v>
                </c:pt>
                <c:pt idx="352">
                  <c:v>-285.9542272948238</c:v>
                </c:pt>
                <c:pt idx="353">
                  <c:v>-286.06153409759952</c:v>
                </c:pt>
                <c:pt idx="354">
                  <c:v>-286.15400305312744</c:v>
                </c:pt>
                <c:pt idx="355">
                  <c:v>-286.2318640002199</c:v>
                </c:pt>
                <c:pt idx="356">
                  <c:v>-286.29530944651037</c:v>
                </c:pt>
                <c:pt idx="357">
                  <c:v>-286.34449550586805</c:v>
                </c:pt>
                <c:pt idx="358">
                  <c:v>-286.37954280522945</c:v>
                </c:pt>
                <c:pt idx="359">
                  <c:v>-286.40053702814976</c:v>
                </c:pt>
                <c:pt idx="360">
                  <c:v>-286.40752941242312</c:v>
                </c:pt>
              </c:numCache>
            </c:numRef>
          </c:xVal>
          <c:yVal>
            <c:numRef>
              <c:f>L_Section_Capacity!$AU$2:$AU$362</c:f>
              <c:numCache>
                <c:formatCode>General</c:formatCode>
                <c:ptCount val="361"/>
                <c:pt idx="0">
                  <c:v>-170.64000000000004</c:v>
                </c:pt>
                <c:pt idx="1">
                  <c:v>-171.44118748020517</c:v>
                </c:pt>
                <c:pt idx="2">
                  <c:v>-172.2428633196713</c:v>
                </c:pt>
                <c:pt idx="3">
                  <c:v>-173.04551706909155</c:v>
                </c:pt>
                <c:pt idx="4">
                  <c:v>-173.84964066820709</c:v>
                </c:pt>
                <c:pt idx="5">
                  <c:v>-174.65572965583991</c:v>
                </c:pt>
                <c:pt idx="6">
                  <c:v>-175.46428439869447</c:v>
                </c:pt>
                <c:pt idx="7">
                  <c:v>-176.27581134544329</c:v>
                </c:pt>
                <c:pt idx="8">
                  <c:v>-177.09082431283969</c:v>
                </c:pt>
                <c:pt idx="9">
                  <c:v>-177.90984581089612</c:v>
                </c:pt>
                <c:pt idx="10">
                  <c:v>-178.73340841451844</c:v>
                </c:pt>
                <c:pt idx="11">
                  <c:v>-179.56205618942124</c:v>
                </c:pt>
                <c:pt idx="12">
                  <c:v>-180.39634618065395</c:v>
                </c:pt>
                <c:pt idx="13">
                  <c:v>-181.23684997266324</c:v>
                </c:pt>
                <c:pt idx="14">
                  <c:v>-182.08415533050191</c:v>
                </c:pt>
                <c:pt idx="15">
                  <c:v>-182.93886793258838</c:v>
                </c:pt>
                <c:pt idx="16">
                  <c:v>-183.80161320632919</c:v>
                </c:pt>
                <c:pt idx="17">
                  <c:v>-184.67303827895239</c:v>
                </c:pt>
                <c:pt idx="18">
                  <c:v>-185.55381405709028</c:v>
                </c:pt>
                <c:pt idx="19">
                  <c:v>-186.44463744999541</c:v>
                </c:pt>
                <c:pt idx="20">
                  <c:v>-187.34623375281848</c:v>
                </c:pt>
                <c:pt idx="21">
                  <c:v>-188.25935920812537</c:v>
                </c:pt>
                <c:pt idx="22">
                  <c:v>-189.18480376583352</c:v>
                </c:pt>
                <c:pt idx="23">
                  <c:v>-190.1233940640206</c:v>
                </c:pt>
                <c:pt idx="24">
                  <c:v>-191.07599665566153</c:v>
                </c:pt>
                <c:pt idx="25">
                  <c:v>-192.04352150931419</c:v>
                </c:pt>
                <c:pt idx="26">
                  <c:v>-193.02692581517275</c:v>
                </c:pt>
                <c:pt idx="27">
                  <c:v>-194.02721813179403</c:v>
                </c:pt>
                <c:pt idx="28">
                  <c:v>-195.04546291326156</c:v>
                </c:pt>
                <c:pt idx="29">
                  <c:v>-196.08278546168177</c:v>
                </c:pt>
                <c:pt idx="30">
                  <c:v>-197.14037735580351</c:v>
                </c:pt>
                <c:pt idx="31">
                  <c:v>-198.21950241336461</c:v>
                </c:pt>
                <c:pt idx="32">
                  <c:v>-199.31997598097666</c:v>
                </c:pt>
                <c:pt idx="33">
                  <c:v>-200.40036808848697</c:v>
                </c:pt>
                <c:pt idx="34">
                  <c:v>-201.44395741648066</c:v>
                </c:pt>
                <c:pt idx="35">
                  <c:v>-202.45373329087366</c:v>
                </c:pt>
                <c:pt idx="36">
                  <c:v>-203.43240454783239</c:v>
                </c:pt>
                <c:pt idx="37">
                  <c:v>-204.38243479206619</c:v>
                </c:pt>
                <c:pt idx="38">
                  <c:v>-205.30607258612898</c:v>
                </c:pt>
                <c:pt idx="39">
                  <c:v>-206.20537740819844</c:v>
                </c:pt>
                <c:pt idx="40">
                  <c:v>-207.08224210452204</c:v>
                </c:pt>
                <c:pt idx="41">
                  <c:v>-207.93841237407105</c:v>
                </c:pt>
                <c:pt idx="42">
                  <c:v>-208.77550378660987</c:v>
                </c:pt>
                <c:pt idx="43">
                  <c:v>-209.59501669709414</c:v>
                </c:pt>
                <c:pt idx="44">
                  <c:v>-210.39834938369546</c:v>
                </c:pt>
                <c:pt idx="45">
                  <c:v>-211.18680970238438</c:v>
                </c:pt>
                <c:pt idx="46">
                  <c:v>-211.96162543822777</c:v>
                </c:pt>
                <c:pt idx="47">
                  <c:v>-212.72395360093142</c:v>
                </c:pt>
                <c:pt idx="48">
                  <c:v>-213.47488878167579</c:v>
                </c:pt>
                <c:pt idx="49">
                  <c:v>-214.21547074814035</c:v>
                </c:pt>
                <c:pt idx="50">
                  <c:v>-214.94669137783052</c:v>
                </c:pt>
                <c:pt idx="51">
                  <c:v>-215.66950104677591</c:v>
                </c:pt>
                <c:pt idx="52">
                  <c:v>-216.38481458610153</c:v>
                </c:pt>
                <c:pt idx="53">
                  <c:v>-217.09351684209537</c:v>
                </c:pt>
                <c:pt idx="54">
                  <c:v>-217.79646800899189</c:v>
                </c:pt>
                <c:pt idx="55">
                  <c:v>-218.49450870875876</c:v>
                </c:pt>
                <c:pt idx="56">
                  <c:v>-219.1884649732612</c:v>
                </c:pt>
                <c:pt idx="57">
                  <c:v>-219.87915316242226</c:v>
                </c:pt>
                <c:pt idx="58">
                  <c:v>-220.56738489730992</c:v>
                </c:pt>
                <c:pt idx="59">
                  <c:v>-221.2539721122518</c:v>
                </c:pt>
                <c:pt idx="60">
                  <c:v>-221.93973225227506</c:v>
                </c:pt>
                <c:pt idx="61">
                  <c:v>-222.62549379493555</c:v>
                </c:pt>
                <c:pt idx="62">
                  <c:v>-223.31210214420722</c:v>
                </c:pt>
                <c:pt idx="63">
                  <c:v>-224.00582495907622</c:v>
                </c:pt>
                <c:pt idx="64">
                  <c:v>-224.71982347008839</c:v>
                </c:pt>
                <c:pt idx="65">
                  <c:v>-225.42436733294178</c:v>
                </c:pt>
                <c:pt idx="66">
                  <c:v>-226.12053948906114</c:v>
                </c:pt>
                <c:pt idx="67">
                  <c:v>-226.80945051338736</c:v>
                </c:pt>
                <c:pt idx="68">
                  <c:v>-227.49225578217971</c:v>
                </c:pt>
                <c:pt idx="69">
                  <c:v>-228.1701761831315</c:v>
                </c:pt>
                <c:pt idx="70">
                  <c:v>-228.84452379316477</c:v>
                </c:pt>
                <c:pt idx="71">
                  <c:v>-229.51673416097404</c:v>
                </c:pt>
                <c:pt idx="72">
                  <c:v>-230.18840783945808</c:v>
                </c:pt>
                <c:pt idx="73">
                  <c:v>-230.86136472477156</c:v>
                </c:pt>
                <c:pt idx="74">
                  <c:v>-231.53771649778935</c:v>
                </c:pt>
                <c:pt idx="75">
                  <c:v>-232.2199651055378</c:v>
                </c:pt>
                <c:pt idx="76">
                  <c:v>-232.91113926955194</c:v>
                </c:pt>
                <c:pt idx="77">
                  <c:v>-233.61498807661704</c:v>
                </c:pt>
                <c:pt idx="78">
                  <c:v>-234.33626196699402</c:v>
                </c:pt>
                <c:pt idx="79">
                  <c:v>-235.08113203010362</c:v>
                </c:pt>
                <c:pt idx="80">
                  <c:v>-235.85783533296808</c:v>
                </c:pt>
                <c:pt idx="81">
                  <c:v>-236.67770486414418</c:v>
                </c:pt>
                <c:pt idx="82">
                  <c:v>-237.55681188735156</c:v>
                </c:pt>
                <c:pt idx="83">
                  <c:v>-238.40684325963309</c:v>
                </c:pt>
                <c:pt idx="84">
                  <c:v>-239.1372885513419</c:v>
                </c:pt>
                <c:pt idx="85">
                  <c:v>-239.7498325744607</c:v>
                </c:pt>
                <c:pt idx="86">
                  <c:v>-240.24582301644796</c:v>
                </c:pt>
                <c:pt idx="87">
                  <c:v>-240.62626586657461</c:v>
                </c:pt>
                <c:pt idx="88">
                  <c:v>-240.89181387614394</c:v>
                </c:pt>
                <c:pt idx="89">
                  <c:v>-241.04274500026878</c:v>
                </c:pt>
                <c:pt idx="90">
                  <c:v>-241.07892606363367</c:v>
                </c:pt>
                <c:pt idx="91">
                  <c:v>-240.3460169685971</c:v>
                </c:pt>
                <c:pt idx="92">
                  <c:v>-239.54220566597041</c:v>
                </c:pt>
                <c:pt idx="93">
                  <c:v>-238.66862096861234</c:v>
                </c:pt>
                <c:pt idx="94">
                  <c:v>-237.72438172961475</c:v>
                </c:pt>
                <c:pt idx="95">
                  <c:v>-236.70713071198276</c:v>
                </c:pt>
                <c:pt idx="96">
                  <c:v>-235.61346658932021</c:v>
                </c:pt>
                <c:pt idx="97">
                  <c:v>-234.47864424411253</c:v>
                </c:pt>
                <c:pt idx="98">
                  <c:v>-233.48371271954039</c:v>
                </c:pt>
                <c:pt idx="99">
                  <c:v>-232.61493023745041</c:v>
                </c:pt>
                <c:pt idx="100">
                  <c:v>-231.84205903892604</c:v>
                </c:pt>
                <c:pt idx="101">
                  <c:v>-231.41077132630551</c:v>
                </c:pt>
                <c:pt idx="102">
                  <c:v>-230.75948858207656</c:v>
                </c:pt>
                <c:pt idx="103">
                  <c:v>-230.15747372002107</c:v>
                </c:pt>
                <c:pt idx="104">
                  <c:v>-229.59622450194161</c:v>
                </c:pt>
                <c:pt idx="105">
                  <c:v>-229.06912240518335</c:v>
                </c:pt>
                <c:pt idx="106">
                  <c:v>-228.5709146691959</c:v>
                </c:pt>
                <c:pt idx="107">
                  <c:v>-228.09736126560784</c:v>
                </c:pt>
                <c:pt idx="108">
                  <c:v>-227.6449877008252</c:v>
                </c:pt>
                <c:pt idx="109">
                  <c:v>-227.21090799889942</c:v>
                </c:pt>
                <c:pt idx="110">
                  <c:v>-226.79269522477006</c:v>
                </c:pt>
                <c:pt idx="111">
                  <c:v>-226.38828513364572</c:v>
                </c:pt>
                <c:pt idx="112">
                  <c:v>-225.99590322073942</c:v>
                </c:pt>
                <c:pt idx="113">
                  <c:v>-225.61400868985666</c:v>
                </c:pt>
                <c:pt idx="114">
                  <c:v>-225.24125084240126</c:v>
                </c:pt>
                <c:pt idx="115">
                  <c:v>-224.8764346622925</c:v>
                </c:pt>
                <c:pt idx="116">
                  <c:v>-224.51849337858374</c:v>
                </c:pt>
                <c:pt idx="117">
                  <c:v>-224.16646631006017</c:v>
                </c:pt>
                <c:pt idx="118">
                  <c:v>-223.8194807674808</c:v>
                </c:pt>
                <c:pt idx="119">
                  <c:v>-223.47673715382999</c:v>
                </c:pt>
                <c:pt idx="120">
                  <c:v>-223.13749652742118</c:v>
                </c:pt>
                <c:pt idx="121">
                  <c:v>-222.80107011115518</c:v>
                </c:pt>
                <c:pt idx="122">
                  <c:v>-222.46681034345573</c:v>
                </c:pt>
                <c:pt idx="123">
                  <c:v>-222.1341031573491</c:v>
                </c:pt>
                <c:pt idx="124">
                  <c:v>-221.80236122506062</c:v>
                </c:pt>
                <c:pt idx="125">
                  <c:v>-221.47101796859954</c:v>
                </c:pt>
                <c:pt idx="126">
                  <c:v>-221.13952214666884</c:v>
                </c:pt>
                <c:pt idx="127">
                  <c:v>-220.80733293010337</c:v>
                </c:pt>
                <c:pt idx="128">
                  <c:v>-220.47391530744062</c:v>
                </c:pt>
                <c:pt idx="129">
                  <c:v>-220.13873571161707</c:v>
                </c:pt>
                <c:pt idx="130">
                  <c:v>-219.80125782136918</c:v>
                </c:pt>
                <c:pt idx="131">
                  <c:v>-219.46093844438121</c:v>
                </c:pt>
                <c:pt idx="132">
                  <c:v>-219.1172233457811</c:v>
                </c:pt>
                <c:pt idx="133">
                  <c:v>-218.34428000857898</c:v>
                </c:pt>
                <c:pt idx="134">
                  <c:v>-217.28260200346793</c:v>
                </c:pt>
                <c:pt idx="135">
                  <c:v>-216.23507248512192</c:v>
                </c:pt>
                <c:pt idx="136">
                  <c:v>-215.20013799695221</c:v>
                </c:pt>
                <c:pt idx="137">
                  <c:v>-214.17630346262041</c:v>
                </c:pt>
                <c:pt idx="138">
                  <c:v>-213.16212138886272</c:v>
                </c:pt>
                <c:pt idx="139">
                  <c:v>-212.1561815511815</c:v>
                </c:pt>
                <c:pt idx="140">
                  <c:v>-211.15710097191825</c:v>
                </c:pt>
                <c:pt idx="141">
                  <c:v>-210.16351402603198</c:v>
                </c:pt>
                <c:pt idx="142">
                  <c:v>-209.17406248250319</c:v>
                </c:pt>
                <c:pt idx="143">
                  <c:v>-208.1873853039707</c:v>
                </c:pt>
                <c:pt idx="144">
                  <c:v>-207.20210798576957</c:v>
                </c:pt>
                <c:pt idx="145">
                  <c:v>-206.21683121536449</c:v>
                </c:pt>
                <c:pt idx="146">
                  <c:v>-205.23011857811412</c:v>
                </c:pt>
                <c:pt idx="147">
                  <c:v>-204.24048299058563</c:v>
                </c:pt>
                <c:pt idx="148">
                  <c:v>-203.24637149722531</c:v>
                </c:pt>
                <c:pt idx="149">
                  <c:v>-202.24614794932623</c:v>
                </c:pt>
                <c:pt idx="150">
                  <c:v>-201.23807299870603</c:v>
                </c:pt>
                <c:pt idx="151">
                  <c:v>-200.22028066907586</c:v>
                </c:pt>
                <c:pt idx="152">
                  <c:v>-199.19075058795386</c:v>
                </c:pt>
                <c:pt idx="153">
                  <c:v>-198.14727465264059</c:v>
                </c:pt>
                <c:pt idx="154">
                  <c:v>-197.08741658184056</c:v>
                </c:pt>
                <c:pt idx="155">
                  <c:v>-196.00846224671034</c:v>
                </c:pt>
                <c:pt idx="156">
                  <c:v>-194.90735801374524</c:v>
                </c:pt>
                <c:pt idx="157">
                  <c:v>-193.78063331632669</c:v>
                </c:pt>
                <c:pt idx="158">
                  <c:v>-192.62430228073723</c:v>
                </c:pt>
                <c:pt idx="159">
                  <c:v>-191.43373720506</c:v>
                </c:pt>
                <c:pt idx="160">
                  <c:v>-190.20350372230646</c:v>
                </c:pt>
                <c:pt idx="161">
                  <c:v>-188.92714309507869</c:v>
                </c:pt>
                <c:pt idx="162">
                  <c:v>-187.596880377817</c:v>
                </c:pt>
                <c:pt idx="163">
                  <c:v>-184.45113739996091</c:v>
                </c:pt>
                <c:pt idx="164">
                  <c:v>-180.31592496575604</c:v>
                </c:pt>
                <c:pt idx="165">
                  <c:v>-176.06485600031661</c:v>
                </c:pt>
                <c:pt idx="166">
                  <c:v>-171.67940755225214</c:v>
                </c:pt>
                <c:pt idx="167">
                  <c:v>-167.13693280902842</c:v>
                </c:pt>
                <c:pt idx="168">
                  <c:v>-162.4090786187129</c:v>
                </c:pt>
                <c:pt idx="169">
                  <c:v>-157.45934547612083</c:v>
                </c:pt>
                <c:pt idx="170">
                  <c:v>-152.23916914307713</c:v>
                </c:pt>
                <c:pt idx="171">
                  <c:v>-146.68132074714111</c:v>
                </c:pt>
                <c:pt idx="172">
                  <c:v>-139.67618490944815</c:v>
                </c:pt>
                <c:pt idx="173">
                  <c:v>-134.80104213534531</c:v>
                </c:pt>
                <c:pt idx="174">
                  <c:v>-126.39223752053789</c:v>
                </c:pt>
                <c:pt idx="175">
                  <c:v>-116.87933450150331</c:v>
                </c:pt>
                <c:pt idx="176">
                  <c:v>-105.4746351133351</c:v>
                </c:pt>
                <c:pt idx="177">
                  <c:v>-90.154221438203663</c:v>
                </c:pt>
                <c:pt idx="178">
                  <c:v>-65.929879594238201</c:v>
                </c:pt>
                <c:pt idx="179">
                  <c:v>-36.972625881570053</c:v>
                </c:pt>
                <c:pt idx="180">
                  <c:v>1.9759214584041153E-9</c:v>
                </c:pt>
                <c:pt idx="181">
                  <c:v>36.972625897392568</c:v>
                </c:pt>
                <c:pt idx="182">
                  <c:v>65.929879593877359</c:v>
                </c:pt>
                <c:pt idx="183">
                  <c:v>90.154221434970239</c:v>
                </c:pt>
                <c:pt idx="184">
                  <c:v>105.4746351036198</c:v>
                </c:pt>
                <c:pt idx="185">
                  <c:v>116.87933448544246</c:v>
                </c:pt>
                <c:pt idx="186">
                  <c:v>126.39223751830534</c:v>
                </c:pt>
                <c:pt idx="187">
                  <c:v>134.80104212557592</c:v>
                </c:pt>
                <c:pt idx="188">
                  <c:v>139.67618490853403</c:v>
                </c:pt>
                <c:pt idx="189">
                  <c:v>146.68132074897318</c:v>
                </c:pt>
                <c:pt idx="190">
                  <c:v>152.23916914963178</c:v>
                </c:pt>
                <c:pt idx="191">
                  <c:v>157.45934548462978</c:v>
                </c:pt>
                <c:pt idx="192">
                  <c:v>162.40907862184147</c:v>
                </c:pt>
                <c:pt idx="193">
                  <c:v>167.13693281377243</c:v>
                </c:pt>
                <c:pt idx="194">
                  <c:v>171.67940753755147</c:v>
                </c:pt>
                <c:pt idx="195">
                  <c:v>176.0648560066569</c:v>
                </c:pt>
                <c:pt idx="196">
                  <c:v>180.3159249594936</c:v>
                </c:pt>
                <c:pt idx="197">
                  <c:v>184.45113739166567</c:v>
                </c:pt>
                <c:pt idx="198">
                  <c:v>187.59688038625887</c:v>
                </c:pt>
                <c:pt idx="199">
                  <c:v>188.92714309152078</c:v>
                </c:pt>
                <c:pt idx="200">
                  <c:v>190.20350373319019</c:v>
                </c:pt>
                <c:pt idx="201">
                  <c:v>191.43373720339767</c:v>
                </c:pt>
                <c:pt idx="202">
                  <c:v>192.62430229796695</c:v>
                </c:pt>
                <c:pt idx="203">
                  <c:v>193.7806333123454</c:v>
                </c:pt>
                <c:pt idx="204">
                  <c:v>194.90735802898828</c:v>
                </c:pt>
                <c:pt idx="205">
                  <c:v>196.00846226061051</c:v>
                </c:pt>
                <c:pt idx="206">
                  <c:v>197.08741657731665</c:v>
                </c:pt>
                <c:pt idx="207">
                  <c:v>198.14727464487987</c:v>
                </c:pt>
                <c:pt idx="208">
                  <c:v>199.19075057608018</c:v>
                </c:pt>
                <c:pt idx="209">
                  <c:v>200.22028068289654</c:v>
                </c:pt>
                <c:pt idx="210">
                  <c:v>201.23807300317986</c:v>
                </c:pt>
                <c:pt idx="211">
                  <c:v>202.24614796512677</c:v>
                </c:pt>
                <c:pt idx="212">
                  <c:v>203.24637151464199</c:v>
                </c:pt>
                <c:pt idx="213">
                  <c:v>204.24048299538518</c:v>
                </c:pt>
                <c:pt idx="214">
                  <c:v>205.2301185921138</c:v>
                </c:pt>
                <c:pt idx="215">
                  <c:v>206.21683121782613</c:v>
                </c:pt>
                <c:pt idx="216">
                  <c:v>207.20210798429278</c:v>
                </c:pt>
                <c:pt idx="217">
                  <c:v>208.18738529472765</c:v>
                </c:pt>
                <c:pt idx="218">
                  <c:v>209.17406248055266</c:v>
                </c:pt>
                <c:pt idx="219">
                  <c:v>210.16351401371142</c:v>
                </c:pt>
                <c:pt idx="220">
                  <c:v>211.15710097259776</c:v>
                </c:pt>
                <c:pt idx="221">
                  <c:v>212.15618154590936</c:v>
                </c:pt>
                <c:pt idx="222">
                  <c:v>213.16212137573848</c:v>
                </c:pt>
                <c:pt idx="223">
                  <c:v>214.17630345979427</c:v>
                </c:pt>
                <c:pt idx="224">
                  <c:v>215.20013798925712</c:v>
                </c:pt>
                <c:pt idx="225">
                  <c:v>216.23507249771447</c:v>
                </c:pt>
                <c:pt idx="226">
                  <c:v>217.28260201758673</c:v>
                </c:pt>
                <c:pt idx="227">
                  <c:v>218.34428002005745</c:v>
                </c:pt>
                <c:pt idx="228">
                  <c:v>219.11722336082477</c:v>
                </c:pt>
                <c:pt idx="229">
                  <c:v>219.46093845662554</c:v>
                </c:pt>
                <c:pt idx="230">
                  <c:v>219.80125783805602</c:v>
                </c:pt>
                <c:pt idx="231">
                  <c:v>220.13873570687468</c:v>
                </c:pt>
                <c:pt idx="232">
                  <c:v>220.47391531975157</c:v>
                </c:pt>
                <c:pt idx="233">
                  <c:v>220.80733293922179</c:v>
                </c:pt>
                <c:pt idx="234">
                  <c:v>221.13952215211555</c:v>
                </c:pt>
                <c:pt idx="235">
                  <c:v>221.47101796903939</c:v>
                </c:pt>
                <c:pt idx="236">
                  <c:v>221.80236123083415</c:v>
                </c:pt>
                <c:pt idx="237">
                  <c:v>222.13410315781101</c:v>
                </c:pt>
                <c:pt idx="238">
                  <c:v>222.46681033950497</c:v>
                </c:pt>
                <c:pt idx="239">
                  <c:v>222.80107011004367</c:v>
                </c:pt>
                <c:pt idx="240">
                  <c:v>223.13749652441905</c:v>
                </c:pt>
                <c:pt idx="241">
                  <c:v>223.47673716645289</c:v>
                </c:pt>
                <c:pt idx="242">
                  <c:v>223.81948077019143</c:v>
                </c:pt>
                <c:pt idx="243">
                  <c:v>224.16646628999004</c:v>
                </c:pt>
                <c:pt idx="244">
                  <c:v>224.51849339010164</c:v>
                </c:pt>
                <c:pt idx="245">
                  <c:v>224.87643467435774</c:v>
                </c:pt>
                <c:pt idx="246">
                  <c:v>225.2412508589297</c:v>
                </c:pt>
                <c:pt idx="247">
                  <c:v>225.61400869148318</c:v>
                </c:pt>
                <c:pt idx="248">
                  <c:v>225.99590320633106</c:v>
                </c:pt>
                <c:pt idx="249">
                  <c:v>226.38314329465055</c:v>
                </c:pt>
                <c:pt idx="250">
                  <c:v>226.75105497983537</c:v>
                </c:pt>
                <c:pt idx="251">
                  <c:v>227.09705150565927</c:v>
                </c:pt>
                <c:pt idx="252">
                  <c:v>227.42205592640201</c:v>
                </c:pt>
                <c:pt idx="253">
                  <c:v>227.72691339394956</c:v>
                </c:pt>
                <c:pt idx="254">
                  <c:v>228.01239610656756</c:v>
                </c:pt>
                <c:pt idx="255">
                  <c:v>228.27920786891718</c:v>
                </c:pt>
                <c:pt idx="256">
                  <c:v>228.52798809479475</c:v>
                </c:pt>
                <c:pt idx="257">
                  <c:v>228.75931515015731</c:v>
                </c:pt>
                <c:pt idx="258">
                  <c:v>228.97370954846113</c:v>
                </c:pt>
                <c:pt idx="259">
                  <c:v>229.17163619778421</c:v>
                </c:pt>
                <c:pt idx="260">
                  <c:v>229.35350686354269</c:v>
                </c:pt>
                <c:pt idx="261">
                  <c:v>229.51968145772949</c:v>
                </c:pt>
                <c:pt idx="262">
                  <c:v>229.67046982662561</c:v>
                </c:pt>
                <c:pt idx="263">
                  <c:v>229.80613221624574</c:v>
                </c:pt>
                <c:pt idx="264">
                  <c:v>229.84397404071345</c:v>
                </c:pt>
                <c:pt idx="265">
                  <c:v>229.95432084374067</c:v>
                </c:pt>
                <c:pt idx="266">
                  <c:v>230.05011709108379</c:v>
                </c:pt>
                <c:pt idx="267">
                  <c:v>230.13142645710997</c:v>
                </c:pt>
                <c:pt idx="268">
                  <c:v>230.1982614504482</c:v>
                </c:pt>
                <c:pt idx="269">
                  <c:v>230.25058130731713</c:v>
                </c:pt>
                <c:pt idx="270">
                  <c:v>230.28829037241249</c:v>
                </c:pt>
                <c:pt idx="271">
                  <c:v>230.30076611466421</c:v>
                </c:pt>
                <c:pt idx="272">
                  <c:v>230.29731454563455</c:v>
                </c:pt>
                <c:pt idx="273">
                  <c:v>230.27812965822085</c:v>
                </c:pt>
                <c:pt idx="274">
                  <c:v>230.24333161335539</c:v>
                </c:pt>
                <c:pt idx="275">
                  <c:v>230.19297377615442</c:v>
                </c:pt>
                <c:pt idx="276">
                  <c:v>230.12704806581385</c:v>
                </c:pt>
                <c:pt idx="277">
                  <c:v>230.04548885725674</c:v>
                </c:pt>
                <c:pt idx="278">
                  <c:v>229.94817534469092</c:v>
                </c:pt>
                <c:pt idx="279">
                  <c:v>229.83493356817763</c:v>
                </c:pt>
                <c:pt idx="280">
                  <c:v>229.70553704893567</c:v>
                </c:pt>
                <c:pt idx="281">
                  <c:v>229.55970738400521</c:v>
                </c:pt>
                <c:pt idx="282">
                  <c:v>229.3971135235019</c:v>
                </c:pt>
                <c:pt idx="283">
                  <c:v>229.2173711308543</c:v>
                </c:pt>
                <c:pt idx="284">
                  <c:v>229.02004111174372</c:v>
                </c:pt>
                <c:pt idx="285">
                  <c:v>228.8046277074701</c:v>
                </c:pt>
                <c:pt idx="286">
                  <c:v>228.57057626874825</c:v>
                </c:pt>
                <c:pt idx="287">
                  <c:v>228.31727018143766</c:v>
                </c:pt>
                <c:pt idx="288">
                  <c:v>228.04402765962135</c:v>
                </c:pt>
                <c:pt idx="289">
                  <c:v>227.75009780564938</c:v>
                </c:pt>
                <c:pt idx="290">
                  <c:v>227.43465621225607</c:v>
                </c:pt>
                <c:pt idx="291">
                  <c:v>227.09679985769822</c:v>
                </c:pt>
                <c:pt idx="292">
                  <c:v>226.73554140677928</c:v>
                </c:pt>
                <c:pt idx="293">
                  <c:v>226.3498028250857</c:v>
                </c:pt>
                <c:pt idx="294">
                  <c:v>225.93840808159803</c:v>
                </c:pt>
                <c:pt idx="295">
                  <c:v>225.50007520968575</c:v>
                </c:pt>
                <c:pt idx="296">
                  <c:v>225.03415070777237</c:v>
                </c:pt>
                <c:pt idx="297">
                  <c:v>224.55899295029735</c:v>
                </c:pt>
                <c:pt idx="298">
                  <c:v>224.08237518573321</c:v>
                </c:pt>
                <c:pt idx="299">
                  <c:v>223.60340809110656</c:v>
                </c:pt>
                <c:pt idx="300">
                  <c:v>223.12123364335048</c:v>
                </c:pt>
                <c:pt idx="301">
                  <c:v>222.63501498863744</c:v>
                </c:pt>
                <c:pt idx="302">
                  <c:v>222.1439270192823</c:v>
                </c:pt>
                <c:pt idx="303">
                  <c:v>221.64714831347035</c:v>
                </c:pt>
                <c:pt idx="304">
                  <c:v>221.14385346742733</c:v>
                </c:pt>
                <c:pt idx="305">
                  <c:v>220.63320589929577</c:v>
                </c:pt>
                <c:pt idx="306">
                  <c:v>220.11435084205974</c:v>
                </c:pt>
                <c:pt idx="307">
                  <c:v>219.58640859478487</c:v>
                </c:pt>
                <c:pt idx="308">
                  <c:v>219.04846762151433</c:v>
                </c:pt>
                <c:pt idx="309">
                  <c:v>218.49957742150389</c:v>
                </c:pt>
                <c:pt idx="310">
                  <c:v>217.93874136259808</c:v>
                </c:pt>
                <c:pt idx="311">
                  <c:v>217.36490864381938</c:v>
                </c:pt>
                <c:pt idx="312">
                  <c:v>216.77696625325009</c:v>
                </c:pt>
                <c:pt idx="313">
                  <c:v>216.17372973348989</c:v>
                </c:pt>
                <c:pt idx="314">
                  <c:v>215.55393327211817</c:v>
                </c:pt>
                <c:pt idx="315">
                  <c:v>214.91621889840712</c:v>
                </c:pt>
                <c:pt idx="316">
                  <c:v>214.25912410485719</c:v>
                </c:pt>
                <c:pt idx="317">
                  <c:v>213.58106824392735</c:v>
                </c:pt>
                <c:pt idx="318">
                  <c:v>212.88033705496403</c:v>
                </c:pt>
                <c:pt idx="319">
                  <c:v>212.15506523089022</c:v>
                </c:pt>
                <c:pt idx="320">
                  <c:v>211.40321612729602</c:v>
                </c:pt>
                <c:pt idx="321">
                  <c:v>210.04672865613136</c:v>
                </c:pt>
                <c:pt idx="322">
                  <c:v>206.42786335142762</c:v>
                </c:pt>
                <c:pt idx="323">
                  <c:v>200.65049974807337</c:v>
                </c:pt>
                <c:pt idx="324">
                  <c:v>192.87953666856652</c:v>
                </c:pt>
                <c:pt idx="325">
                  <c:v>183.22463045371461</c:v>
                </c:pt>
                <c:pt idx="326">
                  <c:v>171.75143591151416</c:v>
                </c:pt>
                <c:pt idx="327">
                  <c:v>158.48826298626363</c:v>
                </c:pt>
                <c:pt idx="328">
                  <c:v>143.42959275910289</c:v>
                </c:pt>
                <c:pt idx="329">
                  <c:v>126.53719807044763</c:v>
                </c:pt>
                <c:pt idx="330">
                  <c:v>107.73919158681383</c:v>
                </c:pt>
                <c:pt idx="331">
                  <c:v>86.927027865906467</c:v>
                </c:pt>
                <c:pt idx="332">
                  <c:v>68.088775764178109</c:v>
                </c:pt>
                <c:pt idx="333">
                  <c:v>49.108916291124146</c:v>
                </c:pt>
                <c:pt idx="334">
                  <c:v>29.154591818677858</c:v>
                </c:pt>
                <c:pt idx="335">
                  <c:v>8.2807945583412614</c:v>
                </c:pt>
                <c:pt idx="336">
                  <c:v>-13.429696532031357</c:v>
                </c:pt>
                <c:pt idx="337">
                  <c:v>-35.820840578608191</c:v>
                </c:pt>
                <c:pt idx="338">
                  <c:v>-57.809334839059403</c:v>
                </c:pt>
                <c:pt idx="339">
                  <c:v>-78.814131466049616</c:v>
                </c:pt>
                <c:pt idx="340">
                  <c:v>-98.638654113377257</c:v>
                </c:pt>
                <c:pt idx="341">
                  <c:v>-116.97567612685285</c:v>
                </c:pt>
                <c:pt idx="342">
                  <c:v>-133.32773200125536</c:v>
                </c:pt>
                <c:pt idx="343">
                  <c:v>-146.84304144716072</c:v>
                </c:pt>
                <c:pt idx="344">
                  <c:v>-155.93188739583229</c:v>
                </c:pt>
                <c:pt idx="345">
                  <c:v>-158.3411320674106</c:v>
                </c:pt>
                <c:pt idx="346">
                  <c:v>-159.19584466949709</c:v>
                </c:pt>
                <c:pt idx="347">
                  <c:v>-160.04315002733574</c:v>
                </c:pt>
                <c:pt idx="348">
                  <c:v>-160.88365381934511</c:v>
                </c:pt>
                <c:pt idx="349">
                  <c:v>-161.71794381057782</c:v>
                </c:pt>
                <c:pt idx="350">
                  <c:v>-162.54659158548054</c:v>
                </c:pt>
                <c:pt idx="351">
                  <c:v>-163.37015418910298</c:v>
                </c:pt>
                <c:pt idx="352">
                  <c:v>-164.18917568715938</c:v>
                </c:pt>
                <c:pt idx="353">
                  <c:v>-165.00418865455578</c:v>
                </c:pt>
                <c:pt idx="354">
                  <c:v>-165.81571560130459</c:v>
                </c:pt>
                <c:pt idx="355">
                  <c:v>-166.62427034415919</c:v>
                </c:pt>
                <c:pt idx="356">
                  <c:v>-167.43035933179192</c:v>
                </c:pt>
                <c:pt idx="357">
                  <c:v>-168.23448293090752</c:v>
                </c:pt>
                <c:pt idx="358">
                  <c:v>-169.03713668032788</c:v>
                </c:pt>
                <c:pt idx="359">
                  <c:v>-169.83881251979381</c:v>
                </c:pt>
                <c:pt idx="360">
                  <c:v>-170.63999999999908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-224.54168933391747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1.81556961251772E-6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General</c:formatCode>
                <c:ptCount val="1"/>
                <c:pt idx="0">
                  <c:v>-100</c:v>
                </c:pt>
              </c:numCache>
            </c:numRef>
          </c:xVal>
          <c:yVal>
            <c:numRef>
              <c:f>L_Section_Capacity!$U$12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L_Section_Capacity!$AV$2:$AV$362</c:f>
              <c:numCache>
                <c:formatCode>General</c:formatCode>
                <c:ptCount val="361"/>
                <c:pt idx="0">
                  <c:v>-2.6042712501206959</c:v>
                </c:pt>
                <c:pt idx="1">
                  <c:v>-2.6021985071021843</c:v>
                </c:pt>
                <c:pt idx="2">
                  <c:v>-2.6001079478426039</c:v>
                </c:pt>
                <c:pt idx="3">
                  <c:v>-2.5979981017613349</c:v>
                </c:pt>
                <c:pt idx="4">
                  <c:v>-2.5958674479107793</c:v>
                </c:pt>
                <c:pt idx="5">
                  <c:v>-2.5937144104741812</c:v>
                </c:pt>
                <c:pt idx="6">
                  <c:v>-2.5915373537345321</c:v>
                </c:pt>
                <c:pt idx="7">
                  <c:v>-2.5893345768066331</c:v>
                </c:pt>
                <c:pt idx="8">
                  <c:v>-2.5871043079815621</c:v>
                </c:pt>
                <c:pt idx="9">
                  <c:v>-2.5848446986001612</c:v>
                </c:pt>
                <c:pt idx="10">
                  <c:v>-2.5825538165036948</c:v>
                </c:pt>
                <c:pt idx="11">
                  <c:v>-2.580229638869096</c:v>
                </c:pt>
                <c:pt idx="12">
                  <c:v>-2.5778700445825757</c:v>
                </c:pt>
                <c:pt idx="13">
                  <c:v>-2.5754728058262648</c:v>
                </c:pt>
                <c:pt idx="14">
                  <c:v>-2.5730355791012824</c:v>
                </c:pt>
                <c:pt idx="15">
                  <c:v>-2.570555895332292</c:v>
                </c:pt>
                <c:pt idx="16">
                  <c:v>-2.5680311490941028</c:v>
                </c:pt>
                <c:pt idx="17">
                  <c:v>-2.5654585868691808</c:v>
                </c:pt>
                <c:pt idx="18">
                  <c:v>-2.5628352942674417</c:v>
                </c:pt>
                <c:pt idx="19">
                  <c:v>-2.5601581818916883</c:v>
                </c:pt>
                <c:pt idx="20">
                  <c:v>-2.5574239698534371</c:v>
                </c:pt>
                <c:pt idx="21">
                  <c:v>-2.5546291708141609</c:v>
                </c:pt>
                <c:pt idx="22">
                  <c:v>-2.5517700711976778</c:v>
                </c:pt>
                <c:pt idx="23">
                  <c:v>-2.548842710521154</c:v>
                </c:pt>
                <c:pt idx="24">
                  <c:v>-2.5458428584408885</c:v>
                </c:pt>
                <c:pt idx="25">
                  <c:v>-2.5427659894540104</c:v>
                </c:pt>
                <c:pt idx="26">
                  <c:v>-2.5396072546771542</c:v>
                </c:pt>
                <c:pt idx="27">
                  <c:v>-2.5363614505113539</c:v>
                </c:pt>
                <c:pt idx="28">
                  <c:v>-2.5330229836899649</c:v>
                </c:pt>
                <c:pt idx="29">
                  <c:v>-2.529585832310234</c:v>
                </c:pt>
                <c:pt idx="30">
                  <c:v>-2.5260435020624552</c:v>
                </c:pt>
                <c:pt idx="31">
                  <c:v>-2.5223889773100572</c:v>
                </c:pt>
                <c:pt idx="32">
                  <c:v>-2.5186199220968879</c:v>
                </c:pt>
                <c:pt idx="33">
                  <c:v>-2.5148768514811972</c:v>
                </c:pt>
                <c:pt idx="34">
                  <c:v>-2.5112181992131961</c:v>
                </c:pt>
                <c:pt idx="35">
                  <c:v>-2.5076348105788688</c:v>
                </c:pt>
                <c:pt idx="36">
                  <c:v>-2.5041182519683653</c:v>
                </c:pt>
                <c:pt idx="37">
                  <c:v>-2.5006607053593859</c:v>
                </c:pt>
                <c:pt idx="38">
                  <c:v>-2.4972548771041314</c:v>
                </c:pt>
                <c:pt idx="39">
                  <c:v>-2.4938939177934949</c:v>
                </c:pt>
                <c:pt idx="40">
                  <c:v>-2.4905713517700647</c:v>
                </c:pt>
                <c:pt idx="41">
                  <c:v>-2.4872810138485431</c:v>
                </c:pt>
                <c:pt idx="42">
                  <c:v>-2.484016992352402</c:v>
                </c:pt>
                <c:pt idx="43">
                  <c:v>-2.480773576786242</c:v>
                </c:pt>
                <c:pt idx="44">
                  <c:v>-2.477545209185759</c:v>
                </c:pt>
                <c:pt idx="45">
                  <c:v>-2.4743264383712926</c:v>
                </c:pt>
                <c:pt idx="46">
                  <c:v>-2.471111875771749</c:v>
                </c:pt>
                <c:pt idx="47">
                  <c:v>-2.4678961525098426</c:v>
                </c:pt>
                <c:pt idx="48">
                  <c:v>-2.4646738765333751</c:v>
                </c:pt>
                <c:pt idx="49">
                  <c:v>-2.4614395892917571</c:v>
                </c:pt>
                <c:pt idx="50">
                  <c:v>-2.4581877209702894</c:v>
                </c:pt>
                <c:pt idx="51">
                  <c:v>-2.4549125434950052</c:v>
                </c:pt>
                <c:pt idx="52">
                  <c:v>-2.4516081204399276</c:v>
                </c:pt>
                <c:pt idx="53">
                  <c:v>-2.4482682525281958</c:v>
                </c:pt>
                <c:pt idx="54">
                  <c:v>-2.4448864179540095</c:v>
                </c:pt>
                <c:pt idx="55">
                  <c:v>-2.4414557056317294</c:v>
                </c:pt>
                <c:pt idx="56">
                  <c:v>-2.4379687400813976</c:v>
                </c:pt>
                <c:pt idx="57">
                  <c:v>-2.4344175957491414</c:v>
                </c:pt>
                <c:pt idx="58">
                  <c:v>-2.4307936983349734</c:v>
                </c:pt>
                <c:pt idx="59">
                  <c:v>-2.4270877101737551</c:v>
                </c:pt>
                <c:pt idx="60">
                  <c:v>-2.4232893957204666</c:v>
                </c:pt>
                <c:pt idx="61">
                  <c:v>-2.4193874626438321</c:v>
                </c:pt>
                <c:pt idx="62">
                  <c:v>-2.4153693723169249</c:v>
                </c:pt>
                <c:pt idx="63">
                  <c:v>-2.4107633217398563</c:v>
                </c:pt>
                <c:pt idx="64">
                  <c:v>-2.4038894122177981</c:v>
                </c:pt>
                <c:pt idx="65">
                  <c:v>-2.3969017390642837</c:v>
                </c:pt>
                <c:pt idx="66">
                  <c:v>-2.3897830854398157</c:v>
                </c:pt>
                <c:pt idx="67">
                  <c:v>-2.3825141906883633</c:v>
                </c:pt>
                <c:pt idx="68">
                  <c:v>-2.3750732951987756</c:v>
                </c:pt>
                <c:pt idx="69">
                  <c:v>-2.3674355632175823</c:v>
                </c:pt>
                <c:pt idx="70">
                  <c:v>-2.3595723409114053</c:v>
                </c:pt>
                <c:pt idx="71">
                  <c:v>-2.3514501893615583</c:v>
                </c:pt>
                <c:pt idx="72">
                  <c:v>-2.3430296047365937</c:v>
                </c:pt>
                <c:pt idx="73">
                  <c:v>-2.3342632964434289</c:v>
                </c:pt>
                <c:pt idx="74">
                  <c:v>-2.3250938283866018</c:v>
                </c:pt>
                <c:pt idx="75">
                  <c:v>-2.3154503225489065</c:v>
                </c:pt>
                <c:pt idx="76">
                  <c:v>-2.305243748681792</c:v>
                </c:pt>
                <c:pt idx="77">
                  <c:v>-2.2943600227340233</c:v>
                </c:pt>
                <c:pt idx="78">
                  <c:v>-2.2826496038155089</c:v>
                </c:pt>
                <c:pt idx="79">
                  <c:v>-2.2699112936602228</c:v>
                </c:pt>
                <c:pt idx="80">
                  <c:v>-2.2558660366268497</c:v>
                </c:pt>
                <c:pt idx="81">
                  <c:v>-2.2401126239765734</c:v>
                </c:pt>
                <c:pt idx="82">
                  <c:v>-2.2220498448426129</c:v>
                </c:pt>
                <c:pt idx="83">
                  <c:v>-2.2025785612474196</c:v>
                </c:pt>
                <c:pt idx="84">
                  <c:v>-2.1829750206386715</c:v>
                </c:pt>
                <c:pt idx="85">
                  <c:v>-2.1632144521179062</c:v>
                </c:pt>
                <c:pt idx="86">
                  <c:v>-2.1432702586611914</c:v>
                </c:pt>
                <c:pt idx="87">
                  <c:v>-2.1231135564208072</c:v>
                </c:pt>
                <c:pt idx="88">
                  <c:v>-2.1027125466000873</c:v>
                </c:pt>
                <c:pt idx="89">
                  <c:v>-2.0820316327569524</c:v>
                </c:pt>
                <c:pt idx="90">
                  <c:v>-2.061030136225007</c:v>
                </c:pt>
                <c:pt idx="91">
                  <c:v>-2.0246348728366312</c:v>
                </c:pt>
                <c:pt idx="92">
                  <c:v>-1.9885461276845458</c:v>
                </c:pt>
                <c:pt idx="93">
                  <c:v>-1.9527464214293879</c:v>
                </c:pt>
                <c:pt idx="94">
                  <c:v>-1.9171999725678146</c:v>
                </c:pt>
                <c:pt idx="95">
                  <c:v>-1.8818577915183516</c:v>
                </c:pt>
                <c:pt idx="96">
                  <c:v>-1.8466621377679058</c:v>
                </c:pt>
                <c:pt idx="97">
                  <c:v>-1.8127741920210076</c:v>
                </c:pt>
                <c:pt idx="98">
                  <c:v>-1.7854311813621668</c:v>
                </c:pt>
                <c:pt idx="99">
                  <c:v>-1.7633988760803887</c:v>
                </c:pt>
                <c:pt idx="100">
                  <c:v>-1.7452239970521892</c:v>
                </c:pt>
                <c:pt idx="101">
                  <c:v>-1.7357607930298129</c:v>
                </c:pt>
                <c:pt idx="102">
                  <c:v>-1.7223978856675153</c:v>
                </c:pt>
                <c:pt idx="103">
                  <c:v>-1.7108151951512016</c:v>
                </c:pt>
                <c:pt idx="104">
                  <c:v>-1.7006597320667616</c:v>
                </c:pt>
                <c:pt idx="105">
                  <c:v>-1.6916666563577678</c:v>
                </c:pt>
                <c:pt idx="106">
                  <c:v>-1.6836332783713297</c:v>
                </c:pt>
                <c:pt idx="107">
                  <c:v>-1.6764017587376552</c:v>
                </c:pt>
                <c:pt idx="108">
                  <c:v>-1.669847291161034</c:v>
                </c:pt>
                <c:pt idx="109">
                  <c:v>-1.6638698408138104</c:v>
                </c:pt>
                <c:pt idx="110">
                  <c:v>-1.658388249530401</c:v>
                </c:pt>
                <c:pt idx="111">
                  <c:v>-1.6533359513558026</c:v>
                </c:pt>
                <c:pt idx="112">
                  <c:v>-1.6486578073715268</c:v>
                </c:pt>
                <c:pt idx="113">
                  <c:v>-1.6443077321969928</c:v>
                </c:pt>
                <c:pt idx="114">
                  <c:v>-1.6402468898271982</c:v>
                </c:pt>
                <c:pt idx="115">
                  <c:v>-1.636442305599116</c:v>
                </c:pt>
                <c:pt idx="116">
                  <c:v>-1.6328657858091074</c:v>
                </c:pt>
                <c:pt idx="117">
                  <c:v>-1.6294930682989328</c:v>
                </c:pt>
                <c:pt idx="118">
                  <c:v>-1.6263031483374304</c:v>
                </c:pt>
                <c:pt idx="119">
                  <c:v>-1.623277738430247</c:v>
                </c:pt>
                <c:pt idx="120">
                  <c:v>-1.6204008321962882</c:v>
                </c:pt>
                <c:pt idx="121">
                  <c:v>-1.6176583494964458</c:v>
                </c:pt>
                <c:pt idx="122">
                  <c:v>-1.6150378455625349</c:v>
                </c:pt>
                <c:pt idx="123">
                  <c:v>-1.6125282708826345</c:v>
                </c:pt>
                <c:pt idx="124">
                  <c:v>-1.6101197717724869</c:v>
                </c:pt>
                <c:pt idx="125">
                  <c:v>-1.6078035236706769</c:v>
                </c:pt>
                <c:pt idx="126">
                  <c:v>-1.6055715912411208</c:v>
                </c:pt>
                <c:pt idx="127">
                  <c:v>-1.6034168097675299</c:v>
                </c:pt>
                <c:pt idx="128">
                  <c:v>-1.6013326844251621</c:v>
                </c:pt>
                <c:pt idx="129">
                  <c:v>-1.599313304437481</c:v>
                </c:pt>
                <c:pt idx="130">
                  <c:v>-1.5973532690348198</c:v>
                </c:pt>
                <c:pt idx="131">
                  <c:v>-1.5954476232725139</c:v>
                </c:pt>
                <c:pt idx="132">
                  <c:v>-1.5935918028888598</c:v>
                </c:pt>
                <c:pt idx="133">
                  <c:v>-1.5915075154617055</c:v>
                </c:pt>
                <c:pt idx="134">
                  <c:v>-1.5893005634972508</c:v>
                </c:pt>
                <c:pt idx="135">
                  <c:v>-1.5871666420491002</c:v>
                </c:pt>
                <c:pt idx="136">
                  <c:v>-1.5851005308409429</c:v>
                </c:pt>
                <c:pt idx="137">
                  <c:v>-1.5830973944721258</c:v>
                </c:pt>
                <c:pt idx="138">
                  <c:v>-1.5811527380477273</c:v>
                </c:pt>
                <c:pt idx="139">
                  <c:v>-1.5792623678666811</c:v>
                </c:pt>
                <c:pt idx="140">
                  <c:v>-1.5774223553142683</c:v>
                </c:pt>
                <c:pt idx="141">
                  <c:v>-1.5756290043921102</c:v>
                </c:pt>
                <c:pt idx="142">
                  <c:v>-1.5738788212193542</c:v>
                </c:pt>
                <c:pt idx="143">
                  <c:v>-1.5721684859915961</c:v>
                </c:pt>
                <c:pt idx="144">
                  <c:v>-1.5704948258785323</c:v>
                </c:pt>
                <c:pt idx="145">
                  <c:v>-1.5688547893354376</c:v>
                </c:pt>
                <c:pt idx="146">
                  <c:v>-1.5672454207360249</c:v>
                </c:pt>
                <c:pt idx="147">
                  <c:v>-1.5656638345766281</c:v>
                </c:pt>
                <c:pt idx="148">
                  <c:v>-1.5641071896703798</c:v>
                </c:pt>
                <c:pt idx="149">
                  <c:v>-1.5625726615649391</c:v>
                </c:pt>
                <c:pt idx="150">
                  <c:v>-1.5610574131382373</c:v>
                </c:pt>
                <c:pt idx="151">
                  <c:v>-1.5595585619933343</c:v>
                </c:pt>
                <c:pt idx="152">
                  <c:v>-1.5580731443661471</c:v>
                </c:pt>
                <c:pt idx="153">
                  <c:v>-1.5565980728717543</c:v>
                </c:pt>
                <c:pt idx="154">
                  <c:v>-1.5551300877494734</c:v>
                </c:pt>
                <c:pt idx="155">
                  <c:v>-1.5536656979668306</c:v>
                </c:pt>
                <c:pt idx="156">
                  <c:v>-1.5522011101076381</c:v>
                </c:pt>
                <c:pt idx="157">
                  <c:v>-1.5507321404268246</c:v>
                </c:pt>
                <c:pt idx="158">
                  <c:v>-1.5492541046400992</c:v>
                </c:pt>
                <c:pt idx="159">
                  <c:v>-1.5477616776537977</c:v>
                </c:pt>
                <c:pt idx="160">
                  <c:v>-1.5462487120697535</c:v>
                </c:pt>
                <c:pt idx="161">
                  <c:v>-1.5447080005652651</c:v>
                </c:pt>
                <c:pt idx="162">
                  <c:v>-1.5431309587344109</c:v>
                </c:pt>
                <c:pt idx="163">
                  <c:v>-1.5415071950280486</c:v>
                </c:pt>
                <c:pt idx="164">
                  <c:v>-1.5398239165063552</c:v>
                </c:pt>
                <c:pt idx="165">
                  <c:v>-1.5380650908534752</c:v>
                </c:pt>
                <c:pt idx="166">
                  <c:v>-1.5362102371679989</c:v>
                </c:pt>
                <c:pt idx="167">
                  <c:v>-1.5342326340564623</c:v>
                </c:pt>
                <c:pt idx="168">
                  <c:v>-1.532096586732991</c:v>
                </c:pt>
                <c:pt idx="169">
                  <c:v>-1.5297531052368931</c:v>
                </c:pt>
                <c:pt idx="170">
                  <c:v>-1.5271327906538423</c:v>
                </c:pt>
                <c:pt idx="171">
                  <c:v>-1.5241335225861821</c:v>
                </c:pt>
                <c:pt idx="172">
                  <c:v>-1.5203883288560791</c:v>
                </c:pt>
                <c:pt idx="173">
                  <c:v>-1.5172061507451053</c:v>
                </c:pt>
                <c:pt idx="174">
                  <c:v>-1.5115892430391205</c:v>
                </c:pt>
                <c:pt idx="175">
                  <c:v>-1.5038673766116426</c:v>
                </c:pt>
                <c:pt idx="176">
                  <c:v>-1.4920159398240569</c:v>
                </c:pt>
                <c:pt idx="177">
                  <c:v>-1.4699572143829889</c:v>
                </c:pt>
                <c:pt idx="178">
                  <c:v>-1.413187352250427</c:v>
                </c:pt>
                <c:pt idx="179">
                  <c:v>-1.2667914919189431</c:v>
                </c:pt>
                <c:pt idx="180">
                  <c:v>1.5683024314847975E-10</c:v>
                </c:pt>
                <c:pt idx="181">
                  <c:v>1.266791492084858</c:v>
                </c:pt>
                <c:pt idx="182">
                  <c:v>1.4131873522031293</c:v>
                </c:pt>
                <c:pt idx="183">
                  <c:v>1.4699572144972541</c:v>
                </c:pt>
                <c:pt idx="184">
                  <c:v>1.492015939775625</c:v>
                </c:pt>
                <c:pt idx="185">
                  <c:v>1.503867376630786</c:v>
                </c:pt>
                <c:pt idx="186">
                  <c:v>1.5115892430948212</c:v>
                </c:pt>
                <c:pt idx="187">
                  <c:v>1.5172061507570904</c:v>
                </c:pt>
                <c:pt idx="188">
                  <c:v>1.5203883288459186</c:v>
                </c:pt>
                <c:pt idx="189">
                  <c:v>1.5241335225812305</c:v>
                </c:pt>
                <c:pt idx="190">
                  <c:v>1.5271327905615861</c:v>
                </c:pt>
                <c:pt idx="191">
                  <c:v>1.5297531052289275</c:v>
                </c:pt>
                <c:pt idx="192">
                  <c:v>1.5320965866525587</c:v>
                </c:pt>
                <c:pt idx="193">
                  <c:v>1.5342326340953685</c:v>
                </c:pt>
                <c:pt idx="194">
                  <c:v>1.5362102371589461</c:v>
                </c:pt>
                <c:pt idx="195">
                  <c:v>1.5380650908803788</c:v>
                </c:pt>
                <c:pt idx="196">
                  <c:v>1.5398239165081449</c:v>
                </c:pt>
                <c:pt idx="197">
                  <c:v>1.5415071950106942</c:v>
                </c:pt>
                <c:pt idx="198">
                  <c:v>1.5431309586796405</c:v>
                </c:pt>
                <c:pt idx="199">
                  <c:v>1.5447080005279021</c:v>
                </c:pt>
                <c:pt idx="200">
                  <c:v>1.5462487120044253</c:v>
                </c:pt>
                <c:pt idx="201">
                  <c:v>1.5477616776430758</c:v>
                </c:pt>
                <c:pt idx="202">
                  <c:v>1.5492541046365953</c:v>
                </c:pt>
                <c:pt idx="203">
                  <c:v>1.5507321404544248</c:v>
                </c:pt>
                <c:pt idx="204">
                  <c:v>1.5522011100897755</c:v>
                </c:pt>
                <c:pt idx="205">
                  <c:v>1.553665697961407</c:v>
                </c:pt>
                <c:pt idx="206">
                  <c:v>1.5551300877876053</c:v>
                </c:pt>
                <c:pt idx="207">
                  <c:v>1.556598072908282</c:v>
                </c:pt>
                <c:pt idx="208">
                  <c:v>1.5580731443722278</c:v>
                </c:pt>
                <c:pt idx="209">
                  <c:v>1.5595585619645389</c:v>
                </c:pt>
                <c:pt idx="210">
                  <c:v>1.5610574131137507</c:v>
                </c:pt>
                <c:pt idx="211">
                  <c:v>1.562572661561509</c:v>
                </c:pt>
                <c:pt idx="212">
                  <c:v>1.5641071896530703</c:v>
                </c:pt>
                <c:pt idx="213">
                  <c:v>1.5656638345716962</c:v>
                </c:pt>
                <c:pt idx="214">
                  <c:v>1.5672454207087363</c:v>
                </c:pt>
                <c:pt idx="215">
                  <c:v>1.5688547893669129</c:v>
                </c:pt>
                <c:pt idx="216">
                  <c:v>1.5704948258870204</c:v>
                </c:pt>
                <c:pt idx="217">
                  <c:v>1.5721684860136929</c:v>
                </c:pt>
                <c:pt idx="218">
                  <c:v>1.5738788212437977</c:v>
                </c:pt>
                <c:pt idx="219">
                  <c:v>1.5756290044086487</c:v>
                </c:pt>
                <c:pt idx="220">
                  <c:v>1.5774223553137512</c:v>
                </c:pt>
                <c:pt idx="221">
                  <c:v>1.5792623678647324</c:v>
                </c:pt>
                <c:pt idx="222">
                  <c:v>1.5811527380861445</c:v>
                </c:pt>
                <c:pt idx="223">
                  <c:v>1.5830973944732114</c:v>
                </c:pt>
                <c:pt idx="224">
                  <c:v>1.5851005308547352</c:v>
                </c:pt>
                <c:pt idx="225">
                  <c:v>1.5871666419928716</c:v>
                </c:pt>
                <c:pt idx="226">
                  <c:v>1.5893005634660653</c:v>
                </c:pt>
                <c:pt idx="227">
                  <c:v>1.5915075154632565</c:v>
                </c:pt>
                <c:pt idx="228">
                  <c:v>1.5935918028700558</c:v>
                </c:pt>
                <c:pt idx="229">
                  <c:v>1.5954476232554324</c:v>
                </c:pt>
                <c:pt idx="230">
                  <c:v>1.5973532689995253</c:v>
                </c:pt>
                <c:pt idx="231">
                  <c:v>1.5993133044717058</c:v>
                </c:pt>
                <c:pt idx="232">
                  <c:v>1.6013326844025098</c:v>
                </c:pt>
                <c:pt idx="233">
                  <c:v>1.6034168097289652</c:v>
                </c:pt>
                <c:pt idx="234">
                  <c:v>1.6055715912346427</c:v>
                </c:pt>
                <c:pt idx="235">
                  <c:v>1.607803523673446</c:v>
                </c:pt>
                <c:pt idx="236">
                  <c:v>1.6101197717542415</c:v>
                </c:pt>
                <c:pt idx="237">
                  <c:v>1.6125282708955739</c:v>
                </c:pt>
                <c:pt idx="238">
                  <c:v>1.6150378455847452</c:v>
                </c:pt>
                <c:pt idx="239">
                  <c:v>1.6176583495015062</c:v>
                </c:pt>
                <c:pt idx="240">
                  <c:v>1.6204008321930707</c:v>
                </c:pt>
                <c:pt idx="241">
                  <c:v>1.6232777384101942</c:v>
                </c:pt>
                <c:pt idx="242">
                  <c:v>1.626303148337402</c:v>
                </c:pt>
                <c:pt idx="243">
                  <c:v>1.6294930683207642</c:v>
                </c:pt>
                <c:pt idx="244">
                  <c:v>1.6328657857718905</c:v>
                </c:pt>
                <c:pt idx="245">
                  <c:v>1.6364423055831057</c:v>
                </c:pt>
                <c:pt idx="246">
                  <c:v>1.6402468898066493</c:v>
                </c:pt>
                <c:pt idx="247">
                  <c:v>1.6443077321795678</c:v>
                </c:pt>
                <c:pt idx="248">
                  <c:v>1.6486578073800549</c:v>
                </c:pt>
                <c:pt idx="249">
                  <c:v>1.6532762052091692</c:v>
                </c:pt>
                <c:pt idx="250">
                  <c:v>1.6578895360392198</c:v>
                </c:pt>
                <c:pt idx="251">
                  <c:v>1.6624628534586539</c:v>
                </c:pt>
                <c:pt idx="252">
                  <c:v>1.6670015650478467</c:v>
                </c:pt>
                <c:pt idx="253">
                  <c:v>1.671510912697258</c:v>
                </c:pt>
                <c:pt idx="254">
                  <c:v>1.6759959999885974</c:v>
                </c:pt>
                <c:pt idx="255">
                  <c:v>1.6804618176093629</c:v>
                </c:pt>
                <c:pt idx="256">
                  <c:v>1.684913267386019</c:v>
                </c:pt>
                <c:pt idx="257">
                  <c:v>1.6893551854094269</c:v>
                </c:pt>
                <c:pt idx="258">
                  <c:v>1.6937923637275853</c:v>
                </c:pt>
                <c:pt idx="259">
                  <c:v>1.6982295721005545</c:v>
                </c:pt>
                <c:pt idx="260">
                  <c:v>1.702671578189622</c:v>
                </c:pt>
                <c:pt idx="261">
                  <c:v>1.7071231685892236</c:v>
                </c:pt>
                <c:pt idx="262">
                  <c:v>1.7115891681567155</c:v>
                </c:pt>
                <c:pt idx="263">
                  <c:v>1.7160744607605276</c:v>
                </c:pt>
                <c:pt idx="264">
                  <c:v>1.717438825324286</c:v>
                </c:pt>
                <c:pt idx="265">
                  <c:v>1.7220187810812269</c:v>
                </c:pt>
                <c:pt idx="266">
                  <c:v>1.7266343065744407</c:v>
                </c:pt>
                <c:pt idx="267">
                  <c:v>1.7312907832304409</c:v>
                </c:pt>
                <c:pt idx="268">
                  <c:v>1.7359937523237547</c:v>
                </c:pt>
                <c:pt idx="269">
                  <c:v>1.7407489366651936</c:v>
                </c:pt>
                <c:pt idx="270">
                  <c:v>1.7455622608649155</c:v>
                </c:pt>
                <c:pt idx="271">
                  <c:v>1.749902768686816</c:v>
                </c:pt>
                <c:pt idx="272">
                  <c:v>1.7541944788086439</c:v>
                </c:pt>
                <c:pt idx="273">
                  <c:v>1.7584459394328815</c:v>
                </c:pt>
                <c:pt idx="274">
                  <c:v>1.7626649138300721</c:v>
                </c:pt>
                <c:pt idx="275">
                  <c:v>1.7668585313741423</c:v>
                </c:pt>
                <c:pt idx="276">
                  <c:v>1.7710334088612218</c:v>
                </c:pt>
                <c:pt idx="277">
                  <c:v>1.7751957496690516</c:v>
                </c:pt>
                <c:pt idx="278">
                  <c:v>1.7793514267958277</c:v>
                </c:pt>
                <c:pt idx="279">
                  <c:v>1.7835060517821433</c:v>
                </c:pt>
                <c:pt idx="280">
                  <c:v>1.7876650348254448</c:v>
                </c:pt>
                <c:pt idx="281">
                  <c:v>1.7918336359258662</c:v>
                </c:pt>
                <c:pt idx="282">
                  <c:v>1.7960170115033938</c:v>
                </c:pt>
                <c:pt idx="283">
                  <c:v>1.8002202552174649</c:v>
                </c:pt>
                <c:pt idx="284">
                  <c:v>1.8044484359957991</c:v>
                </c:pt>
                <c:pt idx="285">
                  <c:v>1.8087066334536301</c:v>
                </c:pt>
                <c:pt idx="286">
                  <c:v>1.812999971248298</c:v>
                </c:pt>
                <c:pt idx="287">
                  <c:v>1.8173336501148936</c:v>
                </c:pt>
                <c:pt idx="288">
                  <c:v>1.8217129796764964</c:v>
                </c:pt>
                <c:pt idx="289">
                  <c:v>1.8261434107501349</c:v>
                </c:pt>
                <c:pt idx="290">
                  <c:v>1.8306305680184634</c:v>
                </c:pt>
                <c:pt idx="291">
                  <c:v>1.8351802839907083</c:v>
                </c:pt>
                <c:pt idx="292">
                  <c:v>1.8397986343970896</c:v>
                </c:pt>
                <c:pt idx="293">
                  <c:v>1.8444919755792348</c:v>
                </c:pt>
                <c:pt idx="294">
                  <c:v>1.8492669847354088</c:v>
                </c:pt>
                <c:pt idx="295">
                  <c:v>1.8541307028153406</c:v>
                </c:pt>
                <c:pt idx="296">
                  <c:v>1.8590843070532761</c:v>
                </c:pt>
                <c:pt idx="297">
                  <c:v>1.8639722215804577</c:v>
                </c:pt>
                <c:pt idx="298">
                  <c:v>1.8687380499503892</c:v>
                </c:pt>
                <c:pt idx="299">
                  <c:v>1.8733984830208341</c:v>
                </c:pt>
                <c:pt idx="300">
                  <c:v>1.8779684476218765</c:v>
                </c:pt>
                <c:pt idx="301">
                  <c:v>1.8824614107567765</c:v>
                </c:pt>
                <c:pt idx="302">
                  <c:v>1.8868896313240953</c:v>
                </c:pt>
                <c:pt idx="303">
                  <c:v>1.8912643687775137</c:v>
                </c:pt>
                <c:pt idx="304">
                  <c:v>1.8955960592808012</c:v>
                </c:pt>
                <c:pt idx="305">
                  <c:v>1.8998944656635373</c:v>
                </c:pt>
                <c:pt idx="306">
                  <c:v>1.9041688068977449</c:v>
                </c:pt>
                <c:pt idx="307">
                  <c:v>1.9084278709449123</c:v>
                </c:pt>
                <c:pt idx="308">
                  <c:v>1.9126801151260191</c:v>
                </c:pt>
                <c:pt idx="309">
                  <c:v>1.916933756791825</c:v>
                </c:pt>
                <c:pt idx="310">
                  <c:v>1.9211968559666335</c:v>
                </c:pt>
                <c:pt idx="311">
                  <c:v>1.9254773936924694</c:v>
                </c:pt>
                <c:pt idx="312">
                  <c:v>1.9297833455369982</c:v>
                </c:pt>
                <c:pt idx="313">
                  <c:v>1.9341227543660204</c:v>
                </c:pt>
                <c:pt idx="314">
                  <c:v>1.938503802322955</c:v>
                </c:pt>
                <c:pt idx="315">
                  <c:v>1.9429348835818132</c:v>
                </c:pt>
                <c:pt idx="316">
                  <c:v>1.9474246805178361</c:v>
                </c:pt>
                <c:pt idx="317">
                  <c:v>1.9519822434400109</c:v>
                </c:pt>
                <c:pt idx="318">
                  <c:v>1.9566170764439272</c:v>
                </c:pt>
                <c:pt idx="319">
                  <c:v>1.961339230661624</c:v>
                </c:pt>
                <c:pt idx="320">
                  <c:v>1.9661594082749509</c:v>
                </c:pt>
                <c:pt idx="321">
                  <c:v>1.9740836528999723</c:v>
                </c:pt>
                <c:pt idx="322">
                  <c:v>1.9936820601176457</c:v>
                </c:pt>
                <c:pt idx="323">
                  <c:v>2.0245746810514706</c:v>
                </c:pt>
                <c:pt idx="324">
                  <c:v>2.0663970707626245</c:v>
                </c:pt>
                <c:pt idx="325">
                  <c:v>2.1192903768538685</c:v>
                </c:pt>
                <c:pt idx="326">
                  <c:v>2.1837344685895461</c:v>
                </c:pt>
                <c:pt idx="327">
                  <c:v>2.2603736963028025</c:v>
                </c:pt>
                <c:pt idx="328">
                  <c:v>2.3497866151224205</c:v>
                </c:pt>
                <c:pt idx="329">
                  <c:v>2.4521654451197423</c:v>
                </c:pt>
                <c:pt idx="330">
                  <c:v>2.5669122127096413</c:v>
                </c:pt>
                <c:pt idx="331">
                  <c:v>2.6922431552973327</c:v>
                </c:pt>
                <c:pt idx="332">
                  <c:v>2.799040639011209</c:v>
                </c:pt>
                <c:pt idx="333">
                  <c:v>2.9017480730731511</c:v>
                </c:pt>
                <c:pt idx="334">
                  <c:v>3.0041337298203734</c:v>
                </c:pt>
                <c:pt idx="335">
                  <c:v>3.1040920714512636</c:v>
                </c:pt>
                <c:pt idx="336">
                  <c:v>-3.083422115856465</c:v>
                </c:pt>
                <c:pt idx="337">
                  <c:v>-2.9936409968323963</c:v>
                </c:pt>
                <c:pt idx="338">
                  <c:v>-2.9138675949529764</c:v>
                </c:pt>
                <c:pt idx="339">
                  <c:v>-2.844820519783323</c:v>
                </c:pt>
                <c:pt idx="340">
                  <c:v>-2.7854364913181318</c:v>
                </c:pt>
                <c:pt idx="341">
                  <c:v>-2.7349641608155837</c:v>
                </c:pt>
                <c:pt idx="342">
                  <c:v>-2.6931558376706839</c:v>
                </c:pt>
                <c:pt idx="343">
                  <c:v>-2.6606068140374215</c:v>
                </c:pt>
                <c:pt idx="344">
                  <c:v>-2.6395974255947694</c:v>
                </c:pt>
                <c:pt idx="345">
                  <c:v>-2.6341151942924883</c:v>
                </c:pt>
                <c:pt idx="346">
                  <c:v>-2.6321559275036002</c:v>
                </c:pt>
                <c:pt idx="347">
                  <c:v>-2.6301973440598241</c:v>
                </c:pt>
                <c:pt idx="348">
                  <c:v>-2.6282383119020682</c:v>
                </c:pt>
                <c:pt idx="349">
                  <c:v>-2.6262776961390029</c:v>
                </c:pt>
                <c:pt idx="350">
                  <c:v>-2.6243143565470377</c:v>
                </c:pt>
                <c:pt idx="351">
                  <c:v>-2.6223471450495062</c:v>
                </c:pt>
                <c:pt idx="352">
                  <c:v>-2.6203749031844161</c:v>
                </c:pt>
                <c:pt idx="353">
                  <c:v>-2.6183964593851976</c:v>
                </c:pt>
                <c:pt idx="354">
                  <c:v>-2.6164106263633315</c:v>
                </c:pt>
                <c:pt idx="355">
                  <c:v>-2.6144161982154266</c:v>
                </c:pt>
                <c:pt idx="356">
                  <c:v>-2.6124119476326202</c:v>
                </c:pt>
                <c:pt idx="357">
                  <c:v>-2.6103966227650219</c:v>
                </c:pt>
                <c:pt idx="358">
                  <c:v>-2.6083689442079496</c:v>
                </c:pt>
                <c:pt idx="359">
                  <c:v>-2.6063276015759085</c:v>
                </c:pt>
                <c:pt idx="360">
                  <c:v>-2.6042712501206937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2.7119924157012236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3.141592645504125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+/- pi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3.1415926535897931</c:v>
                </c:pt>
                <c:pt idx="1">
                  <c:v>-3.1415926535897931</c:v>
                </c:pt>
                <c:pt idx="2">
                  <c:v>-3.1415926535897931</c:v>
                </c:pt>
                <c:pt idx="3">
                  <c:v>3.1415926535897931</c:v>
                </c:pt>
                <c:pt idx="4">
                  <c:v>3.1415926535897931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phase_2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L_Section_Capacity!$BA$2:$BA$182</c:f>
              <c:numCache>
                <c:formatCode>General</c:formatCode>
                <c:ptCount val="181"/>
                <c:pt idx="0">
                  <c:v>-2.6042712501206959</c:v>
                </c:pt>
                <c:pt idx="1">
                  <c:v>-2.6021985071021843</c:v>
                </c:pt>
                <c:pt idx="2">
                  <c:v>-2.6001079478426039</c:v>
                </c:pt>
                <c:pt idx="3">
                  <c:v>-2.5979981017613349</c:v>
                </c:pt>
                <c:pt idx="4">
                  <c:v>-2.5958674479107793</c:v>
                </c:pt>
                <c:pt idx="5">
                  <c:v>-2.5937144104741812</c:v>
                </c:pt>
                <c:pt idx="6">
                  <c:v>-2.5915373537345321</c:v>
                </c:pt>
                <c:pt idx="7">
                  <c:v>-2.5893345768066331</c:v>
                </c:pt>
                <c:pt idx="8">
                  <c:v>-2.5871043079815621</c:v>
                </c:pt>
                <c:pt idx="9">
                  <c:v>-2.5848446986001612</c:v>
                </c:pt>
                <c:pt idx="10">
                  <c:v>-2.5825538165036948</c:v>
                </c:pt>
                <c:pt idx="11">
                  <c:v>-2.580229638869096</c:v>
                </c:pt>
                <c:pt idx="12">
                  <c:v>-2.5778700445825757</c:v>
                </c:pt>
                <c:pt idx="13">
                  <c:v>-2.5754728058262648</c:v>
                </c:pt>
                <c:pt idx="14">
                  <c:v>-2.5730355791012824</c:v>
                </c:pt>
                <c:pt idx="15">
                  <c:v>-2.570555895332292</c:v>
                </c:pt>
                <c:pt idx="16">
                  <c:v>-2.5680311490941028</c:v>
                </c:pt>
                <c:pt idx="17">
                  <c:v>-2.5654585868691808</c:v>
                </c:pt>
                <c:pt idx="18">
                  <c:v>-2.5628352942674417</c:v>
                </c:pt>
                <c:pt idx="19">
                  <c:v>-2.5601581818916883</c:v>
                </c:pt>
                <c:pt idx="20">
                  <c:v>-2.5574239698534371</c:v>
                </c:pt>
                <c:pt idx="21">
                  <c:v>-2.5546291708141609</c:v>
                </c:pt>
                <c:pt idx="22">
                  <c:v>-2.5517700711976778</c:v>
                </c:pt>
                <c:pt idx="23">
                  <c:v>-2.548842710521154</c:v>
                </c:pt>
                <c:pt idx="24">
                  <c:v>-2.5458428584408885</c:v>
                </c:pt>
                <c:pt idx="25">
                  <c:v>-2.5427659894540104</c:v>
                </c:pt>
                <c:pt idx="26">
                  <c:v>-2.5396072546771542</c:v>
                </c:pt>
                <c:pt idx="27">
                  <c:v>-2.5363614505113539</c:v>
                </c:pt>
                <c:pt idx="28">
                  <c:v>-2.5330229836899649</c:v>
                </c:pt>
                <c:pt idx="29">
                  <c:v>-2.529585832310234</c:v>
                </c:pt>
                <c:pt idx="30">
                  <c:v>-2.5260435020624552</c:v>
                </c:pt>
                <c:pt idx="31">
                  <c:v>-2.5223889773100572</c:v>
                </c:pt>
                <c:pt idx="32">
                  <c:v>-2.5186199220968879</c:v>
                </c:pt>
                <c:pt idx="33">
                  <c:v>-2.5148768514811972</c:v>
                </c:pt>
                <c:pt idx="34">
                  <c:v>-2.5112181992131961</c:v>
                </c:pt>
                <c:pt idx="35">
                  <c:v>-2.5076348105788688</c:v>
                </c:pt>
                <c:pt idx="36">
                  <c:v>-2.5041182519683653</c:v>
                </c:pt>
                <c:pt idx="37">
                  <c:v>-2.5006607053593859</c:v>
                </c:pt>
                <c:pt idx="38">
                  <c:v>-2.4972548771041314</c:v>
                </c:pt>
                <c:pt idx="39">
                  <c:v>-2.4938939177934949</c:v>
                </c:pt>
                <c:pt idx="40">
                  <c:v>-2.4905713517700647</c:v>
                </c:pt>
                <c:pt idx="41">
                  <c:v>-2.4872810138485431</c:v>
                </c:pt>
                <c:pt idx="42">
                  <c:v>-2.484016992352402</c:v>
                </c:pt>
                <c:pt idx="43">
                  <c:v>-2.480773576786242</c:v>
                </c:pt>
                <c:pt idx="44">
                  <c:v>-2.477545209185759</c:v>
                </c:pt>
                <c:pt idx="45">
                  <c:v>-2.4743264383712926</c:v>
                </c:pt>
                <c:pt idx="46">
                  <c:v>-2.471111875771749</c:v>
                </c:pt>
                <c:pt idx="47">
                  <c:v>-2.4678961525098426</c:v>
                </c:pt>
                <c:pt idx="48">
                  <c:v>-2.4646738765333751</c:v>
                </c:pt>
                <c:pt idx="49">
                  <c:v>-2.4614395892917571</c:v>
                </c:pt>
                <c:pt idx="50">
                  <c:v>-2.4581877209702894</c:v>
                </c:pt>
                <c:pt idx="51">
                  <c:v>-2.4549125434950052</c:v>
                </c:pt>
                <c:pt idx="52">
                  <c:v>-2.4516081204399276</c:v>
                </c:pt>
                <c:pt idx="53">
                  <c:v>-2.4482682525281958</c:v>
                </c:pt>
                <c:pt idx="54">
                  <c:v>-2.4448864179540095</c:v>
                </c:pt>
                <c:pt idx="55">
                  <c:v>-2.4414557056317294</c:v>
                </c:pt>
                <c:pt idx="56">
                  <c:v>-2.4379687400813976</c:v>
                </c:pt>
                <c:pt idx="57">
                  <c:v>-2.4344175957491414</c:v>
                </c:pt>
                <c:pt idx="58">
                  <c:v>-2.4307936983349734</c:v>
                </c:pt>
                <c:pt idx="59">
                  <c:v>-2.4270877101737551</c:v>
                </c:pt>
                <c:pt idx="60">
                  <c:v>-2.4232893957204666</c:v>
                </c:pt>
                <c:pt idx="61">
                  <c:v>-2.4193874626438321</c:v>
                </c:pt>
                <c:pt idx="62">
                  <c:v>-2.4153693723169249</c:v>
                </c:pt>
                <c:pt idx="63">
                  <c:v>-2.4107633217398563</c:v>
                </c:pt>
                <c:pt idx="64">
                  <c:v>-2.4038894122177981</c:v>
                </c:pt>
                <c:pt idx="65">
                  <c:v>-2.3969017390642837</c:v>
                </c:pt>
                <c:pt idx="66">
                  <c:v>-2.3897830854398157</c:v>
                </c:pt>
                <c:pt idx="67">
                  <c:v>-2.3825141906883633</c:v>
                </c:pt>
                <c:pt idx="68">
                  <c:v>-2.3750732951987756</c:v>
                </c:pt>
                <c:pt idx="69">
                  <c:v>-2.3674355632175823</c:v>
                </c:pt>
                <c:pt idx="70">
                  <c:v>-2.3595723409114053</c:v>
                </c:pt>
                <c:pt idx="71">
                  <c:v>-2.3514501893615583</c:v>
                </c:pt>
                <c:pt idx="72">
                  <c:v>-2.3430296047365937</c:v>
                </c:pt>
                <c:pt idx="73">
                  <c:v>-2.3342632964434289</c:v>
                </c:pt>
                <c:pt idx="74">
                  <c:v>-2.3250938283866018</c:v>
                </c:pt>
                <c:pt idx="75">
                  <c:v>-2.3154503225489065</c:v>
                </c:pt>
                <c:pt idx="76">
                  <c:v>-2.305243748681792</c:v>
                </c:pt>
                <c:pt idx="77">
                  <c:v>-2.2943600227340233</c:v>
                </c:pt>
                <c:pt idx="78">
                  <c:v>-2.2826496038155089</c:v>
                </c:pt>
                <c:pt idx="79">
                  <c:v>-2.2699112936602228</c:v>
                </c:pt>
                <c:pt idx="80">
                  <c:v>-2.2558660366268497</c:v>
                </c:pt>
                <c:pt idx="81">
                  <c:v>-2.2401126239765734</c:v>
                </c:pt>
                <c:pt idx="82">
                  <c:v>-2.2220498448426129</c:v>
                </c:pt>
                <c:pt idx="83">
                  <c:v>-2.2025785612474196</c:v>
                </c:pt>
                <c:pt idx="84">
                  <c:v>-2.1829750206386715</c:v>
                </c:pt>
                <c:pt idx="85">
                  <c:v>-2.1632144521179062</c:v>
                </c:pt>
                <c:pt idx="86">
                  <c:v>-2.1432702586611914</c:v>
                </c:pt>
                <c:pt idx="87">
                  <c:v>-2.1231135564208072</c:v>
                </c:pt>
                <c:pt idx="88">
                  <c:v>-2.1027125466000873</c:v>
                </c:pt>
                <c:pt idx="89">
                  <c:v>-2.0820316327569524</c:v>
                </c:pt>
                <c:pt idx="90">
                  <c:v>-2.061030136225007</c:v>
                </c:pt>
                <c:pt idx="91">
                  <c:v>-2.0246348728366312</c:v>
                </c:pt>
                <c:pt idx="92">
                  <c:v>-1.9885461276845458</c:v>
                </c:pt>
                <c:pt idx="93">
                  <c:v>-1.9527464214293879</c:v>
                </c:pt>
                <c:pt idx="94">
                  <c:v>-1.9171999725678146</c:v>
                </c:pt>
                <c:pt idx="95">
                  <c:v>-1.8818577915183516</c:v>
                </c:pt>
                <c:pt idx="96">
                  <c:v>-1.8466621377679058</c:v>
                </c:pt>
                <c:pt idx="97">
                  <c:v>-1.8127741920210076</c:v>
                </c:pt>
                <c:pt idx="98">
                  <c:v>-1.7854311813621668</c:v>
                </c:pt>
                <c:pt idx="99">
                  <c:v>-1.7633988760803887</c:v>
                </c:pt>
                <c:pt idx="100">
                  <c:v>-1.7452239970521892</c:v>
                </c:pt>
                <c:pt idx="101">
                  <c:v>-1.7357607930298129</c:v>
                </c:pt>
                <c:pt idx="102">
                  <c:v>-1.7223978856675153</c:v>
                </c:pt>
                <c:pt idx="103">
                  <c:v>-1.7108151951512016</c:v>
                </c:pt>
                <c:pt idx="104">
                  <c:v>-1.7006597320667616</c:v>
                </c:pt>
                <c:pt idx="105">
                  <c:v>-1.6916666563577678</c:v>
                </c:pt>
                <c:pt idx="106">
                  <c:v>-1.6836332783713297</c:v>
                </c:pt>
                <c:pt idx="107">
                  <c:v>-1.6764017587376552</c:v>
                </c:pt>
                <c:pt idx="108">
                  <c:v>-1.669847291161034</c:v>
                </c:pt>
                <c:pt idx="109">
                  <c:v>-1.6638698408138104</c:v>
                </c:pt>
                <c:pt idx="110">
                  <c:v>-1.658388249530401</c:v>
                </c:pt>
                <c:pt idx="111">
                  <c:v>-1.6533359513558026</c:v>
                </c:pt>
                <c:pt idx="112">
                  <c:v>-1.6486578073715268</c:v>
                </c:pt>
                <c:pt idx="113">
                  <c:v>-1.6443077321969928</c:v>
                </c:pt>
                <c:pt idx="114">
                  <c:v>-1.6402468898271982</c:v>
                </c:pt>
                <c:pt idx="115">
                  <c:v>-1.636442305599116</c:v>
                </c:pt>
                <c:pt idx="116">
                  <c:v>-1.6328657858091074</c:v>
                </c:pt>
                <c:pt idx="117">
                  <c:v>-1.6294930682989328</c:v>
                </c:pt>
                <c:pt idx="118">
                  <c:v>-1.6263031483374304</c:v>
                </c:pt>
                <c:pt idx="119">
                  <c:v>-1.623277738430247</c:v>
                </c:pt>
                <c:pt idx="120">
                  <c:v>-1.6204008321962882</c:v>
                </c:pt>
                <c:pt idx="121">
                  <c:v>-1.6176583494964458</c:v>
                </c:pt>
                <c:pt idx="122">
                  <c:v>-1.6150378455625349</c:v>
                </c:pt>
                <c:pt idx="123">
                  <c:v>-1.6125282708826345</c:v>
                </c:pt>
                <c:pt idx="124">
                  <c:v>-1.6101197717724869</c:v>
                </c:pt>
                <c:pt idx="125">
                  <c:v>-1.6078035236706769</c:v>
                </c:pt>
                <c:pt idx="126">
                  <c:v>-1.6055715912411208</c:v>
                </c:pt>
                <c:pt idx="127">
                  <c:v>-1.6034168097675299</c:v>
                </c:pt>
                <c:pt idx="128">
                  <c:v>-1.6013326844251621</c:v>
                </c:pt>
                <c:pt idx="129">
                  <c:v>-1.599313304437481</c:v>
                </c:pt>
                <c:pt idx="130">
                  <c:v>-1.5973532690348198</c:v>
                </c:pt>
                <c:pt idx="131">
                  <c:v>-1.5954476232725139</c:v>
                </c:pt>
                <c:pt idx="132">
                  <c:v>-1.5935918028888598</c:v>
                </c:pt>
                <c:pt idx="133">
                  <c:v>-1.5915075154617055</c:v>
                </c:pt>
                <c:pt idx="134">
                  <c:v>-1.5893005634972508</c:v>
                </c:pt>
                <c:pt idx="135">
                  <c:v>-1.5871666420491002</c:v>
                </c:pt>
                <c:pt idx="136">
                  <c:v>-1.5851005308409429</c:v>
                </c:pt>
                <c:pt idx="137">
                  <c:v>-1.5830973944721258</c:v>
                </c:pt>
                <c:pt idx="138">
                  <c:v>-1.5811527380477273</c:v>
                </c:pt>
                <c:pt idx="139">
                  <c:v>-1.5792623678666811</c:v>
                </c:pt>
                <c:pt idx="140">
                  <c:v>-1.5774223553142683</c:v>
                </c:pt>
                <c:pt idx="141">
                  <c:v>-1.5756290043921102</c:v>
                </c:pt>
                <c:pt idx="142">
                  <c:v>-1.5738788212193542</c:v>
                </c:pt>
                <c:pt idx="143">
                  <c:v>-1.5721684859915961</c:v>
                </c:pt>
                <c:pt idx="144">
                  <c:v>-1.5704948258785323</c:v>
                </c:pt>
                <c:pt idx="145">
                  <c:v>-1.5688547893354376</c:v>
                </c:pt>
                <c:pt idx="146">
                  <c:v>-1.5672454207360249</c:v>
                </c:pt>
                <c:pt idx="147">
                  <c:v>-1.5656638345766281</c:v>
                </c:pt>
                <c:pt idx="148">
                  <c:v>-1.5641071896703798</c:v>
                </c:pt>
                <c:pt idx="149">
                  <c:v>-1.5625726615649391</c:v>
                </c:pt>
                <c:pt idx="150">
                  <c:v>-1.5610574131382373</c:v>
                </c:pt>
                <c:pt idx="151">
                  <c:v>-1.5595585619933343</c:v>
                </c:pt>
                <c:pt idx="152">
                  <c:v>-1.5580731443661471</c:v>
                </c:pt>
                <c:pt idx="153">
                  <c:v>-1.5565980728717543</c:v>
                </c:pt>
                <c:pt idx="154">
                  <c:v>-1.5551300877494734</c:v>
                </c:pt>
                <c:pt idx="155">
                  <c:v>-1.5536656979668306</c:v>
                </c:pt>
                <c:pt idx="156">
                  <c:v>-1.5522011101076381</c:v>
                </c:pt>
                <c:pt idx="157">
                  <c:v>-1.5507321404268246</c:v>
                </c:pt>
                <c:pt idx="158">
                  <c:v>-1.5492541046400992</c:v>
                </c:pt>
                <c:pt idx="159">
                  <c:v>-1.5477616776537977</c:v>
                </c:pt>
                <c:pt idx="160">
                  <c:v>-1.5462487120697535</c:v>
                </c:pt>
                <c:pt idx="161">
                  <c:v>-1.5447080005652651</c:v>
                </c:pt>
                <c:pt idx="162">
                  <c:v>-1.5431309587344109</c:v>
                </c:pt>
                <c:pt idx="163">
                  <c:v>-1.5415071950280486</c:v>
                </c:pt>
                <c:pt idx="164">
                  <c:v>-1.5398239165063552</c:v>
                </c:pt>
                <c:pt idx="165">
                  <c:v>-1.5380650908534752</c:v>
                </c:pt>
                <c:pt idx="166">
                  <c:v>-1.5362102371679989</c:v>
                </c:pt>
                <c:pt idx="167">
                  <c:v>-1.5342326340564623</c:v>
                </c:pt>
                <c:pt idx="168">
                  <c:v>-1.532096586732991</c:v>
                </c:pt>
                <c:pt idx="169">
                  <c:v>-1.5297531052368931</c:v>
                </c:pt>
                <c:pt idx="170">
                  <c:v>-1.5271327906538423</c:v>
                </c:pt>
                <c:pt idx="171">
                  <c:v>-1.5241335225861821</c:v>
                </c:pt>
                <c:pt idx="172">
                  <c:v>-1.5203883288560791</c:v>
                </c:pt>
                <c:pt idx="173">
                  <c:v>-1.5172061507451053</c:v>
                </c:pt>
                <c:pt idx="174">
                  <c:v>-1.5115892430391205</c:v>
                </c:pt>
                <c:pt idx="175">
                  <c:v>-1.5038673766116426</c:v>
                </c:pt>
                <c:pt idx="176">
                  <c:v>-1.4920159398240569</c:v>
                </c:pt>
                <c:pt idx="177">
                  <c:v>-1.4699572143829889</c:v>
                </c:pt>
                <c:pt idx="178">
                  <c:v>-1.413187352250427</c:v>
                </c:pt>
                <c:pt idx="179">
                  <c:v>-1.2667914919189431</c:v>
                </c:pt>
                <c:pt idx="180">
                  <c:v>1.5683024314847975E-10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80-4B1E-89A1-C308E3F1D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0"/>
          <c:order val="0"/>
          <c:tx>
            <c:v>an-1 @ alpha = tan-1(my/mx) - absolute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L_Section_Capacity!$AY$3:$AY$363</c:f>
              <c:numCache>
                <c:formatCode>General</c:formatCode>
                <c:ptCount val="361"/>
                <c:pt idx="0">
                  <c:v>5.7437911606919769</c:v>
                </c:pt>
                <c:pt idx="1">
                  <c:v>5.741700601432397</c:v>
                </c:pt>
                <c:pt idx="2">
                  <c:v>5.7395907553511281</c:v>
                </c:pt>
                <c:pt idx="3">
                  <c:v>5.737460101500572</c:v>
                </c:pt>
                <c:pt idx="4">
                  <c:v>5.7353070640639743</c:v>
                </c:pt>
                <c:pt idx="5">
                  <c:v>5.7331300073243252</c:v>
                </c:pt>
                <c:pt idx="6">
                  <c:v>5.7309272303964267</c:v>
                </c:pt>
                <c:pt idx="7">
                  <c:v>5.7286969615713552</c:v>
                </c:pt>
                <c:pt idx="8">
                  <c:v>5.7264373521899543</c:v>
                </c:pt>
                <c:pt idx="9">
                  <c:v>5.7241464700934879</c:v>
                </c:pt>
                <c:pt idx="10">
                  <c:v>5.7218222924588886</c:v>
                </c:pt>
                <c:pt idx="11">
                  <c:v>5.7194626981723689</c:v>
                </c:pt>
                <c:pt idx="12">
                  <c:v>5.7170654594160579</c:v>
                </c:pt>
                <c:pt idx="13">
                  <c:v>5.7146282326910756</c:v>
                </c:pt>
                <c:pt idx="14">
                  <c:v>5.7121485489220856</c:v>
                </c:pt>
                <c:pt idx="15">
                  <c:v>5.7096238026838959</c:v>
                </c:pt>
                <c:pt idx="16">
                  <c:v>5.7070512404589735</c:v>
                </c:pt>
                <c:pt idx="17">
                  <c:v>5.7044279478572353</c:v>
                </c:pt>
                <c:pt idx="18">
                  <c:v>5.7017508354814819</c:v>
                </c:pt>
                <c:pt idx="19">
                  <c:v>5.6990166234432298</c:v>
                </c:pt>
                <c:pt idx="20">
                  <c:v>5.6962218244039544</c:v>
                </c:pt>
                <c:pt idx="21">
                  <c:v>5.6933627247874714</c:v>
                </c:pt>
                <c:pt idx="22">
                  <c:v>5.6904353641109466</c:v>
                </c:pt>
                <c:pt idx="23">
                  <c:v>5.6874355120306817</c:v>
                </c:pt>
                <c:pt idx="24">
                  <c:v>5.6843586430438036</c:v>
                </c:pt>
                <c:pt idx="25">
                  <c:v>5.6811999082669473</c:v>
                </c:pt>
                <c:pt idx="26">
                  <c:v>5.677954104101147</c:v>
                </c:pt>
                <c:pt idx="27">
                  <c:v>5.674615637279758</c:v>
                </c:pt>
                <c:pt idx="28">
                  <c:v>5.6711784859000272</c:v>
                </c:pt>
                <c:pt idx="29">
                  <c:v>5.6676361556522483</c:v>
                </c:pt>
                <c:pt idx="30">
                  <c:v>5.6639816308998503</c:v>
                </c:pt>
                <c:pt idx="31">
                  <c:v>5.660212575686681</c:v>
                </c:pt>
                <c:pt idx="32">
                  <c:v>5.6564695050709908</c:v>
                </c:pt>
                <c:pt idx="33">
                  <c:v>5.6528108528029897</c:v>
                </c:pt>
                <c:pt idx="34">
                  <c:v>5.6492274641686624</c:v>
                </c:pt>
                <c:pt idx="35">
                  <c:v>5.6457109055581585</c:v>
                </c:pt>
                <c:pt idx="36">
                  <c:v>5.642253358949179</c:v>
                </c:pt>
                <c:pt idx="37">
                  <c:v>5.6388475306939245</c:v>
                </c:pt>
                <c:pt idx="38">
                  <c:v>5.6354865713832876</c:v>
                </c:pt>
                <c:pt idx="39">
                  <c:v>5.6321640053598578</c:v>
                </c:pt>
                <c:pt idx="40">
                  <c:v>5.6288736674383362</c:v>
                </c:pt>
                <c:pt idx="41">
                  <c:v>5.6256096459421947</c:v>
                </c:pt>
                <c:pt idx="42">
                  <c:v>5.6223662303760351</c:v>
                </c:pt>
                <c:pt idx="43">
                  <c:v>5.6191378627755526</c:v>
                </c:pt>
                <c:pt idx="44">
                  <c:v>5.6159190919610857</c:v>
                </c:pt>
                <c:pt idx="45">
                  <c:v>5.6127045293615421</c:v>
                </c:pt>
                <c:pt idx="46">
                  <c:v>5.6094888060996357</c:v>
                </c:pt>
                <c:pt idx="47">
                  <c:v>5.6062665301231682</c:v>
                </c:pt>
                <c:pt idx="48">
                  <c:v>5.6030322428815502</c:v>
                </c:pt>
                <c:pt idx="49">
                  <c:v>5.5997803745600825</c:v>
                </c:pt>
                <c:pt idx="50">
                  <c:v>5.5965051970847988</c:v>
                </c:pt>
                <c:pt idx="51">
                  <c:v>5.5932007740297207</c:v>
                </c:pt>
                <c:pt idx="52">
                  <c:v>5.5898609061179894</c:v>
                </c:pt>
                <c:pt idx="53">
                  <c:v>5.5864790715438026</c:v>
                </c:pt>
                <c:pt idx="54">
                  <c:v>5.5830483592215225</c:v>
                </c:pt>
                <c:pt idx="55">
                  <c:v>5.5795613936711907</c:v>
                </c:pt>
                <c:pt idx="56">
                  <c:v>5.5760102493389345</c:v>
                </c:pt>
                <c:pt idx="57">
                  <c:v>5.5723863519247665</c:v>
                </c:pt>
                <c:pt idx="58">
                  <c:v>5.5686803637635478</c:v>
                </c:pt>
                <c:pt idx="59">
                  <c:v>5.5648820493102598</c:v>
                </c:pt>
                <c:pt idx="60">
                  <c:v>5.5609801162336252</c:v>
                </c:pt>
                <c:pt idx="61">
                  <c:v>5.5569620259067181</c:v>
                </c:pt>
                <c:pt idx="62">
                  <c:v>5.5523559753296494</c:v>
                </c:pt>
                <c:pt idx="63">
                  <c:v>5.5454820658075912</c:v>
                </c:pt>
                <c:pt idx="64">
                  <c:v>5.5384943926540764</c:v>
                </c:pt>
                <c:pt idx="65">
                  <c:v>5.5313757390296088</c:v>
                </c:pt>
                <c:pt idx="66">
                  <c:v>5.5241068442781565</c:v>
                </c:pt>
                <c:pt idx="67">
                  <c:v>5.5166659487885692</c:v>
                </c:pt>
                <c:pt idx="68">
                  <c:v>5.5090282168073754</c:v>
                </c:pt>
                <c:pt idx="69">
                  <c:v>5.5011649945011989</c:v>
                </c:pt>
                <c:pt idx="70">
                  <c:v>5.4930428429513514</c:v>
                </c:pt>
                <c:pt idx="71">
                  <c:v>5.4846222583263868</c:v>
                </c:pt>
                <c:pt idx="72">
                  <c:v>5.475855950033222</c:v>
                </c:pt>
                <c:pt idx="73">
                  <c:v>5.466686481976395</c:v>
                </c:pt>
                <c:pt idx="74">
                  <c:v>5.4570429761387</c:v>
                </c:pt>
                <c:pt idx="75">
                  <c:v>5.4468364022715852</c:v>
                </c:pt>
                <c:pt idx="76">
                  <c:v>5.4359526763238168</c:v>
                </c:pt>
                <c:pt idx="77">
                  <c:v>5.424242257405302</c:v>
                </c:pt>
                <c:pt idx="78">
                  <c:v>5.4115039472500159</c:v>
                </c:pt>
                <c:pt idx="79">
                  <c:v>5.3974586902166433</c:v>
                </c:pt>
                <c:pt idx="80">
                  <c:v>5.3817052775663665</c:v>
                </c:pt>
                <c:pt idx="81">
                  <c:v>5.363642498432406</c:v>
                </c:pt>
                <c:pt idx="82">
                  <c:v>5.3441712148372122</c:v>
                </c:pt>
                <c:pt idx="83">
                  <c:v>5.3245676742284651</c:v>
                </c:pt>
                <c:pt idx="84">
                  <c:v>5.3048071057076989</c:v>
                </c:pt>
                <c:pt idx="85">
                  <c:v>5.2848629122509845</c:v>
                </c:pt>
                <c:pt idx="86">
                  <c:v>5.2647062100106004</c:v>
                </c:pt>
                <c:pt idx="87">
                  <c:v>5.2443052001898804</c:v>
                </c:pt>
                <c:pt idx="88">
                  <c:v>5.2236242863467455</c:v>
                </c:pt>
                <c:pt idx="89">
                  <c:v>5.2026227898148001</c:v>
                </c:pt>
                <c:pt idx="90">
                  <c:v>5.1662275264264244</c:v>
                </c:pt>
                <c:pt idx="91">
                  <c:v>5.1301387812743391</c:v>
                </c:pt>
                <c:pt idx="92">
                  <c:v>5.0943390750191808</c:v>
                </c:pt>
                <c:pt idx="93">
                  <c:v>5.0587926261576079</c:v>
                </c:pt>
                <c:pt idx="94">
                  <c:v>5.0234504451081445</c:v>
                </c:pt>
                <c:pt idx="95">
                  <c:v>4.9882547913576989</c:v>
                </c:pt>
                <c:pt idx="96">
                  <c:v>4.9543668456108012</c:v>
                </c:pt>
                <c:pt idx="97">
                  <c:v>4.9270238349519602</c:v>
                </c:pt>
                <c:pt idx="98">
                  <c:v>4.9049915296701823</c:v>
                </c:pt>
                <c:pt idx="99">
                  <c:v>4.8868166506419826</c:v>
                </c:pt>
                <c:pt idx="100">
                  <c:v>4.8773534466196065</c:v>
                </c:pt>
                <c:pt idx="101">
                  <c:v>4.8639905392573084</c:v>
                </c:pt>
                <c:pt idx="102">
                  <c:v>4.8524078487409952</c:v>
                </c:pt>
                <c:pt idx="103">
                  <c:v>4.8422523856565549</c:v>
                </c:pt>
                <c:pt idx="104">
                  <c:v>4.8332593099475609</c:v>
                </c:pt>
                <c:pt idx="105">
                  <c:v>4.825225931961123</c:v>
                </c:pt>
                <c:pt idx="106">
                  <c:v>4.8179944123274483</c:v>
                </c:pt>
                <c:pt idx="107">
                  <c:v>4.8114399447508269</c:v>
                </c:pt>
                <c:pt idx="108">
                  <c:v>4.8054624944036037</c:v>
                </c:pt>
                <c:pt idx="109">
                  <c:v>4.7999809031201943</c:v>
                </c:pt>
                <c:pt idx="110">
                  <c:v>4.7949286049455955</c:v>
                </c:pt>
                <c:pt idx="111">
                  <c:v>4.7902504609613201</c:v>
                </c:pt>
                <c:pt idx="112">
                  <c:v>4.7859003857867854</c:v>
                </c:pt>
                <c:pt idx="113">
                  <c:v>4.7818395434169911</c:v>
                </c:pt>
                <c:pt idx="114">
                  <c:v>4.7780349591889095</c:v>
                </c:pt>
                <c:pt idx="115">
                  <c:v>4.7744584393989005</c:v>
                </c:pt>
                <c:pt idx="116">
                  <c:v>4.7710857218887259</c:v>
                </c:pt>
                <c:pt idx="117">
                  <c:v>4.7678958019272235</c:v>
                </c:pt>
                <c:pt idx="118">
                  <c:v>4.7648703920200397</c:v>
                </c:pt>
                <c:pt idx="119">
                  <c:v>4.7619934857860811</c:v>
                </c:pt>
                <c:pt idx="120">
                  <c:v>4.7592510030862387</c:v>
                </c:pt>
                <c:pt idx="121">
                  <c:v>4.7566304991523278</c:v>
                </c:pt>
                <c:pt idx="122">
                  <c:v>4.7541209244724278</c:v>
                </c:pt>
                <c:pt idx="123">
                  <c:v>4.75171242536228</c:v>
                </c:pt>
                <c:pt idx="124">
                  <c:v>4.7493961772604703</c:v>
                </c:pt>
                <c:pt idx="125">
                  <c:v>4.7471642448309144</c:v>
                </c:pt>
                <c:pt idx="126">
                  <c:v>4.7450094633573228</c:v>
                </c:pt>
                <c:pt idx="127">
                  <c:v>4.7429253380149552</c:v>
                </c:pt>
                <c:pt idx="128">
                  <c:v>4.7409059580272741</c:v>
                </c:pt>
                <c:pt idx="129">
                  <c:v>4.7389459226246125</c:v>
                </c:pt>
                <c:pt idx="130">
                  <c:v>4.7370402768623068</c:v>
                </c:pt>
                <c:pt idx="131">
                  <c:v>4.7351844564786525</c:v>
                </c:pt>
                <c:pt idx="132">
                  <c:v>4.7331001690514984</c:v>
                </c:pt>
                <c:pt idx="133">
                  <c:v>4.7308932170870435</c:v>
                </c:pt>
                <c:pt idx="134">
                  <c:v>4.7287592956388931</c:v>
                </c:pt>
                <c:pt idx="135">
                  <c:v>4.7266931844307365</c:v>
                </c:pt>
                <c:pt idx="136">
                  <c:v>4.7246900480619187</c:v>
                </c:pt>
                <c:pt idx="137">
                  <c:v>4.7227453916375204</c:v>
                </c:pt>
                <c:pt idx="138">
                  <c:v>4.7208550214564742</c:v>
                </c:pt>
                <c:pt idx="139">
                  <c:v>4.7190150089040612</c:v>
                </c:pt>
                <c:pt idx="140">
                  <c:v>4.7172216579819031</c:v>
                </c:pt>
                <c:pt idx="141">
                  <c:v>4.7154714748091475</c:v>
                </c:pt>
                <c:pt idx="142">
                  <c:v>4.713761139581389</c:v>
                </c:pt>
                <c:pt idx="143">
                  <c:v>4.712087479468325</c:v>
                </c:pt>
                <c:pt idx="144">
                  <c:v>4.710447442925231</c:v>
                </c:pt>
                <c:pt idx="145">
                  <c:v>4.7088380743258185</c:v>
                </c:pt>
                <c:pt idx="146">
                  <c:v>4.7072564881664212</c:v>
                </c:pt>
                <c:pt idx="147">
                  <c:v>4.7056998432601729</c:v>
                </c:pt>
                <c:pt idx="148">
                  <c:v>4.7041653151547322</c:v>
                </c:pt>
                <c:pt idx="149">
                  <c:v>4.7026500667280304</c:v>
                </c:pt>
                <c:pt idx="150">
                  <c:v>4.7011512155831277</c:v>
                </c:pt>
                <c:pt idx="151">
                  <c:v>4.69966579795594</c:v>
                </c:pt>
                <c:pt idx="152">
                  <c:v>4.6981907264615472</c:v>
                </c:pt>
                <c:pt idx="153">
                  <c:v>4.6967227413392667</c:v>
                </c:pt>
                <c:pt idx="154">
                  <c:v>4.6952583515566237</c:v>
                </c:pt>
                <c:pt idx="155">
                  <c:v>4.693793763697431</c:v>
                </c:pt>
                <c:pt idx="156">
                  <c:v>4.692324794016618</c:v>
                </c:pt>
                <c:pt idx="157">
                  <c:v>4.6908467582298918</c:v>
                </c:pt>
                <c:pt idx="158">
                  <c:v>4.6893543312435906</c:v>
                </c:pt>
                <c:pt idx="159">
                  <c:v>4.6878413656595468</c:v>
                </c:pt>
                <c:pt idx="160">
                  <c:v>4.6863006541550583</c:v>
                </c:pt>
                <c:pt idx="161">
                  <c:v>4.6847236123242038</c:v>
                </c:pt>
                <c:pt idx="162">
                  <c:v>4.6830998486178412</c:v>
                </c:pt>
                <c:pt idx="163">
                  <c:v>4.6814165700961485</c:v>
                </c:pt>
                <c:pt idx="164">
                  <c:v>4.6796577444432685</c:v>
                </c:pt>
                <c:pt idx="165">
                  <c:v>4.6778028907577918</c:v>
                </c:pt>
                <c:pt idx="166">
                  <c:v>4.6758252876462549</c:v>
                </c:pt>
                <c:pt idx="167">
                  <c:v>4.6736892403227843</c:v>
                </c:pt>
                <c:pt idx="168">
                  <c:v>4.6713457588266865</c:v>
                </c:pt>
                <c:pt idx="169">
                  <c:v>4.6687254442436359</c:v>
                </c:pt>
                <c:pt idx="170">
                  <c:v>4.6657261761759754</c:v>
                </c:pt>
                <c:pt idx="171">
                  <c:v>4.661980982445872</c:v>
                </c:pt>
                <c:pt idx="172">
                  <c:v>4.6587988043348982</c:v>
                </c:pt>
                <c:pt idx="173">
                  <c:v>4.6531818966289133</c:v>
                </c:pt>
                <c:pt idx="174">
                  <c:v>4.6454600302014359</c:v>
                </c:pt>
                <c:pt idx="175">
                  <c:v>4.6336085934138502</c:v>
                </c:pt>
                <c:pt idx="176">
                  <c:v>4.6115498679727818</c:v>
                </c:pt>
                <c:pt idx="177">
                  <c:v>4.5547800058402199</c:v>
                </c:pt>
                <c:pt idx="178">
                  <c:v>4.4083841455087365</c:v>
                </c:pt>
                <c:pt idx="179">
                  <c:v>3.141592653432963</c:v>
                </c:pt>
                <c:pt idx="180">
                  <c:v>1.8748011615049351</c:v>
                </c:pt>
                <c:pt idx="181">
                  <c:v>1.7284053013866638</c:v>
                </c:pt>
                <c:pt idx="182">
                  <c:v>1.671635439092539</c:v>
                </c:pt>
                <c:pt idx="183">
                  <c:v>1.6495767138141681</c:v>
                </c:pt>
                <c:pt idx="184">
                  <c:v>1.6377252769590072</c:v>
                </c:pt>
                <c:pt idx="185">
                  <c:v>1.6300034104949719</c:v>
                </c:pt>
                <c:pt idx="186">
                  <c:v>1.6243865028327027</c:v>
                </c:pt>
                <c:pt idx="187">
                  <c:v>1.6212043247438745</c:v>
                </c:pt>
                <c:pt idx="188">
                  <c:v>1.6174591310085626</c:v>
                </c:pt>
                <c:pt idx="189">
                  <c:v>1.614459863028207</c:v>
                </c:pt>
                <c:pt idx="190">
                  <c:v>1.6118395483608656</c:v>
                </c:pt>
                <c:pt idx="191">
                  <c:v>1.6094960669372345</c:v>
                </c:pt>
                <c:pt idx="192">
                  <c:v>1.6073600194944246</c:v>
                </c:pt>
                <c:pt idx="193">
                  <c:v>1.605382416430847</c:v>
                </c:pt>
                <c:pt idx="194">
                  <c:v>1.6035275627094143</c:v>
                </c:pt>
                <c:pt idx="195">
                  <c:v>1.6017687370816482</c:v>
                </c:pt>
                <c:pt idx="196">
                  <c:v>1.6000854585790989</c:v>
                </c:pt>
                <c:pt idx="197">
                  <c:v>1.5984616949101527</c:v>
                </c:pt>
                <c:pt idx="198">
                  <c:v>1.596884653061891</c:v>
                </c:pt>
                <c:pt idx="199">
                  <c:v>1.5953439415853679</c:v>
                </c:pt>
                <c:pt idx="200">
                  <c:v>1.5938309759467173</c:v>
                </c:pt>
                <c:pt idx="201">
                  <c:v>1.5923385489531978</c:v>
                </c:pt>
                <c:pt idx="202">
                  <c:v>1.5908605131353684</c:v>
                </c:pt>
                <c:pt idx="203">
                  <c:v>1.5893915435000177</c:v>
                </c:pt>
                <c:pt idx="204">
                  <c:v>1.5879269556283861</c:v>
                </c:pt>
                <c:pt idx="205">
                  <c:v>1.5864625658021878</c:v>
                </c:pt>
                <c:pt idx="206">
                  <c:v>1.5849945806815111</c:v>
                </c:pt>
                <c:pt idx="207">
                  <c:v>1.5835195092175653</c:v>
                </c:pt>
                <c:pt idx="208">
                  <c:v>1.5820340916252542</c:v>
                </c:pt>
                <c:pt idx="209">
                  <c:v>1.5805352404760424</c:v>
                </c:pt>
                <c:pt idx="210">
                  <c:v>1.5790199920282841</c:v>
                </c:pt>
                <c:pt idx="211">
                  <c:v>1.5774854639367228</c:v>
                </c:pt>
                <c:pt idx="212">
                  <c:v>1.5759288190180969</c:v>
                </c:pt>
                <c:pt idx="213">
                  <c:v>1.5743472328810568</c:v>
                </c:pt>
                <c:pt idx="214">
                  <c:v>1.5727378642228802</c:v>
                </c:pt>
                <c:pt idx="215">
                  <c:v>1.5710978277027727</c:v>
                </c:pt>
                <c:pt idx="216">
                  <c:v>1.5694241675761003</c:v>
                </c:pt>
                <c:pt idx="217">
                  <c:v>1.5677138323459954</c:v>
                </c:pt>
                <c:pt idx="218">
                  <c:v>1.5659636491811444</c:v>
                </c:pt>
                <c:pt idx="219">
                  <c:v>1.5641702982760419</c:v>
                </c:pt>
                <c:pt idx="220">
                  <c:v>1.5623302857250607</c:v>
                </c:pt>
                <c:pt idx="221">
                  <c:v>1.5604399155036486</c:v>
                </c:pt>
                <c:pt idx="222">
                  <c:v>1.5584952591165817</c:v>
                </c:pt>
                <c:pt idx="223">
                  <c:v>1.5564921227350579</c:v>
                </c:pt>
                <c:pt idx="224">
                  <c:v>1.5544260115969215</c:v>
                </c:pt>
                <c:pt idx="225">
                  <c:v>1.5522920901237278</c:v>
                </c:pt>
                <c:pt idx="226">
                  <c:v>1.5500851381265366</c:v>
                </c:pt>
                <c:pt idx="227">
                  <c:v>1.5480008507197374</c:v>
                </c:pt>
                <c:pt idx="228">
                  <c:v>1.5461450303343607</c:v>
                </c:pt>
                <c:pt idx="229">
                  <c:v>1.5442393845902678</c:v>
                </c:pt>
                <c:pt idx="230">
                  <c:v>1.5422793491180873</c:v>
                </c:pt>
                <c:pt idx="231">
                  <c:v>1.5402599691872834</c:v>
                </c:pt>
                <c:pt idx="232">
                  <c:v>1.538175843860828</c:v>
                </c:pt>
                <c:pt idx="233">
                  <c:v>1.5360210623551505</c:v>
                </c:pt>
                <c:pt idx="234">
                  <c:v>1.5337891299163471</c:v>
                </c:pt>
                <c:pt idx="235">
                  <c:v>1.5314728818355516</c:v>
                </c:pt>
                <c:pt idx="236">
                  <c:v>1.5290643826942192</c:v>
                </c:pt>
                <c:pt idx="237">
                  <c:v>1.5265548080050479</c:v>
                </c:pt>
                <c:pt idx="238">
                  <c:v>1.5239343040882869</c:v>
                </c:pt>
                <c:pt idx="239">
                  <c:v>1.5211918213967224</c:v>
                </c:pt>
                <c:pt idx="240">
                  <c:v>1.5183149151795989</c:v>
                </c:pt>
                <c:pt idx="241">
                  <c:v>1.5152895052523911</c:v>
                </c:pt>
                <c:pt idx="242">
                  <c:v>1.5120995852690289</c:v>
                </c:pt>
                <c:pt idx="243">
                  <c:v>1.5087268678179027</c:v>
                </c:pt>
                <c:pt idx="244">
                  <c:v>1.5051503480066875</c:v>
                </c:pt>
                <c:pt idx="245">
                  <c:v>1.5013457637831438</c:v>
                </c:pt>
                <c:pt idx="246">
                  <c:v>1.4972849214102253</c:v>
                </c:pt>
                <c:pt idx="247">
                  <c:v>1.4929348462097383</c:v>
                </c:pt>
                <c:pt idx="248">
                  <c:v>1.4883164483806239</c:v>
                </c:pt>
                <c:pt idx="249">
                  <c:v>1.4837031175505733</c:v>
                </c:pt>
                <c:pt idx="250">
                  <c:v>1.4791298001311393</c:v>
                </c:pt>
                <c:pt idx="251">
                  <c:v>1.4745910885419464</c:v>
                </c:pt>
                <c:pt idx="252">
                  <c:v>1.4700817408925351</c:v>
                </c:pt>
                <c:pt idx="253">
                  <c:v>1.4655966536011957</c:v>
                </c:pt>
                <c:pt idx="254">
                  <c:v>1.4611308359804303</c:v>
                </c:pt>
                <c:pt idx="255">
                  <c:v>1.4566793862037741</c:v>
                </c:pt>
                <c:pt idx="256">
                  <c:v>1.4522374681803663</c:v>
                </c:pt>
                <c:pt idx="257">
                  <c:v>1.4478002898622078</c:v>
                </c:pt>
                <c:pt idx="258">
                  <c:v>1.4433630814892386</c:v>
                </c:pt>
                <c:pt idx="259">
                  <c:v>1.4389210754001711</c:v>
                </c:pt>
                <c:pt idx="260">
                  <c:v>1.4344694850005695</c:v>
                </c:pt>
                <c:pt idx="261">
                  <c:v>1.4300034854330776</c:v>
                </c:pt>
                <c:pt idx="262">
                  <c:v>1.4255181928292655</c:v>
                </c:pt>
                <c:pt idx="263">
                  <c:v>1.4241538282655071</c:v>
                </c:pt>
                <c:pt idx="264">
                  <c:v>1.4195738725085663</c:v>
                </c:pt>
                <c:pt idx="265">
                  <c:v>1.4149583470153524</c:v>
                </c:pt>
                <c:pt idx="266">
                  <c:v>1.4103018703593522</c:v>
                </c:pt>
                <c:pt idx="267">
                  <c:v>1.4055989012660384</c:v>
                </c:pt>
                <c:pt idx="268">
                  <c:v>1.4008437169245995</c:v>
                </c:pt>
                <c:pt idx="269">
                  <c:v>1.3960303927248776</c:v>
                </c:pt>
                <c:pt idx="270">
                  <c:v>1.3916898849029771</c:v>
                </c:pt>
                <c:pt idx="271">
                  <c:v>1.3873981747811492</c:v>
                </c:pt>
                <c:pt idx="272">
                  <c:v>1.3831467141569116</c:v>
                </c:pt>
                <c:pt idx="273">
                  <c:v>1.378927739759721</c:v>
                </c:pt>
                <c:pt idx="274">
                  <c:v>1.3747341222156508</c:v>
                </c:pt>
                <c:pt idx="275">
                  <c:v>1.3705592447285713</c:v>
                </c:pt>
                <c:pt idx="276">
                  <c:v>1.3663969039207415</c:v>
                </c:pt>
                <c:pt idx="277">
                  <c:v>1.3622412267939654</c:v>
                </c:pt>
                <c:pt idx="278">
                  <c:v>1.3580866018076498</c:v>
                </c:pt>
                <c:pt idx="279">
                  <c:v>1.3539276187643483</c:v>
                </c:pt>
                <c:pt idx="280">
                  <c:v>1.3497590176639269</c:v>
                </c:pt>
                <c:pt idx="281">
                  <c:v>1.3455756420863993</c:v>
                </c:pt>
                <c:pt idx="282">
                  <c:v>1.3413723983723282</c:v>
                </c:pt>
                <c:pt idx="283">
                  <c:v>1.337144217593994</c:v>
                </c:pt>
                <c:pt idx="284">
                  <c:v>1.332886020136163</c:v>
                </c:pt>
                <c:pt idx="285">
                  <c:v>1.3285926823414951</c:v>
                </c:pt>
                <c:pt idx="286">
                  <c:v>1.3242590034748996</c:v>
                </c:pt>
                <c:pt idx="287">
                  <c:v>1.3198796739132967</c:v>
                </c:pt>
                <c:pt idx="288">
                  <c:v>1.3154492428396583</c:v>
                </c:pt>
                <c:pt idx="289">
                  <c:v>1.3109620855713298</c:v>
                </c:pt>
                <c:pt idx="290">
                  <c:v>1.3064123695990848</c:v>
                </c:pt>
                <c:pt idx="291">
                  <c:v>1.3017940191927035</c:v>
                </c:pt>
                <c:pt idx="292">
                  <c:v>1.2971006780105583</c:v>
                </c:pt>
                <c:pt idx="293">
                  <c:v>1.2923256688543843</c:v>
                </c:pt>
                <c:pt idx="294">
                  <c:v>1.2874619507744525</c:v>
                </c:pt>
                <c:pt idx="295">
                  <c:v>1.282508346536517</c:v>
                </c:pt>
                <c:pt idx="296">
                  <c:v>1.2776204320093354</c:v>
                </c:pt>
                <c:pt idx="297">
                  <c:v>1.2728546036394039</c:v>
                </c:pt>
                <c:pt idx="298">
                  <c:v>1.268194170568959</c:v>
                </c:pt>
                <c:pt idx="299">
                  <c:v>1.2636242059679166</c:v>
                </c:pt>
                <c:pt idx="300">
                  <c:v>1.2591312428330166</c:v>
                </c:pt>
                <c:pt idx="301">
                  <c:v>1.2547030222656979</c:v>
                </c:pt>
                <c:pt idx="302">
                  <c:v>1.2503282848122794</c:v>
                </c:pt>
                <c:pt idx="303">
                  <c:v>1.2459965943089919</c:v>
                </c:pt>
                <c:pt idx="304">
                  <c:v>1.2416981879262559</c:v>
                </c:pt>
                <c:pt idx="305">
                  <c:v>1.2374238466920482</c:v>
                </c:pt>
                <c:pt idx="306">
                  <c:v>1.2331647826448808</c:v>
                </c:pt>
                <c:pt idx="307">
                  <c:v>1.228912538463774</c:v>
                </c:pt>
                <c:pt idx="308">
                  <c:v>1.2246588967979681</c:v>
                </c:pt>
                <c:pt idx="309">
                  <c:v>1.2203957976231596</c:v>
                </c:pt>
                <c:pt idx="310">
                  <c:v>1.2161152598973237</c:v>
                </c:pt>
                <c:pt idx="311">
                  <c:v>1.211809308052795</c:v>
                </c:pt>
                <c:pt idx="312">
                  <c:v>1.2074698992237727</c:v>
                </c:pt>
                <c:pt idx="313">
                  <c:v>1.2030888512668381</c:v>
                </c:pt>
                <c:pt idx="314">
                  <c:v>1.1986577700079799</c:v>
                </c:pt>
                <c:pt idx="315">
                  <c:v>1.194167973071957</c:v>
                </c:pt>
                <c:pt idx="316">
                  <c:v>1.1896104101497822</c:v>
                </c:pt>
                <c:pt idx="317">
                  <c:v>1.1849755771458659</c:v>
                </c:pt>
                <c:pt idx="318">
                  <c:v>1.1802534229281691</c:v>
                </c:pt>
                <c:pt idx="319">
                  <c:v>1.1754332453148422</c:v>
                </c:pt>
                <c:pt idx="320">
                  <c:v>1.1675090006898208</c:v>
                </c:pt>
                <c:pt idx="321">
                  <c:v>1.1479105934721474</c:v>
                </c:pt>
                <c:pt idx="322">
                  <c:v>1.1170179725383225</c:v>
                </c:pt>
                <c:pt idx="323">
                  <c:v>1.0751955828271686</c:v>
                </c:pt>
                <c:pt idx="324">
                  <c:v>1.0223022767359247</c:v>
                </c:pt>
                <c:pt idx="325">
                  <c:v>0.957858185000247</c:v>
                </c:pt>
                <c:pt idx="326">
                  <c:v>0.88121895728699062</c:v>
                </c:pt>
                <c:pt idx="327">
                  <c:v>0.79180603846737263</c:v>
                </c:pt>
                <c:pt idx="328">
                  <c:v>0.68942720847005079</c:v>
                </c:pt>
                <c:pt idx="329">
                  <c:v>0.5746804408801518</c:v>
                </c:pt>
                <c:pt idx="330">
                  <c:v>0.4493494982924604</c:v>
                </c:pt>
                <c:pt idx="331">
                  <c:v>0.34255201457858409</c:v>
                </c:pt>
                <c:pt idx="332">
                  <c:v>0.23984458051664204</c:v>
                </c:pt>
                <c:pt idx="333">
                  <c:v>0.13745892376941971</c:v>
                </c:pt>
                <c:pt idx="334">
                  <c:v>3.750058213852947E-2</c:v>
                </c:pt>
                <c:pt idx="335">
                  <c:v>6.2250147694462576</c:v>
                </c:pt>
                <c:pt idx="336">
                  <c:v>6.1352336504221894</c:v>
                </c:pt>
                <c:pt idx="337">
                  <c:v>6.0554602485427695</c:v>
                </c:pt>
                <c:pt idx="338">
                  <c:v>5.9864131733731156</c:v>
                </c:pt>
                <c:pt idx="339">
                  <c:v>5.9270291449079249</c:v>
                </c:pt>
                <c:pt idx="340">
                  <c:v>5.8765568144053768</c:v>
                </c:pt>
                <c:pt idx="341">
                  <c:v>5.834748491260477</c:v>
                </c:pt>
                <c:pt idx="342">
                  <c:v>5.8021994676272151</c:v>
                </c:pt>
                <c:pt idx="343">
                  <c:v>5.7811900791845625</c:v>
                </c:pt>
                <c:pt idx="344">
                  <c:v>5.7757078478822814</c:v>
                </c:pt>
                <c:pt idx="345">
                  <c:v>5.7737485810933933</c:v>
                </c:pt>
                <c:pt idx="346">
                  <c:v>5.7717899976496172</c:v>
                </c:pt>
                <c:pt idx="347">
                  <c:v>5.7698309654918614</c:v>
                </c:pt>
                <c:pt idx="348">
                  <c:v>5.7678703497287955</c:v>
                </c:pt>
                <c:pt idx="349">
                  <c:v>5.7659070101368304</c:v>
                </c:pt>
                <c:pt idx="350">
                  <c:v>5.7639397986392993</c:v>
                </c:pt>
                <c:pt idx="351">
                  <c:v>5.7619675567742092</c:v>
                </c:pt>
                <c:pt idx="352">
                  <c:v>5.7599891129749903</c:v>
                </c:pt>
                <c:pt idx="353">
                  <c:v>5.7580032799531242</c:v>
                </c:pt>
                <c:pt idx="354">
                  <c:v>5.7560088518052197</c:v>
                </c:pt>
                <c:pt idx="355">
                  <c:v>5.7540046012224133</c:v>
                </c:pt>
                <c:pt idx="356">
                  <c:v>5.7519892763548146</c:v>
                </c:pt>
                <c:pt idx="357">
                  <c:v>5.7499615977977427</c:v>
                </c:pt>
                <c:pt idx="358">
                  <c:v>5.7479202551657016</c:v>
                </c:pt>
                <c:pt idx="359">
                  <c:v>5.7458639037104868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5-452B-86B0-21DF09300368}"/>
            </c:ext>
          </c:extLst>
        </c:ser>
        <c:ser>
          <c:idx val="1"/>
          <c:order val="1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L_Section_Capacity!$AX$2:$AX$362</c:f>
              <c:numCache>
                <c:formatCode>0.000E+00</c:formatCode>
                <c:ptCount val="361"/>
                <c:pt idx="0">
                  <c:v>-5.7458639037104895</c:v>
                </c:pt>
                <c:pt idx="1">
                  <c:v>-5.7437911606919769</c:v>
                </c:pt>
                <c:pt idx="2">
                  <c:v>-5.741700601432397</c:v>
                </c:pt>
                <c:pt idx="3">
                  <c:v>-5.7395907553511281</c:v>
                </c:pt>
                <c:pt idx="4">
                  <c:v>-5.737460101500572</c:v>
                </c:pt>
                <c:pt idx="5">
                  <c:v>-5.7353070640639743</c:v>
                </c:pt>
                <c:pt idx="6">
                  <c:v>-5.7331300073243252</c:v>
                </c:pt>
                <c:pt idx="7">
                  <c:v>-5.7309272303964267</c:v>
                </c:pt>
                <c:pt idx="8">
                  <c:v>-5.7286969615713552</c:v>
                </c:pt>
                <c:pt idx="9">
                  <c:v>-5.7264373521899543</c:v>
                </c:pt>
                <c:pt idx="10">
                  <c:v>-5.7241464700934879</c:v>
                </c:pt>
                <c:pt idx="11">
                  <c:v>-5.7218222924588886</c:v>
                </c:pt>
                <c:pt idx="12">
                  <c:v>-5.7194626981723689</c:v>
                </c:pt>
                <c:pt idx="13">
                  <c:v>-5.7170654594160579</c:v>
                </c:pt>
                <c:pt idx="14">
                  <c:v>-5.7146282326910756</c:v>
                </c:pt>
                <c:pt idx="15">
                  <c:v>-5.7121485489220856</c:v>
                </c:pt>
                <c:pt idx="16">
                  <c:v>-5.7096238026838959</c:v>
                </c:pt>
                <c:pt idx="17">
                  <c:v>-5.7070512404589735</c:v>
                </c:pt>
                <c:pt idx="18">
                  <c:v>-5.7044279478572353</c:v>
                </c:pt>
                <c:pt idx="19">
                  <c:v>-5.7017508354814819</c:v>
                </c:pt>
                <c:pt idx="20">
                  <c:v>-5.6990166234432298</c:v>
                </c:pt>
                <c:pt idx="21">
                  <c:v>-5.6962218244039544</c:v>
                </c:pt>
                <c:pt idx="22">
                  <c:v>-5.6933627247874714</c:v>
                </c:pt>
                <c:pt idx="23">
                  <c:v>-5.6904353641109466</c:v>
                </c:pt>
                <c:pt idx="24">
                  <c:v>-5.6874355120306817</c:v>
                </c:pt>
                <c:pt idx="25">
                  <c:v>-5.6843586430438036</c:v>
                </c:pt>
                <c:pt idx="26">
                  <c:v>-5.6811999082669473</c:v>
                </c:pt>
                <c:pt idx="27">
                  <c:v>-5.677954104101147</c:v>
                </c:pt>
                <c:pt idx="28">
                  <c:v>-5.674615637279758</c:v>
                </c:pt>
                <c:pt idx="29">
                  <c:v>-5.6711784859000272</c:v>
                </c:pt>
                <c:pt idx="30">
                  <c:v>-5.6676361556522483</c:v>
                </c:pt>
                <c:pt idx="31">
                  <c:v>-5.6639816308998503</c:v>
                </c:pt>
                <c:pt idx="32">
                  <c:v>-5.660212575686681</c:v>
                </c:pt>
                <c:pt idx="33">
                  <c:v>-5.6564695050709908</c:v>
                </c:pt>
                <c:pt idx="34">
                  <c:v>-5.6528108528029897</c:v>
                </c:pt>
                <c:pt idx="35">
                  <c:v>-5.6492274641686624</c:v>
                </c:pt>
                <c:pt idx="36">
                  <c:v>-5.6457109055581585</c:v>
                </c:pt>
                <c:pt idx="37">
                  <c:v>-5.642253358949179</c:v>
                </c:pt>
                <c:pt idx="38">
                  <c:v>-5.6388475306939245</c:v>
                </c:pt>
                <c:pt idx="39">
                  <c:v>-5.6354865713832876</c:v>
                </c:pt>
                <c:pt idx="40">
                  <c:v>-5.6321640053598578</c:v>
                </c:pt>
                <c:pt idx="41">
                  <c:v>-5.6288736674383362</c:v>
                </c:pt>
                <c:pt idx="42">
                  <c:v>-5.6256096459421947</c:v>
                </c:pt>
                <c:pt idx="43">
                  <c:v>-5.6223662303760351</c:v>
                </c:pt>
                <c:pt idx="44">
                  <c:v>-5.6191378627755526</c:v>
                </c:pt>
                <c:pt idx="45">
                  <c:v>-5.6159190919610857</c:v>
                </c:pt>
                <c:pt idx="46">
                  <c:v>-5.6127045293615421</c:v>
                </c:pt>
                <c:pt idx="47">
                  <c:v>-5.6094888060996357</c:v>
                </c:pt>
                <c:pt idx="48">
                  <c:v>-5.6062665301231682</c:v>
                </c:pt>
                <c:pt idx="49">
                  <c:v>-5.6030322428815502</c:v>
                </c:pt>
                <c:pt idx="50">
                  <c:v>-5.5997803745600825</c:v>
                </c:pt>
                <c:pt idx="51">
                  <c:v>-5.5965051970847988</c:v>
                </c:pt>
                <c:pt idx="52">
                  <c:v>-5.5932007740297207</c:v>
                </c:pt>
                <c:pt idx="53">
                  <c:v>-5.5898609061179894</c:v>
                </c:pt>
                <c:pt idx="54">
                  <c:v>-5.5864790715438026</c:v>
                </c:pt>
                <c:pt idx="55">
                  <c:v>-5.5830483592215225</c:v>
                </c:pt>
                <c:pt idx="56">
                  <c:v>-5.5795613936711907</c:v>
                </c:pt>
                <c:pt idx="57">
                  <c:v>-5.5760102493389345</c:v>
                </c:pt>
                <c:pt idx="58">
                  <c:v>-5.5723863519247665</c:v>
                </c:pt>
                <c:pt idx="59">
                  <c:v>-5.5686803637635478</c:v>
                </c:pt>
                <c:pt idx="60">
                  <c:v>-5.5648820493102598</c:v>
                </c:pt>
                <c:pt idx="61">
                  <c:v>-5.5609801162336252</c:v>
                </c:pt>
                <c:pt idx="62">
                  <c:v>-5.5569620259067181</c:v>
                </c:pt>
                <c:pt idx="63">
                  <c:v>-5.5523559753296494</c:v>
                </c:pt>
                <c:pt idx="64">
                  <c:v>-5.5454820658075912</c:v>
                </c:pt>
                <c:pt idx="65">
                  <c:v>-5.5384943926540764</c:v>
                </c:pt>
                <c:pt idx="66">
                  <c:v>-5.5313757390296088</c:v>
                </c:pt>
                <c:pt idx="67">
                  <c:v>-5.5241068442781565</c:v>
                </c:pt>
                <c:pt idx="68">
                  <c:v>-5.5166659487885692</c:v>
                </c:pt>
                <c:pt idx="69">
                  <c:v>-5.5090282168073754</c:v>
                </c:pt>
                <c:pt idx="70">
                  <c:v>-5.5011649945011989</c:v>
                </c:pt>
                <c:pt idx="71">
                  <c:v>-5.4930428429513514</c:v>
                </c:pt>
                <c:pt idx="72">
                  <c:v>-5.4846222583263868</c:v>
                </c:pt>
                <c:pt idx="73">
                  <c:v>-5.475855950033222</c:v>
                </c:pt>
                <c:pt idx="74">
                  <c:v>-5.466686481976395</c:v>
                </c:pt>
                <c:pt idx="75">
                  <c:v>-5.4570429761387</c:v>
                </c:pt>
                <c:pt idx="76">
                  <c:v>-5.4468364022715852</c:v>
                </c:pt>
                <c:pt idx="77">
                  <c:v>-5.4359526763238168</c:v>
                </c:pt>
                <c:pt idx="78">
                  <c:v>-5.424242257405302</c:v>
                </c:pt>
                <c:pt idx="79">
                  <c:v>-5.4115039472500159</c:v>
                </c:pt>
                <c:pt idx="80">
                  <c:v>-5.3974586902166433</c:v>
                </c:pt>
                <c:pt idx="81">
                  <c:v>-5.3817052775663665</c:v>
                </c:pt>
                <c:pt idx="82">
                  <c:v>-5.363642498432406</c:v>
                </c:pt>
                <c:pt idx="83">
                  <c:v>-5.3441712148372122</c:v>
                </c:pt>
                <c:pt idx="84">
                  <c:v>-5.3245676742284651</c:v>
                </c:pt>
                <c:pt idx="85">
                  <c:v>-5.3048071057076989</c:v>
                </c:pt>
                <c:pt idx="86">
                  <c:v>-5.2848629122509845</c:v>
                </c:pt>
                <c:pt idx="87">
                  <c:v>-5.2647062100106004</c:v>
                </c:pt>
                <c:pt idx="88">
                  <c:v>-5.2443052001898804</c:v>
                </c:pt>
                <c:pt idx="89">
                  <c:v>-5.2236242863467455</c:v>
                </c:pt>
                <c:pt idx="90">
                  <c:v>-5.2026227898148001</c:v>
                </c:pt>
                <c:pt idx="91">
                  <c:v>-5.1662275264264244</c:v>
                </c:pt>
                <c:pt idx="92">
                  <c:v>-5.1301387812743391</c:v>
                </c:pt>
                <c:pt idx="93">
                  <c:v>-5.0943390750191808</c:v>
                </c:pt>
                <c:pt idx="94">
                  <c:v>-5.0587926261576079</c:v>
                </c:pt>
                <c:pt idx="95">
                  <c:v>-5.0234504451081445</c:v>
                </c:pt>
                <c:pt idx="96">
                  <c:v>-4.9882547913576989</c:v>
                </c:pt>
                <c:pt idx="97">
                  <c:v>-4.9543668456108012</c:v>
                </c:pt>
                <c:pt idx="98">
                  <c:v>-4.9270238349519602</c:v>
                </c:pt>
                <c:pt idx="99">
                  <c:v>-4.9049915296701823</c:v>
                </c:pt>
                <c:pt idx="100">
                  <c:v>-4.8868166506419826</c:v>
                </c:pt>
                <c:pt idx="101">
                  <c:v>-4.8773534466196065</c:v>
                </c:pt>
                <c:pt idx="102">
                  <c:v>-4.8639905392573084</c:v>
                </c:pt>
                <c:pt idx="103">
                  <c:v>-4.8524078487409952</c:v>
                </c:pt>
                <c:pt idx="104">
                  <c:v>-4.8422523856565549</c:v>
                </c:pt>
                <c:pt idx="105">
                  <c:v>-4.8332593099475609</c:v>
                </c:pt>
                <c:pt idx="106">
                  <c:v>-4.825225931961123</c:v>
                </c:pt>
                <c:pt idx="107">
                  <c:v>-4.8179944123274483</c:v>
                </c:pt>
                <c:pt idx="108">
                  <c:v>-4.8114399447508269</c:v>
                </c:pt>
                <c:pt idx="109">
                  <c:v>-4.8054624944036037</c:v>
                </c:pt>
                <c:pt idx="110">
                  <c:v>-4.7999809031201943</c:v>
                </c:pt>
                <c:pt idx="111">
                  <c:v>-4.7949286049455955</c:v>
                </c:pt>
                <c:pt idx="112">
                  <c:v>-4.7902504609613201</c:v>
                </c:pt>
                <c:pt idx="113">
                  <c:v>-4.7859003857867854</c:v>
                </c:pt>
                <c:pt idx="114">
                  <c:v>-4.7818395434169911</c:v>
                </c:pt>
                <c:pt idx="115">
                  <c:v>-4.7780349591889095</c:v>
                </c:pt>
                <c:pt idx="116">
                  <c:v>-4.7744584393989005</c:v>
                </c:pt>
                <c:pt idx="117">
                  <c:v>-4.7710857218887259</c:v>
                </c:pt>
                <c:pt idx="118">
                  <c:v>-4.7678958019272235</c:v>
                </c:pt>
                <c:pt idx="119">
                  <c:v>-4.7648703920200397</c:v>
                </c:pt>
                <c:pt idx="120">
                  <c:v>-4.7619934857860811</c:v>
                </c:pt>
                <c:pt idx="121">
                  <c:v>-4.7592510030862387</c:v>
                </c:pt>
                <c:pt idx="122">
                  <c:v>-4.7566304991523278</c:v>
                </c:pt>
                <c:pt idx="123">
                  <c:v>-4.7541209244724278</c:v>
                </c:pt>
                <c:pt idx="124">
                  <c:v>-4.75171242536228</c:v>
                </c:pt>
                <c:pt idx="125">
                  <c:v>-4.7493961772604703</c:v>
                </c:pt>
                <c:pt idx="126">
                  <c:v>-4.7471642448309144</c:v>
                </c:pt>
                <c:pt idx="127">
                  <c:v>-4.7450094633573228</c:v>
                </c:pt>
                <c:pt idx="128">
                  <c:v>-4.7429253380149552</c:v>
                </c:pt>
                <c:pt idx="129">
                  <c:v>-4.7409059580272741</c:v>
                </c:pt>
                <c:pt idx="130">
                  <c:v>-4.7389459226246125</c:v>
                </c:pt>
                <c:pt idx="131">
                  <c:v>-4.7370402768623068</c:v>
                </c:pt>
                <c:pt idx="132">
                  <c:v>-4.7351844564786525</c:v>
                </c:pt>
                <c:pt idx="133">
                  <c:v>-4.7331001690514984</c:v>
                </c:pt>
                <c:pt idx="134">
                  <c:v>-4.7308932170870435</c:v>
                </c:pt>
                <c:pt idx="135">
                  <c:v>-4.7287592956388931</c:v>
                </c:pt>
                <c:pt idx="136">
                  <c:v>-4.7266931844307365</c:v>
                </c:pt>
                <c:pt idx="137">
                  <c:v>-4.7246900480619187</c:v>
                </c:pt>
                <c:pt idx="138">
                  <c:v>-4.7227453916375204</c:v>
                </c:pt>
                <c:pt idx="139">
                  <c:v>-4.7208550214564742</c:v>
                </c:pt>
                <c:pt idx="140">
                  <c:v>-4.7190150089040612</c:v>
                </c:pt>
                <c:pt idx="141">
                  <c:v>-4.7172216579819031</c:v>
                </c:pt>
                <c:pt idx="142">
                  <c:v>-4.7154714748091475</c:v>
                </c:pt>
                <c:pt idx="143">
                  <c:v>-4.713761139581389</c:v>
                </c:pt>
                <c:pt idx="144">
                  <c:v>-4.712087479468325</c:v>
                </c:pt>
                <c:pt idx="145">
                  <c:v>-4.710447442925231</c:v>
                </c:pt>
                <c:pt idx="146">
                  <c:v>-4.7088380743258185</c:v>
                </c:pt>
                <c:pt idx="147">
                  <c:v>-4.7072564881664212</c:v>
                </c:pt>
                <c:pt idx="148">
                  <c:v>-4.7056998432601729</c:v>
                </c:pt>
                <c:pt idx="149">
                  <c:v>-4.7041653151547322</c:v>
                </c:pt>
                <c:pt idx="150">
                  <c:v>-4.7026500667280304</c:v>
                </c:pt>
                <c:pt idx="151">
                  <c:v>-4.7011512155831277</c:v>
                </c:pt>
                <c:pt idx="152">
                  <c:v>-4.69966579795594</c:v>
                </c:pt>
                <c:pt idx="153">
                  <c:v>-4.6981907264615472</c:v>
                </c:pt>
                <c:pt idx="154">
                  <c:v>-4.6967227413392667</c:v>
                </c:pt>
                <c:pt idx="155">
                  <c:v>-4.6952583515566237</c:v>
                </c:pt>
                <c:pt idx="156">
                  <c:v>-4.693793763697431</c:v>
                </c:pt>
                <c:pt idx="157">
                  <c:v>-4.692324794016618</c:v>
                </c:pt>
                <c:pt idx="158">
                  <c:v>-4.6908467582298918</c:v>
                </c:pt>
                <c:pt idx="159">
                  <c:v>-4.6893543312435906</c:v>
                </c:pt>
                <c:pt idx="160">
                  <c:v>-4.6878413656595468</c:v>
                </c:pt>
                <c:pt idx="161">
                  <c:v>-4.6863006541550583</c:v>
                </c:pt>
                <c:pt idx="162">
                  <c:v>-4.6847236123242038</c:v>
                </c:pt>
                <c:pt idx="163">
                  <c:v>-4.6830998486178412</c:v>
                </c:pt>
                <c:pt idx="164">
                  <c:v>-4.6814165700961485</c:v>
                </c:pt>
                <c:pt idx="165">
                  <c:v>-4.6796577444432685</c:v>
                </c:pt>
                <c:pt idx="166">
                  <c:v>-4.6778028907577918</c:v>
                </c:pt>
                <c:pt idx="167">
                  <c:v>-4.6758252876462549</c:v>
                </c:pt>
                <c:pt idx="168">
                  <c:v>-4.6736892403227843</c:v>
                </c:pt>
                <c:pt idx="169">
                  <c:v>-4.6713457588266865</c:v>
                </c:pt>
                <c:pt idx="170">
                  <c:v>-4.6687254442436359</c:v>
                </c:pt>
                <c:pt idx="171">
                  <c:v>-4.6657261761759754</c:v>
                </c:pt>
                <c:pt idx="172">
                  <c:v>-4.661980982445872</c:v>
                </c:pt>
                <c:pt idx="173">
                  <c:v>-4.6587988043348982</c:v>
                </c:pt>
                <c:pt idx="174">
                  <c:v>-4.6531818966289133</c:v>
                </c:pt>
                <c:pt idx="175">
                  <c:v>-4.6454600302014359</c:v>
                </c:pt>
                <c:pt idx="176">
                  <c:v>-4.6336085934138502</c:v>
                </c:pt>
                <c:pt idx="177">
                  <c:v>-4.6115498679727818</c:v>
                </c:pt>
                <c:pt idx="178">
                  <c:v>-4.5547800058402199</c:v>
                </c:pt>
                <c:pt idx="179">
                  <c:v>-4.4083841455087365</c:v>
                </c:pt>
                <c:pt idx="180">
                  <c:v>-3.141592653432963</c:v>
                </c:pt>
                <c:pt idx="181">
                  <c:v>-1.8748011615049351</c:v>
                </c:pt>
                <c:pt idx="182">
                  <c:v>-1.7284053013866638</c:v>
                </c:pt>
                <c:pt idx="183">
                  <c:v>-1.671635439092539</c:v>
                </c:pt>
                <c:pt idx="184">
                  <c:v>-1.6495767138141681</c:v>
                </c:pt>
                <c:pt idx="185">
                  <c:v>-1.6377252769590072</c:v>
                </c:pt>
                <c:pt idx="186">
                  <c:v>-1.6300034104949719</c:v>
                </c:pt>
                <c:pt idx="187">
                  <c:v>-1.6243865028327027</c:v>
                </c:pt>
                <c:pt idx="188">
                  <c:v>-1.6212043247438745</c:v>
                </c:pt>
                <c:pt idx="189">
                  <c:v>-1.6174591310085626</c:v>
                </c:pt>
                <c:pt idx="190">
                  <c:v>-1.614459863028207</c:v>
                </c:pt>
                <c:pt idx="191">
                  <c:v>-1.6118395483608656</c:v>
                </c:pt>
                <c:pt idx="192">
                  <c:v>-1.6094960669372345</c:v>
                </c:pt>
                <c:pt idx="193">
                  <c:v>-1.6073600194944246</c:v>
                </c:pt>
                <c:pt idx="194">
                  <c:v>-1.605382416430847</c:v>
                </c:pt>
                <c:pt idx="195">
                  <c:v>-1.6035275627094143</c:v>
                </c:pt>
                <c:pt idx="196">
                  <c:v>-1.6017687370816482</c:v>
                </c:pt>
                <c:pt idx="197">
                  <c:v>-1.6000854585790989</c:v>
                </c:pt>
                <c:pt idx="198">
                  <c:v>-1.5984616949101527</c:v>
                </c:pt>
                <c:pt idx="199">
                  <c:v>-1.596884653061891</c:v>
                </c:pt>
                <c:pt idx="200">
                  <c:v>-1.5953439415853679</c:v>
                </c:pt>
                <c:pt idx="201">
                  <c:v>-1.5938309759467173</c:v>
                </c:pt>
                <c:pt idx="202">
                  <c:v>-1.5923385489531978</c:v>
                </c:pt>
                <c:pt idx="203">
                  <c:v>-1.5908605131353684</c:v>
                </c:pt>
                <c:pt idx="204">
                  <c:v>-1.5893915435000177</c:v>
                </c:pt>
                <c:pt idx="205">
                  <c:v>-1.5879269556283861</c:v>
                </c:pt>
                <c:pt idx="206">
                  <c:v>-1.5864625658021878</c:v>
                </c:pt>
                <c:pt idx="207">
                  <c:v>-1.5849945806815111</c:v>
                </c:pt>
                <c:pt idx="208">
                  <c:v>-1.5835195092175653</c:v>
                </c:pt>
                <c:pt idx="209">
                  <c:v>-1.5820340916252542</c:v>
                </c:pt>
                <c:pt idx="210">
                  <c:v>-1.5805352404760424</c:v>
                </c:pt>
                <c:pt idx="211">
                  <c:v>-1.5790199920282841</c:v>
                </c:pt>
                <c:pt idx="212">
                  <c:v>-1.5774854639367228</c:v>
                </c:pt>
                <c:pt idx="213">
                  <c:v>-1.5759288190180969</c:v>
                </c:pt>
                <c:pt idx="214">
                  <c:v>-1.5743472328810568</c:v>
                </c:pt>
                <c:pt idx="215">
                  <c:v>-1.5727378642228802</c:v>
                </c:pt>
                <c:pt idx="216">
                  <c:v>-1.5710978277027727</c:v>
                </c:pt>
                <c:pt idx="217">
                  <c:v>-1.5694241675761003</c:v>
                </c:pt>
                <c:pt idx="218">
                  <c:v>-1.5677138323459954</c:v>
                </c:pt>
                <c:pt idx="219">
                  <c:v>-1.5659636491811444</c:v>
                </c:pt>
                <c:pt idx="220">
                  <c:v>-1.5641702982760419</c:v>
                </c:pt>
                <c:pt idx="221">
                  <c:v>-1.5623302857250607</c:v>
                </c:pt>
                <c:pt idx="222">
                  <c:v>-1.5604399155036486</c:v>
                </c:pt>
                <c:pt idx="223">
                  <c:v>-1.5584952591165817</c:v>
                </c:pt>
                <c:pt idx="224">
                  <c:v>-1.5564921227350579</c:v>
                </c:pt>
                <c:pt idx="225">
                  <c:v>-1.5544260115969215</c:v>
                </c:pt>
                <c:pt idx="226">
                  <c:v>-1.5522920901237278</c:v>
                </c:pt>
                <c:pt idx="227">
                  <c:v>-1.5500851381265366</c:v>
                </c:pt>
                <c:pt idx="228">
                  <c:v>-1.5480008507197374</c:v>
                </c:pt>
                <c:pt idx="229">
                  <c:v>-1.5461450303343607</c:v>
                </c:pt>
                <c:pt idx="230">
                  <c:v>-1.5442393845902678</c:v>
                </c:pt>
                <c:pt idx="231">
                  <c:v>-1.5422793491180873</c:v>
                </c:pt>
                <c:pt idx="232">
                  <c:v>-1.5402599691872834</c:v>
                </c:pt>
                <c:pt idx="233">
                  <c:v>-1.538175843860828</c:v>
                </c:pt>
                <c:pt idx="234">
                  <c:v>-1.5360210623551505</c:v>
                </c:pt>
                <c:pt idx="235">
                  <c:v>-1.5337891299163471</c:v>
                </c:pt>
                <c:pt idx="236">
                  <c:v>-1.5314728818355516</c:v>
                </c:pt>
                <c:pt idx="237">
                  <c:v>-1.5290643826942192</c:v>
                </c:pt>
                <c:pt idx="238">
                  <c:v>-1.5265548080050479</c:v>
                </c:pt>
                <c:pt idx="239">
                  <c:v>-1.5239343040882869</c:v>
                </c:pt>
                <c:pt idx="240">
                  <c:v>-1.5211918213967224</c:v>
                </c:pt>
                <c:pt idx="241">
                  <c:v>-1.5183149151795989</c:v>
                </c:pt>
                <c:pt idx="242">
                  <c:v>-1.5152895052523911</c:v>
                </c:pt>
                <c:pt idx="243">
                  <c:v>-1.5120995852690289</c:v>
                </c:pt>
                <c:pt idx="244">
                  <c:v>-1.5087268678179027</c:v>
                </c:pt>
                <c:pt idx="245">
                  <c:v>-1.5051503480066875</c:v>
                </c:pt>
                <c:pt idx="246">
                  <c:v>-1.5013457637831438</c:v>
                </c:pt>
                <c:pt idx="247">
                  <c:v>-1.4972849214102253</c:v>
                </c:pt>
                <c:pt idx="248">
                  <c:v>-1.4929348462097383</c:v>
                </c:pt>
                <c:pt idx="249">
                  <c:v>-1.4883164483806239</c:v>
                </c:pt>
                <c:pt idx="250">
                  <c:v>-1.4837031175505733</c:v>
                </c:pt>
                <c:pt idx="251">
                  <c:v>-1.4791298001311393</c:v>
                </c:pt>
                <c:pt idx="252">
                  <c:v>-1.4745910885419464</c:v>
                </c:pt>
                <c:pt idx="253">
                  <c:v>-1.4700817408925351</c:v>
                </c:pt>
                <c:pt idx="254">
                  <c:v>-1.4655966536011957</c:v>
                </c:pt>
                <c:pt idx="255">
                  <c:v>-1.4611308359804303</c:v>
                </c:pt>
                <c:pt idx="256">
                  <c:v>-1.4566793862037741</c:v>
                </c:pt>
                <c:pt idx="257">
                  <c:v>-1.4522374681803663</c:v>
                </c:pt>
                <c:pt idx="258">
                  <c:v>-1.4478002898622078</c:v>
                </c:pt>
                <c:pt idx="259">
                  <c:v>-1.4433630814892386</c:v>
                </c:pt>
                <c:pt idx="260">
                  <c:v>-1.4389210754001711</c:v>
                </c:pt>
                <c:pt idx="261">
                  <c:v>-1.4344694850005695</c:v>
                </c:pt>
                <c:pt idx="262">
                  <c:v>-1.4300034854330776</c:v>
                </c:pt>
                <c:pt idx="263">
                  <c:v>-1.4255181928292655</c:v>
                </c:pt>
                <c:pt idx="264">
                  <c:v>-1.4241538282655071</c:v>
                </c:pt>
                <c:pt idx="265">
                  <c:v>-1.4195738725085663</c:v>
                </c:pt>
                <c:pt idx="266">
                  <c:v>-1.4149583470153524</c:v>
                </c:pt>
                <c:pt idx="267">
                  <c:v>-1.4103018703593522</c:v>
                </c:pt>
                <c:pt idx="268">
                  <c:v>-1.4055989012660384</c:v>
                </c:pt>
                <c:pt idx="269">
                  <c:v>-1.4008437169245995</c:v>
                </c:pt>
                <c:pt idx="270">
                  <c:v>-1.3960303927248776</c:v>
                </c:pt>
                <c:pt idx="271">
                  <c:v>-1.3916898849029771</c:v>
                </c:pt>
                <c:pt idx="272">
                  <c:v>-1.3873981747811492</c:v>
                </c:pt>
                <c:pt idx="273">
                  <c:v>-1.3831467141569116</c:v>
                </c:pt>
                <c:pt idx="274">
                  <c:v>-1.378927739759721</c:v>
                </c:pt>
                <c:pt idx="275">
                  <c:v>-1.3747341222156508</c:v>
                </c:pt>
                <c:pt idx="276">
                  <c:v>-1.3705592447285713</c:v>
                </c:pt>
                <c:pt idx="277">
                  <c:v>-1.3663969039207415</c:v>
                </c:pt>
                <c:pt idx="278">
                  <c:v>-1.3622412267939654</c:v>
                </c:pt>
                <c:pt idx="279">
                  <c:v>-1.3580866018076498</c:v>
                </c:pt>
                <c:pt idx="280">
                  <c:v>-1.3539276187643483</c:v>
                </c:pt>
                <c:pt idx="281">
                  <c:v>-1.3497590176639269</c:v>
                </c:pt>
                <c:pt idx="282">
                  <c:v>-1.3455756420863993</c:v>
                </c:pt>
                <c:pt idx="283">
                  <c:v>-1.3413723983723282</c:v>
                </c:pt>
                <c:pt idx="284">
                  <c:v>-1.337144217593994</c:v>
                </c:pt>
                <c:pt idx="285">
                  <c:v>-1.332886020136163</c:v>
                </c:pt>
                <c:pt idx="286">
                  <c:v>-1.3285926823414951</c:v>
                </c:pt>
                <c:pt idx="287">
                  <c:v>-1.3242590034748996</c:v>
                </c:pt>
                <c:pt idx="288">
                  <c:v>-1.3198796739132967</c:v>
                </c:pt>
                <c:pt idx="289">
                  <c:v>-1.3154492428396583</c:v>
                </c:pt>
                <c:pt idx="290">
                  <c:v>-1.3109620855713298</c:v>
                </c:pt>
                <c:pt idx="291">
                  <c:v>-1.3064123695990848</c:v>
                </c:pt>
                <c:pt idx="292">
                  <c:v>-1.3017940191927035</c:v>
                </c:pt>
                <c:pt idx="293">
                  <c:v>-1.2971006780105583</c:v>
                </c:pt>
                <c:pt idx="294">
                  <c:v>-1.2923256688543843</c:v>
                </c:pt>
                <c:pt idx="295">
                  <c:v>-1.2874619507744525</c:v>
                </c:pt>
                <c:pt idx="296">
                  <c:v>-1.282508346536517</c:v>
                </c:pt>
                <c:pt idx="297">
                  <c:v>-1.2776204320093354</c:v>
                </c:pt>
                <c:pt idx="298">
                  <c:v>-1.2728546036394039</c:v>
                </c:pt>
                <c:pt idx="299">
                  <c:v>-1.268194170568959</c:v>
                </c:pt>
                <c:pt idx="300">
                  <c:v>-1.2636242059679166</c:v>
                </c:pt>
                <c:pt idx="301">
                  <c:v>-1.2591312428330166</c:v>
                </c:pt>
                <c:pt idx="302">
                  <c:v>-1.2547030222656979</c:v>
                </c:pt>
                <c:pt idx="303">
                  <c:v>-1.2503282848122794</c:v>
                </c:pt>
                <c:pt idx="304">
                  <c:v>-1.2459965943089919</c:v>
                </c:pt>
                <c:pt idx="305">
                  <c:v>-1.2416981879262559</c:v>
                </c:pt>
                <c:pt idx="306">
                  <c:v>-1.2374238466920482</c:v>
                </c:pt>
                <c:pt idx="307">
                  <c:v>-1.2331647826448808</c:v>
                </c:pt>
                <c:pt idx="308">
                  <c:v>-1.228912538463774</c:v>
                </c:pt>
                <c:pt idx="309">
                  <c:v>-1.2246588967979681</c:v>
                </c:pt>
                <c:pt idx="310">
                  <c:v>-1.2203957976231596</c:v>
                </c:pt>
                <c:pt idx="311">
                  <c:v>-1.2161152598973237</c:v>
                </c:pt>
                <c:pt idx="312">
                  <c:v>-1.211809308052795</c:v>
                </c:pt>
                <c:pt idx="313">
                  <c:v>-1.2074698992237727</c:v>
                </c:pt>
                <c:pt idx="314">
                  <c:v>-1.2030888512668381</c:v>
                </c:pt>
                <c:pt idx="315">
                  <c:v>-1.1986577700079799</c:v>
                </c:pt>
                <c:pt idx="316">
                  <c:v>-1.194167973071957</c:v>
                </c:pt>
                <c:pt idx="317">
                  <c:v>-1.1896104101497822</c:v>
                </c:pt>
                <c:pt idx="318">
                  <c:v>-1.1849755771458659</c:v>
                </c:pt>
                <c:pt idx="319">
                  <c:v>-1.1802534229281691</c:v>
                </c:pt>
                <c:pt idx="320">
                  <c:v>-1.1754332453148422</c:v>
                </c:pt>
                <c:pt idx="321">
                  <c:v>-1.1675090006898208</c:v>
                </c:pt>
                <c:pt idx="322">
                  <c:v>-1.1479105934721474</c:v>
                </c:pt>
                <c:pt idx="323">
                  <c:v>-1.1170179725383225</c:v>
                </c:pt>
                <c:pt idx="324">
                  <c:v>-1.0751955828271686</c:v>
                </c:pt>
                <c:pt idx="325">
                  <c:v>-1.0223022767359247</c:v>
                </c:pt>
                <c:pt idx="326">
                  <c:v>-0.957858185000247</c:v>
                </c:pt>
                <c:pt idx="327">
                  <c:v>-0.88121895728699062</c:v>
                </c:pt>
                <c:pt idx="328">
                  <c:v>-0.79180603846737263</c:v>
                </c:pt>
                <c:pt idx="329">
                  <c:v>-0.68942720847005079</c:v>
                </c:pt>
                <c:pt idx="330">
                  <c:v>-0.5746804408801518</c:v>
                </c:pt>
                <c:pt idx="331">
                  <c:v>-0.4493494982924604</c:v>
                </c:pt>
                <c:pt idx="332">
                  <c:v>-0.34255201457858409</c:v>
                </c:pt>
                <c:pt idx="333">
                  <c:v>-0.23984458051664204</c:v>
                </c:pt>
                <c:pt idx="334">
                  <c:v>-0.13745892376941971</c:v>
                </c:pt>
                <c:pt idx="335">
                  <c:v>-3.750058213852947E-2</c:v>
                </c:pt>
                <c:pt idx="336">
                  <c:v>-6.2250147694462576</c:v>
                </c:pt>
                <c:pt idx="337">
                  <c:v>-6.1352336504221894</c:v>
                </c:pt>
                <c:pt idx="338">
                  <c:v>-6.0554602485427695</c:v>
                </c:pt>
                <c:pt idx="339">
                  <c:v>-5.9864131733731156</c:v>
                </c:pt>
                <c:pt idx="340">
                  <c:v>-5.9270291449079249</c:v>
                </c:pt>
                <c:pt idx="341">
                  <c:v>-5.8765568144053768</c:v>
                </c:pt>
                <c:pt idx="342">
                  <c:v>-5.834748491260477</c:v>
                </c:pt>
                <c:pt idx="343">
                  <c:v>-5.8021994676272151</c:v>
                </c:pt>
                <c:pt idx="344">
                  <c:v>-5.7811900791845625</c:v>
                </c:pt>
                <c:pt idx="345">
                  <c:v>-5.7757078478822814</c:v>
                </c:pt>
                <c:pt idx="346">
                  <c:v>-5.7737485810933933</c:v>
                </c:pt>
                <c:pt idx="347">
                  <c:v>-5.7717899976496172</c:v>
                </c:pt>
                <c:pt idx="348">
                  <c:v>-5.7698309654918614</c:v>
                </c:pt>
                <c:pt idx="349">
                  <c:v>-5.7678703497287955</c:v>
                </c:pt>
                <c:pt idx="350">
                  <c:v>-5.7659070101368304</c:v>
                </c:pt>
                <c:pt idx="351">
                  <c:v>-5.7639397986392993</c:v>
                </c:pt>
                <c:pt idx="352">
                  <c:v>-5.7619675567742092</c:v>
                </c:pt>
                <c:pt idx="353">
                  <c:v>-5.7599891129749903</c:v>
                </c:pt>
                <c:pt idx="354">
                  <c:v>-5.7580032799531242</c:v>
                </c:pt>
                <c:pt idx="355">
                  <c:v>-5.7560088518052197</c:v>
                </c:pt>
                <c:pt idx="356">
                  <c:v>-5.7540046012224133</c:v>
                </c:pt>
                <c:pt idx="357">
                  <c:v>-5.7519892763548146</c:v>
                </c:pt>
                <c:pt idx="358">
                  <c:v>-5.7499615977977427</c:v>
                </c:pt>
                <c:pt idx="359">
                  <c:v>-5.7479202551657016</c:v>
                </c:pt>
                <c:pt idx="360">
                  <c:v>-5.7458639037104868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2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2.7119924157012236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-8.0856681350383042E-9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3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3.1415926535897931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4"/>
          <c:tx>
            <c:v>User+/-pi/2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4.7123889803846897</c:v>
                </c:pt>
                <c:pt idx="1">
                  <c:v>1.5707963267948966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5"/>
          <c:tx>
            <c:v>second_phase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L_Section_Capacity!$BC$2:$BC$182</c:f>
              <c:numCache>
                <c:formatCode>General</c:formatCode>
                <c:ptCount val="181"/>
                <c:pt idx="0">
                  <c:v>-5.7458639037104895</c:v>
                </c:pt>
                <c:pt idx="1">
                  <c:v>-5.7437911606919769</c:v>
                </c:pt>
                <c:pt idx="2">
                  <c:v>-5.741700601432397</c:v>
                </c:pt>
                <c:pt idx="3">
                  <c:v>-5.7395907553511281</c:v>
                </c:pt>
                <c:pt idx="4">
                  <c:v>-5.737460101500572</c:v>
                </c:pt>
                <c:pt idx="5">
                  <c:v>-5.7353070640639743</c:v>
                </c:pt>
                <c:pt idx="6">
                  <c:v>-5.7331300073243252</c:v>
                </c:pt>
                <c:pt idx="7">
                  <c:v>-5.7309272303964267</c:v>
                </c:pt>
                <c:pt idx="8">
                  <c:v>-5.7286969615713552</c:v>
                </c:pt>
                <c:pt idx="9">
                  <c:v>-5.7264373521899543</c:v>
                </c:pt>
                <c:pt idx="10">
                  <c:v>-5.7241464700934879</c:v>
                </c:pt>
                <c:pt idx="11">
                  <c:v>-5.7218222924588886</c:v>
                </c:pt>
                <c:pt idx="12">
                  <c:v>-5.7194626981723689</c:v>
                </c:pt>
                <c:pt idx="13">
                  <c:v>-5.7170654594160579</c:v>
                </c:pt>
                <c:pt idx="14">
                  <c:v>-5.7146282326910756</c:v>
                </c:pt>
                <c:pt idx="15">
                  <c:v>-5.7121485489220856</c:v>
                </c:pt>
                <c:pt idx="16">
                  <c:v>-5.7096238026838959</c:v>
                </c:pt>
                <c:pt idx="17">
                  <c:v>-5.7070512404589735</c:v>
                </c:pt>
                <c:pt idx="18">
                  <c:v>-5.7044279478572353</c:v>
                </c:pt>
                <c:pt idx="19">
                  <c:v>-5.7017508354814819</c:v>
                </c:pt>
                <c:pt idx="20">
                  <c:v>-5.6990166234432298</c:v>
                </c:pt>
                <c:pt idx="21">
                  <c:v>-5.6962218244039544</c:v>
                </c:pt>
                <c:pt idx="22">
                  <c:v>-5.6933627247874714</c:v>
                </c:pt>
                <c:pt idx="23">
                  <c:v>-5.6904353641109466</c:v>
                </c:pt>
                <c:pt idx="24">
                  <c:v>-5.6874355120306817</c:v>
                </c:pt>
                <c:pt idx="25">
                  <c:v>-5.6843586430438036</c:v>
                </c:pt>
                <c:pt idx="26">
                  <c:v>-5.6811999082669473</c:v>
                </c:pt>
                <c:pt idx="27">
                  <c:v>-5.677954104101147</c:v>
                </c:pt>
                <c:pt idx="28">
                  <c:v>-5.674615637279758</c:v>
                </c:pt>
                <c:pt idx="29">
                  <c:v>-5.6711784859000272</c:v>
                </c:pt>
                <c:pt idx="30">
                  <c:v>-5.6676361556522483</c:v>
                </c:pt>
                <c:pt idx="31">
                  <c:v>-5.6639816308998503</c:v>
                </c:pt>
                <c:pt idx="32">
                  <c:v>-5.660212575686681</c:v>
                </c:pt>
                <c:pt idx="33">
                  <c:v>-5.6564695050709908</c:v>
                </c:pt>
                <c:pt idx="34">
                  <c:v>-5.6528108528029897</c:v>
                </c:pt>
                <c:pt idx="35">
                  <c:v>-5.6492274641686624</c:v>
                </c:pt>
                <c:pt idx="36">
                  <c:v>-5.6457109055581585</c:v>
                </c:pt>
                <c:pt idx="37">
                  <c:v>-5.642253358949179</c:v>
                </c:pt>
                <c:pt idx="38">
                  <c:v>-5.6388475306939245</c:v>
                </c:pt>
                <c:pt idx="39">
                  <c:v>-5.6354865713832876</c:v>
                </c:pt>
                <c:pt idx="40">
                  <c:v>-5.6321640053598578</c:v>
                </c:pt>
                <c:pt idx="41">
                  <c:v>-5.6288736674383362</c:v>
                </c:pt>
                <c:pt idx="42">
                  <c:v>-5.6256096459421947</c:v>
                </c:pt>
                <c:pt idx="43">
                  <c:v>-5.6223662303760351</c:v>
                </c:pt>
                <c:pt idx="44">
                  <c:v>-5.6191378627755526</c:v>
                </c:pt>
                <c:pt idx="45">
                  <c:v>-5.6159190919610857</c:v>
                </c:pt>
                <c:pt idx="46">
                  <c:v>-5.6127045293615421</c:v>
                </c:pt>
                <c:pt idx="47">
                  <c:v>-5.6094888060996357</c:v>
                </c:pt>
                <c:pt idx="48">
                  <c:v>-5.6062665301231682</c:v>
                </c:pt>
                <c:pt idx="49">
                  <c:v>-5.6030322428815502</c:v>
                </c:pt>
                <c:pt idx="50">
                  <c:v>-5.5997803745600825</c:v>
                </c:pt>
                <c:pt idx="51">
                  <c:v>-5.5965051970847988</c:v>
                </c:pt>
                <c:pt idx="52">
                  <c:v>-5.5932007740297207</c:v>
                </c:pt>
                <c:pt idx="53">
                  <c:v>-5.5898609061179894</c:v>
                </c:pt>
                <c:pt idx="54">
                  <c:v>-5.5864790715438026</c:v>
                </c:pt>
                <c:pt idx="55">
                  <c:v>-5.5830483592215225</c:v>
                </c:pt>
                <c:pt idx="56">
                  <c:v>-5.5795613936711907</c:v>
                </c:pt>
                <c:pt idx="57">
                  <c:v>-5.5760102493389345</c:v>
                </c:pt>
                <c:pt idx="58">
                  <c:v>-5.5723863519247665</c:v>
                </c:pt>
                <c:pt idx="59">
                  <c:v>-5.5686803637635478</c:v>
                </c:pt>
                <c:pt idx="60">
                  <c:v>-5.5648820493102598</c:v>
                </c:pt>
                <c:pt idx="61">
                  <c:v>-5.5609801162336252</c:v>
                </c:pt>
                <c:pt idx="62">
                  <c:v>-5.5569620259067181</c:v>
                </c:pt>
                <c:pt idx="63">
                  <c:v>-5.5523559753296494</c:v>
                </c:pt>
                <c:pt idx="64">
                  <c:v>-5.5454820658075912</c:v>
                </c:pt>
                <c:pt idx="65">
                  <c:v>-5.5384943926540764</c:v>
                </c:pt>
                <c:pt idx="66">
                  <c:v>-5.5313757390296088</c:v>
                </c:pt>
                <c:pt idx="67">
                  <c:v>-5.5241068442781565</c:v>
                </c:pt>
                <c:pt idx="68">
                  <c:v>-5.5166659487885692</c:v>
                </c:pt>
                <c:pt idx="69">
                  <c:v>-5.5090282168073754</c:v>
                </c:pt>
                <c:pt idx="70">
                  <c:v>-5.5011649945011989</c:v>
                </c:pt>
                <c:pt idx="71">
                  <c:v>-5.4930428429513514</c:v>
                </c:pt>
                <c:pt idx="72">
                  <c:v>-5.4846222583263868</c:v>
                </c:pt>
                <c:pt idx="73">
                  <c:v>-5.475855950033222</c:v>
                </c:pt>
                <c:pt idx="74">
                  <c:v>-5.466686481976395</c:v>
                </c:pt>
                <c:pt idx="75">
                  <c:v>-5.4570429761387</c:v>
                </c:pt>
                <c:pt idx="76">
                  <c:v>-5.4468364022715852</c:v>
                </c:pt>
                <c:pt idx="77">
                  <c:v>-5.4359526763238168</c:v>
                </c:pt>
                <c:pt idx="78">
                  <c:v>-5.424242257405302</c:v>
                </c:pt>
                <c:pt idx="79">
                  <c:v>-5.4115039472500159</c:v>
                </c:pt>
                <c:pt idx="80">
                  <c:v>-5.3974586902166433</c:v>
                </c:pt>
                <c:pt idx="81">
                  <c:v>-5.3817052775663665</c:v>
                </c:pt>
                <c:pt idx="82">
                  <c:v>-5.363642498432406</c:v>
                </c:pt>
                <c:pt idx="83">
                  <c:v>-5.3441712148372122</c:v>
                </c:pt>
                <c:pt idx="84">
                  <c:v>-5.3245676742284651</c:v>
                </c:pt>
                <c:pt idx="85">
                  <c:v>-5.3048071057076989</c:v>
                </c:pt>
                <c:pt idx="86">
                  <c:v>-5.2848629122509845</c:v>
                </c:pt>
                <c:pt idx="87">
                  <c:v>-5.2647062100106004</c:v>
                </c:pt>
                <c:pt idx="88">
                  <c:v>-5.2443052001898804</c:v>
                </c:pt>
                <c:pt idx="89">
                  <c:v>-5.2236242863467455</c:v>
                </c:pt>
                <c:pt idx="90">
                  <c:v>-5.2026227898148001</c:v>
                </c:pt>
                <c:pt idx="91">
                  <c:v>-5.1662275264264244</c:v>
                </c:pt>
                <c:pt idx="92">
                  <c:v>-5.1301387812743391</c:v>
                </c:pt>
                <c:pt idx="93">
                  <c:v>-5.0943390750191808</c:v>
                </c:pt>
                <c:pt idx="94">
                  <c:v>-5.0587926261576079</c:v>
                </c:pt>
                <c:pt idx="95">
                  <c:v>-5.0234504451081445</c:v>
                </c:pt>
                <c:pt idx="96">
                  <c:v>-4.9882547913576989</c:v>
                </c:pt>
                <c:pt idx="97">
                  <c:v>-4.9543668456108012</c:v>
                </c:pt>
                <c:pt idx="98">
                  <c:v>-4.9270238349519602</c:v>
                </c:pt>
                <c:pt idx="99">
                  <c:v>-4.9049915296701823</c:v>
                </c:pt>
                <c:pt idx="100">
                  <c:v>-4.8868166506419826</c:v>
                </c:pt>
                <c:pt idx="101">
                  <c:v>-4.8773534466196065</c:v>
                </c:pt>
                <c:pt idx="102">
                  <c:v>-4.8639905392573084</c:v>
                </c:pt>
                <c:pt idx="103">
                  <c:v>-4.8524078487409952</c:v>
                </c:pt>
                <c:pt idx="104">
                  <c:v>-4.8422523856565549</c:v>
                </c:pt>
                <c:pt idx="105">
                  <c:v>-4.8332593099475609</c:v>
                </c:pt>
                <c:pt idx="106">
                  <c:v>-4.825225931961123</c:v>
                </c:pt>
                <c:pt idx="107">
                  <c:v>-4.8179944123274483</c:v>
                </c:pt>
                <c:pt idx="108">
                  <c:v>-4.8114399447508269</c:v>
                </c:pt>
                <c:pt idx="109">
                  <c:v>-4.8054624944036037</c:v>
                </c:pt>
                <c:pt idx="110">
                  <c:v>-4.7999809031201943</c:v>
                </c:pt>
                <c:pt idx="111">
                  <c:v>-4.7949286049455955</c:v>
                </c:pt>
                <c:pt idx="112">
                  <c:v>-4.7902504609613201</c:v>
                </c:pt>
                <c:pt idx="113">
                  <c:v>-4.7859003857867854</c:v>
                </c:pt>
                <c:pt idx="114">
                  <c:v>-4.7818395434169911</c:v>
                </c:pt>
                <c:pt idx="115">
                  <c:v>-4.7780349591889095</c:v>
                </c:pt>
                <c:pt idx="116">
                  <c:v>-4.7744584393989005</c:v>
                </c:pt>
                <c:pt idx="117">
                  <c:v>-4.7710857218887259</c:v>
                </c:pt>
                <c:pt idx="118">
                  <c:v>-4.7678958019272235</c:v>
                </c:pt>
                <c:pt idx="119">
                  <c:v>-4.7648703920200397</c:v>
                </c:pt>
                <c:pt idx="120">
                  <c:v>-4.7619934857860811</c:v>
                </c:pt>
                <c:pt idx="121">
                  <c:v>-4.7592510030862387</c:v>
                </c:pt>
                <c:pt idx="122">
                  <c:v>-4.7566304991523278</c:v>
                </c:pt>
                <c:pt idx="123">
                  <c:v>-4.7541209244724278</c:v>
                </c:pt>
                <c:pt idx="124">
                  <c:v>-4.75171242536228</c:v>
                </c:pt>
                <c:pt idx="125">
                  <c:v>-4.7493961772604703</c:v>
                </c:pt>
                <c:pt idx="126">
                  <c:v>-4.7471642448309144</c:v>
                </c:pt>
                <c:pt idx="127">
                  <c:v>-4.7450094633573228</c:v>
                </c:pt>
                <c:pt idx="128">
                  <c:v>-4.7429253380149552</c:v>
                </c:pt>
                <c:pt idx="129">
                  <c:v>-4.7409059580272741</c:v>
                </c:pt>
                <c:pt idx="130">
                  <c:v>-4.7389459226246125</c:v>
                </c:pt>
                <c:pt idx="131">
                  <c:v>-4.7370402768623068</c:v>
                </c:pt>
                <c:pt idx="132">
                  <c:v>-4.7351844564786525</c:v>
                </c:pt>
                <c:pt idx="133">
                  <c:v>-4.7331001690514984</c:v>
                </c:pt>
                <c:pt idx="134">
                  <c:v>-4.7308932170870435</c:v>
                </c:pt>
                <c:pt idx="135">
                  <c:v>-4.7287592956388931</c:v>
                </c:pt>
                <c:pt idx="136">
                  <c:v>-4.7266931844307365</c:v>
                </c:pt>
                <c:pt idx="137">
                  <c:v>-4.7246900480619187</c:v>
                </c:pt>
                <c:pt idx="138">
                  <c:v>-4.7227453916375204</c:v>
                </c:pt>
                <c:pt idx="139">
                  <c:v>-4.7208550214564742</c:v>
                </c:pt>
                <c:pt idx="140">
                  <c:v>-4.7190150089040612</c:v>
                </c:pt>
                <c:pt idx="141">
                  <c:v>-4.7172216579819031</c:v>
                </c:pt>
                <c:pt idx="142">
                  <c:v>-4.7154714748091475</c:v>
                </c:pt>
                <c:pt idx="143">
                  <c:v>-4.713761139581389</c:v>
                </c:pt>
                <c:pt idx="144">
                  <c:v>-4.712087479468325</c:v>
                </c:pt>
                <c:pt idx="145">
                  <c:v>-4.710447442925231</c:v>
                </c:pt>
                <c:pt idx="146">
                  <c:v>-4.7088380743258185</c:v>
                </c:pt>
                <c:pt idx="147">
                  <c:v>-4.7072564881664212</c:v>
                </c:pt>
                <c:pt idx="148">
                  <c:v>-4.7056998432601729</c:v>
                </c:pt>
                <c:pt idx="149">
                  <c:v>-4.7041653151547322</c:v>
                </c:pt>
                <c:pt idx="150">
                  <c:v>-4.7026500667280304</c:v>
                </c:pt>
                <c:pt idx="151">
                  <c:v>-4.7011512155831277</c:v>
                </c:pt>
                <c:pt idx="152">
                  <c:v>-4.69966579795594</c:v>
                </c:pt>
                <c:pt idx="153">
                  <c:v>-4.6981907264615472</c:v>
                </c:pt>
                <c:pt idx="154">
                  <c:v>-4.6967227413392667</c:v>
                </c:pt>
                <c:pt idx="155">
                  <c:v>-4.6952583515566237</c:v>
                </c:pt>
                <c:pt idx="156">
                  <c:v>-4.693793763697431</c:v>
                </c:pt>
                <c:pt idx="157">
                  <c:v>-4.692324794016618</c:v>
                </c:pt>
                <c:pt idx="158">
                  <c:v>-4.6908467582298918</c:v>
                </c:pt>
                <c:pt idx="159">
                  <c:v>-4.6893543312435906</c:v>
                </c:pt>
                <c:pt idx="160">
                  <c:v>-4.6878413656595468</c:v>
                </c:pt>
                <c:pt idx="161">
                  <c:v>-4.6863006541550583</c:v>
                </c:pt>
                <c:pt idx="162">
                  <c:v>-4.6847236123242038</c:v>
                </c:pt>
                <c:pt idx="163">
                  <c:v>-4.6830998486178412</c:v>
                </c:pt>
                <c:pt idx="164">
                  <c:v>-4.6814165700961485</c:v>
                </c:pt>
                <c:pt idx="165">
                  <c:v>-4.6796577444432685</c:v>
                </c:pt>
                <c:pt idx="166">
                  <c:v>-4.6778028907577918</c:v>
                </c:pt>
                <c:pt idx="167">
                  <c:v>-4.6758252876462549</c:v>
                </c:pt>
                <c:pt idx="168">
                  <c:v>-4.6736892403227843</c:v>
                </c:pt>
                <c:pt idx="169">
                  <c:v>-4.6713457588266865</c:v>
                </c:pt>
                <c:pt idx="170">
                  <c:v>-4.6687254442436359</c:v>
                </c:pt>
                <c:pt idx="171">
                  <c:v>-4.6657261761759754</c:v>
                </c:pt>
                <c:pt idx="172">
                  <c:v>-4.661980982445872</c:v>
                </c:pt>
                <c:pt idx="173">
                  <c:v>-4.6587988043348982</c:v>
                </c:pt>
                <c:pt idx="174">
                  <c:v>-4.6531818966289133</c:v>
                </c:pt>
                <c:pt idx="175">
                  <c:v>-4.6454600302014359</c:v>
                </c:pt>
                <c:pt idx="176">
                  <c:v>-4.6336085934138502</c:v>
                </c:pt>
                <c:pt idx="177">
                  <c:v>-4.6115498679727818</c:v>
                </c:pt>
                <c:pt idx="178">
                  <c:v>-4.5547800058402199</c:v>
                </c:pt>
                <c:pt idx="179">
                  <c:v>-4.4083841455087365</c:v>
                </c:pt>
                <c:pt idx="180">
                  <c:v>-3.141592653432963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01-40B2-91DC-FB8FE007ECD6}"/>
            </c:ext>
          </c:extLst>
        </c:ser>
        <c:ser>
          <c:idx val="6"/>
          <c:order val="6"/>
          <c:tx>
            <c:v>second_phase_absolute</c:v>
          </c:tx>
          <c:spPr>
            <a:ln w="1270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L_Section_Capacity!$BD$2:$BD$182</c:f>
              <c:numCache>
                <c:formatCode>General</c:formatCode>
                <c:ptCount val="181"/>
                <c:pt idx="0">
                  <c:v>5.7458639037104895</c:v>
                </c:pt>
                <c:pt idx="1">
                  <c:v>5.7437911606919769</c:v>
                </c:pt>
                <c:pt idx="2">
                  <c:v>5.741700601432397</c:v>
                </c:pt>
                <c:pt idx="3">
                  <c:v>5.7395907553511281</c:v>
                </c:pt>
                <c:pt idx="4">
                  <c:v>5.737460101500572</c:v>
                </c:pt>
                <c:pt idx="5">
                  <c:v>5.7353070640639743</c:v>
                </c:pt>
                <c:pt idx="6">
                  <c:v>5.7331300073243252</c:v>
                </c:pt>
                <c:pt idx="7">
                  <c:v>5.7309272303964267</c:v>
                </c:pt>
                <c:pt idx="8">
                  <c:v>5.7286969615713552</c:v>
                </c:pt>
                <c:pt idx="9">
                  <c:v>5.7264373521899543</c:v>
                </c:pt>
                <c:pt idx="10">
                  <c:v>5.7241464700934879</c:v>
                </c:pt>
                <c:pt idx="11">
                  <c:v>5.7218222924588886</c:v>
                </c:pt>
                <c:pt idx="12">
                  <c:v>5.7194626981723689</c:v>
                </c:pt>
                <c:pt idx="13">
                  <c:v>5.7170654594160579</c:v>
                </c:pt>
                <c:pt idx="14">
                  <c:v>5.7146282326910756</c:v>
                </c:pt>
                <c:pt idx="15">
                  <c:v>5.7121485489220856</c:v>
                </c:pt>
                <c:pt idx="16">
                  <c:v>5.7096238026838959</c:v>
                </c:pt>
                <c:pt idx="17">
                  <c:v>5.7070512404589735</c:v>
                </c:pt>
                <c:pt idx="18">
                  <c:v>5.7044279478572353</c:v>
                </c:pt>
                <c:pt idx="19">
                  <c:v>5.7017508354814819</c:v>
                </c:pt>
                <c:pt idx="20">
                  <c:v>5.6990166234432298</c:v>
                </c:pt>
                <c:pt idx="21">
                  <c:v>5.6962218244039544</c:v>
                </c:pt>
                <c:pt idx="22">
                  <c:v>5.6933627247874714</c:v>
                </c:pt>
                <c:pt idx="23">
                  <c:v>5.6904353641109466</c:v>
                </c:pt>
                <c:pt idx="24">
                  <c:v>5.6874355120306817</c:v>
                </c:pt>
                <c:pt idx="25">
                  <c:v>5.6843586430438036</c:v>
                </c:pt>
                <c:pt idx="26">
                  <c:v>5.6811999082669473</c:v>
                </c:pt>
                <c:pt idx="27">
                  <c:v>5.677954104101147</c:v>
                </c:pt>
                <c:pt idx="28">
                  <c:v>5.674615637279758</c:v>
                </c:pt>
                <c:pt idx="29">
                  <c:v>5.6711784859000272</c:v>
                </c:pt>
                <c:pt idx="30">
                  <c:v>5.6676361556522483</c:v>
                </c:pt>
                <c:pt idx="31">
                  <c:v>5.6639816308998503</c:v>
                </c:pt>
                <c:pt idx="32">
                  <c:v>5.660212575686681</c:v>
                </c:pt>
                <c:pt idx="33">
                  <c:v>5.6564695050709908</c:v>
                </c:pt>
                <c:pt idx="34">
                  <c:v>5.6528108528029897</c:v>
                </c:pt>
                <c:pt idx="35">
                  <c:v>5.6492274641686624</c:v>
                </c:pt>
                <c:pt idx="36">
                  <c:v>5.6457109055581585</c:v>
                </c:pt>
                <c:pt idx="37">
                  <c:v>5.642253358949179</c:v>
                </c:pt>
                <c:pt idx="38">
                  <c:v>5.6388475306939245</c:v>
                </c:pt>
                <c:pt idx="39">
                  <c:v>5.6354865713832876</c:v>
                </c:pt>
                <c:pt idx="40">
                  <c:v>5.6321640053598578</c:v>
                </c:pt>
                <c:pt idx="41">
                  <c:v>5.6288736674383362</c:v>
                </c:pt>
                <c:pt idx="42">
                  <c:v>5.6256096459421947</c:v>
                </c:pt>
                <c:pt idx="43">
                  <c:v>5.6223662303760351</c:v>
                </c:pt>
                <c:pt idx="44">
                  <c:v>5.6191378627755526</c:v>
                </c:pt>
                <c:pt idx="45">
                  <c:v>5.6159190919610857</c:v>
                </c:pt>
                <c:pt idx="46">
                  <c:v>5.6127045293615421</c:v>
                </c:pt>
                <c:pt idx="47">
                  <c:v>5.6094888060996357</c:v>
                </c:pt>
                <c:pt idx="48">
                  <c:v>5.6062665301231682</c:v>
                </c:pt>
                <c:pt idx="49">
                  <c:v>5.6030322428815502</c:v>
                </c:pt>
                <c:pt idx="50">
                  <c:v>5.5997803745600825</c:v>
                </c:pt>
                <c:pt idx="51">
                  <c:v>5.5965051970847988</c:v>
                </c:pt>
                <c:pt idx="52">
                  <c:v>5.5932007740297207</c:v>
                </c:pt>
                <c:pt idx="53">
                  <c:v>5.5898609061179894</c:v>
                </c:pt>
                <c:pt idx="54">
                  <c:v>5.5864790715438026</c:v>
                </c:pt>
                <c:pt idx="55">
                  <c:v>5.5830483592215225</c:v>
                </c:pt>
                <c:pt idx="56">
                  <c:v>5.5795613936711907</c:v>
                </c:pt>
                <c:pt idx="57">
                  <c:v>5.5760102493389345</c:v>
                </c:pt>
                <c:pt idx="58">
                  <c:v>5.5723863519247665</c:v>
                </c:pt>
                <c:pt idx="59">
                  <c:v>5.5686803637635478</c:v>
                </c:pt>
                <c:pt idx="60">
                  <c:v>5.5648820493102598</c:v>
                </c:pt>
                <c:pt idx="61">
                  <c:v>5.5609801162336252</c:v>
                </c:pt>
                <c:pt idx="62">
                  <c:v>5.5569620259067181</c:v>
                </c:pt>
                <c:pt idx="63">
                  <c:v>5.5523559753296494</c:v>
                </c:pt>
                <c:pt idx="64">
                  <c:v>5.5454820658075912</c:v>
                </c:pt>
                <c:pt idx="65">
                  <c:v>5.5384943926540764</c:v>
                </c:pt>
                <c:pt idx="66">
                  <c:v>5.5313757390296088</c:v>
                </c:pt>
                <c:pt idx="67">
                  <c:v>5.5241068442781565</c:v>
                </c:pt>
                <c:pt idx="68">
                  <c:v>5.5166659487885692</c:v>
                </c:pt>
                <c:pt idx="69">
                  <c:v>5.5090282168073754</c:v>
                </c:pt>
                <c:pt idx="70">
                  <c:v>5.5011649945011989</c:v>
                </c:pt>
                <c:pt idx="71">
                  <c:v>5.4930428429513514</c:v>
                </c:pt>
                <c:pt idx="72">
                  <c:v>5.4846222583263868</c:v>
                </c:pt>
                <c:pt idx="73">
                  <c:v>5.475855950033222</c:v>
                </c:pt>
                <c:pt idx="74">
                  <c:v>5.466686481976395</c:v>
                </c:pt>
                <c:pt idx="75">
                  <c:v>5.4570429761387</c:v>
                </c:pt>
                <c:pt idx="76">
                  <c:v>5.4468364022715852</c:v>
                </c:pt>
                <c:pt idx="77">
                  <c:v>5.4359526763238168</c:v>
                </c:pt>
                <c:pt idx="78">
                  <c:v>5.424242257405302</c:v>
                </c:pt>
                <c:pt idx="79">
                  <c:v>5.4115039472500159</c:v>
                </c:pt>
                <c:pt idx="80">
                  <c:v>5.3974586902166433</c:v>
                </c:pt>
                <c:pt idx="81">
                  <c:v>5.3817052775663665</c:v>
                </c:pt>
                <c:pt idx="82">
                  <c:v>5.363642498432406</c:v>
                </c:pt>
                <c:pt idx="83">
                  <c:v>5.3441712148372122</c:v>
                </c:pt>
                <c:pt idx="84">
                  <c:v>5.3245676742284651</c:v>
                </c:pt>
                <c:pt idx="85">
                  <c:v>5.3048071057076989</c:v>
                </c:pt>
                <c:pt idx="86">
                  <c:v>5.2848629122509845</c:v>
                </c:pt>
                <c:pt idx="87">
                  <c:v>5.2647062100106004</c:v>
                </c:pt>
                <c:pt idx="88">
                  <c:v>5.2443052001898804</c:v>
                </c:pt>
                <c:pt idx="89">
                  <c:v>5.2236242863467455</c:v>
                </c:pt>
                <c:pt idx="90">
                  <c:v>5.2026227898148001</c:v>
                </c:pt>
                <c:pt idx="91">
                  <c:v>5.1662275264264244</c:v>
                </c:pt>
                <c:pt idx="92">
                  <c:v>5.1301387812743391</c:v>
                </c:pt>
                <c:pt idx="93">
                  <c:v>5.0943390750191808</c:v>
                </c:pt>
                <c:pt idx="94">
                  <c:v>5.0587926261576079</c:v>
                </c:pt>
                <c:pt idx="95">
                  <c:v>5.0234504451081445</c:v>
                </c:pt>
                <c:pt idx="96">
                  <c:v>4.9882547913576989</c:v>
                </c:pt>
                <c:pt idx="97">
                  <c:v>4.9543668456108012</c:v>
                </c:pt>
                <c:pt idx="98">
                  <c:v>4.9270238349519602</c:v>
                </c:pt>
                <c:pt idx="99">
                  <c:v>4.9049915296701823</c:v>
                </c:pt>
                <c:pt idx="100">
                  <c:v>4.8868166506419826</c:v>
                </c:pt>
                <c:pt idx="101">
                  <c:v>4.8773534466196065</c:v>
                </c:pt>
                <c:pt idx="102">
                  <c:v>4.8639905392573084</c:v>
                </c:pt>
                <c:pt idx="103">
                  <c:v>4.8524078487409952</c:v>
                </c:pt>
                <c:pt idx="104">
                  <c:v>4.8422523856565549</c:v>
                </c:pt>
                <c:pt idx="105">
                  <c:v>4.8332593099475609</c:v>
                </c:pt>
                <c:pt idx="106">
                  <c:v>4.825225931961123</c:v>
                </c:pt>
                <c:pt idx="107">
                  <c:v>4.8179944123274483</c:v>
                </c:pt>
                <c:pt idx="108">
                  <c:v>4.8114399447508269</c:v>
                </c:pt>
                <c:pt idx="109">
                  <c:v>4.8054624944036037</c:v>
                </c:pt>
                <c:pt idx="110">
                  <c:v>4.7999809031201943</c:v>
                </c:pt>
                <c:pt idx="111">
                  <c:v>4.7949286049455955</c:v>
                </c:pt>
                <c:pt idx="112">
                  <c:v>4.7902504609613201</c:v>
                </c:pt>
                <c:pt idx="113">
                  <c:v>4.7859003857867854</c:v>
                </c:pt>
                <c:pt idx="114">
                  <c:v>4.7818395434169911</c:v>
                </c:pt>
                <c:pt idx="115">
                  <c:v>4.7780349591889095</c:v>
                </c:pt>
                <c:pt idx="116">
                  <c:v>4.7744584393989005</c:v>
                </c:pt>
                <c:pt idx="117">
                  <c:v>4.7710857218887259</c:v>
                </c:pt>
                <c:pt idx="118">
                  <c:v>4.7678958019272235</c:v>
                </c:pt>
                <c:pt idx="119">
                  <c:v>4.7648703920200397</c:v>
                </c:pt>
                <c:pt idx="120">
                  <c:v>4.7619934857860811</c:v>
                </c:pt>
                <c:pt idx="121">
                  <c:v>4.7592510030862387</c:v>
                </c:pt>
                <c:pt idx="122">
                  <c:v>4.7566304991523278</c:v>
                </c:pt>
                <c:pt idx="123">
                  <c:v>4.7541209244724278</c:v>
                </c:pt>
                <c:pt idx="124">
                  <c:v>4.75171242536228</c:v>
                </c:pt>
                <c:pt idx="125">
                  <c:v>4.7493961772604703</c:v>
                </c:pt>
                <c:pt idx="126">
                  <c:v>4.7471642448309144</c:v>
                </c:pt>
                <c:pt idx="127">
                  <c:v>4.7450094633573228</c:v>
                </c:pt>
                <c:pt idx="128">
                  <c:v>4.7429253380149552</c:v>
                </c:pt>
                <c:pt idx="129">
                  <c:v>4.7409059580272741</c:v>
                </c:pt>
                <c:pt idx="130">
                  <c:v>4.7389459226246125</c:v>
                </c:pt>
                <c:pt idx="131">
                  <c:v>4.7370402768623068</c:v>
                </c:pt>
                <c:pt idx="132">
                  <c:v>4.7351844564786525</c:v>
                </c:pt>
                <c:pt idx="133">
                  <c:v>4.7331001690514984</c:v>
                </c:pt>
                <c:pt idx="134">
                  <c:v>4.7308932170870435</c:v>
                </c:pt>
                <c:pt idx="135">
                  <c:v>4.7287592956388931</c:v>
                </c:pt>
                <c:pt idx="136">
                  <c:v>4.7266931844307365</c:v>
                </c:pt>
                <c:pt idx="137">
                  <c:v>4.7246900480619187</c:v>
                </c:pt>
                <c:pt idx="138">
                  <c:v>4.7227453916375204</c:v>
                </c:pt>
                <c:pt idx="139">
                  <c:v>4.7208550214564742</c:v>
                </c:pt>
                <c:pt idx="140">
                  <c:v>4.7190150089040612</c:v>
                </c:pt>
                <c:pt idx="141">
                  <c:v>4.7172216579819031</c:v>
                </c:pt>
                <c:pt idx="142">
                  <c:v>4.7154714748091475</c:v>
                </c:pt>
                <c:pt idx="143">
                  <c:v>4.713761139581389</c:v>
                </c:pt>
                <c:pt idx="144">
                  <c:v>4.712087479468325</c:v>
                </c:pt>
                <c:pt idx="145">
                  <c:v>4.710447442925231</c:v>
                </c:pt>
                <c:pt idx="146">
                  <c:v>4.7088380743258185</c:v>
                </c:pt>
                <c:pt idx="147">
                  <c:v>4.7072564881664212</c:v>
                </c:pt>
                <c:pt idx="148">
                  <c:v>4.7056998432601729</c:v>
                </c:pt>
                <c:pt idx="149">
                  <c:v>4.7041653151547322</c:v>
                </c:pt>
                <c:pt idx="150">
                  <c:v>4.7026500667280304</c:v>
                </c:pt>
                <c:pt idx="151">
                  <c:v>4.7011512155831277</c:v>
                </c:pt>
                <c:pt idx="152">
                  <c:v>4.69966579795594</c:v>
                </c:pt>
                <c:pt idx="153">
                  <c:v>4.6981907264615472</c:v>
                </c:pt>
                <c:pt idx="154">
                  <c:v>4.6967227413392667</c:v>
                </c:pt>
                <c:pt idx="155">
                  <c:v>4.6952583515566237</c:v>
                </c:pt>
                <c:pt idx="156">
                  <c:v>4.693793763697431</c:v>
                </c:pt>
                <c:pt idx="157">
                  <c:v>4.692324794016618</c:v>
                </c:pt>
                <c:pt idx="158">
                  <c:v>4.6908467582298918</c:v>
                </c:pt>
                <c:pt idx="159">
                  <c:v>4.6893543312435906</c:v>
                </c:pt>
                <c:pt idx="160">
                  <c:v>4.6878413656595468</c:v>
                </c:pt>
                <c:pt idx="161">
                  <c:v>4.6863006541550583</c:v>
                </c:pt>
                <c:pt idx="162">
                  <c:v>4.6847236123242038</c:v>
                </c:pt>
                <c:pt idx="163">
                  <c:v>4.6830998486178412</c:v>
                </c:pt>
                <c:pt idx="164">
                  <c:v>4.6814165700961485</c:v>
                </c:pt>
                <c:pt idx="165">
                  <c:v>4.6796577444432685</c:v>
                </c:pt>
                <c:pt idx="166">
                  <c:v>4.6778028907577918</c:v>
                </c:pt>
                <c:pt idx="167">
                  <c:v>4.6758252876462549</c:v>
                </c:pt>
                <c:pt idx="168">
                  <c:v>4.6736892403227843</c:v>
                </c:pt>
                <c:pt idx="169">
                  <c:v>4.6713457588266865</c:v>
                </c:pt>
                <c:pt idx="170">
                  <c:v>4.6687254442436359</c:v>
                </c:pt>
                <c:pt idx="171">
                  <c:v>4.6657261761759754</c:v>
                </c:pt>
                <c:pt idx="172">
                  <c:v>4.661980982445872</c:v>
                </c:pt>
                <c:pt idx="173">
                  <c:v>4.6587988043348982</c:v>
                </c:pt>
                <c:pt idx="174">
                  <c:v>4.6531818966289133</c:v>
                </c:pt>
                <c:pt idx="175">
                  <c:v>4.6454600302014359</c:v>
                </c:pt>
                <c:pt idx="176">
                  <c:v>4.6336085934138502</c:v>
                </c:pt>
                <c:pt idx="177">
                  <c:v>4.6115498679727818</c:v>
                </c:pt>
                <c:pt idx="178">
                  <c:v>4.5547800058402199</c:v>
                </c:pt>
                <c:pt idx="179">
                  <c:v>4.4083841455087365</c:v>
                </c:pt>
                <c:pt idx="180">
                  <c:v>3.141592653432963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01-40B2-91DC-FB8FE007ECD6}"/>
            </c:ext>
          </c:extLst>
        </c:ser>
        <c:ser>
          <c:idx val="7"/>
          <c:order val="7"/>
          <c:tx>
            <c:v>inversion+correction</c:v>
          </c:tx>
          <c:spPr>
            <a:ln w="22225" cap="rnd">
              <a:solidFill>
                <a:srgbClr val="0070C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L_Section_Capacity!$BE$2:$BE$182</c:f>
              <c:numCache>
                <c:formatCode>0.000E+00</c:formatCode>
                <c:ptCount val="181"/>
                <c:pt idx="0">
                  <c:v>-5.7458639037104895</c:v>
                </c:pt>
                <c:pt idx="1">
                  <c:v>-5.7479366467290021</c:v>
                </c:pt>
                <c:pt idx="2">
                  <c:v>-5.750027205988582</c:v>
                </c:pt>
                <c:pt idx="3">
                  <c:v>-5.7521370520698509</c:v>
                </c:pt>
                <c:pt idx="4">
                  <c:v>-5.754267705920407</c:v>
                </c:pt>
                <c:pt idx="5">
                  <c:v>-5.7564207433570047</c:v>
                </c:pt>
                <c:pt idx="6">
                  <c:v>-5.7585978000966538</c:v>
                </c:pt>
                <c:pt idx="7">
                  <c:v>-5.7608005770245523</c:v>
                </c:pt>
                <c:pt idx="8">
                  <c:v>-5.7630308458496238</c:v>
                </c:pt>
                <c:pt idx="9">
                  <c:v>-5.7652904552310247</c:v>
                </c:pt>
                <c:pt idx="10">
                  <c:v>-5.7675813373274911</c:v>
                </c:pt>
                <c:pt idx="11">
                  <c:v>-5.7699055149620904</c:v>
                </c:pt>
                <c:pt idx="12">
                  <c:v>-5.7722651092486101</c:v>
                </c:pt>
                <c:pt idx="13">
                  <c:v>-5.7746623480049211</c:v>
                </c:pt>
                <c:pt idx="14">
                  <c:v>-5.7770995747299034</c:v>
                </c:pt>
                <c:pt idx="15">
                  <c:v>-5.7795792584988934</c:v>
                </c:pt>
                <c:pt idx="16">
                  <c:v>-5.7821040047370831</c:v>
                </c:pt>
                <c:pt idx="17">
                  <c:v>-5.7846765669620055</c:v>
                </c:pt>
                <c:pt idx="18">
                  <c:v>-5.7872998595637437</c:v>
                </c:pt>
                <c:pt idx="19">
                  <c:v>-5.7899769719394971</c:v>
                </c:pt>
                <c:pt idx="20">
                  <c:v>-5.7927111839777492</c:v>
                </c:pt>
                <c:pt idx="21">
                  <c:v>-5.7955059830170246</c:v>
                </c:pt>
                <c:pt idx="22">
                  <c:v>-5.7983650826335076</c:v>
                </c:pt>
                <c:pt idx="23">
                  <c:v>-5.8012924433100324</c:v>
                </c:pt>
                <c:pt idx="24">
                  <c:v>-5.8042922953902973</c:v>
                </c:pt>
                <c:pt idx="25">
                  <c:v>-5.8073691643771754</c:v>
                </c:pt>
                <c:pt idx="26">
                  <c:v>-5.8105278991540317</c:v>
                </c:pt>
                <c:pt idx="27">
                  <c:v>-5.813773703319832</c:v>
                </c:pt>
                <c:pt idx="28">
                  <c:v>-5.817112170141221</c:v>
                </c:pt>
                <c:pt idx="29">
                  <c:v>-5.8205493215209518</c:v>
                </c:pt>
                <c:pt idx="30">
                  <c:v>-5.8240916517687307</c:v>
                </c:pt>
                <c:pt idx="31">
                  <c:v>-5.8277461765211287</c:v>
                </c:pt>
                <c:pt idx="32">
                  <c:v>-5.831515231734298</c:v>
                </c:pt>
                <c:pt idx="33">
                  <c:v>-5.8352583023499882</c:v>
                </c:pt>
                <c:pt idx="34">
                  <c:v>-5.8389169546179893</c:v>
                </c:pt>
                <c:pt idx="35">
                  <c:v>-5.8425003432523166</c:v>
                </c:pt>
                <c:pt idx="36">
                  <c:v>-5.8460169018628205</c:v>
                </c:pt>
                <c:pt idx="37">
                  <c:v>-5.8494744484718</c:v>
                </c:pt>
                <c:pt idx="38">
                  <c:v>-5.8528802767270545</c:v>
                </c:pt>
                <c:pt idx="39">
                  <c:v>-5.8562412360376914</c:v>
                </c:pt>
                <c:pt idx="40">
                  <c:v>-5.8595638020611212</c:v>
                </c:pt>
                <c:pt idx="41">
                  <c:v>-5.8628541399826428</c:v>
                </c:pt>
                <c:pt idx="42">
                  <c:v>-5.8661181614787843</c:v>
                </c:pt>
                <c:pt idx="43">
                  <c:v>-5.8693615770449439</c:v>
                </c:pt>
                <c:pt idx="44">
                  <c:v>-5.8725899446454264</c:v>
                </c:pt>
                <c:pt idx="45">
                  <c:v>-5.8758087154598932</c:v>
                </c:pt>
                <c:pt idx="46">
                  <c:v>-5.8790232780594369</c:v>
                </c:pt>
                <c:pt idx="47">
                  <c:v>-5.8822390013213433</c:v>
                </c:pt>
                <c:pt idx="48">
                  <c:v>-5.8854612772978108</c:v>
                </c:pt>
                <c:pt idx="49">
                  <c:v>-5.8886955645394288</c:v>
                </c:pt>
                <c:pt idx="50">
                  <c:v>-5.8919474328608965</c:v>
                </c:pt>
                <c:pt idx="51">
                  <c:v>-5.8952226103361802</c:v>
                </c:pt>
                <c:pt idx="52">
                  <c:v>-5.8985270333912583</c:v>
                </c:pt>
                <c:pt idx="53">
                  <c:v>-5.9018669013029896</c:v>
                </c:pt>
                <c:pt idx="54">
                  <c:v>-5.9052487358771764</c:v>
                </c:pt>
                <c:pt idx="55">
                  <c:v>-5.9086794481994565</c:v>
                </c:pt>
                <c:pt idx="56">
                  <c:v>-5.9121664137497882</c:v>
                </c:pt>
                <c:pt idx="57">
                  <c:v>-5.9157175580820445</c:v>
                </c:pt>
                <c:pt idx="58">
                  <c:v>-5.9193414554962125</c:v>
                </c:pt>
                <c:pt idx="59">
                  <c:v>-5.9230474436574312</c:v>
                </c:pt>
                <c:pt idx="60">
                  <c:v>-5.9268457581107192</c:v>
                </c:pt>
                <c:pt idx="61">
                  <c:v>-5.9307476911873538</c:v>
                </c:pt>
                <c:pt idx="62">
                  <c:v>-5.9347657815142609</c:v>
                </c:pt>
                <c:pt idx="63">
                  <c:v>-5.9393718320913296</c:v>
                </c:pt>
                <c:pt idx="64">
                  <c:v>-5.9462457416133878</c:v>
                </c:pt>
                <c:pt idx="65">
                  <c:v>-5.9532334147669026</c:v>
                </c:pt>
                <c:pt idx="66">
                  <c:v>-5.9603520683913702</c:v>
                </c:pt>
                <c:pt idx="67">
                  <c:v>-5.9676209631428225</c:v>
                </c:pt>
                <c:pt idx="68">
                  <c:v>-5.9750618586324098</c:v>
                </c:pt>
                <c:pt idx="69">
                  <c:v>-5.9826995906136036</c:v>
                </c:pt>
                <c:pt idx="70">
                  <c:v>-5.9905628129197801</c:v>
                </c:pt>
                <c:pt idx="71">
                  <c:v>-5.9986849644696276</c:v>
                </c:pt>
                <c:pt idx="72">
                  <c:v>-6.0071055490945922</c:v>
                </c:pt>
                <c:pt idx="73">
                  <c:v>-6.015871857387757</c:v>
                </c:pt>
                <c:pt idx="74">
                  <c:v>-6.025041325444584</c:v>
                </c:pt>
                <c:pt idx="75">
                  <c:v>-6.0346848312822789</c:v>
                </c:pt>
                <c:pt idx="76">
                  <c:v>-6.0448914051493938</c:v>
                </c:pt>
                <c:pt idx="77">
                  <c:v>-6.0557751310971621</c:v>
                </c:pt>
                <c:pt idx="78">
                  <c:v>-6.067485550015677</c:v>
                </c:pt>
                <c:pt idx="79">
                  <c:v>-6.0802238601709631</c:v>
                </c:pt>
                <c:pt idx="80">
                  <c:v>-6.0942691172043357</c:v>
                </c:pt>
                <c:pt idx="81">
                  <c:v>-6.1100225298546125</c:v>
                </c:pt>
                <c:pt idx="82">
                  <c:v>-6.128085308988573</c:v>
                </c:pt>
                <c:pt idx="83">
                  <c:v>-6.1475565925837667</c:v>
                </c:pt>
                <c:pt idx="84">
                  <c:v>-6.1671601331925139</c:v>
                </c:pt>
                <c:pt idx="85">
                  <c:v>-6.1869207017132801</c:v>
                </c:pt>
                <c:pt idx="86">
                  <c:v>-6.2068648951699945</c:v>
                </c:pt>
                <c:pt idx="87">
                  <c:v>-6.2270215974103786</c:v>
                </c:pt>
                <c:pt idx="88">
                  <c:v>-6.2474226072310985</c:v>
                </c:pt>
                <c:pt idx="89">
                  <c:v>-6.2681035210742335</c:v>
                </c:pt>
                <c:pt idx="90">
                  <c:v>-6.2891050176061789</c:v>
                </c:pt>
                <c:pt idx="91">
                  <c:v>-6.3255002809945546</c:v>
                </c:pt>
                <c:pt idx="92">
                  <c:v>-6.3615890261466399</c:v>
                </c:pt>
                <c:pt idx="93">
                  <c:v>-6.3973887324017982</c:v>
                </c:pt>
                <c:pt idx="94">
                  <c:v>-6.432935181263371</c:v>
                </c:pt>
                <c:pt idx="95">
                  <c:v>-6.4682773623128345</c:v>
                </c:pt>
                <c:pt idx="96">
                  <c:v>-6.5034730160632801</c:v>
                </c:pt>
                <c:pt idx="97">
                  <c:v>-6.5373609618101778</c:v>
                </c:pt>
                <c:pt idx="98">
                  <c:v>-6.5647039724690188</c:v>
                </c:pt>
                <c:pt idx="99">
                  <c:v>-6.5867362777507967</c:v>
                </c:pt>
                <c:pt idx="100">
                  <c:v>-6.6049111567789964</c:v>
                </c:pt>
                <c:pt idx="101">
                  <c:v>-6.6143743608013725</c:v>
                </c:pt>
                <c:pt idx="102">
                  <c:v>-6.6277372681636706</c:v>
                </c:pt>
                <c:pt idx="103">
                  <c:v>-6.6393199586799838</c:v>
                </c:pt>
                <c:pt idx="104">
                  <c:v>-6.6494754217644241</c:v>
                </c:pt>
                <c:pt idx="105">
                  <c:v>-6.6584684974734181</c:v>
                </c:pt>
                <c:pt idx="106">
                  <c:v>-6.666501875459856</c:v>
                </c:pt>
                <c:pt idx="107">
                  <c:v>-6.6737333950935307</c:v>
                </c:pt>
                <c:pt idx="108">
                  <c:v>-6.6802878626701521</c:v>
                </c:pt>
                <c:pt idx="109">
                  <c:v>-6.6862653130173753</c:v>
                </c:pt>
                <c:pt idx="110">
                  <c:v>-6.6917469043007847</c:v>
                </c:pt>
                <c:pt idx="111">
                  <c:v>-6.6967992024753835</c:v>
                </c:pt>
                <c:pt idx="112">
                  <c:v>-6.7014773464596589</c:v>
                </c:pt>
                <c:pt idx="113">
                  <c:v>-6.7058274216341935</c:v>
                </c:pt>
                <c:pt idx="114">
                  <c:v>-6.7098882640039879</c:v>
                </c:pt>
                <c:pt idx="115">
                  <c:v>-6.7136928482320695</c:v>
                </c:pt>
                <c:pt idx="116">
                  <c:v>-6.7172693680220785</c:v>
                </c:pt>
                <c:pt idx="117">
                  <c:v>-6.7206420855322531</c:v>
                </c:pt>
                <c:pt idx="118">
                  <c:v>-6.7238320054937555</c:v>
                </c:pt>
                <c:pt idx="119">
                  <c:v>-6.7268574154009393</c:v>
                </c:pt>
                <c:pt idx="120">
                  <c:v>-6.7297343216348979</c:v>
                </c:pt>
                <c:pt idx="121">
                  <c:v>-6.7324768043347403</c:v>
                </c:pt>
                <c:pt idx="122">
                  <c:v>-6.7350973082686512</c:v>
                </c:pt>
                <c:pt idx="123">
                  <c:v>-6.7376068829485511</c:v>
                </c:pt>
                <c:pt idx="124">
                  <c:v>-6.740015382058699</c:v>
                </c:pt>
                <c:pt idx="125">
                  <c:v>-6.7423316301605087</c:v>
                </c:pt>
                <c:pt idx="126">
                  <c:v>-6.7445635625900646</c:v>
                </c:pt>
                <c:pt idx="127">
                  <c:v>-6.7467183440636562</c:v>
                </c:pt>
                <c:pt idx="128">
                  <c:v>-6.7488024694060238</c:v>
                </c:pt>
                <c:pt idx="129">
                  <c:v>-6.7508218493937049</c:v>
                </c:pt>
                <c:pt idx="130">
                  <c:v>-6.7527818847963665</c:v>
                </c:pt>
                <c:pt idx="131">
                  <c:v>-6.7546875305586722</c:v>
                </c:pt>
                <c:pt idx="132">
                  <c:v>-6.7565433509423265</c:v>
                </c:pt>
                <c:pt idx="133">
                  <c:v>-6.7586276383694806</c:v>
                </c:pt>
                <c:pt idx="134">
                  <c:v>-6.7608345903339355</c:v>
                </c:pt>
                <c:pt idx="135">
                  <c:v>-6.7629685117820859</c:v>
                </c:pt>
                <c:pt idx="136">
                  <c:v>-6.7650346229902425</c:v>
                </c:pt>
                <c:pt idx="137">
                  <c:v>-6.7670377593590603</c:v>
                </c:pt>
                <c:pt idx="138">
                  <c:v>-6.7689824157834586</c:v>
                </c:pt>
                <c:pt idx="139">
                  <c:v>-6.7708727859645048</c:v>
                </c:pt>
                <c:pt idx="140">
                  <c:v>-6.7727127985169178</c:v>
                </c:pt>
                <c:pt idx="141">
                  <c:v>-6.7745061494390759</c:v>
                </c:pt>
                <c:pt idx="142">
                  <c:v>-6.7762563326118315</c:v>
                </c:pt>
                <c:pt idx="143">
                  <c:v>-6.77796666783959</c:v>
                </c:pt>
                <c:pt idx="144">
                  <c:v>-6.779640327952654</c:v>
                </c:pt>
                <c:pt idx="145">
                  <c:v>-6.781280364495748</c:v>
                </c:pt>
                <c:pt idx="146">
                  <c:v>-6.7828897330951605</c:v>
                </c:pt>
                <c:pt idx="147">
                  <c:v>-6.7844713192545578</c:v>
                </c:pt>
                <c:pt idx="148">
                  <c:v>-6.7860279641608061</c:v>
                </c:pt>
                <c:pt idx="149">
                  <c:v>-6.7875624922662467</c:v>
                </c:pt>
                <c:pt idx="150">
                  <c:v>-6.7890777406929486</c:v>
                </c:pt>
                <c:pt idx="151">
                  <c:v>-6.7905765918378513</c:v>
                </c:pt>
                <c:pt idx="152">
                  <c:v>-6.792062009465039</c:v>
                </c:pt>
                <c:pt idx="153">
                  <c:v>-6.7935370809594318</c:v>
                </c:pt>
                <c:pt idx="154">
                  <c:v>-6.7950050660817123</c:v>
                </c:pt>
                <c:pt idx="155">
                  <c:v>-6.7964694558643552</c:v>
                </c:pt>
                <c:pt idx="156">
                  <c:v>-6.797934043723548</c:v>
                </c:pt>
                <c:pt idx="157">
                  <c:v>-6.799403013404361</c:v>
                </c:pt>
                <c:pt idx="158">
                  <c:v>-6.8008810491910872</c:v>
                </c:pt>
                <c:pt idx="159">
                  <c:v>-6.8023734761773884</c:v>
                </c:pt>
                <c:pt idx="160">
                  <c:v>-6.8038864417614322</c:v>
                </c:pt>
                <c:pt idx="161">
                  <c:v>-6.8054271532659207</c:v>
                </c:pt>
                <c:pt idx="162">
                  <c:v>-6.8070041950967752</c:v>
                </c:pt>
                <c:pt idx="163">
                  <c:v>-6.8086279588031378</c:v>
                </c:pt>
                <c:pt idx="164">
                  <c:v>-6.8103112373248305</c:v>
                </c:pt>
                <c:pt idx="165">
                  <c:v>-6.8120700629777104</c:v>
                </c:pt>
                <c:pt idx="166">
                  <c:v>-6.8139249166631872</c:v>
                </c:pt>
                <c:pt idx="167">
                  <c:v>-6.8159025197747241</c:v>
                </c:pt>
                <c:pt idx="168">
                  <c:v>-6.8180385670981947</c:v>
                </c:pt>
                <c:pt idx="169">
                  <c:v>-6.8203820485942925</c:v>
                </c:pt>
                <c:pt idx="170">
                  <c:v>-6.8230023631773431</c:v>
                </c:pt>
                <c:pt idx="171">
                  <c:v>-6.8260016312450036</c:v>
                </c:pt>
                <c:pt idx="172">
                  <c:v>-6.829746824975107</c:v>
                </c:pt>
                <c:pt idx="173">
                  <c:v>-6.8329290030860808</c:v>
                </c:pt>
                <c:pt idx="174">
                  <c:v>-6.8385459107920656</c:v>
                </c:pt>
                <c:pt idx="175">
                  <c:v>-6.846267777219543</c:v>
                </c:pt>
                <c:pt idx="176">
                  <c:v>-6.8581192140071288</c:v>
                </c:pt>
                <c:pt idx="177">
                  <c:v>-6.8801779394481972</c:v>
                </c:pt>
                <c:pt idx="178">
                  <c:v>-6.9369478015807591</c:v>
                </c:pt>
                <c:pt idx="179">
                  <c:v>-7.0833436619122425</c:v>
                </c:pt>
                <c:pt idx="180">
                  <c:v>-8.3501351539880169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EF-4F3F-B5DE-1D45F2007E7B}"/>
            </c:ext>
          </c:extLst>
        </c:ser>
        <c:ser>
          <c:idx val="8"/>
          <c:order val="8"/>
          <c:tx>
            <c:v>pi_shift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L_Section_Capacity!$BF$2:$BF$362</c:f>
              <c:numCache>
                <c:formatCode>0.000E+00</c:formatCode>
                <c:ptCount val="361"/>
                <c:pt idx="0">
                  <c:v>-2.6042712501206964</c:v>
                </c:pt>
                <c:pt idx="1">
                  <c:v>-2.6021985071021838</c:v>
                </c:pt>
                <c:pt idx="2">
                  <c:v>-2.6001079478426039</c:v>
                </c:pt>
                <c:pt idx="3">
                  <c:v>-2.5979981017613349</c:v>
                </c:pt>
                <c:pt idx="4">
                  <c:v>-2.5958674479107788</c:v>
                </c:pt>
                <c:pt idx="5">
                  <c:v>-2.5937144104741812</c:v>
                </c:pt>
                <c:pt idx="6">
                  <c:v>-2.5915373537345321</c:v>
                </c:pt>
                <c:pt idx="7">
                  <c:v>-2.5893345768066336</c:v>
                </c:pt>
                <c:pt idx="8">
                  <c:v>-2.5871043079815621</c:v>
                </c:pt>
                <c:pt idx="9">
                  <c:v>-2.5848446986001612</c:v>
                </c:pt>
                <c:pt idx="10">
                  <c:v>-2.5825538165036948</c:v>
                </c:pt>
                <c:pt idx="11">
                  <c:v>-2.5802296388690955</c:v>
                </c:pt>
                <c:pt idx="12">
                  <c:v>-2.5778700445825757</c:v>
                </c:pt>
                <c:pt idx="13">
                  <c:v>-2.5754728058262648</c:v>
                </c:pt>
                <c:pt idx="14">
                  <c:v>-2.5730355791012824</c:v>
                </c:pt>
                <c:pt idx="15">
                  <c:v>-2.5705558953322925</c:v>
                </c:pt>
                <c:pt idx="16">
                  <c:v>-2.5680311490941028</c:v>
                </c:pt>
                <c:pt idx="17">
                  <c:v>-2.5654585868691804</c:v>
                </c:pt>
                <c:pt idx="18">
                  <c:v>-2.5628352942674422</c:v>
                </c:pt>
                <c:pt idx="19">
                  <c:v>-2.5601581818916888</c:v>
                </c:pt>
                <c:pt idx="20">
                  <c:v>-2.5574239698534367</c:v>
                </c:pt>
                <c:pt idx="21">
                  <c:v>-2.5546291708141613</c:v>
                </c:pt>
                <c:pt idx="22">
                  <c:v>-2.5517700711976783</c:v>
                </c:pt>
                <c:pt idx="23">
                  <c:v>-2.5488427105211535</c:v>
                </c:pt>
                <c:pt idx="24">
                  <c:v>-2.5458428584408885</c:v>
                </c:pt>
                <c:pt idx="25">
                  <c:v>-2.5427659894540104</c:v>
                </c:pt>
                <c:pt idx="26">
                  <c:v>-2.5396072546771542</c:v>
                </c:pt>
                <c:pt idx="27">
                  <c:v>-2.5363614505113539</c:v>
                </c:pt>
                <c:pt idx="28">
                  <c:v>-2.5330229836899649</c:v>
                </c:pt>
                <c:pt idx="29">
                  <c:v>-2.529585832310234</c:v>
                </c:pt>
                <c:pt idx="30">
                  <c:v>-2.5260435020624552</c:v>
                </c:pt>
                <c:pt idx="31">
                  <c:v>-2.5223889773100572</c:v>
                </c:pt>
                <c:pt idx="32">
                  <c:v>-2.5186199220968879</c:v>
                </c:pt>
                <c:pt idx="33">
                  <c:v>-2.5148768514811977</c:v>
                </c:pt>
                <c:pt idx="34">
                  <c:v>-2.5112181992131966</c:v>
                </c:pt>
                <c:pt idx="35">
                  <c:v>-2.5076348105788693</c:v>
                </c:pt>
                <c:pt idx="36">
                  <c:v>-2.5041182519683653</c:v>
                </c:pt>
                <c:pt idx="37">
                  <c:v>-2.5006607053593859</c:v>
                </c:pt>
                <c:pt idx="38">
                  <c:v>-2.4972548771041314</c:v>
                </c:pt>
                <c:pt idx="39">
                  <c:v>-2.4938939177934945</c:v>
                </c:pt>
                <c:pt idx="40">
                  <c:v>-2.4905713517700647</c:v>
                </c:pt>
                <c:pt idx="41">
                  <c:v>-2.4872810138485431</c:v>
                </c:pt>
                <c:pt idx="42">
                  <c:v>-2.4840169923524016</c:v>
                </c:pt>
                <c:pt idx="43">
                  <c:v>-2.480773576786242</c:v>
                </c:pt>
                <c:pt idx="44">
                  <c:v>-2.4775452091857595</c:v>
                </c:pt>
                <c:pt idx="45">
                  <c:v>-2.4743264383712926</c:v>
                </c:pt>
                <c:pt idx="46">
                  <c:v>-2.471111875771749</c:v>
                </c:pt>
                <c:pt idx="47">
                  <c:v>-2.4678961525098426</c:v>
                </c:pt>
                <c:pt idx="48">
                  <c:v>-2.4646738765333751</c:v>
                </c:pt>
                <c:pt idx="49">
                  <c:v>-2.4614395892917571</c:v>
                </c:pt>
                <c:pt idx="50">
                  <c:v>-2.4581877209702894</c:v>
                </c:pt>
                <c:pt idx="51">
                  <c:v>-2.4549125434950057</c:v>
                </c:pt>
                <c:pt idx="52">
                  <c:v>-2.4516081204399276</c:v>
                </c:pt>
                <c:pt idx="53">
                  <c:v>-2.4482682525281962</c:v>
                </c:pt>
                <c:pt idx="54">
                  <c:v>-2.4448864179540095</c:v>
                </c:pt>
                <c:pt idx="55">
                  <c:v>-2.4414557056317294</c:v>
                </c:pt>
                <c:pt idx="56">
                  <c:v>-2.4379687400813976</c:v>
                </c:pt>
                <c:pt idx="57">
                  <c:v>-2.4344175957491414</c:v>
                </c:pt>
                <c:pt idx="58">
                  <c:v>-2.4307936983349734</c:v>
                </c:pt>
                <c:pt idx="59">
                  <c:v>-2.4270877101737547</c:v>
                </c:pt>
                <c:pt idx="60">
                  <c:v>-2.4232893957204666</c:v>
                </c:pt>
                <c:pt idx="61">
                  <c:v>-2.4193874626438321</c:v>
                </c:pt>
                <c:pt idx="62">
                  <c:v>-2.4153693723169249</c:v>
                </c:pt>
                <c:pt idx="63">
                  <c:v>-2.4107633217398563</c:v>
                </c:pt>
                <c:pt idx="64">
                  <c:v>-2.4038894122177981</c:v>
                </c:pt>
                <c:pt idx="65">
                  <c:v>-2.3969017390642833</c:v>
                </c:pt>
                <c:pt idx="66">
                  <c:v>-2.3897830854398157</c:v>
                </c:pt>
                <c:pt idx="67">
                  <c:v>-2.3825141906883633</c:v>
                </c:pt>
                <c:pt idx="68">
                  <c:v>-2.3750732951987761</c:v>
                </c:pt>
                <c:pt idx="69">
                  <c:v>-2.3674355632175823</c:v>
                </c:pt>
                <c:pt idx="70">
                  <c:v>-2.3595723409114058</c:v>
                </c:pt>
                <c:pt idx="71">
                  <c:v>-2.3514501893615583</c:v>
                </c:pt>
                <c:pt idx="72">
                  <c:v>-2.3430296047365937</c:v>
                </c:pt>
                <c:pt idx="73">
                  <c:v>-2.3342632964434289</c:v>
                </c:pt>
                <c:pt idx="74">
                  <c:v>-2.3250938283866018</c:v>
                </c:pt>
                <c:pt idx="75">
                  <c:v>-2.3154503225489069</c:v>
                </c:pt>
                <c:pt idx="76">
                  <c:v>-2.305243748681792</c:v>
                </c:pt>
                <c:pt idx="77">
                  <c:v>-2.2943600227340237</c:v>
                </c:pt>
                <c:pt idx="78">
                  <c:v>-2.2826496038155089</c:v>
                </c:pt>
                <c:pt idx="79">
                  <c:v>-2.2699112936602228</c:v>
                </c:pt>
                <c:pt idx="80">
                  <c:v>-2.2558660366268501</c:v>
                </c:pt>
                <c:pt idx="81">
                  <c:v>-2.2401126239765734</c:v>
                </c:pt>
                <c:pt idx="82">
                  <c:v>-2.2220498448426129</c:v>
                </c:pt>
                <c:pt idx="83">
                  <c:v>-2.2025785612474191</c:v>
                </c:pt>
                <c:pt idx="84">
                  <c:v>-2.182975020638672</c:v>
                </c:pt>
                <c:pt idx="85">
                  <c:v>-2.1632144521179058</c:v>
                </c:pt>
                <c:pt idx="86">
                  <c:v>-2.1432702586611914</c:v>
                </c:pt>
                <c:pt idx="87">
                  <c:v>-2.1231135564208072</c:v>
                </c:pt>
                <c:pt idx="88">
                  <c:v>-2.1027125466000873</c:v>
                </c:pt>
                <c:pt idx="89">
                  <c:v>-2.0820316327569524</c:v>
                </c:pt>
                <c:pt idx="90">
                  <c:v>-2.061030136225007</c:v>
                </c:pt>
                <c:pt idx="91">
                  <c:v>-2.0246348728366312</c:v>
                </c:pt>
                <c:pt idx="92">
                  <c:v>-1.988546127684546</c:v>
                </c:pt>
                <c:pt idx="93">
                  <c:v>-1.9527464214293877</c:v>
                </c:pt>
                <c:pt idx="94">
                  <c:v>-1.9171999725678148</c:v>
                </c:pt>
                <c:pt idx="95">
                  <c:v>-1.8818577915183514</c:v>
                </c:pt>
                <c:pt idx="96">
                  <c:v>-1.8466621377679058</c:v>
                </c:pt>
                <c:pt idx="97">
                  <c:v>-1.8127741920210081</c:v>
                </c:pt>
                <c:pt idx="98">
                  <c:v>-1.7854311813621671</c:v>
                </c:pt>
                <c:pt idx="99">
                  <c:v>-1.7633988760803891</c:v>
                </c:pt>
                <c:pt idx="100">
                  <c:v>-1.7452239970521894</c:v>
                </c:pt>
                <c:pt idx="101">
                  <c:v>-1.7357607930298133</c:v>
                </c:pt>
                <c:pt idx="102">
                  <c:v>-1.7223978856675153</c:v>
                </c:pt>
                <c:pt idx="103">
                  <c:v>-1.7108151951512021</c:v>
                </c:pt>
                <c:pt idx="104">
                  <c:v>-1.7006597320667618</c:v>
                </c:pt>
                <c:pt idx="105">
                  <c:v>-1.6916666563577678</c:v>
                </c:pt>
                <c:pt idx="106">
                  <c:v>-1.6836332783713299</c:v>
                </c:pt>
                <c:pt idx="107">
                  <c:v>-1.6764017587376552</c:v>
                </c:pt>
                <c:pt idx="108">
                  <c:v>-1.6698472911610338</c:v>
                </c:pt>
                <c:pt idx="109">
                  <c:v>-1.6638698408138106</c:v>
                </c:pt>
                <c:pt idx="110">
                  <c:v>-1.6583882495304012</c:v>
                </c:pt>
                <c:pt idx="111">
                  <c:v>-1.6533359513558024</c:v>
                </c:pt>
                <c:pt idx="112">
                  <c:v>-1.648657807371527</c:v>
                </c:pt>
                <c:pt idx="113">
                  <c:v>-1.6443077321969923</c:v>
                </c:pt>
                <c:pt idx="114">
                  <c:v>-1.640246889827198</c:v>
                </c:pt>
                <c:pt idx="115">
                  <c:v>-1.6364423055991164</c:v>
                </c:pt>
                <c:pt idx="116">
                  <c:v>-1.6328657858091074</c:v>
                </c:pt>
                <c:pt idx="117">
                  <c:v>-1.6294930682989328</c:v>
                </c:pt>
                <c:pt idx="118">
                  <c:v>-1.6263031483374304</c:v>
                </c:pt>
                <c:pt idx="119">
                  <c:v>-1.6232777384302466</c:v>
                </c:pt>
                <c:pt idx="120">
                  <c:v>-1.6204008321962879</c:v>
                </c:pt>
                <c:pt idx="121">
                  <c:v>-1.6176583494964456</c:v>
                </c:pt>
                <c:pt idx="122">
                  <c:v>-1.6150378455625347</c:v>
                </c:pt>
                <c:pt idx="123">
                  <c:v>-1.6125282708826347</c:v>
                </c:pt>
                <c:pt idx="124">
                  <c:v>-1.6101197717724869</c:v>
                </c:pt>
                <c:pt idx="125">
                  <c:v>-1.6078035236706771</c:v>
                </c:pt>
                <c:pt idx="126">
                  <c:v>-1.6055715912411213</c:v>
                </c:pt>
                <c:pt idx="127">
                  <c:v>-1.6034168097675296</c:v>
                </c:pt>
                <c:pt idx="128">
                  <c:v>-1.6013326844251621</c:v>
                </c:pt>
                <c:pt idx="129">
                  <c:v>-1.599313304437481</c:v>
                </c:pt>
                <c:pt idx="130">
                  <c:v>-1.5973532690348193</c:v>
                </c:pt>
                <c:pt idx="131">
                  <c:v>-1.5954476232725137</c:v>
                </c:pt>
                <c:pt idx="132">
                  <c:v>-1.5935918028888594</c:v>
                </c:pt>
                <c:pt idx="133">
                  <c:v>-1.5915075154617053</c:v>
                </c:pt>
                <c:pt idx="134">
                  <c:v>-1.5893005634972504</c:v>
                </c:pt>
                <c:pt idx="135">
                  <c:v>-1.5871666420491</c:v>
                </c:pt>
                <c:pt idx="136">
                  <c:v>-1.5851005308409434</c:v>
                </c:pt>
                <c:pt idx="137">
                  <c:v>-1.5830973944721256</c:v>
                </c:pt>
                <c:pt idx="138">
                  <c:v>-1.5811527380477273</c:v>
                </c:pt>
                <c:pt idx="139">
                  <c:v>-1.5792623678666811</c:v>
                </c:pt>
                <c:pt idx="140">
                  <c:v>-1.5774223553142681</c:v>
                </c:pt>
                <c:pt idx="141">
                  <c:v>-1.57562900439211</c:v>
                </c:pt>
                <c:pt idx="142">
                  <c:v>-1.5738788212193544</c:v>
                </c:pt>
                <c:pt idx="143">
                  <c:v>-1.5721684859915959</c:v>
                </c:pt>
                <c:pt idx="144">
                  <c:v>-1.5704948258785318</c:v>
                </c:pt>
                <c:pt idx="145">
                  <c:v>-1.5688547893354379</c:v>
                </c:pt>
                <c:pt idx="146">
                  <c:v>-1.5672454207360254</c:v>
                </c:pt>
                <c:pt idx="147">
                  <c:v>-1.5656638345766281</c:v>
                </c:pt>
                <c:pt idx="148">
                  <c:v>-1.5641071896703798</c:v>
                </c:pt>
                <c:pt idx="149">
                  <c:v>-1.5625726615649391</c:v>
                </c:pt>
                <c:pt idx="150">
                  <c:v>-1.5610574131382373</c:v>
                </c:pt>
                <c:pt idx="151">
                  <c:v>-1.5595585619933345</c:v>
                </c:pt>
                <c:pt idx="152">
                  <c:v>-1.5580731443661469</c:v>
                </c:pt>
                <c:pt idx="153">
                  <c:v>-1.5565980728717541</c:v>
                </c:pt>
                <c:pt idx="154">
                  <c:v>-1.5551300877494736</c:v>
                </c:pt>
                <c:pt idx="155">
                  <c:v>-1.5536656979668306</c:v>
                </c:pt>
                <c:pt idx="156">
                  <c:v>-1.5522011101076378</c:v>
                </c:pt>
                <c:pt idx="157">
                  <c:v>-1.5507321404268248</c:v>
                </c:pt>
                <c:pt idx="158">
                  <c:v>-1.5492541046400987</c:v>
                </c:pt>
                <c:pt idx="159">
                  <c:v>-1.5477616776537975</c:v>
                </c:pt>
                <c:pt idx="160">
                  <c:v>-1.5462487120697537</c:v>
                </c:pt>
                <c:pt idx="161">
                  <c:v>-1.5447080005652651</c:v>
                </c:pt>
                <c:pt idx="162">
                  <c:v>-1.5431309587344106</c:v>
                </c:pt>
                <c:pt idx="163">
                  <c:v>-1.5415071950280481</c:v>
                </c:pt>
                <c:pt idx="164">
                  <c:v>-1.5398239165063554</c:v>
                </c:pt>
                <c:pt idx="165">
                  <c:v>-1.5380650908534754</c:v>
                </c:pt>
                <c:pt idx="166">
                  <c:v>-1.5362102371679986</c:v>
                </c:pt>
                <c:pt idx="167">
                  <c:v>-1.5342326340564618</c:v>
                </c:pt>
                <c:pt idx="168">
                  <c:v>-1.5320965867329912</c:v>
                </c:pt>
                <c:pt idx="169">
                  <c:v>-1.5297531052368933</c:v>
                </c:pt>
                <c:pt idx="170">
                  <c:v>-1.5271327906538428</c:v>
                </c:pt>
                <c:pt idx="171">
                  <c:v>-1.5241335225861823</c:v>
                </c:pt>
                <c:pt idx="172">
                  <c:v>-1.5203883288560789</c:v>
                </c:pt>
                <c:pt idx="173">
                  <c:v>-1.5172061507451051</c:v>
                </c:pt>
                <c:pt idx="174">
                  <c:v>-1.5115892430391202</c:v>
                </c:pt>
                <c:pt idx="175">
                  <c:v>-1.5038673766116428</c:v>
                </c:pt>
                <c:pt idx="176">
                  <c:v>-1.4920159398240571</c:v>
                </c:pt>
                <c:pt idx="177">
                  <c:v>-1.4699572143829887</c:v>
                </c:pt>
                <c:pt idx="178">
                  <c:v>-1.4131873522504268</c:v>
                </c:pt>
                <c:pt idx="179">
                  <c:v>-1.2667914919189434</c:v>
                </c:pt>
                <c:pt idx="180">
                  <c:v>1.5683010445854961E-10</c:v>
                </c:pt>
                <c:pt idx="181">
                  <c:v>1.266791492084858</c:v>
                </c:pt>
                <c:pt idx="182">
                  <c:v>1.4131873522031293</c:v>
                </c:pt>
                <c:pt idx="183">
                  <c:v>1.4699572144972541</c:v>
                </c:pt>
                <c:pt idx="184">
                  <c:v>1.492015939775625</c:v>
                </c:pt>
                <c:pt idx="185">
                  <c:v>1.503867376630786</c:v>
                </c:pt>
                <c:pt idx="186">
                  <c:v>1.5115892430948212</c:v>
                </c:pt>
                <c:pt idx="187">
                  <c:v>1.5172061507570904</c:v>
                </c:pt>
                <c:pt idx="188">
                  <c:v>1.5203883288459186</c:v>
                </c:pt>
                <c:pt idx="189">
                  <c:v>1.5241335225812305</c:v>
                </c:pt>
                <c:pt idx="190">
                  <c:v>1.5271327905615861</c:v>
                </c:pt>
                <c:pt idx="191">
                  <c:v>1.5297531052289275</c:v>
                </c:pt>
                <c:pt idx="192">
                  <c:v>1.5320965866525587</c:v>
                </c:pt>
                <c:pt idx="193">
                  <c:v>1.5342326340953685</c:v>
                </c:pt>
                <c:pt idx="194">
                  <c:v>1.5362102371589461</c:v>
                </c:pt>
                <c:pt idx="195">
                  <c:v>1.5380650908803788</c:v>
                </c:pt>
                <c:pt idx="196">
                  <c:v>1.5398239165081449</c:v>
                </c:pt>
                <c:pt idx="197">
                  <c:v>1.5415071950106942</c:v>
                </c:pt>
                <c:pt idx="198">
                  <c:v>1.5431309586796405</c:v>
                </c:pt>
                <c:pt idx="199">
                  <c:v>1.5447080005279021</c:v>
                </c:pt>
                <c:pt idx="200">
                  <c:v>1.5462487120044253</c:v>
                </c:pt>
                <c:pt idx="201">
                  <c:v>1.5477616776430758</c:v>
                </c:pt>
                <c:pt idx="202">
                  <c:v>1.5492541046365953</c:v>
                </c:pt>
                <c:pt idx="203">
                  <c:v>1.5507321404544248</c:v>
                </c:pt>
                <c:pt idx="204">
                  <c:v>1.5522011100897755</c:v>
                </c:pt>
                <c:pt idx="205">
                  <c:v>1.553665697961407</c:v>
                </c:pt>
                <c:pt idx="206">
                  <c:v>1.5551300877876053</c:v>
                </c:pt>
                <c:pt idx="207">
                  <c:v>1.556598072908282</c:v>
                </c:pt>
                <c:pt idx="208">
                  <c:v>1.5580731443722278</c:v>
                </c:pt>
                <c:pt idx="209">
                  <c:v>1.5595585619645389</c:v>
                </c:pt>
                <c:pt idx="210">
                  <c:v>1.5610574131137507</c:v>
                </c:pt>
                <c:pt idx="211">
                  <c:v>1.562572661561509</c:v>
                </c:pt>
                <c:pt idx="212">
                  <c:v>1.5641071896530703</c:v>
                </c:pt>
                <c:pt idx="213">
                  <c:v>1.5656638345716962</c:v>
                </c:pt>
                <c:pt idx="214">
                  <c:v>1.5672454207087363</c:v>
                </c:pt>
                <c:pt idx="215">
                  <c:v>1.5688547893669129</c:v>
                </c:pt>
                <c:pt idx="216">
                  <c:v>1.5704948258870204</c:v>
                </c:pt>
                <c:pt idx="217">
                  <c:v>1.5721684860136929</c:v>
                </c:pt>
                <c:pt idx="218">
                  <c:v>1.5738788212437977</c:v>
                </c:pt>
                <c:pt idx="219">
                  <c:v>1.5756290044086487</c:v>
                </c:pt>
                <c:pt idx="220">
                  <c:v>1.5774223553137512</c:v>
                </c:pt>
                <c:pt idx="221">
                  <c:v>1.5792623678647324</c:v>
                </c:pt>
                <c:pt idx="222">
                  <c:v>1.5811527380861445</c:v>
                </c:pt>
                <c:pt idx="223">
                  <c:v>1.5830973944732114</c:v>
                </c:pt>
                <c:pt idx="224">
                  <c:v>1.5851005308547352</c:v>
                </c:pt>
                <c:pt idx="225">
                  <c:v>1.5871666419928716</c:v>
                </c:pt>
                <c:pt idx="226">
                  <c:v>1.5893005634660653</c:v>
                </c:pt>
                <c:pt idx="227">
                  <c:v>1.5915075154632565</c:v>
                </c:pt>
                <c:pt idx="228">
                  <c:v>1.5935918028700558</c:v>
                </c:pt>
                <c:pt idx="229">
                  <c:v>1.5954476232554324</c:v>
                </c:pt>
                <c:pt idx="230">
                  <c:v>1.5973532689995253</c:v>
                </c:pt>
                <c:pt idx="231">
                  <c:v>1.5993133044717058</c:v>
                </c:pt>
                <c:pt idx="232">
                  <c:v>1.6013326844025098</c:v>
                </c:pt>
                <c:pt idx="233">
                  <c:v>1.6034168097289652</c:v>
                </c:pt>
                <c:pt idx="234">
                  <c:v>1.6055715912346427</c:v>
                </c:pt>
                <c:pt idx="235">
                  <c:v>1.607803523673446</c:v>
                </c:pt>
                <c:pt idx="236">
                  <c:v>1.6101197717542415</c:v>
                </c:pt>
                <c:pt idx="237">
                  <c:v>1.6125282708955739</c:v>
                </c:pt>
                <c:pt idx="238">
                  <c:v>1.6150378455847452</c:v>
                </c:pt>
                <c:pt idx="239">
                  <c:v>1.6176583495015062</c:v>
                </c:pt>
                <c:pt idx="240">
                  <c:v>1.6204008321930707</c:v>
                </c:pt>
                <c:pt idx="241">
                  <c:v>1.6232777384101942</c:v>
                </c:pt>
                <c:pt idx="242">
                  <c:v>1.626303148337402</c:v>
                </c:pt>
                <c:pt idx="243">
                  <c:v>1.6294930683207642</c:v>
                </c:pt>
                <c:pt idx="244">
                  <c:v>1.6328657857718905</c:v>
                </c:pt>
                <c:pt idx="245">
                  <c:v>1.6364423055831057</c:v>
                </c:pt>
                <c:pt idx="246">
                  <c:v>1.6402468898066493</c:v>
                </c:pt>
                <c:pt idx="247">
                  <c:v>1.6443077321795678</c:v>
                </c:pt>
                <c:pt idx="248">
                  <c:v>1.6486578073800549</c:v>
                </c:pt>
                <c:pt idx="249">
                  <c:v>1.6532762052091692</c:v>
                </c:pt>
                <c:pt idx="250">
                  <c:v>1.6578895360392198</c:v>
                </c:pt>
                <c:pt idx="251">
                  <c:v>1.6624628534586539</c:v>
                </c:pt>
                <c:pt idx="252">
                  <c:v>1.6670015650478467</c:v>
                </c:pt>
                <c:pt idx="253">
                  <c:v>1.671510912697258</c:v>
                </c:pt>
                <c:pt idx="254">
                  <c:v>1.6759959999885974</c:v>
                </c:pt>
                <c:pt idx="255">
                  <c:v>1.6804618176093629</c:v>
                </c:pt>
                <c:pt idx="256">
                  <c:v>1.684913267386019</c:v>
                </c:pt>
                <c:pt idx="257">
                  <c:v>1.6893551854094269</c:v>
                </c:pt>
                <c:pt idx="258">
                  <c:v>1.6937923637275853</c:v>
                </c:pt>
                <c:pt idx="259">
                  <c:v>1.6982295721005545</c:v>
                </c:pt>
                <c:pt idx="260">
                  <c:v>1.702671578189622</c:v>
                </c:pt>
                <c:pt idx="261">
                  <c:v>1.7071231685892236</c:v>
                </c:pt>
                <c:pt idx="262">
                  <c:v>1.7115891681567155</c:v>
                </c:pt>
                <c:pt idx="263">
                  <c:v>1.7160744607605276</c:v>
                </c:pt>
                <c:pt idx="264">
                  <c:v>1.717438825324286</c:v>
                </c:pt>
                <c:pt idx="265">
                  <c:v>1.7220187810812269</c:v>
                </c:pt>
                <c:pt idx="266">
                  <c:v>1.7266343065744407</c:v>
                </c:pt>
                <c:pt idx="267">
                  <c:v>1.7312907832304409</c:v>
                </c:pt>
                <c:pt idx="268">
                  <c:v>1.7359937523237547</c:v>
                </c:pt>
                <c:pt idx="269">
                  <c:v>1.7407489366651936</c:v>
                </c:pt>
                <c:pt idx="270">
                  <c:v>1.7455622608649155</c:v>
                </c:pt>
                <c:pt idx="271">
                  <c:v>1.749902768686816</c:v>
                </c:pt>
                <c:pt idx="272">
                  <c:v>1.7541944788086439</c:v>
                </c:pt>
                <c:pt idx="273">
                  <c:v>1.7584459394328815</c:v>
                </c:pt>
                <c:pt idx="274">
                  <c:v>1.7626649138300721</c:v>
                </c:pt>
                <c:pt idx="275">
                  <c:v>1.7668585313741423</c:v>
                </c:pt>
                <c:pt idx="276">
                  <c:v>1.7710334088612218</c:v>
                </c:pt>
                <c:pt idx="277">
                  <c:v>1.7751957496690516</c:v>
                </c:pt>
                <c:pt idx="278">
                  <c:v>1.7793514267958277</c:v>
                </c:pt>
                <c:pt idx="279">
                  <c:v>1.7835060517821433</c:v>
                </c:pt>
                <c:pt idx="280">
                  <c:v>1.7876650348254448</c:v>
                </c:pt>
                <c:pt idx="281">
                  <c:v>1.7918336359258662</c:v>
                </c:pt>
                <c:pt idx="282">
                  <c:v>1.7960170115033938</c:v>
                </c:pt>
                <c:pt idx="283">
                  <c:v>1.8002202552174649</c:v>
                </c:pt>
                <c:pt idx="284">
                  <c:v>1.8044484359957991</c:v>
                </c:pt>
                <c:pt idx="285">
                  <c:v>1.8087066334536301</c:v>
                </c:pt>
                <c:pt idx="286">
                  <c:v>1.812999971248298</c:v>
                </c:pt>
                <c:pt idx="287">
                  <c:v>1.8173336501148936</c:v>
                </c:pt>
                <c:pt idx="288">
                  <c:v>1.8217129796764964</c:v>
                </c:pt>
                <c:pt idx="289">
                  <c:v>1.8261434107501349</c:v>
                </c:pt>
                <c:pt idx="290">
                  <c:v>1.8306305680184634</c:v>
                </c:pt>
                <c:pt idx="291">
                  <c:v>1.8351802839907083</c:v>
                </c:pt>
                <c:pt idx="292">
                  <c:v>1.8397986343970896</c:v>
                </c:pt>
                <c:pt idx="293">
                  <c:v>1.8444919755792348</c:v>
                </c:pt>
                <c:pt idx="294">
                  <c:v>1.8492669847354088</c:v>
                </c:pt>
                <c:pt idx="295">
                  <c:v>1.8541307028153406</c:v>
                </c:pt>
                <c:pt idx="296">
                  <c:v>1.8590843070532761</c:v>
                </c:pt>
                <c:pt idx="297">
                  <c:v>1.8639722215804577</c:v>
                </c:pt>
                <c:pt idx="298">
                  <c:v>1.8687380499503892</c:v>
                </c:pt>
                <c:pt idx="299">
                  <c:v>1.8733984830208341</c:v>
                </c:pt>
                <c:pt idx="300">
                  <c:v>1.8779684476218765</c:v>
                </c:pt>
                <c:pt idx="301">
                  <c:v>1.8824614107567765</c:v>
                </c:pt>
                <c:pt idx="302">
                  <c:v>1.8868896313240953</c:v>
                </c:pt>
                <c:pt idx="303">
                  <c:v>1.8912643687775137</c:v>
                </c:pt>
                <c:pt idx="304">
                  <c:v>1.8955960592808012</c:v>
                </c:pt>
                <c:pt idx="305">
                  <c:v>1.8998944656635373</c:v>
                </c:pt>
                <c:pt idx="306">
                  <c:v>1.9041688068977449</c:v>
                </c:pt>
                <c:pt idx="307">
                  <c:v>1.9084278709449123</c:v>
                </c:pt>
                <c:pt idx="308">
                  <c:v>1.9126801151260191</c:v>
                </c:pt>
                <c:pt idx="309">
                  <c:v>1.916933756791825</c:v>
                </c:pt>
                <c:pt idx="310">
                  <c:v>1.9211968559666335</c:v>
                </c:pt>
                <c:pt idx="311">
                  <c:v>1.9254773936924694</c:v>
                </c:pt>
                <c:pt idx="312">
                  <c:v>1.9297833455369982</c:v>
                </c:pt>
                <c:pt idx="313">
                  <c:v>1.9341227543660204</c:v>
                </c:pt>
                <c:pt idx="314">
                  <c:v>1.938503802322955</c:v>
                </c:pt>
                <c:pt idx="315">
                  <c:v>1.9429348835818132</c:v>
                </c:pt>
                <c:pt idx="316">
                  <c:v>1.9474246805178361</c:v>
                </c:pt>
                <c:pt idx="317">
                  <c:v>1.9519822434400109</c:v>
                </c:pt>
                <c:pt idx="318">
                  <c:v>1.9566170764439272</c:v>
                </c:pt>
                <c:pt idx="319">
                  <c:v>1.961339230661624</c:v>
                </c:pt>
                <c:pt idx="320">
                  <c:v>1.9661594082749509</c:v>
                </c:pt>
                <c:pt idx="321">
                  <c:v>1.9740836528999723</c:v>
                </c:pt>
                <c:pt idx="322">
                  <c:v>1.9936820601176457</c:v>
                </c:pt>
                <c:pt idx="323">
                  <c:v>2.0245746810514706</c:v>
                </c:pt>
                <c:pt idx="324">
                  <c:v>2.0663970707626245</c:v>
                </c:pt>
                <c:pt idx="325">
                  <c:v>2.1192903768538685</c:v>
                </c:pt>
                <c:pt idx="326">
                  <c:v>2.1837344685895461</c:v>
                </c:pt>
                <c:pt idx="327">
                  <c:v>2.2603736963028025</c:v>
                </c:pt>
                <c:pt idx="328">
                  <c:v>2.3497866151224205</c:v>
                </c:pt>
                <c:pt idx="329">
                  <c:v>2.4521654451197423</c:v>
                </c:pt>
                <c:pt idx="330">
                  <c:v>2.5669122127096413</c:v>
                </c:pt>
                <c:pt idx="331">
                  <c:v>2.6922431552973327</c:v>
                </c:pt>
                <c:pt idx="332">
                  <c:v>2.799040639011209</c:v>
                </c:pt>
                <c:pt idx="333">
                  <c:v>2.9017480730731511</c:v>
                </c:pt>
                <c:pt idx="334">
                  <c:v>3.0041337298203734</c:v>
                </c:pt>
                <c:pt idx="335">
                  <c:v>3.1040920714512636</c:v>
                </c:pt>
                <c:pt idx="336">
                  <c:v>-3.0834221158564645</c:v>
                </c:pt>
                <c:pt idx="337">
                  <c:v>-2.9936409968323963</c:v>
                </c:pt>
                <c:pt idx="338">
                  <c:v>-2.9138675949529764</c:v>
                </c:pt>
                <c:pt idx="339">
                  <c:v>-2.8448205197833225</c:v>
                </c:pt>
                <c:pt idx="340">
                  <c:v>-2.7854364913181318</c:v>
                </c:pt>
                <c:pt idx="341">
                  <c:v>-2.7349641608155837</c:v>
                </c:pt>
                <c:pt idx="342">
                  <c:v>-2.6931558376706839</c:v>
                </c:pt>
                <c:pt idx="343">
                  <c:v>-2.6606068140374219</c:v>
                </c:pt>
                <c:pt idx="344">
                  <c:v>-2.6395974255947694</c:v>
                </c:pt>
                <c:pt idx="345">
                  <c:v>-2.6341151942924883</c:v>
                </c:pt>
                <c:pt idx="346">
                  <c:v>-2.6321559275036002</c:v>
                </c:pt>
                <c:pt idx="347">
                  <c:v>-2.6301973440598241</c:v>
                </c:pt>
                <c:pt idx="348">
                  <c:v>-2.6282383119020682</c:v>
                </c:pt>
                <c:pt idx="349">
                  <c:v>-2.6262776961390024</c:v>
                </c:pt>
                <c:pt idx="350">
                  <c:v>-2.6243143565470373</c:v>
                </c:pt>
                <c:pt idx="351">
                  <c:v>-2.6223471450495062</c:v>
                </c:pt>
                <c:pt idx="352">
                  <c:v>-2.6203749031844161</c:v>
                </c:pt>
                <c:pt idx="353">
                  <c:v>-2.6183964593851972</c:v>
                </c:pt>
                <c:pt idx="354">
                  <c:v>-2.6164106263633311</c:v>
                </c:pt>
                <c:pt idx="355">
                  <c:v>-2.6144161982154266</c:v>
                </c:pt>
                <c:pt idx="356">
                  <c:v>-2.6124119476326202</c:v>
                </c:pt>
                <c:pt idx="357">
                  <c:v>-2.6103966227650215</c:v>
                </c:pt>
                <c:pt idx="358">
                  <c:v>-2.6083689442079496</c:v>
                </c:pt>
                <c:pt idx="359">
                  <c:v>-2.6063276015759085</c:v>
                </c:pt>
                <c:pt idx="360">
                  <c:v>-2.6042712501206937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08-46E1-A5E5-62A811C96786}"/>
            </c:ext>
          </c:extLst>
        </c:ser>
        <c:ser>
          <c:idx val="9"/>
          <c:order val="9"/>
          <c:tx>
            <c:v>pi_shift_phase2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L_Section_Capacity!$BG$2:$BG$182</c:f>
              <c:numCache>
                <c:formatCode>General</c:formatCode>
                <c:ptCount val="181"/>
                <c:pt idx="0">
                  <c:v>-2.6042712501206964</c:v>
                </c:pt>
                <c:pt idx="1">
                  <c:v>-2.6021985071021838</c:v>
                </c:pt>
                <c:pt idx="2">
                  <c:v>-2.6001079478426039</c:v>
                </c:pt>
                <c:pt idx="3">
                  <c:v>-2.5979981017613349</c:v>
                </c:pt>
                <c:pt idx="4">
                  <c:v>-2.5958674479107788</c:v>
                </c:pt>
                <c:pt idx="5">
                  <c:v>-2.5937144104741812</c:v>
                </c:pt>
                <c:pt idx="6">
                  <c:v>-2.5915373537345321</c:v>
                </c:pt>
                <c:pt idx="7">
                  <c:v>-2.5893345768066336</c:v>
                </c:pt>
                <c:pt idx="8">
                  <c:v>-2.5871043079815621</c:v>
                </c:pt>
                <c:pt idx="9">
                  <c:v>-2.5848446986001612</c:v>
                </c:pt>
                <c:pt idx="10">
                  <c:v>-2.5825538165036948</c:v>
                </c:pt>
                <c:pt idx="11">
                  <c:v>-2.5802296388690955</c:v>
                </c:pt>
                <c:pt idx="12">
                  <c:v>-2.5778700445825757</c:v>
                </c:pt>
                <c:pt idx="13">
                  <c:v>-2.5754728058262648</c:v>
                </c:pt>
                <c:pt idx="14">
                  <c:v>-2.5730355791012824</c:v>
                </c:pt>
                <c:pt idx="15">
                  <c:v>-2.5705558953322925</c:v>
                </c:pt>
                <c:pt idx="16">
                  <c:v>-2.5680311490941028</c:v>
                </c:pt>
                <c:pt idx="17">
                  <c:v>-2.5654585868691804</c:v>
                </c:pt>
                <c:pt idx="18">
                  <c:v>-2.5628352942674422</c:v>
                </c:pt>
                <c:pt idx="19">
                  <c:v>-2.5601581818916888</c:v>
                </c:pt>
                <c:pt idx="20">
                  <c:v>-2.5574239698534367</c:v>
                </c:pt>
                <c:pt idx="21">
                  <c:v>-2.5546291708141613</c:v>
                </c:pt>
                <c:pt idx="22">
                  <c:v>-2.5517700711976783</c:v>
                </c:pt>
                <c:pt idx="23">
                  <c:v>-2.5488427105211535</c:v>
                </c:pt>
                <c:pt idx="24">
                  <c:v>-2.5458428584408885</c:v>
                </c:pt>
                <c:pt idx="25">
                  <c:v>-2.5427659894540104</c:v>
                </c:pt>
                <c:pt idx="26">
                  <c:v>-2.5396072546771542</c:v>
                </c:pt>
                <c:pt idx="27">
                  <c:v>-2.5363614505113539</c:v>
                </c:pt>
                <c:pt idx="28">
                  <c:v>-2.5330229836899649</c:v>
                </c:pt>
                <c:pt idx="29">
                  <c:v>-2.529585832310234</c:v>
                </c:pt>
                <c:pt idx="30">
                  <c:v>-2.5260435020624552</c:v>
                </c:pt>
                <c:pt idx="31">
                  <c:v>-2.5223889773100572</c:v>
                </c:pt>
                <c:pt idx="32">
                  <c:v>-2.5186199220968879</c:v>
                </c:pt>
                <c:pt idx="33">
                  <c:v>-2.5148768514811977</c:v>
                </c:pt>
                <c:pt idx="34">
                  <c:v>-2.5112181992131966</c:v>
                </c:pt>
                <c:pt idx="35">
                  <c:v>-2.5076348105788693</c:v>
                </c:pt>
                <c:pt idx="36">
                  <c:v>-2.5041182519683653</c:v>
                </c:pt>
                <c:pt idx="37">
                  <c:v>-2.5006607053593859</c:v>
                </c:pt>
                <c:pt idx="38">
                  <c:v>-2.4972548771041314</c:v>
                </c:pt>
                <c:pt idx="39">
                  <c:v>-2.4938939177934945</c:v>
                </c:pt>
                <c:pt idx="40">
                  <c:v>-2.4905713517700647</c:v>
                </c:pt>
                <c:pt idx="41">
                  <c:v>-2.4872810138485431</c:v>
                </c:pt>
                <c:pt idx="42">
                  <c:v>-2.4840169923524016</c:v>
                </c:pt>
                <c:pt idx="43">
                  <c:v>-2.480773576786242</c:v>
                </c:pt>
                <c:pt idx="44">
                  <c:v>-2.4775452091857595</c:v>
                </c:pt>
                <c:pt idx="45">
                  <c:v>-2.4743264383712926</c:v>
                </c:pt>
                <c:pt idx="46">
                  <c:v>-2.471111875771749</c:v>
                </c:pt>
                <c:pt idx="47">
                  <c:v>-2.4678961525098426</c:v>
                </c:pt>
                <c:pt idx="48">
                  <c:v>-2.4646738765333751</c:v>
                </c:pt>
                <c:pt idx="49">
                  <c:v>-2.4614395892917571</c:v>
                </c:pt>
                <c:pt idx="50">
                  <c:v>-2.4581877209702894</c:v>
                </c:pt>
                <c:pt idx="51">
                  <c:v>-2.4549125434950057</c:v>
                </c:pt>
                <c:pt idx="52">
                  <c:v>-2.4516081204399276</c:v>
                </c:pt>
                <c:pt idx="53">
                  <c:v>-2.4482682525281962</c:v>
                </c:pt>
                <c:pt idx="54">
                  <c:v>-2.4448864179540095</c:v>
                </c:pt>
                <c:pt idx="55">
                  <c:v>-2.4414557056317294</c:v>
                </c:pt>
                <c:pt idx="56">
                  <c:v>-2.4379687400813976</c:v>
                </c:pt>
                <c:pt idx="57">
                  <c:v>-2.4344175957491414</c:v>
                </c:pt>
                <c:pt idx="58">
                  <c:v>-2.4307936983349734</c:v>
                </c:pt>
                <c:pt idx="59">
                  <c:v>-2.4270877101737547</c:v>
                </c:pt>
                <c:pt idx="60">
                  <c:v>-2.4232893957204666</c:v>
                </c:pt>
                <c:pt idx="61">
                  <c:v>-2.4193874626438321</c:v>
                </c:pt>
                <c:pt idx="62">
                  <c:v>-2.4153693723169249</c:v>
                </c:pt>
                <c:pt idx="63">
                  <c:v>-2.4107633217398563</c:v>
                </c:pt>
                <c:pt idx="64">
                  <c:v>-2.4038894122177981</c:v>
                </c:pt>
                <c:pt idx="65">
                  <c:v>-2.3969017390642833</c:v>
                </c:pt>
                <c:pt idx="66">
                  <c:v>-2.3897830854398157</c:v>
                </c:pt>
                <c:pt idx="67">
                  <c:v>-2.3825141906883633</c:v>
                </c:pt>
                <c:pt idx="68">
                  <c:v>-2.3750732951987761</c:v>
                </c:pt>
                <c:pt idx="69">
                  <c:v>-2.3674355632175823</c:v>
                </c:pt>
                <c:pt idx="70">
                  <c:v>-2.3595723409114058</c:v>
                </c:pt>
                <c:pt idx="71">
                  <c:v>-2.3514501893615583</c:v>
                </c:pt>
                <c:pt idx="72">
                  <c:v>-2.3430296047365937</c:v>
                </c:pt>
                <c:pt idx="73">
                  <c:v>-2.3342632964434289</c:v>
                </c:pt>
                <c:pt idx="74">
                  <c:v>-2.3250938283866018</c:v>
                </c:pt>
                <c:pt idx="75">
                  <c:v>-2.3154503225489069</c:v>
                </c:pt>
                <c:pt idx="76">
                  <c:v>-2.305243748681792</c:v>
                </c:pt>
                <c:pt idx="77">
                  <c:v>-2.2943600227340237</c:v>
                </c:pt>
                <c:pt idx="78">
                  <c:v>-2.2826496038155089</c:v>
                </c:pt>
                <c:pt idx="79">
                  <c:v>-2.2699112936602228</c:v>
                </c:pt>
                <c:pt idx="80">
                  <c:v>-2.2558660366268501</c:v>
                </c:pt>
                <c:pt idx="81">
                  <c:v>-2.2401126239765734</c:v>
                </c:pt>
                <c:pt idx="82">
                  <c:v>-2.2220498448426129</c:v>
                </c:pt>
                <c:pt idx="83">
                  <c:v>-2.2025785612474191</c:v>
                </c:pt>
                <c:pt idx="84">
                  <c:v>-2.182975020638672</c:v>
                </c:pt>
                <c:pt idx="85">
                  <c:v>-2.1632144521179058</c:v>
                </c:pt>
                <c:pt idx="86">
                  <c:v>-2.1432702586611914</c:v>
                </c:pt>
                <c:pt idx="87">
                  <c:v>-2.1231135564208072</c:v>
                </c:pt>
                <c:pt idx="88">
                  <c:v>-2.1027125466000873</c:v>
                </c:pt>
                <c:pt idx="89">
                  <c:v>-2.0820316327569524</c:v>
                </c:pt>
                <c:pt idx="90">
                  <c:v>-2.061030136225007</c:v>
                </c:pt>
                <c:pt idx="91">
                  <c:v>-2.0246348728366312</c:v>
                </c:pt>
                <c:pt idx="92">
                  <c:v>-1.988546127684546</c:v>
                </c:pt>
                <c:pt idx="93">
                  <c:v>-1.9527464214293877</c:v>
                </c:pt>
                <c:pt idx="94">
                  <c:v>-1.9171999725678148</c:v>
                </c:pt>
                <c:pt idx="95">
                  <c:v>-1.8818577915183514</c:v>
                </c:pt>
                <c:pt idx="96">
                  <c:v>-1.8466621377679058</c:v>
                </c:pt>
                <c:pt idx="97">
                  <c:v>-1.8127741920210081</c:v>
                </c:pt>
                <c:pt idx="98">
                  <c:v>-1.7854311813621671</c:v>
                </c:pt>
                <c:pt idx="99">
                  <c:v>-1.7633988760803891</c:v>
                </c:pt>
                <c:pt idx="100">
                  <c:v>-1.7452239970521894</c:v>
                </c:pt>
                <c:pt idx="101">
                  <c:v>-1.7357607930298133</c:v>
                </c:pt>
                <c:pt idx="102">
                  <c:v>-1.7223978856675153</c:v>
                </c:pt>
                <c:pt idx="103">
                  <c:v>-1.7108151951512021</c:v>
                </c:pt>
                <c:pt idx="104">
                  <c:v>-1.7006597320667618</c:v>
                </c:pt>
                <c:pt idx="105">
                  <c:v>-1.6916666563577678</c:v>
                </c:pt>
                <c:pt idx="106">
                  <c:v>-1.6836332783713299</c:v>
                </c:pt>
                <c:pt idx="107">
                  <c:v>-1.6764017587376552</c:v>
                </c:pt>
                <c:pt idx="108">
                  <c:v>-1.6698472911610338</c:v>
                </c:pt>
                <c:pt idx="109">
                  <c:v>-1.6638698408138106</c:v>
                </c:pt>
                <c:pt idx="110">
                  <c:v>-1.6583882495304012</c:v>
                </c:pt>
                <c:pt idx="111">
                  <c:v>-1.6533359513558024</c:v>
                </c:pt>
                <c:pt idx="112">
                  <c:v>-1.648657807371527</c:v>
                </c:pt>
                <c:pt idx="113">
                  <c:v>-1.6443077321969923</c:v>
                </c:pt>
                <c:pt idx="114">
                  <c:v>-1.640246889827198</c:v>
                </c:pt>
                <c:pt idx="115">
                  <c:v>-1.6364423055991164</c:v>
                </c:pt>
                <c:pt idx="116">
                  <c:v>-1.6328657858091074</c:v>
                </c:pt>
                <c:pt idx="117">
                  <c:v>-1.6294930682989328</c:v>
                </c:pt>
                <c:pt idx="118">
                  <c:v>-1.6263031483374304</c:v>
                </c:pt>
                <c:pt idx="119">
                  <c:v>-1.6232777384302466</c:v>
                </c:pt>
                <c:pt idx="120">
                  <c:v>-1.6204008321962879</c:v>
                </c:pt>
                <c:pt idx="121">
                  <c:v>-1.6176583494964456</c:v>
                </c:pt>
                <c:pt idx="122">
                  <c:v>-1.6150378455625347</c:v>
                </c:pt>
                <c:pt idx="123">
                  <c:v>-1.6125282708826347</c:v>
                </c:pt>
                <c:pt idx="124">
                  <c:v>-1.6101197717724869</c:v>
                </c:pt>
                <c:pt idx="125">
                  <c:v>-1.6078035236706771</c:v>
                </c:pt>
                <c:pt idx="126">
                  <c:v>-1.6055715912411213</c:v>
                </c:pt>
                <c:pt idx="127">
                  <c:v>-1.6034168097675296</c:v>
                </c:pt>
                <c:pt idx="128">
                  <c:v>-1.6013326844251621</c:v>
                </c:pt>
                <c:pt idx="129">
                  <c:v>-1.599313304437481</c:v>
                </c:pt>
                <c:pt idx="130">
                  <c:v>-1.5973532690348193</c:v>
                </c:pt>
                <c:pt idx="131">
                  <c:v>-1.5954476232725137</c:v>
                </c:pt>
                <c:pt idx="132">
                  <c:v>-1.5935918028888594</c:v>
                </c:pt>
                <c:pt idx="133">
                  <c:v>-1.5915075154617053</c:v>
                </c:pt>
                <c:pt idx="134">
                  <c:v>-1.5893005634972504</c:v>
                </c:pt>
                <c:pt idx="135">
                  <c:v>-1.5871666420491</c:v>
                </c:pt>
                <c:pt idx="136">
                  <c:v>-1.5851005308409434</c:v>
                </c:pt>
                <c:pt idx="137">
                  <c:v>-1.5830973944721256</c:v>
                </c:pt>
                <c:pt idx="138">
                  <c:v>-1.5811527380477273</c:v>
                </c:pt>
                <c:pt idx="139">
                  <c:v>-1.5792623678666811</c:v>
                </c:pt>
                <c:pt idx="140">
                  <c:v>-1.5774223553142681</c:v>
                </c:pt>
                <c:pt idx="141">
                  <c:v>-1.57562900439211</c:v>
                </c:pt>
                <c:pt idx="142">
                  <c:v>-1.5738788212193544</c:v>
                </c:pt>
                <c:pt idx="143">
                  <c:v>-1.5721684859915959</c:v>
                </c:pt>
                <c:pt idx="144">
                  <c:v>-1.5704948258785318</c:v>
                </c:pt>
                <c:pt idx="145">
                  <c:v>-1.5688547893354379</c:v>
                </c:pt>
                <c:pt idx="146">
                  <c:v>-1.5672454207360254</c:v>
                </c:pt>
                <c:pt idx="147">
                  <c:v>-1.5656638345766281</c:v>
                </c:pt>
                <c:pt idx="148">
                  <c:v>-1.5641071896703798</c:v>
                </c:pt>
                <c:pt idx="149">
                  <c:v>-1.5625726615649391</c:v>
                </c:pt>
                <c:pt idx="150">
                  <c:v>-1.5610574131382373</c:v>
                </c:pt>
                <c:pt idx="151">
                  <c:v>-1.5595585619933345</c:v>
                </c:pt>
                <c:pt idx="152">
                  <c:v>-1.5580731443661469</c:v>
                </c:pt>
                <c:pt idx="153">
                  <c:v>-1.5565980728717541</c:v>
                </c:pt>
                <c:pt idx="154">
                  <c:v>-1.5551300877494736</c:v>
                </c:pt>
                <c:pt idx="155">
                  <c:v>-1.5536656979668306</c:v>
                </c:pt>
                <c:pt idx="156">
                  <c:v>-1.5522011101076378</c:v>
                </c:pt>
                <c:pt idx="157">
                  <c:v>-1.5507321404268248</c:v>
                </c:pt>
                <c:pt idx="158">
                  <c:v>-1.5492541046400987</c:v>
                </c:pt>
                <c:pt idx="159">
                  <c:v>-1.5477616776537975</c:v>
                </c:pt>
                <c:pt idx="160">
                  <c:v>-1.5462487120697537</c:v>
                </c:pt>
                <c:pt idx="161">
                  <c:v>-1.5447080005652651</c:v>
                </c:pt>
                <c:pt idx="162">
                  <c:v>-1.5431309587344106</c:v>
                </c:pt>
                <c:pt idx="163">
                  <c:v>-1.5415071950280481</c:v>
                </c:pt>
                <c:pt idx="164">
                  <c:v>-1.5398239165063554</c:v>
                </c:pt>
                <c:pt idx="165">
                  <c:v>-1.5380650908534754</c:v>
                </c:pt>
                <c:pt idx="166">
                  <c:v>-1.5362102371679986</c:v>
                </c:pt>
                <c:pt idx="167">
                  <c:v>-1.5342326340564618</c:v>
                </c:pt>
                <c:pt idx="168">
                  <c:v>-1.5320965867329912</c:v>
                </c:pt>
                <c:pt idx="169">
                  <c:v>-1.5297531052368933</c:v>
                </c:pt>
                <c:pt idx="170">
                  <c:v>-1.5271327906538428</c:v>
                </c:pt>
                <c:pt idx="171">
                  <c:v>-1.5241335225861823</c:v>
                </c:pt>
                <c:pt idx="172">
                  <c:v>-1.5203883288560789</c:v>
                </c:pt>
                <c:pt idx="173">
                  <c:v>-1.5172061507451051</c:v>
                </c:pt>
                <c:pt idx="174">
                  <c:v>-1.5115892430391202</c:v>
                </c:pt>
                <c:pt idx="175">
                  <c:v>-1.5038673766116428</c:v>
                </c:pt>
                <c:pt idx="176">
                  <c:v>-1.4920159398240571</c:v>
                </c:pt>
                <c:pt idx="177">
                  <c:v>-1.4699572143829887</c:v>
                </c:pt>
                <c:pt idx="178">
                  <c:v>-1.4131873522504268</c:v>
                </c:pt>
                <c:pt idx="179">
                  <c:v>-1.2667914919189434</c:v>
                </c:pt>
                <c:pt idx="180">
                  <c:v>1.5683010445854961E-10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08-46E1-A5E5-62A811C96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24</xdr:row>
          <xdr:rowOff>85725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88900</xdr:colOff>
      <xdr:row>13</xdr:row>
      <xdr:rowOff>31750</xdr:rowOff>
    </xdr:from>
    <xdr:to>
      <xdr:col>30</xdr:col>
      <xdr:colOff>425450</xdr:colOff>
      <xdr:row>28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383382</xdr:colOff>
      <xdr:row>0</xdr:row>
      <xdr:rowOff>121443</xdr:rowOff>
    </xdr:from>
    <xdr:to>
      <xdr:col>43</xdr:col>
      <xdr:colOff>526256</xdr:colOff>
      <xdr:row>25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431006</xdr:colOff>
      <xdr:row>26</xdr:row>
      <xdr:rowOff>50005</xdr:rowOff>
    </xdr:from>
    <xdr:to>
      <xdr:col>43</xdr:col>
      <xdr:colOff>573880</xdr:colOff>
      <xdr:row>51</xdr:row>
      <xdr:rowOff>126206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385761</xdr:colOff>
      <xdr:row>52</xdr:row>
      <xdr:rowOff>30957</xdr:rowOff>
    </xdr:from>
    <xdr:to>
      <xdr:col>43</xdr:col>
      <xdr:colOff>583406</xdr:colOff>
      <xdr:row>82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BP362"/>
  <sheetViews>
    <sheetView tabSelected="1" zoomScale="80" zoomScaleNormal="80" workbookViewId="0">
      <selection activeCell="B10" sqref="B10"/>
    </sheetView>
  </sheetViews>
  <sheetFormatPr defaultColWidth="8.85546875" defaultRowHeight="15" x14ac:dyDescent="0.25"/>
  <cols>
    <col min="1" max="1" width="15.28515625" customWidth="1"/>
    <col min="2" max="2" width="13.85546875" customWidth="1"/>
    <col min="3" max="3" width="12.42578125" customWidth="1"/>
    <col min="4" max="5" width="11.140625" customWidth="1"/>
    <col min="15" max="16" width="10.7109375" bestFit="1" customWidth="1"/>
    <col min="20" max="20" width="13.28515625" bestFit="1" customWidth="1"/>
    <col min="21" max="21" width="12.85546875" bestFit="1" customWidth="1"/>
    <col min="22" max="22" width="12.7109375" bestFit="1" customWidth="1"/>
    <col min="23" max="23" width="12.140625" bestFit="1" customWidth="1"/>
    <col min="24" max="24" width="9.42578125" bestFit="1" customWidth="1"/>
    <col min="30" max="30" width="13.7109375" bestFit="1" customWidth="1"/>
    <col min="50" max="50" width="11" bestFit="1" customWidth="1"/>
    <col min="53" max="53" width="8.85546875" customWidth="1"/>
    <col min="54" max="54" width="11" bestFit="1" customWidth="1"/>
    <col min="57" max="57" width="10.7109375" bestFit="1" customWidth="1"/>
    <col min="58" max="58" width="10.28515625" bestFit="1" customWidth="1"/>
    <col min="70" max="70" width="13.7109375" bestFit="1" customWidth="1"/>
  </cols>
  <sheetData>
    <row r="1" spans="1:68" x14ac:dyDescent="0.25">
      <c r="K1" s="8" t="s">
        <v>71</v>
      </c>
      <c r="L1" s="14">
        <v>1E-8</v>
      </c>
      <c r="AS1" t="s">
        <v>111</v>
      </c>
      <c r="AT1" s="1" t="s">
        <v>100</v>
      </c>
      <c r="AU1" s="1" t="s">
        <v>101</v>
      </c>
      <c r="AV1" t="s">
        <v>112</v>
      </c>
      <c r="BK1" t="s">
        <v>113</v>
      </c>
    </row>
    <row r="2" spans="1:68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50</v>
      </c>
      <c r="M2">
        <v>1240</v>
      </c>
      <c r="N2">
        <v>32</v>
      </c>
      <c r="O2">
        <v>1</v>
      </c>
      <c r="AS2">
        <v>-3.1415926535897931</v>
      </c>
      <c r="AT2">
        <v>-286.40752941242613</v>
      </c>
      <c r="AU2">
        <v>-170.64000000000004</v>
      </c>
      <c r="AV2">
        <f>ATAN2(AT2,AU2)</f>
        <v>-2.6042712501206959</v>
      </c>
      <c r="AW2">
        <f>ABS(AS2-AV2)</f>
        <v>0.53732140346909718</v>
      </c>
      <c r="AX2" s="40">
        <f>AV2-$U$13</f>
        <v>-5.7458639037104895</v>
      </c>
      <c r="AY2">
        <f>ABS(AX2)</f>
        <v>5.7458639037104895</v>
      </c>
      <c r="AZ2">
        <f>AS2+(2*PI())</f>
        <v>3.1415926535897931</v>
      </c>
      <c r="BA2">
        <f>AV2</f>
        <v>-2.6042712501206959</v>
      </c>
      <c r="BB2">
        <f t="shared" ref="BB2:BD2" si="0">AW2</f>
        <v>0.53732140346909718</v>
      </c>
      <c r="BC2">
        <f t="shared" si="0"/>
        <v>-5.7458639037104895</v>
      </c>
      <c r="BD2">
        <f t="shared" si="0"/>
        <v>5.7458639037104895</v>
      </c>
      <c r="BE2" s="40">
        <f>(-1*AX2)-(2*$AY$2)</f>
        <v>-5.7458639037104895</v>
      </c>
      <c r="BF2" s="40">
        <f>AX2+$BJ$4</f>
        <v>-2.6042712501206964</v>
      </c>
      <c r="BG2">
        <f>BC2+$BJ$4</f>
        <v>-2.6042712501206964</v>
      </c>
      <c r="BK2" s="1" t="s">
        <v>114</v>
      </c>
      <c r="BL2" s="1" t="s">
        <v>33</v>
      </c>
      <c r="BM2" s="1" t="s">
        <v>115</v>
      </c>
      <c r="BN2" s="1" t="s">
        <v>116</v>
      </c>
      <c r="BO2" s="1" t="s">
        <v>117</v>
      </c>
      <c r="BP2" s="1" t="s">
        <v>118</v>
      </c>
    </row>
    <row r="3" spans="1:68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6" t="s">
        <v>78</v>
      </c>
      <c r="U3" s="19">
        <f ca="1">IF(ABS(K72)&lt;0.002,0.65,IF(ABS(K72)&gt;0.005,0.9,0.65+((ABS(K72)-0.002)*(250/3))))</f>
        <v>0.9</v>
      </c>
      <c r="V3" s="16"/>
      <c r="W3" s="30" t="s">
        <v>95</v>
      </c>
      <c r="X3" t="s">
        <v>79</v>
      </c>
      <c r="AA3" t="s">
        <v>110</v>
      </c>
      <c r="AS3">
        <v>-3.12413936106985</v>
      </c>
      <c r="AT3">
        <v>-286.40053702708877</v>
      </c>
      <c r="AU3">
        <v>-171.44118748020517</v>
      </c>
      <c r="AV3">
        <f t="shared" ref="AV3:AV66" si="1">ATAN2(AT3,AU3)</f>
        <v>-2.6021985071021843</v>
      </c>
      <c r="AW3">
        <f t="shared" ref="AW3:AW66" si="2">ABS(AS3-AV3)</f>
        <v>0.52194085396766576</v>
      </c>
      <c r="AX3" s="40">
        <f t="shared" ref="AX3:AX66" si="3">AV3-$U$13</f>
        <v>-5.7437911606919769</v>
      </c>
      <c r="AY3">
        <f t="shared" ref="AY3:AY66" si="4">ABS(AX3)</f>
        <v>5.7437911606919769</v>
      </c>
      <c r="AZ3">
        <f t="shared" ref="AZ3:AZ66" si="5">AS3+(2*PI())</f>
        <v>3.1590459461097362</v>
      </c>
      <c r="BA3">
        <f t="shared" ref="BA3:BA66" si="6">AV3</f>
        <v>-2.6021985071021843</v>
      </c>
      <c r="BB3">
        <f t="shared" ref="BB3:BB66" si="7">AW3</f>
        <v>0.52194085396766576</v>
      </c>
      <c r="BC3">
        <f t="shared" ref="BC3:BC66" si="8">AX3</f>
        <v>-5.7437911606919769</v>
      </c>
      <c r="BD3">
        <f t="shared" ref="BD3:BD66" si="9">AY3</f>
        <v>5.7437911606919769</v>
      </c>
      <c r="BE3" s="40">
        <f t="shared" ref="BE3:BE66" si="10">(-1*AX3)-(2*$AY$2)</f>
        <v>-5.7479366467290021</v>
      </c>
      <c r="BF3" s="40">
        <f t="shared" ref="BF3:BF66" si="11">AX3+$BJ$4</f>
        <v>-2.6021985071021838</v>
      </c>
      <c r="BG3">
        <f t="shared" ref="BG3:BG66" si="12">BC3+$BJ$4</f>
        <v>-2.6021985071021838</v>
      </c>
    </row>
    <row r="4" spans="1:68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7" t="s">
        <v>75</v>
      </c>
      <c r="U4" s="10">
        <f ca="1">U3*B75</f>
        <v>1.2942223293066491E-9</v>
      </c>
      <c r="V4" s="17" t="s">
        <v>68</v>
      </c>
      <c r="W4" s="31">
        <f ca="1">U4-U10</f>
        <v>1.2942223293066491E-9</v>
      </c>
      <c r="X4" cm="1">
        <f t="array" ref="X4">MAX(ABS(E3:F11))+10</f>
        <v>34</v>
      </c>
      <c r="Y4">
        <f>X4</f>
        <v>34</v>
      </c>
      <c r="AA4" t="s">
        <v>8</v>
      </c>
      <c r="AB4" t="s">
        <v>9</v>
      </c>
      <c r="AS4">
        <v>-3.1066860685499069</v>
      </c>
      <c r="AT4">
        <v>-286.37954280081669</v>
      </c>
      <c r="AU4">
        <v>-172.2428633196713</v>
      </c>
      <c r="AV4">
        <f t="shared" si="1"/>
        <v>-2.6001079478426039</v>
      </c>
      <c r="AW4">
        <f t="shared" si="2"/>
        <v>0.50657812070730301</v>
      </c>
      <c r="AX4" s="40">
        <f t="shared" si="3"/>
        <v>-5.741700601432397</v>
      </c>
      <c r="AY4">
        <f t="shared" si="4"/>
        <v>5.741700601432397</v>
      </c>
      <c r="AZ4">
        <f t="shared" si="5"/>
        <v>3.1764992386296793</v>
      </c>
      <c r="BA4">
        <f t="shared" si="6"/>
        <v>-2.6001079478426039</v>
      </c>
      <c r="BB4">
        <f t="shared" si="7"/>
        <v>0.50657812070730301</v>
      </c>
      <c r="BC4">
        <f t="shared" si="8"/>
        <v>-5.741700601432397</v>
      </c>
      <c r="BD4">
        <f t="shared" si="9"/>
        <v>5.741700601432397</v>
      </c>
      <c r="BE4" s="40">
        <f t="shared" si="10"/>
        <v>-5.750027205988582</v>
      </c>
      <c r="BF4" s="40">
        <f t="shared" si="11"/>
        <v>-2.6001079478426039</v>
      </c>
      <c r="BG4">
        <f t="shared" si="12"/>
        <v>-2.6001079478426039</v>
      </c>
      <c r="BJ4">
        <v>3.1415926535897931</v>
      </c>
      <c r="BK4">
        <v>4.7123889803846897</v>
      </c>
      <c r="BL4">
        <v>1.5707963267948966</v>
      </c>
      <c r="BM4">
        <v>3.1415926535897931</v>
      </c>
      <c r="BN4">
        <v>-2.0610301362249634</v>
      </c>
      <c r="BO4">
        <v>1.7455622608649108</v>
      </c>
      <c r="BP4">
        <v>-2.6042712501206964</v>
      </c>
    </row>
    <row r="5" spans="1:68" x14ac:dyDescent="0.25">
      <c r="A5" s="8" t="s">
        <v>5</v>
      </c>
      <c r="B5" s="46">
        <v>12</v>
      </c>
      <c r="C5" t="s">
        <v>4</v>
      </c>
      <c r="E5" s="5">
        <f>E4</f>
        <v>12</v>
      </c>
      <c r="F5">
        <f>(B8-B9)</f>
        <v>12</v>
      </c>
      <c r="G5">
        <f t="shared" ref="G5:G11" si="13">((E4*F5)-(E5*F4))*0.5</f>
        <v>72</v>
      </c>
      <c r="T5" s="27" t="s">
        <v>77</v>
      </c>
      <c r="U5" s="10">
        <f ca="1">U3*B79*(1/12)</f>
        <v>-224.54168933391747</v>
      </c>
      <c r="V5" s="17" t="s">
        <v>70</v>
      </c>
      <c r="W5" s="32"/>
      <c r="X5">
        <f>X4</f>
        <v>34</v>
      </c>
      <c r="Y5">
        <f>X5</f>
        <v>34</v>
      </c>
      <c r="AA5">
        <v>0</v>
      </c>
      <c r="AB5">
        <v>0</v>
      </c>
      <c r="AS5">
        <v>-3.0892327760299638</v>
      </c>
      <c r="AT5">
        <v>-286.34449551094747</v>
      </c>
      <c r="AU5">
        <v>-173.04551706909155</v>
      </c>
      <c r="AV5">
        <f t="shared" si="1"/>
        <v>-2.5979981017613349</v>
      </c>
      <c r="AW5">
        <f t="shared" si="2"/>
        <v>0.49123467426862888</v>
      </c>
      <c r="AX5" s="40">
        <f t="shared" si="3"/>
        <v>-5.7395907553511281</v>
      </c>
      <c r="AY5">
        <f t="shared" si="4"/>
        <v>5.7395907553511281</v>
      </c>
      <c r="AZ5">
        <f t="shared" si="5"/>
        <v>3.1939525311496224</v>
      </c>
      <c r="BA5">
        <f t="shared" si="6"/>
        <v>-2.5979981017613349</v>
      </c>
      <c r="BB5">
        <f t="shared" si="7"/>
        <v>0.49123467426862888</v>
      </c>
      <c r="BC5">
        <f t="shared" si="8"/>
        <v>-5.7395907553511281</v>
      </c>
      <c r="BD5">
        <f t="shared" si="9"/>
        <v>5.7395907553511281</v>
      </c>
      <c r="BE5" s="40">
        <f t="shared" si="10"/>
        <v>-5.7521370520698509</v>
      </c>
      <c r="BF5" s="40">
        <f t="shared" si="11"/>
        <v>-2.5979981017613349</v>
      </c>
      <c r="BG5">
        <f t="shared" si="12"/>
        <v>-2.5979981017613349</v>
      </c>
      <c r="BK5">
        <v>3.1415926535897931</v>
      </c>
      <c r="BL5">
        <v>1.5707963267948966</v>
      </c>
      <c r="BM5">
        <v>2.3561944901923448</v>
      </c>
      <c r="BN5">
        <v>-2.6042712501206964</v>
      </c>
      <c r="BO5">
        <v>1.7455622608649108</v>
      </c>
      <c r="BP5">
        <v>1.9429348835818321</v>
      </c>
    </row>
    <row r="6" spans="1:68" x14ac:dyDescent="0.25">
      <c r="A6" s="8" t="s">
        <v>92</v>
      </c>
      <c r="B6" s="46">
        <v>24</v>
      </c>
      <c r="C6" t="s">
        <v>4</v>
      </c>
      <c r="E6" s="5">
        <f>B7+B5</f>
        <v>12</v>
      </c>
      <c r="F6">
        <f>F5</f>
        <v>12</v>
      </c>
      <c r="G6">
        <f t="shared" si="13"/>
        <v>0</v>
      </c>
      <c r="T6" s="27" t="s">
        <v>76</v>
      </c>
      <c r="U6" s="10">
        <f ca="1">U3*B80*(1/12)</f>
        <v>1.81556961251772E-6</v>
      </c>
      <c r="V6" s="17" t="s">
        <v>70</v>
      </c>
      <c r="W6" s="31">
        <f t="shared" ref="W6" ca="1" si="14">U6</f>
        <v>1.81556961251772E-6</v>
      </c>
      <c r="X6">
        <f>IF(B6=0,0,-1*X5)</f>
        <v>-34</v>
      </c>
      <c r="Y6">
        <f>IF(B6=0,0,Y5)</f>
        <v>34</v>
      </c>
      <c r="AA6">
        <f>U14</f>
        <v>100</v>
      </c>
      <c r="AB6">
        <f>U10</f>
        <v>0</v>
      </c>
      <c r="AS6">
        <v>-3.0717794835100207</v>
      </c>
      <c r="AT6">
        <v>-286.29530943724137</v>
      </c>
      <c r="AU6">
        <v>-173.84964066820709</v>
      </c>
      <c r="AV6">
        <f t="shared" si="1"/>
        <v>-2.5958674479107793</v>
      </c>
      <c r="AW6">
        <f t="shared" si="2"/>
        <v>0.47591203559924145</v>
      </c>
      <c r="AX6" s="40">
        <f t="shared" si="3"/>
        <v>-5.737460101500572</v>
      </c>
      <c r="AY6">
        <f t="shared" si="4"/>
        <v>5.737460101500572</v>
      </c>
      <c r="AZ6">
        <f t="shared" si="5"/>
        <v>3.2114058236695655</v>
      </c>
      <c r="BA6">
        <f t="shared" si="6"/>
        <v>-2.5958674479107793</v>
      </c>
      <c r="BB6">
        <f t="shared" si="7"/>
        <v>0.47591203559924145</v>
      </c>
      <c r="BC6">
        <f t="shared" si="8"/>
        <v>-5.737460101500572</v>
      </c>
      <c r="BD6">
        <f t="shared" si="9"/>
        <v>5.737460101500572</v>
      </c>
      <c r="BE6" s="40">
        <f t="shared" si="10"/>
        <v>-5.754267705920407</v>
      </c>
      <c r="BF6" s="40">
        <f t="shared" si="11"/>
        <v>-2.5958674479107788</v>
      </c>
      <c r="BG6">
        <f t="shared" si="12"/>
        <v>-2.5958674479107788</v>
      </c>
      <c r="BK6">
        <v>3.1415926535897931</v>
      </c>
      <c r="BL6">
        <v>2.3561944901923448</v>
      </c>
      <c r="BM6">
        <v>2.748893571891069</v>
      </c>
      <c r="BN6">
        <v>-2.6042712501206964</v>
      </c>
      <c r="BO6">
        <v>1.9429348835818321</v>
      </c>
      <c r="BP6">
        <v>-2.9523395575879734</v>
      </c>
    </row>
    <row r="7" spans="1:68" ht="15.75" thickBot="1" x14ac:dyDescent="0.3">
      <c r="A7" s="8" t="s">
        <v>91</v>
      </c>
      <c r="B7" s="46">
        <v>0</v>
      </c>
      <c r="C7" t="s">
        <v>4</v>
      </c>
      <c r="E7" s="5">
        <f>E6</f>
        <v>12</v>
      </c>
      <c r="F7">
        <f>B8</f>
        <v>24</v>
      </c>
      <c r="G7">
        <f t="shared" si="13"/>
        <v>72</v>
      </c>
      <c r="T7" s="28" t="s">
        <v>96</v>
      </c>
      <c r="U7" s="29">
        <f ca="1">IF(AND(U5=0,U6=0),0,ATAN2(U5,U6))</f>
        <v>3.141592645504125</v>
      </c>
      <c r="V7" s="18" t="s">
        <v>97</v>
      </c>
      <c r="W7" s="33">
        <f ca="1">U7-U13</f>
        <v>-8.0856681350383042E-9</v>
      </c>
      <c r="AA7">
        <f ca="1">U8</f>
        <v>224.54168933391747</v>
      </c>
      <c r="AB7" s="9">
        <f ca="1">U4</f>
        <v>1.2942223293066491E-9</v>
      </c>
      <c r="AS7">
        <v>-3.0543261909900776</v>
      </c>
      <c r="AT7">
        <v>-286.23186399539321</v>
      </c>
      <c r="AU7">
        <v>-174.65572965583991</v>
      </c>
      <c r="AV7">
        <f t="shared" si="1"/>
        <v>-2.5937144104741812</v>
      </c>
      <c r="AW7">
        <f t="shared" si="2"/>
        <v>0.46061178051589646</v>
      </c>
      <c r="AX7" s="40">
        <f t="shared" si="3"/>
        <v>-5.7353070640639743</v>
      </c>
      <c r="AY7">
        <f t="shared" si="4"/>
        <v>5.7353070640639743</v>
      </c>
      <c r="AZ7">
        <f t="shared" si="5"/>
        <v>3.2288591161895086</v>
      </c>
      <c r="BA7">
        <f t="shared" si="6"/>
        <v>-2.5937144104741812</v>
      </c>
      <c r="BB7">
        <f t="shared" si="7"/>
        <v>0.46061178051589646</v>
      </c>
      <c r="BC7">
        <f t="shared" si="8"/>
        <v>-5.7353070640639743</v>
      </c>
      <c r="BD7">
        <f t="shared" si="9"/>
        <v>5.7353070640639743</v>
      </c>
      <c r="BE7" s="40">
        <f t="shared" si="10"/>
        <v>-5.7564207433570047</v>
      </c>
      <c r="BF7" s="40">
        <f t="shared" si="11"/>
        <v>-2.5937144104741812</v>
      </c>
      <c r="BG7">
        <f t="shared" si="12"/>
        <v>-2.5937144104741812</v>
      </c>
      <c r="BK7">
        <v>2.748893571891069</v>
      </c>
      <c r="BL7">
        <v>2.3561944901923448</v>
      </c>
      <c r="BM7">
        <v>2.5525440310417071</v>
      </c>
      <c r="BN7">
        <v>-2.9523395575879734</v>
      </c>
      <c r="BO7">
        <v>1.9429348835818321</v>
      </c>
      <c r="BP7">
        <v>2.201725144938675</v>
      </c>
    </row>
    <row r="8" spans="1:68" ht="15.75" thickBot="1" x14ac:dyDescent="0.3">
      <c r="A8" s="8" t="s">
        <v>6</v>
      </c>
      <c r="B8" s="7">
        <v>24</v>
      </c>
      <c r="C8" t="s">
        <v>4</v>
      </c>
      <c r="E8" s="5">
        <f>E7-(B7+B6+B5)</f>
        <v>-24</v>
      </c>
      <c r="F8">
        <f>F7</f>
        <v>24</v>
      </c>
      <c r="G8">
        <f t="shared" si="13"/>
        <v>432</v>
      </c>
      <c r="T8" s="37" t="s">
        <v>109</v>
      </c>
      <c r="U8" s="6">
        <f ca="1">SQRT(POWER(U5,2)+POWER(U6,2))</f>
        <v>224.54168933391747</v>
      </c>
      <c r="V8" s="42" t="s">
        <v>70</v>
      </c>
      <c r="AS8">
        <v>-3.0368728984701345</v>
      </c>
      <c r="AT8">
        <v>-286.15400304826238</v>
      </c>
      <c r="AU8">
        <v>-175.46428439869447</v>
      </c>
      <c r="AV8">
        <f t="shared" si="1"/>
        <v>-2.5915373537345321</v>
      </c>
      <c r="AW8">
        <f t="shared" si="2"/>
        <v>0.44533554473560244</v>
      </c>
      <c r="AX8" s="40">
        <f t="shared" si="3"/>
        <v>-5.7331300073243252</v>
      </c>
      <c r="AY8">
        <f t="shared" si="4"/>
        <v>5.7331300073243252</v>
      </c>
      <c r="AZ8">
        <f t="shared" si="5"/>
        <v>3.2463124087094517</v>
      </c>
      <c r="BA8">
        <f t="shared" si="6"/>
        <v>-2.5915373537345321</v>
      </c>
      <c r="BB8">
        <f t="shared" si="7"/>
        <v>0.44533554473560244</v>
      </c>
      <c r="BC8">
        <f t="shared" si="8"/>
        <v>-5.7331300073243252</v>
      </c>
      <c r="BD8">
        <f t="shared" si="9"/>
        <v>5.7331300073243252</v>
      </c>
      <c r="BE8" s="40">
        <f t="shared" si="10"/>
        <v>-5.7585978000966538</v>
      </c>
      <c r="BF8" s="40">
        <f t="shared" si="11"/>
        <v>-2.5915373537345321</v>
      </c>
      <c r="BG8">
        <f t="shared" si="12"/>
        <v>-2.5915373537345321</v>
      </c>
      <c r="BK8">
        <v>2.748893571891069</v>
      </c>
      <c r="BL8">
        <v>2.5525440310417071</v>
      </c>
      <c r="BM8">
        <v>2.6507188014663878</v>
      </c>
      <c r="BN8">
        <v>-2.9523395575879734</v>
      </c>
      <c r="BO8">
        <v>2.201725144938675</v>
      </c>
      <c r="BP8">
        <v>2.7862877841552378</v>
      </c>
    </row>
    <row r="9" spans="1:68" x14ac:dyDescent="0.25">
      <c r="A9" s="8" t="s">
        <v>7</v>
      </c>
      <c r="B9" s="7">
        <v>12</v>
      </c>
      <c r="C9" t="s">
        <v>4</v>
      </c>
      <c r="E9" s="5">
        <f>E8</f>
        <v>-24</v>
      </c>
      <c r="F9">
        <f>F6</f>
        <v>12</v>
      </c>
      <c r="G9">
        <f t="shared" si="13"/>
        <v>144</v>
      </c>
      <c r="T9" s="35" t="s">
        <v>98</v>
      </c>
      <c r="U9" s="36"/>
      <c r="V9" s="16"/>
      <c r="AA9" s="9">
        <f ca="1">U5-U11</f>
        <v>-124.54168933391747</v>
      </c>
      <c r="AB9" s="9">
        <f ca="1">U6-U12</f>
        <v>1.81556961251772E-6</v>
      </c>
      <c r="AC9" s="9">
        <f ca="1">AA9+AB9</f>
        <v>-124.54168751834786</v>
      </c>
      <c r="AS9">
        <v>-3.0194196059501914</v>
      </c>
      <c r="AT9">
        <v>-286.06153410043379</v>
      </c>
      <c r="AU9">
        <v>-176.27581134544329</v>
      </c>
      <c r="AV9">
        <f t="shared" si="1"/>
        <v>-2.5893345768066331</v>
      </c>
      <c r="AW9">
        <f t="shared" si="2"/>
        <v>0.43008502914355828</v>
      </c>
      <c r="AX9" s="40">
        <f t="shared" si="3"/>
        <v>-5.7309272303964267</v>
      </c>
      <c r="AY9">
        <f t="shared" si="4"/>
        <v>5.7309272303964267</v>
      </c>
      <c r="AZ9">
        <f t="shared" si="5"/>
        <v>3.2637657012293948</v>
      </c>
      <c r="BA9">
        <f t="shared" si="6"/>
        <v>-2.5893345768066331</v>
      </c>
      <c r="BB9">
        <f t="shared" si="7"/>
        <v>0.43008502914355828</v>
      </c>
      <c r="BC9">
        <f t="shared" si="8"/>
        <v>-5.7309272303964267</v>
      </c>
      <c r="BD9">
        <f t="shared" si="9"/>
        <v>5.7309272303964267</v>
      </c>
      <c r="BE9" s="40">
        <f t="shared" si="10"/>
        <v>-5.7608005770245523</v>
      </c>
      <c r="BF9" s="40">
        <f t="shared" si="11"/>
        <v>-2.5893345768066336</v>
      </c>
      <c r="BG9">
        <f t="shared" si="12"/>
        <v>-2.5893345768066336</v>
      </c>
      <c r="BK9">
        <v>2.748893571891069</v>
      </c>
      <c r="BL9">
        <v>2.6507188014663878</v>
      </c>
      <c r="BM9">
        <v>2.6998061866787282</v>
      </c>
      <c r="BN9">
        <v>-2.9523395575879734</v>
      </c>
      <c r="BO9">
        <v>2.7862877841552378</v>
      </c>
      <c r="BP9">
        <v>3.0732348036196839</v>
      </c>
    </row>
    <row r="10" spans="1:68" x14ac:dyDescent="0.25">
      <c r="E10">
        <v>0</v>
      </c>
      <c r="F10">
        <f>F9</f>
        <v>12</v>
      </c>
      <c r="G10">
        <f t="shared" si="13"/>
        <v>-144</v>
      </c>
      <c r="T10" s="37" t="s">
        <v>99</v>
      </c>
      <c r="U10" s="38">
        <v>0</v>
      </c>
      <c r="V10" s="17" t="s">
        <v>68</v>
      </c>
      <c r="W10" t="str">
        <f>"+ Compression"</f>
        <v>+ Compression</v>
      </c>
      <c r="AS10">
        <v>-3.0019663134302483</v>
      </c>
      <c r="AT10">
        <v>-285.95422729518953</v>
      </c>
      <c r="AU10">
        <v>-177.09082431283969</v>
      </c>
      <c r="AV10">
        <f t="shared" si="1"/>
        <v>-2.5871043079815621</v>
      </c>
      <c r="AW10">
        <f t="shared" si="2"/>
        <v>0.41486200544868623</v>
      </c>
      <c r="AX10" s="40">
        <f t="shared" si="3"/>
        <v>-5.7286969615713552</v>
      </c>
      <c r="AY10">
        <f t="shared" si="4"/>
        <v>5.7286969615713552</v>
      </c>
      <c r="AZ10">
        <f t="shared" si="5"/>
        <v>3.2812189937493379</v>
      </c>
      <c r="BA10">
        <f t="shared" si="6"/>
        <v>-2.5871043079815621</v>
      </c>
      <c r="BB10">
        <f t="shared" si="7"/>
        <v>0.41486200544868623</v>
      </c>
      <c r="BC10">
        <f t="shared" si="8"/>
        <v>-5.7286969615713552</v>
      </c>
      <c r="BD10">
        <f t="shared" si="9"/>
        <v>5.7286969615713552</v>
      </c>
      <c r="BE10" s="40">
        <f t="shared" si="10"/>
        <v>-5.7630308458496238</v>
      </c>
      <c r="BF10" s="40">
        <f t="shared" si="11"/>
        <v>-2.5871043079815621</v>
      </c>
      <c r="BG10">
        <f t="shared" si="12"/>
        <v>-2.5871043079815621</v>
      </c>
      <c r="BK10">
        <v>2.748893571891069</v>
      </c>
      <c r="BL10">
        <v>2.6998061866787282</v>
      </c>
      <c r="BM10">
        <v>2.7243498792848984</v>
      </c>
      <c r="BN10">
        <v>-2.9523395575879734</v>
      </c>
      <c r="BO10">
        <v>3.0732348036196839</v>
      </c>
      <c r="BP10">
        <v>-3.0747293774524662</v>
      </c>
    </row>
    <row r="11" spans="1:68" x14ac:dyDescent="0.25">
      <c r="A11" t="s">
        <v>10</v>
      </c>
      <c r="E11">
        <v>0</v>
      </c>
      <c r="F11">
        <v>0</v>
      </c>
      <c r="G11">
        <f t="shared" si="13"/>
        <v>0</v>
      </c>
      <c r="T11" s="37" t="s">
        <v>100</v>
      </c>
      <c r="U11" s="38">
        <v>-100</v>
      </c>
      <c r="V11" s="17" t="s">
        <v>70</v>
      </c>
      <c r="W11" t="str">
        <f>"+ Puts Top of Section in Compression"</f>
        <v>+ Puts Top of Section in Compression</v>
      </c>
      <c r="AS11">
        <v>-2.9845130209103052</v>
      </c>
      <c r="AT11">
        <v>-285.83181417806372</v>
      </c>
      <c r="AU11">
        <v>-177.90984581089612</v>
      </c>
      <c r="AV11">
        <f t="shared" si="1"/>
        <v>-2.5848446986001612</v>
      </c>
      <c r="AW11">
        <f t="shared" si="2"/>
        <v>0.39966832231014404</v>
      </c>
      <c r="AX11" s="40">
        <f t="shared" si="3"/>
        <v>-5.7264373521899543</v>
      </c>
      <c r="AY11">
        <f t="shared" si="4"/>
        <v>5.7264373521899543</v>
      </c>
      <c r="AZ11">
        <f t="shared" si="5"/>
        <v>3.298672286269281</v>
      </c>
      <c r="BA11">
        <f t="shared" si="6"/>
        <v>-2.5848446986001612</v>
      </c>
      <c r="BB11">
        <f t="shared" si="7"/>
        <v>0.39966832231014404</v>
      </c>
      <c r="BC11">
        <f t="shared" si="8"/>
        <v>-5.7264373521899543</v>
      </c>
      <c r="BD11">
        <f t="shared" si="9"/>
        <v>5.7264373521899543</v>
      </c>
      <c r="BE11" s="40">
        <f t="shared" si="10"/>
        <v>-5.7652904552310247</v>
      </c>
      <c r="BF11" s="40">
        <f t="shared" si="11"/>
        <v>-2.5848446986001612</v>
      </c>
      <c r="BG11">
        <f t="shared" si="12"/>
        <v>-2.5848446986001612</v>
      </c>
      <c r="BK11">
        <v>2.7243498792848984</v>
      </c>
      <c r="BL11">
        <v>2.6998061866787282</v>
      </c>
      <c r="BM11">
        <v>2.7120780329818133</v>
      </c>
      <c r="BN11">
        <v>-3.0747293774524662</v>
      </c>
      <c r="BO11">
        <v>3.0732348036196839</v>
      </c>
      <c r="BP11">
        <v>-3.1411202803230029</v>
      </c>
    </row>
    <row r="12" spans="1:68" x14ac:dyDescent="0.25">
      <c r="A12" s="8" t="s">
        <v>11</v>
      </c>
      <c r="B12" s="2">
        <v>60</v>
      </c>
      <c r="C12" t="s">
        <v>1</v>
      </c>
      <c r="G12">
        <f>SUM(G4:G11)</f>
        <v>576</v>
      </c>
      <c r="T12" s="37" t="s">
        <v>101</v>
      </c>
      <c r="U12" s="38">
        <v>0</v>
      </c>
      <c r="V12" s="17" t="s">
        <v>70</v>
      </c>
      <c r="W12" t="str">
        <f>"+ Puts Left of Section in Compression"</f>
        <v>+ Puts Left of Section in Compression</v>
      </c>
      <c r="AS12">
        <v>-2.9670597283903621</v>
      </c>
      <c r="AT12">
        <v>-285.69398627622962</v>
      </c>
      <c r="AU12">
        <v>-178.73340841451844</v>
      </c>
      <c r="AV12">
        <f t="shared" si="1"/>
        <v>-2.5825538165036948</v>
      </c>
      <c r="AW12">
        <f t="shared" si="2"/>
        <v>0.38450591188666738</v>
      </c>
      <c r="AX12" s="40">
        <f t="shared" si="3"/>
        <v>-5.7241464700934879</v>
      </c>
      <c r="AY12">
        <f t="shared" si="4"/>
        <v>5.7241464700934879</v>
      </c>
      <c r="AZ12">
        <f t="shared" si="5"/>
        <v>3.3161255787892241</v>
      </c>
      <c r="BA12">
        <f t="shared" si="6"/>
        <v>-2.5825538165036948</v>
      </c>
      <c r="BB12">
        <f t="shared" si="7"/>
        <v>0.38450591188666738</v>
      </c>
      <c r="BC12">
        <f t="shared" si="8"/>
        <v>-5.7241464700934879</v>
      </c>
      <c r="BD12">
        <f t="shared" si="9"/>
        <v>5.7241464700934879</v>
      </c>
      <c r="BE12" s="40">
        <f t="shared" si="10"/>
        <v>-5.7675813373274911</v>
      </c>
      <c r="BF12" s="40">
        <f t="shared" si="11"/>
        <v>-2.5825538165036948</v>
      </c>
      <c r="BG12">
        <f t="shared" si="12"/>
        <v>-2.5825538165036948</v>
      </c>
      <c r="BK12">
        <v>2.7120780329818133</v>
      </c>
      <c r="BL12">
        <v>2.6998061866787282</v>
      </c>
      <c r="BM12">
        <v>2.7059421098302705</v>
      </c>
      <c r="BN12">
        <v>-3.1411202803230029</v>
      </c>
      <c r="BO12">
        <v>3.0732348036196839</v>
      </c>
      <c r="BP12">
        <v>3.1079206520664049</v>
      </c>
    </row>
    <row r="13" spans="1:68" ht="15.75" thickBot="1" x14ac:dyDescent="0.3">
      <c r="A13" s="8" t="s">
        <v>12</v>
      </c>
      <c r="B13" s="3">
        <v>29000</v>
      </c>
      <c r="C13" t="s">
        <v>1</v>
      </c>
      <c r="T13" s="28" t="s">
        <v>96</v>
      </c>
      <c r="U13" s="29">
        <f>IF(AND(U11=0,U12=0),0,ATAN2(U11,U12))</f>
        <v>3.1415926535897931</v>
      </c>
      <c r="V13" s="18" t="s">
        <v>97</v>
      </c>
      <c r="AS13">
        <v>-2.949606435870419</v>
      </c>
      <c r="AT13">
        <v>-285.54039339027815</v>
      </c>
      <c r="AU13">
        <v>-179.56205618942124</v>
      </c>
      <c r="AV13">
        <f t="shared" si="1"/>
        <v>-2.580229638869096</v>
      </c>
      <c r="AW13">
        <f t="shared" si="2"/>
        <v>0.36937679700132309</v>
      </c>
      <c r="AX13" s="40">
        <f t="shared" si="3"/>
        <v>-5.7218222924588886</v>
      </c>
      <c r="AY13">
        <f t="shared" si="4"/>
        <v>5.7218222924588886</v>
      </c>
      <c r="AZ13">
        <f t="shared" si="5"/>
        <v>3.3335788713091672</v>
      </c>
      <c r="BA13">
        <f t="shared" si="6"/>
        <v>-2.580229638869096</v>
      </c>
      <c r="BB13">
        <f t="shared" si="7"/>
        <v>0.36937679700132309</v>
      </c>
      <c r="BC13">
        <f t="shared" si="8"/>
        <v>-5.7218222924588886</v>
      </c>
      <c r="BD13">
        <f t="shared" si="9"/>
        <v>5.7218222924588886</v>
      </c>
      <c r="BE13" s="40">
        <f t="shared" si="10"/>
        <v>-5.7699055149620904</v>
      </c>
      <c r="BF13" s="40">
        <f t="shared" si="11"/>
        <v>-2.5802296388690955</v>
      </c>
      <c r="BG13">
        <f t="shared" si="12"/>
        <v>-2.5802296388690955</v>
      </c>
      <c r="BK13">
        <v>2.7120780329818133</v>
      </c>
      <c r="BL13">
        <v>2.7059421098302705</v>
      </c>
      <c r="BM13">
        <v>2.7090100714060421</v>
      </c>
      <c r="BN13">
        <v>-3.1411202803230029</v>
      </c>
      <c r="BO13">
        <v>3.1079206520664049</v>
      </c>
      <c r="BP13">
        <v>3.1250650350272964</v>
      </c>
    </row>
    <row r="14" spans="1:68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3" t="s">
        <v>109</v>
      </c>
      <c r="U14" s="44">
        <f>SQRT(POWER(U11,2)+POWER(U12,2))</f>
        <v>100</v>
      </c>
      <c r="V14" s="45" t="s">
        <v>70</v>
      </c>
      <c r="AS14">
        <v>-2.9321531433504759</v>
      </c>
      <c r="AT14">
        <v>-285.37064171715241</v>
      </c>
      <c r="AU14">
        <v>-180.39634618065395</v>
      </c>
      <c r="AV14">
        <f t="shared" si="1"/>
        <v>-2.5778700445825757</v>
      </c>
      <c r="AW14">
        <f t="shared" si="2"/>
        <v>0.35428309876790021</v>
      </c>
      <c r="AX14" s="40">
        <f t="shared" si="3"/>
        <v>-5.7194626981723689</v>
      </c>
      <c r="AY14">
        <f t="shared" si="4"/>
        <v>5.7194626981723689</v>
      </c>
      <c r="AZ14">
        <f t="shared" si="5"/>
        <v>3.3510321638291103</v>
      </c>
      <c r="BA14">
        <f t="shared" si="6"/>
        <v>-2.5778700445825757</v>
      </c>
      <c r="BB14">
        <f t="shared" si="7"/>
        <v>0.35428309876790021</v>
      </c>
      <c r="BC14">
        <f t="shared" si="8"/>
        <v>-5.7194626981723689</v>
      </c>
      <c r="BD14">
        <f t="shared" si="9"/>
        <v>5.7194626981723689</v>
      </c>
      <c r="BE14" s="40">
        <f t="shared" si="10"/>
        <v>-5.7722651092486101</v>
      </c>
      <c r="BF14" s="40">
        <f t="shared" si="11"/>
        <v>-2.5778700445825757</v>
      </c>
      <c r="BG14">
        <f t="shared" si="12"/>
        <v>-2.5778700445825757</v>
      </c>
      <c r="BK14">
        <v>2.7120780329818133</v>
      </c>
      <c r="BL14">
        <v>2.7090100714060421</v>
      </c>
      <c r="BM14">
        <v>2.7105440521939279</v>
      </c>
      <c r="BN14">
        <v>-3.1411202803230029</v>
      </c>
      <c r="BO14">
        <v>3.1250650350272964</v>
      </c>
      <c r="BP14">
        <v>3.1335836232038736</v>
      </c>
    </row>
    <row r="15" spans="1:68" x14ac:dyDescent="0.25">
      <c r="A15">
        <v>1</v>
      </c>
      <c r="B15" s="20">
        <v>8</v>
      </c>
      <c r="C15" s="6">
        <f ca="1">OFFSET($G$14,MATCH(B15,$G$14:$G$29,0)-1,2)</f>
        <v>0.79</v>
      </c>
      <c r="D15" s="2">
        <f>-3+12</f>
        <v>9</v>
      </c>
      <c r="E15" s="2">
        <v>22</v>
      </c>
      <c r="G15" s="1">
        <v>3</v>
      </c>
      <c r="H15" s="6">
        <v>0.375</v>
      </c>
      <c r="I15" s="6">
        <v>0.11</v>
      </c>
      <c r="K15" s="1">
        <f t="shared" ref="K15:K24" si="15">IF($B15=0,NA(),D15)</f>
        <v>9</v>
      </c>
      <c r="L15" s="1">
        <f t="shared" ref="L15:L24" si="16">IF($B15=0,NA(),E15)</f>
        <v>22</v>
      </c>
      <c r="T15" s="39" t="s">
        <v>103</v>
      </c>
      <c r="U15" s="6">
        <f>SQRT(POWER(U12,2)+POWER(U11,2)+POWER(U10,2))</f>
        <v>100</v>
      </c>
      <c r="AS15">
        <v>-2.9146998508305328</v>
      </c>
      <c r="AT15">
        <v>-285.18429161980595</v>
      </c>
      <c r="AU15">
        <v>-181.23684997266324</v>
      </c>
      <c r="AV15">
        <f t="shared" si="1"/>
        <v>-2.5754728058262648</v>
      </c>
      <c r="AW15">
        <f t="shared" si="2"/>
        <v>0.33922704500426804</v>
      </c>
      <c r="AX15" s="40">
        <f t="shared" si="3"/>
        <v>-5.7170654594160579</v>
      </c>
      <c r="AY15">
        <f t="shared" si="4"/>
        <v>5.7170654594160579</v>
      </c>
      <c r="AZ15">
        <f t="shared" si="5"/>
        <v>3.3684854563490534</v>
      </c>
      <c r="BA15">
        <f t="shared" si="6"/>
        <v>-2.5754728058262648</v>
      </c>
      <c r="BB15">
        <f t="shared" si="7"/>
        <v>0.33922704500426804</v>
      </c>
      <c r="BC15">
        <f t="shared" si="8"/>
        <v>-5.7170654594160579</v>
      </c>
      <c r="BD15">
        <f t="shared" si="9"/>
        <v>5.7170654594160579</v>
      </c>
      <c r="BE15" s="40">
        <f t="shared" si="10"/>
        <v>-5.7746623480049211</v>
      </c>
      <c r="BF15" s="40">
        <f t="shared" si="11"/>
        <v>-2.5754728058262648</v>
      </c>
      <c r="BG15">
        <f t="shared" si="12"/>
        <v>-2.5754728058262648</v>
      </c>
      <c r="BK15">
        <v>2.7120780329818133</v>
      </c>
      <c r="BL15">
        <v>2.7105440521939279</v>
      </c>
      <c r="BM15">
        <v>2.7113110425878704</v>
      </c>
      <c r="BN15">
        <v>-3.1411202803230029</v>
      </c>
      <c r="BO15">
        <v>3.1335836232038736</v>
      </c>
      <c r="BP15">
        <v>3.1378290397066291</v>
      </c>
    </row>
    <row r="16" spans="1:68" x14ac:dyDescent="0.25">
      <c r="A16">
        <v>2</v>
      </c>
      <c r="B16" s="20">
        <v>8</v>
      </c>
      <c r="C16" s="6">
        <f t="shared" ref="C16:C24" ca="1" si="17">OFFSET($G$14,MATCH(B16,$G$14:$G$29,0)-1,2)</f>
        <v>0.79</v>
      </c>
      <c r="D16" s="2">
        <f>-13+12</f>
        <v>-1</v>
      </c>
      <c r="E16" s="2">
        <v>22</v>
      </c>
      <c r="G16" s="1">
        <v>4</v>
      </c>
      <c r="H16" s="6">
        <v>0.5</v>
      </c>
      <c r="I16" s="6">
        <v>0.2</v>
      </c>
      <c r="K16" s="1">
        <f t="shared" si="15"/>
        <v>-1</v>
      </c>
      <c r="L16" s="1">
        <f t="shared" si="16"/>
        <v>22</v>
      </c>
      <c r="T16" s="39" t="s">
        <v>104</v>
      </c>
      <c r="U16" s="41">
        <f>U10/U15</f>
        <v>0</v>
      </c>
      <c r="V16" s="41">
        <f>U11/U15</f>
        <v>-1</v>
      </c>
      <c r="W16" s="41">
        <f>U12/U15</f>
        <v>0</v>
      </c>
      <c r="X16" s="40"/>
      <c r="AS16">
        <v>-2.8972465583105897</v>
      </c>
      <c r="AT16">
        <v>-284.98085520954021</v>
      </c>
      <c r="AU16">
        <v>-182.08415533050191</v>
      </c>
      <c r="AV16">
        <f t="shared" si="1"/>
        <v>-2.5730355791012824</v>
      </c>
      <c r="AW16">
        <f t="shared" si="2"/>
        <v>0.3242109792093073</v>
      </c>
      <c r="AX16" s="40">
        <f t="shared" si="3"/>
        <v>-5.7146282326910756</v>
      </c>
      <c r="AY16">
        <f t="shared" si="4"/>
        <v>5.7146282326910756</v>
      </c>
      <c r="AZ16">
        <f t="shared" si="5"/>
        <v>3.3859387488689965</v>
      </c>
      <c r="BA16">
        <f t="shared" si="6"/>
        <v>-2.5730355791012824</v>
      </c>
      <c r="BB16">
        <f t="shared" si="7"/>
        <v>0.3242109792093073</v>
      </c>
      <c r="BC16">
        <f t="shared" si="8"/>
        <v>-5.7146282326910756</v>
      </c>
      <c r="BD16">
        <f t="shared" si="9"/>
        <v>5.7146282326910756</v>
      </c>
      <c r="BE16" s="40">
        <f t="shared" si="10"/>
        <v>-5.7770995747299034</v>
      </c>
      <c r="BF16" s="40">
        <f t="shared" si="11"/>
        <v>-2.5730355791012824</v>
      </c>
      <c r="BG16">
        <f t="shared" si="12"/>
        <v>-2.5730355791012824</v>
      </c>
      <c r="BK16">
        <v>2.7120780329818133</v>
      </c>
      <c r="BL16">
        <v>2.7113110425878704</v>
      </c>
      <c r="BM16">
        <v>2.711694537784842</v>
      </c>
      <c r="BN16">
        <v>-3.1411202803230029</v>
      </c>
      <c r="BO16">
        <v>3.1378290397066291</v>
      </c>
      <c r="BP16">
        <v>3.1399482201998952</v>
      </c>
    </row>
    <row r="17" spans="1:68" x14ac:dyDescent="0.25">
      <c r="A17">
        <v>3</v>
      </c>
      <c r="B17" s="20">
        <v>8</v>
      </c>
      <c r="C17" s="6">
        <f t="shared" ca="1" si="17"/>
        <v>0.79</v>
      </c>
      <c r="D17" s="2">
        <f>-23+12</f>
        <v>-11</v>
      </c>
      <c r="E17" s="2">
        <v>22</v>
      </c>
      <c r="G17" s="1">
        <v>5</v>
      </c>
      <c r="H17" s="6">
        <v>0.625</v>
      </c>
      <c r="I17" s="6">
        <v>0.31</v>
      </c>
      <c r="K17" s="1">
        <f t="shared" si="15"/>
        <v>-11</v>
      </c>
      <c r="L17" s="1">
        <f t="shared" si="16"/>
        <v>22</v>
      </c>
      <c r="AS17">
        <v>-2.8797932657906467</v>
      </c>
      <c r="AT17">
        <v>-284.75979354273727</v>
      </c>
      <c r="AU17">
        <v>-182.93886793258838</v>
      </c>
      <c r="AV17">
        <f t="shared" si="1"/>
        <v>-2.570555895332292</v>
      </c>
      <c r="AW17">
        <f t="shared" si="2"/>
        <v>0.30923737045835464</v>
      </c>
      <c r="AX17" s="40">
        <f t="shared" si="3"/>
        <v>-5.7121485489220856</v>
      </c>
      <c r="AY17">
        <f t="shared" si="4"/>
        <v>5.7121485489220856</v>
      </c>
      <c r="AZ17">
        <f t="shared" si="5"/>
        <v>3.4033920413889396</v>
      </c>
      <c r="BA17">
        <f t="shared" si="6"/>
        <v>-2.570555895332292</v>
      </c>
      <c r="BB17">
        <f t="shared" si="7"/>
        <v>0.30923737045835464</v>
      </c>
      <c r="BC17">
        <f t="shared" si="8"/>
        <v>-5.7121485489220856</v>
      </c>
      <c r="BD17">
        <f t="shared" si="9"/>
        <v>5.7121485489220856</v>
      </c>
      <c r="BE17" s="40">
        <f t="shared" si="10"/>
        <v>-5.7795792584988934</v>
      </c>
      <c r="BF17" s="40">
        <f t="shared" si="11"/>
        <v>-2.5705558953322925</v>
      </c>
      <c r="BG17">
        <f t="shared" si="12"/>
        <v>-2.5705558953322925</v>
      </c>
      <c r="BK17">
        <v>2.7120780329818133</v>
      </c>
      <c r="BL17">
        <v>2.711694537784842</v>
      </c>
      <c r="BM17">
        <v>2.7118862853833274</v>
      </c>
      <c r="BN17">
        <v>-3.1411202803230029</v>
      </c>
      <c r="BO17">
        <v>3.1399482201998952</v>
      </c>
      <c r="BP17">
        <v>3.1410069212890361</v>
      </c>
    </row>
    <row r="18" spans="1:68" x14ac:dyDescent="0.25">
      <c r="A18">
        <v>4</v>
      </c>
      <c r="B18" s="20">
        <v>8</v>
      </c>
      <c r="C18" s="6">
        <f t="shared" ca="1" si="17"/>
        <v>0.79</v>
      </c>
      <c r="D18" s="2">
        <f>-33+12</f>
        <v>-21</v>
      </c>
      <c r="E18" s="2">
        <v>22</v>
      </c>
      <c r="G18" s="1">
        <v>6</v>
      </c>
      <c r="H18" s="6">
        <v>0.75</v>
      </c>
      <c r="I18" s="6">
        <v>0.44</v>
      </c>
      <c r="K18" s="1">
        <f t="shared" si="15"/>
        <v>-21</v>
      </c>
      <c r="L18" s="1">
        <f t="shared" si="16"/>
        <v>22</v>
      </c>
      <c r="T18" s="8" t="s">
        <v>105</v>
      </c>
      <c r="U18" s="6">
        <f ca="1">SQRT(POWER(U6,2)+POWER(U5,2)+POWER(U4,2))</f>
        <v>224.54168933391747</v>
      </c>
      <c r="AS18">
        <v>-2.8623399732707036</v>
      </c>
      <c r="AT18">
        <v>-284.52051348735341</v>
      </c>
      <c r="AU18">
        <v>-183.80161320632919</v>
      </c>
      <c r="AV18">
        <f t="shared" si="1"/>
        <v>-2.5680311490941028</v>
      </c>
      <c r="AW18">
        <f t="shared" si="2"/>
        <v>0.29430882417660076</v>
      </c>
      <c r="AX18" s="40">
        <f t="shared" si="3"/>
        <v>-5.7096238026838959</v>
      </c>
      <c r="AY18">
        <f t="shared" si="4"/>
        <v>5.7096238026838959</v>
      </c>
      <c r="AZ18">
        <f t="shared" si="5"/>
        <v>3.4208453339088827</v>
      </c>
      <c r="BA18">
        <f t="shared" si="6"/>
        <v>-2.5680311490941028</v>
      </c>
      <c r="BB18">
        <f t="shared" si="7"/>
        <v>0.29430882417660076</v>
      </c>
      <c r="BC18">
        <f t="shared" si="8"/>
        <v>-5.7096238026838959</v>
      </c>
      <c r="BD18">
        <f t="shared" si="9"/>
        <v>5.7096238026838959</v>
      </c>
      <c r="BE18" s="40">
        <f t="shared" si="10"/>
        <v>-5.7821040047370831</v>
      </c>
      <c r="BF18" s="40">
        <f t="shared" si="11"/>
        <v>-2.5680311490941028</v>
      </c>
      <c r="BG18">
        <f t="shared" si="12"/>
        <v>-2.5680311490941028</v>
      </c>
      <c r="BK18">
        <v>2.7120780329818133</v>
      </c>
      <c r="BL18">
        <v>2.7118862853833274</v>
      </c>
      <c r="BM18">
        <v>2.7119821591825701</v>
      </c>
      <c r="BN18">
        <v>-3.1411202803230029</v>
      </c>
      <c r="BO18">
        <v>3.1410069212890361</v>
      </c>
      <c r="BP18">
        <v>3.1415360486092774</v>
      </c>
    </row>
    <row r="19" spans="1:68" x14ac:dyDescent="0.25">
      <c r="A19">
        <v>5</v>
      </c>
      <c r="B19" s="20">
        <v>0</v>
      </c>
      <c r="C19" s="6">
        <f t="shared" ca="1" si="17"/>
        <v>0</v>
      </c>
      <c r="D19" s="2">
        <v>2</v>
      </c>
      <c r="E19" s="2">
        <v>2</v>
      </c>
      <c r="G19" s="1">
        <v>7</v>
      </c>
      <c r="H19" s="6">
        <v>0.875</v>
      </c>
      <c r="I19" s="6">
        <v>0.6</v>
      </c>
      <c r="K19" s="1" t="e">
        <f t="shared" si="15"/>
        <v>#N/A</v>
      </c>
      <c r="L19" s="1" t="e">
        <f t="shared" si="16"/>
        <v>#N/A</v>
      </c>
      <c r="T19" s="8" t="s">
        <v>106</v>
      </c>
      <c r="U19" s="41">
        <f ca="1">U4/U18</f>
        <v>5.763839815874914E-12</v>
      </c>
      <c r="V19" s="41">
        <f ca="1">U5/U18</f>
        <v>-1</v>
      </c>
      <c r="W19" s="41">
        <f ca="1">U6/U18</f>
        <v>8.0856682690125046E-9</v>
      </c>
      <c r="X19" s="40"/>
      <c r="AS19">
        <v>-2.8448866807507605</v>
      </c>
      <c r="AT19">
        <v>-284.26236423371745</v>
      </c>
      <c r="AU19">
        <v>-184.67303827895239</v>
      </c>
      <c r="AV19">
        <f t="shared" si="1"/>
        <v>-2.5654585868691808</v>
      </c>
      <c r="AW19">
        <f t="shared" si="2"/>
        <v>0.27942809388157963</v>
      </c>
      <c r="AX19" s="40">
        <f t="shared" si="3"/>
        <v>-5.7070512404589735</v>
      </c>
      <c r="AY19">
        <f t="shared" si="4"/>
        <v>5.7070512404589735</v>
      </c>
      <c r="AZ19">
        <f t="shared" si="5"/>
        <v>3.4382986264288258</v>
      </c>
      <c r="BA19">
        <f t="shared" si="6"/>
        <v>-2.5654585868691808</v>
      </c>
      <c r="BB19">
        <f t="shared" si="7"/>
        <v>0.27942809388157963</v>
      </c>
      <c r="BC19">
        <f t="shared" si="8"/>
        <v>-5.7070512404589735</v>
      </c>
      <c r="BD19">
        <f t="shared" si="9"/>
        <v>5.7070512404589735</v>
      </c>
      <c r="BE19" s="40">
        <f t="shared" si="10"/>
        <v>-5.7846765669620055</v>
      </c>
      <c r="BF19" s="40">
        <f t="shared" si="11"/>
        <v>-2.5654585868691804</v>
      </c>
      <c r="BG19">
        <f t="shared" si="12"/>
        <v>-2.5654585868691804</v>
      </c>
      <c r="BK19">
        <v>2.7120780329818133</v>
      </c>
      <c r="BL19">
        <v>2.7119821591825701</v>
      </c>
      <c r="BM19">
        <v>2.7120300960821915</v>
      </c>
      <c r="BN19">
        <v>-3.1411202803230029</v>
      </c>
      <c r="BO19">
        <v>3.1415360486092774</v>
      </c>
      <c r="BP19">
        <v>-3.1413847508030095</v>
      </c>
    </row>
    <row r="20" spans="1:68" x14ac:dyDescent="0.25">
      <c r="A20">
        <v>6</v>
      </c>
      <c r="B20" s="20">
        <v>0</v>
      </c>
      <c r="C20" s="6">
        <f t="shared" ca="1" si="17"/>
        <v>0</v>
      </c>
      <c r="D20" s="2">
        <v>6</v>
      </c>
      <c r="E20" s="2">
        <v>4</v>
      </c>
      <c r="G20" s="1">
        <v>8</v>
      </c>
      <c r="H20" s="6">
        <v>1</v>
      </c>
      <c r="I20" s="6">
        <v>0.79</v>
      </c>
      <c r="K20" s="1" t="e">
        <f t="shared" si="15"/>
        <v>#N/A</v>
      </c>
      <c r="L20" s="1" t="e">
        <f t="shared" si="16"/>
        <v>#N/A</v>
      </c>
      <c r="AS20">
        <v>-2.8274333882308174</v>
      </c>
      <c r="AT20">
        <v>-283.98463344151526</v>
      </c>
      <c r="AU20">
        <v>-185.55381405709028</v>
      </c>
      <c r="AV20">
        <f t="shared" si="1"/>
        <v>-2.5628352942674417</v>
      </c>
      <c r="AW20">
        <f t="shared" si="2"/>
        <v>0.26459809396337564</v>
      </c>
      <c r="AX20" s="40">
        <f t="shared" si="3"/>
        <v>-5.7044279478572353</v>
      </c>
      <c r="AY20">
        <f t="shared" si="4"/>
        <v>5.7044279478572353</v>
      </c>
      <c r="AZ20">
        <f t="shared" si="5"/>
        <v>3.4557519189487689</v>
      </c>
      <c r="BA20">
        <f t="shared" si="6"/>
        <v>-2.5628352942674417</v>
      </c>
      <c r="BB20">
        <f t="shared" si="7"/>
        <v>0.26459809396337564</v>
      </c>
      <c r="BC20">
        <f t="shared" si="8"/>
        <v>-5.7044279478572353</v>
      </c>
      <c r="BD20">
        <f t="shared" si="9"/>
        <v>5.7044279478572353</v>
      </c>
      <c r="BE20" s="40">
        <f t="shared" si="10"/>
        <v>-5.7872998595637437</v>
      </c>
      <c r="BF20" s="40">
        <f t="shared" si="11"/>
        <v>-2.5628352942674422</v>
      </c>
      <c r="BG20">
        <f t="shared" si="12"/>
        <v>-2.5628352942674422</v>
      </c>
      <c r="BK20">
        <v>2.7120300960821915</v>
      </c>
      <c r="BL20">
        <v>2.7119821591825701</v>
      </c>
      <c r="BM20">
        <v>2.7120061276323808</v>
      </c>
      <c r="BN20">
        <v>-3.1413847508030095</v>
      </c>
      <c r="BO20">
        <v>3.1415360486092774</v>
      </c>
      <c r="BP20">
        <v>-3.1415169999783359</v>
      </c>
    </row>
    <row r="21" spans="1:68" x14ac:dyDescent="0.25">
      <c r="A21">
        <v>7</v>
      </c>
      <c r="B21" s="20">
        <v>0</v>
      </c>
      <c r="C21" s="6">
        <f t="shared" ca="1" si="17"/>
        <v>0</v>
      </c>
      <c r="D21" s="2">
        <v>10</v>
      </c>
      <c r="E21" s="2">
        <v>2</v>
      </c>
      <c r="G21" s="1">
        <v>9</v>
      </c>
      <c r="H21" s="6">
        <v>1.1279999999999999</v>
      </c>
      <c r="I21" s="6">
        <v>1</v>
      </c>
      <c r="K21" s="1" t="e">
        <f t="shared" si="15"/>
        <v>#N/A</v>
      </c>
      <c r="L21" s="1" t="e">
        <f t="shared" si="16"/>
        <v>#N/A</v>
      </c>
      <c r="T21" s="8" t="s">
        <v>107</v>
      </c>
      <c r="U21" s="41">
        <f ca="1">U16-U19</f>
        <v>-5.763839815874914E-12</v>
      </c>
      <c r="V21" s="41">
        <f t="shared" ref="V21:W21" ca="1" si="18">V16-V19</f>
        <v>0</v>
      </c>
      <c r="W21" s="41">
        <f t="shared" ca="1" si="18"/>
        <v>-8.0856682690125046E-9</v>
      </c>
      <c r="AS21">
        <v>-2.8099800957108743</v>
      </c>
      <c r="AT21">
        <v>-283.68654286487197</v>
      </c>
      <c r="AU21">
        <v>-186.44463744999541</v>
      </c>
      <c r="AV21">
        <f t="shared" si="1"/>
        <v>-2.5601581818916883</v>
      </c>
      <c r="AW21">
        <f t="shared" si="2"/>
        <v>0.24982191381918595</v>
      </c>
      <c r="AX21" s="40">
        <f t="shared" si="3"/>
        <v>-5.7017508354814819</v>
      </c>
      <c r="AY21">
        <f t="shared" si="4"/>
        <v>5.7017508354814819</v>
      </c>
      <c r="AZ21">
        <f t="shared" si="5"/>
        <v>3.473205211468712</v>
      </c>
      <c r="BA21">
        <f t="shared" si="6"/>
        <v>-2.5601581818916883</v>
      </c>
      <c r="BB21">
        <f t="shared" si="7"/>
        <v>0.24982191381918595</v>
      </c>
      <c r="BC21">
        <f t="shared" si="8"/>
        <v>-5.7017508354814819</v>
      </c>
      <c r="BD21">
        <f t="shared" si="9"/>
        <v>5.7017508354814819</v>
      </c>
      <c r="BE21" s="40">
        <f t="shared" si="10"/>
        <v>-5.7899769719394971</v>
      </c>
      <c r="BF21" s="40">
        <f t="shared" si="11"/>
        <v>-2.5601581818916888</v>
      </c>
      <c r="BG21">
        <f t="shared" si="12"/>
        <v>-2.5601581818916888</v>
      </c>
      <c r="BK21">
        <v>2.7120061276323808</v>
      </c>
      <c r="BL21">
        <v>2.7119821591825701</v>
      </c>
      <c r="BM21">
        <v>2.7119941434074755</v>
      </c>
      <c r="BN21">
        <v>-3.1415169999783359</v>
      </c>
      <c r="BO21">
        <v>3.1415360486092774</v>
      </c>
      <c r="BP21">
        <v>-3.1415831281274542</v>
      </c>
    </row>
    <row r="22" spans="1:68" x14ac:dyDescent="0.25">
      <c r="A22">
        <v>8</v>
      </c>
      <c r="B22" s="20">
        <v>0</v>
      </c>
      <c r="C22" s="6">
        <f t="shared" ca="1" si="17"/>
        <v>0</v>
      </c>
      <c r="D22" s="2">
        <v>2</v>
      </c>
      <c r="E22" s="2">
        <v>4</v>
      </c>
      <c r="G22" s="1">
        <v>10</v>
      </c>
      <c r="H22" s="6">
        <v>1.27</v>
      </c>
      <c r="I22" s="6">
        <v>1.27</v>
      </c>
      <c r="K22" s="1" t="e">
        <f t="shared" si="15"/>
        <v>#N/A</v>
      </c>
      <c r="L22" s="1" t="e">
        <f t="shared" si="16"/>
        <v>#N/A</v>
      </c>
      <c r="U22" s="1" t="s">
        <v>99</v>
      </c>
      <c r="V22" s="1" t="s">
        <v>100</v>
      </c>
      <c r="W22" s="1" t="s">
        <v>101</v>
      </c>
      <c r="AS22">
        <v>-2.7925268031909312</v>
      </c>
      <c r="AT22">
        <v>-283.36724350329962</v>
      </c>
      <c r="AU22">
        <v>-187.34623375281848</v>
      </c>
      <c r="AV22">
        <f t="shared" si="1"/>
        <v>-2.5574239698534371</v>
      </c>
      <c r="AW22">
        <f t="shared" si="2"/>
        <v>0.23510283333749404</v>
      </c>
      <c r="AX22" s="40">
        <f t="shared" si="3"/>
        <v>-5.6990166234432298</v>
      </c>
      <c r="AY22">
        <f t="shared" si="4"/>
        <v>5.6990166234432298</v>
      </c>
      <c r="AZ22">
        <f t="shared" si="5"/>
        <v>3.4906585039886551</v>
      </c>
      <c r="BA22">
        <f t="shared" si="6"/>
        <v>-2.5574239698534371</v>
      </c>
      <c r="BB22">
        <f t="shared" si="7"/>
        <v>0.23510283333749404</v>
      </c>
      <c r="BC22">
        <f t="shared" si="8"/>
        <v>-5.6990166234432298</v>
      </c>
      <c r="BD22">
        <f t="shared" si="9"/>
        <v>5.6990166234432298</v>
      </c>
      <c r="BE22" s="40">
        <f t="shared" si="10"/>
        <v>-5.7927111839777492</v>
      </c>
      <c r="BF22" s="40">
        <f t="shared" si="11"/>
        <v>-2.5574239698534367</v>
      </c>
      <c r="BG22">
        <f t="shared" si="12"/>
        <v>-2.5574239698534367</v>
      </c>
      <c r="BK22">
        <v>2.7119941434074755</v>
      </c>
      <c r="BL22">
        <v>2.7119821591825701</v>
      </c>
      <c r="BM22">
        <v>2.7119881512950226</v>
      </c>
      <c r="BN22">
        <v>-3.1415831281274542</v>
      </c>
      <c r="BO22">
        <v>3.1415360486092774</v>
      </c>
      <c r="BP22">
        <v>3.141569114157261</v>
      </c>
    </row>
    <row r="23" spans="1:68" x14ac:dyDescent="0.25">
      <c r="A23">
        <v>9</v>
      </c>
      <c r="B23" s="20">
        <v>0</v>
      </c>
      <c r="C23" s="6">
        <f t="shared" ca="1" si="17"/>
        <v>0</v>
      </c>
      <c r="D23" s="2">
        <v>6</v>
      </c>
      <c r="E23" s="2">
        <v>4</v>
      </c>
      <c r="G23" s="1">
        <v>11</v>
      </c>
      <c r="H23" s="6">
        <v>1.41</v>
      </c>
      <c r="I23" s="6">
        <v>1.56</v>
      </c>
      <c r="K23" s="1" t="e">
        <f t="shared" si="15"/>
        <v>#N/A</v>
      </c>
      <c r="L23" s="1" t="e">
        <f t="shared" si="16"/>
        <v>#N/A</v>
      </c>
      <c r="T23" s="8" t="s">
        <v>108</v>
      </c>
      <c r="U23" s="41">
        <f ca="1">SQRT(POWER(U21,2)+POWER(V21,2)+POWER(W21,2))</f>
        <v>8.085670323378582E-9</v>
      </c>
      <c r="V23" t="str">
        <f ca="1">IF(ABS(U23)&lt;=L1,"","NG")</f>
        <v/>
      </c>
      <c r="AS23">
        <v>-2.7750735106709881</v>
      </c>
      <c r="AT23">
        <v>-283.02581024967822</v>
      </c>
      <c r="AU23">
        <v>-188.25935920812537</v>
      </c>
      <c r="AV23">
        <f t="shared" si="1"/>
        <v>-2.5546291708141609</v>
      </c>
      <c r="AW23">
        <f t="shared" si="2"/>
        <v>0.22044433985682721</v>
      </c>
      <c r="AX23" s="40">
        <f t="shared" si="3"/>
        <v>-5.6962218244039544</v>
      </c>
      <c r="AY23">
        <f t="shared" si="4"/>
        <v>5.6962218244039544</v>
      </c>
      <c r="AZ23">
        <f t="shared" si="5"/>
        <v>3.5081117965085982</v>
      </c>
      <c r="BA23">
        <f t="shared" si="6"/>
        <v>-2.5546291708141609</v>
      </c>
      <c r="BB23">
        <f t="shared" si="7"/>
        <v>0.22044433985682721</v>
      </c>
      <c r="BC23">
        <f t="shared" si="8"/>
        <v>-5.6962218244039544</v>
      </c>
      <c r="BD23">
        <f t="shared" si="9"/>
        <v>5.6962218244039544</v>
      </c>
      <c r="BE23" s="40">
        <f t="shared" si="10"/>
        <v>-5.7955059830170246</v>
      </c>
      <c r="BF23" s="40">
        <f t="shared" si="11"/>
        <v>-2.5546291708141613</v>
      </c>
      <c r="BG23">
        <f t="shared" si="12"/>
        <v>-2.5546291708141613</v>
      </c>
      <c r="BK23">
        <v>2.7119941434074755</v>
      </c>
      <c r="BL23">
        <v>2.7119881512950226</v>
      </c>
      <c r="BM23">
        <v>2.7119911473512488</v>
      </c>
      <c r="BN23">
        <v>-3.1415831281274542</v>
      </c>
      <c r="BO23">
        <v>3.141569114157261</v>
      </c>
      <c r="BP23">
        <v>3.1415856466863383</v>
      </c>
    </row>
    <row r="24" spans="1:68" ht="15.75" thickBot="1" x14ac:dyDescent="0.3">
      <c r="A24">
        <v>10</v>
      </c>
      <c r="B24" s="20">
        <v>0</v>
      </c>
      <c r="C24" s="11">
        <f t="shared" ca="1" si="17"/>
        <v>0</v>
      </c>
      <c r="D24" s="2">
        <v>10</v>
      </c>
      <c r="E24" s="2">
        <v>4</v>
      </c>
      <c r="G24" s="1">
        <v>14</v>
      </c>
      <c r="H24" s="6">
        <v>1.6930000000000001</v>
      </c>
      <c r="I24" s="6">
        <v>2.25</v>
      </c>
      <c r="K24" s="1" t="e">
        <f t="shared" si="15"/>
        <v>#N/A</v>
      </c>
      <c r="L24" s="1" t="e">
        <f t="shared" si="16"/>
        <v>#N/A</v>
      </c>
      <c r="AS24">
        <v>-2.757620218151045</v>
      </c>
      <c r="AT24">
        <v>-282.66123587184484</v>
      </c>
      <c r="AU24">
        <v>-189.18480376583352</v>
      </c>
      <c r="AV24">
        <f t="shared" si="1"/>
        <v>-2.5517700711976778</v>
      </c>
      <c r="AW24">
        <f t="shared" si="2"/>
        <v>0.20585014695336712</v>
      </c>
      <c r="AX24" s="40">
        <f t="shared" si="3"/>
        <v>-5.6933627247874714</v>
      </c>
      <c r="AY24">
        <f t="shared" si="4"/>
        <v>5.6933627247874714</v>
      </c>
      <c r="AZ24">
        <f t="shared" si="5"/>
        <v>3.5255650890285413</v>
      </c>
      <c r="BA24">
        <f t="shared" si="6"/>
        <v>-2.5517700711976778</v>
      </c>
      <c r="BB24">
        <f t="shared" si="7"/>
        <v>0.20585014695336712</v>
      </c>
      <c r="BC24">
        <f t="shared" si="8"/>
        <v>-5.6933627247874714</v>
      </c>
      <c r="BD24">
        <f t="shared" si="9"/>
        <v>5.6933627247874714</v>
      </c>
      <c r="BE24" s="40">
        <f t="shared" si="10"/>
        <v>-5.7983650826335076</v>
      </c>
      <c r="BF24" s="40">
        <f t="shared" si="11"/>
        <v>-2.5517700711976783</v>
      </c>
      <c r="BG24">
        <f t="shared" si="12"/>
        <v>-2.5517700711976783</v>
      </c>
      <c r="BK24">
        <v>2.7119941434074755</v>
      </c>
      <c r="BL24">
        <v>2.7119911473512488</v>
      </c>
      <c r="BM24">
        <v>2.7119926453793619</v>
      </c>
      <c r="BN24">
        <v>-3.1415831281274542</v>
      </c>
      <c r="BO24">
        <v>3.1415856466863383</v>
      </c>
      <c r="BP24">
        <v>-3.1415913942700016</v>
      </c>
    </row>
    <row r="25" spans="1:68" ht="15.75" thickTop="1" x14ac:dyDescent="0.25">
      <c r="C25" s="6">
        <f ca="1">SUM(C15:C24)</f>
        <v>3.16</v>
      </c>
      <c r="D25" s="25">
        <f ca="1">C25/(B5*F27)</f>
        <v>1.196969696969697E-2</v>
      </c>
      <c r="G25" s="1">
        <v>18</v>
      </c>
      <c r="H25" s="6">
        <v>2.2570000000000001</v>
      </c>
      <c r="I25" s="6">
        <v>4</v>
      </c>
      <c r="AS25">
        <v>-2.7401669256311019</v>
      </c>
      <c r="AT25">
        <v>-282.27242435852946</v>
      </c>
      <c r="AU25">
        <v>-190.1233940640206</v>
      </c>
      <c r="AV25">
        <f t="shared" si="1"/>
        <v>-2.548842710521154</v>
      </c>
      <c r="AW25">
        <f t="shared" si="2"/>
        <v>0.1913242151099479</v>
      </c>
      <c r="AX25" s="40">
        <f t="shared" si="3"/>
        <v>-5.6904353641109466</v>
      </c>
      <c r="AY25">
        <f t="shared" si="4"/>
        <v>5.6904353641109466</v>
      </c>
      <c r="AZ25">
        <f t="shared" si="5"/>
        <v>3.5430183815484844</v>
      </c>
      <c r="BA25">
        <f t="shared" si="6"/>
        <v>-2.548842710521154</v>
      </c>
      <c r="BB25">
        <f t="shared" si="7"/>
        <v>0.1913242151099479</v>
      </c>
      <c r="BC25">
        <f t="shared" si="8"/>
        <v>-5.6904353641109466</v>
      </c>
      <c r="BD25">
        <f t="shared" si="9"/>
        <v>5.6904353641109466</v>
      </c>
      <c r="BE25" s="40">
        <f t="shared" si="10"/>
        <v>-5.8012924433100324</v>
      </c>
      <c r="BF25" s="40">
        <f t="shared" si="11"/>
        <v>-2.5488427105211535</v>
      </c>
      <c r="BG25">
        <f t="shared" si="12"/>
        <v>-2.5488427105211535</v>
      </c>
      <c r="BK25">
        <v>2.7119926453793619</v>
      </c>
      <c r="BL25">
        <v>2.7119911473512488</v>
      </c>
      <c r="BM25">
        <v>2.7119918963653054</v>
      </c>
      <c r="BN25">
        <v>-3.1415913942700016</v>
      </c>
      <c r="BO25">
        <v>3.1415856466863383</v>
      </c>
      <c r="BP25">
        <v>3.1415897797681689</v>
      </c>
    </row>
    <row r="26" spans="1:68" x14ac:dyDescent="0.25">
      <c r="E26" s="8" t="s">
        <v>86</v>
      </c>
      <c r="F26" s="21" t="s">
        <v>80</v>
      </c>
      <c r="G26" s="1" t="s">
        <v>81</v>
      </c>
      <c r="H26" s="24">
        <v>9.3749999999999997E-3</v>
      </c>
      <c r="I26" s="6">
        <f>IF(F26="web",(B5*F27)*H26,G12*H26)</f>
        <v>2.4750000000000001</v>
      </c>
      <c r="AS26">
        <v>-2.7227136331111588</v>
      </c>
      <c r="AT26">
        <v>-281.85818345286697</v>
      </c>
      <c r="AU26">
        <v>-191.07599665566153</v>
      </c>
      <c r="AV26">
        <f t="shared" si="1"/>
        <v>-2.5458428584408885</v>
      </c>
      <c r="AW26">
        <f t="shared" si="2"/>
        <v>0.17687077467027024</v>
      </c>
      <c r="AX26" s="40">
        <f t="shared" si="3"/>
        <v>-5.6874355120306817</v>
      </c>
      <c r="AY26">
        <f t="shared" si="4"/>
        <v>5.6874355120306817</v>
      </c>
      <c r="AZ26">
        <f t="shared" si="5"/>
        <v>3.5604716740684275</v>
      </c>
      <c r="BA26">
        <f t="shared" si="6"/>
        <v>-2.5458428584408885</v>
      </c>
      <c r="BB26">
        <f t="shared" si="7"/>
        <v>0.17687077467027024</v>
      </c>
      <c r="BC26">
        <f t="shared" si="8"/>
        <v>-5.6874355120306817</v>
      </c>
      <c r="BD26">
        <f t="shared" si="9"/>
        <v>5.6874355120306817</v>
      </c>
      <c r="BE26" s="40">
        <f t="shared" si="10"/>
        <v>-5.8042922953902973</v>
      </c>
      <c r="BF26" s="40">
        <f t="shared" si="11"/>
        <v>-2.5458428584408885</v>
      </c>
      <c r="BG26">
        <f t="shared" si="12"/>
        <v>-2.5458428584408885</v>
      </c>
      <c r="BK26">
        <v>2.7119926453793619</v>
      </c>
      <c r="BL26">
        <v>2.7119918963653054</v>
      </c>
      <c r="BM26">
        <v>2.7119922708723339</v>
      </c>
      <c r="BN26">
        <v>-3.1415913942700016</v>
      </c>
      <c r="BO26">
        <v>3.1415897797681689</v>
      </c>
      <c r="BP26">
        <v>3.1415918463015204</v>
      </c>
    </row>
    <row r="27" spans="1:68" x14ac:dyDescent="0.25">
      <c r="A27" s="8" t="s">
        <v>15</v>
      </c>
      <c r="B27" s="34">
        <v>2.7119924157012236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4">
        <f>F28</f>
        <v>3.5355339059327377E-3</v>
      </c>
      <c r="I27" s="6">
        <f>IF(F26="web",(B5*F27)*H27,G12*H27)</f>
        <v>0.93338095116624276</v>
      </c>
      <c r="AS27">
        <v>-2.7052603405912157</v>
      </c>
      <c r="AT27">
        <v>-281.41721641816787</v>
      </c>
      <c r="AU27">
        <v>-192.04352150931419</v>
      </c>
      <c r="AV27">
        <f t="shared" si="1"/>
        <v>-2.5427659894540104</v>
      </c>
      <c r="AW27">
        <f t="shared" si="2"/>
        <v>0.16249435113720523</v>
      </c>
      <c r="AX27" s="40">
        <f t="shared" si="3"/>
        <v>-5.6843586430438036</v>
      </c>
      <c r="AY27">
        <f t="shared" si="4"/>
        <v>5.6843586430438036</v>
      </c>
      <c r="AZ27">
        <f t="shared" si="5"/>
        <v>3.5779249665883706</v>
      </c>
      <c r="BA27">
        <f t="shared" si="6"/>
        <v>-2.5427659894540104</v>
      </c>
      <c r="BB27">
        <f t="shared" si="7"/>
        <v>0.16249435113720523</v>
      </c>
      <c r="BC27">
        <f t="shared" si="8"/>
        <v>-5.6843586430438036</v>
      </c>
      <c r="BD27">
        <f t="shared" si="9"/>
        <v>5.6843586430438036</v>
      </c>
      <c r="BE27" s="40">
        <f t="shared" si="10"/>
        <v>-5.8073691643771754</v>
      </c>
      <c r="BF27" s="40">
        <f t="shared" si="11"/>
        <v>-2.5427659894540104</v>
      </c>
      <c r="BG27">
        <f t="shared" si="12"/>
        <v>-2.5427659894540104</v>
      </c>
      <c r="BK27">
        <v>2.7119926453793619</v>
      </c>
      <c r="BL27">
        <v>2.7119922708723339</v>
      </c>
      <c r="BM27">
        <v>2.7119924581258479</v>
      </c>
      <c r="BN27">
        <v>-3.1415913942700016</v>
      </c>
      <c r="BO27">
        <v>3.1415918463015204</v>
      </c>
      <c r="BP27">
        <v>-3.1415924275335243</v>
      </c>
    </row>
    <row r="28" spans="1:68" x14ac:dyDescent="0.25">
      <c r="A28" s="8" t="s">
        <v>17</v>
      </c>
      <c r="B28" s="34">
        <v>5.6766573575536663</v>
      </c>
      <c r="C28" t="s">
        <v>4</v>
      </c>
      <c r="E28" s="8" t="s">
        <v>87</v>
      </c>
      <c r="F28" s="23">
        <f>MAX(200/(B12*1000),(3*SQRT(B2*1000))/(B12*1000))</f>
        <v>3.5355339059327377E-3</v>
      </c>
      <c r="G28" s="1" t="s">
        <v>83</v>
      </c>
      <c r="H28" s="22" t="s">
        <v>85</v>
      </c>
      <c r="I28" s="7">
        <v>10</v>
      </c>
      <c r="AS28">
        <v>-2.6878070480712726</v>
      </c>
      <c r="AT28">
        <v>-280.94811277497638</v>
      </c>
      <c r="AU28">
        <v>-193.02692581517275</v>
      </c>
      <c r="AV28">
        <f t="shared" si="1"/>
        <v>-2.5396072546771542</v>
      </c>
      <c r="AW28">
        <f t="shared" si="2"/>
        <v>0.14819979339411837</v>
      </c>
      <c r="AX28" s="40">
        <f t="shared" si="3"/>
        <v>-5.6811999082669473</v>
      </c>
      <c r="AY28">
        <f t="shared" si="4"/>
        <v>5.6811999082669473</v>
      </c>
      <c r="AZ28">
        <f t="shared" si="5"/>
        <v>3.5953782591083137</v>
      </c>
      <c r="BA28">
        <f t="shared" si="6"/>
        <v>-2.5396072546771542</v>
      </c>
      <c r="BB28">
        <f t="shared" si="7"/>
        <v>0.14819979339411837</v>
      </c>
      <c r="BC28">
        <f t="shared" si="8"/>
        <v>-5.6811999082669473</v>
      </c>
      <c r="BD28">
        <f t="shared" si="9"/>
        <v>5.6811999082669473</v>
      </c>
      <c r="BE28" s="40">
        <f t="shared" si="10"/>
        <v>-5.8105278991540317</v>
      </c>
      <c r="BF28" s="40">
        <f t="shared" si="11"/>
        <v>-2.5396072546771542</v>
      </c>
      <c r="BG28">
        <f t="shared" si="12"/>
        <v>-2.5396072546771542</v>
      </c>
      <c r="BK28">
        <v>2.7119924581258479</v>
      </c>
      <c r="BL28">
        <v>2.7119922708723339</v>
      </c>
      <c r="BM28">
        <v>2.7119923644990909</v>
      </c>
      <c r="BN28">
        <v>-3.1415924275335243</v>
      </c>
      <c r="BO28">
        <v>3.1415918463015204</v>
      </c>
      <c r="BP28">
        <v>3.1415923629739488</v>
      </c>
    </row>
    <row r="29" spans="1:68" x14ac:dyDescent="0.25">
      <c r="A29" s="8" t="s">
        <v>18</v>
      </c>
      <c r="B29" s="6">
        <f>B28*B4</f>
        <v>4.5413258860429329</v>
      </c>
      <c r="C29" t="s">
        <v>4</v>
      </c>
      <c r="G29" s="1" t="s">
        <v>84</v>
      </c>
      <c r="H29" s="22" t="s">
        <v>85</v>
      </c>
      <c r="I29" s="7">
        <v>5</v>
      </c>
      <c r="AS29">
        <v>-2.6703537555513295</v>
      </c>
      <c r="AT29">
        <v>-280.44933799970022</v>
      </c>
      <c r="AU29">
        <v>-194.02721813179403</v>
      </c>
      <c r="AV29">
        <f t="shared" si="1"/>
        <v>-2.5363614505113539</v>
      </c>
      <c r="AW29">
        <f t="shared" si="2"/>
        <v>0.13399230503997561</v>
      </c>
      <c r="AX29" s="40">
        <f t="shared" si="3"/>
        <v>-5.677954104101147</v>
      </c>
      <c r="AY29">
        <f t="shared" si="4"/>
        <v>5.677954104101147</v>
      </c>
      <c r="AZ29">
        <f t="shared" si="5"/>
        <v>3.6128315516282568</v>
      </c>
      <c r="BA29">
        <f t="shared" si="6"/>
        <v>-2.5363614505113539</v>
      </c>
      <c r="BB29">
        <f t="shared" si="7"/>
        <v>0.13399230503997561</v>
      </c>
      <c r="BC29">
        <f t="shared" si="8"/>
        <v>-5.677954104101147</v>
      </c>
      <c r="BD29">
        <f t="shared" si="9"/>
        <v>5.677954104101147</v>
      </c>
      <c r="BE29" s="40">
        <f t="shared" si="10"/>
        <v>-5.813773703319832</v>
      </c>
      <c r="BF29" s="40">
        <f t="shared" si="11"/>
        <v>-2.5363614505113539</v>
      </c>
      <c r="BG29">
        <f t="shared" si="12"/>
        <v>-2.5363614505113539</v>
      </c>
      <c r="BK29">
        <v>2.7119924581258479</v>
      </c>
      <c r="BL29">
        <v>2.7119923644990909</v>
      </c>
      <c r="BM29">
        <v>2.7119924113124694</v>
      </c>
      <c r="BN29">
        <v>-3.1415924275335243</v>
      </c>
      <c r="BO29">
        <v>3.1415923629739488</v>
      </c>
      <c r="BP29">
        <v>3.1415926213100462</v>
      </c>
    </row>
    <row r="30" spans="1:68" x14ac:dyDescent="0.25">
      <c r="A30" s="8" t="s">
        <v>102</v>
      </c>
      <c r="B30" s="1">
        <v>3.0000000000000001E-3</v>
      </c>
      <c r="AS30">
        <v>-2.6529004630313864</v>
      </c>
      <c r="AT30">
        <v>-279.91922200100811</v>
      </c>
      <c r="AU30">
        <v>-195.04546291326156</v>
      </c>
      <c r="AV30">
        <f t="shared" si="1"/>
        <v>-2.5330229836899649</v>
      </c>
      <c r="AW30">
        <f t="shared" si="2"/>
        <v>0.11987747934142146</v>
      </c>
      <c r="AX30" s="40">
        <f t="shared" si="3"/>
        <v>-5.674615637279758</v>
      </c>
      <c r="AY30">
        <f t="shared" si="4"/>
        <v>5.674615637279758</v>
      </c>
      <c r="AZ30">
        <f t="shared" si="5"/>
        <v>3.6302848441481999</v>
      </c>
      <c r="BA30">
        <f t="shared" si="6"/>
        <v>-2.5330229836899649</v>
      </c>
      <c r="BB30">
        <f t="shared" si="7"/>
        <v>0.11987747934142146</v>
      </c>
      <c r="BC30">
        <f t="shared" si="8"/>
        <v>-5.674615637279758</v>
      </c>
      <c r="BD30">
        <f t="shared" si="9"/>
        <v>5.674615637279758</v>
      </c>
      <c r="BE30" s="40">
        <f t="shared" si="10"/>
        <v>-5.817112170141221</v>
      </c>
      <c r="BF30" s="40">
        <f t="shared" si="11"/>
        <v>-2.5330229836899649</v>
      </c>
      <c r="BG30">
        <f t="shared" si="12"/>
        <v>-2.5330229836899649</v>
      </c>
      <c r="BK30">
        <v>2.7119924581258479</v>
      </c>
      <c r="BL30">
        <v>2.7119924113124694</v>
      </c>
      <c r="BM30">
        <v>2.7119924347191589</v>
      </c>
      <c r="BN30">
        <v>-3.1415924275335243</v>
      </c>
      <c r="BO30">
        <v>3.1415926213100462</v>
      </c>
      <c r="BP30">
        <v>-3.1415925567015197</v>
      </c>
    </row>
    <row r="31" spans="1:68" x14ac:dyDescent="0.25">
      <c r="A31" s="8" t="s">
        <v>49</v>
      </c>
      <c r="B31" s="1">
        <f>B2*0.85</f>
        <v>4.25</v>
      </c>
      <c r="C31" t="s">
        <v>1</v>
      </c>
      <c r="AS31">
        <v>-2.6354471705114433</v>
      </c>
      <c r="AT31">
        <v>-279.35594627204682</v>
      </c>
      <c r="AU31">
        <v>-196.08278546168177</v>
      </c>
      <c r="AV31">
        <f t="shared" si="1"/>
        <v>-2.529585832310234</v>
      </c>
      <c r="AW31">
        <f t="shared" si="2"/>
        <v>0.10586133820120924</v>
      </c>
      <c r="AX31" s="40">
        <f t="shared" si="3"/>
        <v>-5.6711784859000272</v>
      </c>
      <c r="AY31">
        <f t="shared" si="4"/>
        <v>5.6711784859000272</v>
      </c>
      <c r="AZ31">
        <f t="shared" si="5"/>
        <v>3.6477381366681429</v>
      </c>
      <c r="BA31">
        <f t="shared" si="6"/>
        <v>-2.529585832310234</v>
      </c>
      <c r="BB31">
        <f t="shared" si="7"/>
        <v>0.10586133820120924</v>
      </c>
      <c r="BC31">
        <f t="shared" si="8"/>
        <v>-5.6711784859000272</v>
      </c>
      <c r="BD31">
        <f t="shared" si="9"/>
        <v>5.6711784859000272</v>
      </c>
      <c r="BE31" s="40">
        <f t="shared" si="10"/>
        <v>-5.8205493215209518</v>
      </c>
      <c r="BF31" s="40">
        <f t="shared" si="11"/>
        <v>-2.529585832310234</v>
      </c>
      <c r="BG31">
        <f t="shared" si="12"/>
        <v>-2.529585832310234</v>
      </c>
      <c r="BK31">
        <v>2.7119924347191589</v>
      </c>
      <c r="BL31">
        <v>2.7119924113124694</v>
      </c>
      <c r="BM31">
        <v>2.7119924230158139</v>
      </c>
      <c r="BN31">
        <v>-3.1415925567015197</v>
      </c>
      <c r="BO31">
        <v>3.1415926213100462</v>
      </c>
      <c r="BP31">
        <v>-3.14159262132541</v>
      </c>
    </row>
    <row r="32" spans="1:68" x14ac:dyDescent="0.25">
      <c r="J32" t="s">
        <v>88</v>
      </c>
      <c r="N32" t="s">
        <v>89</v>
      </c>
      <c r="AS32">
        <v>-2.6179938779915002</v>
      </c>
      <c r="AT32">
        <v>-278.7575294077534</v>
      </c>
      <c r="AU32">
        <v>-197.14037735580351</v>
      </c>
      <c r="AV32">
        <f t="shared" si="1"/>
        <v>-2.5260435020624552</v>
      </c>
      <c r="AW32">
        <f t="shared" si="2"/>
        <v>9.1950375929044981E-2</v>
      </c>
      <c r="AX32" s="40">
        <f t="shared" si="3"/>
        <v>-5.6676361556522483</v>
      </c>
      <c r="AY32">
        <f t="shared" si="4"/>
        <v>5.6676361556522483</v>
      </c>
      <c r="AZ32">
        <f t="shared" si="5"/>
        <v>3.665191429188086</v>
      </c>
      <c r="BA32">
        <f t="shared" si="6"/>
        <v>-2.5260435020624552</v>
      </c>
      <c r="BB32">
        <f t="shared" si="7"/>
        <v>9.1950375929044981E-2</v>
      </c>
      <c r="BC32">
        <f t="shared" si="8"/>
        <v>-5.6676361556522483</v>
      </c>
      <c r="BD32">
        <f t="shared" si="9"/>
        <v>5.6676361556522483</v>
      </c>
      <c r="BE32" s="40">
        <f t="shared" si="10"/>
        <v>-5.8240916517687307</v>
      </c>
      <c r="BF32" s="40">
        <f t="shared" si="11"/>
        <v>-2.5260435020624552</v>
      </c>
      <c r="BG32">
        <f t="shared" si="12"/>
        <v>-2.5260435020624552</v>
      </c>
      <c r="BK32">
        <v>2.7119924230158139</v>
      </c>
      <c r="BL32">
        <v>2.7119924113124694</v>
      </c>
      <c r="BM32">
        <v>2.7119924171641419</v>
      </c>
      <c r="BN32">
        <v>-3.14159262132541</v>
      </c>
      <c r="BO32">
        <v>3.1415926213100462</v>
      </c>
      <c r="BP32">
        <v>-3.1415926535575931</v>
      </c>
    </row>
    <row r="33" spans="1:68" x14ac:dyDescent="0.25">
      <c r="A33" t="s">
        <v>19</v>
      </c>
      <c r="J33">
        <f>(J38*COS(-1*$B$27))+(K38*SIN(-1*$B$27))+$I$2</f>
        <v>30.962677335447385</v>
      </c>
      <c r="K33">
        <f>(-1*J38*SIN(-1*$B$27))+(K38*COS(-1*$B$27))+$I$3</f>
        <v>-7.9411177442753456</v>
      </c>
      <c r="N33">
        <f>(N38*COS(-1*$B$27))+(O38*SIN(-1*$B$27))+$I$2</f>
        <v>30.489803377175701</v>
      </c>
      <c r="O33">
        <f>(-1*N38*SIN(-1*$B$27))+(O38*COS(-1*$B$27))+$I$3</f>
        <v>-8.9732842859686883</v>
      </c>
      <c r="AS33">
        <v>-2.6005405854715571</v>
      </c>
      <c r="AT33">
        <v>-278.12181096567451</v>
      </c>
      <c r="AU33">
        <v>-198.21950241336461</v>
      </c>
      <c r="AV33">
        <f t="shared" si="1"/>
        <v>-2.5223889773100572</v>
      </c>
      <c r="AW33">
        <f t="shared" si="2"/>
        <v>7.8151608161499908E-2</v>
      </c>
      <c r="AX33" s="40">
        <f t="shared" si="3"/>
        <v>-5.6639816308998503</v>
      </c>
      <c r="AY33">
        <f t="shared" si="4"/>
        <v>5.6639816308998503</v>
      </c>
      <c r="AZ33">
        <f t="shared" si="5"/>
        <v>3.6826447217080291</v>
      </c>
      <c r="BA33">
        <f t="shared" si="6"/>
        <v>-2.5223889773100572</v>
      </c>
      <c r="BB33">
        <f t="shared" si="7"/>
        <v>7.8151608161499908E-2</v>
      </c>
      <c r="BC33">
        <f t="shared" si="8"/>
        <v>-5.6639816308998503</v>
      </c>
      <c r="BD33">
        <f t="shared" si="9"/>
        <v>5.6639816308998503</v>
      </c>
      <c r="BE33" s="40">
        <f t="shared" si="10"/>
        <v>-5.8277461765211287</v>
      </c>
      <c r="BF33" s="40">
        <f t="shared" si="11"/>
        <v>-2.5223889773100572</v>
      </c>
      <c r="BG33">
        <f t="shared" si="12"/>
        <v>-2.5223889773100572</v>
      </c>
      <c r="BK33">
        <v>2.7119924171641419</v>
      </c>
      <c r="BL33">
        <v>2.7119924113124694</v>
      </c>
      <c r="BM33">
        <v>2.7119924142383054</v>
      </c>
      <c r="BN33">
        <v>-3.1415926535575931</v>
      </c>
      <c r="BO33">
        <v>3.1415926213100462</v>
      </c>
      <c r="BP33">
        <v>3.1415926374660175</v>
      </c>
    </row>
    <row r="34" spans="1:68" x14ac:dyDescent="0.25">
      <c r="J34">
        <f>(J39*COS(-1*$B$27))+(K39*SIN(-1*$B$27))+$I$2</f>
        <v>-27.469128785519473</v>
      </c>
      <c r="K34">
        <f>(-1*J39*SIN(-1*$B$27))+(K39*COS(-1*$B$27))+$I$3</f>
        <v>18.828670204920108</v>
      </c>
      <c r="N34">
        <f>(N39*COS(-1*$B$27))+(O39*SIN(-1*$B$27))+$I$2</f>
        <v>-27.94200274379115</v>
      </c>
      <c r="O34">
        <f>(-1*N39*SIN(-1*$B$27))+(O39*COS(-1*$B$27))+$I$3</f>
        <v>17.796503663226765</v>
      </c>
      <c r="AS34">
        <v>-2.583087292951614</v>
      </c>
      <c r="AT34">
        <v>-277.44738490371947</v>
      </c>
      <c r="AU34">
        <v>-199.31997598097666</v>
      </c>
      <c r="AV34">
        <f t="shared" si="1"/>
        <v>-2.5186199220968879</v>
      </c>
      <c r="AW34">
        <f t="shared" si="2"/>
        <v>6.4467370854726092E-2</v>
      </c>
      <c r="AX34" s="40">
        <f t="shared" si="3"/>
        <v>-5.660212575686681</v>
      </c>
      <c r="AY34">
        <f t="shared" si="4"/>
        <v>5.660212575686681</v>
      </c>
      <c r="AZ34">
        <f t="shared" si="5"/>
        <v>3.7000980142279722</v>
      </c>
      <c r="BA34">
        <f t="shared" si="6"/>
        <v>-2.5186199220968879</v>
      </c>
      <c r="BB34">
        <f t="shared" si="7"/>
        <v>6.4467370854726092E-2</v>
      </c>
      <c r="BC34">
        <f t="shared" si="8"/>
        <v>-5.660212575686681</v>
      </c>
      <c r="BD34">
        <f t="shared" si="9"/>
        <v>5.660212575686681</v>
      </c>
      <c r="BE34" s="40">
        <f t="shared" si="10"/>
        <v>-5.831515231734298</v>
      </c>
      <c r="BF34" s="40">
        <f t="shared" si="11"/>
        <v>-2.5186199220968879</v>
      </c>
      <c r="BG34">
        <f t="shared" si="12"/>
        <v>-2.5186199220968879</v>
      </c>
      <c r="BK34">
        <v>2.7119924171641419</v>
      </c>
      <c r="BL34">
        <v>2.7119924142383054</v>
      </c>
      <c r="BM34">
        <v>2.7119924157012236</v>
      </c>
      <c r="BN34">
        <v>-3.1415926535575931</v>
      </c>
      <c r="BO34">
        <v>3.1415926374660175</v>
      </c>
      <c r="BP34">
        <v>3.141592645504125</v>
      </c>
    </row>
    <row r="35" spans="1:68" x14ac:dyDescent="0.25">
      <c r="A35" s="8" t="s">
        <v>20</v>
      </c>
      <c r="AD35" t="s">
        <v>139</v>
      </c>
      <c r="AS35">
        <v>-2.5656340004316709</v>
      </c>
      <c r="AT35">
        <v>-276.75915316443627</v>
      </c>
      <c r="AU35">
        <v>-200.40036808848697</v>
      </c>
      <c r="AV35">
        <f t="shared" si="1"/>
        <v>-2.5148768514811972</v>
      </c>
      <c r="AW35">
        <f t="shared" si="2"/>
        <v>5.0757148950473674E-2</v>
      </c>
      <c r="AX35" s="40">
        <f t="shared" si="3"/>
        <v>-5.6564695050709908</v>
      </c>
      <c r="AY35">
        <f t="shared" si="4"/>
        <v>5.6564695050709908</v>
      </c>
      <c r="AZ35">
        <f t="shared" si="5"/>
        <v>3.7175513067479153</v>
      </c>
      <c r="BA35">
        <f t="shared" si="6"/>
        <v>-2.5148768514811972</v>
      </c>
      <c r="BB35">
        <f t="shared" si="7"/>
        <v>5.0757148950473674E-2</v>
      </c>
      <c r="BC35">
        <f t="shared" si="8"/>
        <v>-5.6564695050709908</v>
      </c>
      <c r="BD35">
        <f t="shared" si="9"/>
        <v>5.6564695050709908</v>
      </c>
      <c r="BE35" s="40">
        <f t="shared" si="10"/>
        <v>-5.8352583023499882</v>
      </c>
      <c r="BF35" s="40">
        <f t="shared" si="11"/>
        <v>-2.5148768514811977</v>
      </c>
      <c r="BG35">
        <f t="shared" si="12"/>
        <v>-2.5148768514811977</v>
      </c>
      <c r="BK35">
        <v>4.7123889803846897</v>
      </c>
      <c r="BL35">
        <v>4.7123889789217719</v>
      </c>
      <c r="BM35">
        <v>4.7123889796532303</v>
      </c>
      <c r="BN35">
        <v>-6.2891050176062224</v>
      </c>
      <c r="BO35">
        <v>-6.289105015831244</v>
      </c>
      <c r="BP35">
        <v>-6.2891050167187323</v>
      </c>
    </row>
    <row r="36" spans="1:68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76.526095029495167</v>
      </c>
      <c r="H36" s="15" t="s">
        <v>4</v>
      </c>
      <c r="J36" t="s">
        <v>52</v>
      </c>
      <c r="N36" t="s">
        <v>53</v>
      </c>
      <c r="AD36" t="s">
        <v>8</v>
      </c>
      <c r="AE36" t="s">
        <v>9</v>
      </c>
      <c r="AS36">
        <v>-2.5481807079117278</v>
      </c>
      <c r="AT36">
        <v>-276.06846497785864</v>
      </c>
      <c r="AU36">
        <v>-201.44395741648066</v>
      </c>
      <c r="AV36">
        <f t="shared" si="1"/>
        <v>-2.5112181992131961</v>
      </c>
      <c r="AW36">
        <f t="shared" si="2"/>
        <v>3.6962508698531682E-2</v>
      </c>
      <c r="AX36" s="40">
        <f t="shared" si="3"/>
        <v>-5.6528108528029897</v>
      </c>
      <c r="AY36">
        <f t="shared" si="4"/>
        <v>5.6528108528029897</v>
      </c>
      <c r="AZ36">
        <f t="shared" si="5"/>
        <v>3.7350045992678584</v>
      </c>
      <c r="BA36">
        <f t="shared" si="6"/>
        <v>-2.5112181992131961</v>
      </c>
      <c r="BB36">
        <f t="shared" si="7"/>
        <v>3.6962508698531682E-2</v>
      </c>
      <c r="BC36">
        <f t="shared" si="8"/>
        <v>-5.6528108528029897</v>
      </c>
      <c r="BD36">
        <f t="shared" si="9"/>
        <v>5.6528108528029897</v>
      </c>
      <c r="BE36" s="40">
        <f t="shared" si="10"/>
        <v>-5.8389169546179893</v>
      </c>
      <c r="BF36" s="40">
        <f t="shared" si="11"/>
        <v>-2.5112181992131966</v>
      </c>
      <c r="BG36">
        <f t="shared" si="12"/>
        <v>-2.5112181992131966</v>
      </c>
      <c r="BK36">
        <v>4.7123889803846897</v>
      </c>
      <c r="BL36">
        <v>4.7123889796532303</v>
      </c>
      <c r="BM36">
        <v>4.71238898001896</v>
      </c>
      <c r="BN36">
        <v>-6.2891050176062224</v>
      </c>
      <c r="BO36">
        <v>-6.2891050167187323</v>
      </c>
      <c r="BP36">
        <v>-6.2891050171624769</v>
      </c>
    </row>
    <row r="37" spans="1:68" x14ac:dyDescent="0.25">
      <c r="A37" s="3">
        <f t="shared" ref="A37:A43" si="19">E3-$I$2</f>
        <v>-6</v>
      </c>
      <c r="B37" s="6">
        <f t="shared" ref="B37:B43" si="20">F3-$I$3</f>
        <v>-12</v>
      </c>
      <c r="C37" s="6">
        <f>A37*COS($B$27)+B37*SIN($B$27)</f>
        <v>0.4567051684120873</v>
      </c>
      <c r="D37" s="6">
        <f>-1*A37*SIN($B$27)+B37*COS($B$27)</f>
        <v>13.408632308671368</v>
      </c>
      <c r="F37" s="8" t="s">
        <v>23</v>
      </c>
      <c r="G37" s="1">
        <f>MAX(D37:D41)-MIN(D37:D41)</f>
        <v>26.817264617342737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f>-1*AE37</f>
        <v>3.1415926535897931</v>
      </c>
      <c r="AE37">
        <f>-1*PI()</f>
        <v>-3.1415926535897931</v>
      </c>
      <c r="AS37">
        <v>-2.5307274153917847</v>
      </c>
      <c r="AT37">
        <v>-275.37450870792134</v>
      </c>
      <c r="AU37">
        <v>-202.45373329087366</v>
      </c>
      <c r="AV37">
        <f t="shared" si="1"/>
        <v>-2.5076348105788688</v>
      </c>
      <c r="AW37">
        <f t="shared" si="2"/>
        <v>2.3092604812915862E-2</v>
      </c>
      <c r="AX37" s="40">
        <f t="shared" si="3"/>
        <v>-5.6492274641686624</v>
      </c>
      <c r="AY37">
        <f t="shared" si="4"/>
        <v>5.6492274641686624</v>
      </c>
      <c r="AZ37">
        <f t="shared" si="5"/>
        <v>3.7524578917878015</v>
      </c>
      <c r="BA37">
        <f t="shared" si="6"/>
        <v>-2.5076348105788688</v>
      </c>
      <c r="BB37">
        <f t="shared" si="7"/>
        <v>2.3092604812915862E-2</v>
      </c>
      <c r="BC37">
        <f t="shared" si="8"/>
        <v>-5.6492274641686624</v>
      </c>
      <c r="BD37">
        <f t="shared" si="9"/>
        <v>5.6492274641686624</v>
      </c>
      <c r="BE37" s="40">
        <f t="shared" si="10"/>
        <v>-5.8425003432523166</v>
      </c>
      <c r="BF37" s="40">
        <f t="shared" si="11"/>
        <v>-2.5076348105788693</v>
      </c>
      <c r="BG37">
        <f t="shared" si="12"/>
        <v>-2.5076348105788693</v>
      </c>
      <c r="BK37">
        <v>4.7123889803846897</v>
      </c>
      <c r="BL37">
        <v>4.71238898001896</v>
      </c>
      <c r="BM37">
        <v>4.7123889802018244</v>
      </c>
      <c r="BN37">
        <v>-6.2891050176062224</v>
      </c>
      <c r="BO37">
        <v>-6.2891050171624769</v>
      </c>
      <c r="BP37">
        <v>-6.2891050173843484</v>
      </c>
    </row>
    <row r="38" spans="1:68" x14ac:dyDescent="0.25">
      <c r="A38" s="3">
        <f t="shared" si="19"/>
        <v>6</v>
      </c>
      <c r="B38" s="6">
        <f t="shared" si="20"/>
        <v>-12</v>
      </c>
      <c r="C38" s="6">
        <f t="shared" ref="C38:C41" si="21">A38*COS($B$27)+B38*SIN($B$27)</f>
        <v>-10.452882745889843</v>
      </c>
      <c r="D38" s="6">
        <f t="shared" ref="D38:D41" si="22">-1*A38*SIN($B$27)+B38*COS($B$27)</f>
        <v>8.4105435199324923</v>
      </c>
      <c r="F38" s="8" t="s">
        <v>24</v>
      </c>
      <c r="G38" s="6">
        <f>MAX(D37:D43)</f>
        <v>13.408632308671368</v>
      </c>
      <c r="H38" t="s">
        <v>4</v>
      </c>
      <c r="J38" s="9">
        <f>MIN(C37:C43,A37:A43)-1</f>
        <v>-31</v>
      </c>
      <c r="K38" s="9">
        <f>G40</f>
        <v>7.7319749511177021</v>
      </c>
      <c r="N38" s="9">
        <f>J38</f>
        <v>-31</v>
      </c>
      <c r="O38" s="9">
        <f>G41</f>
        <v>8.8673064226284346</v>
      </c>
      <c r="AD38">
        <f>AE37</f>
        <v>-3.1415926535897931</v>
      </c>
      <c r="AE38">
        <f>AE37</f>
        <v>-3.1415926535897931</v>
      </c>
      <c r="AS38">
        <v>-2.5132741228718416</v>
      </c>
      <c r="AT38">
        <v>-274.67646801505293</v>
      </c>
      <c r="AU38">
        <v>-203.43240454783239</v>
      </c>
      <c r="AV38">
        <f t="shared" si="1"/>
        <v>-2.5041182519683653</v>
      </c>
      <c r="AW38">
        <f t="shared" si="2"/>
        <v>9.1558709034762487E-3</v>
      </c>
      <c r="AX38" s="40">
        <f t="shared" si="3"/>
        <v>-5.6457109055581585</v>
      </c>
      <c r="AY38">
        <f t="shared" si="4"/>
        <v>5.6457109055581585</v>
      </c>
      <c r="AZ38">
        <f t="shared" si="5"/>
        <v>3.7699111843077446</v>
      </c>
      <c r="BA38">
        <f t="shared" si="6"/>
        <v>-2.5041182519683653</v>
      </c>
      <c r="BB38">
        <f t="shared" si="7"/>
        <v>9.1558709034762487E-3</v>
      </c>
      <c r="BC38">
        <f t="shared" si="8"/>
        <v>-5.6457109055581585</v>
      </c>
      <c r="BD38">
        <f t="shared" si="9"/>
        <v>5.6457109055581585</v>
      </c>
      <c r="BE38" s="40">
        <f t="shared" si="10"/>
        <v>-5.8460169018628205</v>
      </c>
      <c r="BF38" s="40">
        <f t="shared" si="11"/>
        <v>-2.5041182519683653</v>
      </c>
      <c r="BG38">
        <f t="shared" si="12"/>
        <v>-2.5041182519683653</v>
      </c>
      <c r="BK38">
        <v>4.7123889803846897</v>
      </c>
      <c r="BL38">
        <v>4.7123889802018244</v>
      </c>
      <c r="BM38">
        <v>4.712388980293257</v>
      </c>
      <c r="BN38">
        <v>-6.2891050176062224</v>
      </c>
      <c r="BO38">
        <v>-6.2891050173843484</v>
      </c>
      <c r="BP38">
        <v>-6.2891050175123633</v>
      </c>
    </row>
    <row r="39" spans="1:68" x14ac:dyDescent="0.25">
      <c r="A39" s="3">
        <f t="shared" si="19"/>
        <v>6</v>
      </c>
      <c r="B39" s="6">
        <f t="shared" si="20"/>
        <v>0</v>
      </c>
      <c r="C39" s="6">
        <f t="shared" si="21"/>
        <v>-5.4547939571509652</v>
      </c>
      <c r="D39" s="6">
        <f t="shared" si="22"/>
        <v>-2.4990443943694389</v>
      </c>
      <c r="J39" s="9">
        <f>MAX(C37:C43,A37:A43)+1</f>
        <v>33.272058574493705</v>
      </c>
      <c r="K39" s="9">
        <f>K38</f>
        <v>7.7319749511177021</v>
      </c>
      <c r="N39" s="9">
        <f>J39</f>
        <v>33.272058574493705</v>
      </c>
      <c r="O39" s="9">
        <f>G41</f>
        <v>8.8673064226284346</v>
      </c>
      <c r="AD39">
        <f>AD38</f>
        <v>-3.1415926535897931</v>
      </c>
      <c r="AE39">
        <f>-1*(AD39)</f>
        <v>3.1415926535897931</v>
      </c>
      <c r="AS39">
        <v>-2.4958208303518985</v>
      </c>
      <c r="AT39">
        <v>-273.97351684050244</v>
      </c>
      <c r="AU39">
        <v>-204.38243479206619</v>
      </c>
      <c r="AV39">
        <f t="shared" si="1"/>
        <v>-2.5006607053593859</v>
      </c>
      <c r="AW39">
        <f t="shared" si="2"/>
        <v>4.8398750074873931E-3</v>
      </c>
      <c r="AX39" s="40">
        <f t="shared" si="3"/>
        <v>-5.642253358949179</v>
      </c>
      <c r="AY39">
        <f t="shared" si="4"/>
        <v>5.642253358949179</v>
      </c>
      <c r="AZ39">
        <f t="shared" si="5"/>
        <v>3.7873644768276877</v>
      </c>
      <c r="BA39">
        <f t="shared" si="6"/>
        <v>-2.5006607053593859</v>
      </c>
      <c r="BB39">
        <f t="shared" si="7"/>
        <v>4.8398750074873931E-3</v>
      </c>
      <c r="BC39">
        <f t="shared" si="8"/>
        <v>-5.642253358949179</v>
      </c>
      <c r="BD39">
        <f t="shared" si="9"/>
        <v>5.642253358949179</v>
      </c>
      <c r="BE39" s="40">
        <f t="shared" si="10"/>
        <v>-5.8494744484718</v>
      </c>
      <c r="BF39" s="40">
        <f t="shared" si="11"/>
        <v>-2.5006607053593859</v>
      </c>
      <c r="BG39">
        <f t="shared" si="12"/>
        <v>-2.5006607053593859</v>
      </c>
      <c r="BK39">
        <v>4.7123889803846897</v>
      </c>
      <c r="BL39">
        <v>4.712388980293257</v>
      </c>
      <c r="BM39">
        <v>4.7123889803389734</v>
      </c>
      <c r="BN39">
        <v>-6.2891050176062224</v>
      </c>
      <c r="BO39">
        <v>-6.2891050175123633</v>
      </c>
      <c r="BP39">
        <v>-6.2891050175763699</v>
      </c>
    </row>
    <row r="40" spans="1:68" x14ac:dyDescent="0.25">
      <c r="A40" s="3">
        <f t="shared" si="19"/>
        <v>6</v>
      </c>
      <c r="B40" s="6">
        <f t="shared" si="20"/>
        <v>0</v>
      </c>
      <c r="C40" s="6">
        <f t="shared" si="21"/>
        <v>-5.4547939571509652</v>
      </c>
      <c r="D40" s="6">
        <f t="shared" si="22"/>
        <v>-2.4990443943694389</v>
      </c>
      <c r="F40" s="8" t="s">
        <v>50</v>
      </c>
      <c r="G40" s="9">
        <f>G38-B28</f>
        <v>7.7319749511177021</v>
      </c>
      <c r="AD40">
        <f>AE39</f>
        <v>3.1415926535897931</v>
      </c>
      <c r="AE40">
        <f>AE39</f>
        <v>3.1415926535897931</v>
      </c>
      <c r="AS40">
        <v>-2.4783675378319554</v>
      </c>
      <c r="AT40">
        <v>-273.26481458987007</v>
      </c>
      <c r="AU40">
        <v>-205.30607258612898</v>
      </c>
      <c r="AV40">
        <f t="shared" si="1"/>
        <v>-2.4972548771041314</v>
      </c>
      <c r="AW40">
        <f t="shared" si="2"/>
        <v>1.8887339272176007E-2</v>
      </c>
      <c r="AX40" s="40">
        <f t="shared" si="3"/>
        <v>-5.6388475306939245</v>
      </c>
      <c r="AY40">
        <f t="shared" si="4"/>
        <v>5.6388475306939245</v>
      </c>
      <c r="AZ40">
        <f t="shared" si="5"/>
        <v>3.8048177693476308</v>
      </c>
      <c r="BA40">
        <f t="shared" si="6"/>
        <v>-2.4972548771041314</v>
      </c>
      <c r="BB40">
        <f t="shared" si="7"/>
        <v>1.8887339272176007E-2</v>
      </c>
      <c r="BC40">
        <f t="shared" si="8"/>
        <v>-5.6388475306939245</v>
      </c>
      <c r="BD40">
        <f t="shared" si="9"/>
        <v>5.6388475306939245</v>
      </c>
      <c r="BE40" s="40">
        <f t="shared" si="10"/>
        <v>-5.8528802767270545</v>
      </c>
      <c r="BF40" s="40">
        <f t="shared" si="11"/>
        <v>-2.4972548771041314</v>
      </c>
      <c r="BG40">
        <f t="shared" si="12"/>
        <v>-2.4972548771041314</v>
      </c>
      <c r="BK40">
        <v>4.7123889803846897</v>
      </c>
      <c r="BL40">
        <v>4.7123889803389734</v>
      </c>
      <c r="BM40">
        <v>4.7123889803618315</v>
      </c>
      <c r="BN40">
        <v>-6.2891050176062224</v>
      </c>
      <c r="BO40">
        <v>-6.2891050175763699</v>
      </c>
      <c r="BP40">
        <v>-6.2891050175912966</v>
      </c>
    </row>
    <row r="41" spans="1:68" x14ac:dyDescent="0.25">
      <c r="A41" s="3">
        <f t="shared" si="19"/>
        <v>6</v>
      </c>
      <c r="B41" s="6">
        <f t="shared" si="20"/>
        <v>12</v>
      </c>
      <c r="C41" s="6">
        <f t="shared" si="21"/>
        <v>-0.4567051684120873</v>
      </c>
      <c r="D41" s="6">
        <f t="shared" si="22"/>
        <v>-13.408632308671368</v>
      </c>
      <c r="F41" s="8" t="s">
        <v>51</v>
      </c>
      <c r="G41" s="9">
        <f>G38-B29</f>
        <v>8.8673064226284346</v>
      </c>
      <c r="J41" s="9"/>
      <c r="K41" s="9"/>
      <c r="N41" s="9"/>
      <c r="O41" s="9"/>
      <c r="AD41">
        <f>AD40</f>
        <v>3.1415926535897931</v>
      </c>
      <c r="AE41">
        <f>AE37</f>
        <v>-3.1415926535897931</v>
      </c>
      <c r="AS41">
        <v>-2.4609142453120123</v>
      </c>
      <c r="AT41">
        <v>-272.54950104699196</v>
      </c>
      <c r="AU41">
        <v>-206.20537740819844</v>
      </c>
      <c r="AV41">
        <f t="shared" si="1"/>
        <v>-2.4938939177934949</v>
      </c>
      <c r="AW41">
        <f t="shared" si="2"/>
        <v>3.2979672481482591E-2</v>
      </c>
      <c r="AX41" s="40">
        <f t="shared" si="3"/>
        <v>-5.6354865713832876</v>
      </c>
      <c r="AY41">
        <f t="shared" si="4"/>
        <v>5.6354865713832876</v>
      </c>
      <c r="AZ41">
        <f t="shared" si="5"/>
        <v>3.8222710618675739</v>
      </c>
      <c r="BA41">
        <f t="shared" si="6"/>
        <v>-2.4938939177934949</v>
      </c>
      <c r="BB41">
        <f t="shared" si="7"/>
        <v>3.2979672481482591E-2</v>
      </c>
      <c r="BC41">
        <f t="shared" si="8"/>
        <v>-5.6354865713832876</v>
      </c>
      <c r="BD41">
        <f t="shared" si="9"/>
        <v>5.6354865713832876</v>
      </c>
      <c r="BE41" s="40">
        <f t="shared" si="10"/>
        <v>-5.8562412360376914</v>
      </c>
      <c r="BF41" s="40">
        <f t="shared" si="11"/>
        <v>-2.4938939177934945</v>
      </c>
      <c r="BG41">
        <f t="shared" si="12"/>
        <v>-2.4938939177934945</v>
      </c>
      <c r="BK41">
        <v>4.7123889803846897</v>
      </c>
      <c r="BL41">
        <v>4.7123889803618315</v>
      </c>
      <c r="BM41">
        <v>4.7123889803732606</v>
      </c>
      <c r="BN41">
        <v>-6.2891050176062224</v>
      </c>
      <c r="BO41">
        <v>-6.2891050175912966</v>
      </c>
      <c r="BP41">
        <v>-6.2891050175987591</v>
      </c>
    </row>
    <row r="42" spans="1:68" x14ac:dyDescent="0.25">
      <c r="A42" s="3">
        <f t="shared" si="19"/>
        <v>-30</v>
      </c>
      <c r="B42" s="6">
        <f t="shared" si="20"/>
        <v>12</v>
      </c>
      <c r="C42" s="6">
        <f t="shared" ref="C42:C43" si="23">A42*COS($B$27)+B42*SIN($B$27)</f>
        <v>32.272058574493705</v>
      </c>
      <c r="D42" s="6">
        <f t="shared" ref="D42:D43" si="24">-1*A42*SIN($B$27)+B42*COS($B$27)</f>
        <v>1.5856340575452634</v>
      </c>
      <c r="J42" s="9"/>
      <c r="K42" s="9"/>
      <c r="N42" s="9"/>
      <c r="O42" s="9"/>
      <c r="AS42">
        <v>-2.4434609527920692</v>
      </c>
      <c r="AT42">
        <v>-271.82669138223679</v>
      </c>
      <c r="AU42">
        <v>-207.08224210452204</v>
      </c>
      <c r="AV42">
        <f t="shared" si="1"/>
        <v>-2.4905713517700647</v>
      </c>
      <c r="AW42">
        <f t="shared" si="2"/>
        <v>4.7110398977995516E-2</v>
      </c>
      <c r="AX42" s="40">
        <f t="shared" si="3"/>
        <v>-5.6321640053598578</v>
      </c>
      <c r="AY42">
        <f t="shared" si="4"/>
        <v>5.6321640053598578</v>
      </c>
      <c r="AZ42">
        <f t="shared" si="5"/>
        <v>3.839724354387517</v>
      </c>
      <c r="BA42">
        <f t="shared" si="6"/>
        <v>-2.4905713517700647</v>
      </c>
      <c r="BB42">
        <f t="shared" si="7"/>
        <v>4.7110398977995516E-2</v>
      </c>
      <c r="BC42">
        <f t="shared" si="8"/>
        <v>-5.6321640053598578</v>
      </c>
      <c r="BD42">
        <f t="shared" si="9"/>
        <v>5.6321640053598578</v>
      </c>
      <c r="BE42" s="40">
        <f t="shared" si="10"/>
        <v>-5.8595638020611212</v>
      </c>
      <c r="BF42" s="40">
        <f t="shared" si="11"/>
        <v>-2.4905713517700647</v>
      </c>
      <c r="BG42">
        <f t="shared" si="12"/>
        <v>-2.4905713517700647</v>
      </c>
      <c r="BK42">
        <v>4.7123889803846897</v>
      </c>
      <c r="BL42">
        <v>4.7123889803732606</v>
      </c>
      <c r="BM42">
        <v>4.7123889803789751</v>
      </c>
      <c r="BN42">
        <v>-6.2891050176062224</v>
      </c>
      <c r="BO42">
        <v>-6.2891050175987591</v>
      </c>
      <c r="BP42">
        <v>-6.2891050176195682</v>
      </c>
    </row>
    <row r="43" spans="1:68" x14ac:dyDescent="0.25">
      <c r="A43" s="3">
        <f t="shared" si="19"/>
        <v>-30</v>
      </c>
      <c r="B43" s="6">
        <f t="shared" si="20"/>
        <v>0</v>
      </c>
      <c r="C43" s="6">
        <f t="shared" si="23"/>
        <v>27.273969785754826</v>
      </c>
      <c r="D43" s="6">
        <f t="shared" si="24"/>
        <v>12.495221971847194</v>
      </c>
      <c r="AD43" t="s">
        <v>138</v>
      </c>
      <c r="AS43">
        <v>-2.4260076602721261</v>
      </c>
      <c r="AT43">
        <v>-271.09547075041638</v>
      </c>
      <c r="AU43">
        <v>-207.93841237407105</v>
      </c>
      <c r="AV43">
        <f t="shared" si="1"/>
        <v>-2.4872810138485431</v>
      </c>
      <c r="AW43">
        <f t="shared" si="2"/>
        <v>6.1273353576416945E-2</v>
      </c>
      <c r="AX43" s="40">
        <f t="shared" si="3"/>
        <v>-5.6288736674383362</v>
      </c>
      <c r="AY43">
        <f t="shared" si="4"/>
        <v>5.6288736674383362</v>
      </c>
      <c r="AZ43">
        <f t="shared" si="5"/>
        <v>3.8571776469074601</v>
      </c>
      <c r="BA43">
        <f t="shared" si="6"/>
        <v>-2.4872810138485431</v>
      </c>
      <c r="BB43">
        <f t="shared" si="7"/>
        <v>6.1273353576416945E-2</v>
      </c>
      <c r="BC43">
        <f t="shared" si="8"/>
        <v>-5.6288736674383362</v>
      </c>
      <c r="BD43">
        <f t="shared" si="9"/>
        <v>5.6288736674383362</v>
      </c>
      <c r="BE43" s="40">
        <f t="shared" si="10"/>
        <v>-5.8628541399826428</v>
      </c>
      <c r="BF43" s="40">
        <f t="shared" si="11"/>
        <v>-2.4872810138485431</v>
      </c>
      <c r="BG43">
        <f t="shared" si="12"/>
        <v>-2.4872810138485431</v>
      </c>
      <c r="BK43">
        <v>4.7123889803846897</v>
      </c>
      <c r="BL43">
        <v>4.7123889803789751</v>
      </c>
      <c r="BM43">
        <v>4.7123889803818324</v>
      </c>
      <c r="BN43">
        <v>-6.2891050176062224</v>
      </c>
      <c r="BO43">
        <v>-6.2891050176195682</v>
      </c>
      <c r="BP43">
        <v>-6.2891050176299723</v>
      </c>
    </row>
    <row r="44" spans="1:68" x14ac:dyDescent="0.25">
      <c r="A44" s="3">
        <f t="shared" ref="A44:A45" si="25">E10-$I$2</f>
        <v>-6</v>
      </c>
      <c r="B44" s="6">
        <f t="shared" ref="B44:B45" si="26">F10-$I$3</f>
        <v>0</v>
      </c>
      <c r="C44" s="6">
        <f t="shared" ref="C44:C45" si="27">A44*COS($B$27)+B44*SIN($B$27)</f>
        <v>5.4547939571509652</v>
      </c>
      <c r="D44" s="6">
        <f t="shared" ref="D44:D45" si="28">-1*A44*SIN($B$27)+B44*COS($B$27)</f>
        <v>2.4990443943694389</v>
      </c>
      <c r="AD44" t="s">
        <v>8</v>
      </c>
      <c r="AE44" t="s">
        <v>9</v>
      </c>
      <c r="AS44">
        <v>-2.408554367752183</v>
      </c>
      <c r="AT44">
        <v>-270.35488878039251</v>
      </c>
      <c r="AU44">
        <v>-208.77550378660987</v>
      </c>
      <c r="AV44">
        <f t="shared" si="1"/>
        <v>-2.484016992352402</v>
      </c>
      <c r="AW44">
        <f t="shared" si="2"/>
        <v>7.5462624600219019E-2</v>
      </c>
      <c r="AX44" s="40">
        <f t="shared" si="3"/>
        <v>-5.6256096459421947</v>
      </c>
      <c r="AY44">
        <f t="shared" si="4"/>
        <v>5.6256096459421947</v>
      </c>
      <c r="AZ44">
        <f t="shared" si="5"/>
        <v>3.8746309394274032</v>
      </c>
      <c r="BA44">
        <f t="shared" si="6"/>
        <v>-2.484016992352402</v>
      </c>
      <c r="BB44">
        <f t="shared" si="7"/>
        <v>7.5462624600219019E-2</v>
      </c>
      <c r="BC44">
        <f t="shared" si="8"/>
        <v>-5.6256096459421947</v>
      </c>
      <c r="BD44">
        <f t="shared" si="9"/>
        <v>5.6256096459421947</v>
      </c>
      <c r="BE44" s="40">
        <f t="shared" si="10"/>
        <v>-5.8661181614787843</v>
      </c>
      <c r="BF44" s="40">
        <f t="shared" si="11"/>
        <v>-2.4840169923524016</v>
      </c>
      <c r="BG44">
        <f t="shared" si="12"/>
        <v>-2.4840169923524016</v>
      </c>
      <c r="BK44">
        <v>4.7123889803846897</v>
      </c>
      <c r="BL44">
        <v>4.7123889803818324</v>
      </c>
      <c r="BM44">
        <v>4.7123889803832615</v>
      </c>
      <c r="BN44">
        <v>-6.2891050176062224</v>
      </c>
      <c r="BO44">
        <v>-6.2891050176299723</v>
      </c>
      <c r="BP44">
        <v>-6.2891050176180991</v>
      </c>
    </row>
    <row r="45" spans="1:68" x14ac:dyDescent="0.25">
      <c r="A45" s="3">
        <f t="shared" si="25"/>
        <v>-6</v>
      </c>
      <c r="B45" s="6">
        <f t="shared" si="26"/>
        <v>-12</v>
      </c>
      <c r="C45" s="6">
        <f t="shared" si="27"/>
        <v>0.4567051684120873</v>
      </c>
      <c r="D45" s="6">
        <f t="shared" si="28"/>
        <v>13.408632308671368</v>
      </c>
      <c r="AD45" s="40">
        <f>U13+PI()/2</f>
        <v>4.7123889803846897</v>
      </c>
      <c r="AE45">
        <v>0</v>
      </c>
      <c r="AS45">
        <v>-2.3911010752322399</v>
      </c>
      <c r="AT45">
        <v>-269.6039536056993</v>
      </c>
      <c r="AU45">
        <v>-209.59501669709414</v>
      </c>
      <c r="AV45">
        <f t="shared" si="1"/>
        <v>-2.480773576786242</v>
      </c>
      <c r="AW45">
        <f t="shared" si="2"/>
        <v>8.9672501554002082E-2</v>
      </c>
      <c r="AX45" s="40">
        <f t="shared" si="3"/>
        <v>-5.6223662303760351</v>
      </c>
      <c r="AY45">
        <f t="shared" si="4"/>
        <v>5.6223662303760351</v>
      </c>
      <c r="AZ45">
        <f t="shared" si="5"/>
        <v>3.8920842319473463</v>
      </c>
      <c r="BA45">
        <f t="shared" si="6"/>
        <v>-2.480773576786242</v>
      </c>
      <c r="BB45">
        <f t="shared" si="7"/>
        <v>8.9672501554002082E-2</v>
      </c>
      <c r="BC45">
        <f t="shared" si="8"/>
        <v>-5.6223662303760351</v>
      </c>
      <c r="BD45">
        <f t="shared" si="9"/>
        <v>5.6223662303760351</v>
      </c>
      <c r="BE45" s="40">
        <f t="shared" si="10"/>
        <v>-5.8693615770449439</v>
      </c>
      <c r="BF45" s="40">
        <f t="shared" si="11"/>
        <v>-2.480773576786242</v>
      </c>
      <c r="BG45">
        <f t="shared" si="12"/>
        <v>-2.480773576786242</v>
      </c>
      <c r="BK45">
        <v>4.7123889803846897</v>
      </c>
      <c r="BL45">
        <v>4.7123889803832615</v>
      </c>
      <c r="BM45">
        <v>4.7123889803839756</v>
      </c>
      <c r="BN45">
        <v>-6.2891050176062224</v>
      </c>
      <c r="BO45">
        <v>-6.2891050176180991</v>
      </c>
      <c r="BP45">
        <v>-6.2891050176036227</v>
      </c>
    </row>
    <row r="46" spans="1:68" x14ac:dyDescent="0.25">
      <c r="AD46" s="40">
        <f>U13-PI()/2</f>
        <v>1.5707963267948966</v>
      </c>
      <c r="AE46">
        <f>AE45</f>
        <v>0</v>
      </c>
      <c r="AS46">
        <v>-2.3736477827122968</v>
      </c>
      <c r="AT46">
        <v>-268.84162543458706</v>
      </c>
      <c r="AU46">
        <v>-210.39834938369546</v>
      </c>
      <c r="AV46">
        <f t="shared" si="1"/>
        <v>-2.477545209185759</v>
      </c>
      <c r="AW46">
        <f t="shared" si="2"/>
        <v>0.10389742647346223</v>
      </c>
      <c r="AX46" s="40">
        <f t="shared" si="3"/>
        <v>-5.6191378627755526</v>
      </c>
      <c r="AY46">
        <f t="shared" si="4"/>
        <v>5.6191378627755526</v>
      </c>
      <c r="AZ46">
        <f t="shared" si="5"/>
        <v>3.9095375244672894</v>
      </c>
      <c r="BA46">
        <f t="shared" si="6"/>
        <v>-2.477545209185759</v>
      </c>
      <c r="BB46">
        <f t="shared" si="7"/>
        <v>0.10389742647346223</v>
      </c>
      <c r="BC46">
        <f t="shared" si="8"/>
        <v>-5.6191378627755526</v>
      </c>
      <c r="BD46">
        <f t="shared" si="9"/>
        <v>5.6191378627755526</v>
      </c>
      <c r="BE46" s="40">
        <f t="shared" si="10"/>
        <v>-5.8725899446454264</v>
      </c>
      <c r="BF46" s="40">
        <f t="shared" si="11"/>
        <v>-2.4775452091857595</v>
      </c>
      <c r="BG46">
        <f t="shared" si="12"/>
        <v>-2.4775452091857595</v>
      </c>
      <c r="BK46">
        <v>4.7123889803846897</v>
      </c>
      <c r="BL46">
        <v>4.7123889803839756</v>
      </c>
      <c r="BM46">
        <v>4.7123889803843326</v>
      </c>
      <c r="BN46">
        <v>-6.2891050176062224</v>
      </c>
      <c r="BO46">
        <v>-6.2891050176036227</v>
      </c>
      <c r="BP46">
        <v>-6.289105017604923</v>
      </c>
    </row>
    <row r="47" spans="1:68" x14ac:dyDescent="0.25">
      <c r="A47" t="s">
        <v>27</v>
      </c>
      <c r="AS47">
        <v>-2.3561944901923537</v>
      </c>
      <c r="AT47">
        <v>-268.06680970161364</v>
      </c>
      <c r="AU47">
        <v>-211.18680970238438</v>
      </c>
      <c r="AV47">
        <f t="shared" si="1"/>
        <v>-2.4743264383712926</v>
      </c>
      <c r="AW47">
        <f t="shared" si="2"/>
        <v>0.11813194817893891</v>
      </c>
      <c r="AX47" s="40">
        <f t="shared" si="3"/>
        <v>-5.6159190919610857</v>
      </c>
      <c r="AY47">
        <f t="shared" si="4"/>
        <v>5.6159190919610857</v>
      </c>
      <c r="AZ47">
        <f t="shared" si="5"/>
        <v>3.9269908169872325</v>
      </c>
      <c r="BA47">
        <f t="shared" si="6"/>
        <v>-2.4743264383712926</v>
      </c>
      <c r="BB47">
        <f t="shared" si="7"/>
        <v>0.11813194817893891</v>
      </c>
      <c r="BC47">
        <f t="shared" si="8"/>
        <v>-5.6159190919610857</v>
      </c>
      <c r="BD47">
        <f t="shared" si="9"/>
        <v>5.6159190919610857</v>
      </c>
      <c r="BE47" s="40">
        <f t="shared" si="10"/>
        <v>-5.8758087154598932</v>
      </c>
      <c r="BF47" s="40">
        <f t="shared" si="11"/>
        <v>-2.4743264383712926</v>
      </c>
      <c r="BG47">
        <f t="shared" si="12"/>
        <v>-2.4743264383712926</v>
      </c>
      <c r="BK47">
        <v>4.7123889803846897</v>
      </c>
      <c r="BL47">
        <v>4.7123889803843326</v>
      </c>
      <c r="BM47">
        <v>4.7123889803845112</v>
      </c>
      <c r="BN47">
        <v>-6.2891050176062224</v>
      </c>
      <c r="BO47">
        <v>-6.289105017604923</v>
      </c>
      <c r="BP47">
        <v>-6.2891050176055732</v>
      </c>
    </row>
    <row r="48" spans="1:68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S48">
        <v>-2.3387411976724106</v>
      </c>
      <c r="AT48">
        <v>-267.27834938127046</v>
      </c>
      <c r="AU48">
        <v>-211.96162543822777</v>
      </c>
      <c r="AV48">
        <f t="shared" si="1"/>
        <v>-2.471111875771749</v>
      </c>
      <c r="AW48">
        <f t="shared" si="2"/>
        <v>0.13237067809933833</v>
      </c>
      <c r="AX48" s="40">
        <f t="shared" si="3"/>
        <v>-5.6127045293615421</v>
      </c>
      <c r="AY48">
        <f t="shared" si="4"/>
        <v>5.6127045293615421</v>
      </c>
      <c r="AZ48">
        <f t="shared" si="5"/>
        <v>3.9444441095071756</v>
      </c>
      <c r="BA48">
        <f t="shared" si="6"/>
        <v>-2.471111875771749</v>
      </c>
      <c r="BB48">
        <f t="shared" si="7"/>
        <v>0.13237067809933833</v>
      </c>
      <c r="BC48">
        <f t="shared" si="8"/>
        <v>-5.6127045293615421</v>
      </c>
      <c r="BD48">
        <f t="shared" si="9"/>
        <v>5.6127045293615421</v>
      </c>
      <c r="BE48" s="40">
        <f t="shared" si="10"/>
        <v>-5.8790232780594369</v>
      </c>
      <c r="BF48" s="40">
        <f t="shared" si="11"/>
        <v>-2.471111875771749</v>
      </c>
      <c r="BG48">
        <f t="shared" si="12"/>
        <v>-2.471111875771749</v>
      </c>
      <c r="BK48">
        <v>4.7123889803846897</v>
      </c>
      <c r="BL48">
        <v>4.7123889803845112</v>
      </c>
      <c r="BM48">
        <v>4.7123889803846009</v>
      </c>
      <c r="BN48">
        <v>-6.2891050176062224</v>
      </c>
      <c r="BO48">
        <v>-6.2891050176055732</v>
      </c>
      <c r="BP48">
        <v>-6.2891050176058991</v>
      </c>
    </row>
    <row r="49" spans="1:68" x14ac:dyDescent="0.25">
      <c r="A49" t="s">
        <v>43</v>
      </c>
      <c r="B49" s="6">
        <f>C37</f>
        <v>0.4567051684120873</v>
      </c>
      <c r="C49" s="6">
        <f>D37</f>
        <v>13.408632308671368</v>
      </c>
      <c r="D49" s="6">
        <f t="shared" ref="D49:E56" si="29">C38</f>
        <v>-10.452882745889843</v>
      </c>
      <c r="E49" s="6">
        <f t="shared" si="29"/>
        <v>8.4105435199324923</v>
      </c>
      <c r="F49" s="6">
        <f t="shared" ref="F49:F54" si="30">IF(B49=D49,"V",(C49-E49)/(B49-D49))</f>
        <v>0.45813726677857636</v>
      </c>
      <c r="G49" s="6">
        <f t="shared" ref="G49:G54" si="31">IF(F49="V",0,(-1*B49*F49)+C49)</f>
        <v>13.199398651091405</v>
      </c>
      <c r="H49" s="6">
        <f>IF(AND(C49&lt;$G$41,E49&lt;$G$41),0,IF(AND(C49&lt;$G$41,E49&gt;$G$41),IF(F49="V",B49,($G$41-G49)/F49),B49))</f>
        <v>0.4567051684120873</v>
      </c>
      <c r="I49" s="6">
        <f>IF(AND(C49&lt;$G$41,E49&lt;$G$41),0,IF(AND(C49&lt;$G$41,E49&gt;$G$41),$G$41,C49))</f>
        <v>13.408632308671368</v>
      </c>
      <c r="J49" s="6">
        <f>IF(AND(C49&lt;$G$41,E49&lt;$G$41),0,IF(E49&gt;=$G$41,D49,IF(F49="V",D49,($G$41-G49)/F49)))</f>
        <v>-9.4558826417339379</v>
      </c>
      <c r="K49" s="6">
        <f>IF(AND(C49&lt;$G$41,E49&lt;$G$41),0,IF(E49&gt;=$G$41,E49,$G$41))</f>
        <v>8.8673064226284346</v>
      </c>
      <c r="L49" s="6">
        <f>IF(AND(I49=0,K49=0,H49=0,J49=0),0,$B$31)</f>
        <v>4.25</v>
      </c>
      <c r="M49" s="6">
        <f>IF(AND(I49=0,K49=0,H49=0,J49=0),0,$B$31)</f>
        <v>4.25</v>
      </c>
      <c r="N49" s="10">
        <f>(1/6)*(K49-I49)*((L49*((2*H49)+J49))+(M49*(H49+(2*J49))))</f>
        <v>86.844919926968288</v>
      </c>
      <c r="O49" s="10">
        <f>((1/12)*(K49-I49)*(L49*H49*((3*I49)+K49)+L49*J49*(I49+K49)+M49*H49*(I49+K49)+M49*J49*(I49+(3*K49))))</f>
        <v>894.87247318264008</v>
      </c>
      <c r="P49" s="10">
        <f>((-1/24)*(K49-I49)*(H49*H49*((3*L49)+M49)+2*H49*J49*(L49+M49)+J49*J49*(L49+(3*M49))))</f>
        <v>274.4027434435331</v>
      </c>
      <c r="S49">
        <f>IF(AND(I49=0,K49=0,H49=0,J49=0),NA(),H49)</f>
        <v>0.4567051684120873</v>
      </c>
      <c r="T49">
        <f>IF(AND(I49=0,K49=0,H49=0,J49=0),NA(),I49)</f>
        <v>13.408632308671368</v>
      </c>
      <c r="V49">
        <f>IF(AND(I49=0,K49=0,H49=0,J49=0),NA(),J49)</f>
        <v>-9.4558826417339379</v>
      </c>
      <c r="W49">
        <f>IF(AND(I49=0,K49=0,H49=0,J49=0),NA(),K49)</f>
        <v>8.8673064226284346</v>
      </c>
      <c r="AS49">
        <v>-2.3212879051524675</v>
      </c>
      <c r="AT49">
        <v>-266.47501669680025</v>
      </c>
      <c r="AU49">
        <v>-212.72395360093142</v>
      </c>
      <c r="AV49">
        <f t="shared" si="1"/>
        <v>-2.4678961525098426</v>
      </c>
      <c r="AW49">
        <f t="shared" si="2"/>
        <v>0.1466082473573751</v>
      </c>
      <c r="AX49" s="40">
        <f t="shared" si="3"/>
        <v>-5.6094888060996357</v>
      </c>
      <c r="AY49">
        <f t="shared" si="4"/>
        <v>5.6094888060996357</v>
      </c>
      <c r="AZ49">
        <f t="shared" si="5"/>
        <v>3.9618974020271187</v>
      </c>
      <c r="BA49">
        <f t="shared" si="6"/>
        <v>-2.4678961525098426</v>
      </c>
      <c r="BB49">
        <f t="shared" si="7"/>
        <v>0.1466082473573751</v>
      </c>
      <c r="BC49">
        <f t="shared" si="8"/>
        <v>-5.6094888060996357</v>
      </c>
      <c r="BD49">
        <f t="shared" si="9"/>
        <v>5.6094888060996357</v>
      </c>
      <c r="BE49" s="40">
        <f t="shared" si="10"/>
        <v>-5.8822390013213433</v>
      </c>
      <c r="BF49" s="40">
        <f t="shared" si="11"/>
        <v>-2.4678961525098426</v>
      </c>
      <c r="BG49">
        <f t="shared" si="12"/>
        <v>-2.4678961525098426</v>
      </c>
      <c r="BK49">
        <v>4.7123889803846897</v>
      </c>
      <c r="BL49">
        <v>4.7123889803846009</v>
      </c>
      <c r="BM49">
        <v>4.7123889803846453</v>
      </c>
      <c r="BN49">
        <v>-6.2891050176062224</v>
      </c>
      <c r="BO49">
        <v>-6.2891050176058991</v>
      </c>
      <c r="BP49">
        <v>-6.2891050176060617</v>
      </c>
    </row>
    <row r="50" spans="1:68" x14ac:dyDescent="0.25">
      <c r="A50" t="s">
        <v>44</v>
      </c>
      <c r="B50" s="6">
        <f t="shared" ref="B50:C54" si="32">D49</f>
        <v>-10.452882745889843</v>
      </c>
      <c r="C50" s="6">
        <f t="shared" si="32"/>
        <v>8.4105435199324923</v>
      </c>
      <c r="D50" s="6">
        <f t="shared" si="29"/>
        <v>-5.4547939571509652</v>
      </c>
      <c r="E50" s="6">
        <f t="shared" si="29"/>
        <v>-2.4990443943694389</v>
      </c>
      <c r="F50" s="6">
        <f t="shared" si="30"/>
        <v>-2.1827519228714318</v>
      </c>
      <c r="G50" s="6">
        <f t="shared" si="31"/>
        <v>-14.405506393208174</v>
      </c>
      <c r="H50" s="6">
        <f t="shared" ref="H50:H54" si="33">IF(AND(C50&lt;$G$41,E50&lt;$G$41),0,IF(AND(C50&lt;$G$41,E50&gt;$G$41),IF(F50="V",B50,($G$41-G50)/F50),B50))</f>
        <v>0</v>
      </c>
      <c r="I50" s="6">
        <f t="shared" ref="I50:I54" si="34">IF(AND(C50&lt;$G$41,E50&lt;$G$41),0,IF(AND(C50&lt;$G$41,E50&gt;$G$41),$G$41,C50))</f>
        <v>0</v>
      </c>
      <c r="J50" s="6">
        <f t="shared" ref="J50:J54" si="35">IF(AND(C50&lt;$G$41,E50&lt;$G$41),0,IF(E50&gt;=$G$41,D50,IF(F50="V",D50,($G$41-G50)/F50)))</f>
        <v>0</v>
      </c>
      <c r="K50" s="6">
        <f t="shared" ref="K50:K54" si="36">IF(AND(C50&lt;$G$41,E50&lt;$G$41),0,IF(E50&gt;=$G$41,E50,$G$41))</f>
        <v>0</v>
      </c>
      <c r="L50" s="6">
        <f t="shared" ref="L50:L54" si="37">IF(AND(I50=0,K50=0,H50=0,J50=0),0,$B$31)</f>
        <v>0</v>
      </c>
      <c r="M50" s="6">
        <f t="shared" ref="M50:M54" si="38">IF(AND(I50=0,K50=0,H50=0,J50=0),0,$B$31)</f>
        <v>0</v>
      </c>
      <c r="N50" s="10">
        <f t="shared" ref="N50:N54" si="39">(1/6)*(K50-I50)*((L50*((2*H50)+J50))+(M50*(H50+(2*J50))))</f>
        <v>0</v>
      </c>
      <c r="O50" s="10">
        <f t="shared" ref="O50:O54" si="40">((1/12)*(K50-I50)*(L50*H50*((3*I50)+K50)+L50*J50*(I50+K50)+M50*H50*(I50+K50)+M50*J50*(I50+(3*K50))))</f>
        <v>0</v>
      </c>
      <c r="P50" s="10">
        <f t="shared" ref="P50:P54" si="41">((-1/24)*(K50-I50)*(H50*H50*((3*L50)+M50)+2*H50*J50*(L50+M50)+J50*J50*(L50+(3*M50))))</f>
        <v>0</v>
      </c>
      <c r="S50" t="e">
        <f t="shared" ref="S50:S55" si="42">IF(AND(I50=0,K50=0,H50=0,J50=0),NA(),H50)</f>
        <v>#N/A</v>
      </c>
      <c r="T50" t="e">
        <f t="shared" ref="T50:T55" si="43">IF(AND(I50=0,K50=0,H50=0,J50=0),NA(),I50)</f>
        <v>#N/A</v>
      </c>
      <c r="V50" t="e">
        <f t="shared" ref="V50:V55" si="44">IF(AND(I50=0,K50=0,H50=0,J50=0),NA(),J50)</f>
        <v>#N/A</v>
      </c>
      <c r="W50" t="e">
        <f t="shared" ref="W50:W55" si="45">IF(AND(I50=0,K50=0,H50=0,J50=0),NA(),K50)</f>
        <v>#N/A</v>
      </c>
      <c r="AS50">
        <v>-2.3038346126325244</v>
      </c>
      <c r="AT50">
        <v>-265.65550378786537</v>
      </c>
      <c r="AU50">
        <v>-213.47488878167579</v>
      </c>
      <c r="AV50">
        <f t="shared" si="1"/>
        <v>-2.4646738765333751</v>
      </c>
      <c r="AW50">
        <f t="shared" si="2"/>
        <v>0.16083926390085068</v>
      </c>
      <c r="AX50" s="40">
        <f t="shared" si="3"/>
        <v>-5.6062665301231682</v>
      </c>
      <c r="AY50">
        <f t="shared" si="4"/>
        <v>5.6062665301231682</v>
      </c>
      <c r="AZ50">
        <f t="shared" si="5"/>
        <v>3.9793506945470618</v>
      </c>
      <c r="BA50">
        <f t="shared" si="6"/>
        <v>-2.4646738765333751</v>
      </c>
      <c r="BB50">
        <f t="shared" si="7"/>
        <v>0.16083926390085068</v>
      </c>
      <c r="BC50">
        <f t="shared" si="8"/>
        <v>-5.6062665301231682</v>
      </c>
      <c r="BD50">
        <f t="shared" si="9"/>
        <v>5.6062665301231682</v>
      </c>
      <c r="BE50" s="40">
        <f t="shared" si="10"/>
        <v>-5.8854612772978108</v>
      </c>
      <c r="BF50" s="40">
        <f t="shared" si="11"/>
        <v>-2.4646738765333751</v>
      </c>
      <c r="BG50">
        <f t="shared" si="12"/>
        <v>-2.4646738765333751</v>
      </c>
      <c r="BK50">
        <v>4.7123889803846897</v>
      </c>
      <c r="BL50">
        <v>4.7123889803846453</v>
      </c>
      <c r="BM50">
        <v>4.7123889803846675</v>
      </c>
      <c r="BN50">
        <v>-6.2891050176062224</v>
      </c>
      <c r="BO50">
        <v>-6.2891050176060617</v>
      </c>
      <c r="BP50">
        <v>-6.2891050176061416</v>
      </c>
    </row>
    <row r="51" spans="1:68" x14ac:dyDescent="0.25">
      <c r="A51" t="s">
        <v>45</v>
      </c>
      <c r="B51" s="6">
        <f t="shared" si="32"/>
        <v>-5.4547939571509652</v>
      </c>
      <c r="C51" s="6">
        <f t="shared" si="32"/>
        <v>-2.4990443943694389</v>
      </c>
      <c r="D51" s="6">
        <f t="shared" si="29"/>
        <v>-5.4547939571509652</v>
      </c>
      <c r="E51" s="6">
        <f t="shared" si="29"/>
        <v>-2.4990443943694389</v>
      </c>
      <c r="F51" s="6" t="str">
        <f t="shared" si="30"/>
        <v>V</v>
      </c>
      <c r="G51" s="6">
        <f t="shared" si="31"/>
        <v>0</v>
      </c>
      <c r="H51" s="6">
        <f t="shared" si="33"/>
        <v>0</v>
      </c>
      <c r="I51" s="6">
        <f t="shared" si="34"/>
        <v>0</v>
      </c>
      <c r="J51" s="6">
        <f t="shared" si="35"/>
        <v>0</v>
      </c>
      <c r="K51" s="6">
        <f t="shared" si="36"/>
        <v>0</v>
      </c>
      <c r="L51" s="6">
        <f t="shared" si="37"/>
        <v>0</v>
      </c>
      <c r="M51" s="6">
        <f t="shared" si="38"/>
        <v>0</v>
      </c>
      <c r="N51" s="10">
        <f t="shared" si="39"/>
        <v>0</v>
      </c>
      <c r="O51" s="10">
        <f t="shared" si="40"/>
        <v>0</v>
      </c>
      <c r="P51" s="10">
        <f t="shared" si="41"/>
        <v>0</v>
      </c>
      <c r="S51" t="e">
        <f t="shared" si="42"/>
        <v>#N/A</v>
      </c>
      <c r="T51" t="e">
        <f t="shared" si="43"/>
        <v>#N/A</v>
      </c>
      <c r="V51" t="e">
        <f t="shared" si="44"/>
        <v>#N/A</v>
      </c>
      <c r="W51" t="e">
        <f t="shared" si="45"/>
        <v>#N/A</v>
      </c>
      <c r="AS51">
        <v>-2.2863813201125813</v>
      </c>
      <c r="AT51">
        <v>-264.81841237607705</v>
      </c>
      <c r="AU51">
        <v>-214.21547074814035</v>
      </c>
      <c r="AV51">
        <f t="shared" si="1"/>
        <v>-2.4614395892917571</v>
      </c>
      <c r="AW51">
        <f t="shared" si="2"/>
        <v>0.17505826917917577</v>
      </c>
      <c r="AX51" s="40">
        <f t="shared" si="3"/>
        <v>-5.6030322428815502</v>
      </c>
      <c r="AY51">
        <f t="shared" si="4"/>
        <v>5.6030322428815502</v>
      </c>
      <c r="AZ51">
        <f t="shared" si="5"/>
        <v>3.9968039870670049</v>
      </c>
      <c r="BA51">
        <f t="shared" si="6"/>
        <v>-2.4614395892917571</v>
      </c>
      <c r="BB51">
        <f t="shared" si="7"/>
        <v>0.17505826917917577</v>
      </c>
      <c r="BC51">
        <f t="shared" si="8"/>
        <v>-5.6030322428815502</v>
      </c>
      <c r="BD51">
        <f t="shared" si="9"/>
        <v>5.6030322428815502</v>
      </c>
      <c r="BE51" s="40">
        <f t="shared" si="10"/>
        <v>-5.8886955645394288</v>
      </c>
      <c r="BF51" s="40">
        <f t="shared" si="11"/>
        <v>-2.4614395892917571</v>
      </c>
      <c r="BG51">
        <f t="shared" si="12"/>
        <v>-2.4614395892917571</v>
      </c>
      <c r="BK51">
        <v>4.7123889803846897</v>
      </c>
      <c r="BL51">
        <v>4.7123889803846675</v>
      </c>
      <c r="BM51">
        <v>4.712388980384679</v>
      </c>
      <c r="BN51">
        <v>-6.2891050176062224</v>
      </c>
      <c r="BO51">
        <v>-6.2891050176061416</v>
      </c>
      <c r="BP51">
        <v>-6.2891050176061842</v>
      </c>
    </row>
    <row r="52" spans="1:68" x14ac:dyDescent="0.25">
      <c r="A52" t="s">
        <v>46</v>
      </c>
      <c r="B52" s="6">
        <f t="shared" si="32"/>
        <v>-5.4547939571509652</v>
      </c>
      <c r="C52" s="6">
        <f t="shared" si="32"/>
        <v>-2.4990443943694389</v>
      </c>
      <c r="D52" s="6">
        <f t="shared" si="29"/>
        <v>-0.4567051684120873</v>
      </c>
      <c r="E52" s="6">
        <f t="shared" si="29"/>
        <v>-13.408632308671368</v>
      </c>
      <c r="F52" s="6">
        <f t="shared" si="30"/>
        <v>-2.1827519228714318</v>
      </c>
      <c r="G52" s="6">
        <f t="shared" si="31"/>
        <v>-14.405506393208174</v>
      </c>
      <c r="H52" s="6">
        <f t="shared" si="33"/>
        <v>0</v>
      </c>
      <c r="I52" s="6">
        <f t="shared" si="34"/>
        <v>0</v>
      </c>
      <c r="J52" s="6">
        <f t="shared" si="35"/>
        <v>0</v>
      </c>
      <c r="K52" s="6">
        <f t="shared" si="36"/>
        <v>0</v>
      </c>
      <c r="L52" s="6">
        <f t="shared" si="37"/>
        <v>0</v>
      </c>
      <c r="M52" s="6">
        <f t="shared" si="38"/>
        <v>0</v>
      </c>
      <c r="N52" s="10">
        <f t="shared" si="39"/>
        <v>0</v>
      </c>
      <c r="O52" s="10">
        <f t="shared" si="40"/>
        <v>0</v>
      </c>
      <c r="P52" s="10">
        <f t="shared" si="41"/>
        <v>0</v>
      </c>
      <c r="S52" t="e">
        <f t="shared" si="42"/>
        <v>#N/A</v>
      </c>
      <c r="T52" t="e">
        <f t="shared" si="43"/>
        <v>#N/A</v>
      </c>
      <c r="V52" t="e">
        <f t="shared" si="44"/>
        <v>#N/A</v>
      </c>
      <c r="W52" t="e">
        <f t="shared" si="45"/>
        <v>#N/A</v>
      </c>
      <c r="AS52">
        <v>-2.2689280275926382</v>
      </c>
      <c r="AT52">
        <v>-263.96224210888329</v>
      </c>
      <c r="AU52">
        <v>-214.94669137783052</v>
      </c>
      <c r="AV52">
        <f t="shared" si="1"/>
        <v>-2.4581877209702894</v>
      </c>
      <c r="AW52">
        <f t="shared" si="2"/>
        <v>0.18925969337765114</v>
      </c>
      <c r="AX52" s="40">
        <f t="shared" si="3"/>
        <v>-5.5997803745600825</v>
      </c>
      <c r="AY52">
        <f t="shared" si="4"/>
        <v>5.5997803745600825</v>
      </c>
      <c r="AZ52">
        <f t="shared" si="5"/>
        <v>4.014257279586948</v>
      </c>
      <c r="BA52">
        <f t="shared" si="6"/>
        <v>-2.4581877209702894</v>
      </c>
      <c r="BB52">
        <f t="shared" si="7"/>
        <v>0.18925969337765114</v>
      </c>
      <c r="BC52">
        <f t="shared" si="8"/>
        <v>-5.5997803745600825</v>
      </c>
      <c r="BD52">
        <f t="shared" si="9"/>
        <v>5.5997803745600825</v>
      </c>
      <c r="BE52" s="40">
        <f t="shared" si="10"/>
        <v>-5.8919474328608965</v>
      </c>
      <c r="BF52" s="40">
        <f t="shared" si="11"/>
        <v>-2.4581877209702894</v>
      </c>
      <c r="BG52">
        <f t="shared" si="12"/>
        <v>-2.4581877209702894</v>
      </c>
      <c r="BK52">
        <v>4.7123889803846897</v>
      </c>
      <c r="BL52">
        <v>4.712388980384679</v>
      </c>
      <c r="BM52">
        <v>4.7123889803846843</v>
      </c>
      <c r="BN52">
        <v>-6.2891050176062224</v>
      </c>
      <c r="BO52">
        <v>-6.2891050176061842</v>
      </c>
      <c r="BP52">
        <v>-6.2891050176062029</v>
      </c>
    </row>
    <row r="53" spans="1:68" x14ac:dyDescent="0.25">
      <c r="A53" t="s">
        <v>47</v>
      </c>
      <c r="B53" s="6">
        <f t="shared" si="32"/>
        <v>-0.4567051684120873</v>
      </c>
      <c r="C53" s="6">
        <f t="shared" si="32"/>
        <v>-13.408632308671368</v>
      </c>
      <c r="D53" s="6">
        <f t="shared" si="29"/>
        <v>32.272058574493705</v>
      </c>
      <c r="E53" s="6">
        <f t="shared" si="29"/>
        <v>1.5856340575452634</v>
      </c>
      <c r="F53" s="6">
        <f t="shared" si="30"/>
        <v>0.45813726677857647</v>
      </c>
      <c r="G53" s="6">
        <f t="shared" si="31"/>
        <v>-13.199398651091405</v>
      </c>
      <c r="H53" s="6">
        <f t="shared" si="33"/>
        <v>0</v>
      </c>
      <c r="I53" s="6">
        <f t="shared" si="34"/>
        <v>0</v>
      </c>
      <c r="J53" s="6">
        <f t="shared" si="35"/>
        <v>0</v>
      </c>
      <c r="K53" s="6">
        <f t="shared" si="36"/>
        <v>0</v>
      </c>
      <c r="L53" s="6">
        <f t="shared" si="37"/>
        <v>0</v>
      </c>
      <c r="M53" s="6">
        <f t="shared" si="38"/>
        <v>0</v>
      </c>
      <c r="N53" s="10">
        <f t="shared" si="39"/>
        <v>0</v>
      </c>
      <c r="O53" s="10">
        <f t="shared" si="40"/>
        <v>0</v>
      </c>
      <c r="P53" s="10">
        <f t="shared" si="41"/>
        <v>0</v>
      </c>
      <c r="S53" t="e">
        <f t="shared" si="42"/>
        <v>#N/A</v>
      </c>
      <c r="T53" t="e">
        <f t="shared" si="43"/>
        <v>#N/A</v>
      </c>
      <c r="V53" t="e">
        <f t="shared" si="44"/>
        <v>#N/A</v>
      </c>
      <c r="W53" t="e">
        <f t="shared" si="45"/>
        <v>#N/A</v>
      </c>
      <c r="AS53">
        <v>-2.2514747350726951</v>
      </c>
      <c r="AT53">
        <v>-263.085377405229</v>
      </c>
      <c r="AU53">
        <v>-215.66950104677591</v>
      </c>
      <c r="AV53">
        <f t="shared" si="1"/>
        <v>-2.4549125434950052</v>
      </c>
      <c r="AW53">
        <f t="shared" si="2"/>
        <v>0.20343780842231007</v>
      </c>
      <c r="AX53" s="40">
        <f t="shared" si="3"/>
        <v>-5.5965051970847988</v>
      </c>
      <c r="AY53">
        <f t="shared" si="4"/>
        <v>5.5965051970847988</v>
      </c>
      <c r="AZ53">
        <f t="shared" si="5"/>
        <v>4.0317105721068911</v>
      </c>
      <c r="BA53">
        <f t="shared" si="6"/>
        <v>-2.4549125434950052</v>
      </c>
      <c r="BB53">
        <f t="shared" si="7"/>
        <v>0.20343780842231007</v>
      </c>
      <c r="BC53">
        <f t="shared" si="8"/>
        <v>-5.5965051970847988</v>
      </c>
      <c r="BD53">
        <f t="shared" si="9"/>
        <v>5.5965051970847988</v>
      </c>
      <c r="BE53" s="40">
        <f t="shared" si="10"/>
        <v>-5.8952226103361802</v>
      </c>
      <c r="BF53" s="40">
        <f t="shared" si="11"/>
        <v>-2.4549125434950057</v>
      </c>
      <c r="BG53">
        <f t="shared" si="12"/>
        <v>-2.4549125434950057</v>
      </c>
      <c r="BK53">
        <v>4.7123889803846897</v>
      </c>
      <c r="BL53">
        <v>4.7123889803846843</v>
      </c>
      <c r="BM53">
        <v>4.712388980384687</v>
      </c>
      <c r="BN53">
        <v>-6.2891050176062224</v>
      </c>
      <c r="BO53">
        <v>-6.2891050176062029</v>
      </c>
      <c r="BP53">
        <v>-6.2891050176062127</v>
      </c>
    </row>
    <row r="54" spans="1:68" x14ac:dyDescent="0.25">
      <c r="A54" t="s">
        <v>48</v>
      </c>
      <c r="B54" s="6">
        <f t="shared" si="32"/>
        <v>32.272058574493705</v>
      </c>
      <c r="C54" s="6">
        <f t="shared" si="32"/>
        <v>1.5856340575452634</v>
      </c>
      <c r="D54" s="6">
        <f t="shared" si="29"/>
        <v>27.273969785754826</v>
      </c>
      <c r="E54" s="6">
        <f t="shared" si="29"/>
        <v>12.495221971847194</v>
      </c>
      <c r="F54" s="6">
        <f t="shared" si="30"/>
        <v>-2.1827519228714309</v>
      </c>
      <c r="G54" s="6">
        <f t="shared" si="31"/>
        <v>72.027531966040854</v>
      </c>
      <c r="H54" s="6">
        <f t="shared" si="33"/>
        <v>28.936053099577411</v>
      </c>
      <c r="I54" s="6">
        <f t="shared" si="34"/>
        <v>8.8673064226284346</v>
      </c>
      <c r="J54" s="6">
        <f t="shared" si="35"/>
        <v>27.273969785754826</v>
      </c>
      <c r="K54" s="6">
        <f t="shared" si="36"/>
        <v>12.495221971847194</v>
      </c>
      <c r="L54" s="6">
        <f t="shared" si="37"/>
        <v>4.25</v>
      </c>
      <c r="M54" s="6">
        <f t="shared" si="38"/>
        <v>4.25</v>
      </c>
      <c r="N54" s="10">
        <f t="shared" si="39"/>
        <v>433.34108410123309</v>
      </c>
      <c r="O54" s="10">
        <f t="shared" si="40"/>
        <v>4620.8828708470255</v>
      </c>
      <c r="P54" s="10">
        <f t="shared" si="41"/>
        <v>-6091.3028269084807</v>
      </c>
      <c r="S54">
        <f t="shared" si="42"/>
        <v>28.936053099577411</v>
      </c>
      <c r="T54">
        <f t="shared" si="43"/>
        <v>8.8673064226284346</v>
      </c>
      <c r="V54">
        <f t="shared" si="44"/>
        <v>27.273969785754826</v>
      </c>
      <c r="W54">
        <f t="shared" si="45"/>
        <v>12.495221971847194</v>
      </c>
      <c r="AS54">
        <v>-2.234021442552752</v>
      </c>
      <c r="AT54">
        <v>-262.18607258932417</v>
      </c>
      <c r="AU54">
        <v>-216.38481458610153</v>
      </c>
      <c r="AV54">
        <f t="shared" si="1"/>
        <v>-2.4516081204399276</v>
      </c>
      <c r="AW54">
        <f t="shared" si="2"/>
        <v>0.21758667788717556</v>
      </c>
      <c r="AX54" s="40">
        <f t="shared" si="3"/>
        <v>-5.5932007740297207</v>
      </c>
      <c r="AY54">
        <f t="shared" si="4"/>
        <v>5.5932007740297207</v>
      </c>
      <c r="AZ54">
        <f t="shared" si="5"/>
        <v>4.0491638646268342</v>
      </c>
      <c r="BA54">
        <f t="shared" si="6"/>
        <v>-2.4516081204399276</v>
      </c>
      <c r="BB54">
        <f t="shared" si="7"/>
        <v>0.21758667788717556</v>
      </c>
      <c r="BC54">
        <f t="shared" si="8"/>
        <v>-5.5932007740297207</v>
      </c>
      <c r="BD54">
        <f t="shared" si="9"/>
        <v>5.5932007740297207</v>
      </c>
      <c r="BE54" s="40">
        <f t="shared" si="10"/>
        <v>-5.8985270333912583</v>
      </c>
      <c r="BF54" s="40">
        <f t="shared" si="11"/>
        <v>-2.4516081204399276</v>
      </c>
      <c r="BG54">
        <f t="shared" si="12"/>
        <v>-2.4516081204399276</v>
      </c>
    </row>
    <row r="55" spans="1:68" x14ac:dyDescent="0.25">
      <c r="A55" t="s">
        <v>93</v>
      </c>
      <c r="B55" s="6">
        <f>D54</f>
        <v>27.273969785754826</v>
      </c>
      <c r="C55" s="6">
        <f>E54</f>
        <v>12.495221971847194</v>
      </c>
      <c r="D55" s="6">
        <f t="shared" si="29"/>
        <v>5.4547939571509652</v>
      </c>
      <c r="E55" s="6">
        <f t="shared" si="29"/>
        <v>2.4990443943694389</v>
      </c>
      <c r="F55" s="6">
        <f t="shared" ref="F55:F56" si="46">IF(B55=D55,"V",(C55-E55)/(B55-D55))</f>
        <v>0.45813726677857652</v>
      </c>
      <c r="G55" s="6">
        <f t="shared" ref="G55:G56" si="47">IF(F55="V",0,(-1*B55*F55)+C55)</f>
        <v>0</v>
      </c>
      <c r="H55" s="6">
        <f t="shared" ref="H55:H56" si="48">IF(AND(C55&lt;$G$41,E55&lt;$G$41),0,IF(AND(C55&lt;$G$41,E55&gt;$G$41),IF(F55="V",B55,($G$41-G55)/F55),B55))</f>
        <v>27.273969785754826</v>
      </c>
      <c r="I55" s="6">
        <f t="shared" ref="I55:I56" si="49">IF(AND(C55&lt;$G$41,E55&lt;$G$41),0,IF(AND(C55&lt;$G$41,E55&gt;$G$41),$G$41,C55))</f>
        <v>12.495221971847194</v>
      </c>
      <c r="J55" s="6">
        <f t="shared" ref="J55:J56" si="50">IF(AND(C55&lt;$G$41,E55&lt;$G$41),0,IF(E55&gt;=$G$41,D55,IF(F55="V",D55,($G$41-G55)/F55)))</f>
        <v>19.355130144682413</v>
      </c>
      <c r="K55" s="6">
        <f t="shared" ref="K55:K56" si="51">IF(AND(C55&lt;$G$41,E55&lt;$G$41),0,IF(E55&gt;=$G$41,E55,$G$41))</f>
        <v>8.8673064226284346</v>
      </c>
      <c r="L55" s="6">
        <f t="shared" ref="L55:L56" si="52">IF(AND(I55=0,K55=0,H55=0,J55=0),0,$B$31)</f>
        <v>4.25</v>
      </c>
      <c r="M55" s="6">
        <f t="shared" ref="M55:M56" si="53">IF(AND(I55=0,K55=0,H55=0,J55=0),0,$B$31)</f>
        <v>4.25</v>
      </c>
      <c r="N55" s="10">
        <f t="shared" ref="N55:N56" si="54">(1/6)*(K55-I55)*((L55*((2*H55)+J55))+(M55*(H55+(2*J55))))</f>
        <v>-359.47867795288084</v>
      </c>
      <c r="O55" s="10">
        <f t="shared" ref="O55:O56" si="55">((1/12)*(K55-I55)*(L55*H55*((3*I55)+K55)+L55*J55*(I55+K55)+M55*H55*(I55+K55)+M55*J55*(I55+(3*K55))))</f>
        <v>-3876.6000918275117</v>
      </c>
      <c r="P55" s="10">
        <f t="shared" ref="P55:P56" si="56">((-1/24)*(K55-I55)*(H55*H55*((3*L55)+M55)+2*H55*J55*(L55+M55)+J55*J55*(L55+(3*M55))))</f>
        <v>4230.8281523200349</v>
      </c>
      <c r="S55">
        <f t="shared" si="42"/>
        <v>27.273969785754826</v>
      </c>
      <c r="T55">
        <f t="shared" si="43"/>
        <v>12.495221971847194</v>
      </c>
      <c r="V55">
        <f t="shared" si="44"/>
        <v>19.355130144682413</v>
      </c>
      <c r="W55">
        <f t="shared" si="45"/>
        <v>8.8673064226284346</v>
      </c>
      <c r="AS55">
        <v>-2.2165681500328089</v>
      </c>
      <c r="AT55">
        <v>-261.2624347882151</v>
      </c>
      <c r="AU55">
        <v>-217.09351684209537</v>
      </c>
      <c r="AV55">
        <f t="shared" si="1"/>
        <v>-2.4482682525281958</v>
      </c>
      <c r="AW55">
        <f t="shared" si="2"/>
        <v>0.23170010249538686</v>
      </c>
      <c r="AX55" s="40">
        <f t="shared" si="3"/>
        <v>-5.5898609061179894</v>
      </c>
      <c r="AY55">
        <f t="shared" si="4"/>
        <v>5.5898609061179894</v>
      </c>
      <c r="AZ55">
        <f t="shared" si="5"/>
        <v>4.0666171571467773</v>
      </c>
      <c r="BA55">
        <f t="shared" si="6"/>
        <v>-2.4482682525281958</v>
      </c>
      <c r="BB55">
        <f t="shared" si="7"/>
        <v>0.23170010249538686</v>
      </c>
      <c r="BC55">
        <f t="shared" si="8"/>
        <v>-5.5898609061179894</v>
      </c>
      <c r="BD55">
        <f t="shared" si="9"/>
        <v>5.5898609061179894</v>
      </c>
      <c r="BE55" s="40">
        <f t="shared" si="10"/>
        <v>-5.9018669013029896</v>
      </c>
      <c r="BF55" s="40">
        <f t="shared" si="11"/>
        <v>-2.4482682525281962</v>
      </c>
      <c r="BG55">
        <f t="shared" si="12"/>
        <v>-2.4482682525281962</v>
      </c>
    </row>
    <row r="56" spans="1:68" ht="15.75" thickBot="1" x14ac:dyDescent="0.3">
      <c r="A56" t="s">
        <v>94</v>
      </c>
      <c r="B56" s="6">
        <f>D55</f>
        <v>5.4547939571509652</v>
      </c>
      <c r="C56" s="6">
        <f>E55</f>
        <v>2.4990443943694389</v>
      </c>
      <c r="D56" s="6">
        <f t="shared" si="29"/>
        <v>0.4567051684120873</v>
      </c>
      <c r="E56" s="6">
        <f t="shared" si="29"/>
        <v>13.408632308671368</v>
      </c>
      <c r="F56" s="6">
        <f t="shared" si="46"/>
        <v>-2.1827519228714318</v>
      </c>
      <c r="G56" s="6">
        <f t="shared" si="47"/>
        <v>14.405506393208174</v>
      </c>
      <c r="H56" s="6">
        <f t="shared" si="48"/>
        <v>2.5372557973945948</v>
      </c>
      <c r="I56" s="6">
        <f t="shared" si="49"/>
        <v>8.8673064226284346</v>
      </c>
      <c r="J56" s="6">
        <f t="shared" si="50"/>
        <v>0.4567051684120873</v>
      </c>
      <c r="K56" s="6">
        <f t="shared" si="51"/>
        <v>13.408632308671368</v>
      </c>
      <c r="L56" s="6">
        <f t="shared" si="52"/>
        <v>4.25</v>
      </c>
      <c r="M56" s="6">
        <f t="shared" si="53"/>
        <v>4.25</v>
      </c>
      <c r="N56" s="11">
        <f t="shared" si="54"/>
        <v>28.892673926117471</v>
      </c>
      <c r="O56" s="11">
        <f t="shared" si="55"/>
        <v>306.60894644816926</v>
      </c>
      <c r="P56" s="11">
        <f t="shared" si="56"/>
        <v>-25.106987963893097</v>
      </c>
      <c r="S56">
        <f t="shared" ref="S56" si="57">IF(AND(I56=0,K56=0,H56=0,J56=0),NA(),H56)</f>
        <v>2.5372557973945948</v>
      </c>
      <c r="T56">
        <f t="shared" ref="T56" si="58">IF(AND(I56=0,K56=0,H56=0,J56=0),NA(),I56)</f>
        <v>8.8673064226284346</v>
      </c>
      <c r="V56">
        <f t="shared" ref="V56" si="59">IF(AND(I56=0,K56=0,H56=0,J56=0),NA(),J56)</f>
        <v>0.4567051684120873</v>
      </c>
      <c r="W56">
        <f t="shared" ref="W56" si="60">IF(AND(I56=0,K56=0,H56=0,J56=0),NA(),K56)</f>
        <v>13.408632308671368</v>
      </c>
      <c r="AS56">
        <v>-2.1991148575128658</v>
      </c>
      <c r="AT56">
        <v>-260.31240454448675</v>
      </c>
      <c r="AU56">
        <v>-217.79646800899189</v>
      </c>
      <c r="AV56">
        <f t="shared" si="1"/>
        <v>-2.4448864179540095</v>
      </c>
      <c r="AW56">
        <f t="shared" si="2"/>
        <v>0.24577156044114368</v>
      </c>
      <c r="AX56" s="40">
        <f t="shared" si="3"/>
        <v>-5.5864790715438026</v>
      </c>
      <c r="AY56">
        <f t="shared" si="4"/>
        <v>5.5864790715438026</v>
      </c>
      <c r="AZ56">
        <f t="shared" si="5"/>
        <v>4.0840704496667204</v>
      </c>
      <c r="BA56">
        <f t="shared" si="6"/>
        <v>-2.4448864179540095</v>
      </c>
      <c r="BB56">
        <f t="shared" si="7"/>
        <v>0.24577156044114368</v>
      </c>
      <c r="BC56">
        <f t="shared" si="8"/>
        <v>-5.5864790715438026</v>
      </c>
      <c r="BD56">
        <f t="shared" si="9"/>
        <v>5.5864790715438026</v>
      </c>
      <c r="BE56" s="40">
        <f t="shared" si="10"/>
        <v>-5.9052487358771764</v>
      </c>
      <c r="BF56" s="40">
        <f t="shared" si="11"/>
        <v>-2.4448864179540095</v>
      </c>
      <c r="BG56">
        <f t="shared" si="12"/>
        <v>-2.4448864179540095</v>
      </c>
    </row>
    <row r="57" spans="1:68" ht="15.75" thickTop="1" x14ac:dyDescent="0.25">
      <c r="N57" s="6">
        <f>SUM(N49:N56)</f>
        <v>189.60000000143805</v>
      </c>
      <c r="O57" s="6">
        <f t="shared" ref="O57:P57" si="61">SUM(O49:O56)</f>
        <v>1945.7641986503227</v>
      </c>
      <c r="P57" s="6">
        <f t="shared" si="61"/>
        <v>-1611.178919108806</v>
      </c>
      <c r="AS57">
        <v>-2.1816615649929227</v>
      </c>
      <c r="AT57">
        <v>-259.333733290667</v>
      </c>
      <c r="AU57">
        <v>-218.49450870875876</v>
      </c>
      <c r="AV57">
        <f t="shared" si="1"/>
        <v>-2.4414557056317294</v>
      </c>
      <c r="AW57">
        <f t="shared" si="2"/>
        <v>0.25979414063880668</v>
      </c>
      <c r="AX57" s="40">
        <f t="shared" si="3"/>
        <v>-5.5830483592215225</v>
      </c>
      <c r="AY57">
        <f t="shared" si="4"/>
        <v>5.5830483592215225</v>
      </c>
      <c r="AZ57">
        <f t="shared" si="5"/>
        <v>4.1015237421866635</v>
      </c>
      <c r="BA57">
        <f t="shared" si="6"/>
        <v>-2.4414557056317294</v>
      </c>
      <c r="BB57">
        <f t="shared" si="7"/>
        <v>0.25979414063880668</v>
      </c>
      <c r="BC57">
        <f t="shared" si="8"/>
        <v>-5.5830483592215225</v>
      </c>
      <c r="BD57">
        <f t="shared" si="9"/>
        <v>5.5830483592215225</v>
      </c>
      <c r="BE57" s="40">
        <f t="shared" si="10"/>
        <v>-5.9086794481994565</v>
      </c>
      <c r="BF57" s="40">
        <f t="shared" si="11"/>
        <v>-2.4414557056317294</v>
      </c>
      <c r="BG57">
        <f t="shared" si="12"/>
        <v>-2.4414557056317294</v>
      </c>
    </row>
    <row r="58" spans="1:68" x14ac:dyDescent="0.25">
      <c r="O58" s="6">
        <f>O57/N57</f>
        <v>10.262469402086312</v>
      </c>
      <c r="P58" s="6">
        <f>-1*P57/N57</f>
        <v>8.4977791091592074</v>
      </c>
      <c r="S58">
        <f>(P58*COS(-1*$B$27))+(O58*SIN(-1*$B$27))+$I$2</f>
        <v>-6.0000001275861727</v>
      </c>
      <c r="T58">
        <f>(-1*P58*SIN(-1*$B$27))+(O58*COS(-1*$B$27))+$I$3</f>
        <v>6.2094451945644913</v>
      </c>
      <c r="AS58">
        <v>-2.1642082724729796</v>
      </c>
      <c r="AT58">
        <v>-258.32395741778373</v>
      </c>
      <c r="AU58">
        <v>-219.1884649732612</v>
      </c>
      <c r="AV58">
        <f t="shared" si="1"/>
        <v>-2.4379687400813976</v>
      </c>
      <c r="AW58">
        <f t="shared" si="2"/>
        <v>0.27376046760841799</v>
      </c>
      <c r="AX58" s="40">
        <f t="shared" si="3"/>
        <v>-5.5795613936711907</v>
      </c>
      <c r="AY58">
        <f t="shared" si="4"/>
        <v>5.5795613936711907</v>
      </c>
      <c r="AZ58">
        <f t="shared" si="5"/>
        <v>4.1189770347066066</v>
      </c>
      <c r="BA58">
        <f t="shared" si="6"/>
        <v>-2.4379687400813976</v>
      </c>
      <c r="BB58">
        <f t="shared" si="7"/>
        <v>0.27376046760841799</v>
      </c>
      <c r="BC58">
        <f t="shared" si="8"/>
        <v>-5.5795613936711907</v>
      </c>
      <c r="BD58">
        <f t="shared" si="9"/>
        <v>5.5795613936711907</v>
      </c>
      <c r="BE58" s="40">
        <f t="shared" si="10"/>
        <v>-5.9121664137497882</v>
      </c>
      <c r="BF58" s="40">
        <f t="shared" si="11"/>
        <v>-2.4379687400813976</v>
      </c>
      <c r="BG58">
        <f t="shared" si="12"/>
        <v>-2.4379687400813976</v>
      </c>
    </row>
    <row r="59" spans="1:68" x14ac:dyDescent="0.25">
      <c r="A59" t="s">
        <v>54</v>
      </c>
      <c r="AS59">
        <v>-2.1467549799530365</v>
      </c>
      <c r="AT59">
        <v>-257.28036809137825</v>
      </c>
      <c r="AU59">
        <v>-219.87915316242226</v>
      </c>
      <c r="AV59">
        <f t="shared" si="1"/>
        <v>-2.4344175957491414</v>
      </c>
      <c r="AW59">
        <f t="shared" si="2"/>
        <v>0.28766261579610486</v>
      </c>
      <c r="AX59" s="40">
        <f t="shared" si="3"/>
        <v>-5.5760102493389345</v>
      </c>
      <c r="AY59">
        <f t="shared" si="4"/>
        <v>5.5760102493389345</v>
      </c>
      <c r="AZ59">
        <f t="shared" si="5"/>
        <v>4.1364303272265497</v>
      </c>
      <c r="BA59">
        <f t="shared" si="6"/>
        <v>-2.4344175957491414</v>
      </c>
      <c r="BB59">
        <f t="shared" si="7"/>
        <v>0.28766261579610486</v>
      </c>
      <c r="BC59">
        <f t="shared" si="8"/>
        <v>-5.5760102493389345</v>
      </c>
      <c r="BD59">
        <f t="shared" si="9"/>
        <v>5.5760102493389345</v>
      </c>
      <c r="BE59" s="40">
        <f t="shared" si="10"/>
        <v>-5.9157175580820445</v>
      </c>
      <c r="BF59" s="40">
        <f t="shared" si="11"/>
        <v>-2.4344175957491414</v>
      </c>
      <c r="BG59">
        <f t="shared" si="12"/>
        <v>-2.4344175957491414</v>
      </c>
    </row>
    <row r="60" spans="1:68" x14ac:dyDescent="0.25">
      <c r="AS60">
        <v>-2.1293016874330934</v>
      </c>
      <c r="AT60">
        <v>-256.19997597621801</v>
      </c>
      <c r="AU60">
        <v>-220.56738489730992</v>
      </c>
      <c r="AV60">
        <f t="shared" si="1"/>
        <v>-2.4307936983349734</v>
      </c>
      <c r="AW60">
        <f t="shared" si="2"/>
        <v>0.30149201090187994</v>
      </c>
      <c r="AX60" s="40">
        <f t="shared" si="3"/>
        <v>-5.5723863519247665</v>
      </c>
      <c r="AY60">
        <f t="shared" si="4"/>
        <v>5.5723863519247665</v>
      </c>
      <c r="AZ60">
        <f t="shared" si="5"/>
        <v>4.1538836197464928</v>
      </c>
      <c r="BA60">
        <f t="shared" si="6"/>
        <v>-2.4307936983349734</v>
      </c>
      <c r="BB60">
        <f t="shared" si="7"/>
        <v>0.30149201090187994</v>
      </c>
      <c r="BC60">
        <f t="shared" si="8"/>
        <v>-5.5723863519247665</v>
      </c>
      <c r="BD60">
        <f t="shared" si="9"/>
        <v>5.5723863519247665</v>
      </c>
      <c r="BE60" s="40">
        <f t="shared" si="10"/>
        <v>-5.9193414554962125</v>
      </c>
      <c r="BF60" s="40">
        <f t="shared" si="11"/>
        <v>-2.4307936983349734</v>
      </c>
      <c r="BG60">
        <f t="shared" si="12"/>
        <v>-2.4307936983349734</v>
      </c>
    </row>
    <row r="61" spans="1:68" x14ac:dyDescent="0.25">
      <c r="A61">
        <f t="shared" ref="A61:A71" si="62">A14</f>
        <v>0</v>
      </c>
      <c r="B61" s="1" t="str">
        <f t="shared" ref="B61:D61" si="63">B14</f>
        <v>Bar #</v>
      </c>
      <c r="C61" s="1" t="str">
        <f t="shared" si="63"/>
        <v>As (in^2)</v>
      </c>
      <c r="D61" s="1" t="str">
        <f t="shared" si="63"/>
        <v>x</v>
      </c>
      <c r="E61" s="1" t="str">
        <f>E14</f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AS61">
        <v>-2.1118483949131504</v>
      </c>
      <c r="AT61">
        <v>-255.07946987251444</v>
      </c>
      <c r="AU61">
        <v>-221.2539721122518</v>
      </c>
      <c r="AV61">
        <f t="shared" si="1"/>
        <v>-2.4270877101737551</v>
      </c>
      <c r="AW61">
        <f t="shared" si="2"/>
        <v>0.31523931526060478</v>
      </c>
      <c r="AX61" s="40">
        <f t="shared" si="3"/>
        <v>-5.5686803637635478</v>
      </c>
      <c r="AY61">
        <f t="shared" si="4"/>
        <v>5.5686803637635478</v>
      </c>
      <c r="AZ61">
        <f t="shared" si="5"/>
        <v>4.1713369122664359</v>
      </c>
      <c r="BA61">
        <f t="shared" si="6"/>
        <v>-2.4270877101737551</v>
      </c>
      <c r="BB61">
        <f t="shared" si="7"/>
        <v>0.31523931526060478</v>
      </c>
      <c r="BC61">
        <f t="shared" si="8"/>
        <v>-5.5686803637635478</v>
      </c>
      <c r="BD61">
        <f t="shared" si="9"/>
        <v>5.5686803637635478</v>
      </c>
      <c r="BE61" s="40">
        <f t="shared" si="10"/>
        <v>-5.9230474436574312</v>
      </c>
      <c r="BF61" s="40">
        <f t="shared" si="11"/>
        <v>-2.4270877101737547</v>
      </c>
      <c r="BG61">
        <f t="shared" si="12"/>
        <v>-2.4270877101737547</v>
      </c>
    </row>
    <row r="62" spans="1:68" x14ac:dyDescent="0.25">
      <c r="A62">
        <f t="shared" si="62"/>
        <v>1</v>
      </c>
      <c r="B62" s="1">
        <f t="shared" ref="B62:D67" si="64">B15</f>
        <v>8</v>
      </c>
      <c r="C62" s="1">
        <f t="shared" ca="1" si="64"/>
        <v>0.79</v>
      </c>
      <c r="D62" s="1">
        <f t="shared" si="64"/>
        <v>9</v>
      </c>
      <c r="E62" s="1">
        <f t="shared" ref="E62" si="65">E15</f>
        <v>22</v>
      </c>
      <c r="F62" s="1">
        <f>D62-$I$2</f>
        <v>3</v>
      </c>
      <c r="G62" s="1">
        <f>E62-$I$3</f>
        <v>10</v>
      </c>
      <c r="H62" s="6">
        <f>F62*COS($B$27)+G62*SIN($B$27)</f>
        <v>1.4376770120402487</v>
      </c>
      <c r="I62" s="6">
        <f>-1*F62*SIN($B$27)+G62*COS($B$27)</f>
        <v>-10.340845459102994</v>
      </c>
      <c r="J62" s="6">
        <f>$G$38-I62</f>
        <v>23.749477767774362</v>
      </c>
      <c r="K62">
        <f ca="1">IF($B$28=0,-1,IF(C62=0,0,(($B$28-J62)/$B$28)*$B$30)*IF($B$28&lt;0,-1,1))</f>
        <v>-9.5511245114197497E-3</v>
      </c>
      <c r="L62">
        <f ca="1">IF(AND(K62&gt;0,J62&lt;=$B$29),MIN((K62*B$13),B$12)-$B$31,MAX(K62*B$13,-1*B$12))</f>
        <v>-60</v>
      </c>
      <c r="M62" s="6">
        <f ca="1">L62*C62</f>
        <v>-47.400000000000006</v>
      </c>
      <c r="N62" s="6">
        <f ca="1">M62*I62</f>
        <v>490.15607476148193</v>
      </c>
      <c r="O62" s="6">
        <f ca="1">M62*H62*-1</f>
        <v>68.145890370707789</v>
      </c>
      <c r="Q62">
        <f>IF($B62=0,NA(),H62)</f>
        <v>1.4376770120402487</v>
      </c>
      <c r="R62">
        <f>IF($B62=0,NA(),I62)</f>
        <v>-10.340845459102994</v>
      </c>
      <c r="AS62">
        <v>-2.0943951023932073</v>
      </c>
      <c r="AT62">
        <v>-253.91516777434418</v>
      </c>
      <c r="AU62">
        <v>-221.93973225227506</v>
      </c>
      <c r="AV62">
        <f t="shared" si="1"/>
        <v>-2.4232893957204666</v>
      </c>
      <c r="AW62">
        <f t="shared" si="2"/>
        <v>0.32889429332725939</v>
      </c>
      <c r="AX62" s="40">
        <f t="shared" si="3"/>
        <v>-5.5648820493102598</v>
      </c>
      <c r="AY62">
        <f t="shared" si="4"/>
        <v>5.5648820493102598</v>
      </c>
      <c r="AZ62">
        <f t="shared" si="5"/>
        <v>4.188790204786379</v>
      </c>
      <c r="BA62">
        <f t="shared" si="6"/>
        <v>-2.4232893957204666</v>
      </c>
      <c r="BB62">
        <f t="shared" si="7"/>
        <v>0.32889429332725939</v>
      </c>
      <c r="BC62">
        <f t="shared" si="8"/>
        <v>-5.5648820493102598</v>
      </c>
      <c r="BD62">
        <f t="shared" si="9"/>
        <v>5.5648820493102598</v>
      </c>
      <c r="BE62" s="40">
        <f t="shared" si="10"/>
        <v>-5.9268457581107192</v>
      </c>
      <c r="BF62" s="40">
        <f t="shared" si="11"/>
        <v>-2.4232893957204666</v>
      </c>
      <c r="BG62">
        <f t="shared" si="12"/>
        <v>-2.4232893957204666</v>
      </c>
    </row>
    <row r="63" spans="1:68" x14ac:dyDescent="0.25">
      <c r="A63">
        <f t="shared" si="62"/>
        <v>2</v>
      </c>
      <c r="B63" s="1">
        <f t="shared" si="64"/>
        <v>8</v>
      </c>
      <c r="C63" s="1">
        <f t="shared" ca="1" si="64"/>
        <v>0.79</v>
      </c>
      <c r="D63" s="1">
        <f t="shared" si="64"/>
        <v>-1</v>
      </c>
      <c r="E63" s="1">
        <f t="shared" ref="E63" si="66">E16</f>
        <v>22</v>
      </c>
      <c r="F63" s="1">
        <f t="shared" ref="F63:F71" si="67">D63-$I$2</f>
        <v>-7</v>
      </c>
      <c r="G63" s="1">
        <f t="shared" ref="G63:G71" si="68">E63-$I$3</f>
        <v>10</v>
      </c>
      <c r="H63" s="6">
        <f t="shared" ref="H63:H71" si="69">F63*COS($B$27)+G63*SIN($B$27)</f>
        <v>10.529000273958523</v>
      </c>
      <c r="I63" s="6">
        <f t="shared" ref="I63:I71" si="70">-1*F63*SIN($B$27)+G63*COS($B$27)</f>
        <v>-6.1757714684872624</v>
      </c>
      <c r="J63" s="6">
        <f t="shared" ref="J63:J71" si="71">$G$38-I63</f>
        <v>19.584403777158631</v>
      </c>
      <c r="K63">
        <f t="shared" ref="K63:K71" ca="1" si="72">IF($B$28=0,-1,IF(C63=0,0,(($B$28-J63)/$B$28)*$B$30)*IF($B$28&lt;0,-1,1))</f>
        <v>-7.3499661210475742E-3</v>
      </c>
      <c r="L63">
        <f t="shared" ref="L63:L71" ca="1" si="73">IF(AND(K63&gt;0,J63&lt;=$B$29),MIN((K63*B$13),B$12)-$B$31,MAX(K63*B$13,-1*B$12))</f>
        <v>-60</v>
      </c>
      <c r="M63" s="6">
        <f t="shared" ref="M63:M71" ca="1" si="74">L63*C63</f>
        <v>-47.400000000000006</v>
      </c>
      <c r="N63" s="6">
        <f t="shared" ref="N63:N71" ca="1" si="75">M63*I63</f>
        <v>292.73156760629627</v>
      </c>
      <c r="O63" s="6">
        <f t="shared" ref="O63:O71" ca="1" si="76">M63*H63*-1</f>
        <v>499.07461298563408</v>
      </c>
      <c r="Q63">
        <f t="shared" ref="Q63:Q71" si="77">IF($B63=0,NA(),H63)</f>
        <v>10.529000273958523</v>
      </c>
      <c r="R63">
        <f t="shared" ref="R63:R71" si="78">IF($B63=0,NA(),I63)</f>
        <v>-6.1757714684872624</v>
      </c>
      <c r="AS63">
        <v>-2.0769418098732642</v>
      </c>
      <c r="AT63">
        <v>-252.70295890753755</v>
      </c>
      <c r="AU63">
        <v>-222.62549379493555</v>
      </c>
      <c r="AV63">
        <f t="shared" si="1"/>
        <v>-2.4193874626438321</v>
      </c>
      <c r="AW63">
        <f t="shared" si="2"/>
        <v>0.34244565277056793</v>
      </c>
      <c r="AX63" s="40">
        <f t="shared" si="3"/>
        <v>-5.5609801162336252</v>
      </c>
      <c r="AY63">
        <f t="shared" si="4"/>
        <v>5.5609801162336252</v>
      </c>
      <c r="AZ63">
        <f t="shared" si="5"/>
        <v>4.2062434973063221</v>
      </c>
      <c r="BA63">
        <f t="shared" si="6"/>
        <v>-2.4193874626438321</v>
      </c>
      <c r="BB63">
        <f t="shared" si="7"/>
        <v>0.34244565277056793</v>
      </c>
      <c r="BC63">
        <f t="shared" si="8"/>
        <v>-5.5609801162336252</v>
      </c>
      <c r="BD63">
        <f t="shared" si="9"/>
        <v>5.5609801162336252</v>
      </c>
      <c r="BE63" s="40">
        <f t="shared" si="10"/>
        <v>-5.9307476911873538</v>
      </c>
      <c r="BF63" s="40">
        <f t="shared" si="11"/>
        <v>-2.4193874626438321</v>
      </c>
      <c r="BG63">
        <f t="shared" si="12"/>
        <v>-2.4193874626438321</v>
      </c>
    </row>
    <row r="64" spans="1:68" x14ac:dyDescent="0.25">
      <c r="A64">
        <f t="shared" si="62"/>
        <v>3</v>
      </c>
      <c r="B64" s="1">
        <f t="shared" si="64"/>
        <v>8</v>
      </c>
      <c r="C64" s="1">
        <f t="shared" ca="1" si="64"/>
        <v>0.79</v>
      </c>
      <c r="D64" s="1">
        <f t="shared" si="64"/>
        <v>-11</v>
      </c>
      <c r="E64" s="1">
        <f t="shared" ref="E64" si="79">E17</f>
        <v>22</v>
      </c>
      <c r="F64" s="1">
        <f t="shared" si="67"/>
        <v>-17</v>
      </c>
      <c r="G64" s="1">
        <f t="shared" si="68"/>
        <v>10</v>
      </c>
      <c r="H64" s="6">
        <f t="shared" si="69"/>
        <v>19.6203235358768</v>
      </c>
      <c r="I64" s="6">
        <f t="shared" si="70"/>
        <v>-2.0106974778715312</v>
      </c>
      <c r="J64" s="6">
        <f t="shared" si="71"/>
        <v>15.4193297865429</v>
      </c>
      <c r="K64">
        <f t="shared" ca="1" si="72"/>
        <v>-5.1488077306753996E-3</v>
      </c>
      <c r="L64">
        <f t="shared" ca="1" si="73"/>
        <v>-60</v>
      </c>
      <c r="M64" s="6">
        <f t="shared" ca="1" si="74"/>
        <v>-47.400000000000006</v>
      </c>
      <c r="N64" s="6">
        <f t="shared" ca="1" si="75"/>
        <v>95.307060451110587</v>
      </c>
      <c r="O64" s="6">
        <f t="shared" ca="1" si="76"/>
        <v>930.00333560056038</v>
      </c>
      <c r="Q64">
        <f t="shared" si="77"/>
        <v>19.6203235358768</v>
      </c>
      <c r="R64">
        <f t="shared" si="78"/>
        <v>-2.0106974778715312</v>
      </c>
      <c r="AS64">
        <v>-2.0594885173533211</v>
      </c>
      <c r="AT64">
        <v>-251.43823446480147</v>
      </c>
      <c r="AU64">
        <v>-223.31210214420722</v>
      </c>
      <c r="AV64">
        <f t="shared" si="1"/>
        <v>-2.4153693723169249</v>
      </c>
      <c r="AW64">
        <f t="shared" si="2"/>
        <v>0.35588085496360389</v>
      </c>
      <c r="AX64" s="40">
        <f t="shared" si="3"/>
        <v>-5.5569620259067181</v>
      </c>
      <c r="AY64">
        <f t="shared" si="4"/>
        <v>5.5569620259067181</v>
      </c>
      <c r="AZ64">
        <f t="shared" si="5"/>
        <v>4.2236967898262652</v>
      </c>
      <c r="BA64">
        <f t="shared" si="6"/>
        <v>-2.4153693723169249</v>
      </c>
      <c r="BB64">
        <f t="shared" si="7"/>
        <v>0.35588085496360389</v>
      </c>
      <c r="BC64">
        <f t="shared" si="8"/>
        <v>-5.5569620259067181</v>
      </c>
      <c r="BD64">
        <f t="shared" si="9"/>
        <v>5.5569620259067181</v>
      </c>
      <c r="BE64" s="40">
        <f t="shared" si="10"/>
        <v>-5.9347657815142609</v>
      </c>
      <c r="BF64" s="40">
        <f t="shared" si="11"/>
        <v>-2.4153693723169249</v>
      </c>
      <c r="BG64">
        <f t="shared" si="12"/>
        <v>-2.4153693723169249</v>
      </c>
    </row>
    <row r="65" spans="1:59" x14ac:dyDescent="0.25">
      <c r="A65">
        <f t="shared" si="62"/>
        <v>4</v>
      </c>
      <c r="B65" s="1">
        <f t="shared" si="64"/>
        <v>8</v>
      </c>
      <c r="C65" s="1">
        <f t="shared" ca="1" si="64"/>
        <v>0.79</v>
      </c>
      <c r="D65" s="1">
        <f t="shared" si="64"/>
        <v>-21</v>
      </c>
      <c r="E65" s="1">
        <f t="shared" ref="E65" si="80">E18</f>
        <v>22</v>
      </c>
      <c r="F65" s="1">
        <f t="shared" si="67"/>
        <v>-27</v>
      </c>
      <c r="G65" s="1">
        <f t="shared" si="68"/>
        <v>10</v>
      </c>
      <c r="H65" s="6">
        <f t="shared" si="69"/>
        <v>28.711646797795073</v>
      </c>
      <c r="I65" s="6">
        <f t="shared" si="70"/>
        <v>2.1543765127442001</v>
      </c>
      <c r="J65" s="6">
        <f t="shared" si="71"/>
        <v>11.254255795927168</v>
      </c>
      <c r="K65">
        <f t="shared" ca="1" si="72"/>
        <v>-2.9476493403032241E-3</v>
      </c>
      <c r="L65">
        <f t="shared" ca="1" si="73"/>
        <v>-60</v>
      </c>
      <c r="M65" s="6">
        <f t="shared" ca="1" si="74"/>
        <v>-47.400000000000006</v>
      </c>
      <c r="N65" s="6">
        <f t="shared" ca="1" si="75"/>
        <v>-102.11744670407509</v>
      </c>
      <c r="O65" s="6">
        <f t="shared" ca="1" si="76"/>
        <v>1360.9320582154867</v>
      </c>
      <c r="Q65">
        <f t="shared" si="77"/>
        <v>28.711646797795073</v>
      </c>
      <c r="R65">
        <f t="shared" si="78"/>
        <v>2.1543765127442001</v>
      </c>
      <c r="AS65">
        <v>-2.042035224833378</v>
      </c>
      <c r="AT65">
        <v>-249.89154988250027</v>
      </c>
      <c r="AU65">
        <v>-224.00582495907622</v>
      </c>
      <c r="AV65">
        <f t="shared" si="1"/>
        <v>-2.4107633217398563</v>
      </c>
      <c r="AW65">
        <f t="shared" si="2"/>
        <v>0.36872809690647834</v>
      </c>
      <c r="AX65" s="40">
        <f t="shared" si="3"/>
        <v>-5.5523559753296494</v>
      </c>
      <c r="AY65">
        <f t="shared" si="4"/>
        <v>5.5523559753296494</v>
      </c>
      <c r="AZ65">
        <f t="shared" si="5"/>
        <v>4.2411500823462083</v>
      </c>
      <c r="BA65">
        <f t="shared" si="6"/>
        <v>-2.4107633217398563</v>
      </c>
      <c r="BB65">
        <f t="shared" si="7"/>
        <v>0.36872809690647834</v>
      </c>
      <c r="BC65">
        <f t="shared" si="8"/>
        <v>-5.5523559753296494</v>
      </c>
      <c r="BD65">
        <f t="shared" si="9"/>
        <v>5.5523559753296494</v>
      </c>
      <c r="BE65" s="40">
        <f t="shared" si="10"/>
        <v>-5.9393718320913296</v>
      </c>
      <c r="BF65" s="40">
        <f t="shared" si="11"/>
        <v>-2.4107633217398563</v>
      </c>
      <c r="BG65">
        <f t="shared" si="12"/>
        <v>-2.4107633217398563</v>
      </c>
    </row>
    <row r="66" spans="1:59" x14ac:dyDescent="0.25">
      <c r="A66">
        <f t="shared" si="62"/>
        <v>5</v>
      </c>
      <c r="B66" s="1">
        <f t="shared" si="64"/>
        <v>0</v>
      </c>
      <c r="C66" s="1">
        <f t="shared" ca="1" si="64"/>
        <v>0</v>
      </c>
      <c r="D66" s="1">
        <f t="shared" si="64"/>
        <v>2</v>
      </c>
      <c r="E66" s="1">
        <f t="shared" ref="E66" si="81">E19</f>
        <v>2</v>
      </c>
      <c r="F66" s="1">
        <f t="shared" si="67"/>
        <v>-4</v>
      </c>
      <c r="G66" s="1">
        <f t="shared" si="68"/>
        <v>-10</v>
      </c>
      <c r="H66" s="6">
        <f t="shared" si="69"/>
        <v>-0.52854468584842129</v>
      </c>
      <c r="I66" s="6">
        <f t="shared" si="70"/>
        <v>10.757352858164568</v>
      </c>
      <c r="J66" s="6">
        <f t="shared" si="71"/>
        <v>2.6512794505068005</v>
      </c>
      <c r="K66">
        <f t="shared" ca="1" si="72"/>
        <v>0</v>
      </c>
      <c r="L66">
        <f t="shared" ca="1" si="73"/>
        <v>0</v>
      </c>
      <c r="M66" s="6">
        <f t="shared" ca="1" si="74"/>
        <v>0</v>
      </c>
      <c r="N66" s="6">
        <f t="shared" ca="1" si="75"/>
        <v>0</v>
      </c>
      <c r="O66" s="6">
        <f t="shared" ca="1" si="76"/>
        <v>0</v>
      </c>
      <c r="Q66" t="e">
        <f t="shared" si="77"/>
        <v>#N/A</v>
      </c>
      <c r="R66" t="e">
        <f t="shared" si="78"/>
        <v>#N/A</v>
      </c>
      <c r="AS66">
        <v>-2.0245819323134349</v>
      </c>
      <c r="AT66">
        <v>-247.24734528432884</v>
      </c>
      <c r="AU66">
        <v>-224.71982347008839</v>
      </c>
      <c r="AV66">
        <f t="shared" si="1"/>
        <v>-2.4038894122177981</v>
      </c>
      <c r="AW66">
        <f t="shared" si="2"/>
        <v>0.3793074799043632</v>
      </c>
      <c r="AX66" s="40">
        <f t="shared" si="3"/>
        <v>-5.5454820658075912</v>
      </c>
      <c r="AY66">
        <f t="shared" si="4"/>
        <v>5.5454820658075912</v>
      </c>
      <c r="AZ66">
        <f t="shared" si="5"/>
        <v>4.2586033748661514</v>
      </c>
      <c r="BA66">
        <f t="shared" si="6"/>
        <v>-2.4038894122177981</v>
      </c>
      <c r="BB66">
        <f t="shared" si="7"/>
        <v>0.3793074799043632</v>
      </c>
      <c r="BC66">
        <f t="shared" si="8"/>
        <v>-5.5454820658075912</v>
      </c>
      <c r="BD66">
        <f t="shared" si="9"/>
        <v>5.5454820658075912</v>
      </c>
      <c r="BE66" s="40">
        <f t="shared" si="10"/>
        <v>-5.9462457416133878</v>
      </c>
      <c r="BF66" s="40">
        <f t="shared" si="11"/>
        <v>-2.4038894122177981</v>
      </c>
      <c r="BG66">
        <f t="shared" si="12"/>
        <v>-2.4038894122177981</v>
      </c>
    </row>
    <row r="67" spans="1:59" x14ac:dyDescent="0.25">
      <c r="A67">
        <f t="shared" si="62"/>
        <v>6</v>
      </c>
      <c r="B67" s="1">
        <f t="shared" si="64"/>
        <v>0</v>
      </c>
      <c r="C67" s="1">
        <f t="shared" ca="1" si="64"/>
        <v>0</v>
      </c>
      <c r="D67" s="1">
        <f t="shared" si="64"/>
        <v>6</v>
      </c>
      <c r="E67" s="1">
        <f t="shared" ref="E67" si="82">E20</f>
        <v>4</v>
      </c>
      <c r="F67" s="1">
        <f t="shared" si="67"/>
        <v>0</v>
      </c>
      <c r="G67" s="1">
        <f t="shared" si="68"/>
        <v>-8</v>
      </c>
      <c r="H67" s="6">
        <f t="shared" si="69"/>
        <v>-3.3320591924925851</v>
      </c>
      <c r="I67" s="6">
        <f t="shared" si="70"/>
        <v>7.2730586095346199</v>
      </c>
      <c r="J67" s="6">
        <f t="shared" si="71"/>
        <v>6.1355736991367484</v>
      </c>
      <c r="K67">
        <f t="shared" ca="1" si="72"/>
        <v>0</v>
      </c>
      <c r="L67">
        <f t="shared" ca="1" si="73"/>
        <v>0</v>
      </c>
      <c r="M67" s="6">
        <f t="shared" ca="1" si="74"/>
        <v>0</v>
      </c>
      <c r="N67" s="6">
        <f t="shared" ca="1" si="75"/>
        <v>0</v>
      </c>
      <c r="O67" s="6">
        <f t="shared" ca="1" si="76"/>
        <v>0</v>
      </c>
      <c r="Q67" t="e">
        <f t="shared" si="77"/>
        <v>#N/A</v>
      </c>
      <c r="R67" t="e">
        <f t="shared" si="78"/>
        <v>#N/A</v>
      </c>
      <c r="AS67">
        <v>-2.0071286397934918</v>
      </c>
      <c r="AT67">
        <v>-244.56699758452544</v>
      </c>
      <c r="AU67">
        <v>-225.42436733294178</v>
      </c>
      <c r="AV67">
        <f t="shared" ref="AV67:AV130" si="83">ATAN2(AT67,AU67)</f>
        <v>-2.3969017390642837</v>
      </c>
      <c r="AW67">
        <f t="shared" ref="AW67:AW130" si="84">ABS(AS67-AV67)</f>
        <v>0.38977309927079196</v>
      </c>
      <c r="AX67" s="40">
        <f t="shared" ref="AX67:AX130" si="85">AV67-$U$13</f>
        <v>-5.5384943926540764</v>
      </c>
      <c r="AY67">
        <f t="shared" ref="AY67:AY130" si="86">ABS(AX67)</f>
        <v>5.5384943926540764</v>
      </c>
      <c r="AZ67">
        <f t="shared" ref="AZ67:AZ130" si="87">AS67+(2*PI())</f>
        <v>4.2760566673860945</v>
      </c>
      <c r="BA67">
        <f t="shared" ref="BA67:BA130" si="88">AV67</f>
        <v>-2.3969017390642837</v>
      </c>
      <c r="BB67">
        <f t="shared" ref="BB67:BB130" si="89">AW67</f>
        <v>0.38977309927079196</v>
      </c>
      <c r="BC67">
        <f t="shared" ref="BC67:BC130" si="90">AX67</f>
        <v>-5.5384943926540764</v>
      </c>
      <c r="BD67">
        <f t="shared" ref="BD67:BD130" si="91">AY67</f>
        <v>5.5384943926540764</v>
      </c>
      <c r="BE67" s="40">
        <f t="shared" ref="BE67:BE130" si="92">(-1*AX67)-(2*$AY$2)</f>
        <v>-5.9532334147669026</v>
      </c>
      <c r="BF67" s="40">
        <f t="shared" ref="BF67:BF130" si="93">AX67+$BJ$4</f>
        <v>-2.3969017390642833</v>
      </c>
      <c r="BG67">
        <f t="shared" ref="BG67:BG130" si="94">BC67+$BJ$4</f>
        <v>-2.3969017390642833</v>
      </c>
    </row>
    <row r="68" spans="1:59" x14ac:dyDescent="0.25">
      <c r="A68">
        <f t="shared" si="62"/>
        <v>7</v>
      </c>
      <c r="B68" s="1">
        <f t="shared" ref="B68:D68" si="95">B21</f>
        <v>0</v>
      </c>
      <c r="C68" s="1">
        <f t="shared" ca="1" si="95"/>
        <v>0</v>
      </c>
      <c r="D68" s="1">
        <f t="shared" si="95"/>
        <v>10</v>
      </c>
      <c r="E68" s="1">
        <f>E21</f>
        <v>2</v>
      </c>
      <c r="F68" s="1">
        <f t="shared" si="67"/>
        <v>4</v>
      </c>
      <c r="G68" s="1">
        <f t="shared" si="68"/>
        <v>-10</v>
      </c>
      <c r="H68" s="6">
        <f t="shared" si="69"/>
        <v>-7.8016032953830408</v>
      </c>
      <c r="I68" s="6">
        <f t="shared" si="70"/>
        <v>7.4252936656719823</v>
      </c>
      <c r="J68" s="6">
        <f t="shared" si="71"/>
        <v>5.983338642999386</v>
      </c>
      <c r="K68">
        <f t="shared" ca="1" si="72"/>
        <v>0</v>
      </c>
      <c r="L68">
        <f t="shared" ca="1" si="73"/>
        <v>0</v>
      </c>
      <c r="M68" s="6">
        <f t="shared" ca="1" si="74"/>
        <v>0</v>
      </c>
      <c r="N68" s="6">
        <f t="shared" ca="1" si="75"/>
        <v>0</v>
      </c>
      <c r="O68" s="6">
        <f t="shared" ca="1" si="76"/>
        <v>0</v>
      </c>
      <c r="Q68" t="e">
        <f t="shared" si="77"/>
        <v>#N/A</v>
      </c>
      <c r="R68" t="e">
        <f t="shared" si="78"/>
        <v>#N/A</v>
      </c>
      <c r="AS68">
        <v>-1.9896753472735484</v>
      </c>
      <c r="AT68">
        <v>-241.84474994922894</v>
      </c>
      <c r="AU68">
        <v>-226.12053948906114</v>
      </c>
      <c r="AV68">
        <f t="shared" si="83"/>
        <v>-2.3897830854398157</v>
      </c>
      <c r="AW68">
        <f t="shared" si="84"/>
        <v>0.40010773816626721</v>
      </c>
      <c r="AX68" s="40">
        <f t="shared" si="85"/>
        <v>-5.5313757390296088</v>
      </c>
      <c r="AY68">
        <f t="shared" si="86"/>
        <v>5.5313757390296088</v>
      </c>
      <c r="AZ68">
        <f t="shared" si="87"/>
        <v>4.2935099599060376</v>
      </c>
      <c r="BA68">
        <f t="shared" si="88"/>
        <v>-2.3897830854398157</v>
      </c>
      <c r="BB68">
        <f t="shared" si="89"/>
        <v>0.40010773816626721</v>
      </c>
      <c r="BC68">
        <f t="shared" si="90"/>
        <v>-5.5313757390296088</v>
      </c>
      <c r="BD68">
        <f t="shared" si="91"/>
        <v>5.5313757390296088</v>
      </c>
      <c r="BE68" s="40">
        <f t="shared" si="92"/>
        <v>-5.9603520683913702</v>
      </c>
      <c r="BF68" s="40">
        <f t="shared" si="93"/>
        <v>-2.3897830854398157</v>
      </c>
      <c r="BG68">
        <f t="shared" si="94"/>
        <v>-2.3897830854398157</v>
      </c>
    </row>
    <row r="69" spans="1:59" x14ac:dyDescent="0.25">
      <c r="A69">
        <f t="shared" si="62"/>
        <v>8</v>
      </c>
      <c r="B69" s="1">
        <f t="shared" ref="B69:D71" si="96">B22</f>
        <v>0</v>
      </c>
      <c r="C69" s="1">
        <f t="shared" ca="1" si="96"/>
        <v>0</v>
      </c>
      <c r="D69" s="1">
        <f t="shared" si="96"/>
        <v>2</v>
      </c>
      <c r="E69" s="1">
        <f t="shared" ref="E69" si="97">E22</f>
        <v>4</v>
      </c>
      <c r="F69" s="1">
        <f t="shared" si="67"/>
        <v>-4</v>
      </c>
      <c r="G69" s="1">
        <f t="shared" si="68"/>
        <v>-8</v>
      </c>
      <c r="H69" s="6">
        <f t="shared" si="69"/>
        <v>0.30447011227472487</v>
      </c>
      <c r="I69" s="6">
        <f t="shared" si="70"/>
        <v>8.9390882057809122</v>
      </c>
      <c r="J69" s="6">
        <f t="shared" si="71"/>
        <v>4.4695441028904561</v>
      </c>
      <c r="K69">
        <f t="shared" ca="1" si="72"/>
        <v>0</v>
      </c>
      <c r="L69">
        <f t="shared" ca="1" si="73"/>
        <v>0</v>
      </c>
      <c r="M69" s="6">
        <f t="shared" ca="1" si="74"/>
        <v>0</v>
      </c>
      <c r="N69" s="6">
        <f t="shared" ca="1" si="75"/>
        <v>0</v>
      </c>
      <c r="O69" s="6">
        <f t="shared" ca="1" si="76"/>
        <v>0</v>
      </c>
      <c r="Q69" t="e">
        <f t="shared" si="77"/>
        <v>#N/A</v>
      </c>
      <c r="R69" t="e">
        <f t="shared" si="78"/>
        <v>#N/A</v>
      </c>
      <c r="AS69">
        <v>-1.9722220547536051</v>
      </c>
      <c r="AT69">
        <v>-239.07420085390413</v>
      </c>
      <c r="AU69">
        <v>-226.80945051338736</v>
      </c>
      <c r="AV69">
        <f t="shared" si="83"/>
        <v>-2.3825141906883633</v>
      </c>
      <c r="AW69">
        <f t="shared" si="84"/>
        <v>0.41029213593475822</v>
      </c>
      <c r="AX69" s="40">
        <f t="shared" si="85"/>
        <v>-5.5241068442781565</v>
      </c>
      <c r="AY69">
        <f t="shared" si="86"/>
        <v>5.5241068442781565</v>
      </c>
      <c r="AZ69">
        <f t="shared" si="87"/>
        <v>4.3109632524259816</v>
      </c>
      <c r="BA69">
        <f t="shared" si="88"/>
        <v>-2.3825141906883633</v>
      </c>
      <c r="BB69">
        <f t="shared" si="89"/>
        <v>0.41029213593475822</v>
      </c>
      <c r="BC69">
        <f t="shared" si="90"/>
        <v>-5.5241068442781565</v>
      </c>
      <c r="BD69">
        <f t="shared" si="91"/>
        <v>5.5241068442781565</v>
      </c>
      <c r="BE69" s="40">
        <f t="shared" si="92"/>
        <v>-5.9676209631428225</v>
      </c>
      <c r="BF69" s="40">
        <f t="shared" si="93"/>
        <v>-2.3825141906883633</v>
      </c>
      <c r="BG69">
        <f t="shared" si="94"/>
        <v>-2.3825141906883633</v>
      </c>
    </row>
    <row r="70" spans="1:59" x14ac:dyDescent="0.25">
      <c r="A70">
        <f t="shared" si="62"/>
        <v>9</v>
      </c>
      <c r="B70" s="1">
        <f t="shared" si="96"/>
        <v>0</v>
      </c>
      <c r="C70" s="1">
        <f t="shared" ca="1" si="96"/>
        <v>0</v>
      </c>
      <c r="D70" s="1">
        <f t="shared" si="96"/>
        <v>6</v>
      </c>
      <c r="E70" s="1">
        <f t="shared" ref="E70" si="98">E23</f>
        <v>4</v>
      </c>
      <c r="F70" s="1">
        <f t="shared" si="67"/>
        <v>0</v>
      </c>
      <c r="G70" s="1">
        <f t="shared" si="68"/>
        <v>-8</v>
      </c>
      <c r="H70" s="6">
        <f t="shared" si="69"/>
        <v>-3.3320591924925851</v>
      </c>
      <c r="I70" s="6">
        <f t="shared" si="70"/>
        <v>7.2730586095346199</v>
      </c>
      <c r="J70" s="6">
        <f t="shared" si="71"/>
        <v>6.1355736991367484</v>
      </c>
      <c r="K70">
        <f t="shared" ca="1" si="72"/>
        <v>0</v>
      </c>
      <c r="L70">
        <f t="shared" ca="1" si="73"/>
        <v>0</v>
      </c>
      <c r="M70" s="6">
        <f t="shared" ca="1" si="74"/>
        <v>0</v>
      </c>
      <c r="N70" s="6">
        <f t="shared" ca="1" si="75"/>
        <v>0</v>
      </c>
      <c r="O70" s="6">
        <f t="shared" ca="1" si="76"/>
        <v>0</v>
      </c>
      <c r="Q70" t="e">
        <f t="shared" si="77"/>
        <v>#N/A</v>
      </c>
      <c r="R70" t="e">
        <f t="shared" si="78"/>
        <v>#N/A</v>
      </c>
      <c r="AS70">
        <v>-1.9547687622336618</v>
      </c>
      <c r="AT70">
        <v>-236.2481609363397</v>
      </c>
      <c r="AU70">
        <v>-227.49225578217971</v>
      </c>
      <c r="AV70">
        <f t="shared" si="83"/>
        <v>-2.3750732951987756</v>
      </c>
      <c r="AW70">
        <f t="shared" si="84"/>
        <v>0.42030453296511383</v>
      </c>
      <c r="AX70" s="40">
        <f t="shared" si="85"/>
        <v>-5.5166659487885692</v>
      </c>
      <c r="AY70">
        <f t="shared" si="86"/>
        <v>5.5166659487885692</v>
      </c>
      <c r="AZ70">
        <f t="shared" si="87"/>
        <v>4.3284165449459246</v>
      </c>
      <c r="BA70">
        <f t="shared" si="88"/>
        <v>-2.3750732951987756</v>
      </c>
      <c r="BB70">
        <f t="shared" si="89"/>
        <v>0.42030453296511383</v>
      </c>
      <c r="BC70">
        <f t="shared" si="90"/>
        <v>-5.5166659487885692</v>
      </c>
      <c r="BD70">
        <f t="shared" si="91"/>
        <v>5.5166659487885692</v>
      </c>
      <c r="BE70" s="40">
        <f t="shared" si="92"/>
        <v>-5.9750618586324098</v>
      </c>
      <c r="BF70" s="40">
        <f t="shared" si="93"/>
        <v>-2.3750732951987761</v>
      </c>
      <c r="BG70">
        <f t="shared" si="94"/>
        <v>-2.3750732951987761</v>
      </c>
    </row>
    <row r="71" spans="1:59" ht="15.75" thickBot="1" x14ac:dyDescent="0.3">
      <c r="A71">
        <f t="shared" si="62"/>
        <v>10</v>
      </c>
      <c r="B71" s="1">
        <f t="shared" si="96"/>
        <v>0</v>
      </c>
      <c r="C71" s="1">
        <f t="shared" ca="1" si="96"/>
        <v>0</v>
      </c>
      <c r="D71" s="1">
        <f t="shared" si="96"/>
        <v>10</v>
      </c>
      <c r="E71" s="1">
        <f t="shared" ref="E71" si="99">E24</f>
        <v>4</v>
      </c>
      <c r="F71" s="1">
        <f t="shared" si="67"/>
        <v>4</v>
      </c>
      <c r="G71" s="1">
        <f t="shared" si="68"/>
        <v>-8</v>
      </c>
      <c r="H71" s="6">
        <f t="shared" si="69"/>
        <v>-6.968588497259895</v>
      </c>
      <c r="I71" s="6">
        <f t="shared" si="70"/>
        <v>5.6070290132883276</v>
      </c>
      <c r="J71" s="6">
        <f t="shared" si="71"/>
        <v>7.8016032953830408</v>
      </c>
      <c r="K71" s="12">
        <f t="shared" ca="1" si="72"/>
        <v>0</v>
      </c>
      <c r="L71">
        <f t="shared" ca="1" si="73"/>
        <v>0</v>
      </c>
      <c r="M71" s="11">
        <f t="shared" ca="1" si="74"/>
        <v>0</v>
      </c>
      <c r="N71" s="11">
        <f t="shared" ca="1" si="75"/>
        <v>0</v>
      </c>
      <c r="O71" s="11">
        <f t="shared" ca="1" si="76"/>
        <v>0</v>
      </c>
      <c r="Q71" t="e">
        <f t="shared" si="77"/>
        <v>#N/A</v>
      </c>
      <c r="R71" t="e">
        <f t="shared" si="78"/>
        <v>#N/A</v>
      </c>
      <c r="AS71">
        <v>-1.9373154697137185</v>
      </c>
      <c r="AT71">
        <v>-233.35847195594036</v>
      </c>
      <c r="AU71">
        <v>-228.1701761831315</v>
      </c>
      <c r="AV71">
        <f t="shared" si="83"/>
        <v>-2.3674355632175823</v>
      </c>
      <c r="AW71">
        <f t="shared" si="84"/>
        <v>0.43012009350386382</v>
      </c>
      <c r="AX71" s="40">
        <f t="shared" si="85"/>
        <v>-5.5090282168073754</v>
      </c>
      <c r="AY71">
        <f t="shared" si="86"/>
        <v>5.5090282168073754</v>
      </c>
      <c r="AZ71">
        <f t="shared" si="87"/>
        <v>4.3458698374658677</v>
      </c>
      <c r="BA71">
        <f t="shared" si="88"/>
        <v>-2.3674355632175823</v>
      </c>
      <c r="BB71">
        <f t="shared" si="89"/>
        <v>0.43012009350386382</v>
      </c>
      <c r="BC71">
        <f t="shared" si="90"/>
        <v>-5.5090282168073754</v>
      </c>
      <c r="BD71">
        <f t="shared" si="91"/>
        <v>5.5090282168073754</v>
      </c>
      <c r="BE71" s="40">
        <f t="shared" si="92"/>
        <v>-5.9826995906136036</v>
      </c>
      <c r="BF71" s="40">
        <f t="shared" si="93"/>
        <v>-2.3674355632175823</v>
      </c>
      <c r="BG71">
        <f t="shared" si="94"/>
        <v>-2.3674355632175823</v>
      </c>
    </row>
    <row r="72" spans="1:59" ht="15.75" thickTop="1" x14ac:dyDescent="0.25">
      <c r="K72" s="13">
        <f ca="1">MIN(K62:K71)</f>
        <v>-9.5511245114197497E-3</v>
      </c>
      <c r="M72" s="9">
        <f ca="1">SUM(M62:M71)</f>
        <v>-189.60000000000002</v>
      </c>
      <c r="N72" s="9">
        <f t="shared" ref="N72:O72" ca="1" si="100">SUM(N62:N71)</f>
        <v>776.07725611481374</v>
      </c>
      <c r="O72" s="9">
        <f t="shared" ca="1" si="100"/>
        <v>2858.1558971723889</v>
      </c>
      <c r="AS72">
        <v>-1.9198621771937752</v>
      </c>
      <c r="AT72">
        <v>-230.39577486607743</v>
      </c>
      <c r="AU72">
        <v>-228.84452379316477</v>
      </c>
      <c r="AV72">
        <f t="shared" si="83"/>
        <v>-2.3595723409114053</v>
      </c>
      <c r="AW72">
        <f t="shared" si="84"/>
        <v>0.43971016371763016</v>
      </c>
      <c r="AX72" s="40">
        <f t="shared" si="85"/>
        <v>-5.5011649945011989</v>
      </c>
      <c r="AY72">
        <f t="shared" si="86"/>
        <v>5.5011649945011989</v>
      </c>
      <c r="AZ72">
        <f t="shared" si="87"/>
        <v>4.3633231299858108</v>
      </c>
      <c r="BA72">
        <f t="shared" si="88"/>
        <v>-2.3595723409114053</v>
      </c>
      <c r="BB72">
        <f t="shared" si="89"/>
        <v>0.43971016371763016</v>
      </c>
      <c r="BC72">
        <f t="shared" si="90"/>
        <v>-5.5011649945011989</v>
      </c>
      <c r="BD72">
        <f t="shared" si="91"/>
        <v>5.5011649945011989</v>
      </c>
      <c r="BE72" s="40">
        <f t="shared" si="92"/>
        <v>-5.9905628129197801</v>
      </c>
      <c r="BF72" s="40">
        <f t="shared" si="93"/>
        <v>-2.3595723409114058</v>
      </c>
      <c r="BG72">
        <f t="shared" si="94"/>
        <v>-2.3595723409114058</v>
      </c>
    </row>
    <row r="73" spans="1:59" x14ac:dyDescent="0.25">
      <c r="AS73">
        <v>-1.9024088846738318</v>
      </c>
      <c r="AT73">
        <v>-227.34920842746422</v>
      </c>
      <c r="AU73">
        <v>-229.51673416097404</v>
      </c>
      <c r="AV73">
        <f t="shared" si="83"/>
        <v>-2.3514501893615583</v>
      </c>
      <c r="AW73">
        <f t="shared" si="84"/>
        <v>0.44904130468772641</v>
      </c>
      <c r="AX73" s="40">
        <f t="shared" si="85"/>
        <v>-5.4930428429513514</v>
      </c>
      <c r="AY73">
        <f t="shared" si="86"/>
        <v>5.4930428429513514</v>
      </c>
      <c r="AZ73">
        <f t="shared" si="87"/>
        <v>4.3807764225057539</v>
      </c>
      <c r="BA73">
        <f t="shared" si="88"/>
        <v>-2.3514501893615583</v>
      </c>
      <c r="BB73">
        <f t="shared" si="89"/>
        <v>0.44904130468772641</v>
      </c>
      <c r="BC73">
        <f t="shared" si="90"/>
        <v>-5.4930428429513514</v>
      </c>
      <c r="BD73">
        <f t="shared" si="91"/>
        <v>5.4930428429513514</v>
      </c>
      <c r="BE73" s="40">
        <f t="shared" si="92"/>
        <v>-5.9986849644696276</v>
      </c>
      <c r="BF73" s="40">
        <f t="shared" si="93"/>
        <v>-2.3514501893615583</v>
      </c>
      <c r="BG73">
        <f t="shared" si="94"/>
        <v>-2.3514501893615583</v>
      </c>
    </row>
    <row r="74" spans="1:59" x14ac:dyDescent="0.25">
      <c r="AS74">
        <v>-1.8849555921538885</v>
      </c>
      <c r="AT74">
        <v>-224.20601173857125</v>
      </c>
      <c r="AU74">
        <v>-230.18840783945808</v>
      </c>
      <c r="AV74">
        <f t="shared" si="83"/>
        <v>-2.3430296047365937</v>
      </c>
      <c r="AW74">
        <f t="shared" si="84"/>
        <v>0.45807401258270519</v>
      </c>
      <c r="AX74" s="40">
        <f t="shared" si="85"/>
        <v>-5.4846222583263868</v>
      </c>
      <c r="AY74">
        <f t="shared" si="86"/>
        <v>5.4846222583263868</v>
      </c>
      <c r="AZ74">
        <f t="shared" si="87"/>
        <v>4.3982297150256979</v>
      </c>
      <c r="BA74">
        <f t="shared" si="88"/>
        <v>-2.3430296047365937</v>
      </c>
      <c r="BB74">
        <f t="shared" si="89"/>
        <v>0.45807401258270519</v>
      </c>
      <c r="BC74">
        <f t="shared" si="90"/>
        <v>-5.4846222583263868</v>
      </c>
      <c r="BD74">
        <f t="shared" si="91"/>
        <v>5.4846222583263868</v>
      </c>
      <c r="BE74" s="40">
        <f t="shared" si="92"/>
        <v>-6.0071055490945922</v>
      </c>
      <c r="BF74" s="40">
        <f t="shared" si="93"/>
        <v>-2.3430296047365937</v>
      </c>
      <c r="BG74">
        <f t="shared" si="94"/>
        <v>-2.3430296047365937</v>
      </c>
    </row>
    <row r="75" spans="1:59" x14ac:dyDescent="0.25">
      <c r="A75" s="8" t="s">
        <v>63</v>
      </c>
      <c r="B75" s="9">
        <f ca="1">N57+M72</f>
        <v>1.4380248103407212E-9</v>
      </c>
      <c r="C75" t="s">
        <v>68</v>
      </c>
      <c r="AS75">
        <v>-1.8675022996339452</v>
      </c>
      <c r="AT75">
        <v>-220.95099146403393</v>
      </c>
      <c r="AU75">
        <v>-230.86136472477156</v>
      </c>
      <c r="AV75">
        <f t="shared" si="83"/>
        <v>-2.3342632964434289</v>
      </c>
      <c r="AW75">
        <f t="shared" si="84"/>
        <v>0.46676099680948369</v>
      </c>
      <c r="AX75" s="40">
        <f t="shared" si="85"/>
        <v>-5.475855950033222</v>
      </c>
      <c r="AY75">
        <f t="shared" si="86"/>
        <v>5.475855950033222</v>
      </c>
      <c r="AZ75">
        <f t="shared" si="87"/>
        <v>4.415683007545641</v>
      </c>
      <c r="BA75">
        <f t="shared" si="88"/>
        <v>-2.3342632964434289</v>
      </c>
      <c r="BB75">
        <f t="shared" si="89"/>
        <v>0.46676099680948369</v>
      </c>
      <c r="BC75">
        <f t="shared" si="90"/>
        <v>-5.475855950033222</v>
      </c>
      <c r="BD75">
        <f t="shared" si="91"/>
        <v>5.475855950033222</v>
      </c>
      <c r="BE75" s="40">
        <f t="shared" si="92"/>
        <v>-6.015871857387757</v>
      </c>
      <c r="BF75" s="40">
        <f t="shared" si="93"/>
        <v>-2.3342632964434289</v>
      </c>
      <c r="BG75">
        <f t="shared" si="94"/>
        <v>-2.3342632964434289</v>
      </c>
    </row>
    <row r="76" spans="1:59" x14ac:dyDescent="0.25">
      <c r="A76" s="8" t="s">
        <v>66</v>
      </c>
      <c r="B76" s="9">
        <f ca="1">O57+N72</f>
        <v>2721.8414547651364</v>
      </c>
      <c r="C76" t="s">
        <v>69</v>
      </c>
      <c r="AS76">
        <v>-1.8500490071140019</v>
      </c>
      <c r="AT76">
        <v>-217.56579499479375</v>
      </c>
      <c r="AU76">
        <v>-231.53771649778935</v>
      </c>
      <c r="AV76">
        <f t="shared" si="83"/>
        <v>-2.3250938283866018</v>
      </c>
      <c r="AW76">
        <f t="shared" si="84"/>
        <v>0.47504482127259995</v>
      </c>
      <c r="AX76" s="40">
        <f t="shared" si="85"/>
        <v>-5.466686481976395</v>
      </c>
      <c r="AY76">
        <f t="shared" si="86"/>
        <v>5.466686481976395</v>
      </c>
      <c r="AZ76">
        <f t="shared" si="87"/>
        <v>4.4331363000655841</v>
      </c>
      <c r="BA76">
        <f t="shared" si="88"/>
        <v>-2.3250938283866018</v>
      </c>
      <c r="BB76">
        <f t="shared" si="89"/>
        <v>0.47504482127259995</v>
      </c>
      <c r="BC76">
        <f t="shared" si="90"/>
        <v>-5.466686481976395</v>
      </c>
      <c r="BD76">
        <f t="shared" si="91"/>
        <v>5.466686481976395</v>
      </c>
      <c r="BE76" s="40">
        <f t="shared" si="92"/>
        <v>-6.025041325444584</v>
      </c>
      <c r="BF76" s="40">
        <f t="shared" si="93"/>
        <v>-2.3250938283866018</v>
      </c>
      <c r="BG76">
        <f t="shared" si="94"/>
        <v>-2.3250938283866018</v>
      </c>
    </row>
    <row r="77" spans="1:59" x14ac:dyDescent="0.25">
      <c r="A77" s="8" t="s">
        <v>67</v>
      </c>
      <c r="B77" s="9">
        <f ca="1">P57+O72</f>
        <v>1246.9769780635829</v>
      </c>
      <c r="C77" t="s">
        <v>69</v>
      </c>
      <c r="AS77">
        <v>-1.8325957145940586</v>
      </c>
      <c r="AT77">
        <v>-214.02789938479327</v>
      </c>
      <c r="AU77">
        <v>-232.2199651055378</v>
      </c>
      <c r="AV77">
        <f t="shared" si="83"/>
        <v>-2.3154503225489065</v>
      </c>
      <c r="AW77">
        <f t="shared" si="84"/>
        <v>0.48285460795484791</v>
      </c>
      <c r="AX77" s="40">
        <f t="shared" si="85"/>
        <v>-5.4570429761387</v>
      </c>
      <c r="AY77">
        <f t="shared" si="86"/>
        <v>5.4570429761387</v>
      </c>
      <c r="AZ77">
        <f t="shared" si="87"/>
        <v>4.4505895925855281</v>
      </c>
      <c r="BA77">
        <f t="shared" si="88"/>
        <v>-2.3154503225489065</v>
      </c>
      <c r="BB77">
        <f t="shared" si="89"/>
        <v>0.48285460795484791</v>
      </c>
      <c r="BC77">
        <f t="shared" si="90"/>
        <v>-5.4570429761387</v>
      </c>
      <c r="BD77">
        <f t="shared" si="91"/>
        <v>5.4570429761387</v>
      </c>
      <c r="BE77" s="40">
        <f t="shared" si="92"/>
        <v>-6.0346848312822789</v>
      </c>
      <c r="BF77" s="40">
        <f t="shared" si="93"/>
        <v>-2.3154503225489069</v>
      </c>
      <c r="BG77">
        <f t="shared" si="94"/>
        <v>-2.3154503225489069</v>
      </c>
    </row>
    <row r="78" spans="1:59" x14ac:dyDescent="0.25">
      <c r="AS78">
        <v>-1.8151424220741152</v>
      </c>
      <c r="AT78">
        <v>-210.30917419199969</v>
      </c>
      <c r="AU78">
        <v>-232.91113926955194</v>
      </c>
      <c r="AV78">
        <f t="shared" si="83"/>
        <v>-2.305243748681792</v>
      </c>
      <c r="AW78">
        <f t="shared" si="84"/>
        <v>0.4901013266076768</v>
      </c>
      <c r="AX78" s="40">
        <f t="shared" si="85"/>
        <v>-5.4468364022715852</v>
      </c>
      <c r="AY78">
        <f t="shared" si="86"/>
        <v>5.4468364022715852</v>
      </c>
      <c r="AZ78">
        <f t="shared" si="87"/>
        <v>4.4680428851054712</v>
      </c>
      <c r="BA78">
        <f t="shared" si="88"/>
        <v>-2.305243748681792</v>
      </c>
      <c r="BB78">
        <f t="shared" si="89"/>
        <v>0.4901013266076768</v>
      </c>
      <c r="BC78">
        <f t="shared" si="90"/>
        <v>-5.4468364022715852</v>
      </c>
      <c r="BD78">
        <f t="shared" si="91"/>
        <v>5.4468364022715852</v>
      </c>
      <c r="BE78" s="40">
        <f t="shared" si="92"/>
        <v>-6.0448914051493938</v>
      </c>
      <c r="BF78" s="40">
        <f t="shared" si="93"/>
        <v>-2.305243748681792</v>
      </c>
      <c r="BG78">
        <f t="shared" si="94"/>
        <v>-2.305243748681792</v>
      </c>
    </row>
    <row r="79" spans="1:59" x14ac:dyDescent="0.25">
      <c r="A79" s="8" t="s">
        <v>64</v>
      </c>
      <c r="B79">
        <f ca="1">((B76*COS(-1*B27))+(B77*SIN(-1*B27)))</f>
        <v>-2993.8891911188994</v>
      </c>
      <c r="C79" t="s">
        <v>69</v>
      </c>
      <c r="AS79">
        <v>-1.7976891295541719</v>
      </c>
      <c r="AT79">
        <v>-206.37378860845268</v>
      </c>
      <c r="AU79">
        <v>-233.61498807661704</v>
      </c>
      <c r="AV79">
        <f t="shared" si="83"/>
        <v>-2.2943600227340233</v>
      </c>
      <c r="AW79">
        <f t="shared" si="84"/>
        <v>0.49667089317985136</v>
      </c>
      <c r="AX79" s="40">
        <f t="shared" si="85"/>
        <v>-5.4359526763238168</v>
      </c>
      <c r="AY79">
        <f t="shared" si="86"/>
        <v>5.4359526763238168</v>
      </c>
      <c r="AZ79">
        <f t="shared" si="87"/>
        <v>4.4854961776254143</v>
      </c>
      <c r="BA79">
        <f t="shared" si="88"/>
        <v>-2.2943600227340233</v>
      </c>
      <c r="BB79">
        <f t="shared" si="89"/>
        <v>0.49667089317985136</v>
      </c>
      <c r="BC79">
        <f t="shared" si="90"/>
        <v>-5.4359526763238168</v>
      </c>
      <c r="BD79">
        <f t="shared" si="91"/>
        <v>5.4359526763238168</v>
      </c>
      <c r="BE79" s="40">
        <f t="shared" si="92"/>
        <v>-6.0557751310971621</v>
      </c>
      <c r="BF79" s="40">
        <f t="shared" si="93"/>
        <v>-2.2943600227340237</v>
      </c>
      <c r="BG79">
        <f t="shared" si="94"/>
        <v>-2.2943600227340237</v>
      </c>
    </row>
    <row r="80" spans="1:59" x14ac:dyDescent="0.25">
      <c r="A80" s="8" t="s">
        <v>65</v>
      </c>
      <c r="B80">
        <f ca="1">(-1*(B76)*SIN(-1*B27))+((B77)*COS(-1*B27))</f>
        <v>2.4207594833569601E-5</v>
      </c>
      <c r="C80" t="s">
        <v>69</v>
      </c>
      <c r="AS80">
        <v>-1.7802358370342286</v>
      </c>
      <c r="AT80">
        <v>-202.17507906121557</v>
      </c>
      <c r="AU80">
        <v>-234.33626196699402</v>
      </c>
      <c r="AV80">
        <f t="shared" si="83"/>
        <v>-2.2826496038155089</v>
      </c>
      <c r="AW80">
        <f t="shared" si="84"/>
        <v>0.50241376678128025</v>
      </c>
      <c r="AX80" s="40">
        <f t="shared" si="85"/>
        <v>-5.424242257405302</v>
      </c>
      <c r="AY80">
        <f t="shared" si="86"/>
        <v>5.424242257405302</v>
      </c>
      <c r="AZ80">
        <f t="shared" si="87"/>
        <v>4.5029494701453574</v>
      </c>
      <c r="BA80">
        <f t="shared" si="88"/>
        <v>-2.2826496038155089</v>
      </c>
      <c r="BB80">
        <f t="shared" si="89"/>
        <v>0.50241376678128025</v>
      </c>
      <c r="BC80">
        <f t="shared" si="90"/>
        <v>-5.424242257405302</v>
      </c>
      <c r="BD80">
        <f t="shared" si="91"/>
        <v>5.424242257405302</v>
      </c>
      <c r="BE80" s="40">
        <f t="shared" si="92"/>
        <v>-6.067485550015677</v>
      </c>
      <c r="BF80" s="40">
        <f t="shared" si="93"/>
        <v>-2.2826496038155089</v>
      </c>
      <c r="BG80">
        <f t="shared" si="94"/>
        <v>-2.2826496038155089</v>
      </c>
    </row>
    <row r="81" spans="1:59" x14ac:dyDescent="0.25">
      <c r="AS81">
        <v>-1.7627825445142853</v>
      </c>
      <c r="AT81">
        <v>-197.65071195007653</v>
      </c>
      <c r="AU81">
        <v>-235.08113203010362</v>
      </c>
      <c r="AV81">
        <f t="shared" si="83"/>
        <v>-2.2699112936602228</v>
      </c>
      <c r="AW81">
        <f t="shared" si="84"/>
        <v>0.50712874914593753</v>
      </c>
      <c r="AX81" s="40">
        <f t="shared" si="85"/>
        <v>-5.4115039472500159</v>
      </c>
      <c r="AY81">
        <f t="shared" si="86"/>
        <v>5.4115039472500159</v>
      </c>
      <c r="AZ81">
        <f t="shared" si="87"/>
        <v>4.5204027626653005</v>
      </c>
      <c r="BA81">
        <f t="shared" si="88"/>
        <v>-2.2699112936602228</v>
      </c>
      <c r="BB81">
        <f t="shared" si="89"/>
        <v>0.50712874914593753</v>
      </c>
      <c r="BC81">
        <f t="shared" si="90"/>
        <v>-5.4115039472500159</v>
      </c>
      <c r="BD81">
        <f t="shared" si="91"/>
        <v>5.4115039472500159</v>
      </c>
      <c r="BE81" s="40">
        <f t="shared" si="92"/>
        <v>-6.0802238601709631</v>
      </c>
      <c r="BF81" s="40">
        <f t="shared" si="93"/>
        <v>-2.2699112936602228</v>
      </c>
      <c r="BG81">
        <f t="shared" si="94"/>
        <v>-2.2699112936602228</v>
      </c>
    </row>
    <row r="82" spans="1:59" x14ac:dyDescent="0.25">
      <c r="B82">
        <f>ATAN2(1,0)</f>
        <v>0</v>
      </c>
      <c r="AS82">
        <v>-1.745329251994342</v>
      </c>
      <c r="AT82">
        <v>-192.71493855329064</v>
      </c>
      <c r="AU82">
        <v>-235.85783533296808</v>
      </c>
      <c r="AV82">
        <f t="shared" si="83"/>
        <v>-2.2558660366268497</v>
      </c>
      <c r="AW82">
        <f t="shared" si="84"/>
        <v>0.51053678463250773</v>
      </c>
      <c r="AX82" s="40">
        <f t="shared" si="85"/>
        <v>-5.3974586902166433</v>
      </c>
      <c r="AY82">
        <f t="shared" si="86"/>
        <v>5.3974586902166433</v>
      </c>
      <c r="AZ82">
        <f t="shared" si="87"/>
        <v>4.5378560551852445</v>
      </c>
      <c r="BA82">
        <f t="shared" si="88"/>
        <v>-2.2558660366268497</v>
      </c>
      <c r="BB82">
        <f t="shared" si="89"/>
        <v>0.51053678463250773</v>
      </c>
      <c r="BC82">
        <f t="shared" si="90"/>
        <v>-5.3974586902166433</v>
      </c>
      <c r="BD82">
        <f t="shared" si="91"/>
        <v>5.3974586902166433</v>
      </c>
      <c r="BE82" s="40">
        <f t="shared" si="92"/>
        <v>-6.0942691172043357</v>
      </c>
      <c r="BF82" s="40">
        <f t="shared" si="93"/>
        <v>-2.2558660366268501</v>
      </c>
      <c r="BG82">
        <f t="shared" si="94"/>
        <v>-2.2558660366268501</v>
      </c>
    </row>
    <row r="83" spans="1:59" x14ac:dyDescent="0.25">
      <c r="A83" t="s">
        <v>74</v>
      </c>
      <c r="B83">
        <f ca="1">ATAN2(B79,B80)</f>
        <v>3.141592645504125</v>
      </c>
      <c r="AS83">
        <v>-1.7278759594743986</v>
      </c>
      <c r="AT83">
        <v>-187.2456578052103</v>
      </c>
      <c r="AU83">
        <v>-236.67770486414418</v>
      </c>
      <c r="AV83">
        <f t="shared" si="83"/>
        <v>-2.2401126239765734</v>
      </c>
      <c r="AW83">
        <f t="shared" si="84"/>
        <v>0.51223666450217475</v>
      </c>
      <c r="AX83" s="40">
        <f t="shared" si="85"/>
        <v>-5.3817052775663665</v>
      </c>
      <c r="AY83">
        <f t="shared" si="86"/>
        <v>5.3817052775663665</v>
      </c>
      <c r="AZ83">
        <f t="shared" si="87"/>
        <v>4.5553093477051876</v>
      </c>
      <c r="BA83">
        <f t="shared" si="88"/>
        <v>-2.2401126239765734</v>
      </c>
      <c r="BB83">
        <f t="shared" si="89"/>
        <v>0.51223666450217475</v>
      </c>
      <c r="BC83">
        <f t="shared" si="90"/>
        <v>-5.3817052775663665</v>
      </c>
      <c r="BD83">
        <f t="shared" si="91"/>
        <v>5.3817052775663665</v>
      </c>
      <c r="BE83" s="40">
        <f t="shared" si="92"/>
        <v>-6.1100225298546125</v>
      </c>
      <c r="BF83" s="40">
        <f t="shared" si="93"/>
        <v>-2.2401126239765734</v>
      </c>
      <c r="BG83">
        <f t="shared" si="94"/>
        <v>-2.2401126239765734</v>
      </c>
    </row>
    <row r="84" spans="1:59" x14ac:dyDescent="0.25">
      <c r="AS84">
        <v>-1.7104226669544553</v>
      </c>
      <c r="AT84">
        <v>-181.06205489039957</v>
      </c>
      <c r="AU84">
        <v>-237.55681188735156</v>
      </c>
      <c r="AV84">
        <f t="shared" si="83"/>
        <v>-2.2220498448426129</v>
      </c>
      <c r="AW84">
        <f t="shared" si="84"/>
        <v>0.51162717788815759</v>
      </c>
      <c r="AX84" s="40">
        <f t="shared" si="85"/>
        <v>-5.363642498432406</v>
      </c>
      <c r="AY84">
        <f t="shared" si="86"/>
        <v>5.363642498432406</v>
      </c>
      <c r="AZ84">
        <f t="shared" si="87"/>
        <v>4.5727626402251307</v>
      </c>
      <c r="BA84">
        <f t="shared" si="88"/>
        <v>-2.2220498448426129</v>
      </c>
      <c r="BB84">
        <f t="shared" si="89"/>
        <v>0.51162717788815759</v>
      </c>
      <c r="BC84">
        <f t="shared" si="90"/>
        <v>-5.363642498432406</v>
      </c>
      <c r="BD84">
        <f t="shared" si="91"/>
        <v>5.363642498432406</v>
      </c>
      <c r="BE84" s="40">
        <f t="shared" si="92"/>
        <v>-6.128085308988573</v>
      </c>
      <c r="BF84" s="40">
        <f t="shared" si="93"/>
        <v>-2.2220498448426129</v>
      </c>
      <c r="BG84">
        <f t="shared" si="94"/>
        <v>-2.2220498448426129</v>
      </c>
    </row>
    <row r="85" spans="1:59" x14ac:dyDescent="0.25">
      <c r="AS85">
        <v>-1.692969374434512</v>
      </c>
      <c r="AT85">
        <v>-174.47756401423482</v>
      </c>
      <c r="AU85">
        <v>-238.40684325963309</v>
      </c>
      <c r="AV85">
        <f t="shared" si="83"/>
        <v>-2.2025785612474196</v>
      </c>
      <c r="AW85">
        <f t="shared" si="84"/>
        <v>0.50960918681290757</v>
      </c>
      <c r="AX85" s="40">
        <f t="shared" si="85"/>
        <v>-5.3441712148372122</v>
      </c>
      <c r="AY85">
        <f t="shared" si="86"/>
        <v>5.3441712148372122</v>
      </c>
      <c r="AZ85">
        <f t="shared" si="87"/>
        <v>4.5902159327450747</v>
      </c>
      <c r="BA85">
        <f t="shared" si="88"/>
        <v>-2.2025785612474196</v>
      </c>
      <c r="BB85">
        <f t="shared" si="89"/>
        <v>0.50960918681290757</v>
      </c>
      <c r="BC85">
        <f t="shared" si="90"/>
        <v>-5.3441712148372122</v>
      </c>
      <c r="BD85">
        <f t="shared" si="91"/>
        <v>5.3441712148372122</v>
      </c>
      <c r="BE85" s="40">
        <f t="shared" si="92"/>
        <v>-6.1475565925837667</v>
      </c>
      <c r="BF85" s="40">
        <f t="shared" si="93"/>
        <v>-2.2025785612474191</v>
      </c>
      <c r="BG85">
        <f t="shared" si="94"/>
        <v>-2.2025785612474191</v>
      </c>
    </row>
    <row r="86" spans="1:59" x14ac:dyDescent="0.25">
      <c r="AS86">
        <v>-1.6755160819145687</v>
      </c>
      <c r="AT86">
        <v>-167.91425792504305</v>
      </c>
      <c r="AU86">
        <v>-239.1372885513419</v>
      </c>
      <c r="AV86">
        <f t="shared" si="83"/>
        <v>-2.1829750206386715</v>
      </c>
      <c r="AW86">
        <f t="shared" si="84"/>
        <v>0.50745893872410286</v>
      </c>
      <c r="AX86" s="40">
        <f t="shared" si="85"/>
        <v>-5.3245676742284651</v>
      </c>
      <c r="AY86">
        <f t="shared" si="86"/>
        <v>5.3245676742284651</v>
      </c>
      <c r="AZ86">
        <f t="shared" si="87"/>
        <v>4.6076692252650178</v>
      </c>
      <c r="BA86">
        <f t="shared" si="88"/>
        <v>-2.1829750206386715</v>
      </c>
      <c r="BB86">
        <f t="shared" si="89"/>
        <v>0.50745893872410286</v>
      </c>
      <c r="BC86">
        <f t="shared" si="90"/>
        <v>-5.3245676742284651</v>
      </c>
      <c r="BD86">
        <f t="shared" si="91"/>
        <v>5.3245676742284651</v>
      </c>
      <c r="BE86" s="40">
        <f t="shared" si="92"/>
        <v>-6.1671601331925139</v>
      </c>
      <c r="BF86" s="40">
        <f t="shared" si="93"/>
        <v>-2.182975020638672</v>
      </c>
      <c r="BG86">
        <f t="shared" si="94"/>
        <v>-2.182975020638672</v>
      </c>
    </row>
    <row r="87" spans="1:59" x14ac:dyDescent="0.25">
      <c r="A87" t="s">
        <v>119</v>
      </c>
      <c r="AS87">
        <v>-1.6580627893946254</v>
      </c>
      <c r="AT87">
        <v>-161.36686489362108</v>
      </c>
      <c r="AU87">
        <v>-239.7498325744607</v>
      </c>
      <c r="AV87">
        <f t="shared" si="83"/>
        <v>-2.1632144521179062</v>
      </c>
      <c r="AW87">
        <f t="shared" si="84"/>
        <v>0.50515166272328083</v>
      </c>
      <c r="AX87" s="40">
        <f t="shared" si="85"/>
        <v>-5.3048071057076989</v>
      </c>
      <c r="AY87">
        <f t="shared" si="86"/>
        <v>5.3048071057076989</v>
      </c>
      <c r="AZ87">
        <f t="shared" si="87"/>
        <v>4.6251225177849609</v>
      </c>
      <c r="BA87">
        <f t="shared" si="88"/>
        <v>-2.1632144521179062</v>
      </c>
      <c r="BB87">
        <f t="shared" si="89"/>
        <v>0.50515166272328083</v>
      </c>
      <c r="BC87">
        <f t="shared" si="90"/>
        <v>-5.3048071057076989</v>
      </c>
      <c r="BD87">
        <f t="shared" si="91"/>
        <v>5.3048071057076989</v>
      </c>
      <c r="BE87" s="40">
        <f t="shared" si="92"/>
        <v>-6.1869207017132801</v>
      </c>
      <c r="BF87" s="40">
        <f t="shared" si="93"/>
        <v>-2.1632144521179058</v>
      </c>
      <c r="BG87">
        <f t="shared" si="94"/>
        <v>-2.1632144521179058</v>
      </c>
    </row>
    <row r="88" spans="1:59" x14ac:dyDescent="0.25">
      <c r="A88" t="s">
        <v>120</v>
      </c>
      <c r="AS88">
        <v>-1.640609496874682</v>
      </c>
      <c r="AT88">
        <v>-154.82988643446168</v>
      </c>
      <c r="AU88">
        <v>-240.24582301644796</v>
      </c>
      <c r="AV88">
        <f t="shared" si="83"/>
        <v>-2.1432702586611914</v>
      </c>
      <c r="AW88">
        <f t="shared" si="84"/>
        <v>0.50266076178650931</v>
      </c>
      <c r="AX88" s="40">
        <f t="shared" si="85"/>
        <v>-5.2848629122509845</v>
      </c>
      <c r="AY88">
        <f t="shared" si="86"/>
        <v>5.2848629122509845</v>
      </c>
      <c r="AZ88">
        <f t="shared" si="87"/>
        <v>4.642575810304904</v>
      </c>
      <c r="BA88">
        <f t="shared" si="88"/>
        <v>-2.1432702586611914</v>
      </c>
      <c r="BB88">
        <f t="shared" si="89"/>
        <v>0.50266076178650931</v>
      </c>
      <c r="BC88">
        <f t="shared" si="90"/>
        <v>-5.2848629122509845</v>
      </c>
      <c r="BD88">
        <f t="shared" si="91"/>
        <v>5.2848629122509845</v>
      </c>
      <c r="BE88" s="40">
        <f t="shared" si="92"/>
        <v>-6.2068648951699945</v>
      </c>
      <c r="BF88" s="40">
        <f t="shared" si="93"/>
        <v>-2.1432702586611914</v>
      </c>
      <c r="BG88">
        <f t="shared" si="94"/>
        <v>-2.1432702586611914</v>
      </c>
    </row>
    <row r="89" spans="1:59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AS89">
        <v>-1.6231562043547387</v>
      </c>
      <c r="AT89">
        <v>-148.29749281716727</v>
      </c>
      <c r="AU89">
        <v>-240.62626586657461</v>
      </c>
      <c r="AV89">
        <f t="shared" si="83"/>
        <v>-2.1231135564208072</v>
      </c>
      <c r="AW89">
        <f t="shared" si="84"/>
        <v>0.49995735206606851</v>
      </c>
      <c r="AX89" s="40">
        <f t="shared" si="85"/>
        <v>-5.2647062100106004</v>
      </c>
      <c r="AY89">
        <f t="shared" si="86"/>
        <v>5.2647062100106004</v>
      </c>
      <c r="AZ89">
        <f t="shared" si="87"/>
        <v>4.6600291028248471</v>
      </c>
      <c r="BA89">
        <f t="shared" si="88"/>
        <v>-2.1231135564208072</v>
      </c>
      <c r="BB89">
        <f t="shared" si="89"/>
        <v>0.49995735206606851</v>
      </c>
      <c r="BC89">
        <f t="shared" si="90"/>
        <v>-5.2647062100106004</v>
      </c>
      <c r="BD89">
        <f t="shared" si="91"/>
        <v>5.2647062100106004</v>
      </c>
      <c r="BE89" s="40">
        <f t="shared" si="92"/>
        <v>-6.2270215974103786</v>
      </c>
      <c r="BF89" s="40">
        <f t="shared" si="93"/>
        <v>-2.1231135564208072</v>
      </c>
      <c r="BG89">
        <f t="shared" si="94"/>
        <v>-2.1231135564208072</v>
      </c>
    </row>
    <row r="90" spans="1:59" x14ac:dyDescent="0.25">
      <c r="A90" s="1">
        <f>E3</f>
        <v>0</v>
      </c>
      <c r="B90" s="1">
        <f>F3</f>
        <v>0</v>
      </c>
      <c r="C90" s="1"/>
      <c r="AS90">
        <v>-1.6057029118347954</v>
      </c>
      <c r="AT90">
        <v>-141.76337860581089</v>
      </c>
      <c r="AU90">
        <v>-240.89181387614394</v>
      </c>
      <c r="AV90">
        <f t="shared" si="83"/>
        <v>-2.1027125466000873</v>
      </c>
      <c r="AW90">
        <f t="shared" si="84"/>
        <v>0.49700963476529192</v>
      </c>
      <c r="AX90" s="40">
        <f t="shared" si="85"/>
        <v>-5.2443052001898804</v>
      </c>
      <c r="AY90">
        <f t="shared" si="86"/>
        <v>5.2443052001898804</v>
      </c>
      <c r="AZ90">
        <f t="shared" si="87"/>
        <v>4.677482395344791</v>
      </c>
      <c r="BA90">
        <f t="shared" si="88"/>
        <v>-2.1027125466000873</v>
      </c>
      <c r="BB90">
        <f t="shared" si="89"/>
        <v>0.49700963476529192</v>
      </c>
      <c r="BC90">
        <f t="shared" si="90"/>
        <v>-5.2443052001898804</v>
      </c>
      <c r="BD90">
        <f t="shared" si="91"/>
        <v>5.2443052001898804</v>
      </c>
      <c r="BE90" s="40">
        <f t="shared" si="92"/>
        <v>-6.2474226072310985</v>
      </c>
      <c r="BF90" s="40">
        <f t="shared" si="93"/>
        <v>-2.1027125466000873</v>
      </c>
      <c r="BG90">
        <f t="shared" si="94"/>
        <v>-2.1027125466000873</v>
      </c>
    </row>
    <row r="91" spans="1:59" x14ac:dyDescent="0.25">
      <c r="A91" s="1">
        <f t="shared" ref="A91:B91" si="101">E4</f>
        <v>12</v>
      </c>
      <c r="B91" s="1">
        <f t="shared" si="101"/>
        <v>0</v>
      </c>
      <c r="C91" s="1">
        <f>((A90*B91)-(A91*B90))*0.5</f>
        <v>0</v>
      </c>
      <c r="D91" s="6">
        <f>(A91+A90)*((A90*B91)-(A91*B90))*(1/6)</f>
        <v>0</v>
      </c>
      <c r="E91" s="6">
        <f>(B91+B90)*((A90*B91)-(A91*B90))*(1/6)</f>
        <v>0</v>
      </c>
      <c r="AS91">
        <v>-1.5882496193148521</v>
      </c>
      <c r="AT91">
        <v>-135.22055658398904</v>
      </c>
      <c r="AU91">
        <v>-241.04274500026878</v>
      </c>
      <c r="AV91">
        <f t="shared" si="83"/>
        <v>-2.0820316327569524</v>
      </c>
      <c r="AW91">
        <f t="shared" si="84"/>
        <v>0.49378201344210026</v>
      </c>
      <c r="AX91" s="40">
        <f t="shared" si="85"/>
        <v>-5.2236242863467455</v>
      </c>
      <c r="AY91">
        <f t="shared" si="86"/>
        <v>5.2236242863467455</v>
      </c>
      <c r="AZ91">
        <f t="shared" si="87"/>
        <v>4.6949356878647341</v>
      </c>
      <c r="BA91">
        <f t="shared" si="88"/>
        <v>-2.0820316327569524</v>
      </c>
      <c r="BB91">
        <f t="shared" si="89"/>
        <v>0.49378201344210026</v>
      </c>
      <c r="BC91">
        <f t="shared" si="90"/>
        <v>-5.2236242863467455</v>
      </c>
      <c r="BD91">
        <f t="shared" si="91"/>
        <v>5.2236242863467455</v>
      </c>
      <c r="BE91" s="40">
        <f t="shared" si="92"/>
        <v>-6.2681035210742335</v>
      </c>
      <c r="BF91" s="40">
        <f t="shared" si="93"/>
        <v>-2.0820316327569524</v>
      </c>
      <c r="BG91">
        <f t="shared" si="94"/>
        <v>-2.0820316327569524</v>
      </c>
    </row>
    <row r="92" spans="1:59" x14ac:dyDescent="0.25">
      <c r="A92" s="1">
        <f t="shared" ref="A92:B92" si="102">E5</f>
        <v>12</v>
      </c>
      <c r="B92" s="1">
        <f t="shared" si="102"/>
        <v>12</v>
      </c>
      <c r="C92" s="1">
        <f t="shared" ref="C92:C98" si="103">((A91*B92)-(A92*B91))*0.5</f>
        <v>72</v>
      </c>
      <c r="D92" s="6">
        <f t="shared" ref="D92:D98" si="104">(A92+A91)*((A91*B92)-(A92*B91))*(1/6)</f>
        <v>576</v>
      </c>
      <c r="E92" s="6">
        <f t="shared" ref="E92:E98" si="105">(B92+B91)*((A91*B92)-(A92*B91))*(1/6)</f>
        <v>288</v>
      </c>
      <c r="AS92">
        <v>-1.5707963267949088</v>
      </c>
      <c r="AT92">
        <v>-128.66105356563219</v>
      </c>
      <c r="AU92">
        <v>-241.07892606363367</v>
      </c>
      <c r="AV92">
        <f t="shared" si="83"/>
        <v>-2.061030136225007</v>
      </c>
      <c r="AW92">
        <f t="shared" si="84"/>
        <v>0.4902338094300982</v>
      </c>
      <c r="AX92" s="40">
        <f t="shared" si="85"/>
        <v>-5.2026227898148001</v>
      </c>
      <c r="AY92">
        <f t="shared" si="86"/>
        <v>5.2026227898148001</v>
      </c>
      <c r="AZ92">
        <f t="shared" si="87"/>
        <v>4.7123889803846772</v>
      </c>
      <c r="BA92">
        <f t="shared" si="88"/>
        <v>-2.061030136225007</v>
      </c>
      <c r="BB92">
        <f t="shared" si="89"/>
        <v>0.4902338094300982</v>
      </c>
      <c r="BC92">
        <f t="shared" si="90"/>
        <v>-5.2026227898148001</v>
      </c>
      <c r="BD92">
        <f t="shared" si="91"/>
        <v>5.2026227898148001</v>
      </c>
      <c r="BE92" s="40">
        <f t="shared" si="92"/>
        <v>-6.2891050176061789</v>
      </c>
      <c r="BF92" s="40">
        <f t="shared" si="93"/>
        <v>-2.061030136225007</v>
      </c>
      <c r="BG92">
        <f t="shared" si="94"/>
        <v>-2.061030136225007</v>
      </c>
    </row>
    <row r="93" spans="1:59" x14ac:dyDescent="0.25">
      <c r="A93" s="1">
        <f t="shared" ref="A93:B93" si="106">E6</f>
        <v>12</v>
      </c>
      <c r="B93" s="1">
        <f t="shared" si="106"/>
        <v>12</v>
      </c>
      <c r="C93" s="1">
        <f t="shared" si="103"/>
        <v>0</v>
      </c>
      <c r="D93" s="6">
        <f t="shared" si="104"/>
        <v>0</v>
      </c>
      <c r="E93" s="6">
        <f t="shared" si="105"/>
        <v>0</v>
      </c>
      <c r="AS93">
        <v>-1.5533430342749655</v>
      </c>
      <c r="AT93">
        <v>-117.24033629292798</v>
      </c>
      <c r="AU93">
        <v>-240.3460169685971</v>
      </c>
      <c r="AV93">
        <f t="shared" si="83"/>
        <v>-2.0246348728366312</v>
      </c>
      <c r="AW93">
        <f t="shared" si="84"/>
        <v>0.47129183856166579</v>
      </c>
      <c r="AX93" s="40">
        <f t="shared" si="85"/>
        <v>-5.1662275264264244</v>
      </c>
      <c r="AY93">
        <f t="shared" si="86"/>
        <v>5.1662275264264244</v>
      </c>
      <c r="AZ93">
        <f t="shared" si="87"/>
        <v>4.7298422729046212</v>
      </c>
      <c r="BA93">
        <f t="shared" si="88"/>
        <v>-2.0246348728366312</v>
      </c>
      <c r="BB93">
        <f t="shared" si="89"/>
        <v>0.47129183856166579</v>
      </c>
      <c r="BC93">
        <f t="shared" si="90"/>
        <v>-5.1662275264264244</v>
      </c>
      <c r="BD93">
        <f t="shared" si="91"/>
        <v>5.1662275264264244</v>
      </c>
      <c r="BE93" s="40">
        <f t="shared" si="92"/>
        <v>-6.3255002809945546</v>
      </c>
      <c r="BF93" s="40">
        <f t="shared" si="93"/>
        <v>-2.0246348728366312</v>
      </c>
      <c r="BG93">
        <f t="shared" si="94"/>
        <v>-2.0246348728366312</v>
      </c>
    </row>
    <row r="94" spans="1:59" x14ac:dyDescent="0.25">
      <c r="A94" s="1">
        <f t="shared" ref="A94:B94" si="107">E7</f>
        <v>12</v>
      </c>
      <c r="B94" s="1">
        <f t="shared" si="107"/>
        <v>24</v>
      </c>
      <c r="C94" s="1">
        <f t="shared" si="103"/>
        <v>72</v>
      </c>
      <c r="D94" s="6">
        <f t="shared" si="104"/>
        <v>576</v>
      </c>
      <c r="E94" s="6">
        <f t="shared" si="105"/>
        <v>864</v>
      </c>
      <c r="AS94">
        <v>-1.5358897417550221</v>
      </c>
      <c r="AT94">
        <v>-106.32710829754367</v>
      </c>
      <c r="AU94">
        <v>-239.54220566597041</v>
      </c>
      <c r="AV94">
        <f t="shared" si="83"/>
        <v>-1.9885461276845458</v>
      </c>
      <c r="AW94">
        <f t="shared" si="84"/>
        <v>0.45265638592952362</v>
      </c>
      <c r="AX94" s="40">
        <f t="shared" si="85"/>
        <v>-5.1301387812743391</v>
      </c>
      <c r="AY94">
        <f t="shared" si="86"/>
        <v>5.1301387812743391</v>
      </c>
      <c r="AZ94">
        <f t="shared" si="87"/>
        <v>4.7472955654245643</v>
      </c>
      <c r="BA94">
        <f t="shared" si="88"/>
        <v>-1.9885461276845458</v>
      </c>
      <c r="BB94">
        <f t="shared" si="89"/>
        <v>0.45265638592952362</v>
      </c>
      <c r="BC94">
        <f t="shared" si="90"/>
        <v>-5.1301387812743391</v>
      </c>
      <c r="BD94">
        <f t="shared" si="91"/>
        <v>5.1301387812743391</v>
      </c>
      <c r="BE94" s="40">
        <f t="shared" si="92"/>
        <v>-6.3615890261466399</v>
      </c>
      <c r="BF94" s="40">
        <f t="shared" si="93"/>
        <v>-1.988546127684546</v>
      </c>
      <c r="BG94">
        <f t="shared" si="94"/>
        <v>-1.988546127684546</v>
      </c>
    </row>
    <row r="95" spans="1:59" x14ac:dyDescent="0.25">
      <c r="A95" s="1">
        <f t="shared" ref="A95:B95" si="108">E8</f>
        <v>-24</v>
      </c>
      <c r="B95" s="1">
        <f t="shared" si="108"/>
        <v>24</v>
      </c>
      <c r="C95" s="1">
        <f t="shared" si="103"/>
        <v>432</v>
      </c>
      <c r="D95" s="6">
        <f t="shared" si="104"/>
        <v>-1728</v>
      </c>
      <c r="E95" s="6">
        <f t="shared" si="105"/>
        <v>6912</v>
      </c>
      <c r="AS95">
        <v>-1.5184364492350788</v>
      </c>
      <c r="AT95">
        <v>-95.867380902425282</v>
      </c>
      <c r="AU95">
        <v>-238.66862096861234</v>
      </c>
      <c r="AV95">
        <f t="shared" si="83"/>
        <v>-1.9527464214293879</v>
      </c>
      <c r="AW95">
        <f t="shared" si="84"/>
        <v>0.43430997219430911</v>
      </c>
      <c r="AX95" s="40">
        <f t="shared" si="85"/>
        <v>-5.0943390750191808</v>
      </c>
      <c r="AY95">
        <f t="shared" si="86"/>
        <v>5.0943390750191808</v>
      </c>
      <c r="AZ95">
        <f t="shared" si="87"/>
        <v>4.7647488579445074</v>
      </c>
      <c r="BA95">
        <f t="shared" si="88"/>
        <v>-1.9527464214293879</v>
      </c>
      <c r="BB95">
        <f t="shared" si="89"/>
        <v>0.43430997219430911</v>
      </c>
      <c r="BC95">
        <f t="shared" si="90"/>
        <v>-5.0943390750191808</v>
      </c>
      <c r="BD95">
        <f t="shared" si="91"/>
        <v>5.0943390750191808</v>
      </c>
      <c r="BE95" s="40">
        <f t="shared" si="92"/>
        <v>-6.3973887324017982</v>
      </c>
      <c r="BF95" s="40">
        <f t="shared" si="93"/>
        <v>-1.9527464214293877</v>
      </c>
      <c r="BG95">
        <f t="shared" si="94"/>
        <v>-1.9527464214293877</v>
      </c>
    </row>
    <row r="96" spans="1:59" x14ac:dyDescent="0.25">
      <c r="A96" s="1">
        <f t="shared" ref="A96:B96" si="109">E9</f>
        <v>-24</v>
      </c>
      <c r="B96" s="1">
        <f t="shared" si="109"/>
        <v>12</v>
      </c>
      <c r="C96" s="1">
        <f t="shared" si="103"/>
        <v>144</v>
      </c>
      <c r="D96" s="6">
        <f t="shared" si="104"/>
        <v>-2304</v>
      </c>
      <c r="E96" s="6">
        <f t="shared" si="105"/>
        <v>1728</v>
      </c>
      <c r="AS96">
        <v>-1.5009831567151355</v>
      </c>
      <c r="AT96">
        <v>-85.808580907927308</v>
      </c>
      <c r="AU96">
        <v>-237.72438172961475</v>
      </c>
      <c r="AV96">
        <f t="shared" si="83"/>
        <v>-1.9171999725678146</v>
      </c>
      <c r="AW96">
        <f t="shared" si="84"/>
        <v>0.41621681585267911</v>
      </c>
      <c r="AX96" s="40">
        <f t="shared" si="85"/>
        <v>-5.0587926261576079</v>
      </c>
      <c r="AY96">
        <f t="shared" si="86"/>
        <v>5.0587926261576079</v>
      </c>
      <c r="AZ96">
        <f t="shared" si="87"/>
        <v>4.7822021504644505</v>
      </c>
      <c r="BA96">
        <f t="shared" si="88"/>
        <v>-1.9171999725678146</v>
      </c>
      <c r="BB96">
        <f t="shared" si="89"/>
        <v>0.41621681585267911</v>
      </c>
      <c r="BC96">
        <f t="shared" si="90"/>
        <v>-5.0587926261576079</v>
      </c>
      <c r="BD96">
        <f t="shared" si="91"/>
        <v>5.0587926261576079</v>
      </c>
      <c r="BE96" s="40">
        <f t="shared" si="92"/>
        <v>-6.432935181263371</v>
      </c>
      <c r="BF96" s="40">
        <f t="shared" si="93"/>
        <v>-1.9171999725678148</v>
      </c>
      <c r="BG96">
        <f t="shared" si="94"/>
        <v>-1.9171999725678148</v>
      </c>
    </row>
    <row r="97" spans="1:59" x14ac:dyDescent="0.25">
      <c r="A97" s="1">
        <f t="shared" ref="A97:B97" si="110">E10</f>
        <v>0</v>
      </c>
      <c r="B97" s="1">
        <f t="shared" si="110"/>
        <v>12</v>
      </c>
      <c r="C97" s="1">
        <f t="shared" si="103"/>
        <v>-144</v>
      </c>
      <c r="D97" s="6">
        <f t="shared" si="104"/>
        <v>1152</v>
      </c>
      <c r="E97" s="6">
        <f t="shared" si="105"/>
        <v>-1152</v>
      </c>
      <c r="AS97">
        <v>-1.4835298641951922</v>
      </c>
      <c r="AT97">
        <v>-76.100936550665011</v>
      </c>
      <c r="AU97">
        <v>-236.70713071198276</v>
      </c>
      <c r="AV97">
        <f t="shared" si="83"/>
        <v>-1.8818577915183516</v>
      </c>
      <c r="AW97">
        <f t="shared" si="84"/>
        <v>0.39832792732315947</v>
      </c>
      <c r="AX97" s="40">
        <f t="shared" si="85"/>
        <v>-5.0234504451081445</v>
      </c>
      <c r="AY97">
        <f t="shared" si="86"/>
        <v>5.0234504451081445</v>
      </c>
      <c r="AZ97">
        <f t="shared" si="87"/>
        <v>4.7996554429843936</v>
      </c>
      <c r="BA97">
        <f t="shared" si="88"/>
        <v>-1.8818577915183516</v>
      </c>
      <c r="BB97">
        <f t="shared" si="89"/>
        <v>0.39832792732315947</v>
      </c>
      <c r="BC97">
        <f t="shared" si="90"/>
        <v>-5.0234504451081445</v>
      </c>
      <c r="BD97">
        <f t="shared" si="91"/>
        <v>5.0234504451081445</v>
      </c>
      <c r="BE97" s="40">
        <f t="shared" si="92"/>
        <v>-6.4682773623128345</v>
      </c>
      <c r="BF97" s="40">
        <f t="shared" si="93"/>
        <v>-1.8818577915183514</v>
      </c>
      <c r="BG97">
        <f t="shared" si="94"/>
        <v>-1.8818577915183514</v>
      </c>
    </row>
    <row r="98" spans="1:59" x14ac:dyDescent="0.25">
      <c r="A98" s="1">
        <f t="shared" ref="A98:B98" si="111">E11</f>
        <v>0</v>
      </c>
      <c r="B98" s="1">
        <f t="shared" si="111"/>
        <v>0</v>
      </c>
      <c r="C98" s="1">
        <f t="shared" si="103"/>
        <v>0</v>
      </c>
      <c r="D98" s="6">
        <f t="shared" si="104"/>
        <v>0</v>
      </c>
      <c r="E98" s="6">
        <f t="shared" si="105"/>
        <v>0</v>
      </c>
      <c r="AS98">
        <v>-1.4660765716752489</v>
      </c>
      <c r="AT98">
        <v>-66.698303705298912</v>
      </c>
      <c r="AU98">
        <v>-235.61346658932021</v>
      </c>
      <c r="AV98">
        <f t="shared" si="83"/>
        <v>-1.8466621377679058</v>
      </c>
      <c r="AW98">
        <f t="shared" si="84"/>
        <v>0.38058556609265692</v>
      </c>
      <c r="AX98" s="40">
        <f t="shared" si="85"/>
        <v>-4.9882547913576989</v>
      </c>
      <c r="AY98">
        <f t="shared" si="86"/>
        <v>4.9882547913576989</v>
      </c>
      <c r="AZ98">
        <f t="shared" si="87"/>
        <v>4.8171087355043376</v>
      </c>
      <c r="BA98">
        <f t="shared" si="88"/>
        <v>-1.8466621377679058</v>
      </c>
      <c r="BB98">
        <f t="shared" si="89"/>
        <v>0.38058556609265692</v>
      </c>
      <c r="BC98">
        <f t="shared" si="90"/>
        <v>-4.9882547913576989</v>
      </c>
      <c r="BD98">
        <f t="shared" si="91"/>
        <v>4.9882547913576989</v>
      </c>
      <c r="BE98" s="40">
        <f t="shared" si="92"/>
        <v>-6.5034730160632801</v>
      </c>
      <c r="BF98" s="40">
        <f t="shared" si="93"/>
        <v>-1.8466621377679058</v>
      </c>
      <c r="BG98">
        <f t="shared" si="94"/>
        <v>-1.8466621377679058</v>
      </c>
    </row>
    <row r="99" spans="1:59" x14ac:dyDescent="0.25">
      <c r="C99" s="1">
        <f>SUM(C91:C98)</f>
        <v>576</v>
      </c>
      <c r="D99" s="6">
        <f>SUM(D91:D98)/C99</f>
        <v>-3</v>
      </c>
      <c r="E99" s="6">
        <f>SUM(E91:E98)/C99</f>
        <v>15</v>
      </c>
      <c r="AS99">
        <v>-1.4486232791553055</v>
      </c>
      <c r="AT99">
        <v>-57.872619786300078</v>
      </c>
      <c r="AU99">
        <v>-234.47864424411253</v>
      </c>
      <c r="AV99">
        <f t="shared" si="83"/>
        <v>-1.8127741920210076</v>
      </c>
      <c r="AW99">
        <f t="shared" si="84"/>
        <v>0.36415091286570211</v>
      </c>
      <c r="AX99" s="40">
        <f t="shared" si="85"/>
        <v>-4.9543668456108012</v>
      </c>
      <c r="AY99">
        <f t="shared" si="86"/>
        <v>4.9543668456108012</v>
      </c>
      <c r="AZ99">
        <f t="shared" si="87"/>
        <v>4.8345620280242807</v>
      </c>
      <c r="BA99">
        <f t="shared" si="88"/>
        <v>-1.8127741920210076</v>
      </c>
      <c r="BB99">
        <f t="shared" si="89"/>
        <v>0.36415091286570211</v>
      </c>
      <c r="BC99">
        <f t="shared" si="90"/>
        <v>-4.9543668456108012</v>
      </c>
      <c r="BD99">
        <f t="shared" si="91"/>
        <v>4.9543668456108012</v>
      </c>
      <c r="BE99" s="40">
        <f t="shared" si="92"/>
        <v>-6.5373609618101778</v>
      </c>
      <c r="BF99" s="40">
        <f t="shared" si="93"/>
        <v>-1.8127741920210081</v>
      </c>
      <c r="BG99">
        <f t="shared" si="94"/>
        <v>-1.8127741920210081</v>
      </c>
    </row>
    <row r="100" spans="1:59" x14ac:dyDescent="0.25">
      <c r="A100" s="8" t="s">
        <v>124</v>
      </c>
      <c r="B100" s="1">
        <f>B31*C99*0.65</f>
        <v>1591.2</v>
      </c>
      <c r="C100" t="s">
        <v>68</v>
      </c>
      <c r="AS100">
        <v>-1.4311699866353622</v>
      </c>
      <c r="AT100">
        <v>-50.89774149019145</v>
      </c>
      <c r="AU100">
        <v>-233.48371271954039</v>
      </c>
      <c r="AV100">
        <f t="shared" si="83"/>
        <v>-1.7854311813621668</v>
      </c>
      <c r="AW100">
        <f t="shared" si="84"/>
        <v>0.35426119472680462</v>
      </c>
      <c r="AX100" s="40">
        <f t="shared" si="85"/>
        <v>-4.9270238349519602</v>
      </c>
      <c r="AY100">
        <f t="shared" si="86"/>
        <v>4.9270238349519602</v>
      </c>
      <c r="AZ100">
        <f t="shared" si="87"/>
        <v>4.8520153205442238</v>
      </c>
      <c r="BA100">
        <f t="shared" si="88"/>
        <v>-1.7854311813621668</v>
      </c>
      <c r="BB100">
        <f t="shared" si="89"/>
        <v>0.35426119472680462</v>
      </c>
      <c r="BC100">
        <f t="shared" si="90"/>
        <v>-4.9270238349519602</v>
      </c>
      <c r="BD100">
        <f t="shared" si="91"/>
        <v>4.9270238349519602</v>
      </c>
      <c r="BE100" s="40">
        <f t="shared" si="92"/>
        <v>-6.5647039724690188</v>
      </c>
      <c r="BF100" s="40">
        <f t="shared" si="93"/>
        <v>-1.7854311813621671</v>
      </c>
      <c r="BG100">
        <f t="shared" si="94"/>
        <v>-1.7854311813621671</v>
      </c>
    </row>
    <row r="101" spans="1:59" x14ac:dyDescent="0.25">
      <c r="A101" s="8" t="s">
        <v>77</v>
      </c>
      <c r="B101" s="1">
        <f>B100*E99</f>
        <v>23868</v>
      </c>
      <c r="C101" t="s">
        <v>69</v>
      </c>
      <c r="AS101">
        <v>-1.4137166941154189</v>
      </c>
      <c r="AT101">
        <v>-45.364564790970832</v>
      </c>
      <c r="AU101">
        <v>-232.61493023745041</v>
      </c>
      <c r="AV101">
        <f t="shared" si="83"/>
        <v>-1.7633988760803887</v>
      </c>
      <c r="AW101">
        <f t="shared" si="84"/>
        <v>0.34968218196496981</v>
      </c>
      <c r="AX101" s="40">
        <f t="shared" si="85"/>
        <v>-4.9049915296701823</v>
      </c>
      <c r="AY101">
        <f t="shared" si="86"/>
        <v>4.9049915296701823</v>
      </c>
      <c r="AZ101">
        <f t="shared" si="87"/>
        <v>4.8694686130641678</v>
      </c>
      <c r="BA101">
        <f t="shared" si="88"/>
        <v>-1.7633988760803887</v>
      </c>
      <c r="BB101">
        <f t="shared" si="89"/>
        <v>0.34968218196496981</v>
      </c>
      <c r="BC101">
        <f t="shared" si="90"/>
        <v>-4.9049915296701823</v>
      </c>
      <c r="BD101">
        <f t="shared" si="91"/>
        <v>4.9049915296701823</v>
      </c>
      <c r="BE101" s="40">
        <f t="shared" si="92"/>
        <v>-6.5867362777507967</v>
      </c>
      <c r="BF101" s="40">
        <f t="shared" si="93"/>
        <v>-1.7633988760803891</v>
      </c>
      <c r="BG101">
        <f t="shared" si="94"/>
        <v>-1.7633988760803891</v>
      </c>
    </row>
    <row r="102" spans="1:59" x14ac:dyDescent="0.25">
      <c r="A102" s="8" t="s">
        <v>125</v>
      </c>
      <c r="B102" s="1">
        <f>B100*D99</f>
        <v>-4773.6000000000004</v>
      </c>
      <c r="C102" t="s">
        <v>69</v>
      </c>
      <c r="J102" t="s">
        <v>127</v>
      </c>
      <c r="AS102">
        <v>-1.3962634015954756</v>
      </c>
      <c r="AT102">
        <v>-40.854849512122001</v>
      </c>
      <c r="AU102">
        <v>-231.84205903892604</v>
      </c>
      <c r="AV102">
        <f t="shared" si="83"/>
        <v>-1.7452239970521892</v>
      </c>
      <c r="AW102">
        <f t="shared" si="84"/>
        <v>0.34896059545671365</v>
      </c>
      <c r="AX102" s="40">
        <f t="shared" si="85"/>
        <v>-4.8868166506419826</v>
      </c>
      <c r="AY102">
        <f t="shared" si="86"/>
        <v>4.8868166506419826</v>
      </c>
      <c r="AZ102">
        <f t="shared" si="87"/>
        <v>4.8869219055841109</v>
      </c>
      <c r="BA102">
        <f t="shared" si="88"/>
        <v>-1.7452239970521892</v>
      </c>
      <c r="BB102">
        <f t="shared" si="89"/>
        <v>0.34896059545671365</v>
      </c>
      <c r="BC102">
        <f t="shared" si="90"/>
        <v>-4.8868166506419826</v>
      </c>
      <c r="BD102">
        <f t="shared" si="91"/>
        <v>4.8868166506419826</v>
      </c>
      <c r="BE102" s="40">
        <f t="shared" si="92"/>
        <v>-6.6049111567789964</v>
      </c>
      <c r="BF102" s="40">
        <f t="shared" si="93"/>
        <v>-1.7452239970521894</v>
      </c>
      <c r="BG102">
        <f t="shared" si="94"/>
        <v>-1.7452239970521894</v>
      </c>
    </row>
    <row r="103" spans="1:59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AS103">
        <v>-1.3788101090755323</v>
      </c>
      <c r="AT103">
        <v>-38.524650657480692</v>
      </c>
      <c r="AU103">
        <v>-231.41077132630551</v>
      </c>
      <c r="AV103">
        <f t="shared" si="83"/>
        <v>-1.7357607930298129</v>
      </c>
      <c r="AW103">
        <f t="shared" si="84"/>
        <v>0.35695068395428065</v>
      </c>
      <c r="AX103" s="40">
        <f t="shared" si="85"/>
        <v>-4.8773534466196065</v>
      </c>
      <c r="AY103">
        <f t="shared" si="86"/>
        <v>4.8773534466196065</v>
      </c>
      <c r="AZ103">
        <f t="shared" si="87"/>
        <v>4.904375198104054</v>
      </c>
      <c r="BA103">
        <f t="shared" si="88"/>
        <v>-1.7357607930298129</v>
      </c>
      <c r="BB103">
        <f t="shared" si="89"/>
        <v>0.35695068395428065</v>
      </c>
      <c r="BC103">
        <f t="shared" si="90"/>
        <v>-4.8773534466196065</v>
      </c>
      <c r="BD103">
        <f t="shared" si="91"/>
        <v>4.8773534466196065</v>
      </c>
      <c r="BE103" s="40">
        <f t="shared" si="92"/>
        <v>-6.6143743608013725</v>
      </c>
      <c r="BF103" s="40">
        <f t="shared" si="93"/>
        <v>-1.7357607930298133</v>
      </c>
      <c r="BG103">
        <f t="shared" si="94"/>
        <v>-1.7357607930298133</v>
      </c>
    </row>
    <row r="104" spans="1:59" x14ac:dyDescent="0.25">
      <c r="A104">
        <f>A15</f>
        <v>1</v>
      </c>
      <c r="B104">
        <f t="shared" ref="B104:C104" si="112">B15</f>
        <v>8</v>
      </c>
      <c r="C104">
        <f t="shared" ca="1" si="112"/>
        <v>0.79</v>
      </c>
      <c r="D104">
        <f>D15</f>
        <v>9</v>
      </c>
      <c r="E104">
        <f t="shared" ref="E104" si="113">E15</f>
        <v>22</v>
      </c>
      <c r="F104" s="5">
        <f ca="1">($B$12-$B$31)*C104*0.65</f>
        <v>28.627625000000002</v>
      </c>
      <c r="G104">
        <f ca="1">E104*F104</f>
        <v>629.80775000000006</v>
      </c>
      <c r="H104">
        <f ca="1">D104*F104</f>
        <v>257.64862500000004</v>
      </c>
      <c r="J104">
        <f ca="1">-1*C104*$B$12*0.9</f>
        <v>-42.660000000000004</v>
      </c>
      <c r="K104">
        <f ca="1">E104*J104</f>
        <v>-938.5200000000001</v>
      </c>
      <c r="L104">
        <f ca="1">D104*J104</f>
        <v>-383.94000000000005</v>
      </c>
      <c r="AS104">
        <v>-1.3613568165555889</v>
      </c>
      <c r="AT104">
        <v>-35.253994153544703</v>
      </c>
      <c r="AU104">
        <v>-230.75948858207656</v>
      </c>
      <c r="AV104">
        <f t="shared" si="83"/>
        <v>-1.7223978856675153</v>
      </c>
      <c r="AW104">
        <f t="shared" si="84"/>
        <v>0.36104106911192635</v>
      </c>
      <c r="AX104" s="40">
        <f t="shared" si="85"/>
        <v>-4.8639905392573084</v>
      </c>
      <c r="AY104">
        <f t="shared" si="86"/>
        <v>4.8639905392573084</v>
      </c>
      <c r="AZ104">
        <f t="shared" si="87"/>
        <v>4.9218284906239971</v>
      </c>
      <c r="BA104">
        <f t="shared" si="88"/>
        <v>-1.7223978856675153</v>
      </c>
      <c r="BB104">
        <f t="shared" si="89"/>
        <v>0.36104106911192635</v>
      </c>
      <c r="BC104">
        <f t="shared" si="90"/>
        <v>-4.8639905392573084</v>
      </c>
      <c r="BD104">
        <f t="shared" si="91"/>
        <v>4.8639905392573084</v>
      </c>
      <c r="BE104" s="40">
        <f t="shared" si="92"/>
        <v>-6.6277372681636706</v>
      </c>
      <c r="BF104" s="40">
        <f t="shared" si="93"/>
        <v>-1.7223978856675153</v>
      </c>
      <c r="BG104">
        <f t="shared" si="94"/>
        <v>-1.7223978856675153</v>
      </c>
    </row>
    <row r="105" spans="1:59" x14ac:dyDescent="0.25">
      <c r="A105">
        <f t="shared" ref="A105:C113" si="114">A16</f>
        <v>2</v>
      </c>
      <c r="B105">
        <f t="shared" si="114"/>
        <v>8</v>
      </c>
      <c r="C105">
        <f t="shared" ca="1" si="114"/>
        <v>0.79</v>
      </c>
      <c r="D105">
        <f t="shared" ref="D105:E105" si="115">D16</f>
        <v>-1</v>
      </c>
      <c r="E105">
        <f t="shared" si="115"/>
        <v>22</v>
      </c>
      <c r="F105" s="5">
        <f t="shared" ref="F105:F113" ca="1" si="116">($B$12-$B$31)*C105*0.65</f>
        <v>28.627625000000002</v>
      </c>
      <c r="G105">
        <f t="shared" ref="G105:G113" ca="1" si="117">E105*F105</f>
        <v>629.80775000000006</v>
      </c>
      <c r="H105">
        <f t="shared" ref="H105:H113" ca="1" si="118">D105*F105</f>
        <v>-28.627625000000002</v>
      </c>
      <c r="J105">
        <f t="shared" ref="J105:J113" ca="1" si="119">-1*C105*$B$12*0.9</f>
        <v>-42.660000000000004</v>
      </c>
      <c r="K105">
        <f t="shared" ref="K105:K113" ca="1" si="120">E105*J105</f>
        <v>-938.5200000000001</v>
      </c>
      <c r="L105">
        <f t="shared" ref="L105:L113" ca="1" si="121">D105*J105</f>
        <v>42.660000000000004</v>
      </c>
      <c r="AS105">
        <v>-1.3439035240356456</v>
      </c>
      <c r="AT105">
        <v>-32.438656291178987</v>
      </c>
      <c r="AU105">
        <v>-230.15747372002107</v>
      </c>
      <c r="AV105">
        <f t="shared" si="83"/>
        <v>-1.7108151951512016</v>
      </c>
      <c r="AW105">
        <f t="shared" si="84"/>
        <v>0.366911671115556</v>
      </c>
      <c r="AX105" s="40">
        <f t="shared" si="85"/>
        <v>-4.8524078487409952</v>
      </c>
      <c r="AY105">
        <f t="shared" si="86"/>
        <v>4.8524078487409952</v>
      </c>
      <c r="AZ105">
        <f t="shared" si="87"/>
        <v>4.9392817831439402</v>
      </c>
      <c r="BA105">
        <f t="shared" si="88"/>
        <v>-1.7108151951512016</v>
      </c>
      <c r="BB105">
        <f t="shared" si="89"/>
        <v>0.366911671115556</v>
      </c>
      <c r="BC105">
        <f t="shared" si="90"/>
        <v>-4.8524078487409952</v>
      </c>
      <c r="BD105">
        <f t="shared" si="91"/>
        <v>4.8524078487409952</v>
      </c>
      <c r="BE105" s="40">
        <f t="shared" si="92"/>
        <v>-6.6393199586799838</v>
      </c>
      <c r="BF105" s="40">
        <f t="shared" si="93"/>
        <v>-1.7108151951512021</v>
      </c>
      <c r="BG105">
        <f t="shared" si="94"/>
        <v>-1.7108151951512021</v>
      </c>
    </row>
    <row r="106" spans="1:59" x14ac:dyDescent="0.25">
      <c r="A106">
        <f t="shared" si="114"/>
        <v>3</v>
      </c>
      <c r="B106">
        <f t="shared" si="114"/>
        <v>8</v>
      </c>
      <c r="C106">
        <f t="shared" ca="1" si="114"/>
        <v>0.79</v>
      </c>
      <c r="D106">
        <f t="shared" ref="D106:E106" si="122">D17</f>
        <v>-11</v>
      </c>
      <c r="E106">
        <f t="shared" si="122"/>
        <v>22</v>
      </c>
      <c r="F106" s="5">
        <f t="shared" ca="1" si="116"/>
        <v>28.627625000000002</v>
      </c>
      <c r="G106">
        <f t="shared" ca="1" si="117"/>
        <v>629.80775000000006</v>
      </c>
      <c r="H106">
        <f t="shared" ca="1" si="118"/>
        <v>-314.90387500000003</v>
      </c>
      <c r="J106">
        <f t="shared" ca="1" si="119"/>
        <v>-42.660000000000004</v>
      </c>
      <c r="K106">
        <f t="shared" ca="1" si="120"/>
        <v>-938.5200000000001</v>
      </c>
      <c r="L106">
        <f t="shared" ca="1" si="121"/>
        <v>469.26000000000005</v>
      </c>
      <c r="AS106">
        <v>-1.3264502315157023</v>
      </c>
      <c r="AT106">
        <v>-29.984897510117094</v>
      </c>
      <c r="AU106">
        <v>-229.59622450194161</v>
      </c>
      <c r="AV106">
        <f t="shared" si="83"/>
        <v>-1.7006597320667616</v>
      </c>
      <c r="AW106">
        <f t="shared" si="84"/>
        <v>0.37420950055105928</v>
      </c>
      <c r="AX106" s="40">
        <f t="shared" si="85"/>
        <v>-4.8422523856565549</v>
      </c>
      <c r="AY106">
        <f t="shared" si="86"/>
        <v>4.8422523856565549</v>
      </c>
      <c r="AZ106">
        <f t="shared" si="87"/>
        <v>4.9567350756638842</v>
      </c>
      <c r="BA106">
        <f t="shared" si="88"/>
        <v>-1.7006597320667616</v>
      </c>
      <c r="BB106">
        <f t="shared" si="89"/>
        <v>0.37420950055105928</v>
      </c>
      <c r="BC106">
        <f t="shared" si="90"/>
        <v>-4.8422523856565549</v>
      </c>
      <c r="BD106">
        <f t="shared" si="91"/>
        <v>4.8422523856565549</v>
      </c>
      <c r="BE106" s="40">
        <f t="shared" si="92"/>
        <v>-6.6494754217644241</v>
      </c>
      <c r="BF106" s="40">
        <f t="shared" si="93"/>
        <v>-1.7006597320667618</v>
      </c>
      <c r="BG106">
        <f t="shared" si="94"/>
        <v>-1.7006597320667618</v>
      </c>
    </row>
    <row r="107" spans="1:59" x14ac:dyDescent="0.25">
      <c r="A107">
        <f t="shared" si="114"/>
        <v>4</v>
      </c>
      <c r="B107">
        <f t="shared" si="114"/>
        <v>8</v>
      </c>
      <c r="C107">
        <f t="shared" ca="1" si="114"/>
        <v>0.79</v>
      </c>
      <c r="D107">
        <f t="shared" ref="D107:E107" si="123">D18</f>
        <v>-21</v>
      </c>
      <c r="E107">
        <f t="shared" si="123"/>
        <v>22</v>
      </c>
      <c r="F107" s="5">
        <f t="shared" ca="1" si="116"/>
        <v>28.627625000000002</v>
      </c>
      <c r="G107">
        <f t="shared" ca="1" si="117"/>
        <v>629.80775000000006</v>
      </c>
      <c r="H107">
        <f t="shared" ca="1" si="118"/>
        <v>-601.18012500000009</v>
      </c>
      <c r="J107">
        <f t="shared" ca="1" si="119"/>
        <v>-42.660000000000004</v>
      </c>
      <c r="K107">
        <f t="shared" ca="1" si="120"/>
        <v>-938.5200000000001</v>
      </c>
      <c r="L107">
        <f t="shared" ca="1" si="121"/>
        <v>895.86000000000013</v>
      </c>
      <c r="AS107">
        <v>-1.308996938995759</v>
      </c>
      <c r="AT107">
        <v>-27.823288516001728</v>
      </c>
      <c r="AU107">
        <v>-229.06912240518335</v>
      </c>
      <c r="AV107">
        <f t="shared" si="83"/>
        <v>-1.6916666563577678</v>
      </c>
      <c r="AW107">
        <f t="shared" si="84"/>
        <v>0.38266971736200883</v>
      </c>
      <c r="AX107" s="40">
        <f t="shared" si="85"/>
        <v>-4.8332593099475609</v>
      </c>
      <c r="AY107">
        <f t="shared" si="86"/>
        <v>4.8332593099475609</v>
      </c>
      <c r="AZ107">
        <f t="shared" si="87"/>
        <v>4.9741883681838273</v>
      </c>
      <c r="BA107">
        <f t="shared" si="88"/>
        <v>-1.6916666563577678</v>
      </c>
      <c r="BB107">
        <f t="shared" si="89"/>
        <v>0.38266971736200883</v>
      </c>
      <c r="BC107">
        <f t="shared" si="90"/>
        <v>-4.8332593099475609</v>
      </c>
      <c r="BD107">
        <f t="shared" si="91"/>
        <v>4.8332593099475609</v>
      </c>
      <c r="BE107" s="40">
        <f t="shared" si="92"/>
        <v>-6.6584684974734181</v>
      </c>
      <c r="BF107" s="40">
        <f t="shared" si="93"/>
        <v>-1.6916666563577678</v>
      </c>
      <c r="BG107">
        <f t="shared" si="94"/>
        <v>-1.6916666563577678</v>
      </c>
    </row>
    <row r="108" spans="1:59" x14ac:dyDescent="0.25">
      <c r="A108">
        <f t="shared" si="114"/>
        <v>5</v>
      </c>
      <c r="B108">
        <f t="shared" si="114"/>
        <v>0</v>
      </c>
      <c r="C108">
        <f t="shared" ca="1" si="114"/>
        <v>0</v>
      </c>
      <c r="D108">
        <f t="shared" ref="D108:E108" si="124">D19</f>
        <v>2</v>
      </c>
      <c r="E108">
        <f t="shared" si="124"/>
        <v>2</v>
      </c>
      <c r="F108" s="5">
        <f t="shared" ca="1" si="116"/>
        <v>0</v>
      </c>
      <c r="G108">
        <f t="shared" ca="1" si="117"/>
        <v>0</v>
      </c>
      <c r="H108">
        <f t="shared" ca="1" si="118"/>
        <v>0</v>
      </c>
      <c r="J108">
        <f t="shared" ca="1" si="119"/>
        <v>0</v>
      </c>
      <c r="K108">
        <f t="shared" ca="1" si="120"/>
        <v>0</v>
      </c>
      <c r="L108">
        <f t="shared" ca="1" si="121"/>
        <v>0</v>
      </c>
      <c r="AS108">
        <v>-1.2915436464758157</v>
      </c>
      <c r="AT108">
        <v>-25.901265153534851</v>
      </c>
      <c r="AU108">
        <v>-228.5709146691959</v>
      </c>
      <c r="AV108">
        <f t="shared" si="83"/>
        <v>-1.6836332783713297</v>
      </c>
      <c r="AW108">
        <f t="shared" si="84"/>
        <v>0.39208963189551405</v>
      </c>
      <c r="AX108" s="40">
        <f t="shared" si="85"/>
        <v>-4.825225931961123</v>
      </c>
      <c r="AY108">
        <f t="shared" si="86"/>
        <v>4.825225931961123</v>
      </c>
      <c r="AZ108">
        <f t="shared" si="87"/>
        <v>4.9916416607037704</v>
      </c>
      <c r="BA108">
        <f t="shared" si="88"/>
        <v>-1.6836332783713297</v>
      </c>
      <c r="BB108">
        <f t="shared" si="89"/>
        <v>0.39208963189551405</v>
      </c>
      <c r="BC108">
        <f t="shared" si="90"/>
        <v>-4.825225931961123</v>
      </c>
      <c r="BD108">
        <f t="shared" si="91"/>
        <v>4.825225931961123</v>
      </c>
      <c r="BE108" s="40">
        <f t="shared" si="92"/>
        <v>-6.666501875459856</v>
      </c>
      <c r="BF108" s="40">
        <f t="shared" si="93"/>
        <v>-1.6836332783713299</v>
      </c>
      <c r="BG108">
        <f t="shared" si="94"/>
        <v>-1.6836332783713299</v>
      </c>
    </row>
    <row r="109" spans="1:59" x14ac:dyDescent="0.25">
      <c r="A109">
        <f t="shared" si="114"/>
        <v>6</v>
      </c>
      <c r="B109">
        <f t="shared" si="114"/>
        <v>0</v>
      </c>
      <c r="C109">
        <f t="shared" ca="1" si="114"/>
        <v>0</v>
      </c>
      <c r="D109">
        <f t="shared" ref="D109:E109" si="125">D20</f>
        <v>6</v>
      </c>
      <c r="E109">
        <f t="shared" si="125"/>
        <v>4</v>
      </c>
      <c r="F109" s="5">
        <f t="shared" ca="1" si="116"/>
        <v>0</v>
      </c>
      <c r="G109">
        <f t="shared" ca="1" si="117"/>
        <v>0</v>
      </c>
      <c r="H109">
        <f t="shared" ca="1" si="118"/>
        <v>0</v>
      </c>
      <c r="J109">
        <f t="shared" ca="1" si="119"/>
        <v>0</v>
      </c>
      <c r="K109">
        <f t="shared" ca="1" si="120"/>
        <v>0</v>
      </c>
      <c r="L109">
        <f t="shared" ca="1" si="121"/>
        <v>0</v>
      </c>
      <c r="AS109">
        <v>-1.2740903539558723</v>
      </c>
      <c r="AT109">
        <v>-24.178270037749517</v>
      </c>
      <c r="AU109">
        <v>-228.09736126560784</v>
      </c>
      <c r="AV109">
        <f t="shared" si="83"/>
        <v>-1.6764017587376552</v>
      </c>
      <c r="AW109">
        <f t="shared" si="84"/>
        <v>0.40231140478178284</v>
      </c>
      <c r="AX109" s="40">
        <f t="shared" si="85"/>
        <v>-4.8179944123274483</v>
      </c>
      <c r="AY109">
        <f t="shared" si="86"/>
        <v>4.8179944123274483</v>
      </c>
      <c r="AZ109">
        <f t="shared" si="87"/>
        <v>5.0090949532237143</v>
      </c>
      <c r="BA109">
        <f t="shared" si="88"/>
        <v>-1.6764017587376552</v>
      </c>
      <c r="BB109">
        <f t="shared" si="89"/>
        <v>0.40231140478178284</v>
      </c>
      <c r="BC109">
        <f t="shared" si="90"/>
        <v>-4.8179944123274483</v>
      </c>
      <c r="BD109">
        <f t="shared" si="91"/>
        <v>4.8179944123274483</v>
      </c>
      <c r="BE109" s="40">
        <f t="shared" si="92"/>
        <v>-6.6737333950935307</v>
      </c>
      <c r="BF109" s="40">
        <f t="shared" si="93"/>
        <v>-1.6764017587376552</v>
      </c>
      <c r="BG109">
        <f t="shared" si="94"/>
        <v>-1.6764017587376552</v>
      </c>
    </row>
    <row r="110" spans="1:59" x14ac:dyDescent="0.25">
      <c r="A110">
        <f t="shared" si="114"/>
        <v>7</v>
      </c>
      <c r="B110">
        <f t="shared" si="114"/>
        <v>0</v>
      </c>
      <c r="C110">
        <f t="shared" ca="1" si="114"/>
        <v>0</v>
      </c>
      <c r="D110">
        <f t="shared" ref="D110:E110" si="126">D21</f>
        <v>10</v>
      </c>
      <c r="E110">
        <f t="shared" si="126"/>
        <v>2</v>
      </c>
      <c r="F110" s="5">
        <f t="shared" ca="1" si="116"/>
        <v>0</v>
      </c>
      <c r="G110">
        <f t="shared" ca="1" si="117"/>
        <v>0</v>
      </c>
      <c r="H110">
        <f t="shared" ca="1" si="118"/>
        <v>0</v>
      </c>
      <c r="J110">
        <f t="shared" ca="1" si="119"/>
        <v>0</v>
      </c>
      <c r="K110">
        <f t="shared" ca="1" si="120"/>
        <v>0</v>
      </c>
      <c r="L110">
        <f t="shared" ca="1" si="121"/>
        <v>0</v>
      </c>
      <c r="AS110">
        <v>-1.256637061435929</v>
      </c>
      <c r="AT110">
        <v>-22.622487782191318</v>
      </c>
      <c r="AU110">
        <v>-227.6449877008252</v>
      </c>
      <c r="AV110">
        <f t="shared" si="83"/>
        <v>-1.669847291161034</v>
      </c>
      <c r="AW110">
        <f t="shared" si="84"/>
        <v>0.41321022972510502</v>
      </c>
      <c r="AX110" s="40">
        <f t="shared" si="85"/>
        <v>-4.8114399447508269</v>
      </c>
      <c r="AY110">
        <f t="shared" si="86"/>
        <v>4.8114399447508269</v>
      </c>
      <c r="AZ110">
        <f t="shared" si="87"/>
        <v>5.0265482457436574</v>
      </c>
      <c r="BA110">
        <f t="shared" si="88"/>
        <v>-1.669847291161034</v>
      </c>
      <c r="BB110">
        <f t="shared" si="89"/>
        <v>0.41321022972510502</v>
      </c>
      <c r="BC110">
        <f t="shared" si="90"/>
        <v>-4.8114399447508269</v>
      </c>
      <c r="BD110">
        <f t="shared" si="91"/>
        <v>4.8114399447508269</v>
      </c>
      <c r="BE110" s="40">
        <f t="shared" si="92"/>
        <v>-6.6802878626701521</v>
      </c>
      <c r="BF110" s="40">
        <f t="shared" si="93"/>
        <v>-1.6698472911610338</v>
      </c>
      <c r="BG110">
        <f t="shared" si="94"/>
        <v>-1.6698472911610338</v>
      </c>
    </row>
    <row r="111" spans="1:59" x14ac:dyDescent="0.25">
      <c r="A111">
        <f t="shared" si="114"/>
        <v>8</v>
      </c>
      <c r="B111">
        <f t="shared" si="114"/>
        <v>0</v>
      </c>
      <c r="C111">
        <f t="shared" ca="1" si="114"/>
        <v>0</v>
      </c>
      <c r="D111">
        <f t="shared" ref="D111:E111" si="127">D22</f>
        <v>2</v>
      </c>
      <c r="E111">
        <f t="shared" si="127"/>
        <v>4</v>
      </c>
      <c r="F111" s="5">
        <f t="shared" ca="1" si="116"/>
        <v>0</v>
      </c>
      <c r="G111">
        <f t="shared" ca="1" si="117"/>
        <v>0</v>
      </c>
      <c r="H111">
        <f t="shared" ca="1" si="118"/>
        <v>0</v>
      </c>
      <c r="J111">
        <f t="shared" ca="1" si="119"/>
        <v>0</v>
      </c>
      <c r="K111">
        <f t="shared" ca="1" si="120"/>
        <v>0</v>
      </c>
      <c r="L111">
        <f t="shared" ca="1" si="121"/>
        <v>0</v>
      </c>
      <c r="AS111">
        <v>-1.2391837689159857</v>
      </c>
      <c r="AT111">
        <v>-21.208594108563148</v>
      </c>
      <c r="AU111">
        <v>-227.21090799889942</v>
      </c>
      <c r="AV111">
        <f t="shared" si="83"/>
        <v>-1.6638698408138104</v>
      </c>
      <c r="AW111">
        <f t="shared" si="84"/>
        <v>0.4246860718978247</v>
      </c>
      <c r="AX111" s="40">
        <f t="shared" si="85"/>
        <v>-4.8054624944036037</v>
      </c>
      <c r="AY111">
        <f t="shared" si="86"/>
        <v>4.8054624944036037</v>
      </c>
      <c r="AZ111">
        <f t="shared" si="87"/>
        <v>5.0440015382636005</v>
      </c>
      <c r="BA111">
        <f t="shared" si="88"/>
        <v>-1.6638698408138104</v>
      </c>
      <c r="BB111">
        <f t="shared" si="89"/>
        <v>0.4246860718978247</v>
      </c>
      <c r="BC111">
        <f t="shared" si="90"/>
        <v>-4.8054624944036037</v>
      </c>
      <c r="BD111">
        <f t="shared" si="91"/>
        <v>4.8054624944036037</v>
      </c>
      <c r="BE111" s="40">
        <f t="shared" si="92"/>
        <v>-6.6862653130173753</v>
      </c>
      <c r="BF111" s="40">
        <f t="shared" si="93"/>
        <v>-1.6638698408138106</v>
      </c>
      <c r="BG111">
        <f t="shared" si="94"/>
        <v>-1.6638698408138106</v>
      </c>
    </row>
    <row r="112" spans="1:59" x14ac:dyDescent="0.25">
      <c r="A112">
        <f t="shared" si="114"/>
        <v>9</v>
      </c>
      <c r="B112">
        <f t="shared" si="114"/>
        <v>0</v>
      </c>
      <c r="C112">
        <f t="shared" ca="1" si="114"/>
        <v>0</v>
      </c>
      <c r="D112">
        <f t="shared" ref="D112:E112" si="128">D23</f>
        <v>6</v>
      </c>
      <c r="E112">
        <f t="shared" si="128"/>
        <v>4</v>
      </c>
      <c r="F112" s="5">
        <f t="shared" ca="1" si="116"/>
        <v>0</v>
      </c>
      <c r="G112">
        <f t="shared" ca="1" si="117"/>
        <v>0</v>
      </c>
      <c r="H112">
        <f t="shared" ca="1" si="118"/>
        <v>0</v>
      </c>
      <c r="J112">
        <f t="shared" ca="1" si="119"/>
        <v>0</v>
      </c>
      <c r="K112">
        <f t="shared" ca="1" si="120"/>
        <v>0</v>
      </c>
      <c r="L112">
        <f t="shared" ca="1" si="121"/>
        <v>0</v>
      </c>
      <c r="AS112">
        <v>-1.2217304763960424</v>
      </c>
      <c r="AT112">
        <v>-19.916168881099974</v>
      </c>
      <c r="AU112">
        <v>-226.79269522477006</v>
      </c>
      <c r="AV112">
        <f t="shared" si="83"/>
        <v>-1.658388249530401</v>
      </c>
      <c r="AW112">
        <f t="shared" si="84"/>
        <v>0.43665777313435861</v>
      </c>
      <c r="AX112" s="40">
        <f t="shared" si="85"/>
        <v>-4.7999809031201943</v>
      </c>
      <c r="AY112">
        <f t="shared" si="86"/>
        <v>4.7999809031201943</v>
      </c>
      <c r="AZ112">
        <f t="shared" si="87"/>
        <v>5.0614548307835436</v>
      </c>
      <c r="BA112">
        <f t="shared" si="88"/>
        <v>-1.658388249530401</v>
      </c>
      <c r="BB112">
        <f t="shared" si="89"/>
        <v>0.43665777313435861</v>
      </c>
      <c r="BC112">
        <f t="shared" si="90"/>
        <v>-4.7999809031201943</v>
      </c>
      <c r="BD112">
        <f t="shared" si="91"/>
        <v>4.7999809031201943</v>
      </c>
      <c r="BE112" s="40">
        <f t="shared" si="92"/>
        <v>-6.6917469043007847</v>
      </c>
      <c r="BF112" s="40">
        <f t="shared" si="93"/>
        <v>-1.6583882495304012</v>
      </c>
      <c r="BG112">
        <f t="shared" si="94"/>
        <v>-1.6583882495304012</v>
      </c>
    </row>
    <row r="113" spans="1:59" x14ac:dyDescent="0.25">
      <c r="A113">
        <f t="shared" si="114"/>
        <v>10</v>
      </c>
      <c r="B113">
        <f t="shared" si="114"/>
        <v>0</v>
      </c>
      <c r="C113">
        <f t="shared" ca="1" si="114"/>
        <v>0</v>
      </c>
      <c r="D113">
        <f t="shared" ref="D113:E113" si="129">D24</f>
        <v>10</v>
      </c>
      <c r="E113">
        <f t="shared" si="129"/>
        <v>4</v>
      </c>
      <c r="F113" s="5">
        <f t="shared" ca="1" si="116"/>
        <v>0</v>
      </c>
      <c r="G113">
        <f t="shared" ca="1" si="117"/>
        <v>0</v>
      </c>
      <c r="H113">
        <f t="shared" ca="1" si="118"/>
        <v>0</v>
      </c>
      <c r="J113">
        <f t="shared" ca="1" si="119"/>
        <v>0</v>
      </c>
      <c r="K113">
        <f t="shared" ca="1" si="120"/>
        <v>0</v>
      </c>
      <c r="L113">
        <f t="shared" ca="1" si="121"/>
        <v>0</v>
      </c>
      <c r="AS113">
        <v>-1.2042771838760991</v>
      </c>
      <c r="AT113">
        <v>-18.728554623746703</v>
      </c>
      <c r="AU113">
        <v>-226.38828513364572</v>
      </c>
      <c r="AV113">
        <f t="shared" si="83"/>
        <v>-1.6533359513558026</v>
      </c>
      <c r="AW113">
        <f t="shared" si="84"/>
        <v>0.44905876747970352</v>
      </c>
      <c r="AX113" s="40">
        <f t="shared" si="85"/>
        <v>-4.7949286049455955</v>
      </c>
      <c r="AY113">
        <f t="shared" si="86"/>
        <v>4.7949286049455955</v>
      </c>
      <c r="AZ113">
        <f t="shared" si="87"/>
        <v>5.0789081233034867</v>
      </c>
      <c r="BA113">
        <f t="shared" si="88"/>
        <v>-1.6533359513558026</v>
      </c>
      <c r="BB113">
        <f t="shared" si="89"/>
        <v>0.44905876747970352</v>
      </c>
      <c r="BC113">
        <f t="shared" si="90"/>
        <v>-4.7949286049455955</v>
      </c>
      <c r="BD113">
        <f t="shared" si="91"/>
        <v>4.7949286049455955</v>
      </c>
      <c r="BE113" s="40">
        <f t="shared" si="92"/>
        <v>-6.6967992024753835</v>
      </c>
      <c r="BF113" s="40">
        <f t="shared" si="93"/>
        <v>-1.6533359513558024</v>
      </c>
      <c r="BG113">
        <f t="shared" si="94"/>
        <v>-1.6533359513558024</v>
      </c>
    </row>
    <row r="114" spans="1:59" x14ac:dyDescent="0.25">
      <c r="F114" s="5">
        <f ca="1">SUM(F104:F113)</f>
        <v>114.51050000000001</v>
      </c>
      <c r="G114" s="5">
        <f t="shared" ref="G114:H114" ca="1" si="130">SUM(G104:G113)</f>
        <v>2519.2310000000002</v>
      </c>
      <c r="H114" s="5">
        <f t="shared" ca="1" si="130"/>
        <v>-687.0630000000001</v>
      </c>
      <c r="J114">
        <f ca="1">SUM(J104:J113)</f>
        <v>-170.64000000000001</v>
      </c>
      <c r="K114">
        <f t="shared" ref="K114:L114" ca="1" si="131">SUM(K104:K113)</f>
        <v>-3754.0800000000004</v>
      </c>
      <c r="L114">
        <f t="shared" ca="1" si="131"/>
        <v>1023.8400000000001</v>
      </c>
      <c r="AS114">
        <v>-1.1868238913561557</v>
      </c>
      <c r="AT114">
        <v>-17.63202088543148</v>
      </c>
      <c r="AU114">
        <v>-225.99590322073942</v>
      </c>
      <c r="AV114">
        <f t="shared" si="83"/>
        <v>-1.6486578073715268</v>
      </c>
      <c r="AW114">
        <f t="shared" si="84"/>
        <v>0.46183391601537105</v>
      </c>
      <c r="AX114" s="40">
        <f t="shared" si="85"/>
        <v>-4.7902504609613201</v>
      </c>
      <c r="AY114">
        <f t="shared" si="86"/>
        <v>4.7902504609613201</v>
      </c>
      <c r="AZ114">
        <f t="shared" si="87"/>
        <v>5.0963614158234307</v>
      </c>
      <c r="BA114">
        <f t="shared" si="88"/>
        <v>-1.6486578073715268</v>
      </c>
      <c r="BB114">
        <f t="shared" si="89"/>
        <v>0.46183391601537105</v>
      </c>
      <c r="BC114">
        <f t="shared" si="90"/>
        <v>-4.7902504609613201</v>
      </c>
      <c r="BD114">
        <f t="shared" si="91"/>
        <v>4.7902504609613201</v>
      </c>
      <c r="BE114" s="40">
        <f t="shared" si="92"/>
        <v>-6.7014773464596589</v>
      </c>
      <c r="BF114" s="40">
        <f t="shared" si="93"/>
        <v>-1.648657807371527</v>
      </c>
      <c r="BG114">
        <f t="shared" si="94"/>
        <v>-1.648657807371527</v>
      </c>
    </row>
    <row r="115" spans="1:59" x14ac:dyDescent="0.25">
      <c r="A115" s="8" t="s">
        <v>99</v>
      </c>
      <c r="B115" s="5">
        <f ca="1">B100+F114</f>
        <v>1705.7105000000001</v>
      </c>
      <c r="J115">
        <f ca="1">J114</f>
        <v>-170.64000000000001</v>
      </c>
      <c r="AS115">
        <v>-1.1693705988362124</v>
      </c>
      <c r="AT115">
        <v>-16.615142649484056</v>
      </c>
      <c r="AU115">
        <v>-225.61400868985666</v>
      </c>
      <c r="AV115">
        <f t="shared" si="83"/>
        <v>-1.6443077321969928</v>
      </c>
      <c r="AW115">
        <f t="shared" si="84"/>
        <v>0.47493713336078036</v>
      </c>
      <c r="AX115" s="40">
        <f t="shared" si="85"/>
        <v>-4.7859003857867854</v>
      </c>
      <c r="AY115">
        <f t="shared" si="86"/>
        <v>4.7859003857867854</v>
      </c>
      <c r="AZ115">
        <f t="shared" si="87"/>
        <v>5.1138147083433738</v>
      </c>
      <c r="BA115">
        <f t="shared" si="88"/>
        <v>-1.6443077321969928</v>
      </c>
      <c r="BB115">
        <f t="shared" si="89"/>
        <v>0.47493713336078036</v>
      </c>
      <c r="BC115">
        <f t="shared" si="90"/>
        <v>-4.7859003857867854</v>
      </c>
      <c r="BD115">
        <f t="shared" si="91"/>
        <v>4.7859003857867854</v>
      </c>
      <c r="BE115" s="40">
        <f t="shared" si="92"/>
        <v>-6.7058274216341935</v>
      </c>
      <c r="BF115" s="40">
        <f t="shared" si="93"/>
        <v>-1.6443077321969923</v>
      </c>
      <c r="BG115">
        <f t="shared" si="94"/>
        <v>-1.6443077321969923</v>
      </c>
    </row>
    <row r="116" spans="1:59" x14ac:dyDescent="0.25">
      <c r="A116" s="8" t="s">
        <v>100</v>
      </c>
      <c r="B116" s="5">
        <f ca="1">B101+G114</f>
        <v>26387.231</v>
      </c>
      <c r="J116">
        <f ca="1">K114</f>
        <v>-3754.0800000000004</v>
      </c>
      <c r="AS116">
        <v>-1.1519173063162691</v>
      </c>
      <c r="AT116">
        <v>-15.668331235545008</v>
      </c>
      <c r="AU116">
        <v>-225.24125084240126</v>
      </c>
      <c r="AV116">
        <f t="shared" si="83"/>
        <v>-1.6402468898271982</v>
      </c>
      <c r="AW116">
        <f t="shared" si="84"/>
        <v>0.48832958351092914</v>
      </c>
      <c r="AX116" s="40">
        <f t="shared" si="85"/>
        <v>-4.7818395434169911</v>
      </c>
      <c r="AY116">
        <f t="shared" si="86"/>
        <v>4.7818395434169911</v>
      </c>
      <c r="AZ116">
        <f t="shared" si="87"/>
        <v>5.1312680008633169</v>
      </c>
      <c r="BA116">
        <f t="shared" si="88"/>
        <v>-1.6402468898271982</v>
      </c>
      <c r="BB116">
        <f t="shared" si="89"/>
        <v>0.48832958351092914</v>
      </c>
      <c r="BC116">
        <f t="shared" si="90"/>
        <v>-4.7818395434169911</v>
      </c>
      <c r="BD116">
        <f t="shared" si="91"/>
        <v>4.7818395434169911</v>
      </c>
      <c r="BE116" s="40">
        <f t="shared" si="92"/>
        <v>-6.7098882640039879</v>
      </c>
      <c r="BF116" s="40">
        <f t="shared" si="93"/>
        <v>-1.640246889827198</v>
      </c>
      <c r="BG116">
        <f t="shared" si="94"/>
        <v>-1.640246889827198</v>
      </c>
    </row>
    <row r="117" spans="1:59" x14ac:dyDescent="0.25">
      <c r="A117" s="8" t="s">
        <v>101</v>
      </c>
      <c r="B117" s="5">
        <f ca="1">B102+H114</f>
        <v>-5460.6630000000005</v>
      </c>
      <c r="J117">
        <f ca="1">L114</f>
        <v>1023.8400000000001</v>
      </c>
      <c r="AS117">
        <v>-1.1344640137963258</v>
      </c>
      <c r="AT117">
        <v>-14.783475709986748</v>
      </c>
      <c r="AU117">
        <v>-224.8764346622925</v>
      </c>
      <c r="AV117">
        <f t="shared" si="83"/>
        <v>-1.636442305599116</v>
      </c>
      <c r="AW117">
        <f t="shared" si="84"/>
        <v>0.50197829180279019</v>
      </c>
      <c r="AX117" s="40">
        <f t="shared" si="85"/>
        <v>-4.7780349591889095</v>
      </c>
      <c r="AY117">
        <f t="shared" si="86"/>
        <v>4.7780349591889095</v>
      </c>
      <c r="AZ117">
        <f t="shared" si="87"/>
        <v>5.1487212933832609</v>
      </c>
      <c r="BA117">
        <f t="shared" si="88"/>
        <v>-1.636442305599116</v>
      </c>
      <c r="BB117">
        <f t="shared" si="89"/>
        <v>0.50197829180279019</v>
      </c>
      <c r="BC117">
        <f t="shared" si="90"/>
        <v>-4.7780349591889095</v>
      </c>
      <c r="BD117">
        <f t="shared" si="91"/>
        <v>4.7780349591889095</v>
      </c>
      <c r="BE117" s="40">
        <f t="shared" si="92"/>
        <v>-6.7136928482320695</v>
      </c>
      <c r="BF117" s="40">
        <f t="shared" si="93"/>
        <v>-1.6364423055991164</v>
      </c>
      <c r="BG117">
        <f t="shared" si="94"/>
        <v>-1.6364423055991164</v>
      </c>
    </row>
    <row r="118" spans="1:59" x14ac:dyDescent="0.25">
      <c r="AS118">
        <v>-1.1170107212763825</v>
      </c>
      <c r="AT118">
        <v>-13.953665406456809</v>
      </c>
      <c r="AU118">
        <v>-224.51849337858374</v>
      </c>
      <c r="AV118">
        <f t="shared" si="83"/>
        <v>-1.6328657858091074</v>
      </c>
      <c r="AW118">
        <f t="shared" si="84"/>
        <v>0.51585506453272489</v>
      </c>
      <c r="AX118" s="40">
        <f t="shared" si="85"/>
        <v>-4.7744584393989005</v>
      </c>
      <c r="AY118">
        <f t="shared" si="86"/>
        <v>4.7744584393989005</v>
      </c>
      <c r="AZ118">
        <f t="shared" si="87"/>
        <v>5.166174585903204</v>
      </c>
      <c r="BA118">
        <f t="shared" si="88"/>
        <v>-1.6328657858091074</v>
      </c>
      <c r="BB118">
        <f t="shared" si="89"/>
        <v>0.51585506453272489</v>
      </c>
      <c r="BC118">
        <f t="shared" si="90"/>
        <v>-4.7744584393989005</v>
      </c>
      <c r="BD118">
        <f t="shared" si="91"/>
        <v>4.7744584393989005</v>
      </c>
      <c r="BE118" s="40">
        <f t="shared" si="92"/>
        <v>-6.7172693680220785</v>
      </c>
      <c r="BF118" s="40">
        <f t="shared" si="93"/>
        <v>-1.6328657858091074</v>
      </c>
      <c r="BG118">
        <f t="shared" si="94"/>
        <v>-1.6328657858091074</v>
      </c>
    </row>
    <row r="119" spans="1:59" x14ac:dyDescent="0.25">
      <c r="A119" s="8" t="s">
        <v>8</v>
      </c>
      <c r="B119">
        <f ca="1">B117/B115</f>
        <v>-3.2014008238795504</v>
      </c>
      <c r="J119">
        <f ca="1">J117/J115</f>
        <v>-6</v>
      </c>
      <c r="AS119">
        <v>-1.0995574287564391</v>
      </c>
      <c r="AT119">
        <v>-13.172972916762468</v>
      </c>
      <c r="AU119">
        <v>-224.16646631006017</v>
      </c>
      <c r="AV119">
        <f t="shared" si="83"/>
        <v>-1.6294930682989328</v>
      </c>
      <c r="AW119">
        <f t="shared" si="84"/>
        <v>0.52993563954249367</v>
      </c>
      <c r="AX119" s="40">
        <f t="shared" si="85"/>
        <v>-4.7710857218887259</v>
      </c>
      <c r="AY119">
        <f t="shared" si="86"/>
        <v>4.7710857218887259</v>
      </c>
      <c r="AZ119">
        <f t="shared" si="87"/>
        <v>5.1836278784231471</v>
      </c>
      <c r="BA119">
        <f t="shared" si="88"/>
        <v>-1.6294930682989328</v>
      </c>
      <c r="BB119">
        <f t="shared" si="89"/>
        <v>0.52993563954249367</v>
      </c>
      <c r="BC119">
        <f t="shared" si="90"/>
        <v>-4.7710857218887259</v>
      </c>
      <c r="BD119">
        <f t="shared" si="91"/>
        <v>4.7710857218887259</v>
      </c>
      <c r="BE119" s="40">
        <f t="shared" si="92"/>
        <v>-6.7206420855322531</v>
      </c>
      <c r="BF119" s="40">
        <f t="shared" si="93"/>
        <v>-1.6294930682989328</v>
      </c>
      <c r="BG119">
        <f t="shared" si="94"/>
        <v>-1.6294930682989328</v>
      </c>
    </row>
    <row r="120" spans="1:59" x14ac:dyDescent="0.25">
      <c r="A120" s="8" t="s">
        <v>9</v>
      </c>
      <c r="B120">
        <f ca="1">B116/B115</f>
        <v>15.46993525571895</v>
      </c>
      <c r="J120">
        <f ca="1">J116/J115</f>
        <v>22</v>
      </c>
      <c r="AS120">
        <v>-1.0821041362364958</v>
      </c>
      <c r="AT120">
        <v>-12.43628269319659</v>
      </c>
      <c r="AU120">
        <v>-223.8194807674808</v>
      </c>
      <c r="AV120">
        <f t="shared" si="83"/>
        <v>-1.6263031483374304</v>
      </c>
      <c r="AW120">
        <f t="shared" si="84"/>
        <v>0.54419901210093458</v>
      </c>
      <c r="AX120" s="40">
        <f t="shared" si="85"/>
        <v>-4.7678958019272235</v>
      </c>
      <c r="AY120">
        <f t="shared" si="86"/>
        <v>4.7678958019272235</v>
      </c>
      <c r="AZ120">
        <f t="shared" si="87"/>
        <v>5.2010811709430902</v>
      </c>
      <c r="BA120">
        <f t="shared" si="88"/>
        <v>-1.6263031483374304</v>
      </c>
      <c r="BB120">
        <f t="shared" si="89"/>
        <v>0.54419901210093458</v>
      </c>
      <c r="BC120">
        <f t="shared" si="90"/>
        <v>-4.7678958019272235</v>
      </c>
      <c r="BD120">
        <f t="shared" si="91"/>
        <v>4.7678958019272235</v>
      </c>
      <c r="BE120" s="40">
        <f t="shared" si="92"/>
        <v>-6.7238320054937555</v>
      </c>
      <c r="BF120" s="40">
        <f t="shared" si="93"/>
        <v>-1.6263031483374304</v>
      </c>
      <c r="BG120">
        <f t="shared" si="94"/>
        <v>-1.6263031483374304</v>
      </c>
    </row>
    <row r="121" spans="1:59" x14ac:dyDescent="0.25">
      <c r="AS121">
        <v>-1.0646508437165525</v>
      </c>
      <c r="AT121">
        <v>-11.739154324996189</v>
      </c>
      <c r="AU121">
        <v>-223.47673715382999</v>
      </c>
      <c r="AV121">
        <f t="shared" si="83"/>
        <v>-1.623277738430247</v>
      </c>
      <c r="AW121">
        <f t="shared" si="84"/>
        <v>0.55862689471369453</v>
      </c>
      <c r="AX121" s="40">
        <f t="shared" si="85"/>
        <v>-4.7648703920200397</v>
      </c>
      <c r="AY121">
        <f t="shared" si="86"/>
        <v>4.7648703920200397</v>
      </c>
      <c r="AZ121">
        <f t="shared" si="87"/>
        <v>5.2185344634630333</v>
      </c>
      <c r="BA121">
        <f t="shared" si="88"/>
        <v>-1.623277738430247</v>
      </c>
      <c r="BB121">
        <f t="shared" si="89"/>
        <v>0.55862689471369453</v>
      </c>
      <c r="BC121">
        <f t="shared" si="90"/>
        <v>-4.7648703920200397</v>
      </c>
      <c r="BD121">
        <f t="shared" si="91"/>
        <v>4.7648703920200397</v>
      </c>
      <c r="BE121" s="40">
        <f t="shared" si="92"/>
        <v>-6.7268574154009393</v>
      </c>
      <c r="BF121" s="40">
        <f t="shared" si="93"/>
        <v>-1.6232777384302466</v>
      </c>
      <c r="BG121">
        <f t="shared" si="94"/>
        <v>-1.6232777384302466</v>
      </c>
    </row>
    <row r="122" spans="1:59" x14ac:dyDescent="0.25">
      <c r="AS122">
        <v>-1.0471975511966092</v>
      </c>
      <c r="AT122">
        <v>-11.077712608129973</v>
      </c>
      <c r="AU122">
        <v>-223.13749652742118</v>
      </c>
      <c r="AV122">
        <f t="shared" si="83"/>
        <v>-1.6204008321962882</v>
      </c>
      <c r="AW122">
        <f t="shared" si="84"/>
        <v>0.57320328099967899</v>
      </c>
      <c r="AX122" s="40">
        <f t="shared" si="85"/>
        <v>-4.7619934857860811</v>
      </c>
      <c r="AY122">
        <f t="shared" si="86"/>
        <v>4.7619934857860811</v>
      </c>
      <c r="AZ122">
        <f t="shared" si="87"/>
        <v>5.2359877559829773</v>
      </c>
      <c r="BA122">
        <f t="shared" si="88"/>
        <v>-1.6204008321962882</v>
      </c>
      <c r="BB122">
        <f t="shared" si="89"/>
        <v>0.57320328099967899</v>
      </c>
      <c r="BC122">
        <f t="shared" si="90"/>
        <v>-4.7619934857860811</v>
      </c>
      <c r="BD122">
        <f t="shared" si="91"/>
        <v>4.7619934857860811</v>
      </c>
      <c r="BE122" s="40">
        <f t="shared" si="92"/>
        <v>-6.7297343216348979</v>
      </c>
      <c r="BF122" s="40">
        <f t="shared" si="93"/>
        <v>-1.6204008321962879</v>
      </c>
      <c r="BG122">
        <f t="shared" si="94"/>
        <v>-1.6204008321962879</v>
      </c>
    </row>
    <row r="123" spans="1:59" x14ac:dyDescent="0.25">
      <c r="A123" t="s">
        <v>128</v>
      </c>
      <c r="AS123">
        <v>-1.0297442586766659</v>
      </c>
      <c r="AT123">
        <v>-10.448558441517434</v>
      </c>
      <c r="AU123">
        <v>-222.80107011115518</v>
      </c>
      <c r="AV123">
        <f t="shared" si="83"/>
        <v>-1.6176583494964458</v>
      </c>
      <c r="AW123">
        <f t="shared" si="84"/>
        <v>0.58791409081977997</v>
      </c>
      <c r="AX123" s="40">
        <f t="shared" si="85"/>
        <v>-4.7592510030862387</v>
      </c>
      <c r="AY123">
        <f t="shared" si="86"/>
        <v>4.7592510030862387</v>
      </c>
      <c r="AZ123">
        <f t="shared" si="87"/>
        <v>5.2534410485029204</v>
      </c>
      <c r="BA123">
        <f t="shared" si="88"/>
        <v>-1.6176583494964458</v>
      </c>
      <c r="BB123">
        <f t="shared" si="89"/>
        <v>0.58791409081977997</v>
      </c>
      <c r="BC123">
        <f t="shared" si="90"/>
        <v>-4.7592510030862387</v>
      </c>
      <c r="BD123">
        <f t="shared" si="91"/>
        <v>4.7592510030862387</v>
      </c>
      <c r="BE123" s="40">
        <f t="shared" si="92"/>
        <v>-6.7324768043347403</v>
      </c>
      <c r="BF123" s="40">
        <f t="shared" si="93"/>
        <v>-1.6176583494964456</v>
      </c>
      <c r="BG123">
        <f t="shared" si="94"/>
        <v>-1.6176583494964456</v>
      </c>
    </row>
    <row r="124" spans="1:59" x14ac:dyDescent="0.25">
      <c r="AS124">
        <v>-1.0122909661567225</v>
      </c>
      <c r="AT124">
        <v>-9.8486960605489795</v>
      </c>
      <c r="AU124">
        <v>-222.46681034345573</v>
      </c>
      <c r="AV124">
        <f t="shared" si="83"/>
        <v>-1.6150378455625349</v>
      </c>
      <c r="AW124">
        <f t="shared" si="84"/>
        <v>0.6027468794058124</v>
      </c>
      <c r="AX124" s="40">
        <f t="shared" si="85"/>
        <v>-4.7566304991523278</v>
      </c>
      <c r="AY124">
        <f t="shared" si="86"/>
        <v>4.7566304991523278</v>
      </c>
      <c r="AZ124">
        <f t="shared" si="87"/>
        <v>5.2708943410228635</v>
      </c>
      <c r="BA124">
        <f t="shared" si="88"/>
        <v>-1.6150378455625349</v>
      </c>
      <c r="BB124">
        <f t="shared" si="89"/>
        <v>0.6027468794058124</v>
      </c>
      <c r="BC124">
        <f t="shared" si="90"/>
        <v>-4.7566304991523278</v>
      </c>
      <c r="BD124">
        <f t="shared" si="91"/>
        <v>4.7566304991523278</v>
      </c>
      <c r="BE124" s="40">
        <f t="shared" si="92"/>
        <v>-6.7350973082686512</v>
      </c>
      <c r="BF124" s="40">
        <f t="shared" si="93"/>
        <v>-1.6150378455625347</v>
      </c>
      <c r="BG124">
        <f t="shared" si="94"/>
        <v>-1.6150378455625347</v>
      </c>
    </row>
    <row r="125" spans="1:59" x14ac:dyDescent="0.25">
      <c r="A125" s="8" t="s">
        <v>134</v>
      </c>
      <c r="B125" s="3">
        <f ca="1">B119</f>
        <v>-3.2014008238795504</v>
      </c>
      <c r="C125" s="1" t="str">
        <f>"+ t ( "</f>
        <v xml:space="preserve">+ t ( </v>
      </c>
      <c r="D125" s="1">
        <f ca="1">J119</f>
        <v>-6</v>
      </c>
      <c r="E125" s="1" t="s">
        <v>129</v>
      </c>
      <c r="F125" s="3">
        <f ca="1">B119</f>
        <v>-3.2014008238795504</v>
      </c>
      <c r="G125" s="1" t="s">
        <v>130</v>
      </c>
      <c r="AS125">
        <v>-0.99483767363677922</v>
      </c>
      <c r="AT125">
        <v>-9.2754731809342275</v>
      </c>
      <c r="AU125">
        <v>-222.1341031573491</v>
      </c>
      <c r="AV125">
        <f t="shared" si="83"/>
        <v>-1.6125282708826345</v>
      </c>
      <c r="AW125">
        <f t="shared" si="84"/>
        <v>0.61769059724585529</v>
      </c>
      <c r="AX125" s="40">
        <f t="shared" si="85"/>
        <v>-4.7541209244724278</v>
      </c>
      <c r="AY125">
        <f t="shared" si="86"/>
        <v>4.7541209244724278</v>
      </c>
      <c r="AZ125">
        <f t="shared" si="87"/>
        <v>5.2883476335428075</v>
      </c>
      <c r="BA125">
        <f t="shared" si="88"/>
        <v>-1.6125282708826345</v>
      </c>
      <c r="BB125">
        <f t="shared" si="89"/>
        <v>0.61769059724585529</v>
      </c>
      <c r="BC125">
        <f t="shared" si="90"/>
        <v>-4.7541209244724278</v>
      </c>
      <c r="BD125">
        <f t="shared" si="91"/>
        <v>4.7541209244724278</v>
      </c>
      <c r="BE125" s="40">
        <f t="shared" si="92"/>
        <v>-6.7376068829485511</v>
      </c>
      <c r="BF125" s="40">
        <f t="shared" si="93"/>
        <v>-1.6125282708826347</v>
      </c>
      <c r="BG125">
        <f t="shared" si="94"/>
        <v>-1.6125282708826347</v>
      </c>
    </row>
    <row r="126" spans="1:59" x14ac:dyDescent="0.25">
      <c r="A126" s="8" t="s">
        <v>135</v>
      </c>
      <c r="B126" s="3">
        <f ca="1">B120</f>
        <v>15.46993525571895</v>
      </c>
      <c r="D126" s="1">
        <f ca="1">J120</f>
        <v>22</v>
      </c>
      <c r="F126" s="3">
        <f ca="1">B120</f>
        <v>15.46993525571895</v>
      </c>
      <c r="AS126">
        <v>-0.9773843811168359</v>
      </c>
      <c r="AT126">
        <v>-8.7265314534321927</v>
      </c>
      <c r="AU126">
        <v>-221.80236122506062</v>
      </c>
      <c r="AV126">
        <f t="shared" si="83"/>
        <v>-1.6101197717724869</v>
      </c>
      <c r="AW126">
        <f t="shared" si="84"/>
        <v>0.63273539065565099</v>
      </c>
      <c r="AX126" s="40">
        <f t="shared" si="85"/>
        <v>-4.75171242536228</v>
      </c>
      <c r="AY126">
        <f t="shared" si="86"/>
        <v>4.75171242536228</v>
      </c>
      <c r="AZ126">
        <f t="shared" si="87"/>
        <v>5.3058009260627506</v>
      </c>
      <c r="BA126">
        <f t="shared" si="88"/>
        <v>-1.6101197717724869</v>
      </c>
      <c r="BB126">
        <f t="shared" si="89"/>
        <v>0.63273539065565099</v>
      </c>
      <c r="BC126">
        <f t="shared" si="90"/>
        <v>-4.75171242536228</v>
      </c>
      <c r="BD126">
        <f t="shared" si="91"/>
        <v>4.75171242536228</v>
      </c>
      <c r="BE126" s="40">
        <f t="shared" si="92"/>
        <v>-6.740015382058699</v>
      </c>
      <c r="BF126" s="40">
        <f t="shared" si="93"/>
        <v>-1.6101197717724869</v>
      </c>
      <c r="BG126">
        <f t="shared" si="94"/>
        <v>-1.6101197717724869</v>
      </c>
    </row>
    <row r="127" spans="1:59" x14ac:dyDescent="0.25">
      <c r="A127" s="8" t="s">
        <v>75</v>
      </c>
      <c r="B127" s="3">
        <f ca="1">B115</f>
        <v>1705.7105000000001</v>
      </c>
      <c r="D127" s="1">
        <f ca="1">J115</f>
        <v>-170.64000000000001</v>
      </c>
      <c r="F127" s="3">
        <f ca="1">B115</f>
        <v>1705.7105000000001</v>
      </c>
      <c r="AS127">
        <v>-0.95993108859689258</v>
      </c>
      <c r="AT127">
        <v>-8.1997651880265821</v>
      </c>
      <c r="AU127">
        <v>-221.47101796859954</v>
      </c>
      <c r="AV127">
        <f t="shared" si="83"/>
        <v>-1.6078035236706769</v>
      </c>
      <c r="AW127">
        <f t="shared" si="84"/>
        <v>0.64787243507378434</v>
      </c>
      <c r="AX127" s="40">
        <f t="shared" si="85"/>
        <v>-4.7493961772604703</v>
      </c>
      <c r="AY127">
        <f t="shared" si="86"/>
        <v>4.7493961772604703</v>
      </c>
      <c r="AZ127">
        <f t="shared" si="87"/>
        <v>5.3232542185826937</v>
      </c>
      <c r="BA127">
        <f t="shared" si="88"/>
        <v>-1.6078035236706769</v>
      </c>
      <c r="BB127">
        <f t="shared" si="89"/>
        <v>0.64787243507378434</v>
      </c>
      <c r="BC127">
        <f t="shared" si="90"/>
        <v>-4.7493961772604703</v>
      </c>
      <c r="BD127">
        <f t="shared" si="91"/>
        <v>4.7493961772604703</v>
      </c>
      <c r="BE127" s="40">
        <f t="shared" si="92"/>
        <v>-6.7423316301605087</v>
      </c>
      <c r="BF127" s="40">
        <f t="shared" si="93"/>
        <v>-1.6078035236706771</v>
      </c>
      <c r="BG127">
        <f t="shared" si="94"/>
        <v>-1.6078035236706771</v>
      </c>
    </row>
    <row r="128" spans="1:59" x14ac:dyDescent="0.25">
      <c r="AS128">
        <v>-0.94247779607694926</v>
      </c>
      <c r="AT128">
        <v>-7.6932868249022137</v>
      </c>
      <c r="AU128">
        <v>-221.13952214666884</v>
      </c>
      <c r="AV128">
        <f t="shared" si="83"/>
        <v>-1.6055715912411208</v>
      </c>
      <c r="AW128">
        <f t="shared" si="84"/>
        <v>0.66309379516417155</v>
      </c>
      <c r="AX128" s="40">
        <f t="shared" si="85"/>
        <v>-4.7471642448309144</v>
      </c>
      <c r="AY128">
        <f t="shared" si="86"/>
        <v>4.7471642448309144</v>
      </c>
      <c r="AZ128">
        <f t="shared" si="87"/>
        <v>5.3407075111026368</v>
      </c>
      <c r="BA128">
        <f t="shared" si="88"/>
        <v>-1.6055715912411208</v>
      </c>
      <c r="BB128">
        <f t="shared" si="89"/>
        <v>0.66309379516417155</v>
      </c>
      <c r="BC128">
        <f t="shared" si="90"/>
        <v>-4.7471642448309144</v>
      </c>
      <c r="BD128">
        <f t="shared" si="91"/>
        <v>4.7471642448309144</v>
      </c>
      <c r="BE128" s="40">
        <f t="shared" si="92"/>
        <v>-6.7445635625900646</v>
      </c>
      <c r="BF128" s="40">
        <f t="shared" si="93"/>
        <v>-1.6055715912411213</v>
      </c>
      <c r="BG128">
        <f t="shared" si="94"/>
        <v>-1.6055715912411213</v>
      </c>
    </row>
    <row r="129" spans="1:59" x14ac:dyDescent="0.25">
      <c r="A129" s="15" t="s">
        <v>131</v>
      </c>
      <c r="AS129">
        <v>-0.92502450355700594</v>
      </c>
      <c r="AT129">
        <v>-7.2053977701654386</v>
      </c>
      <c r="AU129">
        <v>-220.80733293010337</v>
      </c>
      <c r="AV129">
        <f t="shared" si="83"/>
        <v>-1.6034168097675299</v>
      </c>
      <c r="AW129">
        <f t="shared" si="84"/>
        <v>0.67839230621052393</v>
      </c>
      <c r="AX129" s="40">
        <f t="shared" si="85"/>
        <v>-4.7450094633573228</v>
      </c>
      <c r="AY129">
        <f t="shared" si="86"/>
        <v>4.7450094633573228</v>
      </c>
      <c r="AZ129">
        <f t="shared" si="87"/>
        <v>5.3581608036225798</v>
      </c>
      <c r="BA129">
        <f t="shared" si="88"/>
        <v>-1.6034168097675299</v>
      </c>
      <c r="BB129">
        <f t="shared" si="89"/>
        <v>0.67839230621052393</v>
      </c>
      <c r="BC129">
        <f t="shared" si="90"/>
        <v>-4.7450094633573228</v>
      </c>
      <c r="BD129">
        <f t="shared" si="91"/>
        <v>4.7450094633573228</v>
      </c>
      <c r="BE129" s="40">
        <f t="shared" si="92"/>
        <v>-6.7467183440636562</v>
      </c>
      <c r="BF129" s="40">
        <f t="shared" si="93"/>
        <v>-1.6034168097675296</v>
      </c>
      <c r="BG129">
        <f t="shared" si="94"/>
        <v>-1.6034168097675296</v>
      </c>
    </row>
    <row r="130" spans="1:59" x14ac:dyDescent="0.25">
      <c r="A130" s="8" t="s">
        <v>133</v>
      </c>
      <c r="B130" s="1">
        <f>U10</f>
        <v>0</v>
      </c>
      <c r="AS130">
        <v>-0.90757121103706262</v>
      </c>
      <c r="AT130">
        <v>-6.7345637137164722</v>
      </c>
      <c r="AU130">
        <v>-220.47391530744062</v>
      </c>
      <c r="AV130">
        <f t="shared" si="83"/>
        <v>-1.6013326844251621</v>
      </c>
      <c r="AW130">
        <f t="shared" si="84"/>
        <v>0.69376147338809946</v>
      </c>
      <c r="AX130" s="40">
        <f t="shared" si="85"/>
        <v>-4.7429253380149552</v>
      </c>
      <c r="AY130">
        <f t="shared" si="86"/>
        <v>4.7429253380149552</v>
      </c>
      <c r="AZ130">
        <f t="shared" si="87"/>
        <v>5.3756140961425238</v>
      </c>
      <c r="BA130">
        <f t="shared" si="88"/>
        <v>-1.6013326844251621</v>
      </c>
      <c r="BB130">
        <f t="shared" si="89"/>
        <v>0.69376147338809946</v>
      </c>
      <c r="BC130">
        <f t="shared" si="90"/>
        <v>-4.7429253380149552</v>
      </c>
      <c r="BD130">
        <f t="shared" si="91"/>
        <v>4.7429253380149552</v>
      </c>
      <c r="BE130" s="40">
        <f t="shared" si="92"/>
        <v>-6.7488024694060238</v>
      </c>
      <c r="BF130" s="40">
        <f t="shared" si="93"/>
        <v>-1.6013326844251621</v>
      </c>
      <c r="BG130">
        <f t="shared" si="94"/>
        <v>-1.6013326844251621</v>
      </c>
    </row>
    <row r="131" spans="1:59" x14ac:dyDescent="0.25">
      <c r="A131" s="8" t="s">
        <v>132</v>
      </c>
      <c r="B131">
        <f ca="1">(U10-B127)/(D127-F127)</f>
        <v>0.909057502849281</v>
      </c>
      <c r="AS131">
        <v>-0.8901179185171193</v>
      </c>
      <c r="AT131">
        <v>-6.2793936688604903</v>
      </c>
      <c r="AU131">
        <v>-220.13873571161707</v>
      </c>
      <c r="AV131">
        <f t="shared" ref="AV131:AV194" si="132">ATAN2(AT131,AU131)</f>
        <v>-1.599313304437481</v>
      </c>
      <c r="AW131">
        <f t="shared" ref="AW131:AW194" si="133">ABS(AS131-AV131)</f>
        <v>0.70919538592036169</v>
      </c>
      <c r="AX131" s="40">
        <f t="shared" ref="AX131:AX194" si="134">AV131-$U$13</f>
        <v>-4.7409059580272741</v>
      </c>
      <c r="AY131">
        <f t="shared" ref="AY131:AY194" si="135">ABS(AX131)</f>
        <v>4.7409059580272741</v>
      </c>
      <c r="AZ131">
        <f t="shared" ref="AZ131:AZ182" si="136">AS131+(2*PI())</f>
        <v>5.3930673886624669</v>
      </c>
      <c r="BA131">
        <f t="shared" ref="BA131:BA182" si="137">AV131</f>
        <v>-1.599313304437481</v>
      </c>
      <c r="BB131">
        <f t="shared" ref="BB131:BB182" si="138">AW131</f>
        <v>0.70919538592036169</v>
      </c>
      <c r="BC131">
        <f t="shared" ref="BC131:BC182" si="139">AX131</f>
        <v>-4.7409059580272741</v>
      </c>
      <c r="BD131">
        <f t="shared" ref="BD131:BD182" si="140">AY131</f>
        <v>4.7409059580272741</v>
      </c>
      <c r="BE131" s="40">
        <f t="shared" ref="BE131:BE182" si="141">(-1*AX131)-(2*$AY$2)</f>
        <v>-6.7508218493937049</v>
      </c>
      <c r="BF131" s="40">
        <f t="shared" ref="BF131:BF194" si="142">AX131+$BJ$4</f>
        <v>-1.599313304437481</v>
      </c>
      <c r="BG131">
        <f t="shared" ref="BG131:BG182" si="143">BC131+$BJ$4</f>
        <v>-1.599313304437481</v>
      </c>
    </row>
    <row r="132" spans="1:59" x14ac:dyDescent="0.25">
      <c r="A132" s="8" t="s">
        <v>136</v>
      </c>
      <c r="B132">
        <f ca="1">B125+(B131*(D125-F125))</f>
        <v>-5.745488402399662</v>
      </c>
      <c r="AS132">
        <v>-0.87266462599717598</v>
      </c>
      <c r="AT132">
        <v>-5.8386219767053724</v>
      </c>
      <c r="AU132">
        <v>-219.80125782136918</v>
      </c>
      <c r="AV132">
        <f t="shared" si="132"/>
        <v>-1.5973532690348198</v>
      </c>
      <c r="AW132">
        <f t="shared" si="133"/>
        <v>0.7246886430376438</v>
      </c>
      <c r="AX132" s="40">
        <f t="shared" si="134"/>
        <v>-4.7389459226246125</v>
      </c>
      <c r="AY132">
        <f t="shared" si="135"/>
        <v>4.7389459226246125</v>
      </c>
      <c r="AZ132">
        <f t="shared" si="136"/>
        <v>5.41052068118241</v>
      </c>
      <c r="BA132">
        <f t="shared" si="137"/>
        <v>-1.5973532690348198</v>
      </c>
      <c r="BB132">
        <f t="shared" si="138"/>
        <v>0.7246886430376438</v>
      </c>
      <c r="BC132">
        <f t="shared" si="139"/>
        <v>-4.7389459226246125</v>
      </c>
      <c r="BD132">
        <f t="shared" si="140"/>
        <v>4.7389459226246125</v>
      </c>
      <c r="BE132" s="40">
        <f t="shared" si="141"/>
        <v>-6.7527818847963665</v>
      </c>
      <c r="BF132" s="40">
        <f t="shared" si="142"/>
        <v>-1.5973532690348193</v>
      </c>
      <c r="BG132">
        <f t="shared" si="143"/>
        <v>-1.5973532690348193</v>
      </c>
    </row>
    <row r="133" spans="1:59" x14ac:dyDescent="0.25">
      <c r="A133" s="8" t="s">
        <v>137</v>
      </c>
      <c r="B133">
        <f ca="1">B126+(B131*(D126-F126))</f>
        <v>21.406139605599211</v>
      </c>
      <c r="AS133">
        <v>-0.85521133347723266</v>
      </c>
      <c r="AT133">
        <v>-5.4110927857869804</v>
      </c>
      <c r="AU133">
        <v>-219.46093844438121</v>
      </c>
      <c r="AV133">
        <f t="shared" si="132"/>
        <v>-1.5954476232725139</v>
      </c>
      <c r="AW133">
        <f t="shared" si="133"/>
        <v>0.74023628979528122</v>
      </c>
      <c r="AX133" s="40">
        <f t="shared" si="134"/>
        <v>-4.7370402768623068</v>
      </c>
      <c r="AY133">
        <f t="shared" si="135"/>
        <v>4.7370402768623068</v>
      </c>
      <c r="AZ133">
        <f t="shared" si="136"/>
        <v>5.427973973702354</v>
      </c>
      <c r="BA133">
        <f t="shared" si="137"/>
        <v>-1.5954476232725139</v>
      </c>
      <c r="BB133">
        <f t="shared" si="138"/>
        <v>0.74023628979528122</v>
      </c>
      <c r="BC133">
        <f t="shared" si="139"/>
        <v>-4.7370402768623068</v>
      </c>
      <c r="BD133">
        <f t="shared" si="140"/>
        <v>4.7370402768623068</v>
      </c>
      <c r="BE133" s="40">
        <f t="shared" si="141"/>
        <v>-6.7546875305586722</v>
      </c>
      <c r="BF133" s="40">
        <f t="shared" si="142"/>
        <v>-1.5954476232725137</v>
      </c>
      <c r="BG133">
        <f t="shared" si="143"/>
        <v>-1.5954476232725137</v>
      </c>
    </row>
    <row r="134" spans="1:59" x14ac:dyDescent="0.25">
      <c r="AS134">
        <v>-0.83775804095728934</v>
      </c>
      <c r="AT134">
        <v>-4.9957467760435179</v>
      </c>
      <c r="AU134">
        <v>-219.1172233457811</v>
      </c>
      <c r="AV134">
        <f t="shared" si="132"/>
        <v>-1.5935918028888598</v>
      </c>
      <c r="AW134">
        <f t="shared" si="133"/>
        <v>0.75583376193157048</v>
      </c>
      <c r="AX134" s="40">
        <f t="shared" si="134"/>
        <v>-4.7351844564786525</v>
      </c>
      <c r="AY134">
        <f t="shared" si="135"/>
        <v>4.7351844564786525</v>
      </c>
      <c r="AZ134">
        <f t="shared" si="136"/>
        <v>5.4454272662222971</v>
      </c>
      <c r="BA134">
        <f t="shared" si="137"/>
        <v>-1.5935918028888598</v>
      </c>
      <c r="BB134">
        <f t="shared" si="138"/>
        <v>0.75583376193157048</v>
      </c>
      <c r="BC134">
        <f t="shared" si="139"/>
        <v>-4.7351844564786525</v>
      </c>
      <c r="BD134">
        <f t="shared" si="140"/>
        <v>4.7351844564786525</v>
      </c>
      <c r="BE134" s="40">
        <f t="shared" si="141"/>
        <v>-6.7565433509423265</v>
      </c>
      <c r="BF134" s="40">
        <f t="shared" si="142"/>
        <v>-1.5935918028888594</v>
      </c>
      <c r="BG134">
        <f t="shared" si="143"/>
        <v>-1.5935918028888594</v>
      </c>
    </row>
    <row r="135" spans="1:59" x14ac:dyDescent="0.25">
      <c r="A135" s="8"/>
      <c r="AS135">
        <v>-0.82030474843734602</v>
      </c>
      <c r="AT135">
        <v>-4.5228162884487402</v>
      </c>
      <c r="AU135">
        <v>-218.34428000857898</v>
      </c>
      <c r="AV135">
        <f t="shared" si="132"/>
        <v>-1.5915075154617055</v>
      </c>
      <c r="AW135">
        <f t="shared" si="133"/>
        <v>0.77120276702435953</v>
      </c>
      <c r="AX135" s="40">
        <f t="shared" si="134"/>
        <v>-4.7331001690514984</v>
      </c>
      <c r="AY135">
        <f t="shared" si="135"/>
        <v>4.7331001690514984</v>
      </c>
      <c r="AZ135">
        <f t="shared" si="136"/>
        <v>5.4628805587422402</v>
      </c>
      <c r="BA135">
        <f t="shared" si="137"/>
        <v>-1.5915075154617055</v>
      </c>
      <c r="BB135">
        <f t="shared" si="138"/>
        <v>0.77120276702435953</v>
      </c>
      <c r="BC135">
        <f t="shared" si="139"/>
        <v>-4.7331001690514984</v>
      </c>
      <c r="BD135">
        <f t="shared" si="140"/>
        <v>4.7331001690514984</v>
      </c>
      <c r="BE135" s="40">
        <f t="shared" si="141"/>
        <v>-6.7586276383694806</v>
      </c>
      <c r="BF135" s="40">
        <f t="shared" si="142"/>
        <v>-1.5915075154617053</v>
      </c>
      <c r="BG135">
        <f t="shared" si="143"/>
        <v>-1.5915075154617053</v>
      </c>
    </row>
    <row r="136" spans="1:59" x14ac:dyDescent="0.25">
      <c r="A136" s="8"/>
      <c r="AS136">
        <v>-0.8028514559174027</v>
      </c>
      <c r="AT136">
        <v>-4.0211076607557628</v>
      </c>
      <c r="AU136">
        <v>-217.28260200346793</v>
      </c>
      <c r="AV136">
        <f t="shared" si="132"/>
        <v>-1.5893005634972508</v>
      </c>
      <c r="AW136">
        <f t="shared" si="133"/>
        <v>0.78644910757984809</v>
      </c>
      <c r="AX136" s="40">
        <f t="shared" si="134"/>
        <v>-4.7308932170870435</v>
      </c>
      <c r="AY136">
        <f t="shared" si="135"/>
        <v>4.7308932170870435</v>
      </c>
      <c r="AZ136">
        <f t="shared" si="136"/>
        <v>5.4803338512621833</v>
      </c>
      <c r="BA136">
        <f t="shared" si="137"/>
        <v>-1.5893005634972508</v>
      </c>
      <c r="BB136">
        <f t="shared" si="138"/>
        <v>0.78644910757984809</v>
      </c>
      <c r="BC136">
        <f t="shared" si="139"/>
        <v>-4.7308932170870435</v>
      </c>
      <c r="BD136">
        <f t="shared" si="140"/>
        <v>4.7308932170870435</v>
      </c>
      <c r="BE136" s="40">
        <f t="shared" si="141"/>
        <v>-6.7608345903339355</v>
      </c>
      <c r="BF136" s="40">
        <f t="shared" si="142"/>
        <v>-1.5893005634972504</v>
      </c>
      <c r="BG136">
        <f t="shared" si="143"/>
        <v>-1.5893005634972504</v>
      </c>
    </row>
    <row r="137" spans="1:59" x14ac:dyDescent="0.25">
      <c r="AS137">
        <v>-0.78539816339745938</v>
      </c>
      <c r="AT137">
        <v>-3.5401525497955788</v>
      </c>
      <c r="AU137">
        <v>-216.23507248512192</v>
      </c>
      <c r="AV137">
        <f t="shared" si="132"/>
        <v>-1.5871666420491002</v>
      </c>
      <c r="AW137">
        <f t="shared" si="133"/>
        <v>0.8017684786516408</v>
      </c>
      <c r="AX137" s="40">
        <f t="shared" si="134"/>
        <v>-4.7287592956388931</v>
      </c>
      <c r="AY137">
        <f t="shared" si="135"/>
        <v>4.7287592956388931</v>
      </c>
      <c r="AZ137">
        <f t="shared" si="136"/>
        <v>5.4977871437821264</v>
      </c>
      <c r="BA137">
        <f t="shared" si="137"/>
        <v>-1.5871666420491002</v>
      </c>
      <c r="BB137">
        <f t="shared" si="138"/>
        <v>0.8017684786516408</v>
      </c>
      <c r="BC137">
        <f t="shared" si="139"/>
        <v>-4.7287592956388931</v>
      </c>
      <c r="BD137">
        <f t="shared" si="140"/>
        <v>4.7287592956388931</v>
      </c>
      <c r="BE137" s="40">
        <f t="shared" si="141"/>
        <v>-6.7629685117820859</v>
      </c>
      <c r="BF137" s="40">
        <f t="shared" si="142"/>
        <v>-1.5871666420491</v>
      </c>
      <c r="BG137">
        <f t="shared" si="143"/>
        <v>-1.5871666420491</v>
      </c>
    </row>
    <row r="138" spans="1:59" x14ac:dyDescent="0.25">
      <c r="AS138">
        <v>-0.76794487087751606</v>
      </c>
      <c r="AT138">
        <v>-3.0784766501389695</v>
      </c>
      <c r="AU138">
        <v>-215.20013799695221</v>
      </c>
      <c r="AV138">
        <f t="shared" si="132"/>
        <v>-1.5851005308409429</v>
      </c>
      <c r="AW138">
        <f t="shared" si="133"/>
        <v>0.81715565996342687</v>
      </c>
      <c r="AX138" s="40">
        <f t="shared" si="134"/>
        <v>-4.7266931844307365</v>
      </c>
      <c r="AY138">
        <f t="shared" si="135"/>
        <v>4.7266931844307365</v>
      </c>
      <c r="AZ138">
        <f t="shared" si="136"/>
        <v>5.5152404363020704</v>
      </c>
      <c r="BA138">
        <f t="shared" si="137"/>
        <v>-1.5851005308409429</v>
      </c>
      <c r="BB138">
        <f t="shared" si="138"/>
        <v>0.81715565996342687</v>
      </c>
      <c r="BC138">
        <f t="shared" si="139"/>
        <v>-4.7266931844307365</v>
      </c>
      <c r="BD138">
        <f t="shared" si="140"/>
        <v>4.7266931844307365</v>
      </c>
      <c r="BE138" s="40">
        <f t="shared" si="141"/>
        <v>-6.7650346229902425</v>
      </c>
      <c r="BF138" s="40">
        <f t="shared" si="142"/>
        <v>-1.5851005308409434</v>
      </c>
      <c r="BG138">
        <f t="shared" si="143"/>
        <v>-1.5851005308409434</v>
      </c>
    </row>
    <row r="139" spans="1:59" x14ac:dyDescent="0.25">
      <c r="AS139">
        <v>-0.75049157835757274</v>
      </c>
      <c r="AT139">
        <v>-2.6347300975998791</v>
      </c>
      <c r="AU139">
        <v>-214.17630346262041</v>
      </c>
      <c r="AV139">
        <f t="shared" si="132"/>
        <v>-1.5830973944721258</v>
      </c>
      <c r="AW139">
        <f t="shared" si="133"/>
        <v>0.83260581611455309</v>
      </c>
      <c r="AX139" s="40">
        <f t="shared" si="134"/>
        <v>-4.7246900480619187</v>
      </c>
      <c r="AY139">
        <f t="shared" si="135"/>
        <v>4.7246900480619187</v>
      </c>
      <c r="AZ139">
        <f t="shared" si="136"/>
        <v>5.5326937288220135</v>
      </c>
      <c r="BA139">
        <f t="shared" si="137"/>
        <v>-1.5830973944721258</v>
      </c>
      <c r="BB139">
        <f t="shared" si="138"/>
        <v>0.83260581611455309</v>
      </c>
      <c r="BC139">
        <f t="shared" si="139"/>
        <v>-4.7246900480619187</v>
      </c>
      <c r="BD139">
        <f t="shared" si="140"/>
        <v>4.7246900480619187</v>
      </c>
      <c r="BE139" s="40">
        <f t="shared" si="141"/>
        <v>-6.7670377593590603</v>
      </c>
      <c r="BF139" s="40">
        <f t="shared" si="142"/>
        <v>-1.5830973944721256</v>
      </c>
      <c r="BG139">
        <f t="shared" si="143"/>
        <v>-1.5830973944721256</v>
      </c>
    </row>
    <row r="140" spans="1:59" x14ac:dyDescent="0.25">
      <c r="AS140">
        <v>-0.73303828583762942</v>
      </c>
      <c r="AT140">
        <v>-2.207673521388068</v>
      </c>
      <c r="AU140">
        <v>-213.16212138886272</v>
      </c>
      <c r="AV140">
        <f t="shared" si="132"/>
        <v>-1.5811527380477273</v>
      </c>
      <c r="AW140">
        <f t="shared" si="133"/>
        <v>0.84811445221009785</v>
      </c>
      <c r="AX140" s="40">
        <f t="shared" si="134"/>
        <v>-4.7227453916375204</v>
      </c>
      <c r="AY140">
        <f t="shared" si="135"/>
        <v>4.7227453916375204</v>
      </c>
      <c r="AZ140">
        <f t="shared" si="136"/>
        <v>5.5501470213419566</v>
      </c>
      <c r="BA140">
        <f t="shared" si="137"/>
        <v>-1.5811527380477273</v>
      </c>
      <c r="BB140">
        <f t="shared" si="138"/>
        <v>0.84811445221009785</v>
      </c>
      <c r="BC140">
        <f t="shared" si="139"/>
        <v>-4.7227453916375204</v>
      </c>
      <c r="BD140">
        <f t="shared" si="140"/>
        <v>4.7227453916375204</v>
      </c>
      <c r="BE140" s="40">
        <f t="shared" si="141"/>
        <v>-6.7689824157834586</v>
      </c>
      <c r="BF140" s="40">
        <f t="shared" si="142"/>
        <v>-1.5811527380477273</v>
      </c>
      <c r="BG140">
        <f t="shared" si="143"/>
        <v>-1.5811527380477273</v>
      </c>
    </row>
    <row r="141" spans="1:59" x14ac:dyDescent="0.25">
      <c r="AS141">
        <v>-0.7155849933176861</v>
      </c>
      <c r="AT141">
        <v>-1.7961658595586585</v>
      </c>
      <c r="AU141">
        <v>-212.1561815511815</v>
      </c>
      <c r="AV141">
        <f t="shared" si="132"/>
        <v>-1.5792623678666811</v>
      </c>
      <c r="AW141">
        <f t="shared" si="133"/>
        <v>0.86367737454899496</v>
      </c>
      <c r="AX141" s="40">
        <f t="shared" si="134"/>
        <v>-4.7208550214564742</v>
      </c>
      <c r="AY141">
        <f t="shared" si="135"/>
        <v>4.7208550214564742</v>
      </c>
      <c r="AZ141">
        <f t="shared" si="136"/>
        <v>5.5676003138619006</v>
      </c>
      <c r="BA141">
        <f t="shared" si="137"/>
        <v>-1.5792623678666811</v>
      </c>
      <c r="BB141">
        <f t="shared" si="138"/>
        <v>0.86367737454899496</v>
      </c>
      <c r="BC141">
        <f t="shared" si="139"/>
        <v>-4.7208550214564742</v>
      </c>
      <c r="BD141">
        <f t="shared" si="140"/>
        <v>4.7208550214564742</v>
      </c>
      <c r="BE141" s="40">
        <f t="shared" si="141"/>
        <v>-6.7708727859645048</v>
      </c>
      <c r="BF141" s="40">
        <f t="shared" si="142"/>
        <v>-1.5792623678666811</v>
      </c>
      <c r="BG141">
        <f t="shared" si="143"/>
        <v>-1.5792623678666811</v>
      </c>
    </row>
    <row r="142" spans="1:59" x14ac:dyDescent="0.25">
      <c r="AS142">
        <v>-0.69813170079774278</v>
      </c>
      <c r="AT142">
        <v>-1.3991534494305258</v>
      </c>
      <c r="AU142">
        <v>-211.15710097191825</v>
      </c>
      <c r="AV142">
        <f t="shared" si="132"/>
        <v>-1.5774223553142683</v>
      </c>
      <c r="AW142">
        <f t="shared" si="133"/>
        <v>0.87929065451652555</v>
      </c>
      <c r="AX142" s="40">
        <f t="shared" si="134"/>
        <v>-4.7190150089040612</v>
      </c>
      <c r="AY142">
        <f t="shared" si="135"/>
        <v>4.7190150089040612</v>
      </c>
      <c r="AZ142">
        <f t="shared" si="136"/>
        <v>5.5850536063818437</v>
      </c>
      <c r="BA142">
        <f t="shared" si="137"/>
        <v>-1.5774223553142683</v>
      </c>
      <c r="BB142">
        <f t="shared" si="138"/>
        <v>0.87929065451652555</v>
      </c>
      <c r="BC142">
        <f t="shared" si="139"/>
        <v>-4.7190150089040612</v>
      </c>
      <c r="BD142">
        <f t="shared" si="140"/>
        <v>4.7190150089040612</v>
      </c>
      <c r="BE142" s="40">
        <f t="shared" si="141"/>
        <v>-6.7727127985169178</v>
      </c>
      <c r="BF142" s="40">
        <f t="shared" si="142"/>
        <v>-1.5774223553142681</v>
      </c>
      <c r="BG142">
        <f t="shared" si="143"/>
        <v>-1.5774223553142681</v>
      </c>
    </row>
    <row r="143" spans="1:59" x14ac:dyDescent="0.25">
      <c r="AS143">
        <v>-0.68067840827779946</v>
      </c>
      <c r="AT143">
        <v>-1.0156604128370077</v>
      </c>
      <c r="AU143">
        <v>-210.16351402603198</v>
      </c>
      <c r="AV143">
        <f t="shared" si="132"/>
        <v>-1.5756290043921102</v>
      </c>
      <c r="AW143">
        <f t="shared" si="133"/>
        <v>0.89495059611431071</v>
      </c>
      <c r="AX143" s="40">
        <f t="shared" si="134"/>
        <v>-4.7172216579819031</v>
      </c>
      <c r="AY143">
        <f t="shared" si="135"/>
        <v>4.7172216579819031</v>
      </c>
      <c r="AZ143">
        <f t="shared" si="136"/>
        <v>5.6025068989017868</v>
      </c>
      <c r="BA143">
        <f t="shared" si="137"/>
        <v>-1.5756290043921102</v>
      </c>
      <c r="BB143">
        <f t="shared" si="138"/>
        <v>0.89495059611431071</v>
      </c>
      <c r="BC143">
        <f t="shared" si="139"/>
        <v>-4.7172216579819031</v>
      </c>
      <c r="BD143">
        <f t="shared" si="140"/>
        <v>4.7172216579819031</v>
      </c>
      <c r="BE143" s="40">
        <f t="shared" si="141"/>
        <v>-6.7745061494390759</v>
      </c>
      <c r="BF143" s="40">
        <f t="shared" si="142"/>
        <v>-1.57562900439211</v>
      </c>
      <c r="BG143">
        <f t="shared" si="143"/>
        <v>-1.57562900439211</v>
      </c>
    </row>
    <row r="144" spans="1:59" x14ac:dyDescent="0.25">
      <c r="AS144">
        <v>-0.66322511575785614</v>
      </c>
      <c r="AT144">
        <v>-0.64477992352871061</v>
      </c>
      <c r="AU144">
        <v>-209.17406248250319</v>
      </c>
      <c r="AV144">
        <f t="shared" si="132"/>
        <v>-1.5738788212193542</v>
      </c>
      <c r="AW144">
        <f t="shared" si="133"/>
        <v>0.91065370546149804</v>
      </c>
      <c r="AX144" s="40">
        <f t="shared" si="134"/>
        <v>-4.7154714748091475</v>
      </c>
      <c r="AY144">
        <f t="shared" si="135"/>
        <v>4.7154714748091475</v>
      </c>
      <c r="AZ144">
        <f t="shared" si="136"/>
        <v>5.6199601914217299</v>
      </c>
      <c r="BA144">
        <f t="shared" si="137"/>
        <v>-1.5738788212193542</v>
      </c>
      <c r="BB144">
        <f t="shared" si="138"/>
        <v>0.91065370546149804</v>
      </c>
      <c r="BC144">
        <f t="shared" si="139"/>
        <v>-4.7154714748091475</v>
      </c>
      <c r="BD144">
        <f t="shared" si="140"/>
        <v>4.7154714748091475</v>
      </c>
      <c r="BE144" s="40">
        <f t="shared" si="141"/>
        <v>-6.7762563326118315</v>
      </c>
      <c r="BF144" s="40">
        <f t="shared" si="142"/>
        <v>-1.5738788212193544</v>
      </c>
      <c r="BG144">
        <f t="shared" si="143"/>
        <v>-1.5738788212193544</v>
      </c>
    </row>
    <row r="145" spans="45:59" x14ac:dyDescent="0.25">
      <c r="AS145">
        <v>-0.64577182323791282</v>
      </c>
      <c r="AT145">
        <v>-0.28566641466792364</v>
      </c>
      <c r="AU145">
        <v>-208.1873853039707</v>
      </c>
      <c r="AV145">
        <f t="shared" si="132"/>
        <v>-1.5721684859915961</v>
      </c>
      <c r="AW145">
        <f t="shared" si="133"/>
        <v>0.92639666275368326</v>
      </c>
      <c r="AX145" s="40">
        <f t="shared" si="134"/>
        <v>-4.713761139581389</v>
      </c>
      <c r="AY145">
        <f t="shared" si="135"/>
        <v>4.713761139581389</v>
      </c>
      <c r="AZ145">
        <f t="shared" si="136"/>
        <v>5.637413483941673</v>
      </c>
      <c r="BA145">
        <f t="shared" si="137"/>
        <v>-1.5721684859915961</v>
      </c>
      <c r="BB145">
        <f t="shared" si="138"/>
        <v>0.92639666275368326</v>
      </c>
      <c r="BC145">
        <f t="shared" si="139"/>
        <v>-4.713761139581389</v>
      </c>
      <c r="BD145">
        <f t="shared" si="140"/>
        <v>4.713761139581389</v>
      </c>
      <c r="BE145" s="40">
        <f t="shared" si="141"/>
        <v>-6.77796666783959</v>
      </c>
      <c r="BF145" s="40">
        <f t="shared" si="142"/>
        <v>-1.5721684859915959</v>
      </c>
      <c r="BG145">
        <f t="shared" si="143"/>
        <v>-1.5721684859915959</v>
      </c>
    </row>
    <row r="146" spans="45:59" x14ac:dyDescent="0.25">
      <c r="AS146">
        <v>-0.6283185307179695</v>
      </c>
      <c r="AT146">
        <v>6.2471627323293429E-2</v>
      </c>
      <c r="AU146">
        <v>-207.20210798576957</v>
      </c>
      <c r="AV146">
        <f t="shared" si="132"/>
        <v>-1.5704948258785323</v>
      </c>
      <c r="AW146">
        <f t="shared" si="133"/>
        <v>0.94217629516056278</v>
      </c>
      <c r="AX146" s="40">
        <f t="shared" si="134"/>
        <v>-4.712087479468325</v>
      </c>
      <c r="AY146">
        <f t="shared" si="135"/>
        <v>4.712087479468325</v>
      </c>
      <c r="AZ146">
        <f t="shared" si="136"/>
        <v>5.654866776461617</v>
      </c>
      <c r="BA146">
        <f t="shared" si="137"/>
        <v>-1.5704948258785323</v>
      </c>
      <c r="BB146">
        <f t="shared" si="138"/>
        <v>0.94217629516056278</v>
      </c>
      <c r="BC146">
        <f t="shared" si="139"/>
        <v>-4.712087479468325</v>
      </c>
      <c r="BD146">
        <f t="shared" si="140"/>
        <v>4.712087479468325</v>
      </c>
      <c r="BE146" s="40">
        <f t="shared" si="141"/>
        <v>-6.779640327952654</v>
      </c>
      <c r="BF146" s="40">
        <f t="shared" si="142"/>
        <v>-1.5704948258785318</v>
      </c>
      <c r="BG146">
        <f t="shared" si="143"/>
        <v>-1.5704948258785318</v>
      </c>
    </row>
    <row r="147" spans="45:59" x14ac:dyDescent="0.25">
      <c r="AS147">
        <v>-0.61086523819802618</v>
      </c>
      <c r="AT147">
        <v>0.40037820565992771</v>
      </c>
      <c r="AU147">
        <v>-206.21683121536449</v>
      </c>
      <c r="AV147">
        <f t="shared" si="132"/>
        <v>-1.5688547893354376</v>
      </c>
      <c r="AW147">
        <f t="shared" si="133"/>
        <v>0.95798955113741147</v>
      </c>
      <c r="AX147" s="40">
        <f t="shared" si="134"/>
        <v>-4.710447442925231</v>
      </c>
      <c r="AY147">
        <f t="shared" si="135"/>
        <v>4.710447442925231</v>
      </c>
      <c r="AZ147">
        <f t="shared" si="136"/>
        <v>5.67232006898156</v>
      </c>
      <c r="BA147">
        <f t="shared" si="137"/>
        <v>-1.5688547893354376</v>
      </c>
      <c r="BB147">
        <f t="shared" si="138"/>
        <v>0.95798955113741147</v>
      </c>
      <c r="BC147">
        <f t="shared" si="139"/>
        <v>-4.710447442925231</v>
      </c>
      <c r="BD147">
        <f t="shared" si="140"/>
        <v>4.710447442925231</v>
      </c>
      <c r="BE147" s="40">
        <f t="shared" si="141"/>
        <v>-6.781280364495748</v>
      </c>
      <c r="BF147" s="40">
        <f t="shared" si="142"/>
        <v>-1.5688547893354379</v>
      </c>
      <c r="BG147">
        <f t="shared" si="143"/>
        <v>-1.5688547893354379</v>
      </c>
    </row>
    <row r="148" spans="45:59" x14ac:dyDescent="0.25">
      <c r="AS148">
        <v>-0.59341194567808286</v>
      </c>
      <c r="AT148">
        <v>0.72875593446966036</v>
      </c>
      <c r="AU148">
        <v>-205.23011857811412</v>
      </c>
      <c r="AV148">
        <f t="shared" si="132"/>
        <v>-1.5672454207360249</v>
      </c>
      <c r="AW148">
        <f t="shared" si="133"/>
        <v>0.97383347505794204</v>
      </c>
      <c r="AX148" s="40">
        <f t="shared" si="134"/>
        <v>-4.7088380743258185</v>
      </c>
      <c r="AY148">
        <f t="shared" si="135"/>
        <v>4.7088380743258185</v>
      </c>
      <c r="AZ148">
        <f t="shared" si="136"/>
        <v>5.6897733615015031</v>
      </c>
      <c r="BA148">
        <f t="shared" si="137"/>
        <v>-1.5672454207360249</v>
      </c>
      <c r="BB148">
        <f t="shared" si="138"/>
        <v>0.97383347505794204</v>
      </c>
      <c r="BC148">
        <f t="shared" si="139"/>
        <v>-4.7088380743258185</v>
      </c>
      <c r="BD148">
        <f t="shared" si="140"/>
        <v>4.7088380743258185</v>
      </c>
      <c r="BE148" s="40">
        <f t="shared" si="141"/>
        <v>-6.7828897330951605</v>
      </c>
      <c r="BF148" s="40">
        <f t="shared" si="142"/>
        <v>-1.5672454207360254</v>
      </c>
      <c r="BG148">
        <f t="shared" si="143"/>
        <v>-1.5672454207360254</v>
      </c>
    </row>
    <row r="149" spans="45:59" x14ac:dyDescent="0.25">
      <c r="AS149">
        <v>-0.57595865315813954</v>
      </c>
      <c r="AT149">
        <v>1.0482718943132907</v>
      </c>
      <c r="AU149">
        <v>-204.24048299058563</v>
      </c>
      <c r="AV149">
        <f t="shared" si="132"/>
        <v>-1.5656638345766281</v>
      </c>
      <c r="AW149">
        <f t="shared" si="133"/>
        <v>0.98970518141848851</v>
      </c>
      <c r="AX149" s="40">
        <f t="shared" si="134"/>
        <v>-4.7072564881664212</v>
      </c>
      <c r="AY149">
        <f t="shared" si="135"/>
        <v>4.7072564881664212</v>
      </c>
      <c r="AZ149">
        <f t="shared" si="136"/>
        <v>5.7072266540214471</v>
      </c>
      <c r="BA149">
        <f t="shared" si="137"/>
        <v>-1.5656638345766281</v>
      </c>
      <c r="BB149">
        <f t="shared" si="138"/>
        <v>0.98970518141848851</v>
      </c>
      <c r="BC149">
        <f t="shared" si="139"/>
        <v>-4.7072564881664212</v>
      </c>
      <c r="BD149">
        <f t="shared" si="140"/>
        <v>4.7072564881664212</v>
      </c>
      <c r="BE149" s="40">
        <f t="shared" si="141"/>
        <v>-6.7844713192545578</v>
      </c>
      <c r="BF149" s="40">
        <f t="shared" si="142"/>
        <v>-1.5656638345766281</v>
      </c>
      <c r="BG149">
        <f t="shared" si="143"/>
        <v>-1.5656638345766281</v>
      </c>
    </row>
    <row r="150" spans="45:59" x14ac:dyDescent="0.25">
      <c r="AS150">
        <v>-0.55850536063819622</v>
      </c>
      <c r="AT150">
        <v>1.3595631267485091</v>
      </c>
      <c r="AU150">
        <v>-203.24637149722531</v>
      </c>
      <c r="AV150">
        <f t="shared" si="132"/>
        <v>-1.5641071896703798</v>
      </c>
      <c r="AW150">
        <f t="shared" si="133"/>
        <v>1.0056018290321835</v>
      </c>
      <c r="AX150" s="40">
        <f t="shared" si="134"/>
        <v>-4.7056998432601729</v>
      </c>
      <c r="AY150">
        <f t="shared" si="135"/>
        <v>4.7056998432601729</v>
      </c>
      <c r="AZ150">
        <f t="shared" si="136"/>
        <v>5.7246799465413902</v>
      </c>
      <c r="BA150">
        <f t="shared" si="137"/>
        <v>-1.5641071896703798</v>
      </c>
      <c r="BB150">
        <f t="shared" si="138"/>
        <v>1.0056018290321835</v>
      </c>
      <c r="BC150">
        <f t="shared" si="139"/>
        <v>-4.7056998432601729</v>
      </c>
      <c r="BD150">
        <f t="shared" si="140"/>
        <v>4.7056998432601729</v>
      </c>
      <c r="BE150" s="40">
        <f t="shared" si="141"/>
        <v>-6.7860279641608061</v>
      </c>
      <c r="BF150" s="40">
        <f t="shared" si="142"/>
        <v>-1.5641071896703798</v>
      </c>
      <c r="BG150">
        <f t="shared" si="143"/>
        <v>-1.5641071896703798</v>
      </c>
    </row>
    <row r="151" spans="45:59" x14ac:dyDescent="0.25">
      <c r="AS151">
        <v>-0.5410520681182529</v>
      </c>
      <c r="AT151">
        <v>1.6632421092365917</v>
      </c>
      <c r="AU151">
        <v>-202.24614794932623</v>
      </c>
      <c r="AV151">
        <f t="shared" si="132"/>
        <v>-1.5625726615649391</v>
      </c>
      <c r="AW151">
        <f t="shared" si="133"/>
        <v>1.0215205934466862</v>
      </c>
      <c r="AX151" s="40">
        <f t="shared" si="134"/>
        <v>-4.7041653151547322</v>
      </c>
      <c r="AY151">
        <f t="shared" si="135"/>
        <v>4.7041653151547322</v>
      </c>
      <c r="AZ151">
        <f t="shared" si="136"/>
        <v>5.7421332390613333</v>
      </c>
      <c r="BA151">
        <f t="shared" si="137"/>
        <v>-1.5625726615649391</v>
      </c>
      <c r="BB151">
        <f t="shared" si="138"/>
        <v>1.0215205934466862</v>
      </c>
      <c r="BC151">
        <f t="shared" si="139"/>
        <v>-4.7041653151547322</v>
      </c>
      <c r="BD151">
        <f t="shared" si="140"/>
        <v>4.7041653151547322</v>
      </c>
      <c r="BE151" s="40">
        <f t="shared" si="141"/>
        <v>-6.7875624922662467</v>
      </c>
      <c r="BF151" s="40">
        <f t="shared" si="142"/>
        <v>-1.5625726615649391</v>
      </c>
      <c r="BG151">
        <f t="shared" si="143"/>
        <v>-1.5625726615649391</v>
      </c>
    </row>
    <row r="152" spans="45:59" x14ac:dyDescent="0.25">
      <c r="AS152">
        <v>-0.52359877559830958</v>
      </c>
      <c r="AT152">
        <v>1.9599021810064072</v>
      </c>
      <c r="AU152">
        <v>-201.23807299870603</v>
      </c>
      <c r="AV152">
        <f t="shared" si="132"/>
        <v>-1.5610574131382373</v>
      </c>
      <c r="AW152">
        <f t="shared" si="133"/>
        <v>1.0374586375399277</v>
      </c>
      <c r="AX152" s="40">
        <f t="shared" si="134"/>
        <v>-4.7026500667280304</v>
      </c>
      <c r="AY152">
        <f t="shared" si="135"/>
        <v>4.7026500667280304</v>
      </c>
      <c r="AZ152">
        <f t="shared" si="136"/>
        <v>5.7595865315812764</v>
      </c>
      <c r="BA152">
        <f t="shared" si="137"/>
        <v>-1.5610574131382373</v>
      </c>
      <c r="BB152">
        <f t="shared" si="138"/>
        <v>1.0374586375399277</v>
      </c>
      <c r="BC152">
        <f t="shared" si="139"/>
        <v>-4.7026500667280304</v>
      </c>
      <c r="BD152">
        <f t="shared" si="140"/>
        <v>4.7026500667280304</v>
      </c>
      <c r="BE152" s="40">
        <f t="shared" si="141"/>
        <v>-6.7890777406929486</v>
      </c>
      <c r="BF152" s="40">
        <f t="shared" si="142"/>
        <v>-1.5610574131382373</v>
      </c>
      <c r="BG152">
        <f t="shared" si="143"/>
        <v>-1.5610574131382373</v>
      </c>
    </row>
    <row r="153" spans="45:59" x14ac:dyDescent="0.25">
      <c r="AS153">
        <v>-0.50614548307836627</v>
      </c>
      <c r="AT153">
        <v>2.2501231441615177</v>
      </c>
      <c r="AU153">
        <v>-200.22028066907586</v>
      </c>
      <c r="AV153">
        <f t="shared" si="132"/>
        <v>-1.5595585619933343</v>
      </c>
      <c r="AW153">
        <f t="shared" si="133"/>
        <v>1.053413078914968</v>
      </c>
      <c r="AX153" s="40">
        <f t="shared" si="134"/>
        <v>-4.7011512155831277</v>
      </c>
      <c r="AY153">
        <f t="shared" si="135"/>
        <v>4.7011512155831277</v>
      </c>
      <c r="AZ153">
        <f t="shared" si="136"/>
        <v>5.7770398241012195</v>
      </c>
      <c r="BA153">
        <f t="shared" si="137"/>
        <v>-1.5595585619933343</v>
      </c>
      <c r="BB153">
        <f t="shared" si="138"/>
        <v>1.053413078914968</v>
      </c>
      <c r="BC153">
        <f t="shared" si="139"/>
        <v>-4.7011512155831277</v>
      </c>
      <c r="BD153">
        <f t="shared" si="140"/>
        <v>4.7011512155831277</v>
      </c>
      <c r="BE153" s="40">
        <f t="shared" si="141"/>
        <v>-6.7905765918378513</v>
      </c>
      <c r="BF153" s="40">
        <f t="shared" si="142"/>
        <v>-1.5595585619933345</v>
      </c>
      <c r="BG153">
        <f t="shared" si="143"/>
        <v>-1.5595585619933345</v>
      </c>
    </row>
    <row r="154" spans="45:59" x14ac:dyDescent="0.25">
      <c r="AS154">
        <v>-0.48869219055842295</v>
      </c>
      <c r="AT154">
        <v>2.5344770191746644</v>
      </c>
      <c r="AU154">
        <v>-199.19075058795386</v>
      </c>
      <c r="AV154">
        <f t="shared" si="132"/>
        <v>-1.5580731443661471</v>
      </c>
      <c r="AW154">
        <f t="shared" si="133"/>
        <v>1.0693809538077241</v>
      </c>
      <c r="AX154" s="40">
        <f t="shared" si="134"/>
        <v>-4.69966579795594</v>
      </c>
      <c r="AY154">
        <f t="shared" si="135"/>
        <v>4.69966579795594</v>
      </c>
      <c r="AZ154">
        <f t="shared" si="136"/>
        <v>5.7944931166211635</v>
      </c>
      <c r="BA154">
        <f t="shared" si="137"/>
        <v>-1.5580731443661471</v>
      </c>
      <c r="BB154">
        <f t="shared" si="138"/>
        <v>1.0693809538077241</v>
      </c>
      <c r="BC154">
        <f t="shared" si="139"/>
        <v>-4.69966579795594</v>
      </c>
      <c r="BD154">
        <f t="shared" si="140"/>
        <v>4.69966579795594</v>
      </c>
      <c r="BE154" s="40">
        <f t="shared" si="141"/>
        <v>-6.792062009465039</v>
      </c>
      <c r="BF154" s="40">
        <f t="shared" si="142"/>
        <v>-1.5580731443661469</v>
      </c>
      <c r="BG154">
        <f t="shared" si="143"/>
        <v>-1.5580731443661469</v>
      </c>
    </row>
    <row r="155" spans="45:59" x14ac:dyDescent="0.25">
      <c r="AS155">
        <v>-0.47123889803847963</v>
      </c>
      <c r="AT155">
        <v>2.8135343827585015</v>
      </c>
      <c r="AU155">
        <v>-198.14727465264059</v>
      </c>
      <c r="AV155">
        <f t="shared" si="132"/>
        <v>-1.5565980728717543</v>
      </c>
      <c r="AW155">
        <f t="shared" si="133"/>
        <v>1.0853591748332747</v>
      </c>
      <c r="AX155" s="40">
        <f t="shared" si="134"/>
        <v>-4.6981907264615472</v>
      </c>
      <c r="AY155">
        <f t="shared" si="135"/>
        <v>4.6981907264615472</v>
      </c>
      <c r="AZ155">
        <f t="shared" si="136"/>
        <v>5.8119464091411066</v>
      </c>
      <c r="BA155">
        <f t="shared" si="137"/>
        <v>-1.5565980728717543</v>
      </c>
      <c r="BB155">
        <f t="shared" si="138"/>
        <v>1.0853591748332747</v>
      </c>
      <c r="BC155">
        <f t="shared" si="139"/>
        <v>-4.6981907264615472</v>
      </c>
      <c r="BD155">
        <f t="shared" si="140"/>
        <v>4.6981907264615472</v>
      </c>
      <c r="BE155" s="40">
        <f t="shared" si="141"/>
        <v>-6.7935370809594318</v>
      </c>
      <c r="BF155" s="40">
        <f t="shared" si="142"/>
        <v>-1.5565980728717541</v>
      </c>
      <c r="BG155">
        <f t="shared" si="143"/>
        <v>-1.5565980728717541</v>
      </c>
    </row>
    <row r="156" spans="45:59" x14ac:dyDescent="0.25">
      <c r="AS156">
        <v>-0.45378560551853631</v>
      </c>
      <c r="AT156">
        <v>3.0878712049692578</v>
      </c>
      <c r="AU156">
        <v>-197.08741658184056</v>
      </c>
      <c r="AV156">
        <f t="shared" si="132"/>
        <v>-1.5551300877494734</v>
      </c>
      <c r="AW156">
        <f t="shared" si="133"/>
        <v>1.1013444822309371</v>
      </c>
      <c r="AX156" s="40">
        <f t="shared" si="134"/>
        <v>-4.6967227413392667</v>
      </c>
      <c r="AY156">
        <f t="shared" si="135"/>
        <v>4.6967227413392667</v>
      </c>
      <c r="AZ156">
        <f t="shared" si="136"/>
        <v>5.8293997016610497</v>
      </c>
      <c r="BA156">
        <f t="shared" si="137"/>
        <v>-1.5551300877494734</v>
      </c>
      <c r="BB156">
        <f t="shared" si="138"/>
        <v>1.1013444822309371</v>
      </c>
      <c r="BC156">
        <f t="shared" si="139"/>
        <v>-4.6967227413392667</v>
      </c>
      <c r="BD156">
        <f t="shared" si="140"/>
        <v>4.6967227413392667</v>
      </c>
      <c r="BE156" s="40">
        <f t="shared" si="141"/>
        <v>-6.7950050660817123</v>
      </c>
      <c r="BF156" s="40">
        <f t="shared" si="142"/>
        <v>-1.5551300877494736</v>
      </c>
      <c r="BG156">
        <f t="shared" si="143"/>
        <v>-1.5551300877494736</v>
      </c>
    </row>
    <row r="157" spans="45:59" x14ac:dyDescent="0.25">
      <c r="AS157">
        <v>-0.43633231299859299</v>
      </c>
      <c r="AT157">
        <v>3.3580767056566856</v>
      </c>
      <c r="AU157">
        <v>-196.00846224671034</v>
      </c>
      <c r="AV157">
        <f t="shared" si="132"/>
        <v>-1.5536656979668306</v>
      </c>
      <c r="AW157">
        <f t="shared" si="133"/>
        <v>1.1173333849682376</v>
      </c>
      <c r="AX157" s="40">
        <f t="shared" si="134"/>
        <v>-4.6952583515566237</v>
      </c>
      <c r="AY157">
        <f t="shared" si="135"/>
        <v>4.6952583515566237</v>
      </c>
      <c r="AZ157">
        <f t="shared" si="136"/>
        <v>5.8468529941809937</v>
      </c>
      <c r="BA157">
        <f t="shared" si="137"/>
        <v>-1.5536656979668306</v>
      </c>
      <c r="BB157">
        <f t="shared" si="138"/>
        <v>1.1173333849682376</v>
      </c>
      <c r="BC157">
        <f t="shared" si="139"/>
        <v>-4.6952583515566237</v>
      </c>
      <c r="BD157">
        <f t="shared" si="140"/>
        <v>4.6952583515566237</v>
      </c>
      <c r="BE157" s="40">
        <f t="shared" si="141"/>
        <v>-6.7964694558643552</v>
      </c>
      <c r="BF157" s="40">
        <f t="shared" si="142"/>
        <v>-1.5536656979668306</v>
      </c>
      <c r="BG157">
        <f t="shared" si="143"/>
        <v>-1.5536656979668306</v>
      </c>
    </row>
    <row r="158" spans="45:59" x14ac:dyDescent="0.25">
      <c r="AS158">
        <v>-0.41887902047864967</v>
      </c>
      <c r="AT158">
        <v>3.6247623584650341</v>
      </c>
      <c r="AU158">
        <v>-194.90735801374524</v>
      </c>
      <c r="AV158">
        <f t="shared" si="132"/>
        <v>-1.5522011101076381</v>
      </c>
      <c r="AW158">
        <f t="shared" si="133"/>
        <v>1.1333220896289884</v>
      </c>
      <c r="AX158" s="40">
        <f t="shared" si="134"/>
        <v>-4.693793763697431</v>
      </c>
      <c r="AY158">
        <f t="shared" si="135"/>
        <v>4.693793763697431</v>
      </c>
      <c r="AZ158">
        <f t="shared" si="136"/>
        <v>5.8643062867009368</v>
      </c>
      <c r="BA158">
        <f t="shared" si="137"/>
        <v>-1.5522011101076381</v>
      </c>
      <c r="BB158">
        <f t="shared" si="138"/>
        <v>1.1333220896289884</v>
      </c>
      <c r="BC158">
        <f t="shared" si="139"/>
        <v>-4.693793763697431</v>
      </c>
      <c r="BD158">
        <f t="shared" si="140"/>
        <v>4.693793763697431</v>
      </c>
      <c r="BE158" s="40">
        <f t="shared" si="141"/>
        <v>-6.797934043723548</v>
      </c>
      <c r="BF158" s="40">
        <f t="shared" si="142"/>
        <v>-1.5522011101076378</v>
      </c>
      <c r="BG158">
        <f t="shared" si="143"/>
        <v>-1.5522011101076378</v>
      </c>
    </row>
    <row r="159" spans="45:59" x14ac:dyDescent="0.25">
      <c r="AS159">
        <v>-0.40142572795870635</v>
      </c>
      <c r="AT159">
        <v>3.8885725649801941</v>
      </c>
      <c r="AU159">
        <v>-193.78063331632669</v>
      </c>
      <c r="AV159">
        <f t="shared" si="132"/>
        <v>-1.5507321404268246</v>
      </c>
      <c r="AW159">
        <f t="shared" si="133"/>
        <v>1.1493064124681183</v>
      </c>
      <c r="AX159" s="40">
        <f t="shared" si="134"/>
        <v>-4.692324794016618</v>
      </c>
      <c r="AY159">
        <f t="shared" si="135"/>
        <v>4.692324794016618</v>
      </c>
      <c r="AZ159">
        <f t="shared" si="136"/>
        <v>5.8817595792208799</v>
      </c>
      <c r="BA159">
        <f t="shared" si="137"/>
        <v>-1.5507321404268246</v>
      </c>
      <c r="BB159">
        <f t="shared" si="138"/>
        <v>1.1493064124681183</v>
      </c>
      <c r="BC159">
        <f t="shared" si="139"/>
        <v>-4.692324794016618</v>
      </c>
      <c r="BD159">
        <f t="shared" si="140"/>
        <v>4.692324794016618</v>
      </c>
      <c r="BE159" s="40">
        <f t="shared" si="141"/>
        <v>-6.799403013404361</v>
      </c>
      <c r="BF159" s="40">
        <f t="shared" si="142"/>
        <v>-1.5507321404268248</v>
      </c>
      <c r="BG159">
        <f t="shared" si="143"/>
        <v>-1.5507321404268248</v>
      </c>
    </row>
    <row r="160" spans="45:59" x14ac:dyDescent="0.25">
      <c r="AS160">
        <v>-0.38397243543876303</v>
      </c>
      <c r="AT160">
        <v>4.1501975223756657</v>
      </c>
      <c r="AU160">
        <v>-192.62430228073723</v>
      </c>
      <c r="AV160">
        <f t="shared" si="132"/>
        <v>-1.5492541046400992</v>
      </c>
      <c r="AW160">
        <f t="shared" si="133"/>
        <v>1.1652816692013361</v>
      </c>
      <c r="AX160" s="40">
        <f t="shared" si="134"/>
        <v>-4.6908467582298918</v>
      </c>
      <c r="AY160">
        <f t="shared" si="135"/>
        <v>4.6908467582298918</v>
      </c>
      <c r="AZ160">
        <f t="shared" si="136"/>
        <v>5.899212871740823</v>
      </c>
      <c r="BA160">
        <f t="shared" si="137"/>
        <v>-1.5492541046400992</v>
      </c>
      <c r="BB160">
        <f t="shared" si="138"/>
        <v>1.1652816692013361</v>
      </c>
      <c r="BC160">
        <f t="shared" si="139"/>
        <v>-4.6908467582298918</v>
      </c>
      <c r="BD160">
        <f t="shared" si="140"/>
        <v>4.6908467582298918</v>
      </c>
      <c r="BE160" s="40">
        <f t="shared" si="141"/>
        <v>-6.8008810491910872</v>
      </c>
      <c r="BF160" s="40">
        <f t="shared" si="142"/>
        <v>-1.5492541046400987</v>
      </c>
      <c r="BG160">
        <f t="shared" si="143"/>
        <v>-1.5492541046400987</v>
      </c>
    </row>
    <row r="161" spans="45:59" x14ac:dyDescent="0.25">
      <c r="AS161">
        <v>-0.36651914291881971</v>
      </c>
      <c r="AT161">
        <v>4.4103890414293492</v>
      </c>
      <c r="AU161">
        <v>-191.43373720506</v>
      </c>
      <c r="AV161">
        <f t="shared" si="132"/>
        <v>-1.5477616776537977</v>
      </c>
      <c r="AW161">
        <f t="shared" si="133"/>
        <v>1.181242534734978</v>
      </c>
      <c r="AX161" s="40">
        <f t="shared" si="134"/>
        <v>-4.6893543312435906</v>
      </c>
      <c r="AY161">
        <f t="shared" si="135"/>
        <v>4.6893543312435906</v>
      </c>
      <c r="AZ161">
        <f t="shared" si="136"/>
        <v>5.9166661642607661</v>
      </c>
      <c r="BA161">
        <f t="shared" si="137"/>
        <v>-1.5477616776537977</v>
      </c>
      <c r="BB161">
        <f t="shared" si="138"/>
        <v>1.181242534734978</v>
      </c>
      <c r="BC161">
        <f t="shared" si="139"/>
        <v>-4.6893543312435906</v>
      </c>
      <c r="BD161">
        <f t="shared" si="140"/>
        <v>4.6893543312435906</v>
      </c>
      <c r="BE161" s="40">
        <f t="shared" si="141"/>
        <v>-6.8023734761773884</v>
      </c>
      <c r="BF161" s="40">
        <f t="shared" si="142"/>
        <v>-1.5477616776537975</v>
      </c>
      <c r="BG161">
        <f t="shared" si="143"/>
        <v>-1.5477616776537975</v>
      </c>
    </row>
    <row r="162" spans="45:59" x14ac:dyDescent="0.25">
      <c r="AS162">
        <v>-0.34906585039887639</v>
      </c>
      <c r="AT162">
        <v>4.669980387081111</v>
      </c>
      <c r="AU162">
        <v>-190.20350372230646</v>
      </c>
      <c r="AV162">
        <f t="shared" si="132"/>
        <v>-1.5462487120697535</v>
      </c>
      <c r="AW162">
        <f t="shared" si="133"/>
        <v>1.1971828616708771</v>
      </c>
      <c r="AX162" s="40">
        <f t="shared" si="134"/>
        <v>-4.6878413656595468</v>
      </c>
      <c r="AY162">
        <f t="shared" si="135"/>
        <v>4.6878413656595468</v>
      </c>
      <c r="AZ162">
        <f t="shared" si="136"/>
        <v>5.9341194567807101</v>
      </c>
      <c r="BA162">
        <f t="shared" si="137"/>
        <v>-1.5462487120697535</v>
      </c>
      <c r="BB162">
        <f t="shared" si="138"/>
        <v>1.1971828616708771</v>
      </c>
      <c r="BC162">
        <f t="shared" si="139"/>
        <v>-4.6878413656595468</v>
      </c>
      <c r="BD162">
        <f t="shared" si="140"/>
        <v>4.6878413656595468</v>
      </c>
      <c r="BE162" s="40">
        <f t="shared" si="141"/>
        <v>-6.8038864417614322</v>
      </c>
      <c r="BF162" s="40">
        <f t="shared" si="142"/>
        <v>-1.5462487120697537</v>
      </c>
      <c r="BG162">
        <f t="shared" si="143"/>
        <v>-1.5462487120697537</v>
      </c>
    </row>
    <row r="163" spans="45:59" x14ac:dyDescent="0.25">
      <c r="AS163">
        <v>-0.33161255787893307</v>
      </c>
      <c r="AT163">
        <v>4.9299114272774425</v>
      </c>
      <c r="AU163">
        <v>-188.92714309507869</v>
      </c>
      <c r="AV163">
        <f t="shared" si="132"/>
        <v>-1.5447080005652651</v>
      </c>
      <c r="AW163">
        <f t="shared" si="133"/>
        <v>1.2130954426863321</v>
      </c>
      <c r="AX163" s="40">
        <f t="shared" si="134"/>
        <v>-4.6863006541550583</v>
      </c>
      <c r="AY163">
        <f t="shared" si="135"/>
        <v>4.6863006541550583</v>
      </c>
      <c r="AZ163">
        <f t="shared" si="136"/>
        <v>5.9515727493006532</v>
      </c>
      <c r="BA163">
        <f t="shared" si="137"/>
        <v>-1.5447080005652651</v>
      </c>
      <c r="BB163">
        <f t="shared" si="138"/>
        <v>1.2130954426863321</v>
      </c>
      <c r="BC163">
        <f t="shared" si="139"/>
        <v>-4.6863006541550583</v>
      </c>
      <c r="BD163">
        <f t="shared" si="140"/>
        <v>4.6863006541550583</v>
      </c>
      <c r="BE163" s="40">
        <f t="shared" si="141"/>
        <v>-6.8054271532659207</v>
      </c>
      <c r="BF163" s="40">
        <f t="shared" si="142"/>
        <v>-1.5447080005652651</v>
      </c>
      <c r="BG163">
        <f t="shared" si="143"/>
        <v>-1.5447080005652651</v>
      </c>
    </row>
    <row r="164" spans="45:59" x14ac:dyDescent="0.25">
      <c r="AS164">
        <v>-0.31415926535898975</v>
      </c>
      <c r="AT164">
        <v>5.1912612265842846</v>
      </c>
      <c r="AU164">
        <v>-187.596880377817</v>
      </c>
      <c r="AV164">
        <f t="shared" si="132"/>
        <v>-1.5431309587344109</v>
      </c>
      <c r="AW164">
        <f t="shared" si="133"/>
        <v>1.2289716933754211</v>
      </c>
      <c r="AX164" s="40">
        <f t="shared" si="134"/>
        <v>-4.6847236123242038</v>
      </c>
      <c r="AY164">
        <f t="shared" si="135"/>
        <v>4.6847236123242038</v>
      </c>
      <c r="AZ164">
        <f t="shared" si="136"/>
        <v>5.9690260418205963</v>
      </c>
      <c r="BA164">
        <f t="shared" si="137"/>
        <v>-1.5431309587344109</v>
      </c>
      <c r="BB164">
        <f t="shared" si="138"/>
        <v>1.2289716933754211</v>
      </c>
      <c r="BC164">
        <f t="shared" si="139"/>
        <v>-4.6847236123242038</v>
      </c>
      <c r="BD164">
        <f t="shared" si="140"/>
        <v>4.6847236123242038</v>
      </c>
      <c r="BE164" s="40">
        <f t="shared" si="141"/>
        <v>-6.8070041950967752</v>
      </c>
      <c r="BF164" s="40">
        <f t="shared" si="142"/>
        <v>-1.5431309587344106</v>
      </c>
      <c r="BG164">
        <f t="shared" si="143"/>
        <v>-1.5431309587344106</v>
      </c>
    </row>
    <row r="165" spans="45:59" x14ac:dyDescent="0.25">
      <c r="AS165">
        <v>-0.29670597283904643</v>
      </c>
      <c r="AT165">
        <v>5.4039590241525035</v>
      </c>
      <c r="AU165">
        <v>-184.45113739996091</v>
      </c>
      <c r="AV165">
        <f t="shared" si="132"/>
        <v>-1.5415071950280486</v>
      </c>
      <c r="AW165">
        <f t="shared" si="133"/>
        <v>1.2448012221890021</v>
      </c>
      <c r="AX165" s="40">
        <f t="shared" si="134"/>
        <v>-4.6830998486178412</v>
      </c>
      <c r="AY165">
        <f t="shared" si="135"/>
        <v>4.6830998486178412</v>
      </c>
      <c r="AZ165">
        <f t="shared" si="136"/>
        <v>5.9864793343405402</v>
      </c>
      <c r="BA165">
        <f t="shared" si="137"/>
        <v>-1.5415071950280486</v>
      </c>
      <c r="BB165">
        <f t="shared" si="138"/>
        <v>1.2448012221890021</v>
      </c>
      <c r="BC165">
        <f t="shared" si="139"/>
        <v>-4.6830998486178412</v>
      </c>
      <c r="BD165">
        <f t="shared" si="140"/>
        <v>4.6830998486178412</v>
      </c>
      <c r="BE165" s="40">
        <f t="shared" si="141"/>
        <v>-6.8086279588031378</v>
      </c>
      <c r="BF165" s="40">
        <f t="shared" si="142"/>
        <v>-1.5415071950280481</v>
      </c>
      <c r="BG165">
        <f t="shared" si="143"/>
        <v>-1.5415071950280481</v>
      </c>
    </row>
    <row r="166" spans="45:59" x14ac:dyDescent="0.25">
      <c r="AS166">
        <v>-0.27925268031910311</v>
      </c>
      <c r="AT166">
        <v>5.5866053157607585</v>
      </c>
      <c r="AU166">
        <v>-180.31592496575604</v>
      </c>
      <c r="AV166">
        <f t="shared" si="132"/>
        <v>-1.5398239165063552</v>
      </c>
      <c r="AW166">
        <f t="shared" si="133"/>
        <v>1.2605712361872521</v>
      </c>
      <c r="AX166" s="40">
        <f t="shared" si="134"/>
        <v>-4.6814165700961485</v>
      </c>
      <c r="AY166">
        <f t="shared" si="135"/>
        <v>4.6814165700961485</v>
      </c>
      <c r="AZ166">
        <f t="shared" si="136"/>
        <v>6.0039326268604833</v>
      </c>
      <c r="BA166">
        <f t="shared" si="137"/>
        <v>-1.5398239165063552</v>
      </c>
      <c r="BB166">
        <f t="shared" si="138"/>
        <v>1.2605712361872521</v>
      </c>
      <c r="BC166">
        <f t="shared" si="139"/>
        <v>-4.6814165700961485</v>
      </c>
      <c r="BD166">
        <f t="shared" si="140"/>
        <v>4.6814165700961485</v>
      </c>
      <c r="BE166" s="40">
        <f t="shared" si="141"/>
        <v>-6.8103112373248305</v>
      </c>
      <c r="BF166" s="40">
        <f t="shared" si="142"/>
        <v>-1.5398239165063554</v>
      </c>
      <c r="BG166">
        <f t="shared" si="143"/>
        <v>-1.5398239165063554</v>
      </c>
    </row>
    <row r="167" spans="45:59" x14ac:dyDescent="0.25">
      <c r="AS167">
        <v>-0.26179938779915979</v>
      </c>
      <c r="AT167">
        <v>5.7648791931138357</v>
      </c>
      <c r="AU167">
        <v>-176.06485600031661</v>
      </c>
      <c r="AV167">
        <f t="shared" si="132"/>
        <v>-1.5380650908534752</v>
      </c>
      <c r="AW167">
        <f t="shared" si="133"/>
        <v>1.2762657030543154</v>
      </c>
      <c r="AX167" s="40">
        <f t="shared" si="134"/>
        <v>-4.6796577444432685</v>
      </c>
      <c r="AY167">
        <f t="shared" si="135"/>
        <v>4.6796577444432685</v>
      </c>
      <c r="AZ167">
        <f t="shared" si="136"/>
        <v>6.0213859193804264</v>
      </c>
      <c r="BA167">
        <f t="shared" si="137"/>
        <v>-1.5380650908534752</v>
      </c>
      <c r="BB167">
        <f t="shared" si="138"/>
        <v>1.2762657030543154</v>
      </c>
      <c r="BC167">
        <f t="shared" si="139"/>
        <v>-4.6796577444432685</v>
      </c>
      <c r="BD167">
        <f t="shared" si="140"/>
        <v>4.6796577444432685</v>
      </c>
      <c r="BE167" s="40">
        <f t="shared" si="141"/>
        <v>-6.8120700629777104</v>
      </c>
      <c r="BF167" s="40">
        <f t="shared" si="142"/>
        <v>-1.5380650908534754</v>
      </c>
      <c r="BG167">
        <f t="shared" si="143"/>
        <v>-1.5380650908534754</v>
      </c>
    </row>
    <row r="168" spans="45:59" x14ac:dyDescent="0.25">
      <c r="AS168">
        <v>-0.2443460952792165</v>
      </c>
      <c r="AT168">
        <v>5.9400880719531388</v>
      </c>
      <c r="AU168">
        <v>-171.67940755225214</v>
      </c>
      <c r="AV168">
        <f t="shared" si="132"/>
        <v>-1.5362102371679989</v>
      </c>
      <c r="AW168">
        <f t="shared" si="133"/>
        <v>1.2918641418887824</v>
      </c>
      <c r="AX168" s="40">
        <f t="shared" si="134"/>
        <v>-4.6778028907577918</v>
      </c>
      <c r="AY168">
        <f t="shared" si="135"/>
        <v>4.6778028907577918</v>
      </c>
      <c r="AZ168">
        <f t="shared" si="136"/>
        <v>6.0388392119003695</v>
      </c>
      <c r="BA168">
        <f t="shared" si="137"/>
        <v>-1.5362102371679989</v>
      </c>
      <c r="BB168">
        <f t="shared" si="138"/>
        <v>1.2918641418887824</v>
      </c>
      <c r="BC168">
        <f t="shared" si="139"/>
        <v>-4.6778028907577918</v>
      </c>
      <c r="BD168">
        <f t="shared" si="140"/>
        <v>4.6778028907577918</v>
      </c>
      <c r="BE168" s="40">
        <f t="shared" si="141"/>
        <v>-6.8139249166631872</v>
      </c>
      <c r="BF168" s="40">
        <f t="shared" si="142"/>
        <v>-1.5362102371679986</v>
      </c>
      <c r="BG168">
        <f t="shared" si="143"/>
        <v>-1.5362102371679986</v>
      </c>
    </row>
    <row r="169" spans="45:59" x14ac:dyDescent="0.25">
      <c r="AS169">
        <v>-0.2268928027592732</v>
      </c>
      <c r="AT169">
        <v>6.1138682502142814</v>
      </c>
      <c r="AU169">
        <v>-167.13693280902842</v>
      </c>
      <c r="AV169">
        <f t="shared" si="132"/>
        <v>-1.5342326340564623</v>
      </c>
      <c r="AW169">
        <f t="shared" si="133"/>
        <v>1.3073398312971891</v>
      </c>
      <c r="AX169" s="40">
        <f t="shared" si="134"/>
        <v>-4.6758252876462549</v>
      </c>
      <c r="AY169">
        <f t="shared" si="135"/>
        <v>4.6758252876462549</v>
      </c>
      <c r="AZ169">
        <f t="shared" si="136"/>
        <v>6.0562925044203126</v>
      </c>
      <c r="BA169">
        <f t="shared" si="137"/>
        <v>-1.5342326340564623</v>
      </c>
      <c r="BB169">
        <f t="shared" si="138"/>
        <v>1.3073398312971891</v>
      </c>
      <c r="BC169">
        <f t="shared" si="139"/>
        <v>-4.6758252876462549</v>
      </c>
      <c r="BD169">
        <f t="shared" si="140"/>
        <v>4.6758252876462549</v>
      </c>
      <c r="BE169" s="40">
        <f t="shared" si="141"/>
        <v>-6.8159025197747241</v>
      </c>
      <c r="BF169" s="40">
        <f t="shared" si="142"/>
        <v>-1.5342326340564618</v>
      </c>
      <c r="BG169">
        <f t="shared" si="143"/>
        <v>-1.5342326340564618</v>
      </c>
    </row>
    <row r="170" spans="45:59" x14ac:dyDescent="0.25">
      <c r="AS170">
        <v>-0.20943951023932991</v>
      </c>
      <c r="AT170">
        <v>6.2883287198977769</v>
      </c>
      <c r="AU170">
        <v>-162.4090786187129</v>
      </c>
      <c r="AV170">
        <f t="shared" si="132"/>
        <v>-1.532096586732991</v>
      </c>
      <c r="AW170">
        <f t="shared" si="133"/>
        <v>1.3226570764936612</v>
      </c>
      <c r="AX170" s="40">
        <f t="shared" si="134"/>
        <v>-4.6736892403227843</v>
      </c>
      <c r="AY170">
        <f t="shared" si="135"/>
        <v>4.6736892403227843</v>
      </c>
      <c r="AZ170">
        <f t="shared" si="136"/>
        <v>6.0737457969402566</v>
      </c>
      <c r="BA170">
        <f t="shared" si="137"/>
        <v>-1.532096586732991</v>
      </c>
      <c r="BB170">
        <f t="shared" si="138"/>
        <v>1.3226570764936612</v>
      </c>
      <c r="BC170">
        <f t="shared" si="139"/>
        <v>-4.6736892403227843</v>
      </c>
      <c r="BD170">
        <f t="shared" si="140"/>
        <v>4.6736892403227843</v>
      </c>
      <c r="BE170" s="40">
        <f t="shared" si="141"/>
        <v>-6.8180385670981947</v>
      </c>
      <c r="BF170" s="40">
        <f t="shared" si="142"/>
        <v>-1.5320965867329912</v>
      </c>
      <c r="BG170">
        <f t="shared" si="143"/>
        <v>-1.5320965867329912</v>
      </c>
    </row>
    <row r="171" spans="45:59" x14ac:dyDescent="0.25">
      <c r="AS171">
        <v>-0.19198621771938662</v>
      </c>
      <c r="AT171">
        <v>6.4662701204818269</v>
      </c>
      <c r="AU171">
        <v>-157.45934547612083</v>
      </c>
      <c r="AV171">
        <f t="shared" si="132"/>
        <v>-1.5297531052368931</v>
      </c>
      <c r="AW171">
        <f t="shared" si="133"/>
        <v>1.3377668875175064</v>
      </c>
      <c r="AX171" s="40">
        <f t="shared" si="134"/>
        <v>-4.6713457588266865</v>
      </c>
      <c r="AY171">
        <f t="shared" si="135"/>
        <v>4.6713457588266865</v>
      </c>
      <c r="AZ171">
        <f t="shared" si="136"/>
        <v>6.0911990894601997</v>
      </c>
      <c r="BA171">
        <f t="shared" si="137"/>
        <v>-1.5297531052368931</v>
      </c>
      <c r="BB171">
        <f t="shared" si="138"/>
        <v>1.3377668875175064</v>
      </c>
      <c r="BC171">
        <f t="shared" si="139"/>
        <v>-4.6713457588266865</v>
      </c>
      <c r="BD171">
        <f t="shared" si="140"/>
        <v>4.6713457588266865</v>
      </c>
      <c r="BE171" s="40">
        <f t="shared" si="141"/>
        <v>-6.8203820485942925</v>
      </c>
      <c r="BF171" s="40">
        <f t="shared" si="142"/>
        <v>-1.5297531052368933</v>
      </c>
      <c r="BG171">
        <f t="shared" si="143"/>
        <v>-1.5297531052368933</v>
      </c>
    </row>
    <row r="172" spans="45:59" x14ac:dyDescent="0.25">
      <c r="AS172">
        <v>-0.17453292519944333</v>
      </c>
      <c r="AT172">
        <v>6.6515280571304558</v>
      </c>
      <c r="AU172">
        <v>-152.23916914307713</v>
      </c>
      <c r="AV172">
        <f t="shared" si="132"/>
        <v>-1.5271327906538423</v>
      </c>
      <c r="AW172">
        <f t="shared" si="133"/>
        <v>1.3525998654543989</v>
      </c>
      <c r="AX172" s="40">
        <f t="shared" si="134"/>
        <v>-4.6687254442436359</v>
      </c>
      <c r="AY172">
        <f t="shared" si="135"/>
        <v>4.6687254442436359</v>
      </c>
      <c r="AZ172">
        <f t="shared" si="136"/>
        <v>6.1086523819801428</v>
      </c>
      <c r="BA172">
        <f t="shared" si="137"/>
        <v>-1.5271327906538423</v>
      </c>
      <c r="BB172">
        <f t="shared" si="138"/>
        <v>1.3525998654543989</v>
      </c>
      <c r="BC172">
        <f t="shared" si="139"/>
        <v>-4.6687254442436359</v>
      </c>
      <c r="BD172">
        <f t="shared" si="140"/>
        <v>4.6687254442436359</v>
      </c>
      <c r="BE172" s="40">
        <f t="shared" si="141"/>
        <v>-6.8230023631773431</v>
      </c>
      <c r="BF172" s="40">
        <f t="shared" si="142"/>
        <v>-1.5271327906538428</v>
      </c>
      <c r="BG172">
        <f t="shared" si="143"/>
        <v>-1.5271327906538428</v>
      </c>
    </row>
    <row r="173" spans="45:59" x14ac:dyDescent="0.25">
      <c r="AS173">
        <v>-0.15707963267950004</v>
      </c>
      <c r="AT173">
        <v>6.8495339041067549</v>
      </c>
      <c r="AU173">
        <v>-146.68132074714111</v>
      </c>
      <c r="AV173">
        <f t="shared" si="132"/>
        <v>-1.5241335225861821</v>
      </c>
      <c r="AW173">
        <f t="shared" si="133"/>
        <v>1.367053889906682</v>
      </c>
      <c r="AX173" s="40">
        <f t="shared" si="134"/>
        <v>-4.6657261761759754</v>
      </c>
      <c r="AY173">
        <f t="shared" si="135"/>
        <v>4.6657261761759754</v>
      </c>
      <c r="AZ173">
        <f t="shared" si="136"/>
        <v>6.1261056745000859</v>
      </c>
      <c r="BA173">
        <f t="shared" si="137"/>
        <v>-1.5241335225861821</v>
      </c>
      <c r="BB173">
        <f t="shared" si="138"/>
        <v>1.367053889906682</v>
      </c>
      <c r="BC173">
        <f t="shared" si="139"/>
        <v>-4.6657261761759754</v>
      </c>
      <c r="BD173">
        <f t="shared" si="140"/>
        <v>4.6657261761759754</v>
      </c>
      <c r="BE173" s="40">
        <f t="shared" si="141"/>
        <v>-6.8260016312450036</v>
      </c>
      <c r="BF173" s="40">
        <f t="shared" si="142"/>
        <v>-1.5241335225861823</v>
      </c>
      <c r="BG173">
        <f t="shared" si="143"/>
        <v>-1.5241335225861823</v>
      </c>
    </row>
    <row r="174" spans="45:59" x14ac:dyDescent="0.25">
      <c r="AS174">
        <v>-0.13962634015955674</v>
      </c>
      <c r="AT174">
        <v>7.0467663841838135</v>
      </c>
      <c r="AU174">
        <v>-139.67618490944815</v>
      </c>
      <c r="AV174">
        <f t="shared" si="132"/>
        <v>-1.5203883288560791</v>
      </c>
      <c r="AW174">
        <f t="shared" si="133"/>
        <v>1.3807619886965223</v>
      </c>
      <c r="AX174" s="40">
        <f t="shared" si="134"/>
        <v>-4.661980982445872</v>
      </c>
      <c r="AY174">
        <f t="shared" si="135"/>
        <v>4.661980982445872</v>
      </c>
      <c r="AZ174">
        <f t="shared" si="136"/>
        <v>6.1435589670200299</v>
      </c>
      <c r="BA174">
        <f t="shared" si="137"/>
        <v>-1.5203883288560791</v>
      </c>
      <c r="BB174">
        <f t="shared" si="138"/>
        <v>1.3807619886965223</v>
      </c>
      <c r="BC174">
        <f t="shared" si="139"/>
        <v>-4.661980982445872</v>
      </c>
      <c r="BD174">
        <f t="shared" si="140"/>
        <v>4.661980982445872</v>
      </c>
      <c r="BE174" s="40">
        <f t="shared" si="141"/>
        <v>-6.829746824975107</v>
      </c>
      <c r="BF174" s="40">
        <f t="shared" si="142"/>
        <v>-1.5203883288560789</v>
      </c>
      <c r="BG174">
        <f t="shared" si="143"/>
        <v>-1.5203883288560789</v>
      </c>
    </row>
    <row r="175" spans="45:59" x14ac:dyDescent="0.25">
      <c r="AS175">
        <v>-0.12217304763961345</v>
      </c>
      <c r="AT175">
        <v>7.2309350963823373</v>
      </c>
      <c r="AU175">
        <v>-134.80104213534531</v>
      </c>
      <c r="AV175">
        <f t="shared" si="132"/>
        <v>-1.5172061507451053</v>
      </c>
      <c r="AW175">
        <f t="shared" si="133"/>
        <v>1.3950331031054919</v>
      </c>
      <c r="AX175" s="40">
        <f t="shared" si="134"/>
        <v>-4.6587988043348982</v>
      </c>
      <c r="AY175">
        <f t="shared" si="135"/>
        <v>4.6587988043348982</v>
      </c>
      <c r="AZ175">
        <f t="shared" si="136"/>
        <v>6.161012259539973</v>
      </c>
      <c r="BA175">
        <f t="shared" si="137"/>
        <v>-1.5172061507451053</v>
      </c>
      <c r="BB175">
        <f t="shared" si="138"/>
        <v>1.3950331031054919</v>
      </c>
      <c r="BC175">
        <f t="shared" si="139"/>
        <v>-4.6587988043348982</v>
      </c>
      <c r="BD175">
        <f t="shared" si="140"/>
        <v>4.6587988043348982</v>
      </c>
      <c r="BE175" s="40">
        <f t="shared" si="141"/>
        <v>-6.8329290030860808</v>
      </c>
      <c r="BF175" s="40">
        <f t="shared" si="142"/>
        <v>-1.5172061507451051</v>
      </c>
      <c r="BG175">
        <f t="shared" si="143"/>
        <v>-1.5172061507451051</v>
      </c>
    </row>
    <row r="176" spans="45:59" x14ac:dyDescent="0.25">
      <c r="AS176">
        <v>-0.10471975511967016</v>
      </c>
      <c r="AT176">
        <v>7.492072272964629</v>
      </c>
      <c r="AU176">
        <v>-126.39223752053789</v>
      </c>
      <c r="AV176">
        <f t="shared" si="132"/>
        <v>-1.5115892430391205</v>
      </c>
      <c r="AW176">
        <f t="shared" si="133"/>
        <v>1.4068694879194503</v>
      </c>
      <c r="AX176" s="40">
        <f t="shared" si="134"/>
        <v>-4.6531818966289133</v>
      </c>
      <c r="AY176">
        <f t="shared" si="135"/>
        <v>4.6531818966289133</v>
      </c>
      <c r="AZ176">
        <f t="shared" si="136"/>
        <v>6.1784655520599161</v>
      </c>
      <c r="BA176">
        <f t="shared" si="137"/>
        <v>-1.5115892430391205</v>
      </c>
      <c r="BB176">
        <f t="shared" si="138"/>
        <v>1.4068694879194503</v>
      </c>
      <c r="BC176">
        <f t="shared" si="139"/>
        <v>-4.6531818966289133</v>
      </c>
      <c r="BD176">
        <f t="shared" si="140"/>
        <v>4.6531818966289133</v>
      </c>
      <c r="BE176" s="40">
        <f t="shared" si="141"/>
        <v>-6.8385459107920656</v>
      </c>
      <c r="BF176" s="40">
        <f t="shared" si="142"/>
        <v>-1.5115892430391202</v>
      </c>
      <c r="BG176">
        <f t="shared" si="143"/>
        <v>-1.5115892430391202</v>
      </c>
    </row>
    <row r="177" spans="45:59" x14ac:dyDescent="0.25">
      <c r="AS177">
        <v>-8.7266462599726868E-2</v>
      </c>
      <c r="AT177">
        <v>7.8343125447008539</v>
      </c>
      <c r="AU177">
        <v>-116.87933450150331</v>
      </c>
      <c r="AV177">
        <f t="shared" si="132"/>
        <v>-1.5038673766116426</v>
      </c>
      <c r="AW177">
        <f t="shared" si="133"/>
        <v>1.4166009140119158</v>
      </c>
      <c r="AX177" s="40">
        <f t="shared" si="134"/>
        <v>-4.6454600302014359</v>
      </c>
      <c r="AY177">
        <f t="shared" si="135"/>
        <v>4.6454600302014359</v>
      </c>
      <c r="AZ177">
        <f t="shared" si="136"/>
        <v>6.1959188445798592</v>
      </c>
      <c r="BA177">
        <f t="shared" si="137"/>
        <v>-1.5038673766116426</v>
      </c>
      <c r="BB177">
        <f t="shared" si="138"/>
        <v>1.4166009140119158</v>
      </c>
      <c r="BC177">
        <f t="shared" si="139"/>
        <v>-4.6454600302014359</v>
      </c>
      <c r="BD177">
        <f t="shared" si="140"/>
        <v>4.6454600302014359</v>
      </c>
      <c r="BE177" s="40">
        <f t="shared" si="141"/>
        <v>-6.846267777219543</v>
      </c>
      <c r="BF177" s="40">
        <f t="shared" si="142"/>
        <v>-1.5038673766116428</v>
      </c>
      <c r="BG177">
        <f t="shared" si="143"/>
        <v>-1.5038673766116428</v>
      </c>
    </row>
    <row r="178" spans="45:59" x14ac:dyDescent="0.25">
      <c r="AS178">
        <v>-6.9813170079783576E-2</v>
      </c>
      <c r="AT178">
        <v>8.3265655596738188</v>
      </c>
      <c r="AU178">
        <v>-105.4746351133351</v>
      </c>
      <c r="AV178">
        <f t="shared" si="132"/>
        <v>-1.4920159398240569</v>
      </c>
      <c r="AW178">
        <f t="shared" si="133"/>
        <v>1.4222027697442734</v>
      </c>
      <c r="AX178" s="40">
        <f t="shared" si="134"/>
        <v>-4.6336085934138502</v>
      </c>
      <c r="AY178">
        <f t="shared" si="135"/>
        <v>4.6336085934138502</v>
      </c>
      <c r="AZ178">
        <f t="shared" si="136"/>
        <v>6.2133721370998023</v>
      </c>
      <c r="BA178">
        <f t="shared" si="137"/>
        <v>-1.4920159398240569</v>
      </c>
      <c r="BB178">
        <f t="shared" si="138"/>
        <v>1.4222027697442734</v>
      </c>
      <c r="BC178">
        <f t="shared" si="139"/>
        <v>-4.6336085934138502</v>
      </c>
      <c r="BD178">
        <f t="shared" si="140"/>
        <v>4.6336085934138502</v>
      </c>
      <c r="BE178" s="40">
        <f t="shared" si="141"/>
        <v>-6.8581192140071288</v>
      </c>
      <c r="BF178" s="40">
        <f t="shared" si="142"/>
        <v>-1.4920159398240571</v>
      </c>
      <c r="BG178">
        <f t="shared" si="143"/>
        <v>-1.4920159398240571</v>
      </c>
    </row>
    <row r="179" spans="45:59" x14ac:dyDescent="0.25">
      <c r="AS179">
        <v>-5.2359877559840284E-2</v>
      </c>
      <c r="AT179">
        <v>9.1220117902946356</v>
      </c>
      <c r="AU179">
        <v>-90.154221438203663</v>
      </c>
      <c r="AV179">
        <f t="shared" si="132"/>
        <v>-1.4699572143829889</v>
      </c>
      <c r="AW179">
        <f t="shared" si="133"/>
        <v>1.4175973368231487</v>
      </c>
      <c r="AX179" s="40">
        <f t="shared" si="134"/>
        <v>-4.6115498679727818</v>
      </c>
      <c r="AY179">
        <f t="shared" si="135"/>
        <v>4.6115498679727818</v>
      </c>
      <c r="AZ179">
        <f t="shared" si="136"/>
        <v>6.2308254296197463</v>
      </c>
      <c r="BA179">
        <f t="shared" si="137"/>
        <v>-1.4699572143829889</v>
      </c>
      <c r="BB179">
        <f t="shared" si="138"/>
        <v>1.4175973368231487</v>
      </c>
      <c r="BC179">
        <f t="shared" si="139"/>
        <v>-4.6115498679727818</v>
      </c>
      <c r="BD179">
        <f t="shared" si="140"/>
        <v>4.6115498679727818</v>
      </c>
      <c r="BE179" s="40">
        <f t="shared" si="141"/>
        <v>-6.8801779394481972</v>
      </c>
      <c r="BF179" s="40">
        <f t="shared" si="142"/>
        <v>-1.4699572143829887</v>
      </c>
      <c r="BG179">
        <f t="shared" si="143"/>
        <v>-1.4699572143829887</v>
      </c>
    </row>
    <row r="180" spans="45:59" x14ac:dyDescent="0.25">
      <c r="AS180">
        <v>-3.4906585039896992E-2</v>
      </c>
      <c r="AT180">
        <v>10.478045003172964</v>
      </c>
      <c r="AU180">
        <v>-65.929879594238201</v>
      </c>
      <c r="AV180">
        <f t="shared" si="132"/>
        <v>-1.413187352250427</v>
      </c>
      <c r="AW180">
        <f t="shared" si="133"/>
        <v>1.3782807672105299</v>
      </c>
      <c r="AX180" s="40">
        <f t="shared" si="134"/>
        <v>-4.5547800058402199</v>
      </c>
      <c r="AY180">
        <f t="shared" si="135"/>
        <v>4.5547800058402199</v>
      </c>
      <c r="AZ180">
        <f t="shared" si="136"/>
        <v>6.2482787221396894</v>
      </c>
      <c r="BA180">
        <f t="shared" si="137"/>
        <v>-1.413187352250427</v>
      </c>
      <c r="BB180">
        <f t="shared" si="138"/>
        <v>1.3782807672105299</v>
      </c>
      <c r="BC180">
        <f t="shared" si="139"/>
        <v>-4.5547800058402199</v>
      </c>
      <c r="BD180">
        <f t="shared" si="140"/>
        <v>4.5547800058402199</v>
      </c>
      <c r="BE180" s="40">
        <f t="shared" si="141"/>
        <v>-6.9369478015807591</v>
      </c>
      <c r="BF180" s="40">
        <f t="shared" si="142"/>
        <v>-1.4131873522504268</v>
      </c>
      <c r="BG180">
        <f t="shared" si="143"/>
        <v>-1.4131873522504268</v>
      </c>
    </row>
    <row r="181" spans="45:59" x14ac:dyDescent="0.25">
      <c r="AS181">
        <v>-1.7453292519953697E-2</v>
      </c>
      <c r="AT181">
        <v>11.599413382697955</v>
      </c>
      <c r="AU181">
        <v>-36.972625881570053</v>
      </c>
      <c r="AV181">
        <f t="shared" si="132"/>
        <v>-1.2667914919189431</v>
      </c>
      <c r="AW181">
        <f t="shared" si="133"/>
        <v>1.2493381993989894</v>
      </c>
      <c r="AX181" s="40">
        <f t="shared" si="134"/>
        <v>-4.4083841455087365</v>
      </c>
      <c r="AY181">
        <f t="shared" si="135"/>
        <v>4.4083841455087365</v>
      </c>
      <c r="AZ181">
        <f t="shared" si="136"/>
        <v>6.2657320146596325</v>
      </c>
      <c r="BA181">
        <f t="shared" si="137"/>
        <v>-1.2667914919189431</v>
      </c>
      <c r="BB181">
        <f t="shared" si="138"/>
        <v>1.2493381993989894</v>
      </c>
      <c r="BC181">
        <f t="shared" si="139"/>
        <v>-4.4083841455087365</v>
      </c>
      <c r="BD181">
        <f t="shared" si="140"/>
        <v>4.4083841455087365</v>
      </c>
      <c r="BE181" s="40">
        <f t="shared" si="141"/>
        <v>-7.0833436619122425</v>
      </c>
      <c r="BF181" s="40">
        <f t="shared" si="142"/>
        <v>-1.2667914919189434</v>
      </c>
      <c r="BG181">
        <f t="shared" si="143"/>
        <v>-1.2667914919189434</v>
      </c>
    </row>
    <row r="182" spans="45:59" x14ac:dyDescent="0.25">
      <c r="AS182">
        <v>-1.0401401961956935E-14</v>
      </c>
      <c r="AT182">
        <v>12.599109831981849</v>
      </c>
      <c r="AU182">
        <v>1.9759214584041153E-9</v>
      </c>
      <c r="AV182">
        <f t="shared" si="132"/>
        <v>1.5683024314847975E-10</v>
      </c>
      <c r="AW182">
        <f t="shared" si="133"/>
        <v>1.5684064455044171E-10</v>
      </c>
      <c r="AX182" s="40">
        <f t="shared" si="134"/>
        <v>-3.141592653432963</v>
      </c>
      <c r="AY182">
        <f t="shared" si="135"/>
        <v>3.141592653432963</v>
      </c>
      <c r="AZ182">
        <f t="shared" si="136"/>
        <v>6.2831853071795756</v>
      </c>
      <c r="BA182">
        <f t="shared" si="137"/>
        <v>1.5683024314847975E-10</v>
      </c>
      <c r="BB182">
        <f t="shared" si="138"/>
        <v>1.5684064455044171E-10</v>
      </c>
      <c r="BC182">
        <f t="shared" si="139"/>
        <v>-3.141592653432963</v>
      </c>
      <c r="BD182">
        <f t="shared" si="140"/>
        <v>3.141592653432963</v>
      </c>
      <c r="BE182" s="40">
        <f t="shared" si="141"/>
        <v>-8.3501351539880169</v>
      </c>
      <c r="BF182" s="40">
        <f t="shared" si="142"/>
        <v>1.5683010445854961E-10</v>
      </c>
      <c r="BG182">
        <f t="shared" si="143"/>
        <v>1.5683010445854961E-10</v>
      </c>
    </row>
    <row r="183" spans="45:59" x14ac:dyDescent="0.25">
      <c r="AS183">
        <v>1.7453292519932894E-2</v>
      </c>
      <c r="AT183">
        <v>11.599413380923865</v>
      </c>
      <c r="AU183">
        <v>36.972625897392568</v>
      </c>
      <c r="AV183">
        <f t="shared" si="132"/>
        <v>1.266791492084858</v>
      </c>
      <c r="AW183">
        <f t="shared" si="133"/>
        <v>1.2493381995649251</v>
      </c>
      <c r="AX183" s="40">
        <f t="shared" si="134"/>
        <v>-1.8748011615049351</v>
      </c>
      <c r="AY183">
        <f t="shared" si="135"/>
        <v>1.8748011615049351</v>
      </c>
      <c r="BF183" s="40">
        <f t="shared" si="142"/>
        <v>1.266791492084858</v>
      </c>
    </row>
    <row r="184" spans="45:59" x14ac:dyDescent="0.25">
      <c r="AS184">
        <v>3.490658503987619E-2</v>
      </c>
      <c r="AT184">
        <v>10.478045006312716</v>
      </c>
      <c r="AU184">
        <v>65.929879593877359</v>
      </c>
      <c r="AV184">
        <f t="shared" si="132"/>
        <v>1.4131873522031293</v>
      </c>
      <c r="AW184">
        <f t="shared" si="133"/>
        <v>1.3782807671632531</v>
      </c>
      <c r="AX184" s="40">
        <f t="shared" si="134"/>
        <v>-1.7284053013866638</v>
      </c>
      <c r="AY184">
        <f t="shared" si="135"/>
        <v>1.7284053013866638</v>
      </c>
      <c r="BF184" s="40">
        <f t="shared" si="142"/>
        <v>1.4131873522031293</v>
      </c>
    </row>
    <row r="185" spans="45:59" x14ac:dyDescent="0.25">
      <c r="AS185">
        <v>5.2359877559819482E-2</v>
      </c>
      <c r="AT185">
        <v>9.1220117795605091</v>
      </c>
      <c r="AU185">
        <v>90.154221434970239</v>
      </c>
      <c r="AV185">
        <f t="shared" si="132"/>
        <v>1.4699572144972541</v>
      </c>
      <c r="AW185">
        <f t="shared" si="133"/>
        <v>1.4175973369374346</v>
      </c>
      <c r="AX185" s="40">
        <f t="shared" si="134"/>
        <v>-1.671635439092539</v>
      </c>
      <c r="AY185">
        <f t="shared" si="135"/>
        <v>1.671635439092539</v>
      </c>
      <c r="BF185" s="40">
        <f t="shared" si="142"/>
        <v>1.4699572144972541</v>
      </c>
    </row>
    <row r="186" spans="45:59" x14ac:dyDescent="0.25">
      <c r="AS186">
        <v>6.9813170079762774E-2</v>
      </c>
      <c r="AT186">
        <v>8.3265655640470317</v>
      </c>
      <c r="AU186">
        <v>105.4746351036198</v>
      </c>
      <c r="AV186">
        <f t="shared" si="132"/>
        <v>1.492015939775625</v>
      </c>
      <c r="AW186">
        <f t="shared" si="133"/>
        <v>1.4222027696958621</v>
      </c>
      <c r="AX186" s="40">
        <f t="shared" si="134"/>
        <v>-1.6495767138141681</v>
      </c>
      <c r="AY186">
        <f t="shared" si="135"/>
        <v>1.6495767138141681</v>
      </c>
      <c r="BF186" s="40">
        <f t="shared" si="142"/>
        <v>1.492015939775625</v>
      </c>
    </row>
    <row r="187" spans="45:59" x14ac:dyDescent="0.25">
      <c r="AS187">
        <v>8.7266462599706066E-2</v>
      </c>
      <c r="AT187">
        <v>7.8343125413767902</v>
      </c>
      <c r="AU187">
        <v>116.87933448544246</v>
      </c>
      <c r="AV187">
        <f t="shared" si="132"/>
        <v>1.503867376630786</v>
      </c>
      <c r="AW187">
        <f t="shared" si="133"/>
        <v>1.4166009140310798</v>
      </c>
      <c r="AX187" s="40">
        <f t="shared" si="134"/>
        <v>-1.6377252769590072</v>
      </c>
      <c r="AY187">
        <f t="shared" si="135"/>
        <v>1.6377252769590072</v>
      </c>
      <c r="BF187" s="40">
        <f t="shared" si="142"/>
        <v>1.503867376630786</v>
      </c>
    </row>
    <row r="188" spans="45:59" x14ac:dyDescent="0.25">
      <c r="AS188">
        <v>0.10471975511964936</v>
      </c>
      <c r="AT188">
        <v>7.4920722657674297</v>
      </c>
      <c r="AU188">
        <v>126.39223751830534</v>
      </c>
      <c r="AV188">
        <f t="shared" si="132"/>
        <v>1.5115892430948212</v>
      </c>
      <c r="AW188">
        <f t="shared" si="133"/>
        <v>1.406869487975172</v>
      </c>
      <c r="AX188" s="40">
        <f t="shared" si="134"/>
        <v>-1.6300034104949719</v>
      </c>
      <c r="AY188">
        <f t="shared" si="135"/>
        <v>1.6300034104949719</v>
      </c>
      <c r="BF188" s="40">
        <f t="shared" si="142"/>
        <v>1.5115892430948212</v>
      </c>
    </row>
    <row r="189" spans="45:59" x14ac:dyDescent="0.25">
      <c r="AS189">
        <v>0.12217304763959265</v>
      </c>
      <c r="AT189">
        <v>7.2309350942380499</v>
      </c>
      <c r="AU189">
        <v>134.80104212557592</v>
      </c>
      <c r="AV189">
        <f t="shared" si="132"/>
        <v>1.5172061507570904</v>
      </c>
      <c r="AW189">
        <f t="shared" si="133"/>
        <v>1.3950331031174978</v>
      </c>
      <c r="AX189" s="40">
        <f t="shared" si="134"/>
        <v>-1.6243865028327027</v>
      </c>
      <c r="AY189">
        <f t="shared" si="135"/>
        <v>1.6243865028327027</v>
      </c>
      <c r="BF189" s="40">
        <f t="shared" si="142"/>
        <v>1.5172061507570904</v>
      </c>
    </row>
    <row r="190" spans="45:59" x14ac:dyDescent="0.25">
      <c r="AS190">
        <v>0.13962634015953596</v>
      </c>
      <c r="AT190">
        <v>7.0467663855604723</v>
      </c>
      <c r="AU190">
        <v>139.67618490853403</v>
      </c>
      <c r="AV190">
        <f t="shared" si="132"/>
        <v>1.5203883288459186</v>
      </c>
      <c r="AW190">
        <f t="shared" si="133"/>
        <v>1.3807619886863827</v>
      </c>
      <c r="AX190" s="40">
        <f t="shared" si="134"/>
        <v>-1.6212043247438745</v>
      </c>
      <c r="AY190">
        <f t="shared" si="135"/>
        <v>1.6212043247438745</v>
      </c>
      <c r="BF190" s="40">
        <f t="shared" si="142"/>
        <v>1.5203883288459186</v>
      </c>
    </row>
    <row r="191" spans="45:59" x14ac:dyDescent="0.25">
      <c r="AS191">
        <v>0.15707963267947925</v>
      </c>
      <c r="AT191">
        <v>6.8495339049201931</v>
      </c>
      <c r="AU191">
        <v>146.68132074897318</v>
      </c>
      <c r="AV191">
        <f t="shared" si="132"/>
        <v>1.5241335225812305</v>
      </c>
      <c r="AW191">
        <f t="shared" si="133"/>
        <v>1.3670538899017513</v>
      </c>
      <c r="AX191" s="40">
        <f t="shared" si="134"/>
        <v>-1.6174591310085626</v>
      </c>
      <c r="AY191">
        <f t="shared" si="135"/>
        <v>1.6174591310085626</v>
      </c>
      <c r="BF191" s="40">
        <f t="shared" si="142"/>
        <v>1.5241335225812305</v>
      </c>
    </row>
    <row r="192" spans="45:59" x14ac:dyDescent="0.25">
      <c r="AS192">
        <v>0.17453292519942254</v>
      </c>
      <c r="AT192">
        <v>6.6515280714886496</v>
      </c>
      <c r="AU192">
        <v>152.23916914963178</v>
      </c>
      <c r="AV192">
        <f t="shared" si="132"/>
        <v>1.5271327905615861</v>
      </c>
      <c r="AW192">
        <f t="shared" si="133"/>
        <v>1.3525998653621636</v>
      </c>
      <c r="AX192" s="40">
        <f t="shared" si="134"/>
        <v>-1.614459863028207</v>
      </c>
      <c r="AY192">
        <f t="shared" si="135"/>
        <v>1.614459863028207</v>
      </c>
      <c r="BF192" s="40">
        <f t="shared" si="142"/>
        <v>1.5271327905615861</v>
      </c>
    </row>
    <row r="193" spans="45:58" x14ac:dyDescent="0.25">
      <c r="AS193">
        <v>0.19198621771936583</v>
      </c>
      <c r="AT193">
        <v>6.4662701220876402</v>
      </c>
      <c r="AU193">
        <v>157.45934548462978</v>
      </c>
      <c r="AV193">
        <f t="shared" si="132"/>
        <v>1.5297531052289275</v>
      </c>
      <c r="AW193">
        <f t="shared" si="133"/>
        <v>1.3377668875095616</v>
      </c>
      <c r="AX193" s="40">
        <f t="shared" si="134"/>
        <v>-1.6118395483608656</v>
      </c>
      <c r="AY193">
        <f t="shared" si="135"/>
        <v>1.6118395483608656</v>
      </c>
      <c r="BF193" s="40">
        <f t="shared" si="142"/>
        <v>1.5297531052289275</v>
      </c>
    </row>
    <row r="194" spans="45:58" x14ac:dyDescent="0.25">
      <c r="AS194">
        <v>0.20943951023930912</v>
      </c>
      <c r="AT194">
        <v>6.2883287331014284</v>
      </c>
      <c r="AU194">
        <v>162.40907862184147</v>
      </c>
      <c r="AV194">
        <f t="shared" si="132"/>
        <v>1.5320965866525587</v>
      </c>
      <c r="AW194">
        <f t="shared" si="133"/>
        <v>1.3226570764132495</v>
      </c>
      <c r="AX194" s="40">
        <f t="shared" si="134"/>
        <v>-1.6094960669372345</v>
      </c>
      <c r="AY194">
        <f t="shared" si="135"/>
        <v>1.6094960669372345</v>
      </c>
      <c r="BF194" s="40">
        <f t="shared" si="142"/>
        <v>1.5320965866525587</v>
      </c>
    </row>
    <row r="195" spans="45:58" x14ac:dyDescent="0.25">
      <c r="AS195">
        <v>0.22689280275925242</v>
      </c>
      <c r="AT195">
        <v>6.1138682438764365</v>
      </c>
      <c r="AU195">
        <v>167.13693281377243</v>
      </c>
      <c r="AV195">
        <f t="shared" ref="AV195:AV258" si="144">ATAN2(AT195,AU195)</f>
        <v>1.5342326340953685</v>
      </c>
      <c r="AW195">
        <f t="shared" ref="AW195:AW258" si="145">ABS(AS195-AV195)</f>
        <v>1.307339831336116</v>
      </c>
      <c r="AX195" s="40">
        <f t="shared" ref="AX195:AX258" si="146">AV195-$U$13</f>
        <v>-1.6073600194944246</v>
      </c>
      <c r="AY195">
        <f t="shared" ref="AY195:AY258" si="147">ABS(AX195)</f>
        <v>1.6073600194944246</v>
      </c>
      <c r="BF195" s="40">
        <f t="shared" ref="BF195:BF258" si="148">AX195+$BJ$4</f>
        <v>1.5342326340953685</v>
      </c>
    </row>
    <row r="196" spans="45:58" x14ac:dyDescent="0.25">
      <c r="AS196">
        <v>0.24434609527919571</v>
      </c>
      <c r="AT196">
        <v>5.9400880730005321</v>
      </c>
      <c r="AU196">
        <v>171.67940753755147</v>
      </c>
      <c r="AV196">
        <f t="shared" si="144"/>
        <v>1.5362102371589461</v>
      </c>
      <c r="AW196">
        <f t="shared" si="145"/>
        <v>1.2918641418797505</v>
      </c>
      <c r="AX196" s="40">
        <f t="shared" si="146"/>
        <v>-1.605382416430847</v>
      </c>
      <c r="AY196">
        <f t="shared" si="147"/>
        <v>1.605382416430847</v>
      </c>
      <c r="BF196" s="40">
        <f t="shared" si="148"/>
        <v>1.5362102371589461</v>
      </c>
    </row>
    <row r="197" spans="45:58" x14ac:dyDescent="0.25">
      <c r="AS197">
        <v>0.26179938779913903</v>
      </c>
      <c r="AT197">
        <v>5.7648791885795676</v>
      </c>
      <c r="AU197">
        <v>176.0648560066569</v>
      </c>
      <c r="AV197">
        <f t="shared" si="144"/>
        <v>1.5380650908803788</v>
      </c>
      <c r="AW197">
        <f t="shared" si="145"/>
        <v>1.2762657030812399</v>
      </c>
      <c r="AX197" s="40">
        <f t="shared" si="146"/>
        <v>-1.6035275627094143</v>
      </c>
      <c r="AY197">
        <f t="shared" si="147"/>
        <v>1.6035275627094143</v>
      </c>
      <c r="BF197" s="40">
        <f t="shared" si="148"/>
        <v>1.5380650908803788</v>
      </c>
    </row>
    <row r="198" spans="45:58" x14ac:dyDescent="0.25">
      <c r="AS198">
        <v>0.27925268031908235</v>
      </c>
      <c r="AT198">
        <v>5.5866053152437027</v>
      </c>
      <c r="AU198">
        <v>180.3159249594936</v>
      </c>
      <c r="AV198">
        <f t="shared" si="144"/>
        <v>1.5398239165081449</v>
      </c>
      <c r="AW198">
        <f t="shared" si="145"/>
        <v>1.2605712361890626</v>
      </c>
      <c r="AX198" s="40">
        <f t="shared" si="146"/>
        <v>-1.6017687370816482</v>
      </c>
      <c r="AY198">
        <f t="shared" si="147"/>
        <v>1.6017687370816482</v>
      </c>
      <c r="BF198" s="40">
        <f t="shared" si="148"/>
        <v>1.5398239165081449</v>
      </c>
    </row>
    <row r="199" spans="45:58" x14ac:dyDescent="0.25">
      <c r="AS199">
        <v>0.29670597283902567</v>
      </c>
      <c r="AT199">
        <v>5.4039590271132418</v>
      </c>
      <c r="AU199">
        <v>184.45113739166567</v>
      </c>
      <c r="AV199">
        <f t="shared" si="144"/>
        <v>1.5415071950106942</v>
      </c>
      <c r="AW199">
        <f t="shared" si="145"/>
        <v>1.2448012221716684</v>
      </c>
      <c r="AX199" s="40">
        <f t="shared" si="146"/>
        <v>-1.6000854585790989</v>
      </c>
      <c r="AY199">
        <f t="shared" si="147"/>
        <v>1.6000854585790989</v>
      </c>
      <c r="BF199" s="40">
        <f t="shared" si="148"/>
        <v>1.5415071950106942</v>
      </c>
    </row>
    <row r="200" spans="45:58" x14ac:dyDescent="0.25">
      <c r="AS200">
        <v>0.31415926535896899</v>
      </c>
      <c r="AT200">
        <v>5.1912612371005107</v>
      </c>
      <c r="AU200">
        <v>187.59688038625887</v>
      </c>
      <c r="AV200">
        <f t="shared" si="144"/>
        <v>1.5431309586796405</v>
      </c>
      <c r="AW200">
        <f t="shared" si="145"/>
        <v>1.2289716933206716</v>
      </c>
      <c r="AX200" s="40">
        <f t="shared" si="146"/>
        <v>-1.5984616949101527</v>
      </c>
      <c r="AY200">
        <f t="shared" si="147"/>
        <v>1.5984616949101527</v>
      </c>
      <c r="BF200" s="40">
        <f t="shared" si="148"/>
        <v>1.5431309586796405</v>
      </c>
    </row>
    <row r="201" spans="45:58" x14ac:dyDescent="0.25">
      <c r="AS201">
        <v>0.33161255787891231</v>
      </c>
      <c r="AT201">
        <v>4.9299114342483108</v>
      </c>
      <c r="AU201">
        <v>188.92714309152078</v>
      </c>
      <c r="AV201">
        <f t="shared" si="144"/>
        <v>1.5447080005279021</v>
      </c>
      <c r="AW201">
        <f t="shared" si="145"/>
        <v>1.2130954426489899</v>
      </c>
      <c r="AX201" s="40">
        <f t="shared" si="146"/>
        <v>-1.596884653061891</v>
      </c>
      <c r="AY201">
        <f t="shared" si="147"/>
        <v>1.596884653061891</v>
      </c>
      <c r="BF201" s="40">
        <f t="shared" si="148"/>
        <v>1.5447080005279021</v>
      </c>
    </row>
    <row r="202" spans="45:58" x14ac:dyDescent="0.25">
      <c r="AS202">
        <v>0.34906585039885563</v>
      </c>
      <c r="AT202">
        <v>4.6699803997814708</v>
      </c>
      <c r="AU202">
        <v>190.20350373319019</v>
      </c>
      <c r="AV202">
        <f t="shared" si="144"/>
        <v>1.5462487120044253</v>
      </c>
      <c r="AW202">
        <f t="shared" si="145"/>
        <v>1.1971828616055697</v>
      </c>
      <c r="AX202" s="40">
        <f t="shared" si="146"/>
        <v>-1.5953439415853679</v>
      </c>
      <c r="AY202">
        <f t="shared" si="147"/>
        <v>1.5953439415853679</v>
      </c>
      <c r="BF202" s="40">
        <f t="shared" si="148"/>
        <v>1.5462487120044253</v>
      </c>
    </row>
    <row r="203" spans="45:58" x14ac:dyDescent="0.25">
      <c r="AS203">
        <v>0.36651914291879895</v>
      </c>
      <c r="AT203">
        <v>4.4103890434446411</v>
      </c>
      <c r="AU203">
        <v>191.43373720339767</v>
      </c>
      <c r="AV203">
        <f t="shared" si="144"/>
        <v>1.5477616776430758</v>
      </c>
      <c r="AW203">
        <f t="shared" si="145"/>
        <v>1.181242534724277</v>
      </c>
      <c r="AX203" s="40">
        <f t="shared" si="146"/>
        <v>-1.5938309759467173</v>
      </c>
      <c r="AY203">
        <f t="shared" si="147"/>
        <v>1.5938309759467173</v>
      </c>
      <c r="BF203" s="40">
        <f t="shared" si="148"/>
        <v>1.5477616776430758</v>
      </c>
    </row>
    <row r="204" spans="45:58" x14ac:dyDescent="0.25">
      <c r="AS204">
        <v>0.38397243543874227</v>
      </c>
      <c r="AT204">
        <v>4.1501975234221327</v>
      </c>
      <c r="AU204">
        <v>192.62430229796695</v>
      </c>
      <c r="AV204">
        <f t="shared" si="144"/>
        <v>1.5492541046365953</v>
      </c>
      <c r="AW204">
        <f t="shared" si="145"/>
        <v>1.1652816691978529</v>
      </c>
      <c r="AX204" s="40">
        <f t="shared" si="146"/>
        <v>-1.5923385489531978</v>
      </c>
      <c r="AY204">
        <f t="shared" si="147"/>
        <v>1.5923385489531978</v>
      </c>
      <c r="BF204" s="40">
        <f t="shared" si="148"/>
        <v>1.5492541046365953</v>
      </c>
    </row>
    <row r="205" spans="45:58" x14ac:dyDescent="0.25">
      <c r="AS205">
        <v>0.40142572795868559</v>
      </c>
      <c r="AT205">
        <v>3.8885725595497775</v>
      </c>
      <c r="AU205">
        <v>193.7806333123454</v>
      </c>
      <c r="AV205">
        <f t="shared" si="144"/>
        <v>1.5507321404544248</v>
      </c>
      <c r="AW205">
        <f t="shared" si="145"/>
        <v>1.1493064124957391</v>
      </c>
      <c r="AX205" s="40">
        <f t="shared" si="146"/>
        <v>-1.5908605131353684</v>
      </c>
      <c r="AY205">
        <f t="shared" si="147"/>
        <v>1.5908605131353684</v>
      </c>
      <c r="BF205" s="40">
        <f t="shared" si="148"/>
        <v>1.5507321404544248</v>
      </c>
    </row>
    <row r="206" spans="45:58" x14ac:dyDescent="0.25">
      <c r="AS206">
        <v>0.41887902047862891</v>
      </c>
      <c r="AT206">
        <v>3.6247623622312544</v>
      </c>
      <c r="AU206">
        <v>194.90735802898828</v>
      </c>
      <c r="AV206">
        <f t="shared" si="144"/>
        <v>1.5522011100897755</v>
      </c>
      <c r="AW206">
        <f t="shared" si="145"/>
        <v>1.1333220896111467</v>
      </c>
      <c r="AX206" s="40">
        <f t="shared" si="146"/>
        <v>-1.5893915435000177</v>
      </c>
      <c r="AY206">
        <f t="shared" si="147"/>
        <v>1.5893915435000177</v>
      </c>
      <c r="BF206" s="40">
        <f t="shared" si="148"/>
        <v>1.5522011100897755</v>
      </c>
    </row>
    <row r="207" spans="45:58" x14ac:dyDescent="0.25">
      <c r="AS207">
        <v>0.43633231299857222</v>
      </c>
      <c r="AT207">
        <v>3.358076706958224</v>
      </c>
      <c r="AU207">
        <v>196.00846226061051</v>
      </c>
      <c r="AV207">
        <f t="shared" si="144"/>
        <v>1.553665697961407</v>
      </c>
      <c r="AW207">
        <f t="shared" si="145"/>
        <v>1.1173333849628349</v>
      </c>
      <c r="AX207" s="40">
        <f t="shared" si="146"/>
        <v>-1.5879269556283861</v>
      </c>
      <c r="AY207">
        <f t="shared" si="147"/>
        <v>1.5879269556283861</v>
      </c>
      <c r="BF207" s="40">
        <f t="shared" si="148"/>
        <v>1.553665697961407</v>
      </c>
    </row>
    <row r="208" spans="45:58" x14ac:dyDescent="0.25">
      <c r="AS208">
        <v>0.45378560551851554</v>
      </c>
      <c r="AT208">
        <v>3.0878711973812072</v>
      </c>
      <c r="AU208">
        <v>197.08741657731665</v>
      </c>
      <c r="AV208">
        <f t="shared" si="144"/>
        <v>1.5551300877876053</v>
      </c>
      <c r="AW208">
        <f t="shared" si="145"/>
        <v>1.1013444822690897</v>
      </c>
      <c r="AX208" s="40">
        <f t="shared" si="146"/>
        <v>-1.5864625658021878</v>
      </c>
      <c r="AY208">
        <f t="shared" si="147"/>
        <v>1.5864625658021878</v>
      </c>
      <c r="BF208" s="40">
        <f t="shared" si="148"/>
        <v>1.5551300877876053</v>
      </c>
    </row>
    <row r="209" spans="45:58" x14ac:dyDescent="0.25">
      <c r="AS209">
        <v>0.47123889803845886</v>
      </c>
      <c r="AT209">
        <v>2.8135343754089548</v>
      </c>
      <c r="AU209">
        <v>198.14727464487987</v>
      </c>
      <c r="AV209">
        <f t="shared" si="144"/>
        <v>1.556598072908282</v>
      </c>
      <c r="AW209">
        <f t="shared" si="145"/>
        <v>1.085359174869823</v>
      </c>
      <c r="AX209" s="40">
        <f t="shared" si="146"/>
        <v>-1.5849945806815111</v>
      </c>
      <c r="AY209">
        <f t="shared" si="147"/>
        <v>1.5849945806815111</v>
      </c>
      <c r="BF209" s="40">
        <f t="shared" si="148"/>
        <v>1.556598072908282</v>
      </c>
    </row>
    <row r="210" spans="45:58" x14ac:dyDescent="0.25">
      <c r="AS210">
        <v>0.48869219055840218</v>
      </c>
      <c r="AT210">
        <v>2.5344770178121623</v>
      </c>
      <c r="AU210">
        <v>199.19075057608018</v>
      </c>
      <c r="AV210">
        <f t="shared" si="144"/>
        <v>1.5580731443722278</v>
      </c>
      <c r="AW210">
        <f t="shared" si="145"/>
        <v>1.0693809538138255</v>
      </c>
      <c r="AX210" s="40">
        <f t="shared" si="146"/>
        <v>-1.5835195092175653</v>
      </c>
      <c r="AY210">
        <f t="shared" si="147"/>
        <v>1.5835195092175653</v>
      </c>
      <c r="BF210" s="40">
        <f t="shared" si="148"/>
        <v>1.5580731443722278</v>
      </c>
    </row>
    <row r="211" spans="45:58" x14ac:dyDescent="0.25">
      <c r="AS211">
        <v>0.5061454830783455</v>
      </c>
      <c r="AT211">
        <v>2.2501231500829588</v>
      </c>
      <c r="AU211">
        <v>200.22028068289654</v>
      </c>
      <c r="AV211">
        <f t="shared" si="144"/>
        <v>1.5595585619645389</v>
      </c>
      <c r="AW211">
        <f t="shared" si="145"/>
        <v>1.0534130788861935</v>
      </c>
      <c r="AX211" s="40">
        <f t="shared" si="146"/>
        <v>-1.5820340916252542</v>
      </c>
      <c r="AY211">
        <f t="shared" si="147"/>
        <v>1.5820340916252542</v>
      </c>
      <c r="BF211" s="40">
        <f t="shared" si="148"/>
        <v>1.5595585619645389</v>
      </c>
    </row>
    <row r="212" spans="45:58" x14ac:dyDescent="0.25">
      <c r="AS212">
        <v>0.52359877559828882</v>
      </c>
      <c r="AT212">
        <v>1.9599021859780805</v>
      </c>
      <c r="AU212">
        <v>201.23807300317986</v>
      </c>
      <c r="AV212">
        <f t="shared" si="144"/>
        <v>1.5610574131137507</v>
      </c>
      <c r="AW212">
        <f t="shared" si="145"/>
        <v>1.0374586375154617</v>
      </c>
      <c r="AX212" s="40">
        <f t="shared" si="146"/>
        <v>-1.5805352404760424</v>
      </c>
      <c r="AY212">
        <f t="shared" si="147"/>
        <v>1.5805352404760424</v>
      </c>
      <c r="BF212" s="40">
        <f t="shared" si="148"/>
        <v>1.5610574131137507</v>
      </c>
    </row>
    <row r="213" spans="45:58" x14ac:dyDescent="0.25">
      <c r="AS213">
        <v>0.54105206811823214</v>
      </c>
      <c r="AT213">
        <v>1.6632421100603039</v>
      </c>
      <c r="AU213">
        <v>202.24614796512677</v>
      </c>
      <c r="AV213">
        <f t="shared" si="144"/>
        <v>1.562572661561509</v>
      </c>
      <c r="AW213">
        <f t="shared" si="145"/>
        <v>1.0215205934432769</v>
      </c>
      <c r="AX213" s="40">
        <f t="shared" si="146"/>
        <v>-1.5790199920282841</v>
      </c>
      <c r="AY213">
        <f t="shared" si="147"/>
        <v>1.5790199920282841</v>
      </c>
      <c r="BF213" s="40">
        <f t="shared" si="148"/>
        <v>1.562572661561509</v>
      </c>
    </row>
    <row r="214" spans="45:58" x14ac:dyDescent="0.25">
      <c r="AS214">
        <v>0.55850536063817546</v>
      </c>
      <c r="AT214">
        <v>1.3595631303832589</v>
      </c>
      <c r="AU214">
        <v>203.24637151464199</v>
      </c>
      <c r="AV214">
        <f t="shared" si="144"/>
        <v>1.5641071896530703</v>
      </c>
      <c r="AW214">
        <f t="shared" si="145"/>
        <v>1.0056018290148949</v>
      </c>
      <c r="AX214" s="40">
        <f t="shared" si="146"/>
        <v>-1.5774854639367228</v>
      </c>
      <c r="AY214">
        <f t="shared" si="147"/>
        <v>1.5774854639367228</v>
      </c>
      <c r="BF214" s="40">
        <f t="shared" si="148"/>
        <v>1.5641071896530703</v>
      </c>
    </row>
    <row r="215" spans="45:58" x14ac:dyDescent="0.25">
      <c r="AS215">
        <v>0.57595865315811878</v>
      </c>
      <c r="AT215">
        <v>1.0482718953452206</v>
      </c>
      <c r="AU215">
        <v>204.24048299538518</v>
      </c>
      <c r="AV215">
        <f t="shared" si="144"/>
        <v>1.5656638345716962</v>
      </c>
      <c r="AW215">
        <f t="shared" si="145"/>
        <v>0.98970518141357744</v>
      </c>
      <c r="AX215" s="40">
        <f t="shared" si="146"/>
        <v>-1.5759288190180969</v>
      </c>
      <c r="AY215">
        <f t="shared" si="147"/>
        <v>1.5759288190180969</v>
      </c>
      <c r="BF215" s="40">
        <f t="shared" si="148"/>
        <v>1.5656638345716962</v>
      </c>
    </row>
    <row r="216" spans="45:58" x14ac:dyDescent="0.25">
      <c r="AS216">
        <v>0.5934119456780621</v>
      </c>
      <c r="AT216">
        <v>0.72875594011990752</v>
      </c>
      <c r="AU216">
        <v>205.2301185921138</v>
      </c>
      <c r="AV216">
        <f t="shared" si="144"/>
        <v>1.5672454207087363</v>
      </c>
      <c r="AW216">
        <f t="shared" si="145"/>
        <v>0.97383347503067419</v>
      </c>
      <c r="AX216" s="40">
        <f t="shared" si="146"/>
        <v>-1.5743472328810568</v>
      </c>
      <c r="AY216">
        <f t="shared" si="147"/>
        <v>1.5743472328810568</v>
      </c>
      <c r="BF216" s="40">
        <f t="shared" si="148"/>
        <v>1.5672454207087363</v>
      </c>
    </row>
    <row r="217" spans="45:58" x14ac:dyDescent="0.25">
      <c r="AS217">
        <v>0.61086523819800542</v>
      </c>
      <c r="AT217">
        <v>0.40037819917397993</v>
      </c>
      <c r="AU217">
        <v>206.21683121782613</v>
      </c>
      <c r="AV217">
        <f t="shared" si="144"/>
        <v>1.5688547893669129</v>
      </c>
      <c r="AW217">
        <f t="shared" si="145"/>
        <v>0.95798955116890749</v>
      </c>
      <c r="AX217" s="40">
        <f t="shared" si="146"/>
        <v>-1.5727378642228802</v>
      </c>
      <c r="AY217">
        <f t="shared" si="147"/>
        <v>1.5727378642228802</v>
      </c>
      <c r="BF217" s="40">
        <f t="shared" si="148"/>
        <v>1.5688547893669129</v>
      </c>
    </row>
    <row r="218" spans="45:58" x14ac:dyDescent="0.25">
      <c r="AS218">
        <v>0.62831853071794874</v>
      </c>
      <c r="AT218">
        <v>6.2471625564086253E-2</v>
      </c>
      <c r="AU218">
        <v>207.20210798429278</v>
      </c>
      <c r="AV218">
        <f t="shared" si="144"/>
        <v>1.5704948258870204</v>
      </c>
      <c r="AW218">
        <f t="shared" si="145"/>
        <v>0.94217629516907164</v>
      </c>
      <c r="AX218" s="40">
        <f t="shared" si="146"/>
        <v>-1.5710978277027727</v>
      </c>
      <c r="AY218">
        <f t="shared" si="147"/>
        <v>1.5710978277027727</v>
      </c>
      <c r="BF218" s="40">
        <f t="shared" si="148"/>
        <v>1.5704948258870204</v>
      </c>
    </row>
    <row r="219" spans="45:58" x14ac:dyDescent="0.25">
      <c r="AS219">
        <v>0.64577182323789206</v>
      </c>
      <c r="AT219">
        <v>-0.2856664192555286</v>
      </c>
      <c r="AU219">
        <v>208.18738529472765</v>
      </c>
      <c r="AV219">
        <f t="shared" si="144"/>
        <v>1.5721684860136929</v>
      </c>
      <c r="AW219">
        <f t="shared" si="145"/>
        <v>0.92639666277580079</v>
      </c>
      <c r="AX219" s="40">
        <f t="shared" si="146"/>
        <v>-1.5694241675761003</v>
      </c>
      <c r="AY219">
        <f t="shared" si="147"/>
        <v>1.5694241675761003</v>
      </c>
      <c r="BF219" s="40">
        <f t="shared" si="148"/>
        <v>1.5721684860136929</v>
      </c>
    </row>
    <row r="220" spans="45:58" x14ac:dyDescent="0.25">
      <c r="AS220">
        <v>0.66322511575783538</v>
      </c>
      <c r="AT220">
        <v>-0.64477992863569966</v>
      </c>
      <c r="AU220">
        <v>209.17406248055266</v>
      </c>
      <c r="AV220">
        <f t="shared" si="144"/>
        <v>1.5738788212437977</v>
      </c>
      <c r="AW220">
        <f t="shared" si="145"/>
        <v>0.91065370548596236</v>
      </c>
      <c r="AX220" s="40">
        <f t="shared" si="146"/>
        <v>-1.5677138323459954</v>
      </c>
      <c r="AY220">
        <f t="shared" si="147"/>
        <v>1.5677138323459954</v>
      </c>
      <c r="BF220" s="40">
        <f t="shared" si="148"/>
        <v>1.5738788212437977</v>
      </c>
    </row>
    <row r="221" spans="45:58" x14ac:dyDescent="0.25">
      <c r="AS221">
        <v>0.6806784082777787</v>
      </c>
      <c r="AT221">
        <v>-1.0156604162533256</v>
      </c>
      <c r="AU221">
        <v>210.16351401371142</v>
      </c>
      <c r="AV221">
        <f t="shared" si="144"/>
        <v>1.5756290044086487</v>
      </c>
      <c r="AW221">
        <f t="shared" si="145"/>
        <v>0.89495059613087002</v>
      </c>
      <c r="AX221" s="40">
        <f t="shared" si="146"/>
        <v>-1.5659636491811444</v>
      </c>
      <c r="AY221">
        <f t="shared" si="147"/>
        <v>1.5659636491811444</v>
      </c>
      <c r="BF221" s="40">
        <f t="shared" si="148"/>
        <v>1.5756290044086487</v>
      </c>
    </row>
    <row r="222" spans="45:58" x14ac:dyDescent="0.25">
      <c r="AS222">
        <v>0.69813170079772202</v>
      </c>
      <c r="AT222">
        <v>-1.3991534493258371</v>
      </c>
      <c r="AU222">
        <v>211.15710097259776</v>
      </c>
      <c r="AV222">
        <f t="shared" si="144"/>
        <v>1.5774223553137512</v>
      </c>
      <c r="AW222">
        <f t="shared" si="145"/>
        <v>0.87929065451602917</v>
      </c>
      <c r="AX222" s="40">
        <f t="shared" si="146"/>
        <v>-1.5641702982760419</v>
      </c>
      <c r="AY222">
        <f t="shared" si="147"/>
        <v>1.5641702982760419</v>
      </c>
      <c r="BF222" s="40">
        <f t="shared" si="148"/>
        <v>1.5774223553137512</v>
      </c>
    </row>
    <row r="223" spans="45:58" x14ac:dyDescent="0.25">
      <c r="AS223">
        <v>0.71558499331766534</v>
      </c>
      <c r="AT223">
        <v>-1.7961658591005629</v>
      </c>
      <c r="AU223">
        <v>212.15618154590936</v>
      </c>
      <c r="AV223">
        <f t="shared" si="144"/>
        <v>1.5792623678647324</v>
      </c>
      <c r="AW223">
        <f t="shared" si="145"/>
        <v>0.86367737454706706</v>
      </c>
      <c r="AX223" s="40">
        <f t="shared" si="146"/>
        <v>-1.5623302857250607</v>
      </c>
      <c r="AY223">
        <f t="shared" si="147"/>
        <v>1.5623302857250607</v>
      </c>
      <c r="BF223" s="40">
        <f t="shared" si="148"/>
        <v>1.5792623678647324</v>
      </c>
    </row>
    <row r="224" spans="45:58" x14ac:dyDescent="0.25">
      <c r="AS224">
        <v>0.73303828583760866</v>
      </c>
      <c r="AT224">
        <v>-2.2076735294421095</v>
      </c>
      <c r="AU224">
        <v>213.16212137573848</v>
      </c>
      <c r="AV224">
        <f t="shared" si="144"/>
        <v>1.5811527380861445</v>
      </c>
      <c r="AW224">
        <f t="shared" si="145"/>
        <v>0.84811445224853588</v>
      </c>
      <c r="AX224" s="40">
        <f t="shared" si="146"/>
        <v>-1.5604399155036486</v>
      </c>
      <c r="AY224">
        <f t="shared" si="147"/>
        <v>1.5604399155036486</v>
      </c>
      <c r="BF224" s="40">
        <f t="shared" si="148"/>
        <v>1.5811527380861445</v>
      </c>
    </row>
    <row r="225" spans="45:58" x14ac:dyDescent="0.25">
      <c r="AS225">
        <v>0.75049157835755198</v>
      </c>
      <c r="AT225">
        <v>-2.6347300977976431</v>
      </c>
      <c r="AU225">
        <v>214.17630345979427</v>
      </c>
      <c r="AV225">
        <f t="shared" si="144"/>
        <v>1.5830973944732114</v>
      </c>
      <c r="AW225">
        <f t="shared" si="145"/>
        <v>0.83260581611565943</v>
      </c>
      <c r="AX225" s="40">
        <f t="shared" si="146"/>
        <v>-1.5584952591165817</v>
      </c>
      <c r="AY225">
        <f t="shared" si="147"/>
        <v>1.5584952591165817</v>
      </c>
      <c r="BF225" s="40">
        <f t="shared" si="148"/>
        <v>1.5830973944732114</v>
      </c>
    </row>
    <row r="226" spans="45:58" x14ac:dyDescent="0.25">
      <c r="AS226">
        <v>0.7679448708774953</v>
      </c>
      <c r="AT226">
        <v>-3.0784766529976366</v>
      </c>
      <c r="AU226">
        <v>215.20013798925712</v>
      </c>
      <c r="AV226">
        <f t="shared" si="144"/>
        <v>1.5851005308547352</v>
      </c>
      <c r="AW226">
        <f t="shared" si="145"/>
        <v>0.81715565997723993</v>
      </c>
      <c r="AX226" s="40">
        <f t="shared" si="146"/>
        <v>-1.5564921227350579</v>
      </c>
      <c r="AY226">
        <f t="shared" si="147"/>
        <v>1.5564921227350579</v>
      </c>
      <c r="BF226" s="40">
        <f t="shared" si="148"/>
        <v>1.5851005308547352</v>
      </c>
    </row>
    <row r="227" spans="45:58" x14ac:dyDescent="0.25">
      <c r="AS227">
        <v>0.78539816339743862</v>
      </c>
      <c r="AT227">
        <v>-3.540152537839873</v>
      </c>
      <c r="AU227">
        <v>216.23507249771447</v>
      </c>
      <c r="AV227">
        <f t="shared" si="144"/>
        <v>1.5871666419928716</v>
      </c>
      <c r="AW227">
        <f t="shared" si="145"/>
        <v>0.80176847859543299</v>
      </c>
      <c r="AX227" s="40">
        <f t="shared" si="146"/>
        <v>-1.5544260115969215</v>
      </c>
      <c r="AY227">
        <f t="shared" si="147"/>
        <v>1.5544260115969215</v>
      </c>
      <c r="BF227" s="40">
        <f t="shared" si="148"/>
        <v>1.5871666419928716</v>
      </c>
    </row>
    <row r="228" spans="45:58" x14ac:dyDescent="0.25">
      <c r="AS228">
        <v>0.80285145591738194</v>
      </c>
      <c r="AT228">
        <v>-4.0211076542386586</v>
      </c>
      <c r="AU228">
        <v>217.28260201758673</v>
      </c>
      <c r="AV228">
        <f t="shared" si="144"/>
        <v>1.5893005634660653</v>
      </c>
      <c r="AW228">
        <f t="shared" si="145"/>
        <v>0.78644910754868336</v>
      </c>
      <c r="AX228" s="40">
        <f t="shared" si="146"/>
        <v>-1.5522920901237278</v>
      </c>
      <c r="AY228">
        <f t="shared" si="147"/>
        <v>1.5522920901237278</v>
      </c>
      <c r="BF228" s="40">
        <f t="shared" si="148"/>
        <v>1.5893005634660653</v>
      </c>
    </row>
    <row r="229" spans="45:58" x14ac:dyDescent="0.25">
      <c r="AS229">
        <v>0.82030474843732526</v>
      </c>
      <c r="AT229">
        <v>-4.5228162890253198</v>
      </c>
      <c r="AU229">
        <v>218.34428002005745</v>
      </c>
      <c r="AV229">
        <f t="shared" si="144"/>
        <v>1.5915075154632565</v>
      </c>
      <c r="AW229">
        <f t="shared" si="145"/>
        <v>0.77120276702593127</v>
      </c>
      <c r="AX229" s="40">
        <f t="shared" si="146"/>
        <v>-1.5500851381265366</v>
      </c>
      <c r="AY229">
        <f t="shared" si="147"/>
        <v>1.5500851381265366</v>
      </c>
      <c r="BF229" s="40">
        <f t="shared" si="148"/>
        <v>1.5915075154632565</v>
      </c>
    </row>
    <row r="230" spans="45:58" x14ac:dyDescent="0.25">
      <c r="AS230">
        <v>0.83775804095726858</v>
      </c>
      <c r="AT230">
        <v>-4.9957467722640727</v>
      </c>
      <c r="AU230">
        <v>219.11722336082477</v>
      </c>
      <c r="AV230">
        <f t="shared" si="144"/>
        <v>1.5935918028700558</v>
      </c>
      <c r="AW230">
        <f t="shared" si="145"/>
        <v>0.75583376191278717</v>
      </c>
      <c r="AX230" s="40">
        <f t="shared" si="146"/>
        <v>-1.5480008507197374</v>
      </c>
      <c r="AY230">
        <f t="shared" si="147"/>
        <v>1.5480008507197374</v>
      </c>
      <c r="BF230" s="40">
        <f t="shared" si="148"/>
        <v>1.5935918028700558</v>
      </c>
    </row>
    <row r="231" spans="45:58" x14ac:dyDescent="0.25">
      <c r="AS231">
        <v>0.8552113334772119</v>
      </c>
      <c r="AT231">
        <v>-5.4110927823379029</v>
      </c>
      <c r="AU231">
        <v>219.46093845662554</v>
      </c>
      <c r="AV231">
        <f t="shared" si="144"/>
        <v>1.5954476232554324</v>
      </c>
      <c r="AW231">
        <f t="shared" si="145"/>
        <v>0.74023628977822054</v>
      </c>
      <c r="AX231" s="40">
        <f t="shared" si="146"/>
        <v>-1.5461450303343607</v>
      </c>
      <c r="AY231">
        <f t="shared" si="147"/>
        <v>1.5461450303343607</v>
      </c>
      <c r="BF231" s="40">
        <f t="shared" si="148"/>
        <v>1.5954476232554324</v>
      </c>
    </row>
    <row r="232" spans="45:58" x14ac:dyDescent="0.25">
      <c r="AS232">
        <v>0.87266462599715522</v>
      </c>
      <c r="AT232">
        <v>-5.8386219693853612</v>
      </c>
      <c r="AU232">
        <v>219.80125783805602</v>
      </c>
      <c r="AV232">
        <f t="shared" si="144"/>
        <v>1.5973532689995253</v>
      </c>
      <c r="AW232">
        <f t="shared" si="145"/>
        <v>0.72468864300237013</v>
      </c>
      <c r="AX232" s="40">
        <f t="shared" si="146"/>
        <v>-1.5442393845902678</v>
      </c>
      <c r="AY232">
        <f t="shared" si="147"/>
        <v>1.5442393845902678</v>
      </c>
      <c r="BF232" s="40">
        <f t="shared" si="148"/>
        <v>1.5973532689995253</v>
      </c>
    </row>
    <row r="233" spans="45:58" x14ac:dyDescent="0.25">
      <c r="AS233">
        <v>0.89011791851709854</v>
      </c>
      <c r="AT233">
        <v>-6.2793936762655784</v>
      </c>
      <c r="AU233">
        <v>220.13873570687468</v>
      </c>
      <c r="AV233">
        <f t="shared" si="144"/>
        <v>1.5993133044717058</v>
      </c>
      <c r="AW233">
        <f t="shared" si="145"/>
        <v>0.70919538595460729</v>
      </c>
      <c r="AX233" s="40">
        <f t="shared" si="146"/>
        <v>-1.5422793491180873</v>
      </c>
      <c r="AY233">
        <f t="shared" si="147"/>
        <v>1.5422793491180873</v>
      </c>
      <c r="BF233" s="40">
        <f t="shared" si="148"/>
        <v>1.5993133044717058</v>
      </c>
    </row>
    <row r="234" spans="45:58" x14ac:dyDescent="0.25">
      <c r="AS234">
        <v>0.90757121103704186</v>
      </c>
      <c r="AT234">
        <v>-6.7345637090935835</v>
      </c>
      <c r="AU234">
        <v>220.47391531975157</v>
      </c>
      <c r="AV234">
        <f t="shared" si="144"/>
        <v>1.6013326844025098</v>
      </c>
      <c r="AW234">
        <f t="shared" si="145"/>
        <v>0.6937614733654679</v>
      </c>
      <c r="AX234" s="40">
        <f t="shared" si="146"/>
        <v>-1.5402599691872834</v>
      </c>
      <c r="AY234">
        <f t="shared" si="147"/>
        <v>1.5402599691872834</v>
      </c>
      <c r="BF234" s="40">
        <f t="shared" si="148"/>
        <v>1.6013326844025098</v>
      </c>
    </row>
    <row r="235" spans="45:58" x14ac:dyDescent="0.25">
      <c r="AS235">
        <v>0.92502450355698518</v>
      </c>
      <c r="AT235">
        <v>-7.2053977619385643</v>
      </c>
      <c r="AU235">
        <v>220.80733293922179</v>
      </c>
      <c r="AV235">
        <f t="shared" si="144"/>
        <v>1.6034168097289652</v>
      </c>
      <c r="AW235">
        <f t="shared" si="145"/>
        <v>0.67839230617197999</v>
      </c>
      <c r="AX235" s="40">
        <f t="shared" si="146"/>
        <v>-1.538175843860828</v>
      </c>
      <c r="AY235">
        <f t="shared" si="147"/>
        <v>1.538175843860828</v>
      </c>
      <c r="BF235" s="40">
        <f t="shared" si="148"/>
        <v>1.6034168097289652</v>
      </c>
    </row>
    <row r="236" spans="45:58" x14ac:dyDescent="0.25">
      <c r="AS236">
        <v>0.9424777960769285</v>
      </c>
      <c r="AT236">
        <v>-7.6932868236573935</v>
      </c>
      <c r="AU236">
        <v>221.13952215211555</v>
      </c>
      <c r="AV236">
        <f t="shared" si="144"/>
        <v>1.6055715912346427</v>
      </c>
      <c r="AW236">
        <f t="shared" si="145"/>
        <v>0.66309379515771416</v>
      </c>
      <c r="AX236" s="40">
        <f t="shared" si="146"/>
        <v>-1.5360210623551505</v>
      </c>
      <c r="AY236">
        <f t="shared" si="147"/>
        <v>1.5360210623551505</v>
      </c>
      <c r="BF236" s="40">
        <f t="shared" si="148"/>
        <v>1.6055715912346427</v>
      </c>
    </row>
    <row r="237" spans="45:58" x14ac:dyDescent="0.25">
      <c r="AS237">
        <v>0.95993108859687182</v>
      </c>
      <c r="AT237">
        <v>-8.1997651886570004</v>
      </c>
      <c r="AU237">
        <v>221.47101796903939</v>
      </c>
      <c r="AV237">
        <f t="shared" si="144"/>
        <v>1.607803523673446</v>
      </c>
      <c r="AW237">
        <f t="shared" si="145"/>
        <v>0.64787243507657422</v>
      </c>
      <c r="AX237" s="40">
        <f t="shared" si="146"/>
        <v>-1.5337891299163471</v>
      </c>
      <c r="AY237">
        <f t="shared" si="147"/>
        <v>1.5337891299163471</v>
      </c>
      <c r="BF237" s="40">
        <f t="shared" si="148"/>
        <v>1.607803523673446</v>
      </c>
    </row>
    <row r="238" spans="45:58" x14ac:dyDescent="0.25">
      <c r="AS238">
        <v>0.97738438111681514</v>
      </c>
      <c r="AT238">
        <v>-8.7265314496062096</v>
      </c>
      <c r="AU238">
        <v>221.80236123083415</v>
      </c>
      <c r="AV238">
        <f t="shared" si="144"/>
        <v>1.6101197717542415</v>
      </c>
      <c r="AW238">
        <f t="shared" si="145"/>
        <v>0.63273539063742634</v>
      </c>
      <c r="AX238" s="40">
        <f t="shared" si="146"/>
        <v>-1.5314728818355516</v>
      </c>
      <c r="AY238">
        <f t="shared" si="147"/>
        <v>1.5314728818355516</v>
      </c>
      <c r="BF238" s="40">
        <f t="shared" si="148"/>
        <v>1.6101197717542415</v>
      </c>
    </row>
    <row r="239" spans="45:58" x14ac:dyDescent="0.25">
      <c r="AS239">
        <v>0.99483767363675846</v>
      </c>
      <c r="AT239">
        <v>-9.2754731838328155</v>
      </c>
      <c r="AU239">
        <v>222.13410315781101</v>
      </c>
      <c r="AV239">
        <f t="shared" si="144"/>
        <v>1.6125282708955739</v>
      </c>
      <c r="AW239">
        <f t="shared" si="145"/>
        <v>0.61769059725881548</v>
      </c>
      <c r="AX239" s="40">
        <f t="shared" si="146"/>
        <v>-1.5290643826942192</v>
      </c>
      <c r="AY239">
        <f t="shared" si="147"/>
        <v>1.5290643826942192</v>
      </c>
      <c r="BF239" s="40">
        <f t="shared" si="148"/>
        <v>1.6125282708955739</v>
      </c>
    </row>
    <row r="240" spans="45:58" x14ac:dyDescent="0.25">
      <c r="AS240">
        <v>1.0122909661567017</v>
      </c>
      <c r="AT240">
        <v>-9.8486960653247984</v>
      </c>
      <c r="AU240">
        <v>222.46681033950497</v>
      </c>
      <c r="AV240">
        <f t="shared" si="144"/>
        <v>1.6150378455847452</v>
      </c>
      <c r="AW240">
        <f t="shared" si="145"/>
        <v>0.6027468794280435</v>
      </c>
      <c r="AX240" s="40">
        <f t="shared" si="146"/>
        <v>-1.5265548080050479</v>
      </c>
      <c r="AY240">
        <f t="shared" si="147"/>
        <v>1.5265548080050479</v>
      </c>
      <c r="BF240" s="40">
        <f t="shared" si="148"/>
        <v>1.6150378455847452</v>
      </c>
    </row>
    <row r="241" spans="45:58" x14ac:dyDescent="0.25">
      <c r="AS241">
        <v>1.029744258676645</v>
      </c>
      <c r="AT241">
        <v>-10.448558442595219</v>
      </c>
      <c r="AU241">
        <v>222.80107011004367</v>
      </c>
      <c r="AV241">
        <f t="shared" si="144"/>
        <v>1.6176583495015062</v>
      </c>
      <c r="AW241">
        <f t="shared" si="145"/>
        <v>0.58791409082486124</v>
      </c>
      <c r="AX241" s="40">
        <f t="shared" si="146"/>
        <v>-1.5239343040882869</v>
      </c>
      <c r="AY241">
        <f t="shared" si="147"/>
        <v>1.5239343040882869</v>
      </c>
      <c r="BF241" s="40">
        <f t="shared" si="148"/>
        <v>1.6176583495015062</v>
      </c>
    </row>
    <row r="242" spans="45:58" x14ac:dyDescent="0.25">
      <c r="AS242">
        <v>1.0471975511965883</v>
      </c>
      <c r="AT242">
        <v>-11.077712607261276</v>
      </c>
      <c r="AU242">
        <v>223.13749652441905</v>
      </c>
      <c r="AV242">
        <f t="shared" si="144"/>
        <v>1.6204008321930707</v>
      </c>
      <c r="AW242">
        <f t="shared" si="145"/>
        <v>0.57320328099648243</v>
      </c>
      <c r="AX242" s="40">
        <f t="shared" si="146"/>
        <v>-1.5211918213967224</v>
      </c>
      <c r="AY242">
        <f t="shared" si="147"/>
        <v>1.5211918213967224</v>
      </c>
      <c r="BF242" s="40">
        <f t="shared" si="148"/>
        <v>1.6204008321930707</v>
      </c>
    </row>
    <row r="243" spans="45:58" x14ac:dyDescent="0.25">
      <c r="AS243">
        <v>1.0646508437165316</v>
      </c>
      <c r="AT243">
        <v>-11.739154321165568</v>
      </c>
      <c r="AU243">
        <v>223.47673716645289</v>
      </c>
      <c r="AV243">
        <f t="shared" si="144"/>
        <v>1.6232777384101942</v>
      </c>
      <c r="AW243">
        <f t="shared" si="145"/>
        <v>0.55862689469366256</v>
      </c>
      <c r="AX243" s="40">
        <f t="shared" si="146"/>
        <v>-1.5183149151795989</v>
      </c>
      <c r="AY243">
        <f t="shared" si="147"/>
        <v>1.5183149151795989</v>
      </c>
      <c r="BF243" s="40">
        <f t="shared" si="148"/>
        <v>1.6232777384101942</v>
      </c>
    </row>
    <row r="244" spans="45:58" x14ac:dyDescent="0.25">
      <c r="AS244">
        <v>1.0821041362364749</v>
      </c>
      <c r="AT244">
        <v>-12.436282693340843</v>
      </c>
      <c r="AU244">
        <v>223.81948077019143</v>
      </c>
      <c r="AV244">
        <f t="shared" si="144"/>
        <v>1.626303148337402</v>
      </c>
      <c r="AW244">
        <f t="shared" si="145"/>
        <v>0.54419901210092703</v>
      </c>
      <c r="AX244" s="40">
        <f t="shared" si="146"/>
        <v>-1.5152895052523911</v>
      </c>
      <c r="AY244">
        <f t="shared" si="147"/>
        <v>1.5152895052523911</v>
      </c>
      <c r="BF244" s="40">
        <f t="shared" si="148"/>
        <v>1.626303148337402</v>
      </c>
    </row>
    <row r="245" spans="45:58" x14ac:dyDescent="0.25">
      <c r="AS245">
        <v>1.0995574287564183</v>
      </c>
      <c r="AT245">
        <v>-13.172972920493821</v>
      </c>
      <c r="AU245">
        <v>224.16646628999004</v>
      </c>
      <c r="AV245">
        <f t="shared" si="144"/>
        <v>1.6294930683207642</v>
      </c>
      <c r="AW245">
        <f t="shared" si="145"/>
        <v>0.52993563956434597</v>
      </c>
      <c r="AX245" s="40">
        <f t="shared" si="146"/>
        <v>-1.5120995852690289</v>
      </c>
      <c r="AY245">
        <f t="shared" si="147"/>
        <v>1.5120995852690289</v>
      </c>
      <c r="BF245" s="40">
        <f t="shared" si="148"/>
        <v>1.6294930683207642</v>
      </c>
    </row>
    <row r="246" spans="45:58" x14ac:dyDescent="0.25">
      <c r="AS246">
        <v>1.1170107212763616</v>
      </c>
      <c r="AT246">
        <v>-13.953665398784501</v>
      </c>
      <c r="AU246">
        <v>224.51849339010164</v>
      </c>
      <c r="AV246">
        <f t="shared" si="144"/>
        <v>1.6328657857718905</v>
      </c>
      <c r="AW246">
        <f t="shared" si="145"/>
        <v>0.51585506449552887</v>
      </c>
      <c r="AX246" s="40">
        <f t="shared" si="146"/>
        <v>-1.5087268678179027</v>
      </c>
      <c r="AY246">
        <f t="shared" si="147"/>
        <v>1.5087268678179027</v>
      </c>
      <c r="BF246" s="40">
        <f t="shared" si="148"/>
        <v>1.6328657857718905</v>
      </c>
    </row>
    <row r="247" spans="45:58" x14ac:dyDescent="0.25">
      <c r="AS247">
        <v>1.1344640137963049</v>
      </c>
      <c r="AT247">
        <v>-14.78347570716398</v>
      </c>
      <c r="AU247">
        <v>224.87643467435774</v>
      </c>
      <c r="AV247">
        <f t="shared" si="144"/>
        <v>1.6364423055831057</v>
      </c>
      <c r="AW247">
        <f t="shared" si="145"/>
        <v>0.50197829178680076</v>
      </c>
      <c r="AX247" s="40">
        <f t="shared" si="146"/>
        <v>-1.5051503480066875</v>
      </c>
      <c r="AY247">
        <f t="shared" si="147"/>
        <v>1.5051503480066875</v>
      </c>
      <c r="BF247" s="40">
        <f t="shared" si="148"/>
        <v>1.6364423055831057</v>
      </c>
    </row>
    <row r="248" spans="45:58" x14ac:dyDescent="0.25">
      <c r="AS248">
        <v>1.1519173063162482</v>
      </c>
      <c r="AT248">
        <v>-15.668331232043936</v>
      </c>
      <c r="AU248">
        <v>225.2412508589297</v>
      </c>
      <c r="AV248">
        <f t="shared" si="144"/>
        <v>1.6402468898066493</v>
      </c>
      <c r="AW248">
        <f t="shared" si="145"/>
        <v>0.48832958349040112</v>
      </c>
      <c r="AX248" s="40">
        <f t="shared" si="146"/>
        <v>-1.5013457637831438</v>
      </c>
      <c r="AY248">
        <f t="shared" si="147"/>
        <v>1.5013457637831438</v>
      </c>
      <c r="BF248" s="40">
        <f t="shared" si="148"/>
        <v>1.6402468898066493</v>
      </c>
    </row>
    <row r="249" spans="45:58" x14ac:dyDescent="0.25">
      <c r="AS249">
        <v>1.1693705988361915</v>
      </c>
      <c r="AT249">
        <v>-16.615142645651218</v>
      </c>
      <c r="AU249">
        <v>225.61400869148318</v>
      </c>
      <c r="AV249">
        <f t="shared" si="144"/>
        <v>1.6443077321795678</v>
      </c>
      <c r="AW249">
        <f t="shared" si="145"/>
        <v>0.47493713334337628</v>
      </c>
      <c r="AX249" s="40">
        <f t="shared" si="146"/>
        <v>-1.4972849214102253</v>
      </c>
      <c r="AY249">
        <f t="shared" si="147"/>
        <v>1.4972849214102253</v>
      </c>
      <c r="BF249" s="40">
        <f t="shared" si="148"/>
        <v>1.6443077321795678</v>
      </c>
    </row>
    <row r="250" spans="45:58" x14ac:dyDescent="0.25">
      <c r="AS250">
        <v>1.1868238913561349</v>
      </c>
      <c r="AT250">
        <v>-17.632020886246377</v>
      </c>
      <c r="AU250">
        <v>225.99590320633106</v>
      </c>
      <c r="AV250">
        <f t="shared" si="144"/>
        <v>1.6486578073800549</v>
      </c>
      <c r="AW250">
        <f t="shared" si="145"/>
        <v>0.46183391602391999</v>
      </c>
      <c r="AX250" s="40">
        <f t="shared" si="146"/>
        <v>-1.4929348462097383</v>
      </c>
      <c r="AY250">
        <f t="shared" si="147"/>
        <v>1.4929348462097383</v>
      </c>
      <c r="BF250" s="40">
        <f t="shared" si="148"/>
        <v>1.6486578073800549</v>
      </c>
    </row>
    <row r="251" spans="45:58" x14ac:dyDescent="0.25">
      <c r="AS251">
        <v>1.2042771838760782</v>
      </c>
      <c r="AT251">
        <v>-18.714511232012498</v>
      </c>
      <c r="AU251">
        <v>226.38314329465055</v>
      </c>
      <c r="AV251">
        <f t="shared" si="144"/>
        <v>1.6532762052091692</v>
      </c>
      <c r="AW251">
        <f t="shared" si="145"/>
        <v>0.448999021333091</v>
      </c>
      <c r="AX251" s="40">
        <f t="shared" si="146"/>
        <v>-1.4883164483806239</v>
      </c>
      <c r="AY251">
        <f t="shared" si="147"/>
        <v>1.4883164483806239</v>
      </c>
      <c r="BF251" s="40">
        <f t="shared" si="148"/>
        <v>1.6532762052091692</v>
      </c>
    </row>
    <row r="252" spans="45:58" x14ac:dyDescent="0.25">
      <c r="AS252">
        <v>1.2217304763960215</v>
      </c>
      <c r="AT252">
        <v>-19.798561271027292</v>
      </c>
      <c r="AU252">
        <v>226.75105497983537</v>
      </c>
      <c r="AV252">
        <f t="shared" si="144"/>
        <v>1.6578895360392198</v>
      </c>
      <c r="AW252">
        <f t="shared" si="145"/>
        <v>0.43615905964319834</v>
      </c>
      <c r="AX252" s="40">
        <f t="shared" si="146"/>
        <v>-1.4837031175505733</v>
      </c>
      <c r="AY252">
        <f t="shared" si="147"/>
        <v>1.4837031175505733</v>
      </c>
      <c r="BF252" s="40">
        <f t="shared" si="148"/>
        <v>1.6578895360392198</v>
      </c>
    </row>
    <row r="253" spans="45:58" x14ac:dyDescent="0.25">
      <c r="AS253">
        <v>1.2391837689159648</v>
      </c>
      <c r="AT253">
        <v>-20.875701823744475</v>
      </c>
      <c r="AU253">
        <v>227.09705150565927</v>
      </c>
      <c r="AV253">
        <f t="shared" si="144"/>
        <v>1.6624628534586539</v>
      </c>
      <c r="AW253">
        <f t="shared" si="145"/>
        <v>0.42327908454268903</v>
      </c>
      <c r="AX253" s="40">
        <f t="shared" si="146"/>
        <v>-1.4791298001311393</v>
      </c>
      <c r="AY253">
        <f t="shared" si="147"/>
        <v>1.4791298001311393</v>
      </c>
      <c r="BF253" s="40">
        <f t="shared" si="148"/>
        <v>1.6624628534586539</v>
      </c>
    </row>
    <row r="254" spans="45:58" x14ac:dyDescent="0.25">
      <c r="AS254">
        <v>1.2566370614359081</v>
      </c>
      <c r="AT254">
        <v>-21.946944490273367</v>
      </c>
      <c r="AU254">
        <v>227.42205592640201</v>
      </c>
      <c r="AV254">
        <f t="shared" si="144"/>
        <v>1.6670015650478467</v>
      </c>
      <c r="AW254">
        <f t="shared" si="145"/>
        <v>0.41036450361193855</v>
      </c>
      <c r="AX254" s="40">
        <f t="shared" si="146"/>
        <v>-1.4745910885419464</v>
      </c>
      <c r="AY254">
        <f t="shared" si="147"/>
        <v>1.4745910885419464</v>
      </c>
      <c r="BF254" s="40">
        <f t="shared" si="148"/>
        <v>1.6670015650478467</v>
      </c>
    </row>
    <row r="255" spans="45:58" x14ac:dyDescent="0.25">
      <c r="AS255">
        <v>1.2740903539558515</v>
      </c>
      <c r="AT255">
        <v>-23.013285650914256</v>
      </c>
      <c r="AU255">
        <v>227.72691339394956</v>
      </c>
      <c r="AV255">
        <f t="shared" si="144"/>
        <v>1.671510912697258</v>
      </c>
      <c r="AW255">
        <f t="shared" si="145"/>
        <v>0.39742055874140658</v>
      </c>
      <c r="AX255" s="40">
        <f t="shared" si="146"/>
        <v>-1.4700817408925351</v>
      </c>
      <c r="AY255">
        <f t="shared" si="147"/>
        <v>1.4700817408925351</v>
      </c>
      <c r="BF255" s="40">
        <f t="shared" si="148"/>
        <v>1.671510912697258</v>
      </c>
    </row>
    <row r="256" spans="45:58" x14ac:dyDescent="0.25">
      <c r="AS256">
        <v>1.2915436464757948</v>
      </c>
      <c r="AT256">
        <v>-24.075710215429481</v>
      </c>
      <c r="AU256">
        <v>228.01239610656756</v>
      </c>
      <c r="AV256">
        <f t="shared" si="144"/>
        <v>1.6759959999885974</v>
      </c>
      <c r="AW256">
        <f t="shared" si="145"/>
        <v>0.3844523535128026</v>
      </c>
      <c r="AX256" s="40">
        <f t="shared" si="146"/>
        <v>-1.4655966536011957</v>
      </c>
      <c r="AY256">
        <f t="shared" si="147"/>
        <v>1.4655966536011957</v>
      </c>
      <c r="BF256" s="40">
        <f t="shared" si="148"/>
        <v>1.6759959999885974</v>
      </c>
    </row>
    <row r="257" spans="45:58" x14ac:dyDescent="0.25">
      <c r="AS257">
        <v>1.3089969389957381</v>
      </c>
      <c r="AT257">
        <v>-25.13519522985851</v>
      </c>
      <c r="AU257">
        <v>228.27920786891718</v>
      </c>
      <c r="AV257">
        <f t="shared" si="144"/>
        <v>1.6804618176093629</v>
      </c>
      <c r="AW257">
        <f t="shared" si="145"/>
        <v>0.37146487861362476</v>
      </c>
      <c r="AX257" s="40">
        <f t="shared" si="146"/>
        <v>-1.4611308359804303</v>
      </c>
      <c r="AY257">
        <f t="shared" si="147"/>
        <v>1.4611308359804303</v>
      </c>
      <c r="BF257" s="40">
        <f t="shared" si="148"/>
        <v>1.6804618176093629</v>
      </c>
    </row>
    <row r="258" spans="45:58" x14ac:dyDescent="0.25">
      <c r="AS258">
        <v>1.3264502315156814</v>
      </c>
      <c r="AT258">
        <v>-26.192713416331333</v>
      </c>
      <c r="AU258">
        <v>228.52798809479475</v>
      </c>
      <c r="AV258">
        <f t="shared" si="144"/>
        <v>1.684913267386019</v>
      </c>
      <c r="AW258">
        <f t="shared" si="145"/>
        <v>0.35846303587033757</v>
      </c>
      <c r="AX258" s="40">
        <f t="shared" si="146"/>
        <v>-1.4566793862037741</v>
      </c>
      <c r="AY258">
        <f t="shared" si="147"/>
        <v>1.4566793862037741</v>
      </c>
      <c r="BF258" s="40">
        <f t="shared" si="148"/>
        <v>1.684913267386019</v>
      </c>
    </row>
    <row r="259" spans="45:58" x14ac:dyDescent="0.25">
      <c r="AS259">
        <v>1.3439035240356247</v>
      </c>
      <c r="AT259">
        <v>-27.249236702930709</v>
      </c>
      <c r="AU259">
        <v>228.75931515015731</v>
      </c>
      <c r="AV259">
        <f t="shared" ref="AV259:AV322" si="149">ATAN2(AT259,AU259)</f>
        <v>1.6893551854094269</v>
      </c>
      <c r="AW259">
        <f t="shared" ref="AW259:AW322" si="150">ABS(AS259-AV259)</f>
        <v>0.34545166137380212</v>
      </c>
      <c r="AX259" s="40">
        <f t="shared" ref="AX259:AX322" si="151">AV259-$U$13</f>
        <v>-1.4522374681803663</v>
      </c>
      <c r="AY259">
        <f t="shared" ref="AY259:AY322" si="152">ABS(AX259)</f>
        <v>1.4522374681803663</v>
      </c>
      <c r="BF259" s="40">
        <f t="shared" ref="BF259:BF322" si="153">AX259+$BJ$4</f>
        <v>1.6893551854094269</v>
      </c>
    </row>
    <row r="260" spans="45:58" x14ac:dyDescent="0.25">
      <c r="AS260">
        <v>1.3613568165555681</v>
      </c>
      <c r="AT260">
        <v>-28.305739645482625</v>
      </c>
      <c r="AU260">
        <v>228.97370954846113</v>
      </c>
      <c r="AV260">
        <f t="shared" si="149"/>
        <v>1.6937923637275853</v>
      </c>
      <c r="AW260">
        <f t="shared" si="150"/>
        <v>0.33243554717201729</v>
      </c>
      <c r="AX260" s="40">
        <f t="shared" si="151"/>
        <v>-1.4478002898622078</v>
      </c>
      <c r="AY260">
        <f t="shared" si="152"/>
        <v>1.4478002898622078</v>
      </c>
      <c r="BF260" s="40">
        <f t="shared" si="153"/>
        <v>1.6937923637275853</v>
      </c>
    </row>
    <row r="261" spans="45:58" x14ac:dyDescent="0.25">
      <c r="AS261">
        <v>1.3788101090755114</v>
      </c>
      <c r="AT261">
        <v>-29.363202964374402</v>
      </c>
      <c r="AU261">
        <v>229.17163619778421</v>
      </c>
      <c r="AV261">
        <f t="shared" si="149"/>
        <v>1.6982295721005545</v>
      </c>
      <c r="AW261">
        <f t="shared" si="150"/>
        <v>0.31941946302504309</v>
      </c>
      <c r="AX261" s="40">
        <f t="shared" si="151"/>
        <v>-1.4433630814892386</v>
      </c>
      <c r="AY261">
        <f t="shared" si="152"/>
        <v>1.4433630814892386</v>
      </c>
      <c r="BF261" s="40">
        <f t="shared" si="153"/>
        <v>1.6982295721005545</v>
      </c>
    </row>
    <row r="262" spans="45:58" x14ac:dyDescent="0.25">
      <c r="AS262">
        <v>1.3962634015954547</v>
      </c>
      <c r="AT262">
        <v>-30.42261692994537</v>
      </c>
      <c r="AU262">
        <v>229.35350686354269</v>
      </c>
      <c r="AV262">
        <f t="shared" si="149"/>
        <v>1.702671578189622</v>
      </c>
      <c r="AW262">
        <f t="shared" si="150"/>
        <v>0.3064081765941673</v>
      </c>
      <c r="AX262" s="40">
        <f t="shared" si="151"/>
        <v>-1.4389210754001711</v>
      </c>
      <c r="AY262">
        <f t="shared" si="152"/>
        <v>1.4389210754001711</v>
      </c>
      <c r="BF262" s="40">
        <f t="shared" si="153"/>
        <v>1.702671578189622</v>
      </c>
    </row>
    <row r="263" spans="45:58" x14ac:dyDescent="0.25">
      <c r="AS263">
        <v>1.413716694115398</v>
      </c>
      <c r="AT263">
        <v>-31.484984961459475</v>
      </c>
      <c r="AU263">
        <v>229.51968145772949</v>
      </c>
      <c r="AV263">
        <f t="shared" si="149"/>
        <v>1.7071231685892236</v>
      </c>
      <c r="AW263">
        <f t="shared" si="150"/>
        <v>0.29340647447382562</v>
      </c>
      <c r="AX263" s="40">
        <f t="shared" si="151"/>
        <v>-1.4344694850005695</v>
      </c>
      <c r="AY263">
        <f t="shared" si="152"/>
        <v>1.4344694850005695</v>
      </c>
      <c r="BF263" s="40">
        <f t="shared" si="153"/>
        <v>1.7071231685892236</v>
      </c>
    </row>
    <row r="264" spans="45:58" x14ac:dyDescent="0.25">
      <c r="AS264">
        <v>1.4311699866353413</v>
      </c>
      <c r="AT264">
        <v>-32.551327037861583</v>
      </c>
      <c r="AU264">
        <v>229.67046982662561</v>
      </c>
      <c r="AV264">
        <f t="shared" si="149"/>
        <v>1.7115891681567155</v>
      </c>
      <c r="AW264">
        <f t="shared" si="150"/>
        <v>0.28041918152137413</v>
      </c>
      <c r="AX264" s="40">
        <f t="shared" si="151"/>
        <v>-1.4300034854330776</v>
      </c>
      <c r="AY264">
        <f t="shared" si="152"/>
        <v>1.4300034854330776</v>
      </c>
      <c r="BF264" s="40">
        <f t="shared" si="153"/>
        <v>1.7115891681567155</v>
      </c>
    </row>
    <row r="265" spans="45:58" x14ac:dyDescent="0.25">
      <c r="AS265">
        <v>1.4486232791552847</v>
      </c>
      <c r="AT265">
        <v>-33.622683390188385</v>
      </c>
      <c r="AU265">
        <v>229.80613221624574</v>
      </c>
      <c r="AV265">
        <f t="shared" si="149"/>
        <v>1.7160744607605276</v>
      </c>
      <c r="AW265">
        <f t="shared" si="150"/>
        <v>0.26745118160524295</v>
      </c>
      <c r="AX265" s="40">
        <f t="shared" si="151"/>
        <v>-1.4255181928292655</v>
      </c>
      <c r="AY265">
        <f t="shared" si="152"/>
        <v>1.4255181928292655</v>
      </c>
      <c r="BF265" s="40">
        <f t="shared" si="153"/>
        <v>1.7160744607605276</v>
      </c>
    </row>
    <row r="266" spans="45:58" x14ac:dyDescent="0.25">
      <c r="AS266">
        <v>1.466076571675228</v>
      </c>
      <c r="AT266">
        <v>-33.948587930678691</v>
      </c>
      <c r="AU266">
        <v>229.84397404071345</v>
      </c>
      <c r="AV266">
        <f t="shared" si="149"/>
        <v>1.717438825324286</v>
      </c>
      <c r="AW266">
        <f t="shared" si="150"/>
        <v>0.25136225364905807</v>
      </c>
      <c r="AX266" s="40">
        <f t="shared" si="151"/>
        <v>-1.4241538282655071</v>
      </c>
      <c r="AY266">
        <f t="shared" si="152"/>
        <v>1.4241538282655071</v>
      </c>
      <c r="BF266" s="40">
        <f t="shared" si="153"/>
        <v>1.717438825324286</v>
      </c>
    </row>
    <row r="267" spans="45:58" x14ac:dyDescent="0.25">
      <c r="AS267">
        <v>1.4835298641951713</v>
      </c>
      <c r="AT267">
        <v>-35.041779387913472</v>
      </c>
      <c r="AU267">
        <v>229.95432084374067</v>
      </c>
      <c r="AV267">
        <f t="shared" si="149"/>
        <v>1.7220187810812269</v>
      </c>
      <c r="AW267">
        <f t="shared" si="150"/>
        <v>0.23848891688605556</v>
      </c>
      <c r="AX267" s="40">
        <f t="shared" si="151"/>
        <v>-1.4195738725085663</v>
      </c>
      <c r="AY267">
        <f t="shared" si="152"/>
        <v>1.4195738725085663</v>
      </c>
      <c r="BF267" s="40">
        <f t="shared" si="153"/>
        <v>1.7220187810812269</v>
      </c>
    </row>
    <row r="268" spans="45:58" x14ac:dyDescent="0.25">
      <c r="AS268">
        <v>1.5009831567151146</v>
      </c>
      <c r="AT268">
        <v>-36.143608548773116</v>
      </c>
      <c r="AU268">
        <v>230.05011709108379</v>
      </c>
      <c r="AV268">
        <f t="shared" si="149"/>
        <v>1.7266343065744407</v>
      </c>
      <c r="AW268">
        <f t="shared" si="150"/>
        <v>0.22565114985932611</v>
      </c>
      <c r="AX268" s="40">
        <f t="shared" si="151"/>
        <v>-1.4149583470153524</v>
      </c>
      <c r="AY268">
        <f t="shared" si="152"/>
        <v>1.4149583470153524</v>
      </c>
      <c r="BF268" s="40">
        <f t="shared" si="153"/>
        <v>1.7266343065744407</v>
      </c>
    </row>
    <row r="269" spans="45:58" x14ac:dyDescent="0.25">
      <c r="AS269">
        <v>1.5184364492350579</v>
      </c>
      <c r="AT269">
        <v>-37.255248260963718</v>
      </c>
      <c r="AU269">
        <v>230.13142645710997</v>
      </c>
      <c r="AV269">
        <f t="shared" si="149"/>
        <v>1.7312907832304409</v>
      </c>
      <c r="AW269">
        <f t="shared" si="150"/>
        <v>0.212854333995383</v>
      </c>
      <c r="AX269" s="40">
        <f t="shared" si="151"/>
        <v>-1.4103018703593522</v>
      </c>
      <c r="AY269">
        <f t="shared" si="152"/>
        <v>1.4103018703593522</v>
      </c>
      <c r="BF269" s="40">
        <f t="shared" si="153"/>
        <v>1.7312907832304409</v>
      </c>
    </row>
    <row r="270" spans="45:58" x14ac:dyDescent="0.25">
      <c r="AS270">
        <v>1.5358897417550013</v>
      </c>
      <c r="AT270">
        <v>-38.377910448022618</v>
      </c>
      <c r="AU270">
        <v>230.1982614504482</v>
      </c>
      <c r="AV270">
        <f t="shared" si="149"/>
        <v>1.7359937523237547</v>
      </c>
      <c r="AW270">
        <f t="shared" si="150"/>
        <v>0.20010401056875349</v>
      </c>
      <c r="AX270" s="40">
        <f t="shared" si="151"/>
        <v>-1.4055989012660384</v>
      </c>
      <c r="AY270">
        <f t="shared" si="152"/>
        <v>1.4055989012660384</v>
      </c>
      <c r="BF270" s="40">
        <f t="shared" si="153"/>
        <v>1.7359937523237547</v>
      </c>
    </row>
    <row r="271" spans="45:58" x14ac:dyDescent="0.25">
      <c r="AS271">
        <v>1.5533430342749446</v>
      </c>
      <c r="AT271">
        <v>-39.51285005444511</v>
      </c>
      <c r="AU271">
        <v>230.25058130731713</v>
      </c>
      <c r="AV271">
        <f t="shared" si="149"/>
        <v>1.7407489366651936</v>
      </c>
      <c r="AW271">
        <f t="shared" si="150"/>
        <v>0.18740590239024901</v>
      </c>
      <c r="AX271" s="40">
        <f t="shared" si="151"/>
        <v>-1.4008437169245995</v>
      </c>
      <c r="AY271">
        <f t="shared" si="152"/>
        <v>1.4008437169245995</v>
      </c>
      <c r="BF271" s="40">
        <f t="shared" si="153"/>
        <v>1.7407489366651936</v>
      </c>
    </row>
    <row r="272" spans="45:58" x14ac:dyDescent="0.25">
      <c r="AS272">
        <v>1.5707963267948879</v>
      </c>
      <c r="AT272">
        <v>-40.66136875218875</v>
      </c>
      <c r="AU272">
        <v>230.28829037241249</v>
      </c>
      <c r="AV272">
        <f t="shared" si="149"/>
        <v>1.7455622608649155</v>
      </c>
      <c r="AW272">
        <f t="shared" si="150"/>
        <v>0.17476593407002761</v>
      </c>
      <c r="AX272" s="40">
        <f t="shared" si="151"/>
        <v>-1.3960303927248776</v>
      </c>
      <c r="AY272">
        <f t="shared" si="152"/>
        <v>1.3960303927248776</v>
      </c>
      <c r="BF272" s="40">
        <f t="shared" si="153"/>
        <v>1.7455622608649155</v>
      </c>
    </row>
    <row r="273" spans="45:58" x14ac:dyDescent="0.25">
      <c r="AS273">
        <v>1.5882496193148312</v>
      </c>
      <c r="AT273">
        <v>-41.695155127311395</v>
      </c>
      <c r="AU273">
        <v>230.30076611466421</v>
      </c>
      <c r="AV273">
        <f t="shared" si="149"/>
        <v>1.749902768686816</v>
      </c>
      <c r="AW273">
        <f t="shared" si="150"/>
        <v>0.16165314937198483</v>
      </c>
      <c r="AX273" s="40">
        <f t="shared" si="151"/>
        <v>-1.3916898849029771</v>
      </c>
      <c r="AY273">
        <f t="shared" si="152"/>
        <v>1.3916898849029771</v>
      </c>
      <c r="BF273" s="40">
        <f t="shared" si="153"/>
        <v>1.749902768686816</v>
      </c>
    </row>
    <row r="274" spans="45:58" x14ac:dyDescent="0.25">
      <c r="AS274">
        <v>1.6057029118347745</v>
      </c>
      <c r="AT274">
        <v>-42.716096194680688</v>
      </c>
      <c r="AU274">
        <v>230.29731454563455</v>
      </c>
      <c r="AV274">
        <f t="shared" si="149"/>
        <v>1.7541944788086439</v>
      </c>
      <c r="AW274">
        <f t="shared" si="150"/>
        <v>0.14849156697386934</v>
      </c>
      <c r="AX274" s="40">
        <f t="shared" si="151"/>
        <v>-1.3873981747811492</v>
      </c>
      <c r="AY274">
        <f t="shared" si="152"/>
        <v>1.3873981747811492</v>
      </c>
      <c r="BF274" s="40">
        <f t="shared" si="153"/>
        <v>1.7541944788086439</v>
      </c>
    </row>
    <row r="275" spans="45:58" x14ac:dyDescent="0.25">
      <c r="AS275">
        <v>1.6231562043547179</v>
      </c>
      <c r="AT275">
        <v>-43.726043336153381</v>
      </c>
      <c r="AU275">
        <v>230.27812965822085</v>
      </c>
      <c r="AV275">
        <f t="shared" si="149"/>
        <v>1.7584459394328815</v>
      </c>
      <c r="AW275">
        <f t="shared" si="150"/>
        <v>0.13528973507816366</v>
      </c>
      <c r="AX275" s="40">
        <f t="shared" si="151"/>
        <v>-1.3831467141569116</v>
      </c>
      <c r="AY275">
        <f t="shared" si="152"/>
        <v>1.3831467141569116</v>
      </c>
      <c r="BF275" s="40">
        <f t="shared" si="153"/>
        <v>1.7584459394328815</v>
      </c>
    </row>
    <row r="276" spans="45:58" x14ac:dyDescent="0.25">
      <c r="AS276">
        <v>1.6406094968746612</v>
      </c>
      <c r="AT276">
        <v>-44.726663616008807</v>
      </c>
      <c r="AU276">
        <v>230.24333161335539</v>
      </c>
      <c r="AV276">
        <f t="shared" si="149"/>
        <v>1.7626649138300721</v>
      </c>
      <c r="AW276">
        <f t="shared" si="150"/>
        <v>0.12205541695541089</v>
      </c>
      <c r="AX276" s="40">
        <f t="shared" si="151"/>
        <v>-1.378927739759721</v>
      </c>
      <c r="AY276">
        <f t="shared" si="152"/>
        <v>1.378927739759721</v>
      </c>
      <c r="BF276" s="40">
        <f t="shared" si="153"/>
        <v>1.7626649138300721</v>
      </c>
    </row>
    <row r="277" spans="45:58" x14ac:dyDescent="0.25">
      <c r="AS277">
        <v>1.6580627893946045</v>
      </c>
      <c r="AT277">
        <v>-45.71947349107819</v>
      </c>
      <c r="AU277">
        <v>230.19297377615442</v>
      </c>
      <c r="AV277">
        <f t="shared" si="149"/>
        <v>1.7668585313741423</v>
      </c>
      <c r="AW277">
        <f t="shared" si="150"/>
        <v>0.10879574197953779</v>
      </c>
      <c r="AX277" s="40">
        <f t="shared" si="151"/>
        <v>-1.3747341222156508</v>
      </c>
      <c r="AY277">
        <f t="shared" si="152"/>
        <v>1.3747341222156508</v>
      </c>
      <c r="BF277" s="40">
        <f t="shared" si="153"/>
        <v>1.7668585313741423</v>
      </c>
    </row>
    <row r="278" spans="45:58" x14ac:dyDescent="0.25">
      <c r="AS278">
        <v>1.6755160819145478</v>
      </c>
      <c r="AT278">
        <v>-46.705865715251775</v>
      </c>
      <c r="AU278">
        <v>230.12704806581385</v>
      </c>
      <c r="AV278">
        <f t="shared" si="149"/>
        <v>1.7710334088612218</v>
      </c>
      <c r="AW278">
        <f t="shared" si="150"/>
        <v>9.551732694667403E-2</v>
      </c>
      <c r="AX278" s="40">
        <f t="shared" si="151"/>
        <v>-1.3705592447285713</v>
      </c>
      <c r="AY278">
        <f t="shared" si="152"/>
        <v>1.3705592447285713</v>
      </c>
      <c r="BF278" s="40">
        <f t="shared" si="153"/>
        <v>1.7710334088612218</v>
      </c>
    </row>
    <row r="279" spans="45:58" x14ac:dyDescent="0.25">
      <c r="AS279">
        <v>1.6929693744344911</v>
      </c>
      <c r="AT279">
        <v>-47.687131129877557</v>
      </c>
      <c r="AU279">
        <v>230.04548885725674</v>
      </c>
      <c r="AV279">
        <f t="shared" si="149"/>
        <v>1.7751957496690516</v>
      </c>
      <c r="AW279">
        <f t="shared" si="150"/>
        <v>8.2226375234560445E-2</v>
      </c>
      <c r="AX279" s="40">
        <f t="shared" si="151"/>
        <v>-1.3663969039207415</v>
      </c>
      <c r="AY279">
        <f t="shared" si="152"/>
        <v>1.3663969039207415</v>
      </c>
      <c r="BF279" s="40">
        <f t="shared" si="153"/>
        <v>1.7751957496690516</v>
      </c>
    </row>
    <row r="280" spans="45:58" x14ac:dyDescent="0.25">
      <c r="AS280">
        <v>1.7104226669544345</v>
      </c>
      <c r="AT280">
        <v>-48.66447663890785</v>
      </c>
      <c r="AU280">
        <v>229.94817534469092</v>
      </c>
      <c r="AV280">
        <f t="shared" si="149"/>
        <v>1.7793514267958277</v>
      </c>
      <c r="AW280">
        <f t="shared" si="150"/>
        <v>6.8928759841393239E-2</v>
      </c>
      <c r="AX280" s="40">
        <f t="shared" si="151"/>
        <v>-1.3622412267939654</v>
      </c>
      <c r="AY280">
        <f t="shared" si="152"/>
        <v>1.3622412267939654</v>
      </c>
      <c r="BF280" s="40">
        <f t="shared" si="153"/>
        <v>1.7793514267958277</v>
      </c>
    </row>
    <row r="281" spans="45:58" x14ac:dyDescent="0.25">
      <c r="AS281">
        <v>1.7278759594743778</v>
      </c>
      <c r="AT281">
        <v>-49.639039997396253</v>
      </c>
      <c r="AU281">
        <v>229.83493356817763</v>
      </c>
      <c r="AV281">
        <f t="shared" si="149"/>
        <v>1.7835060517821433</v>
      </c>
      <c r="AW281">
        <f t="shared" si="150"/>
        <v>5.56300923077655E-2</v>
      </c>
      <c r="AX281" s="40">
        <f t="shared" si="151"/>
        <v>-1.3580866018076498</v>
      </c>
      <c r="AY281">
        <f t="shared" si="152"/>
        <v>1.3580866018076498</v>
      </c>
      <c r="BF281" s="40">
        <f t="shared" si="153"/>
        <v>1.7835060517821433</v>
      </c>
    </row>
    <row r="282" spans="45:58" x14ac:dyDescent="0.25">
      <c r="AS282">
        <v>1.7453292519943211</v>
      </c>
      <c r="AT282">
        <v>-50.611902394528997</v>
      </c>
      <c r="AU282">
        <v>229.70553704893567</v>
      </c>
      <c r="AV282">
        <f t="shared" si="149"/>
        <v>1.7876650348254448</v>
      </c>
      <c r="AW282">
        <f t="shared" si="150"/>
        <v>4.2335782831123714E-2</v>
      </c>
      <c r="AX282" s="40">
        <f t="shared" si="151"/>
        <v>-1.3539276187643483</v>
      </c>
      <c r="AY282">
        <f t="shared" si="152"/>
        <v>1.3539276187643483</v>
      </c>
      <c r="BF282" s="40">
        <f t="shared" si="153"/>
        <v>1.7876650348254448</v>
      </c>
    </row>
    <row r="283" spans="45:58" x14ac:dyDescent="0.25">
      <c r="AS283">
        <v>1.7627825445142644</v>
      </c>
      <c r="AT283">
        <v>-51.584099014388443</v>
      </c>
      <c r="AU283">
        <v>229.55970738400521</v>
      </c>
      <c r="AV283">
        <f t="shared" si="149"/>
        <v>1.7918336359258662</v>
      </c>
      <c r="AW283">
        <f t="shared" si="150"/>
        <v>2.9051091411601782E-2</v>
      </c>
      <c r="AX283" s="40">
        <f t="shared" si="151"/>
        <v>-1.3497590176639269</v>
      </c>
      <c r="AY283">
        <f t="shared" si="152"/>
        <v>1.3497590176639269</v>
      </c>
      <c r="BF283" s="40">
        <f t="shared" si="153"/>
        <v>1.7918336359258662</v>
      </c>
    </row>
    <row r="284" spans="45:58" x14ac:dyDescent="0.25">
      <c r="AS284">
        <v>1.7802358370342077</v>
      </c>
      <c r="AT284">
        <v>-52.556628316485622</v>
      </c>
      <c r="AU284">
        <v>229.3971135235019</v>
      </c>
      <c r="AV284">
        <f t="shared" si="149"/>
        <v>1.7960170115033938</v>
      </c>
      <c r="AW284">
        <f t="shared" si="150"/>
        <v>1.5781174469186032E-2</v>
      </c>
      <c r="AX284" s="40">
        <f t="shared" si="151"/>
        <v>-1.3455756420863993</v>
      </c>
      <c r="AY284">
        <f t="shared" si="152"/>
        <v>1.3455756420863993</v>
      </c>
      <c r="BF284" s="40">
        <f t="shared" si="153"/>
        <v>1.7960170115033938</v>
      </c>
    </row>
    <row r="285" spans="45:58" x14ac:dyDescent="0.25">
      <c r="AS285">
        <v>1.7976891295541511</v>
      </c>
      <c r="AT285">
        <v>-53.53045999094801</v>
      </c>
      <c r="AU285">
        <v>229.2173711308543</v>
      </c>
      <c r="AV285">
        <f t="shared" si="149"/>
        <v>1.8002202552174649</v>
      </c>
      <c r="AW285">
        <f t="shared" si="150"/>
        <v>2.5311256633138157E-3</v>
      </c>
      <c r="AX285" s="40">
        <f t="shared" si="151"/>
        <v>-1.3413723983723282</v>
      </c>
      <c r="AY285">
        <f t="shared" si="152"/>
        <v>1.3413723983723282</v>
      </c>
      <c r="BF285" s="40">
        <f t="shared" si="153"/>
        <v>1.8002202552174649</v>
      </c>
    </row>
    <row r="286" spans="45:58" x14ac:dyDescent="0.25">
      <c r="AS286">
        <v>1.8151424220740944</v>
      </c>
      <c r="AT286">
        <v>-54.506542074704157</v>
      </c>
      <c r="AU286">
        <v>229.02004111174372</v>
      </c>
      <c r="AV286">
        <f t="shared" si="149"/>
        <v>1.8044484359957991</v>
      </c>
      <c r="AW286">
        <f t="shared" si="150"/>
        <v>1.0693986078295303E-2</v>
      </c>
      <c r="AX286" s="40">
        <f t="shared" si="151"/>
        <v>-1.337144217593994</v>
      </c>
      <c r="AY286">
        <f t="shared" si="152"/>
        <v>1.337144217593994</v>
      </c>
      <c r="BF286" s="40">
        <f t="shared" si="153"/>
        <v>1.8044484359957991</v>
      </c>
    </row>
    <row r="287" spans="45:58" x14ac:dyDescent="0.25">
      <c r="AS287">
        <v>1.8325957145940377</v>
      </c>
      <c r="AT287">
        <v>-55.48580732306803</v>
      </c>
      <c r="AU287">
        <v>228.8046277074701</v>
      </c>
      <c r="AV287">
        <f t="shared" si="149"/>
        <v>1.8087066334536301</v>
      </c>
      <c r="AW287">
        <f t="shared" si="150"/>
        <v>2.3889081140407553E-2</v>
      </c>
      <c r="AX287" s="40">
        <f t="shared" si="151"/>
        <v>-1.332886020136163</v>
      </c>
      <c r="AY287">
        <f t="shared" si="152"/>
        <v>1.332886020136163</v>
      </c>
      <c r="BF287" s="40">
        <f t="shared" si="153"/>
        <v>1.8087066334536301</v>
      </c>
    </row>
    <row r="288" spans="45:58" x14ac:dyDescent="0.25">
      <c r="AS288">
        <v>1.850049007113981</v>
      </c>
      <c r="AT288">
        <v>-56.469178964586831</v>
      </c>
      <c r="AU288">
        <v>228.57057626874825</v>
      </c>
      <c r="AV288">
        <f t="shared" si="149"/>
        <v>1.812999971248298</v>
      </c>
      <c r="AW288">
        <f t="shared" si="150"/>
        <v>3.7049035865682978E-2</v>
      </c>
      <c r="AX288" s="40">
        <f t="shared" si="151"/>
        <v>-1.3285926823414951</v>
      </c>
      <c r="AY288">
        <f t="shared" si="152"/>
        <v>1.3285926823414951</v>
      </c>
      <c r="BF288" s="40">
        <f t="shared" si="153"/>
        <v>1.812999971248298</v>
      </c>
    </row>
    <row r="289" spans="45:58" x14ac:dyDescent="0.25">
      <c r="AS289">
        <v>1.8675022996339243</v>
      </c>
      <c r="AT289">
        <v>-57.457576101278306</v>
      </c>
      <c r="AU289">
        <v>228.31727018143766</v>
      </c>
      <c r="AV289">
        <f t="shared" si="149"/>
        <v>1.8173336501148936</v>
      </c>
      <c r="AW289">
        <f t="shared" si="150"/>
        <v>5.0168649519030772E-2</v>
      </c>
      <c r="AX289" s="40">
        <f t="shared" si="151"/>
        <v>-1.3242590034748996</v>
      </c>
      <c r="AY289">
        <f t="shared" si="152"/>
        <v>1.3242590034748996</v>
      </c>
      <c r="BF289" s="40">
        <f t="shared" si="153"/>
        <v>1.8173336501148936</v>
      </c>
    </row>
    <row r="290" spans="45:58" x14ac:dyDescent="0.25">
      <c r="AS290">
        <v>1.8849555921538677</v>
      </c>
      <c r="AT290">
        <v>-58.451918673756836</v>
      </c>
      <c r="AU290">
        <v>228.04402765962135</v>
      </c>
      <c r="AV290">
        <f t="shared" si="149"/>
        <v>1.8217129796764964</v>
      </c>
      <c r="AW290">
        <f t="shared" si="150"/>
        <v>6.3242612477371285E-2</v>
      </c>
      <c r="AX290" s="40">
        <f t="shared" si="151"/>
        <v>-1.3198796739132967</v>
      </c>
      <c r="AY290">
        <f t="shared" si="152"/>
        <v>1.3198796739132967</v>
      </c>
      <c r="BF290" s="40">
        <f t="shared" si="153"/>
        <v>1.8217129796764964</v>
      </c>
    </row>
    <row r="291" spans="45:58" x14ac:dyDescent="0.25">
      <c r="AS291">
        <v>1.902408884673811</v>
      </c>
      <c r="AT291">
        <v>-59.453132229533345</v>
      </c>
      <c r="AU291">
        <v>227.75009780564938</v>
      </c>
      <c r="AV291">
        <f t="shared" si="149"/>
        <v>1.8261434107501349</v>
      </c>
      <c r="AW291">
        <f t="shared" si="150"/>
        <v>7.6265473923676108E-2</v>
      </c>
      <c r="AX291" s="40">
        <f t="shared" si="151"/>
        <v>-1.3154492428396583</v>
      </c>
      <c r="AY291">
        <f t="shared" si="152"/>
        <v>1.3154492428396583</v>
      </c>
      <c r="BF291" s="40">
        <f t="shared" si="153"/>
        <v>1.8261434107501349</v>
      </c>
    </row>
    <row r="292" spans="45:58" x14ac:dyDescent="0.25">
      <c r="AS292">
        <v>1.9198621771937543</v>
      </c>
      <c r="AT292">
        <v>-60.462152493748363</v>
      </c>
      <c r="AU292">
        <v>227.43465621225607</v>
      </c>
      <c r="AV292">
        <f t="shared" si="149"/>
        <v>1.8306305680184634</v>
      </c>
      <c r="AW292">
        <f t="shared" si="150"/>
        <v>8.9231609175290938E-2</v>
      </c>
      <c r="AX292" s="40">
        <f t="shared" si="151"/>
        <v>-1.3109620855713298</v>
      </c>
      <c r="AY292">
        <f t="shared" si="152"/>
        <v>1.3109620855713298</v>
      </c>
      <c r="BF292" s="40">
        <f t="shared" si="153"/>
        <v>1.8306305680184634</v>
      </c>
    </row>
    <row r="293" spans="45:58" x14ac:dyDescent="0.25">
      <c r="AS293">
        <v>1.9373154697136976</v>
      </c>
      <c r="AT293">
        <v>-61.479929863942886</v>
      </c>
      <c r="AU293">
        <v>227.09679985769822</v>
      </c>
      <c r="AV293">
        <f t="shared" si="149"/>
        <v>1.8351802839907083</v>
      </c>
      <c r="AW293">
        <f t="shared" si="150"/>
        <v>0.1021351857229893</v>
      </c>
      <c r="AX293" s="40">
        <f t="shared" si="151"/>
        <v>-1.3064123695990848</v>
      </c>
      <c r="AY293">
        <f t="shared" si="152"/>
        <v>1.3064123695990848</v>
      </c>
      <c r="BF293" s="40">
        <f t="shared" si="153"/>
        <v>1.8351802839907083</v>
      </c>
    </row>
    <row r="294" spans="45:58" x14ac:dyDescent="0.25">
      <c r="AS294">
        <v>1.9547687622336409</v>
      </c>
      <c r="AT294">
        <v>-62.507433848955969</v>
      </c>
      <c r="AU294">
        <v>226.73554140677928</v>
      </c>
      <c r="AV294">
        <f t="shared" si="149"/>
        <v>1.8397986343970896</v>
      </c>
      <c r="AW294">
        <f t="shared" si="150"/>
        <v>0.11497012783655136</v>
      </c>
      <c r="AX294" s="40">
        <f t="shared" si="151"/>
        <v>-1.3017940191927035</v>
      </c>
      <c r="AY294">
        <f t="shared" si="152"/>
        <v>1.3017940191927035</v>
      </c>
      <c r="BF294" s="40">
        <f t="shared" si="153"/>
        <v>1.8397986343970896</v>
      </c>
    </row>
    <row r="295" spans="45:58" x14ac:dyDescent="0.25">
      <c r="AS295">
        <v>1.9722220547535843</v>
      </c>
      <c r="AT295">
        <v>-63.545657517104075</v>
      </c>
      <c r="AU295">
        <v>226.3498028250857</v>
      </c>
      <c r="AV295">
        <f t="shared" si="149"/>
        <v>1.8444919755792348</v>
      </c>
      <c r="AW295">
        <f t="shared" si="150"/>
        <v>0.12773007917434942</v>
      </c>
      <c r="AX295" s="40">
        <f t="shared" si="151"/>
        <v>-1.2971006780105583</v>
      </c>
      <c r="AY295">
        <f t="shared" si="152"/>
        <v>1.2971006780105583</v>
      </c>
      <c r="BF295" s="40">
        <f t="shared" si="153"/>
        <v>1.8444919755792348</v>
      </c>
    </row>
    <row r="296" spans="45:58" x14ac:dyDescent="0.25">
      <c r="AS296">
        <v>1.9896753472735276</v>
      </c>
      <c r="AT296">
        <v>-64.595622045998198</v>
      </c>
      <c r="AU296">
        <v>225.93840808159803</v>
      </c>
      <c r="AV296">
        <f t="shared" si="149"/>
        <v>1.8492669847354088</v>
      </c>
      <c r="AW296">
        <f t="shared" si="150"/>
        <v>0.14040836253811873</v>
      </c>
      <c r="AX296" s="40">
        <f t="shared" si="151"/>
        <v>-1.2923256688543843</v>
      </c>
      <c r="AY296">
        <f t="shared" si="152"/>
        <v>1.2923256688543843</v>
      </c>
      <c r="BF296" s="40">
        <f t="shared" si="153"/>
        <v>1.8492669847354088</v>
      </c>
    </row>
    <row r="297" spans="45:58" x14ac:dyDescent="0.25">
      <c r="AS297">
        <v>2.0071286397934709</v>
      </c>
      <c r="AT297">
        <v>-65.658381336509336</v>
      </c>
      <c r="AU297">
        <v>225.50007520968575</v>
      </c>
      <c r="AV297">
        <f t="shared" si="149"/>
        <v>1.8541307028153406</v>
      </c>
      <c r="AW297">
        <f t="shared" si="150"/>
        <v>0.15299793697813024</v>
      </c>
      <c r="AX297" s="40">
        <f t="shared" si="151"/>
        <v>-1.2874619507744525</v>
      </c>
      <c r="AY297">
        <f t="shared" si="152"/>
        <v>1.2874619507744525</v>
      </c>
      <c r="BF297" s="40">
        <f t="shared" si="153"/>
        <v>1.8541307028153406</v>
      </c>
    </row>
    <row r="298" spans="45:58" x14ac:dyDescent="0.25">
      <c r="AS298">
        <v>2.024581932313414</v>
      </c>
      <c r="AT298">
        <v>-66.733711176669431</v>
      </c>
      <c r="AU298">
        <v>225.03415070777237</v>
      </c>
      <c r="AV298">
        <f t="shared" si="149"/>
        <v>1.8590843070532761</v>
      </c>
      <c r="AW298">
        <f t="shared" si="150"/>
        <v>0.16549762526013789</v>
      </c>
      <c r="AX298" s="40">
        <f t="shared" si="151"/>
        <v>-1.282508346536517</v>
      </c>
      <c r="AY298">
        <f t="shared" si="152"/>
        <v>1.282508346536517</v>
      </c>
      <c r="BF298" s="40">
        <f t="shared" si="153"/>
        <v>1.8590843070532761</v>
      </c>
    </row>
    <row r="299" spans="45:58" x14ac:dyDescent="0.25">
      <c r="AS299">
        <v>2.0420352248333571</v>
      </c>
      <c r="AT299">
        <v>-67.788698405380131</v>
      </c>
      <c r="AU299">
        <v>224.55899295029735</v>
      </c>
      <c r="AV299">
        <f t="shared" si="149"/>
        <v>1.8639722215804577</v>
      </c>
      <c r="AW299">
        <f t="shared" si="150"/>
        <v>0.17806300325289937</v>
      </c>
      <c r="AX299" s="40">
        <f t="shared" si="151"/>
        <v>-1.2776204320093354</v>
      </c>
      <c r="AY299">
        <f t="shared" si="152"/>
        <v>1.2776204320093354</v>
      </c>
      <c r="BF299" s="40">
        <f t="shared" si="153"/>
        <v>1.8639722215804577</v>
      </c>
    </row>
    <row r="300" spans="45:58" x14ac:dyDescent="0.25">
      <c r="AS300">
        <v>2.0594885173533002</v>
      </c>
      <c r="AT300">
        <v>-68.811764840383788</v>
      </c>
      <c r="AU300">
        <v>224.08237518573321</v>
      </c>
      <c r="AV300">
        <f t="shared" si="149"/>
        <v>1.8687380499503892</v>
      </c>
      <c r="AW300">
        <f t="shared" si="150"/>
        <v>0.19075046740291102</v>
      </c>
      <c r="AX300" s="40">
        <f t="shared" si="151"/>
        <v>-1.2728546036394039</v>
      </c>
      <c r="AY300">
        <f t="shared" si="152"/>
        <v>1.2728546036394039</v>
      </c>
      <c r="BF300" s="40">
        <f t="shared" si="153"/>
        <v>1.8687380499503892</v>
      </c>
    </row>
    <row r="301" spans="45:58" x14ac:dyDescent="0.25">
      <c r="AS301">
        <v>2.0769418098732433</v>
      </c>
      <c r="AT301">
        <v>-69.806682377467141</v>
      </c>
      <c r="AU301">
        <v>223.60340809110656</v>
      </c>
      <c r="AV301">
        <f t="shared" si="149"/>
        <v>1.8733984830208341</v>
      </c>
      <c r="AW301">
        <f t="shared" si="150"/>
        <v>0.20354332685240917</v>
      </c>
      <c r="AX301" s="40">
        <f t="shared" si="151"/>
        <v>-1.268194170568959</v>
      </c>
      <c r="AY301">
        <f t="shared" si="152"/>
        <v>1.268194170568959</v>
      </c>
      <c r="BF301" s="40">
        <f t="shared" si="153"/>
        <v>1.8733984830208341</v>
      </c>
    </row>
    <row r="302" spans="45:58" x14ac:dyDescent="0.25">
      <c r="AS302">
        <v>2.0943951023931864</v>
      </c>
      <c r="AT302">
        <v>-70.776793380451892</v>
      </c>
      <c r="AU302">
        <v>223.12123364335048</v>
      </c>
      <c r="AV302">
        <f t="shared" si="149"/>
        <v>1.8779684476218765</v>
      </c>
      <c r="AW302">
        <f t="shared" si="150"/>
        <v>0.21642665477130985</v>
      </c>
      <c r="AX302" s="40">
        <f t="shared" si="151"/>
        <v>-1.2636242059679166</v>
      </c>
      <c r="AY302">
        <f t="shared" si="152"/>
        <v>1.2636242059679166</v>
      </c>
      <c r="BF302" s="40">
        <f t="shared" si="153"/>
        <v>1.8779684476218765</v>
      </c>
    </row>
    <row r="303" spans="45:58" x14ac:dyDescent="0.25">
      <c r="AS303">
        <v>2.1118483949131295</v>
      </c>
      <c r="AT303">
        <v>-71.725081428906861</v>
      </c>
      <c r="AU303">
        <v>222.63501498863744</v>
      </c>
      <c r="AV303">
        <f t="shared" si="149"/>
        <v>1.8824614107567765</v>
      </c>
      <c r="AW303">
        <f t="shared" si="150"/>
        <v>0.22938698415635295</v>
      </c>
      <c r="AX303" s="40">
        <f t="shared" si="151"/>
        <v>-1.2591312428330166</v>
      </c>
      <c r="AY303">
        <f t="shared" si="152"/>
        <v>1.2591312428330166</v>
      </c>
      <c r="BF303" s="40">
        <f t="shared" si="153"/>
        <v>1.8824614107567765</v>
      </c>
    </row>
    <row r="304" spans="45:58" x14ac:dyDescent="0.25">
      <c r="AS304">
        <v>2.1293016874330726</v>
      </c>
      <c r="AT304">
        <v>-72.654229392805462</v>
      </c>
      <c r="AU304">
        <v>222.1439270192823</v>
      </c>
      <c r="AV304">
        <f t="shared" si="149"/>
        <v>1.8868896313240953</v>
      </c>
      <c r="AW304">
        <f t="shared" si="150"/>
        <v>0.24241205610897731</v>
      </c>
      <c r="AX304" s="40">
        <f t="shared" si="151"/>
        <v>-1.2547030222656979</v>
      </c>
      <c r="AY304">
        <f t="shared" si="152"/>
        <v>1.2547030222656979</v>
      </c>
      <c r="BF304" s="40">
        <f t="shared" si="153"/>
        <v>1.8868896313240953</v>
      </c>
    </row>
    <row r="305" spans="45:58" x14ac:dyDescent="0.25">
      <c r="AS305">
        <v>2.1467549799530157</v>
      </c>
      <c r="AT305">
        <v>-73.566667324110725</v>
      </c>
      <c r="AU305">
        <v>221.64714831347035</v>
      </c>
      <c r="AV305">
        <f t="shared" si="149"/>
        <v>1.8912643687775137</v>
      </c>
      <c r="AW305">
        <f t="shared" si="150"/>
        <v>0.25549061117550198</v>
      </c>
      <c r="AX305" s="40">
        <f t="shared" si="151"/>
        <v>-1.2503282848122794</v>
      </c>
      <c r="AY305">
        <f t="shared" si="152"/>
        <v>1.2503282848122794</v>
      </c>
      <c r="BF305" s="40">
        <f t="shared" si="153"/>
        <v>1.8912643687775137</v>
      </c>
    </row>
    <row r="306" spans="45:58" x14ac:dyDescent="0.25">
      <c r="AS306">
        <v>2.1642082724729588</v>
      </c>
      <c r="AT306">
        <v>-74.46461242761346</v>
      </c>
      <c r="AU306">
        <v>221.14385346742733</v>
      </c>
      <c r="AV306">
        <f t="shared" si="149"/>
        <v>1.8955960592808012</v>
      </c>
      <c r="AW306">
        <f t="shared" si="150"/>
        <v>0.26861221319215756</v>
      </c>
      <c r="AX306" s="40">
        <f t="shared" si="151"/>
        <v>-1.2459965943089919</v>
      </c>
      <c r="AY306">
        <f t="shared" si="152"/>
        <v>1.2459965943089919</v>
      </c>
      <c r="BF306" s="40">
        <f t="shared" si="153"/>
        <v>1.8955960592808012</v>
      </c>
    </row>
    <row r="307" spans="45:58" x14ac:dyDescent="0.25">
      <c r="AS307">
        <v>2.1816615649929019</v>
      </c>
      <c r="AT307">
        <v>-75.350102660431872</v>
      </c>
      <c r="AU307">
        <v>220.63320589929577</v>
      </c>
      <c r="AV307">
        <f t="shared" si="149"/>
        <v>1.8998944656635373</v>
      </c>
      <c r="AW307">
        <f t="shared" si="150"/>
        <v>0.28176709932936461</v>
      </c>
      <c r="AX307" s="40">
        <f t="shared" si="151"/>
        <v>-1.2416981879262559</v>
      </c>
      <c r="AY307">
        <f t="shared" si="152"/>
        <v>1.2416981879262559</v>
      </c>
      <c r="BF307" s="40">
        <f t="shared" si="153"/>
        <v>1.8998944656635373</v>
      </c>
    </row>
    <row r="308" spans="45:58" x14ac:dyDescent="0.25">
      <c r="AS308">
        <v>2.199114857512845</v>
      </c>
      <c r="AT308">
        <v>-76.225025250995316</v>
      </c>
      <c r="AU308">
        <v>220.11435084205974</v>
      </c>
      <c r="AV308">
        <f t="shared" si="149"/>
        <v>1.9041688068977449</v>
      </c>
      <c r="AW308">
        <f t="shared" si="150"/>
        <v>0.29494605061510004</v>
      </c>
      <c r="AX308" s="40">
        <f t="shared" si="151"/>
        <v>-1.2374238466920482</v>
      </c>
      <c r="AY308">
        <f t="shared" si="152"/>
        <v>1.2374238466920482</v>
      </c>
      <c r="BF308" s="40">
        <f t="shared" si="153"/>
        <v>1.9041688068977449</v>
      </c>
    </row>
    <row r="309" spans="45:58" x14ac:dyDescent="0.25">
      <c r="AS309">
        <v>2.2165681500327881</v>
      </c>
      <c r="AT309">
        <v>-77.091141086230806</v>
      </c>
      <c r="AU309">
        <v>219.58640859478487</v>
      </c>
      <c r="AV309">
        <f t="shared" si="149"/>
        <v>1.9084278709449123</v>
      </c>
      <c r="AW309">
        <f t="shared" si="150"/>
        <v>0.30814027908787578</v>
      </c>
      <c r="AX309" s="40">
        <f t="shared" si="151"/>
        <v>-1.2331647826448808</v>
      </c>
      <c r="AY309">
        <f t="shared" si="152"/>
        <v>1.2331647826448808</v>
      </c>
      <c r="BF309" s="40">
        <f t="shared" si="153"/>
        <v>1.9084278709449123</v>
      </c>
    </row>
    <row r="310" spans="45:58" x14ac:dyDescent="0.25">
      <c r="AS310">
        <v>2.2340214425527312</v>
      </c>
      <c r="AT310">
        <v>-77.950105826188491</v>
      </c>
      <c r="AU310">
        <v>219.04846762151433</v>
      </c>
      <c r="AV310">
        <f t="shared" si="149"/>
        <v>1.9126801151260191</v>
      </c>
      <c r="AW310">
        <f t="shared" si="150"/>
        <v>0.32134132742671206</v>
      </c>
      <c r="AX310" s="40">
        <f t="shared" si="151"/>
        <v>-1.228912538463774</v>
      </c>
      <c r="AY310">
        <f t="shared" si="152"/>
        <v>1.228912538463774</v>
      </c>
      <c r="BF310" s="40">
        <f t="shared" si="153"/>
        <v>1.9126801151260191</v>
      </c>
    </row>
    <row r="311" spans="45:58" x14ac:dyDescent="0.25">
      <c r="AS311">
        <v>2.2514747350726743</v>
      </c>
      <c r="AT311">
        <v>-78.803488374204818</v>
      </c>
      <c r="AU311">
        <v>218.49957742150389</v>
      </c>
      <c r="AV311">
        <f t="shared" si="149"/>
        <v>1.916933756791825</v>
      </c>
      <c r="AW311">
        <f t="shared" si="150"/>
        <v>0.33454097828084928</v>
      </c>
      <c r="AX311" s="40">
        <f t="shared" si="151"/>
        <v>-1.2246588967979681</v>
      </c>
      <c r="AY311">
        <f t="shared" si="152"/>
        <v>1.2246588967979681</v>
      </c>
      <c r="BF311" s="40">
        <f t="shared" si="153"/>
        <v>1.916933756791825</v>
      </c>
    </row>
    <row r="312" spans="45:58" x14ac:dyDescent="0.25">
      <c r="AS312">
        <v>2.2689280275926174</v>
      </c>
      <c r="AT312">
        <v>-79.652787154438357</v>
      </c>
      <c r="AU312">
        <v>217.93874136259808</v>
      </c>
      <c r="AV312">
        <f t="shared" si="149"/>
        <v>1.9211968559666335</v>
      </c>
      <c r="AW312">
        <f t="shared" si="150"/>
        <v>0.34773117162598388</v>
      </c>
      <c r="AX312" s="40">
        <f t="shared" si="151"/>
        <v>-1.2203957976231596</v>
      </c>
      <c r="AY312">
        <f t="shared" si="152"/>
        <v>1.2203957976231596</v>
      </c>
      <c r="BF312" s="40">
        <f t="shared" si="153"/>
        <v>1.9211968559666335</v>
      </c>
    </row>
    <row r="313" spans="45:58" x14ac:dyDescent="0.25">
      <c r="AS313">
        <v>2.2863813201125605</v>
      </c>
      <c r="AT313">
        <v>-80.499444783464071</v>
      </c>
      <c r="AU313">
        <v>217.36490864381938</v>
      </c>
      <c r="AV313">
        <f t="shared" si="149"/>
        <v>1.9254773936924694</v>
      </c>
      <c r="AW313">
        <f t="shared" si="150"/>
        <v>0.36090392642009106</v>
      </c>
      <c r="AX313" s="40">
        <f t="shared" si="151"/>
        <v>-1.2161152598973237</v>
      </c>
      <c r="AY313">
        <f t="shared" si="152"/>
        <v>1.2161152598973237</v>
      </c>
      <c r="BF313" s="40">
        <f t="shared" si="153"/>
        <v>1.9254773936924694</v>
      </c>
    </row>
    <row r="314" spans="45:58" x14ac:dyDescent="0.25">
      <c r="AS314">
        <v>2.3038346126325036</v>
      </c>
      <c r="AT314">
        <v>-81.344861274766501</v>
      </c>
      <c r="AU314">
        <v>216.77696625325009</v>
      </c>
      <c r="AV314">
        <f t="shared" si="149"/>
        <v>1.9297833455369982</v>
      </c>
      <c r="AW314">
        <f t="shared" si="150"/>
        <v>0.3740512670955054</v>
      </c>
      <c r="AX314" s="40">
        <f t="shared" si="151"/>
        <v>-1.211809308052795</v>
      </c>
      <c r="AY314">
        <f t="shared" si="152"/>
        <v>1.211809308052795</v>
      </c>
      <c r="BF314" s="40">
        <f t="shared" si="153"/>
        <v>1.9297833455369982</v>
      </c>
    </row>
    <row r="315" spans="45:58" x14ac:dyDescent="0.25">
      <c r="AS315">
        <v>2.3212879051524467</v>
      </c>
      <c r="AT315">
        <v>-82.190406311214986</v>
      </c>
      <c r="AU315">
        <v>216.17372973348989</v>
      </c>
      <c r="AV315">
        <f t="shared" si="149"/>
        <v>1.9341227543660204</v>
      </c>
      <c r="AW315">
        <f t="shared" si="150"/>
        <v>0.38716515078642622</v>
      </c>
      <c r="AX315" s="40">
        <f t="shared" si="151"/>
        <v>-1.2074698992237727</v>
      </c>
      <c r="AY315">
        <f t="shared" si="152"/>
        <v>1.2074698992237727</v>
      </c>
      <c r="BF315" s="40">
        <f t="shared" si="153"/>
        <v>1.9341227543660204</v>
      </c>
    </row>
    <row r="316" spans="45:58" x14ac:dyDescent="0.25">
      <c r="AS316">
        <v>2.3387411976723897</v>
      </c>
      <c r="AT316">
        <v>-83.037430700749979</v>
      </c>
      <c r="AU316">
        <v>215.55393327211817</v>
      </c>
      <c r="AV316">
        <f t="shared" si="149"/>
        <v>1.938503802322955</v>
      </c>
      <c r="AW316">
        <f t="shared" si="150"/>
        <v>0.4002373953494347</v>
      </c>
      <c r="AX316" s="40">
        <f t="shared" si="151"/>
        <v>-1.2030888512668381</v>
      </c>
      <c r="AY316">
        <f t="shared" si="152"/>
        <v>1.2030888512668381</v>
      </c>
      <c r="BF316" s="40">
        <f t="shared" si="153"/>
        <v>1.938503802322955</v>
      </c>
    </row>
    <row r="317" spans="45:58" x14ac:dyDescent="0.25">
      <c r="AS317">
        <v>2.3561944901923328</v>
      </c>
      <c r="AT317">
        <v>-83.887277259831819</v>
      </c>
      <c r="AU317">
        <v>214.91621889840712</v>
      </c>
      <c r="AV317">
        <f t="shared" si="149"/>
        <v>1.9429348835818132</v>
      </c>
      <c r="AW317">
        <f t="shared" si="150"/>
        <v>0.41325960661051964</v>
      </c>
      <c r="AX317" s="40">
        <f t="shared" si="151"/>
        <v>-1.1986577700079799</v>
      </c>
      <c r="AY317">
        <f t="shared" si="152"/>
        <v>1.1986577700079799</v>
      </c>
      <c r="BF317" s="40">
        <f t="shared" si="153"/>
        <v>1.9429348835818132</v>
      </c>
    </row>
    <row r="318" spans="45:58" x14ac:dyDescent="0.25">
      <c r="AS318">
        <v>2.3736477827122759</v>
      </c>
      <c r="AT318">
        <v>-84.741291438838999</v>
      </c>
      <c r="AU318">
        <v>214.25912410485719</v>
      </c>
      <c r="AV318">
        <f t="shared" si="149"/>
        <v>1.9474246805178361</v>
      </c>
      <c r="AW318">
        <f t="shared" si="150"/>
        <v>0.42622310219443982</v>
      </c>
      <c r="AX318" s="40">
        <f t="shared" si="151"/>
        <v>-1.194167973071957</v>
      </c>
      <c r="AY318">
        <f t="shared" si="152"/>
        <v>1.194167973071957</v>
      </c>
      <c r="BF318" s="40">
        <f t="shared" si="153"/>
        <v>1.9474246805178361</v>
      </c>
    </row>
    <row r="319" spans="45:58" x14ac:dyDescent="0.25">
      <c r="AS319">
        <v>2.391101075232219</v>
      </c>
      <c r="AT319">
        <v>-85.600831762498686</v>
      </c>
      <c r="AU319">
        <v>213.58106824392735</v>
      </c>
      <c r="AV319">
        <f t="shared" si="149"/>
        <v>1.9519822434400109</v>
      </c>
      <c r="AW319">
        <f t="shared" si="150"/>
        <v>0.43911883179220812</v>
      </c>
      <c r="AX319" s="40">
        <f t="shared" si="151"/>
        <v>-1.1896104101497822</v>
      </c>
      <c r="AY319">
        <f t="shared" si="152"/>
        <v>1.1896104101497822</v>
      </c>
      <c r="BF319" s="40">
        <f t="shared" si="153"/>
        <v>1.9519822434400109</v>
      </c>
    </row>
    <row r="320" spans="45:58" x14ac:dyDescent="0.25">
      <c r="AS320">
        <v>2.4085543677521621</v>
      </c>
      <c r="AT320">
        <v>-86.467280355890978</v>
      </c>
      <c r="AU320">
        <v>212.88033705496403</v>
      </c>
      <c r="AV320">
        <f t="shared" si="149"/>
        <v>1.9566170764439272</v>
      </c>
      <c r="AW320">
        <f t="shared" si="150"/>
        <v>0.4519372913082349</v>
      </c>
      <c r="AX320" s="40">
        <f t="shared" si="151"/>
        <v>-1.1849755771458659</v>
      </c>
      <c r="AY320">
        <f t="shared" si="152"/>
        <v>1.1849755771458659</v>
      </c>
      <c r="BF320" s="40">
        <f t="shared" si="153"/>
        <v>1.9566170764439272</v>
      </c>
    </row>
    <row r="321" spans="45:58" x14ac:dyDescent="0.25">
      <c r="AS321">
        <v>2.4260076602721052</v>
      </c>
      <c r="AT321">
        <v>-87.34205369726962</v>
      </c>
      <c r="AU321">
        <v>212.15506523089022</v>
      </c>
      <c r="AV321">
        <f t="shared" si="149"/>
        <v>1.961339230661624</v>
      </c>
      <c r="AW321">
        <f t="shared" si="150"/>
        <v>0.46466842961048127</v>
      </c>
      <c r="AX321" s="40">
        <f t="shared" si="151"/>
        <v>-1.1802534229281691</v>
      </c>
      <c r="AY321">
        <f t="shared" si="152"/>
        <v>1.1802534229281691</v>
      </c>
      <c r="BF321" s="40">
        <f t="shared" si="153"/>
        <v>1.961339230661624</v>
      </c>
    </row>
    <row r="322" spans="45:58" x14ac:dyDescent="0.25">
      <c r="AS322">
        <v>2.4434609527920483</v>
      </c>
      <c r="AT322">
        <v>-88.226613899688701</v>
      </c>
      <c r="AU322">
        <v>211.40321612729602</v>
      </c>
      <c r="AV322">
        <f t="shared" si="149"/>
        <v>1.9661594082749509</v>
      </c>
      <c r="AW322">
        <f t="shared" si="150"/>
        <v>0.47730154451709739</v>
      </c>
      <c r="AX322" s="40">
        <f t="shared" si="151"/>
        <v>-1.1754332453148422</v>
      </c>
      <c r="AY322">
        <f t="shared" si="152"/>
        <v>1.1754332453148422</v>
      </c>
      <c r="BF322" s="40">
        <f t="shared" si="153"/>
        <v>1.9661594082749509</v>
      </c>
    </row>
    <row r="323" spans="45:58" x14ac:dyDescent="0.25">
      <c r="AS323">
        <v>2.4609142453119914</v>
      </c>
      <c r="AT323">
        <v>-89.621388634484532</v>
      </c>
      <c r="AU323">
        <v>210.04672865613136</v>
      </c>
      <c r="AV323">
        <f t="shared" ref="AV323:AV362" si="154">ATAN2(AT323,AU323)</f>
        <v>1.9740836528999723</v>
      </c>
      <c r="AW323">
        <f t="shared" ref="AW323:AW362" si="155">ABS(AS323-AV323)</f>
        <v>0.48683059241201909</v>
      </c>
      <c r="AX323" s="40">
        <f t="shared" ref="AX323:AX362" si="156">AV323-$U$13</f>
        <v>-1.1675090006898208</v>
      </c>
      <c r="AY323">
        <f t="shared" ref="AY323:AY362" si="157">ABS(AX323)</f>
        <v>1.1675090006898208</v>
      </c>
      <c r="BF323" s="40">
        <f t="shared" ref="BF323:BF362" si="158">AX323+$BJ$4</f>
        <v>1.9740836528999723</v>
      </c>
    </row>
    <row r="324" spans="45:58" x14ac:dyDescent="0.25">
      <c r="AS324">
        <v>2.4783675378319345</v>
      </c>
      <c r="AT324">
        <v>-92.900434104159856</v>
      </c>
      <c r="AU324">
        <v>206.42786335142762</v>
      </c>
      <c r="AV324">
        <f t="shared" si="154"/>
        <v>1.9936820601176457</v>
      </c>
      <c r="AW324">
        <f t="shared" si="155"/>
        <v>0.48468547771428883</v>
      </c>
      <c r="AX324" s="40">
        <f t="shared" si="156"/>
        <v>-1.1479105934721474</v>
      </c>
      <c r="AY324">
        <f t="shared" si="157"/>
        <v>1.1479105934721474</v>
      </c>
      <c r="BF324" s="40">
        <f t="shared" si="158"/>
        <v>1.9936820601176457</v>
      </c>
    </row>
    <row r="325" spans="45:58" x14ac:dyDescent="0.25">
      <c r="AS325">
        <v>2.4958208303518776</v>
      </c>
      <c r="AT325">
        <v>-97.861986563613314</v>
      </c>
      <c r="AU325">
        <v>200.65049974807337</v>
      </c>
      <c r="AV325">
        <f t="shared" si="154"/>
        <v>2.0245746810514706</v>
      </c>
      <c r="AW325">
        <f t="shared" si="155"/>
        <v>0.47124614930040698</v>
      </c>
      <c r="AX325" s="40">
        <f t="shared" si="156"/>
        <v>-1.1170179725383225</v>
      </c>
      <c r="AY325">
        <f t="shared" si="157"/>
        <v>1.1170179725383225</v>
      </c>
      <c r="BF325" s="40">
        <f t="shared" si="158"/>
        <v>2.0245746810514706</v>
      </c>
    </row>
    <row r="326" spans="45:58" x14ac:dyDescent="0.25">
      <c r="AS326">
        <v>2.5132741228718207</v>
      </c>
      <c r="AT326">
        <v>-104.27143945849781</v>
      </c>
      <c r="AU326">
        <v>192.87953666856652</v>
      </c>
      <c r="AV326">
        <f t="shared" si="154"/>
        <v>2.0663970707626245</v>
      </c>
      <c r="AW326">
        <f t="shared" si="155"/>
        <v>0.44687705210919626</v>
      </c>
      <c r="AX326" s="40">
        <f t="shared" si="156"/>
        <v>-1.0751955828271686</v>
      </c>
      <c r="AY326">
        <f t="shared" si="157"/>
        <v>1.0751955828271686</v>
      </c>
      <c r="BF326" s="40">
        <f t="shared" si="158"/>
        <v>2.0663970707626245</v>
      </c>
    </row>
    <row r="327" spans="45:58" x14ac:dyDescent="0.25">
      <c r="AS327">
        <v>2.5307274153917638</v>
      </c>
      <c r="AT327">
        <v>-111.95667847971538</v>
      </c>
      <c r="AU327">
        <v>183.22463045371461</v>
      </c>
      <c r="AV327">
        <f t="shared" si="154"/>
        <v>2.1192903768538685</v>
      </c>
      <c r="AW327">
        <f t="shared" si="155"/>
        <v>0.41143703853789537</v>
      </c>
      <c r="AX327" s="40">
        <f t="shared" si="156"/>
        <v>-1.0223022767359247</v>
      </c>
      <c r="AY327">
        <f t="shared" si="157"/>
        <v>1.0223022767359247</v>
      </c>
      <c r="BF327" s="40">
        <f t="shared" si="158"/>
        <v>2.1192903768538685</v>
      </c>
    </row>
    <row r="328" spans="45:58" x14ac:dyDescent="0.25">
      <c r="AS328">
        <v>2.5481807079117069</v>
      </c>
      <c r="AT328">
        <v>-120.79300159304637</v>
      </c>
      <c r="AU328">
        <v>171.75143591151416</v>
      </c>
      <c r="AV328">
        <f t="shared" si="154"/>
        <v>2.1837344685895461</v>
      </c>
      <c r="AW328">
        <f t="shared" si="155"/>
        <v>0.3644462393221608</v>
      </c>
      <c r="AX328" s="40">
        <f t="shared" si="156"/>
        <v>-0.957858185000247</v>
      </c>
      <c r="AY328">
        <f t="shared" si="157"/>
        <v>0.957858185000247</v>
      </c>
      <c r="BF328" s="40">
        <f t="shared" si="158"/>
        <v>2.1837344685895461</v>
      </c>
    </row>
    <row r="329" spans="45:58" x14ac:dyDescent="0.25">
      <c r="AS329">
        <v>2.56563400043165</v>
      </c>
      <c r="AT329">
        <v>-130.69351623117058</v>
      </c>
      <c r="AU329">
        <v>158.48826298626363</v>
      </c>
      <c r="AV329">
        <f t="shared" si="154"/>
        <v>2.2603736963028025</v>
      </c>
      <c r="AW329">
        <f t="shared" si="155"/>
        <v>0.30526030412884753</v>
      </c>
      <c r="AX329" s="40">
        <f t="shared" si="156"/>
        <v>-0.88121895728699062</v>
      </c>
      <c r="AY329">
        <f t="shared" si="157"/>
        <v>0.88121895728699062</v>
      </c>
      <c r="BF329" s="40">
        <f t="shared" si="158"/>
        <v>2.2603736963028025</v>
      </c>
    </row>
    <row r="330" spans="45:58" x14ac:dyDescent="0.25">
      <c r="AS330">
        <v>2.5830872929515931</v>
      </c>
      <c r="AT330">
        <v>-141.60311378571865</v>
      </c>
      <c r="AU330">
        <v>143.42959275910289</v>
      </c>
      <c r="AV330">
        <f t="shared" si="154"/>
        <v>2.3497866151224205</v>
      </c>
      <c r="AW330">
        <f t="shared" si="155"/>
        <v>0.23330067782917263</v>
      </c>
      <c r="AX330" s="40">
        <f t="shared" si="156"/>
        <v>-0.79180603846737263</v>
      </c>
      <c r="AY330">
        <f t="shared" si="157"/>
        <v>0.79180603846737263</v>
      </c>
      <c r="BF330" s="40">
        <f t="shared" si="158"/>
        <v>2.3497866151224205</v>
      </c>
    </row>
    <row r="331" spans="45:58" x14ac:dyDescent="0.25">
      <c r="AS331">
        <v>2.6005405854715362</v>
      </c>
      <c r="AT331">
        <v>-153.49496743192952</v>
      </c>
      <c r="AU331">
        <v>126.53719807044763</v>
      </c>
      <c r="AV331">
        <f t="shared" si="154"/>
        <v>2.4521654451197423</v>
      </c>
      <c r="AW331">
        <f t="shared" si="155"/>
        <v>0.14837514035179389</v>
      </c>
      <c r="AX331" s="40">
        <f t="shared" si="156"/>
        <v>-0.68942720847005079</v>
      </c>
      <c r="AY331">
        <f t="shared" si="157"/>
        <v>0.68942720847005079</v>
      </c>
      <c r="BF331" s="40">
        <f t="shared" si="158"/>
        <v>2.4521654451197423</v>
      </c>
    </row>
    <row r="332" spans="45:58" x14ac:dyDescent="0.25">
      <c r="AS332">
        <v>2.6179938779914793</v>
      </c>
      <c r="AT332">
        <v>-166.36897995317196</v>
      </c>
      <c r="AU332">
        <v>107.73919158681383</v>
      </c>
      <c r="AV332">
        <f t="shared" si="154"/>
        <v>2.5669122127096413</v>
      </c>
      <c r="AW332">
        <f t="shared" si="155"/>
        <v>5.1081665281837996E-2</v>
      </c>
      <c r="AX332" s="40">
        <f t="shared" si="156"/>
        <v>-0.5746804408801518</v>
      </c>
      <c r="AY332">
        <f t="shared" si="157"/>
        <v>0.5746804408801518</v>
      </c>
      <c r="BF332" s="40">
        <f t="shared" si="158"/>
        <v>2.5669122127096413</v>
      </c>
    </row>
    <row r="333" spans="45:58" x14ac:dyDescent="0.25">
      <c r="AS333">
        <v>2.6354471705114224</v>
      </c>
      <c r="AT333">
        <v>-180.25190744549491</v>
      </c>
      <c r="AU333">
        <v>86.927027865906467</v>
      </c>
      <c r="AV333">
        <f t="shared" si="154"/>
        <v>2.6922431552973327</v>
      </c>
      <c r="AW333">
        <f t="shared" si="155"/>
        <v>5.6795984785910303E-2</v>
      </c>
      <c r="AX333" s="40">
        <f t="shared" si="156"/>
        <v>-0.4493494982924604</v>
      </c>
      <c r="AY333">
        <f t="shared" si="157"/>
        <v>0.4493494982924604</v>
      </c>
      <c r="BF333" s="40">
        <f t="shared" si="158"/>
        <v>2.6922431552973327</v>
      </c>
    </row>
    <row r="334" spans="45:58" x14ac:dyDescent="0.25">
      <c r="AS334">
        <v>2.6529004630313655</v>
      </c>
      <c r="AT334">
        <v>-190.93300242393616</v>
      </c>
      <c r="AU334">
        <v>68.088775764178109</v>
      </c>
      <c r="AV334">
        <f t="shared" si="154"/>
        <v>2.799040639011209</v>
      </c>
      <c r="AW334">
        <f t="shared" si="155"/>
        <v>0.14614017597984352</v>
      </c>
      <c r="AX334" s="40">
        <f t="shared" si="156"/>
        <v>-0.34255201457858409</v>
      </c>
      <c r="AY334">
        <f t="shared" si="157"/>
        <v>0.34255201457858409</v>
      </c>
      <c r="BF334" s="40">
        <f t="shared" si="158"/>
        <v>2.799040639011209</v>
      </c>
    </row>
    <row r="335" spans="45:58" x14ac:dyDescent="0.25">
      <c r="AS335">
        <v>2.6703537555513086</v>
      </c>
      <c r="AT335">
        <v>-200.81176970644003</v>
      </c>
      <c r="AU335">
        <v>49.108916291124146</v>
      </c>
      <c r="AV335">
        <f t="shared" si="154"/>
        <v>2.9017480730731511</v>
      </c>
      <c r="AW335">
        <f t="shared" si="155"/>
        <v>0.23139431752184247</v>
      </c>
      <c r="AX335" s="40">
        <f t="shared" si="156"/>
        <v>-0.23984458051664204</v>
      </c>
      <c r="AY335">
        <f t="shared" si="157"/>
        <v>0.23984458051664204</v>
      </c>
      <c r="BF335" s="40">
        <f t="shared" si="158"/>
        <v>2.9017480730731511</v>
      </c>
    </row>
    <row r="336" spans="45:58" x14ac:dyDescent="0.25">
      <c r="AS336">
        <v>2.6878070480712517</v>
      </c>
      <c r="AT336">
        <v>-210.75921733119395</v>
      </c>
      <c r="AU336">
        <v>29.154591818677858</v>
      </c>
      <c r="AV336">
        <f t="shared" si="154"/>
        <v>3.0041337298203734</v>
      </c>
      <c r="AW336">
        <f t="shared" si="155"/>
        <v>0.31632668174912171</v>
      </c>
      <c r="AX336" s="40">
        <f t="shared" si="156"/>
        <v>-0.13745892376941971</v>
      </c>
      <c r="AY336">
        <f t="shared" si="157"/>
        <v>0.13745892376941971</v>
      </c>
      <c r="BF336" s="40">
        <f t="shared" si="158"/>
        <v>3.0041337298203734</v>
      </c>
    </row>
    <row r="337" spans="45:58" x14ac:dyDescent="0.25">
      <c r="AS337">
        <v>2.7052603405911948</v>
      </c>
      <c r="AT337">
        <v>-220.71423907042174</v>
      </c>
      <c r="AU337">
        <v>8.2807945583412614</v>
      </c>
      <c r="AV337">
        <f t="shared" si="154"/>
        <v>3.1040920714512636</v>
      </c>
      <c r="AW337">
        <f t="shared" si="155"/>
        <v>0.39883173086006884</v>
      </c>
      <c r="AX337" s="40">
        <f t="shared" si="156"/>
        <v>-3.750058213852947E-2</v>
      </c>
      <c r="AY337">
        <f t="shared" si="157"/>
        <v>3.750058213852947E-2</v>
      </c>
      <c r="BF337" s="40">
        <f t="shared" si="158"/>
        <v>3.1040920714512636</v>
      </c>
    </row>
    <row r="338" spans="45:58" x14ac:dyDescent="0.25">
      <c r="AS338">
        <v>2.7227136331111379</v>
      </c>
      <c r="AT338">
        <v>-230.60720740770071</v>
      </c>
      <c r="AU338">
        <v>-13.429696532031357</v>
      </c>
      <c r="AV338">
        <f t="shared" si="154"/>
        <v>-3.083422115856465</v>
      </c>
      <c r="AW338">
        <f t="shared" si="155"/>
        <v>5.8061357489676029</v>
      </c>
      <c r="AX338" s="40">
        <f t="shared" si="156"/>
        <v>-6.2250147694462576</v>
      </c>
      <c r="AY338">
        <f t="shared" si="157"/>
        <v>6.2250147694462576</v>
      </c>
      <c r="BF338" s="40">
        <f t="shared" si="158"/>
        <v>-3.0834221158564645</v>
      </c>
    </row>
    <row r="339" spans="45:58" x14ac:dyDescent="0.25">
      <c r="AS339">
        <v>2.740166925631081</v>
      </c>
      <c r="AT339">
        <v>-240.34262324051895</v>
      </c>
      <c r="AU339">
        <v>-35.820840578608191</v>
      </c>
      <c r="AV339">
        <f t="shared" si="154"/>
        <v>-2.9936409968323963</v>
      </c>
      <c r="AW339">
        <f t="shared" si="155"/>
        <v>5.7338079224634768</v>
      </c>
      <c r="AX339" s="40">
        <f t="shared" si="156"/>
        <v>-6.1352336504221894</v>
      </c>
      <c r="AY339">
        <f t="shared" si="157"/>
        <v>6.1352336504221894</v>
      </c>
      <c r="BF339" s="40">
        <f t="shared" si="158"/>
        <v>-2.9936409968323963</v>
      </c>
    </row>
    <row r="340" spans="45:58" x14ac:dyDescent="0.25">
      <c r="AS340">
        <v>2.7576202181510241</v>
      </c>
      <c r="AT340">
        <v>-249.45237684731137</v>
      </c>
      <c r="AU340">
        <v>-57.809334839059403</v>
      </c>
      <c r="AV340">
        <f t="shared" si="154"/>
        <v>-2.9138675949529764</v>
      </c>
      <c r="AW340">
        <f t="shared" si="155"/>
        <v>5.671487813104001</v>
      </c>
      <c r="AX340" s="40">
        <f t="shared" si="156"/>
        <v>-6.0554602485427695</v>
      </c>
      <c r="AY340">
        <f t="shared" si="157"/>
        <v>6.0554602485427695</v>
      </c>
      <c r="BF340" s="40">
        <f t="shared" si="158"/>
        <v>-2.9138675949529764</v>
      </c>
    </row>
    <row r="341" spans="45:58" x14ac:dyDescent="0.25">
      <c r="AS341">
        <v>2.7750735106709672</v>
      </c>
      <c r="AT341">
        <v>-257.72842071493608</v>
      </c>
      <c r="AU341">
        <v>-78.814131466049616</v>
      </c>
      <c r="AV341">
        <f t="shared" si="154"/>
        <v>-2.844820519783323</v>
      </c>
      <c r="AW341">
        <f t="shared" si="155"/>
        <v>5.6198940304542901</v>
      </c>
      <c r="AX341" s="40">
        <f t="shared" si="156"/>
        <v>-5.9864131733731156</v>
      </c>
      <c r="AY341">
        <f t="shared" si="157"/>
        <v>5.9864131733731156</v>
      </c>
      <c r="BF341" s="40">
        <f t="shared" si="158"/>
        <v>-2.8448205197833225</v>
      </c>
    </row>
    <row r="342" spans="45:58" x14ac:dyDescent="0.25">
      <c r="AS342">
        <v>2.7925268031909103</v>
      </c>
      <c r="AT342">
        <v>-265.14288919800708</v>
      </c>
      <c r="AU342">
        <v>-98.638654113377257</v>
      </c>
      <c r="AV342">
        <f t="shared" si="154"/>
        <v>-2.7854364913181318</v>
      </c>
      <c r="AW342">
        <f t="shared" si="155"/>
        <v>5.5779632945090416</v>
      </c>
      <c r="AX342" s="40">
        <f t="shared" si="156"/>
        <v>-5.9270291449079249</v>
      </c>
      <c r="AY342">
        <f t="shared" si="157"/>
        <v>5.9270291449079249</v>
      </c>
      <c r="BF342" s="40">
        <f t="shared" si="158"/>
        <v>-2.7854364913181318</v>
      </c>
    </row>
    <row r="343" spans="45:58" x14ac:dyDescent="0.25">
      <c r="AS343">
        <v>2.8099800957108534</v>
      </c>
      <c r="AT343">
        <v>-271.63932242999516</v>
      </c>
      <c r="AU343">
        <v>-116.97567612685285</v>
      </c>
      <c r="AV343">
        <f t="shared" si="154"/>
        <v>-2.7349641608155837</v>
      </c>
      <c r="AW343">
        <f t="shared" si="155"/>
        <v>5.5449442565264366</v>
      </c>
      <c r="AX343" s="40">
        <f t="shared" si="156"/>
        <v>-5.8765568144053768</v>
      </c>
      <c r="AY343">
        <f t="shared" si="157"/>
        <v>5.8765568144053768</v>
      </c>
      <c r="BF343" s="40">
        <f t="shared" si="158"/>
        <v>-2.7349641608155837</v>
      </c>
    </row>
    <row r="344" spans="45:58" x14ac:dyDescent="0.25">
      <c r="AS344">
        <v>2.8274333882307965</v>
      </c>
      <c r="AT344">
        <v>-277.11455552018094</v>
      </c>
      <c r="AU344">
        <v>-133.32773200125536</v>
      </c>
      <c r="AV344">
        <f t="shared" si="154"/>
        <v>-2.6931558376706839</v>
      </c>
      <c r="AW344">
        <f t="shared" si="155"/>
        <v>5.5205892259014799</v>
      </c>
      <c r="AX344" s="40">
        <f t="shared" si="156"/>
        <v>-5.834748491260477</v>
      </c>
      <c r="AY344">
        <f t="shared" si="157"/>
        <v>5.834748491260477</v>
      </c>
      <c r="BF344" s="40">
        <f t="shared" si="158"/>
        <v>-2.6931558376706839</v>
      </c>
    </row>
    <row r="345" spans="45:58" x14ac:dyDescent="0.25">
      <c r="AS345">
        <v>2.8448866807507396</v>
      </c>
      <c r="AT345">
        <v>-281.3815355165795</v>
      </c>
      <c r="AU345">
        <v>-146.84304144716072</v>
      </c>
      <c r="AV345">
        <f t="shared" si="154"/>
        <v>-2.6606068140374215</v>
      </c>
      <c r="AW345">
        <f t="shared" si="155"/>
        <v>5.5054934947881611</v>
      </c>
      <c r="AX345" s="40">
        <f t="shared" si="156"/>
        <v>-5.8021994676272151</v>
      </c>
      <c r="AY345">
        <f t="shared" si="157"/>
        <v>5.8021994676272151</v>
      </c>
      <c r="BF345" s="40">
        <f t="shared" si="158"/>
        <v>-2.6606068140374219</v>
      </c>
    </row>
    <row r="346" spans="45:58" x14ac:dyDescent="0.25">
      <c r="AS346">
        <v>2.8623399732706827</v>
      </c>
      <c r="AT346">
        <v>-284.08274538028934</v>
      </c>
      <c r="AU346">
        <v>-155.93188739583229</v>
      </c>
      <c r="AV346">
        <f t="shared" si="154"/>
        <v>-2.6395974255947694</v>
      </c>
      <c r="AW346">
        <f t="shared" si="155"/>
        <v>5.5019373988654525</v>
      </c>
      <c r="AX346" s="40">
        <f t="shared" si="156"/>
        <v>-5.7811900791845625</v>
      </c>
      <c r="AY346">
        <f t="shared" si="157"/>
        <v>5.7811900791845625</v>
      </c>
      <c r="BF346" s="40">
        <f t="shared" si="158"/>
        <v>-2.6395974255947694</v>
      </c>
    </row>
    <row r="347" spans="45:58" x14ac:dyDescent="0.25">
      <c r="AS347">
        <v>2.8797932657906258</v>
      </c>
      <c r="AT347">
        <v>-284.75979354361175</v>
      </c>
      <c r="AU347">
        <v>-158.3411320674106</v>
      </c>
      <c r="AV347">
        <f t="shared" si="154"/>
        <v>-2.6341151942924883</v>
      </c>
      <c r="AW347">
        <f t="shared" si="155"/>
        <v>5.5139084600831136</v>
      </c>
      <c r="AX347" s="40">
        <f t="shared" si="156"/>
        <v>-5.7757078478822814</v>
      </c>
      <c r="AY347">
        <f t="shared" si="157"/>
        <v>5.7757078478822814</v>
      </c>
      <c r="BF347" s="40">
        <f t="shared" si="158"/>
        <v>-2.6341151942924883</v>
      </c>
    </row>
    <row r="348" spans="45:58" x14ac:dyDescent="0.25">
      <c r="AS348">
        <v>2.8972465583105689</v>
      </c>
      <c r="AT348">
        <v>-284.9808552108928</v>
      </c>
      <c r="AU348">
        <v>-159.19584466949709</v>
      </c>
      <c r="AV348">
        <f t="shared" si="154"/>
        <v>-2.6321559275036002</v>
      </c>
      <c r="AW348">
        <f t="shared" si="155"/>
        <v>5.5294024858141686</v>
      </c>
      <c r="AX348" s="40">
        <f t="shared" si="156"/>
        <v>-5.7737485810933933</v>
      </c>
      <c r="AY348">
        <f t="shared" si="157"/>
        <v>5.7737485810933933</v>
      </c>
      <c r="BF348" s="40">
        <f t="shared" si="158"/>
        <v>-2.6321559275036002</v>
      </c>
    </row>
    <row r="349" spans="45:58" x14ac:dyDescent="0.25">
      <c r="AS349">
        <v>2.914699850830512</v>
      </c>
      <c r="AT349">
        <v>-285.18429162060272</v>
      </c>
      <c r="AU349">
        <v>-160.04315002733574</v>
      </c>
      <c r="AV349">
        <f t="shared" si="154"/>
        <v>-2.6301973440598241</v>
      </c>
      <c r="AW349">
        <f t="shared" si="155"/>
        <v>5.5448971948903356</v>
      </c>
      <c r="AX349" s="40">
        <f t="shared" si="156"/>
        <v>-5.7717899976496172</v>
      </c>
      <c r="AY349">
        <f t="shared" si="157"/>
        <v>5.7717899976496172</v>
      </c>
      <c r="BF349" s="40">
        <f t="shared" si="158"/>
        <v>-2.6301973440598241</v>
      </c>
    </row>
    <row r="350" spans="45:58" x14ac:dyDescent="0.25">
      <c r="AS350">
        <v>2.9321531433504551</v>
      </c>
      <c r="AT350">
        <v>-285.37064171690804</v>
      </c>
      <c r="AU350">
        <v>-160.88365381934511</v>
      </c>
      <c r="AV350">
        <f t="shared" si="154"/>
        <v>-2.6282383119020682</v>
      </c>
      <c r="AW350">
        <f t="shared" si="155"/>
        <v>5.5603914552525229</v>
      </c>
      <c r="AX350" s="40">
        <f t="shared" si="156"/>
        <v>-5.7698309654918614</v>
      </c>
      <c r="AY350">
        <f t="shared" si="157"/>
        <v>5.7698309654918614</v>
      </c>
      <c r="BF350" s="40">
        <f t="shared" si="158"/>
        <v>-2.6282383119020682</v>
      </c>
    </row>
    <row r="351" spans="45:58" x14ac:dyDescent="0.25">
      <c r="AS351">
        <v>2.9496064358703982</v>
      </c>
      <c r="AT351">
        <v>-285.5403933983136</v>
      </c>
      <c r="AU351">
        <v>-161.71794381057782</v>
      </c>
      <c r="AV351">
        <f t="shared" si="154"/>
        <v>-2.6262776961390029</v>
      </c>
      <c r="AW351">
        <f t="shared" si="155"/>
        <v>5.575884132009401</v>
      </c>
      <c r="AX351" s="40">
        <f t="shared" si="156"/>
        <v>-5.7678703497287955</v>
      </c>
      <c r="AY351">
        <f t="shared" si="157"/>
        <v>5.7678703497287955</v>
      </c>
      <c r="BF351" s="40">
        <f t="shared" si="158"/>
        <v>-2.6262776961390024</v>
      </c>
    </row>
    <row r="352" spans="45:58" x14ac:dyDescent="0.25">
      <c r="AS352">
        <v>2.9670597283903413</v>
      </c>
      <c r="AT352">
        <v>-285.69398628335489</v>
      </c>
      <c r="AU352">
        <v>-162.54659158548054</v>
      </c>
      <c r="AV352">
        <f t="shared" si="154"/>
        <v>-2.6243143565470377</v>
      </c>
      <c r="AW352">
        <f t="shared" si="155"/>
        <v>5.591374084937379</v>
      </c>
      <c r="AX352" s="40">
        <f t="shared" si="156"/>
        <v>-5.7659070101368304</v>
      </c>
      <c r="AY352">
        <f t="shared" si="157"/>
        <v>5.7659070101368304</v>
      </c>
      <c r="BF352" s="40">
        <f t="shared" si="158"/>
        <v>-2.6243143565470373</v>
      </c>
    </row>
    <row r="353" spans="45:58" x14ac:dyDescent="0.25">
      <c r="AS353">
        <v>2.9845130209102844</v>
      </c>
      <c r="AT353">
        <v>-285.83181417983042</v>
      </c>
      <c r="AU353">
        <v>-163.37015418910298</v>
      </c>
      <c r="AV353">
        <f t="shared" si="154"/>
        <v>-2.6223471450495062</v>
      </c>
      <c r="AW353">
        <f t="shared" si="155"/>
        <v>5.606860165959791</v>
      </c>
      <c r="AX353" s="40">
        <f t="shared" si="156"/>
        <v>-5.7639397986392993</v>
      </c>
      <c r="AY353">
        <f t="shared" si="157"/>
        <v>5.7639397986392993</v>
      </c>
      <c r="BF353" s="40">
        <f t="shared" si="158"/>
        <v>-2.6223471450495062</v>
      </c>
    </row>
    <row r="354" spans="45:58" x14ac:dyDescent="0.25">
      <c r="AS354">
        <v>3.0019663134302275</v>
      </c>
      <c r="AT354">
        <v>-285.9542272948238</v>
      </c>
      <c r="AU354">
        <v>-164.18917568715938</v>
      </c>
      <c r="AV354">
        <f t="shared" si="154"/>
        <v>-2.6203749031844161</v>
      </c>
      <c r="AW354">
        <f t="shared" si="155"/>
        <v>5.6223412166146431</v>
      </c>
      <c r="AX354" s="40">
        <f t="shared" si="156"/>
        <v>-5.7619675567742092</v>
      </c>
      <c r="AY354">
        <f t="shared" si="157"/>
        <v>5.7619675567742092</v>
      </c>
      <c r="BF354" s="40">
        <f t="shared" si="158"/>
        <v>-2.6203749031844161</v>
      </c>
    </row>
    <row r="355" spans="45:58" x14ac:dyDescent="0.25">
      <c r="AS355">
        <v>3.0194196059501706</v>
      </c>
      <c r="AT355">
        <v>-286.06153409759952</v>
      </c>
      <c r="AU355">
        <v>-165.00418865455578</v>
      </c>
      <c r="AV355">
        <f t="shared" si="154"/>
        <v>-2.6183964593851976</v>
      </c>
      <c r="AW355">
        <f t="shared" si="155"/>
        <v>5.6378160653353682</v>
      </c>
      <c r="AX355" s="40">
        <f t="shared" si="156"/>
        <v>-5.7599891129749903</v>
      </c>
      <c r="AY355">
        <f t="shared" si="157"/>
        <v>5.7599891129749903</v>
      </c>
      <c r="BF355" s="40">
        <f t="shared" si="158"/>
        <v>-2.6183964593851972</v>
      </c>
    </row>
    <row r="356" spans="45:58" x14ac:dyDescent="0.25">
      <c r="AS356">
        <v>3.0368728984701137</v>
      </c>
      <c r="AT356">
        <v>-286.15400305312744</v>
      </c>
      <c r="AU356">
        <v>-165.81571560130459</v>
      </c>
      <c r="AV356">
        <f t="shared" si="154"/>
        <v>-2.6164106263633315</v>
      </c>
      <c r="AW356">
        <f t="shared" si="155"/>
        <v>5.6532835248334452</v>
      </c>
      <c r="AX356" s="40">
        <f t="shared" si="156"/>
        <v>-5.7580032799531242</v>
      </c>
      <c r="AY356">
        <f t="shared" si="157"/>
        <v>5.7580032799531242</v>
      </c>
      <c r="BF356" s="40">
        <f t="shared" si="158"/>
        <v>-2.6164106263633311</v>
      </c>
    </row>
    <row r="357" spans="45:58" x14ac:dyDescent="0.25">
      <c r="AS357">
        <v>3.0543261909900568</v>
      </c>
      <c r="AT357">
        <v>-286.2318640002199</v>
      </c>
      <c r="AU357">
        <v>-166.62427034415919</v>
      </c>
      <c r="AV357">
        <f t="shared" si="154"/>
        <v>-2.6144161982154266</v>
      </c>
      <c r="AW357">
        <f t="shared" si="155"/>
        <v>5.6687423892054838</v>
      </c>
      <c r="AX357" s="40">
        <f t="shared" si="156"/>
        <v>-5.7560088518052197</v>
      </c>
      <c r="AY357">
        <f t="shared" si="157"/>
        <v>5.7560088518052197</v>
      </c>
      <c r="BF357" s="40">
        <f t="shared" si="158"/>
        <v>-2.6144161982154266</v>
      </c>
    </row>
    <row r="358" spans="45:58" x14ac:dyDescent="0.25">
      <c r="AS358">
        <v>3.0717794835099999</v>
      </c>
      <c r="AT358">
        <v>-286.29530944651037</v>
      </c>
      <c r="AU358">
        <v>-167.43035933179192</v>
      </c>
      <c r="AV358">
        <f t="shared" si="154"/>
        <v>-2.6124119476326202</v>
      </c>
      <c r="AW358">
        <f t="shared" si="155"/>
        <v>5.6841914311426205</v>
      </c>
      <c r="AX358" s="40">
        <f t="shared" si="156"/>
        <v>-5.7540046012224133</v>
      </c>
      <c r="AY358">
        <f t="shared" si="157"/>
        <v>5.7540046012224133</v>
      </c>
      <c r="BF358" s="40">
        <f t="shared" si="158"/>
        <v>-2.6124119476326202</v>
      </c>
    </row>
    <row r="359" spans="45:58" x14ac:dyDescent="0.25">
      <c r="AS359">
        <v>3.089232776029943</v>
      </c>
      <c r="AT359">
        <v>-286.34449550586805</v>
      </c>
      <c r="AU359">
        <v>-168.23448293090752</v>
      </c>
      <c r="AV359">
        <f t="shared" si="154"/>
        <v>-2.6103966227650219</v>
      </c>
      <c r="AW359">
        <f t="shared" si="155"/>
        <v>5.6996293987949649</v>
      </c>
      <c r="AX359" s="40">
        <f t="shared" si="156"/>
        <v>-5.7519892763548146</v>
      </c>
      <c r="AY359">
        <f t="shared" si="157"/>
        <v>5.7519892763548146</v>
      </c>
      <c r="BF359" s="40">
        <f t="shared" si="158"/>
        <v>-2.6103966227650215</v>
      </c>
    </row>
    <row r="360" spans="45:58" x14ac:dyDescent="0.25">
      <c r="AS360">
        <v>3.106686068549886</v>
      </c>
      <c r="AT360">
        <v>-286.37954280522945</v>
      </c>
      <c r="AU360">
        <v>-169.03713668032788</v>
      </c>
      <c r="AV360">
        <f t="shared" si="154"/>
        <v>-2.6083689442079496</v>
      </c>
      <c r="AW360">
        <f t="shared" si="155"/>
        <v>5.7150550127578352</v>
      </c>
      <c r="AX360" s="40">
        <f t="shared" si="156"/>
        <v>-5.7499615977977427</v>
      </c>
      <c r="AY360">
        <f t="shared" si="157"/>
        <v>5.7499615977977427</v>
      </c>
      <c r="BF360" s="40">
        <f t="shared" si="158"/>
        <v>-2.6083689442079496</v>
      </c>
    </row>
    <row r="361" spans="45:58" x14ac:dyDescent="0.25">
      <c r="AS361">
        <v>3.1241393610698291</v>
      </c>
      <c r="AT361">
        <v>-286.40053702814976</v>
      </c>
      <c r="AU361">
        <v>-169.83881251979381</v>
      </c>
      <c r="AV361">
        <f t="shared" si="154"/>
        <v>-2.6063276015759085</v>
      </c>
      <c r="AW361">
        <f t="shared" si="155"/>
        <v>5.7304669626457372</v>
      </c>
      <c r="AX361" s="40">
        <f t="shared" si="156"/>
        <v>-5.7479202551657016</v>
      </c>
      <c r="AY361">
        <f t="shared" si="157"/>
        <v>5.7479202551657016</v>
      </c>
      <c r="BF361" s="40">
        <f t="shared" si="158"/>
        <v>-2.6063276015759085</v>
      </c>
    </row>
    <row r="362" spans="45:58" x14ac:dyDescent="0.25">
      <c r="AS362">
        <v>3.1415926535897722</v>
      </c>
      <c r="AT362">
        <v>-286.40752941242312</v>
      </c>
      <c r="AU362">
        <v>-170.63999999999908</v>
      </c>
      <c r="AV362">
        <f t="shared" si="154"/>
        <v>-2.6042712501206937</v>
      </c>
      <c r="AW362">
        <f t="shared" si="155"/>
        <v>5.7458639037104664</v>
      </c>
      <c r="AX362" s="40">
        <f t="shared" si="156"/>
        <v>-5.7458639037104868</v>
      </c>
      <c r="AY362">
        <f t="shared" si="157"/>
        <v>5.7458639037104868</v>
      </c>
      <c r="BF362" s="40">
        <f t="shared" si="158"/>
        <v>-2.6042712501206937</v>
      </c>
    </row>
  </sheetData>
  <phoneticPr fontId="3" type="noConversion"/>
  <dataValidations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section_method_for_na_vector">
                <anchor moveWithCells="1" sizeWithCells="1">
                  <from>
                    <xdr:col>19</xdr:col>
                    <xdr:colOff>295275</xdr:colOff>
                    <xdr:row>24</xdr:row>
                    <xdr:rowOff>85725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2020-11-10T21:55:43Z</dcterms:modified>
</cp:coreProperties>
</file>