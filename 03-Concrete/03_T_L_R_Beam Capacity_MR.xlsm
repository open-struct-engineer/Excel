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187823" documentId="114_{4C9766C2-934B-FE43-8898-95272A9847CE}" xr6:coauthVersionLast="45" xr6:coauthVersionMax="45" xr10:uidLastSave="{7C677BA6-EDD7-41EF-A1C6-D8CAD081B507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" i="1" l="1"/>
  <c r="AS5" i="1"/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I2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K194" i="1" s="1"/>
  <c r="M194" i="1" s="1"/>
  <c r="C112" i="1"/>
  <c r="J112" i="1" s="1"/>
  <c r="L112" i="1" s="1"/>
  <c r="C193" i="1"/>
  <c r="K193" i="1" s="1"/>
  <c r="M193" i="1" s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N194" i="1"/>
  <c r="P194" i="1" s="1"/>
  <c r="N193" i="1"/>
  <c r="O193" i="1" s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O194" i="1" l="1"/>
  <c r="P193" i="1"/>
  <c r="F108" i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L193" i="1" l="1"/>
  <c r="L194" i="1"/>
  <c r="B151" i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B127" i="1" l="1"/>
  <c r="Z15" i="1"/>
  <c r="F127" i="1"/>
  <c r="F126" i="1"/>
  <c r="C117" i="1"/>
  <c r="AB15" i="1" s="1"/>
  <c r="B125" i="1"/>
  <c r="C116" i="1"/>
  <c r="AA15" i="1" s="1"/>
  <c r="F125" i="1"/>
  <c r="B120" i="1"/>
  <c r="B119" i="1"/>
  <c r="B126" i="1"/>
  <c r="B131" i="1" l="1"/>
  <c r="B132" i="1" s="1"/>
  <c r="BW5" i="1" s="1"/>
  <c r="BW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15" i="1" l="1"/>
  <c r="CD15" i="1" s="1"/>
  <c r="BX16" i="1"/>
  <c r="CD16" i="1" s="1"/>
  <c r="BX24" i="1"/>
  <c r="CD24" i="1" s="1"/>
  <c r="BX32" i="1"/>
  <c r="CD32" i="1" s="1"/>
  <c r="BX40" i="1"/>
  <c r="CD40" i="1" s="1"/>
  <c r="BX48" i="1"/>
  <c r="CD48" i="1" s="1"/>
  <c r="BX56" i="1"/>
  <c r="CD56" i="1" s="1"/>
  <c r="BX64" i="1"/>
  <c r="CD64" i="1" s="1"/>
  <c r="BX72" i="1"/>
  <c r="CD72" i="1" s="1"/>
  <c r="BX80" i="1"/>
  <c r="CD80" i="1" s="1"/>
  <c r="BX88" i="1"/>
  <c r="CD88" i="1" s="1"/>
  <c r="BX96" i="1"/>
  <c r="CD96" i="1" s="1"/>
  <c r="BX104" i="1"/>
  <c r="CD104" i="1" s="1"/>
  <c r="BX112" i="1"/>
  <c r="CD112" i="1" s="1"/>
  <c r="BX120" i="1"/>
  <c r="CD120" i="1" s="1"/>
  <c r="BX128" i="1"/>
  <c r="CD128" i="1" s="1"/>
  <c r="BX136" i="1"/>
  <c r="CD136" i="1" s="1"/>
  <c r="BX144" i="1"/>
  <c r="CD144" i="1" s="1"/>
  <c r="BX152" i="1"/>
  <c r="CD152" i="1" s="1"/>
  <c r="BX160" i="1"/>
  <c r="CD160" i="1" s="1"/>
  <c r="BX168" i="1"/>
  <c r="CD168" i="1" s="1"/>
  <c r="BX176" i="1"/>
  <c r="CD176" i="1" s="1"/>
  <c r="BX184" i="1"/>
  <c r="CD184" i="1" s="1"/>
  <c r="BX192" i="1"/>
  <c r="CD192" i="1" s="1"/>
  <c r="BX200" i="1"/>
  <c r="CD200" i="1" s="1"/>
  <c r="BX208" i="1"/>
  <c r="CD208" i="1" s="1"/>
  <c r="BX216" i="1"/>
  <c r="CD216" i="1" s="1"/>
  <c r="BX224" i="1"/>
  <c r="CD224" i="1" s="1"/>
  <c r="BX232" i="1"/>
  <c r="CD232" i="1" s="1"/>
  <c r="BX240" i="1"/>
  <c r="CD240" i="1" s="1"/>
  <c r="BX248" i="1"/>
  <c r="CD248" i="1" s="1"/>
  <c r="BX256" i="1"/>
  <c r="CD256" i="1" s="1"/>
  <c r="BX264" i="1"/>
  <c r="CD264" i="1" s="1"/>
  <c r="BX272" i="1"/>
  <c r="CD272" i="1" s="1"/>
  <c r="BX280" i="1"/>
  <c r="CD280" i="1" s="1"/>
  <c r="BX288" i="1"/>
  <c r="CD288" i="1" s="1"/>
  <c r="BX296" i="1"/>
  <c r="CD296" i="1" s="1"/>
  <c r="BX304" i="1"/>
  <c r="CD304" i="1" s="1"/>
  <c r="BX312" i="1"/>
  <c r="CD312" i="1" s="1"/>
  <c r="BX320" i="1"/>
  <c r="CD320" i="1" s="1"/>
  <c r="BX328" i="1"/>
  <c r="CD328" i="1" s="1"/>
  <c r="BX336" i="1"/>
  <c r="CD336" i="1" s="1"/>
  <c r="BX344" i="1"/>
  <c r="CD344" i="1" s="1"/>
  <c r="BX352" i="1"/>
  <c r="CD352" i="1" s="1"/>
  <c r="BX360" i="1"/>
  <c r="CD360" i="1" s="1"/>
  <c r="BX368" i="1"/>
  <c r="CD368" i="1" s="1"/>
  <c r="BX300" i="1"/>
  <c r="CD300" i="1" s="1"/>
  <c r="BX340" i="1"/>
  <c r="CD340" i="1" s="1"/>
  <c r="BX341" i="1"/>
  <c r="CD341" i="1" s="1"/>
  <c r="BX39" i="1"/>
  <c r="CD39" i="1" s="1"/>
  <c r="BX135" i="1"/>
  <c r="CD135" i="1" s="1"/>
  <c r="BX215" i="1"/>
  <c r="CD215" i="1" s="1"/>
  <c r="BX311" i="1"/>
  <c r="CD311" i="1" s="1"/>
  <c r="BX17" i="1"/>
  <c r="CD17" i="1" s="1"/>
  <c r="BX25" i="1"/>
  <c r="CD25" i="1" s="1"/>
  <c r="BX33" i="1"/>
  <c r="CD33" i="1" s="1"/>
  <c r="BX41" i="1"/>
  <c r="CD41" i="1" s="1"/>
  <c r="BX49" i="1"/>
  <c r="CD49" i="1" s="1"/>
  <c r="BX57" i="1"/>
  <c r="CD57" i="1" s="1"/>
  <c r="BX65" i="1"/>
  <c r="CD65" i="1" s="1"/>
  <c r="BX73" i="1"/>
  <c r="CD73" i="1" s="1"/>
  <c r="BX81" i="1"/>
  <c r="CD81" i="1" s="1"/>
  <c r="BX89" i="1"/>
  <c r="CD89" i="1" s="1"/>
  <c r="BX97" i="1"/>
  <c r="CD97" i="1" s="1"/>
  <c r="BX105" i="1"/>
  <c r="CD105" i="1" s="1"/>
  <c r="BX113" i="1"/>
  <c r="CD113" i="1" s="1"/>
  <c r="BX121" i="1"/>
  <c r="CD121" i="1" s="1"/>
  <c r="BX129" i="1"/>
  <c r="CD129" i="1" s="1"/>
  <c r="BX137" i="1"/>
  <c r="CD137" i="1" s="1"/>
  <c r="BX145" i="1"/>
  <c r="CD145" i="1" s="1"/>
  <c r="BX153" i="1"/>
  <c r="CD153" i="1" s="1"/>
  <c r="BX161" i="1"/>
  <c r="CD161" i="1" s="1"/>
  <c r="BX169" i="1"/>
  <c r="CD169" i="1" s="1"/>
  <c r="BX177" i="1"/>
  <c r="CD177" i="1" s="1"/>
  <c r="BX185" i="1"/>
  <c r="CD185" i="1" s="1"/>
  <c r="BX193" i="1"/>
  <c r="CD193" i="1" s="1"/>
  <c r="BX201" i="1"/>
  <c r="CD201" i="1" s="1"/>
  <c r="BX209" i="1"/>
  <c r="CD209" i="1" s="1"/>
  <c r="BX217" i="1"/>
  <c r="CD217" i="1" s="1"/>
  <c r="BX225" i="1"/>
  <c r="CD225" i="1" s="1"/>
  <c r="BX233" i="1"/>
  <c r="CD233" i="1" s="1"/>
  <c r="BX241" i="1"/>
  <c r="CD241" i="1" s="1"/>
  <c r="BX249" i="1"/>
  <c r="CD249" i="1" s="1"/>
  <c r="BX257" i="1"/>
  <c r="CD257" i="1" s="1"/>
  <c r="BX265" i="1"/>
  <c r="CD265" i="1" s="1"/>
  <c r="BX273" i="1"/>
  <c r="CD273" i="1" s="1"/>
  <c r="BX281" i="1"/>
  <c r="CD281" i="1" s="1"/>
  <c r="BX289" i="1"/>
  <c r="CD289" i="1" s="1"/>
  <c r="BX297" i="1"/>
  <c r="CD297" i="1" s="1"/>
  <c r="BX305" i="1"/>
  <c r="CD305" i="1" s="1"/>
  <c r="BX313" i="1"/>
  <c r="CD313" i="1" s="1"/>
  <c r="BX321" i="1"/>
  <c r="CD321" i="1" s="1"/>
  <c r="BX329" i="1"/>
  <c r="CD329" i="1" s="1"/>
  <c r="BX337" i="1"/>
  <c r="CD337" i="1" s="1"/>
  <c r="BX345" i="1"/>
  <c r="CD345" i="1" s="1"/>
  <c r="BX353" i="1"/>
  <c r="CD353" i="1" s="1"/>
  <c r="BX361" i="1"/>
  <c r="CD361" i="1" s="1"/>
  <c r="BX369" i="1"/>
  <c r="CD369" i="1" s="1"/>
  <c r="BX316" i="1"/>
  <c r="CD316" i="1" s="1"/>
  <c r="BX356" i="1"/>
  <c r="CD356" i="1" s="1"/>
  <c r="BX349" i="1"/>
  <c r="CD349" i="1" s="1"/>
  <c r="BX55" i="1"/>
  <c r="CD55" i="1" s="1"/>
  <c r="BX95" i="1"/>
  <c r="CD95" i="1" s="1"/>
  <c r="BX167" i="1"/>
  <c r="CD167" i="1" s="1"/>
  <c r="BX239" i="1"/>
  <c r="CD239" i="1" s="1"/>
  <c r="BX287" i="1"/>
  <c r="CD287" i="1" s="1"/>
  <c r="BX343" i="1"/>
  <c r="CD343" i="1" s="1"/>
  <c r="BX18" i="1"/>
  <c r="CD18" i="1" s="1"/>
  <c r="BX26" i="1"/>
  <c r="CD26" i="1" s="1"/>
  <c r="BX34" i="1"/>
  <c r="CD34" i="1" s="1"/>
  <c r="BX42" i="1"/>
  <c r="CD42" i="1" s="1"/>
  <c r="BX50" i="1"/>
  <c r="CD50" i="1" s="1"/>
  <c r="BX58" i="1"/>
  <c r="CD58" i="1" s="1"/>
  <c r="BX66" i="1"/>
  <c r="CD66" i="1" s="1"/>
  <c r="BX74" i="1"/>
  <c r="CD74" i="1" s="1"/>
  <c r="BX82" i="1"/>
  <c r="CD82" i="1" s="1"/>
  <c r="BX90" i="1"/>
  <c r="CD90" i="1" s="1"/>
  <c r="BX98" i="1"/>
  <c r="CD98" i="1" s="1"/>
  <c r="BX106" i="1"/>
  <c r="CD106" i="1" s="1"/>
  <c r="BX114" i="1"/>
  <c r="CD114" i="1" s="1"/>
  <c r="BX122" i="1"/>
  <c r="CD122" i="1" s="1"/>
  <c r="BX130" i="1"/>
  <c r="CD130" i="1" s="1"/>
  <c r="BX138" i="1"/>
  <c r="CD138" i="1" s="1"/>
  <c r="BX146" i="1"/>
  <c r="CD146" i="1" s="1"/>
  <c r="BX154" i="1"/>
  <c r="CD154" i="1" s="1"/>
  <c r="BX162" i="1"/>
  <c r="CD162" i="1" s="1"/>
  <c r="BX170" i="1"/>
  <c r="CD170" i="1" s="1"/>
  <c r="BX178" i="1"/>
  <c r="CD178" i="1" s="1"/>
  <c r="BX186" i="1"/>
  <c r="CD186" i="1" s="1"/>
  <c r="BX194" i="1"/>
  <c r="CD194" i="1" s="1"/>
  <c r="BX202" i="1"/>
  <c r="CD202" i="1" s="1"/>
  <c r="BX210" i="1"/>
  <c r="CD210" i="1" s="1"/>
  <c r="BX218" i="1"/>
  <c r="CD218" i="1" s="1"/>
  <c r="BX226" i="1"/>
  <c r="CD226" i="1" s="1"/>
  <c r="BX234" i="1"/>
  <c r="CD234" i="1" s="1"/>
  <c r="BX242" i="1"/>
  <c r="CD242" i="1" s="1"/>
  <c r="BX250" i="1"/>
  <c r="CD250" i="1" s="1"/>
  <c r="BX258" i="1"/>
  <c r="CD258" i="1" s="1"/>
  <c r="BX266" i="1"/>
  <c r="CD266" i="1" s="1"/>
  <c r="BX274" i="1"/>
  <c r="CD274" i="1" s="1"/>
  <c r="BX282" i="1"/>
  <c r="CD282" i="1" s="1"/>
  <c r="BX290" i="1"/>
  <c r="CD290" i="1" s="1"/>
  <c r="BX298" i="1"/>
  <c r="CD298" i="1" s="1"/>
  <c r="BX306" i="1"/>
  <c r="CD306" i="1" s="1"/>
  <c r="BX314" i="1"/>
  <c r="CD314" i="1" s="1"/>
  <c r="BX322" i="1"/>
  <c r="CD322" i="1" s="1"/>
  <c r="BX330" i="1"/>
  <c r="CD330" i="1" s="1"/>
  <c r="BX338" i="1"/>
  <c r="CD338" i="1" s="1"/>
  <c r="BX346" i="1"/>
  <c r="CD346" i="1" s="1"/>
  <c r="BX354" i="1"/>
  <c r="CD354" i="1" s="1"/>
  <c r="BX362" i="1"/>
  <c r="CD362" i="1" s="1"/>
  <c r="BX370" i="1"/>
  <c r="CD370" i="1" s="1"/>
  <c r="BX308" i="1"/>
  <c r="CD308" i="1" s="1"/>
  <c r="BX348" i="1"/>
  <c r="CD348" i="1" s="1"/>
  <c r="BX357" i="1"/>
  <c r="CD357" i="1" s="1"/>
  <c r="BX23" i="1"/>
  <c r="CD23" i="1" s="1"/>
  <c r="BX79" i="1"/>
  <c r="CD79" i="1" s="1"/>
  <c r="BX87" i="1"/>
  <c r="CD87" i="1" s="1"/>
  <c r="BX111" i="1"/>
  <c r="CD111" i="1" s="1"/>
  <c r="BX151" i="1"/>
  <c r="CD151" i="1" s="1"/>
  <c r="BX191" i="1"/>
  <c r="CD191" i="1" s="1"/>
  <c r="BX231" i="1"/>
  <c r="CD231" i="1" s="1"/>
  <c r="BX255" i="1"/>
  <c r="CD255" i="1" s="1"/>
  <c r="BX279" i="1"/>
  <c r="CD279" i="1" s="1"/>
  <c r="BX319" i="1"/>
  <c r="CD319" i="1" s="1"/>
  <c r="BX367" i="1"/>
  <c r="CD367" i="1" s="1"/>
  <c r="BX19" i="1"/>
  <c r="CD19" i="1" s="1"/>
  <c r="BX27" i="1"/>
  <c r="CD27" i="1" s="1"/>
  <c r="BX35" i="1"/>
  <c r="CD35" i="1" s="1"/>
  <c r="BX43" i="1"/>
  <c r="CD43" i="1" s="1"/>
  <c r="BX51" i="1"/>
  <c r="CD51" i="1" s="1"/>
  <c r="BX59" i="1"/>
  <c r="CD59" i="1" s="1"/>
  <c r="BX67" i="1"/>
  <c r="CD67" i="1" s="1"/>
  <c r="BX75" i="1"/>
  <c r="CD75" i="1" s="1"/>
  <c r="BX83" i="1"/>
  <c r="CD83" i="1" s="1"/>
  <c r="BX91" i="1"/>
  <c r="CD91" i="1" s="1"/>
  <c r="BX99" i="1"/>
  <c r="CD99" i="1" s="1"/>
  <c r="BX107" i="1"/>
  <c r="CD107" i="1" s="1"/>
  <c r="BX115" i="1"/>
  <c r="CD115" i="1" s="1"/>
  <c r="BX123" i="1"/>
  <c r="CD123" i="1" s="1"/>
  <c r="BX131" i="1"/>
  <c r="CD131" i="1" s="1"/>
  <c r="BX139" i="1"/>
  <c r="CD139" i="1" s="1"/>
  <c r="BX147" i="1"/>
  <c r="CD147" i="1" s="1"/>
  <c r="BX155" i="1"/>
  <c r="CD155" i="1" s="1"/>
  <c r="BX163" i="1"/>
  <c r="CD163" i="1" s="1"/>
  <c r="BX171" i="1"/>
  <c r="CD171" i="1" s="1"/>
  <c r="BX179" i="1"/>
  <c r="CD179" i="1" s="1"/>
  <c r="BX187" i="1"/>
  <c r="CD187" i="1" s="1"/>
  <c r="BX195" i="1"/>
  <c r="CD195" i="1" s="1"/>
  <c r="BX203" i="1"/>
  <c r="CD203" i="1" s="1"/>
  <c r="BX211" i="1"/>
  <c r="CD211" i="1" s="1"/>
  <c r="BX219" i="1"/>
  <c r="CD219" i="1" s="1"/>
  <c r="BX227" i="1"/>
  <c r="CD227" i="1" s="1"/>
  <c r="BX235" i="1"/>
  <c r="CD235" i="1" s="1"/>
  <c r="BX243" i="1"/>
  <c r="CD243" i="1" s="1"/>
  <c r="BX251" i="1"/>
  <c r="CD251" i="1" s="1"/>
  <c r="BX259" i="1"/>
  <c r="CD259" i="1" s="1"/>
  <c r="BX267" i="1"/>
  <c r="CD267" i="1" s="1"/>
  <c r="BX275" i="1"/>
  <c r="CD275" i="1" s="1"/>
  <c r="BX283" i="1"/>
  <c r="CD283" i="1" s="1"/>
  <c r="BX291" i="1"/>
  <c r="CD291" i="1" s="1"/>
  <c r="BX299" i="1"/>
  <c r="CD299" i="1" s="1"/>
  <c r="BX307" i="1"/>
  <c r="CD307" i="1" s="1"/>
  <c r="BX315" i="1"/>
  <c r="CD315" i="1" s="1"/>
  <c r="BX323" i="1"/>
  <c r="CD323" i="1" s="1"/>
  <c r="BX331" i="1"/>
  <c r="CD331" i="1" s="1"/>
  <c r="BX339" i="1"/>
  <c r="CD339" i="1" s="1"/>
  <c r="BX347" i="1"/>
  <c r="CD347" i="1" s="1"/>
  <c r="BX355" i="1"/>
  <c r="CD355" i="1" s="1"/>
  <c r="BX363" i="1"/>
  <c r="CD363" i="1" s="1"/>
  <c r="BX371" i="1"/>
  <c r="CD371" i="1" s="1"/>
  <c r="BX284" i="1"/>
  <c r="CD284" i="1" s="1"/>
  <c r="BX332" i="1"/>
  <c r="CD332" i="1" s="1"/>
  <c r="BX364" i="1"/>
  <c r="CD364" i="1" s="1"/>
  <c r="BX365" i="1"/>
  <c r="CD365" i="1" s="1"/>
  <c r="BX374" i="1"/>
  <c r="CD374" i="1" s="1"/>
  <c r="BX47" i="1"/>
  <c r="CD47" i="1" s="1"/>
  <c r="BX127" i="1"/>
  <c r="CD127" i="1" s="1"/>
  <c r="BX207" i="1"/>
  <c r="CD207" i="1" s="1"/>
  <c r="BX303" i="1"/>
  <c r="CD303" i="1" s="1"/>
  <c r="BX375" i="1"/>
  <c r="CD375" i="1" s="1"/>
  <c r="BX20" i="1"/>
  <c r="CD20" i="1" s="1"/>
  <c r="BX28" i="1"/>
  <c r="CD28" i="1" s="1"/>
  <c r="BX36" i="1"/>
  <c r="CD36" i="1" s="1"/>
  <c r="BX44" i="1"/>
  <c r="CD44" i="1" s="1"/>
  <c r="BX52" i="1"/>
  <c r="CD52" i="1" s="1"/>
  <c r="BX60" i="1"/>
  <c r="CD60" i="1" s="1"/>
  <c r="BX68" i="1"/>
  <c r="CD68" i="1" s="1"/>
  <c r="BX76" i="1"/>
  <c r="CD76" i="1" s="1"/>
  <c r="BX84" i="1"/>
  <c r="CD84" i="1" s="1"/>
  <c r="BX92" i="1"/>
  <c r="CD92" i="1" s="1"/>
  <c r="BX100" i="1"/>
  <c r="CD100" i="1" s="1"/>
  <c r="BX108" i="1"/>
  <c r="CD108" i="1" s="1"/>
  <c r="BX116" i="1"/>
  <c r="CD116" i="1" s="1"/>
  <c r="BX124" i="1"/>
  <c r="CD124" i="1" s="1"/>
  <c r="BX132" i="1"/>
  <c r="CD132" i="1" s="1"/>
  <c r="BX140" i="1"/>
  <c r="CD140" i="1" s="1"/>
  <c r="BX148" i="1"/>
  <c r="CD148" i="1" s="1"/>
  <c r="BX156" i="1"/>
  <c r="CD156" i="1" s="1"/>
  <c r="BX164" i="1"/>
  <c r="CD164" i="1" s="1"/>
  <c r="BX172" i="1"/>
  <c r="CD172" i="1" s="1"/>
  <c r="BX180" i="1"/>
  <c r="CD180" i="1" s="1"/>
  <c r="BX188" i="1"/>
  <c r="CD188" i="1" s="1"/>
  <c r="BX196" i="1"/>
  <c r="CD196" i="1" s="1"/>
  <c r="BX204" i="1"/>
  <c r="CD204" i="1" s="1"/>
  <c r="BX212" i="1"/>
  <c r="CD212" i="1" s="1"/>
  <c r="BX220" i="1"/>
  <c r="CD220" i="1" s="1"/>
  <c r="BX228" i="1"/>
  <c r="CD228" i="1" s="1"/>
  <c r="BX236" i="1"/>
  <c r="CD236" i="1" s="1"/>
  <c r="BX244" i="1"/>
  <c r="CD244" i="1" s="1"/>
  <c r="BX252" i="1"/>
  <c r="CD252" i="1" s="1"/>
  <c r="BX260" i="1"/>
  <c r="CD260" i="1" s="1"/>
  <c r="BX268" i="1"/>
  <c r="CD268" i="1" s="1"/>
  <c r="BX276" i="1"/>
  <c r="CD276" i="1" s="1"/>
  <c r="BX292" i="1"/>
  <c r="CD292" i="1" s="1"/>
  <c r="BX324" i="1"/>
  <c r="CD324" i="1" s="1"/>
  <c r="BX372" i="1"/>
  <c r="CD372" i="1" s="1"/>
  <c r="BX373" i="1"/>
  <c r="CD373" i="1" s="1"/>
  <c r="BX358" i="1"/>
  <c r="CD358" i="1" s="1"/>
  <c r="BX71" i="1"/>
  <c r="CD71" i="1" s="1"/>
  <c r="BX143" i="1"/>
  <c r="CD143" i="1" s="1"/>
  <c r="BX199" i="1"/>
  <c r="CD199" i="1" s="1"/>
  <c r="BX271" i="1"/>
  <c r="CD271" i="1" s="1"/>
  <c r="BX327" i="1"/>
  <c r="CD327" i="1" s="1"/>
  <c r="BX359" i="1"/>
  <c r="CD359" i="1" s="1"/>
  <c r="BX21" i="1"/>
  <c r="CD21" i="1" s="1"/>
  <c r="BX29" i="1"/>
  <c r="CD29" i="1" s="1"/>
  <c r="BX37" i="1"/>
  <c r="CD37" i="1" s="1"/>
  <c r="BX45" i="1"/>
  <c r="CD45" i="1" s="1"/>
  <c r="BX53" i="1"/>
  <c r="CD53" i="1" s="1"/>
  <c r="BX61" i="1"/>
  <c r="CD61" i="1" s="1"/>
  <c r="BX69" i="1"/>
  <c r="CD69" i="1" s="1"/>
  <c r="BX77" i="1"/>
  <c r="CD77" i="1" s="1"/>
  <c r="BX85" i="1"/>
  <c r="CD85" i="1" s="1"/>
  <c r="BX93" i="1"/>
  <c r="CD93" i="1" s="1"/>
  <c r="BX101" i="1"/>
  <c r="CD101" i="1" s="1"/>
  <c r="BX109" i="1"/>
  <c r="CD109" i="1" s="1"/>
  <c r="BX117" i="1"/>
  <c r="CD117" i="1" s="1"/>
  <c r="BX125" i="1"/>
  <c r="CD125" i="1" s="1"/>
  <c r="BX133" i="1"/>
  <c r="CD133" i="1" s="1"/>
  <c r="BX141" i="1"/>
  <c r="CD141" i="1" s="1"/>
  <c r="BX149" i="1"/>
  <c r="CD149" i="1" s="1"/>
  <c r="BX157" i="1"/>
  <c r="CD157" i="1" s="1"/>
  <c r="BX165" i="1"/>
  <c r="CD165" i="1" s="1"/>
  <c r="BX173" i="1"/>
  <c r="CD173" i="1" s="1"/>
  <c r="BX181" i="1"/>
  <c r="CD181" i="1" s="1"/>
  <c r="BX189" i="1"/>
  <c r="CD189" i="1" s="1"/>
  <c r="BX197" i="1"/>
  <c r="CD197" i="1" s="1"/>
  <c r="BX205" i="1"/>
  <c r="CD205" i="1" s="1"/>
  <c r="BX213" i="1"/>
  <c r="CD213" i="1" s="1"/>
  <c r="BX221" i="1"/>
  <c r="CD221" i="1" s="1"/>
  <c r="BX229" i="1"/>
  <c r="CD229" i="1" s="1"/>
  <c r="BX237" i="1"/>
  <c r="CD237" i="1" s="1"/>
  <c r="BX245" i="1"/>
  <c r="CD245" i="1" s="1"/>
  <c r="BX253" i="1"/>
  <c r="CD253" i="1" s="1"/>
  <c r="BX261" i="1"/>
  <c r="CD261" i="1" s="1"/>
  <c r="BX269" i="1"/>
  <c r="CD269" i="1" s="1"/>
  <c r="BX277" i="1"/>
  <c r="CD277" i="1" s="1"/>
  <c r="BX285" i="1"/>
  <c r="CD285" i="1" s="1"/>
  <c r="BX293" i="1"/>
  <c r="CD293" i="1" s="1"/>
  <c r="BX301" i="1"/>
  <c r="CD301" i="1" s="1"/>
  <c r="BX309" i="1"/>
  <c r="CD309" i="1" s="1"/>
  <c r="BX317" i="1"/>
  <c r="CD317" i="1" s="1"/>
  <c r="BX325" i="1"/>
  <c r="CD325" i="1" s="1"/>
  <c r="BX333" i="1"/>
  <c r="CD333" i="1" s="1"/>
  <c r="BX31" i="1"/>
  <c r="CD31" i="1" s="1"/>
  <c r="BX103" i="1"/>
  <c r="CD103" i="1" s="1"/>
  <c r="BX175" i="1"/>
  <c r="CD175" i="1" s="1"/>
  <c r="BX247" i="1"/>
  <c r="CD247" i="1" s="1"/>
  <c r="BX295" i="1"/>
  <c r="CD295" i="1" s="1"/>
  <c r="BX351" i="1"/>
  <c r="CD351" i="1" s="1"/>
  <c r="BX22" i="1"/>
  <c r="CD22" i="1" s="1"/>
  <c r="BX30" i="1"/>
  <c r="CD30" i="1" s="1"/>
  <c r="BX38" i="1"/>
  <c r="CD38" i="1" s="1"/>
  <c r="BX46" i="1"/>
  <c r="CD46" i="1" s="1"/>
  <c r="BX54" i="1"/>
  <c r="CD54" i="1" s="1"/>
  <c r="BX62" i="1"/>
  <c r="CD62" i="1" s="1"/>
  <c r="BX70" i="1"/>
  <c r="CD70" i="1" s="1"/>
  <c r="BX78" i="1"/>
  <c r="CD78" i="1" s="1"/>
  <c r="BX86" i="1"/>
  <c r="CD86" i="1" s="1"/>
  <c r="BX94" i="1"/>
  <c r="CD94" i="1" s="1"/>
  <c r="BX102" i="1"/>
  <c r="CD102" i="1" s="1"/>
  <c r="BX110" i="1"/>
  <c r="CD110" i="1" s="1"/>
  <c r="BX118" i="1"/>
  <c r="CD118" i="1" s="1"/>
  <c r="BX126" i="1"/>
  <c r="CD126" i="1" s="1"/>
  <c r="BX134" i="1"/>
  <c r="CD134" i="1" s="1"/>
  <c r="BX142" i="1"/>
  <c r="CD142" i="1" s="1"/>
  <c r="BX150" i="1"/>
  <c r="CD150" i="1" s="1"/>
  <c r="BX158" i="1"/>
  <c r="CD158" i="1" s="1"/>
  <c r="BX166" i="1"/>
  <c r="CD166" i="1" s="1"/>
  <c r="BX174" i="1"/>
  <c r="CD174" i="1" s="1"/>
  <c r="BX182" i="1"/>
  <c r="CD182" i="1" s="1"/>
  <c r="BX190" i="1"/>
  <c r="CD190" i="1" s="1"/>
  <c r="BX198" i="1"/>
  <c r="CD198" i="1" s="1"/>
  <c r="BX206" i="1"/>
  <c r="CD206" i="1" s="1"/>
  <c r="BX214" i="1"/>
  <c r="CD214" i="1" s="1"/>
  <c r="BX222" i="1"/>
  <c r="CD222" i="1" s="1"/>
  <c r="BX230" i="1"/>
  <c r="CD230" i="1" s="1"/>
  <c r="BX238" i="1"/>
  <c r="CD238" i="1" s="1"/>
  <c r="BX246" i="1"/>
  <c r="CD246" i="1" s="1"/>
  <c r="BX254" i="1"/>
  <c r="CD254" i="1" s="1"/>
  <c r="BX262" i="1"/>
  <c r="CD262" i="1" s="1"/>
  <c r="BX270" i="1"/>
  <c r="CD270" i="1" s="1"/>
  <c r="BX278" i="1"/>
  <c r="CD278" i="1" s="1"/>
  <c r="BX286" i="1"/>
  <c r="CD286" i="1" s="1"/>
  <c r="BX294" i="1"/>
  <c r="CD294" i="1" s="1"/>
  <c r="BX302" i="1"/>
  <c r="CD302" i="1" s="1"/>
  <c r="BX310" i="1"/>
  <c r="CD310" i="1" s="1"/>
  <c r="BX318" i="1"/>
  <c r="CD318" i="1" s="1"/>
  <c r="BX326" i="1"/>
  <c r="CD326" i="1" s="1"/>
  <c r="BX334" i="1"/>
  <c r="CD334" i="1" s="1"/>
  <c r="BX342" i="1"/>
  <c r="CD342" i="1" s="1"/>
  <c r="BX350" i="1"/>
  <c r="CD350" i="1" s="1"/>
  <c r="BX366" i="1"/>
  <c r="CD366" i="1" s="1"/>
  <c r="BX63" i="1"/>
  <c r="CD63" i="1" s="1"/>
  <c r="BX119" i="1"/>
  <c r="CD119" i="1" s="1"/>
  <c r="BX159" i="1"/>
  <c r="CD159" i="1" s="1"/>
  <c r="BX183" i="1"/>
  <c r="CD183" i="1" s="1"/>
  <c r="BX223" i="1"/>
  <c r="CD223" i="1" s="1"/>
  <c r="BX263" i="1"/>
  <c r="CD263" i="1" s="1"/>
  <c r="BX335" i="1"/>
  <c r="CD335" i="1" s="1"/>
  <c r="B133" i="1"/>
  <c r="BX5" i="1" s="1"/>
  <c r="BX9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Y15" i="1" l="1"/>
  <c r="BY16" i="1"/>
  <c r="CE16" i="1" s="1"/>
  <c r="BY24" i="1"/>
  <c r="CE24" i="1" s="1"/>
  <c r="BY32" i="1"/>
  <c r="CE32" i="1" s="1"/>
  <c r="BY40" i="1"/>
  <c r="CE40" i="1" s="1"/>
  <c r="BY48" i="1"/>
  <c r="CE48" i="1" s="1"/>
  <c r="BY56" i="1"/>
  <c r="CE56" i="1" s="1"/>
  <c r="BY64" i="1"/>
  <c r="CE64" i="1" s="1"/>
  <c r="BY72" i="1"/>
  <c r="CE72" i="1" s="1"/>
  <c r="BY80" i="1"/>
  <c r="CE80" i="1" s="1"/>
  <c r="BY88" i="1"/>
  <c r="CE88" i="1" s="1"/>
  <c r="BY96" i="1"/>
  <c r="CE96" i="1" s="1"/>
  <c r="BY104" i="1"/>
  <c r="CE104" i="1" s="1"/>
  <c r="BY112" i="1"/>
  <c r="CE112" i="1" s="1"/>
  <c r="BY120" i="1"/>
  <c r="CE120" i="1" s="1"/>
  <c r="BY128" i="1"/>
  <c r="CE128" i="1" s="1"/>
  <c r="BY136" i="1"/>
  <c r="CE136" i="1" s="1"/>
  <c r="BY144" i="1"/>
  <c r="CE144" i="1" s="1"/>
  <c r="BY152" i="1"/>
  <c r="CE152" i="1" s="1"/>
  <c r="BY160" i="1"/>
  <c r="CE160" i="1" s="1"/>
  <c r="BY168" i="1"/>
  <c r="CE168" i="1" s="1"/>
  <c r="BY176" i="1"/>
  <c r="CE176" i="1" s="1"/>
  <c r="BY184" i="1"/>
  <c r="CE184" i="1" s="1"/>
  <c r="BY192" i="1"/>
  <c r="CE192" i="1" s="1"/>
  <c r="BY200" i="1"/>
  <c r="CE200" i="1" s="1"/>
  <c r="BY208" i="1"/>
  <c r="CE208" i="1" s="1"/>
  <c r="BY216" i="1"/>
  <c r="CE216" i="1" s="1"/>
  <c r="BY224" i="1"/>
  <c r="CE224" i="1" s="1"/>
  <c r="BY232" i="1"/>
  <c r="CE232" i="1" s="1"/>
  <c r="BY240" i="1"/>
  <c r="CE240" i="1" s="1"/>
  <c r="BY248" i="1"/>
  <c r="CE248" i="1" s="1"/>
  <c r="BY256" i="1"/>
  <c r="CE256" i="1" s="1"/>
  <c r="BY264" i="1"/>
  <c r="CE264" i="1" s="1"/>
  <c r="BY272" i="1"/>
  <c r="CE272" i="1" s="1"/>
  <c r="BY280" i="1"/>
  <c r="CE280" i="1" s="1"/>
  <c r="BY288" i="1"/>
  <c r="CE288" i="1" s="1"/>
  <c r="BY296" i="1"/>
  <c r="CE296" i="1" s="1"/>
  <c r="BY304" i="1"/>
  <c r="CE304" i="1" s="1"/>
  <c r="BY312" i="1"/>
  <c r="CE312" i="1" s="1"/>
  <c r="BY320" i="1"/>
  <c r="CE320" i="1" s="1"/>
  <c r="BY328" i="1"/>
  <c r="CE328" i="1" s="1"/>
  <c r="BY336" i="1"/>
  <c r="CE336" i="1" s="1"/>
  <c r="BY344" i="1"/>
  <c r="CE344" i="1" s="1"/>
  <c r="BY352" i="1"/>
  <c r="CE352" i="1" s="1"/>
  <c r="BY360" i="1"/>
  <c r="CE360" i="1" s="1"/>
  <c r="BY368" i="1"/>
  <c r="CE368" i="1" s="1"/>
  <c r="BY355" i="1"/>
  <c r="CE355" i="1" s="1"/>
  <c r="BY363" i="1"/>
  <c r="CE363" i="1" s="1"/>
  <c r="BY364" i="1"/>
  <c r="CE364" i="1" s="1"/>
  <c r="BY21" i="1"/>
  <c r="CE21" i="1" s="1"/>
  <c r="BY245" i="1"/>
  <c r="CE245" i="1" s="1"/>
  <c r="BY349" i="1"/>
  <c r="CE349" i="1" s="1"/>
  <c r="BY46" i="1"/>
  <c r="CE46" i="1" s="1"/>
  <c r="BY86" i="1"/>
  <c r="CE86" i="1" s="1"/>
  <c r="BY150" i="1"/>
  <c r="CE150" i="1" s="1"/>
  <c r="BY206" i="1"/>
  <c r="CE206" i="1" s="1"/>
  <c r="BY262" i="1"/>
  <c r="CE262" i="1" s="1"/>
  <c r="BY318" i="1"/>
  <c r="CE318" i="1" s="1"/>
  <c r="BY366" i="1"/>
  <c r="CE366" i="1" s="1"/>
  <c r="BY17" i="1"/>
  <c r="CE17" i="1" s="1"/>
  <c r="BY25" i="1"/>
  <c r="CE25" i="1" s="1"/>
  <c r="BY33" i="1"/>
  <c r="CE33" i="1" s="1"/>
  <c r="BY41" i="1"/>
  <c r="CE41" i="1" s="1"/>
  <c r="BY49" i="1"/>
  <c r="CE49" i="1" s="1"/>
  <c r="BY57" i="1"/>
  <c r="CE57" i="1" s="1"/>
  <c r="BY65" i="1"/>
  <c r="CE65" i="1" s="1"/>
  <c r="BY73" i="1"/>
  <c r="CE73" i="1" s="1"/>
  <c r="BY81" i="1"/>
  <c r="CE81" i="1" s="1"/>
  <c r="BY89" i="1"/>
  <c r="CE89" i="1" s="1"/>
  <c r="BY97" i="1"/>
  <c r="CE97" i="1" s="1"/>
  <c r="BY105" i="1"/>
  <c r="CE105" i="1" s="1"/>
  <c r="BY113" i="1"/>
  <c r="CE113" i="1" s="1"/>
  <c r="BY121" i="1"/>
  <c r="CE121" i="1" s="1"/>
  <c r="BY129" i="1"/>
  <c r="CE129" i="1" s="1"/>
  <c r="BY137" i="1"/>
  <c r="CE137" i="1" s="1"/>
  <c r="BY145" i="1"/>
  <c r="CE145" i="1" s="1"/>
  <c r="BY153" i="1"/>
  <c r="CE153" i="1" s="1"/>
  <c r="BY161" i="1"/>
  <c r="CE161" i="1" s="1"/>
  <c r="BY169" i="1"/>
  <c r="CE169" i="1" s="1"/>
  <c r="BY177" i="1"/>
  <c r="CE177" i="1" s="1"/>
  <c r="BY185" i="1"/>
  <c r="CE185" i="1" s="1"/>
  <c r="BY193" i="1"/>
  <c r="CE193" i="1" s="1"/>
  <c r="BY201" i="1"/>
  <c r="CE201" i="1" s="1"/>
  <c r="BY209" i="1"/>
  <c r="CE209" i="1" s="1"/>
  <c r="BY217" i="1"/>
  <c r="CE217" i="1" s="1"/>
  <c r="BY225" i="1"/>
  <c r="CE225" i="1" s="1"/>
  <c r="BY233" i="1"/>
  <c r="CE233" i="1" s="1"/>
  <c r="BY241" i="1"/>
  <c r="CE241" i="1" s="1"/>
  <c r="BY249" i="1"/>
  <c r="CE249" i="1" s="1"/>
  <c r="BY257" i="1"/>
  <c r="CE257" i="1" s="1"/>
  <c r="BY265" i="1"/>
  <c r="CE265" i="1" s="1"/>
  <c r="BY273" i="1"/>
  <c r="CE273" i="1" s="1"/>
  <c r="BY281" i="1"/>
  <c r="CE281" i="1" s="1"/>
  <c r="BY289" i="1"/>
  <c r="CE289" i="1" s="1"/>
  <c r="BY297" i="1"/>
  <c r="CE297" i="1" s="1"/>
  <c r="BY305" i="1"/>
  <c r="CE305" i="1" s="1"/>
  <c r="BY313" i="1"/>
  <c r="CE313" i="1" s="1"/>
  <c r="BY321" i="1"/>
  <c r="CE321" i="1" s="1"/>
  <c r="BY329" i="1"/>
  <c r="CE329" i="1" s="1"/>
  <c r="BY337" i="1"/>
  <c r="CE337" i="1" s="1"/>
  <c r="BY345" i="1"/>
  <c r="CE345" i="1" s="1"/>
  <c r="BY353" i="1"/>
  <c r="CE353" i="1" s="1"/>
  <c r="BY361" i="1"/>
  <c r="CE361" i="1" s="1"/>
  <c r="BY369" i="1"/>
  <c r="CE369" i="1" s="1"/>
  <c r="BY347" i="1"/>
  <c r="CE347" i="1" s="1"/>
  <c r="BY371" i="1"/>
  <c r="CE371" i="1" s="1"/>
  <c r="BY356" i="1"/>
  <c r="CE356" i="1" s="1"/>
  <c r="BY29" i="1"/>
  <c r="CE29" i="1" s="1"/>
  <c r="BY237" i="1"/>
  <c r="CE237" i="1" s="1"/>
  <c r="BY325" i="1"/>
  <c r="CE325" i="1" s="1"/>
  <c r="BY38" i="1"/>
  <c r="CE38" i="1" s="1"/>
  <c r="BY94" i="1"/>
  <c r="CE94" i="1" s="1"/>
  <c r="BY142" i="1"/>
  <c r="CE142" i="1" s="1"/>
  <c r="BY198" i="1"/>
  <c r="CE198" i="1" s="1"/>
  <c r="BY270" i="1"/>
  <c r="CE270" i="1" s="1"/>
  <c r="BY310" i="1"/>
  <c r="CE310" i="1" s="1"/>
  <c r="BY358" i="1"/>
  <c r="CE358" i="1" s="1"/>
  <c r="BY18" i="1"/>
  <c r="CE18" i="1" s="1"/>
  <c r="BY26" i="1"/>
  <c r="CE26" i="1" s="1"/>
  <c r="BY34" i="1"/>
  <c r="CE34" i="1" s="1"/>
  <c r="BY42" i="1"/>
  <c r="CE42" i="1" s="1"/>
  <c r="BY50" i="1"/>
  <c r="CE50" i="1" s="1"/>
  <c r="BY58" i="1"/>
  <c r="CE58" i="1" s="1"/>
  <c r="BY66" i="1"/>
  <c r="CE66" i="1" s="1"/>
  <c r="BY74" i="1"/>
  <c r="CE74" i="1" s="1"/>
  <c r="BY82" i="1"/>
  <c r="CE82" i="1" s="1"/>
  <c r="BY90" i="1"/>
  <c r="CE90" i="1" s="1"/>
  <c r="BY98" i="1"/>
  <c r="CE98" i="1" s="1"/>
  <c r="BY106" i="1"/>
  <c r="CE106" i="1" s="1"/>
  <c r="BY114" i="1"/>
  <c r="CE114" i="1" s="1"/>
  <c r="BY122" i="1"/>
  <c r="CE122" i="1" s="1"/>
  <c r="BY130" i="1"/>
  <c r="CE130" i="1" s="1"/>
  <c r="BY138" i="1"/>
  <c r="CE138" i="1" s="1"/>
  <c r="BY146" i="1"/>
  <c r="CE146" i="1" s="1"/>
  <c r="BY154" i="1"/>
  <c r="CE154" i="1" s="1"/>
  <c r="BY162" i="1"/>
  <c r="CE162" i="1" s="1"/>
  <c r="BY170" i="1"/>
  <c r="CE170" i="1" s="1"/>
  <c r="BY178" i="1"/>
  <c r="CE178" i="1" s="1"/>
  <c r="BY186" i="1"/>
  <c r="CE186" i="1" s="1"/>
  <c r="BY194" i="1"/>
  <c r="CE194" i="1" s="1"/>
  <c r="BY202" i="1"/>
  <c r="CE202" i="1" s="1"/>
  <c r="BY210" i="1"/>
  <c r="CE210" i="1" s="1"/>
  <c r="BY218" i="1"/>
  <c r="CE218" i="1" s="1"/>
  <c r="BY226" i="1"/>
  <c r="CE226" i="1" s="1"/>
  <c r="BY234" i="1"/>
  <c r="CE234" i="1" s="1"/>
  <c r="BY242" i="1"/>
  <c r="CE242" i="1" s="1"/>
  <c r="BY250" i="1"/>
  <c r="CE250" i="1" s="1"/>
  <c r="BY258" i="1"/>
  <c r="CE258" i="1" s="1"/>
  <c r="BY266" i="1"/>
  <c r="CE266" i="1" s="1"/>
  <c r="BY274" i="1"/>
  <c r="CE274" i="1" s="1"/>
  <c r="BY282" i="1"/>
  <c r="CE282" i="1" s="1"/>
  <c r="BY290" i="1"/>
  <c r="CE290" i="1" s="1"/>
  <c r="BY298" i="1"/>
  <c r="CE298" i="1" s="1"/>
  <c r="BY306" i="1"/>
  <c r="CE306" i="1" s="1"/>
  <c r="BY314" i="1"/>
  <c r="CE314" i="1" s="1"/>
  <c r="BY322" i="1"/>
  <c r="CE322" i="1" s="1"/>
  <c r="BY330" i="1"/>
  <c r="CE330" i="1" s="1"/>
  <c r="BY338" i="1"/>
  <c r="CE338" i="1" s="1"/>
  <c r="BY346" i="1"/>
  <c r="CE346" i="1" s="1"/>
  <c r="BY354" i="1"/>
  <c r="CE354" i="1" s="1"/>
  <c r="BY362" i="1"/>
  <c r="CE362" i="1" s="1"/>
  <c r="BY370" i="1"/>
  <c r="CE370" i="1" s="1"/>
  <c r="BY339" i="1"/>
  <c r="CE339" i="1" s="1"/>
  <c r="BY372" i="1"/>
  <c r="CE372" i="1" s="1"/>
  <c r="BY45" i="1"/>
  <c r="CE45" i="1" s="1"/>
  <c r="BY213" i="1"/>
  <c r="CE213" i="1" s="1"/>
  <c r="BY309" i="1"/>
  <c r="CE309" i="1" s="1"/>
  <c r="BY54" i="1"/>
  <c r="CE54" i="1" s="1"/>
  <c r="BY110" i="1"/>
  <c r="CE110" i="1" s="1"/>
  <c r="BY158" i="1"/>
  <c r="CE158" i="1" s="1"/>
  <c r="BY190" i="1"/>
  <c r="CE190" i="1" s="1"/>
  <c r="BY230" i="1"/>
  <c r="CE230" i="1" s="1"/>
  <c r="BY278" i="1"/>
  <c r="CE278" i="1" s="1"/>
  <c r="BY342" i="1"/>
  <c r="CE342" i="1" s="1"/>
  <c r="BY19" i="1"/>
  <c r="CE19" i="1" s="1"/>
  <c r="BY27" i="1"/>
  <c r="CE27" i="1" s="1"/>
  <c r="BY35" i="1"/>
  <c r="CE35" i="1" s="1"/>
  <c r="BY43" i="1"/>
  <c r="CE43" i="1" s="1"/>
  <c r="BY51" i="1"/>
  <c r="CE51" i="1" s="1"/>
  <c r="BY59" i="1"/>
  <c r="CE59" i="1" s="1"/>
  <c r="BY67" i="1"/>
  <c r="CE67" i="1" s="1"/>
  <c r="BY75" i="1"/>
  <c r="CE75" i="1" s="1"/>
  <c r="BY83" i="1"/>
  <c r="CE83" i="1" s="1"/>
  <c r="BY91" i="1"/>
  <c r="CE91" i="1" s="1"/>
  <c r="BY99" i="1"/>
  <c r="CE99" i="1" s="1"/>
  <c r="BY107" i="1"/>
  <c r="CE107" i="1" s="1"/>
  <c r="BY115" i="1"/>
  <c r="CE115" i="1" s="1"/>
  <c r="BY123" i="1"/>
  <c r="CE123" i="1" s="1"/>
  <c r="BY131" i="1"/>
  <c r="CE131" i="1" s="1"/>
  <c r="BY139" i="1"/>
  <c r="CE139" i="1" s="1"/>
  <c r="BY147" i="1"/>
  <c r="CE147" i="1" s="1"/>
  <c r="BY155" i="1"/>
  <c r="CE155" i="1" s="1"/>
  <c r="BY163" i="1"/>
  <c r="CE163" i="1" s="1"/>
  <c r="BY171" i="1"/>
  <c r="CE171" i="1" s="1"/>
  <c r="BY179" i="1"/>
  <c r="CE179" i="1" s="1"/>
  <c r="BY187" i="1"/>
  <c r="CE187" i="1" s="1"/>
  <c r="BY195" i="1"/>
  <c r="CE195" i="1" s="1"/>
  <c r="BY203" i="1"/>
  <c r="CE203" i="1" s="1"/>
  <c r="BY211" i="1"/>
  <c r="CE211" i="1" s="1"/>
  <c r="BY219" i="1"/>
  <c r="CE219" i="1" s="1"/>
  <c r="BY227" i="1"/>
  <c r="CE227" i="1" s="1"/>
  <c r="BY235" i="1"/>
  <c r="CE235" i="1" s="1"/>
  <c r="BY243" i="1"/>
  <c r="CE243" i="1" s="1"/>
  <c r="BY251" i="1"/>
  <c r="CE251" i="1" s="1"/>
  <c r="BY259" i="1"/>
  <c r="CE259" i="1" s="1"/>
  <c r="BY267" i="1"/>
  <c r="CE267" i="1" s="1"/>
  <c r="BY275" i="1"/>
  <c r="CE275" i="1" s="1"/>
  <c r="BY283" i="1"/>
  <c r="CE283" i="1" s="1"/>
  <c r="BY291" i="1"/>
  <c r="CE291" i="1" s="1"/>
  <c r="BY299" i="1"/>
  <c r="CE299" i="1" s="1"/>
  <c r="BY307" i="1"/>
  <c r="CE307" i="1" s="1"/>
  <c r="BY315" i="1"/>
  <c r="CE315" i="1" s="1"/>
  <c r="BY323" i="1"/>
  <c r="CE323" i="1" s="1"/>
  <c r="BY331" i="1"/>
  <c r="CE331" i="1" s="1"/>
  <c r="BY37" i="1"/>
  <c r="CE37" i="1" s="1"/>
  <c r="BY221" i="1"/>
  <c r="CE221" i="1" s="1"/>
  <c r="BY317" i="1"/>
  <c r="CE317" i="1" s="1"/>
  <c r="BY62" i="1"/>
  <c r="CE62" i="1" s="1"/>
  <c r="BY126" i="1"/>
  <c r="CE126" i="1" s="1"/>
  <c r="BY182" i="1"/>
  <c r="CE182" i="1" s="1"/>
  <c r="BY238" i="1"/>
  <c r="CE238" i="1" s="1"/>
  <c r="BY302" i="1"/>
  <c r="CE302" i="1" s="1"/>
  <c r="BY374" i="1"/>
  <c r="CE374" i="1" s="1"/>
  <c r="BY20" i="1"/>
  <c r="CE20" i="1" s="1"/>
  <c r="BY28" i="1"/>
  <c r="CE28" i="1" s="1"/>
  <c r="BY36" i="1"/>
  <c r="CE36" i="1" s="1"/>
  <c r="BY44" i="1"/>
  <c r="CE44" i="1" s="1"/>
  <c r="BY52" i="1"/>
  <c r="CE52" i="1" s="1"/>
  <c r="BY60" i="1"/>
  <c r="CE60" i="1" s="1"/>
  <c r="BY68" i="1"/>
  <c r="CE68" i="1" s="1"/>
  <c r="BY76" i="1"/>
  <c r="CE76" i="1" s="1"/>
  <c r="BY84" i="1"/>
  <c r="CE84" i="1" s="1"/>
  <c r="BY92" i="1"/>
  <c r="CE92" i="1" s="1"/>
  <c r="BY100" i="1"/>
  <c r="CE100" i="1" s="1"/>
  <c r="BY108" i="1"/>
  <c r="CE108" i="1" s="1"/>
  <c r="BY116" i="1"/>
  <c r="CE116" i="1" s="1"/>
  <c r="BY124" i="1"/>
  <c r="CE124" i="1" s="1"/>
  <c r="BY132" i="1"/>
  <c r="CE132" i="1" s="1"/>
  <c r="BY140" i="1"/>
  <c r="CE140" i="1" s="1"/>
  <c r="BY148" i="1"/>
  <c r="CE148" i="1" s="1"/>
  <c r="BY156" i="1"/>
  <c r="CE156" i="1" s="1"/>
  <c r="BY164" i="1"/>
  <c r="CE164" i="1" s="1"/>
  <c r="BY172" i="1"/>
  <c r="CE172" i="1" s="1"/>
  <c r="BY180" i="1"/>
  <c r="CE180" i="1" s="1"/>
  <c r="BY188" i="1"/>
  <c r="CE188" i="1" s="1"/>
  <c r="BY196" i="1"/>
  <c r="CE196" i="1" s="1"/>
  <c r="BY204" i="1"/>
  <c r="CE204" i="1" s="1"/>
  <c r="BY212" i="1"/>
  <c r="CE212" i="1" s="1"/>
  <c r="BY220" i="1"/>
  <c r="CE220" i="1" s="1"/>
  <c r="BY228" i="1"/>
  <c r="CE228" i="1" s="1"/>
  <c r="BY236" i="1"/>
  <c r="CE236" i="1" s="1"/>
  <c r="BY244" i="1"/>
  <c r="CE244" i="1" s="1"/>
  <c r="BY252" i="1"/>
  <c r="CE252" i="1" s="1"/>
  <c r="BY260" i="1"/>
  <c r="CE260" i="1" s="1"/>
  <c r="BY268" i="1"/>
  <c r="CE268" i="1" s="1"/>
  <c r="BY276" i="1"/>
  <c r="CE276" i="1" s="1"/>
  <c r="BY284" i="1"/>
  <c r="CE284" i="1" s="1"/>
  <c r="BY292" i="1"/>
  <c r="CE292" i="1" s="1"/>
  <c r="BY300" i="1"/>
  <c r="CE300" i="1" s="1"/>
  <c r="BY308" i="1"/>
  <c r="CE308" i="1" s="1"/>
  <c r="BY316" i="1"/>
  <c r="CE316" i="1" s="1"/>
  <c r="BY324" i="1"/>
  <c r="CE324" i="1" s="1"/>
  <c r="BY332" i="1"/>
  <c r="CE332" i="1" s="1"/>
  <c r="BY340" i="1"/>
  <c r="CE340" i="1" s="1"/>
  <c r="BY348" i="1"/>
  <c r="CE348" i="1" s="1"/>
  <c r="BY53" i="1"/>
  <c r="CE53" i="1" s="1"/>
  <c r="BY77" i="1"/>
  <c r="CE77" i="1" s="1"/>
  <c r="BY93" i="1"/>
  <c r="CE93" i="1" s="1"/>
  <c r="BY109" i="1"/>
  <c r="CE109" i="1" s="1"/>
  <c r="BY125" i="1"/>
  <c r="CE125" i="1" s="1"/>
  <c r="BY141" i="1"/>
  <c r="CE141" i="1" s="1"/>
  <c r="BY157" i="1"/>
  <c r="CE157" i="1" s="1"/>
  <c r="BY173" i="1"/>
  <c r="CE173" i="1" s="1"/>
  <c r="BY189" i="1"/>
  <c r="CE189" i="1" s="1"/>
  <c r="BY205" i="1"/>
  <c r="CE205" i="1" s="1"/>
  <c r="BY253" i="1"/>
  <c r="CE253" i="1" s="1"/>
  <c r="BY269" i="1"/>
  <c r="CE269" i="1" s="1"/>
  <c r="BY285" i="1"/>
  <c r="CE285" i="1" s="1"/>
  <c r="BY301" i="1"/>
  <c r="CE301" i="1" s="1"/>
  <c r="BY341" i="1"/>
  <c r="CE341" i="1" s="1"/>
  <c r="BY365" i="1"/>
  <c r="CE365" i="1" s="1"/>
  <c r="BY22" i="1"/>
  <c r="CE22" i="1" s="1"/>
  <c r="BY78" i="1"/>
  <c r="CE78" i="1" s="1"/>
  <c r="BY118" i="1"/>
  <c r="CE118" i="1" s="1"/>
  <c r="BY166" i="1"/>
  <c r="CE166" i="1" s="1"/>
  <c r="BY214" i="1"/>
  <c r="CE214" i="1" s="1"/>
  <c r="BY246" i="1"/>
  <c r="CE246" i="1" s="1"/>
  <c r="BY286" i="1"/>
  <c r="CE286" i="1" s="1"/>
  <c r="BY334" i="1"/>
  <c r="CE334" i="1" s="1"/>
  <c r="BY23" i="1"/>
  <c r="CE23" i="1" s="1"/>
  <c r="BY31" i="1"/>
  <c r="CE31" i="1" s="1"/>
  <c r="BY39" i="1"/>
  <c r="CE39" i="1" s="1"/>
  <c r="BY47" i="1"/>
  <c r="CE47" i="1" s="1"/>
  <c r="BY55" i="1"/>
  <c r="CE55" i="1" s="1"/>
  <c r="BY63" i="1"/>
  <c r="CE63" i="1" s="1"/>
  <c r="BY71" i="1"/>
  <c r="CE71" i="1" s="1"/>
  <c r="BY79" i="1"/>
  <c r="CE79" i="1" s="1"/>
  <c r="BY87" i="1"/>
  <c r="CE87" i="1" s="1"/>
  <c r="BY95" i="1"/>
  <c r="CE95" i="1" s="1"/>
  <c r="BY103" i="1"/>
  <c r="CE103" i="1" s="1"/>
  <c r="BY111" i="1"/>
  <c r="CE111" i="1" s="1"/>
  <c r="BY119" i="1"/>
  <c r="CE119" i="1" s="1"/>
  <c r="BY127" i="1"/>
  <c r="CE127" i="1" s="1"/>
  <c r="BY135" i="1"/>
  <c r="CE135" i="1" s="1"/>
  <c r="BY143" i="1"/>
  <c r="CE143" i="1" s="1"/>
  <c r="BY151" i="1"/>
  <c r="CE151" i="1" s="1"/>
  <c r="BY159" i="1"/>
  <c r="CE159" i="1" s="1"/>
  <c r="BY167" i="1"/>
  <c r="CE167" i="1" s="1"/>
  <c r="BY175" i="1"/>
  <c r="CE175" i="1" s="1"/>
  <c r="BY183" i="1"/>
  <c r="CE183" i="1" s="1"/>
  <c r="BY191" i="1"/>
  <c r="CE191" i="1" s="1"/>
  <c r="BY199" i="1"/>
  <c r="CE199" i="1" s="1"/>
  <c r="BY207" i="1"/>
  <c r="CE207" i="1" s="1"/>
  <c r="BY215" i="1"/>
  <c r="CE215" i="1" s="1"/>
  <c r="BY223" i="1"/>
  <c r="CE223" i="1" s="1"/>
  <c r="BY231" i="1"/>
  <c r="CE231" i="1" s="1"/>
  <c r="BY239" i="1"/>
  <c r="CE239" i="1" s="1"/>
  <c r="BY247" i="1"/>
  <c r="CE247" i="1" s="1"/>
  <c r="BY255" i="1"/>
  <c r="CE255" i="1" s="1"/>
  <c r="BY263" i="1"/>
  <c r="CE263" i="1" s="1"/>
  <c r="BY271" i="1"/>
  <c r="CE271" i="1" s="1"/>
  <c r="BY279" i="1"/>
  <c r="CE279" i="1" s="1"/>
  <c r="BY287" i="1"/>
  <c r="CE287" i="1" s="1"/>
  <c r="BY295" i="1"/>
  <c r="CE295" i="1" s="1"/>
  <c r="BY303" i="1"/>
  <c r="CE303" i="1" s="1"/>
  <c r="BY311" i="1"/>
  <c r="CE311" i="1" s="1"/>
  <c r="BY319" i="1"/>
  <c r="CE319" i="1" s="1"/>
  <c r="BY327" i="1"/>
  <c r="CE327" i="1" s="1"/>
  <c r="BY335" i="1"/>
  <c r="CE335" i="1" s="1"/>
  <c r="BY343" i="1"/>
  <c r="CE343" i="1" s="1"/>
  <c r="BY351" i="1"/>
  <c r="CE351" i="1" s="1"/>
  <c r="BY359" i="1"/>
  <c r="CE359" i="1" s="1"/>
  <c r="BY367" i="1"/>
  <c r="CE367" i="1" s="1"/>
  <c r="BY375" i="1"/>
  <c r="CE375" i="1" s="1"/>
  <c r="BY61" i="1"/>
  <c r="CE61" i="1" s="1"/>
  <c r="BY69" i="1"/>
  <c r="CE69" i="1" s="1"/>
  <c r="BY85" i="1"/>
  <c r="CE85" i="1" s="1"/>
  <c r="BY101" i="1"/>
  <c r="CE101" i="1" s="1"/>
  <c r="BY117" i="1"/>
  <c r="CE117" i="1" s="1"/>
  <c r="BY133" i="1"/>
  <c r="CE133" i="1" s="1"/>
  <c r="BY149" i="1"/>
  <c r="CE149" i="1" s="1"/>
  <c r="BY165" i="1"/>
  <c r="CE165" i="1" s="1"/>
  <c r="BY181" i="1"/>
  <c r="CE181" i="1" s="1"/>
  <c r="BY197" i="1"/>
  <c r="CE197" i="1" s="1"/>
  <c r="BY229" i="1"/>
  <c r="CE229" i="1" s="1"/>
  <c r="BY261" i="1"/>
  <c r="CE261" i="1" s="1"/>
  <c r="BY277" i="1"/>
  <c r="CE277" i="1" s="1"/>
  <c r="BY293" i="1"/>
  <c r="CE293" i="1" s="1"/>
  <c r="BY333" i="1"/>
  <c r="CE333" i="1" s="1"/>
  <c r="BY357" i="1"/>
  <c r="CE357" i="1" s="1"/>
  <c r="BY373" i="1"/>
  <c r="CE373" i="1" s="1"/>
  <c r="BY30" i="1"/>
  <c r="CE30" i="1" s="1"/>
  <c r="BY70" i="1"/>
  <c r="CE70" i="1" s="1"/>
  <c r="BY102" i="1"/>
  <c r="CE102" i="1" s="1"/>
  <c r="BY134" i="1"/>
  <c r="CE134" i="1" s="1"/>
  <c r="BY174" i="1"/>
  <c r="CE174" i="1" s="1"/>
  <c r="BY222" i="1"/>
  <c r="CE222" i="1" s="1"/>
  <c r="BY254" i="1"/>
  <c r="CE254" i="1" s="1"/>
  <c r="BY294" i="1"/>
  <c r="CE294" i="1" s="1"/>
  <c r="BY326" i="1"/>
  <c r="CE326" i="1" s="1"/>
  <c r="BY350" i="1"/>
  <c r="CE350" i="1" s="1"/>
  <c r="BW10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E15" i="1" l="1"/>
  <c r="CF243" i="1"/>
  <c r="CG243" i="1" s="1"/>
  <c r="CF270" i="1"/>
  <c r="CF72" i="1"/>
  <c r="CH72" i="1" s="1"/>
  <c r="CF188" i="1"/>
  <c r="CF113" i="1"/>
  <c r="CF304" i="1"/>
  <c r="CH304" i="1" s="1"/>
  <c r="CF28" i="1"/>
  <c r="CG28" i="1" s="1"/>
  <c r="CF50" i="1"/>
  <c r="CF318" i="1"/>
  <c r="CG318" i="1" s="1"/>
  <c r="CF367" i="1"/>
  <c r="CG367" i="1" s="1"/>
  <c r="CF341" i="1"/>
  <c r="CG341" i="1" s="1"/>
  <c r="CF351" i="1"/>
  <c r="CG351" i="1" s="1"/>
  <c r="CF186" i="1"/>
  <c r="CG186" i="1" s="1"/>
  <c r="CF218" i="1"/>
  <c r="CG218" i="1" s="1"/>
  <c r="CF195" i="1"/>
  <c r="CG195" i="1" s="1"/>
  <c r="CF85" i="1"/>
  <c r="CG85" i="1" s="1"/>
  <c r="CF23" i="1"/>
  <c r="CG23" i="1" s="1"/>
  <c r="CF206" i="1"/>
  <c r="CG206" i="1" s="1"/>
  <c r="CF356" i="1"/>
  <c r="CG356" i="1" s="1"/>
  <c r="CF342" i="1"/>
  <c r="CG342" i="1" s="1"/>
  <c r="CF293" i="1"/>
  <c r="CG293" i="1" s="1"/>
  <c r="CF49" i="1"/>
  <c r="CG49" i="1" s="1"/>
  <c r="CF158" i="1"/>
  <c r="CG158" i="1" s="1"/>
  <c r="CF255" i="1"/>
  <c r="CG255" i="1" s="1"/>
  <c r="CF213" i="1"/>
  <c r="CG213" i="1" s="1"/>
  <c r="CF216" i="1"/>
  <c r="CG216" i="1" s="1"/>
  <c r="CF124" i="1"/>
  <c r="CG124" i="1" s="1"/>
  <c r="CF338" i="1"/>
  <c r="CG338" i="1" s="1"/>
  <c r="CF324" i="1"/>
  <c r="CG324" i="1" s="1"/>
  <c r="CF298" i="1"/>
  <c r="CG298" i="1" s="1"/>
  <c r="CF374" i="1"/>
  <c r="CG374" i="1" s="1"/>
  <c r="CF31" i="1"/>
  <c r="CG31" i="1" s="1"/>
  <c r="CF262" i="1"/>
  <c r="CG262" i="1" s="1"/>
  <c r="CF170" i="1"/>
  <c r="CG170" i="1" s="1"/>
  <c r="CF323" i="1"/>
  <c r="CG323" i="1" s="1"/>
  <c r="CF335" i="1"/>
  <c r="CH335" i="1" s="1"/>
  <c r="CF89" i="1"/>
  <c r="CH89" i="1" s="1"/>
  <c r="CF227" i="1"/>
  <c r="CG227" i="1" s="1"/>
  <c r="CF179" i="1"/>
  <c r="CG179" i="1" s="1"/>
  <c r="CF98" i="1"/>
  <c r="CG98" i="1" s="1"/>
  <c r="CF102" i="1"/>
  <c r="CG102" i="1" s="1"/>
  <c r="CF104" i="1"/>
  <c r="CG104" i="1" s="1"/>
  <c r="CF40" i="1"/>
  <c r="CG40" i="1" s="1"/>
  <c r="CF339" i="1"/>
  <c r="CG339" i="1" s="1"/>
  <c r="CF136" i="1"/>
  <c r="CG136" i="1" s="1"/>
  <c r="CF177" i="1"/>
  <c r="CG177" i="1" s="1"/>
  <c r="CF250" i="1"/>
  <c r="CG250" i="1" s="1"/>
  <c r="CF108" i="1"/>
  <c r="CG108" i="1" s="1"/>
  <c r="CF286" i="1"/>
  <c r="CG286" i="1" s="1"/>
  <c r="CF62" i="1"/>
  <c r="CG62" i="1" s="1"/>
  <c r="CF107" i="1"/>
  <c r="CG107" i="1" s="1"/>
  <c r="CF302" i="1"/>
  <c r="CG302" i="1" s="1"/>
  <c r="CF146" i="1"/>
  <c r="CG146" i="1" s="1"/>
  <c r="CF87" i="1"/>
  <c r="CG87" i="1" s="1"/>
  <c r="CF168" i="1"/>
  <c r="CG168" i="1" s="1"/>
  <c r="CF282" i="1"/>
  <c r="CG282" i="1" s="1"/>
  <c r="CF112" i="1"/>
  <c r="CH112" i="1" s="1"/>
  <c r="CF280" i="1"/>
  <c r="CH280" i="1" s="1"/>
  <c r="CF346" i="1"/>
  <c r="CG346" i="1" s="1"/>
  <c r="CF97" i="1"/>
  <c r="CG97" i="1" s="1"/>
  <c r="CF173" i="1"/>
  <c r="CF200" i="1"/>
  <c r="CG200" i="1" s="1"/>
  <c r="CF241" i="1"/>
  <c r="CG241" i="1" s="1"/>
  <c r="CF345" i="1"/>
  <c r="CG345" i="1" s="1"/>
  <c r="CF349" i="1"/>
  <c r="CG349" i="1" s="1"/>
  <c r="CF57" i="1"/>
  <c r="CG57" i="1" s="1"/>
  <c r="CF109" i="1"/>
  <c r="CG109" i="1" s="1"/>
  <c r="CF29" i="1"/>
  <c r="CG29" i="1" s="1"/>
  <c r="CF73" i="1"/>
  <c r="CG73" i="1" s="1"/>
  <c r="CF210" i="1"/>
  <c r="CG210" i="1" s="1"/>
  <c r="CF204" i="1"/>
  <c r="CG204" i="1" s="1"/>
  <c r="CF54" i="1"/>
  <c r="CG54" i="1" s="1"/>
  <c r="CF205" i="1"/>
  <c r="CG205" i="1" s="1"/>
  <c r="CF120" i="1"/>
  <c r="CG120" i="1" s="1"/>
  <c r="CF156" i="1"/>
  <c r="CG156" i="1" s="1"/>
  <c r="CF229" i="1"/>
  <c r="CG229" i="1" s="1"/>
  <c r="CF368" i="1"/>
  <c r="CG368" i="1" s="1"/>
  <c r="CF307" i="1"/>
  <c r="CG307" i="1" s="1"/>
  <c r="CF114" i="1"/>
  <c r="CG114" i="1" s="1"/>
  <c r="CF130" i="1"/>
  <c r="CG130" i="1" s="1"/>
  <c r="CF275" i="1"/>
  <c r="CG275" i="1" s="1"/>
  <c r="CF211" i="1"/>
  <c r="CG211" i="1" s="1"/>
  <c r="CF163" i="1"/>
  <c r="CG163" i="1" s="1"/>
  <c r="CF33" i="1"/>
  <c r="CG33" i="1" s="1"/>
  <c r="CF165" i="1"/>
  <c r="CG165" i="1" s="1"/>
  <c r="CF126" i="1"/>
  <c r="CG126" i="1" s="1"/>
  <c r="CF159" i="1"/>
  <c r="CG159" i="1" s="1"/>
  <c r="CF145" i="1"/>
  <c r="CG145" i="1" s="1"/>
  <c r="CF82" i="1"/>
  <c r="CH82" i="1" s="1"/>
  <c r="CF22" i="1"/>
  <c r="CG22" i="1" s="1"/>
  <c r="CF47" i="1"/>
  <c r="CG47" i="1" s="1"/>
  <c r="CF306" i="1"/>
  <c r="CG306" i="1" s="1"/>
  <c r="CF264" i="1"/>
  <c r="CG264" i="1" s="1"/>
  <c r="CF277" i="1"/>
  <c r="CG277" i="1" s="1"/>
  <c r="CF141" i="1"/>
  <c r="CG141" i="1" s="1"/>
  <c r="CF362" i="1"/>
  <c r="CG362" i="1" s="1"/>
  <c r="CF285" i="1"/>
  <c r="CG285" i="1" s="1"/>
  <c r="CF235" i="1"/>
  <c r="CG235" i="1" s="1"/>
  <c r="CF125" i="1"/>
  <c r="CG125" i="1" s="1"/>
  <c r="CF259" i="1"/>
  <c r="CG259" i="1" s="1"/>
  <c r="CF137" i="1"/>
  <c r="CG137" i="1" s="1"/>
  <c r="CF84" i="1"/>
  <c r="CG84" i="1" s="1"/>
  <c r="CF184" i="1"/>
  <c r="CG184" i="1" s="1"/>
  <c r="BZ15" i="1"/>
  <c r="CA15" i="1" s="1"/>
  <c r="CF366" i="1"/>
  <c r="CG366" i="1" s="1"/>
  <c r="CF352" i="1"/>
  <c r="CG352" i="1" s="1"/>
  <c r="CF330" i="1"/>
  <c r="CG330" i="1" s="1"/>
  <c r="CF363" i="1"/>
  <c r="CG363" i="1" s="1"/>
  <c r="CF332" i="1"/>
  <c r="CH332" i="1" s="1"/>
  <c r="CF309" i="1"/>
  <c r="CG309" i="1" s="1"/>
  <c r="CF276" i="1"/>
  <c r="CG276" i="1" s="1"/>
  <c r="CF197" i="1"/>
  <c r="CG197" i="1" s="1"/>
  <c r="CF238" i="1"/>
  <c r="CH238" i="1" s="1"/>
  <c r="CF273" i="1"/>
  <c r="CG273" i="1" s="1"/>
  <c r="CF209" i="1"/>
  <c r="CG209" i="1" s="1"/>
  <c r="CF151" i="1"/>
  <c r="CG151" i="1" s="1"/>
  <c r="CF176" i="1"/>
  <c r="CG176" i="1" s="1"/>
  <c r="CF74" i="1"/>
  <c r="CG74" i="1" s="1"/>
  <c r="CF43" i="1"/>
  <c r="CG43" i="1" s="1"/>
  <c r="CF45" i="1"/>
  <c r="CH45" i="1" s="1"/>
  <c r="CF80" i="1"/>
  <c r="CG80" i="1" s="1"/>
  <c r="CF111" i="1"/>
  <c r="CG111" i="1" s="1"/>
  <c r="CF233" i="1"/>
  <c r="CG233" i="1" s="1"/>
  <c r="CF365" i="1"/>
  <c r="CG365" i="1" s="1"/>
  <c r="CF150" i="1"/>
  <c r="CG150" i="1" s="1"/>
  <c r="CF328" i="1"/>
  <c r="CG328" i="1" s="1"/>
  <c r="CF369" i="1"/>
  <c r="CG369" i="1" s="1"/>
  <c r="CF300" i="1"/>
  <c r="CG300" i="1" s="1"/>
  <c r="CF116" i="1"/>
  <c r="CG116" i="1" s="1"/>
  <c r="CF34" i="1"/>
  <c r="CG34" i="1" s="1"/>
  <c r="CF299" i="1"/>
  <c r="CG299" i="1" s="1"/>
  <c r="CF187" i="1"/>
  <c r="CG187" i="1" s="1"/>
  <c r="CF201" i="1"/>
  <c r="CG201" i="1" s="1"/>
  <c r="CF149" i="1"/>
  <c r="CG149" i="1" s="1"/>
  <c r="CF132" i="1"/>
  <c r="CG132" i="1" s="1"/>
  <c r="CF353" i="1"/>
  <c r="CG353" i="1" s="1"/>
  <c r="CF122" i="1"/>
  <c r="CG122" i="1" s="1"/>
  <c r="CF119" i="1"/>
  <c r="CG119" i="1" s="1"/>
  <c r="CF100" i="1"/>
  <c r="CG100" i="1" s="1"/>
  <c r="CF336" i="1"/>
  <c r="CG336" i="1" s="1"/>
  <c r="CF281" i="1"/>
  <c r="CG281" i="1" s="1"/>
  <c r="CF322" i="1"/>
  <c r="CG322" i="1" s="1"/>
  <c r="CF355" i="1"/>
  <c r="CG355" i="1" s="1"/>
  <c r="CF291" i="1"/>
  <c r="CG291" i="1" s="1"/>
  <c r="CF334" i="1"/>
  <c r="CG334" i="1" s="1"/>
  <c r="CF303" i="1"/>
  <c r="CG303" i="1" s="1"/>
  <c r="CF253" i="1"/>
  <c r="CG253" i="1" s="1"/>
  <c r="CF194" i="1"/>
  <c r="CG194" i="1" s="1"/>
  <c r="CF230" i="1"/>
  <c r="CG230" i="1" s="1"/>
  <c r="CF234" i="1"/>
  <c r="CG234" i="1" s="1"/>
  <c r="CF154" i="1"/>
  <c r="CG154" i="1" s="1"/>
  <c r="CF174" i="1"/>
  <c r="CG174" i="1" s="1"/>
  <c r="CF105" i="1"/>
  <c r="CG105" i="1" s="1"/>
  <c r="CF66" i="1"/>
  <c r="CH66" i="1" s="1"/>
  <c r="CF101" i="1"/>
  <c r="CG101" i="1" s="1"/>
  <c r="CF103" i="1"/>
  <c r="CG103" i="1" s="1"/>
  <c r="CF39" i="1"/>
  <c r="CG39" i="1" s="1"/>
  <c r="CF219" i="1"/>
  <c r="CG219" i="1" s="1"/>
  <c r="CF372" i="1"/>
  <c r="CG372" i="1" s="1"/>
  <c r="CF129" i="1"/>
  <c r="CG129" i="1" s="1"/>
  <c r="CF143" i="1"/>
  <c r="CG143" i="1" s="1"/>
  <c r="CF265" i="1"/>
  <c r="CG265" i="1" s="1"/>
  <c r="CF93" i="1"/>
  <c r="CG93" i="1" s="1"/>
  <c r="CF348" i="1"/>
  <c r="CG348" i="1" s="1"/>
  <c r="CF321" i="1"/>
  <c r="CG321" i="1" s="1"/>
  <c r="CF220" i="1"/>
  <c r="CG220" i="1" s="1"/>
  <c r="CF274" i="1"/>
  <c r="CG274" i="1" s="1"/>
  <c r="BW11" i="1"/>
  <c r="CF312" i="1"/>
  <c r="CG312" i="1" s="1"/>
  <c r="CF337" i="1"/>
  <c r="CG337" i="1" s="1"/>
  <c r="CF236" i="1"/>
  <c r="CG236" i="1" s="1"/>
  <c r="CF314" i="1"/>
  <c r="CG314" i="1" s="1"/>
  <c r="CF347" i="1"/>
  <c r="CG347" i="1" s="1"/>
  <c r="CF316" i="1"/>
  <c r="CG316" i="1" s="1"/>
  <c r="CF357" i="1"/>
  <c r="CG357" i="1" s="1"/>
  <c r="CF326" i="1"/>
  <c r="CH326" i="1" s="1"/>
  <c r="CF359" i="1"/>
  <c r="CG359" i="1" s="1"/>
  <c r="CF245" i="1"/>
  <c r="CG245" i="1" s="1"/>
  <c r="CF222" i="1"/>
  <c r="CG222" i="1" s="1"/>
  <c r="CF263" i="1"/>
  <c r="CG263" i="1" s="1"/>
  <c r="CF199" i="1"/>
  <c r="CH199" i="1" s="1"/>
  <c r="CF232" i="1"/>
  <c r="CG232" i="1" s="1"/>
  <c r="CF257" i="1"/>
  <c r="CG257" i="1" s="1"/>
  <c r="CF192" i="1"/>
  <c r="CG192" i="1" s="1"/>
  <c r="CF226" i="1"/>
  <c r="CG226" i="1" s="1"/>
  <c r="CF251" i="1"/>
  <c r="CG251" i="1" s="1"/>
  <c r="CF139" i="1"/>
  <c r="CG139" i="1" s="1"/>
  <c r="CF172" i="1"/>
  <c r="CG172" i="1" s="1"/>
  <c r="CF166" i="1"/>
  <c r="CG166" i="1" s="1"/>
  <c r="CF135" i="1"/>
  <c r="CG135" i="1" s="1"/>
  <c r="CF160" i="1"/>
  <c r="CG160" i="1" s="1"/>
  <c r="CF185" i="1"/>
  <c r="CG185" i="1" s="1"/>
  <c r="CF121" i="1"/>
  <c r="CG121" i="1" s="1"/>
  <c r="CF91" i="1"/>
  <c r="CG91" i="1" s="1"/>
  <c r="CF27" i="1"/>
  <c r="CG27" i="1" s="1"/>
  <c r="CF52" i="1"/>
  <c r="CG52" i="1" s="1"/>
  <c r="CF64" i="1"/>
  <c r="CG64" i="1" s="1"/>
  <c r="CF58" i="1"/>
  <c r="CG58" i="1" s="1"/>
  <c r="CF283" i="1"/>
  <c r="CG283" i="1" s="1"/>
  <c r="CF99" i="1"/>
  <c r="CG99" i="1" s="1"/>
  <c r="CF193" i="1"/>
  <c r="CG193" i="1" s="1"/>
  <c r="CF60" i="1"/>
  <c r="CG60" i="1" s="1"/>
  <c r="CF110" i="1"/>
  <c r="CG110" i="1" s="1"/>
  <c r="CF207" i="1"/>
  <c r="CG207" i="1" s="1"/>
  <c r="CF288" i="1"/>
  <c r="CG288" i="1" s="1"/>
  <c r="CF301" i="1"/>
  <c r="CG301" i="1" s="1"/>
  <c r="CF198" i="1"/>
  <c r="CG198" i="1" s="1"/>
  <c r="CF295" i="1"/>
  <c r="CG295" i="1" s="1"/>
  <c r="CF157" i="1"/>
  <c r="CG157" i="1" s="1"/>
  <c r="CF106" i="1"/>
  <c r="CG106" i="1" s="1"/>
  <c r="CF267" i="1"/>
  <c r="CG267" i="1" s="1"/>
  <c r="BZ38" i="1"/>
  <c r="CA38" i="1" s="1"/>
  <c r="BZ227" i="1"/>
  <c r="CB227" i="1" s="1"/>
  <c r="BZ214" i="1"/>
  <c r="CA214" i="1" s="1"/>
  <c r="BZ215" i="1"/>
  <c r="CB215" i="1" s="1"/>
  <c r="BZ190" i="1"/>
  <c r="CB190" i="1" s="1"/>
  <c r="BZ355" i="1"/>
  <c r="CA355" i="1" s="1"/>
  <c r="BZ46" i="1"/>
  <c r="CA46" i="1" s="1"/>
  <c r="BZ35" i="1"/>
  <c r="CB35" i="1" s="1"/>
  <c r="BZ291" i="1"/>
  <c r="CB291" i="1" s="1"/>
  <c r="BZ354" i="1"/>
  <c r="CB354" i="1" s="1"/>
  <c r="BZ210" i="1"/>
  <c r="CA210" i="1" s="1"/>
  <c r="BZ342" i="1"/>
  <c r="CB342" i="1" s="1"/>
  <c r="BZ220" i="1"/>
  <c r="CA220" i="1" s="1"/>
  <c r="BZ49" i="1"/>
  <c r="CA49" i="1" s="1"/>
  <c r="BZ244" i="1"/>
  <c r="CB244" i="1" s="1"/>
  <c r="BZ146" i="1"/>
  <c r="CA146" i="1" s="1"/>
  <c r="BZ261" i="1"/>
  <c r="CB261" i="1" s="1"/>
  <c r="BZ311" i="1"/>
  <c r="CA311" i="1" s="1"/>
  <c r="BZ223" i="1"/>
  <c r="CB223" i="1" s="1"/>
  <c r="BZ286" i="1"/>
  <c r="CA286" i="1" s="1"/>
  <c r="BZ165" i="1"/>
  <c r="CA165" i="1" s="1"/>
  <c r="BZ277" i="1"/>
  <c r="CB277" i="1" s="1"/>
  <c r="BZ353" i="1"/>
  <c r="CB353" i="1" s="1"/>
  <c r="BZ211" i="1"/>
  <c r="CB211" i="1" s="1"/>
  <c r="BZ345" i="1"/>
  <c r="CB345" i="1" s="1"/>
  <c r="BZ369" i="1"/>
  <c r="CA369" i="1" s="1"/>
  <c r="BZ31" i="1"/>
  <c r="CA31" i="1" s="1"/>
  <c r="BZ346" i="1"/>
  <c r="CA346" i="1" s="1"/>
  <c r="BZ68" i="1"/>
  <c r="CA68" i="1" s="1"/>
  <c r="BZ181" i="1"/>
  <c r="CA181" i="1" s="1"/>
  <c r="BZ58" i="1"/>
  <c r="CA58" i="1" s="1"/>
  <c r="BZ132" i="1"/>
  <c r="CA132" i="1" s="1"/>
  <c r="BZ236" i="1"/>
  <c r="CB236" i="1" s="1"/>
  <c r="BZ373" i="1"/>
  <c r="CA373" i="1" s="1"/>
  <c r="BZ243" i="1"/>
  <c r="CB243" i="1" s="1"/>
  <c r="BZ219" i="1"/>
  <c r="CA219" i="1" s="1"/>
  <c r="BZ103" i="1"/>
  <c r="CB103" i="1" s="1"/>
  <c r="BZ229" i="1"/>
  <c r="CB229" i="1" s="1"/>
  <c r="BZ159" i="1"/>
  <c r="CA159" i="1" s="1"/>
  <c r="BZ50" i="1"/>
  <c r="CB50" i="1" s="1"/>
  <c r="BZ326" i="1"/>
  <c r="CA326" i="1" s="1"/>
  <c r="BZ239" i="1"/>
  <c r="CB239" i="1" s="1"/>
  <c r="BZ158" i="1"/>
  <c r="CA158" i="1" s="1"/>
  <c r="BZ241" i="1"/>
  <c r="CB241" i="1" s="1"/>
  <c r="BZ118" i="1"/>
  <c r="CA118" i="1" s="1"/>
  <c r="BZ124" i="1"/>
  <c r="CA124" i="1" s="1"/>
  <c r="BZ285" i="1"/>
  <c r="CA285" i="1" s="1"/>
  <c r="BZ313" i="1"/>
  <c r="CA313" i="1" s="1"/>
  <c r="BZ126" i="1"/>
  <c r="CA126" i="1" s="1"/>
  <c r="BZ180" i="1"/>
  <c r="CA180" i="1" s="1"/>
  <c r="BZ27" i="1"/>
  <c r="CA27" i="1" s="1"/>
  <c r="BZ115" i="1"/>
  <c r="CA115" i="1" s="1"/>
  <c r="BZ122" i="1"/>
  <c r="CB122" i="1" s="1"/>
  <c r="BZ329" i="1"/>
  <c r="CB329" i="1" s="1"/>
  <c r="BZ302" i="1"/>
  <c r="CB302" i="1" s="1"/>
  <c r="BZ66" i="1"/>
  <c r="CB66" i="1" s="1"/>
  <c r="BZ143" i="1"/>
  <c r="CB143" i="1" s="1"/>
  <c r="BZ316" i="1"/>
  <c r="CA316" i="1" s="1"/>
  <c r="BZ299" i="1"/>
  <c r="CB299" i="1" s="1"/>
  <c r="BZ195" i="1"/>
  <c r="CA195" i="1" s="1"/>
  <c r="BZ125" i="1"/>
  <c r="CA125" i="1" s="1"/>
  <c r="BZ356" i="1"/>
  <c r="CB356" i="1" s="1"/>
  <c r="BZ101" i="1"/>
  <c r="CB101" i="1" s="1"/>
  <c r="BZ111" i="1"/>
  <c r="CB111" i="1" s="1"/>
  <c r="BZ303" i="1"/>
  <c r="CB303" i="1" s="1"/>
  <c r="BZ53" i="1"/>
  <c r="CA53" i="1" s="1"/>
  <c r="BZ62" i="1"/>
  <c r="CB62" i="1" s="1"/>
  <c r="BZ338" i="1"/>
  <c r="CA338" i="1" s="1"/>
  <c r="BZ337" i="1"/>
  <c r="CA337" i="1" s="1"/>
  <c r="BZ322" i="1"/>
  <c r="CB322" i="1" s="1"/>
  <c r="BZ270" i="1"/>
  <c r="CB270" i="1" s="1"/>
  <c r="BZ140" i="1"/>
  <c r="CB140" i="1" s="1"/>
  <c r="BZ148" i="1"/>
  <c r="CA148" i="1" s="1"/>
  <c r="BZ306" i="1"/>
  <c r="CA306" i="1" s="1"/>
  <c r="BZ156" i="1"/>
  <c r="CA156" i="1" s="1"/>
  <c r="BZ254" i="1"/>
  <c r="CA254" i="1" s="1"/>
  <c r="BZ39" i="1"/>
  <c r="CA39" i="1" s="1"/>
  <c r="BZ54" i="1"/>
  <c r="CA54" i="1" s="1"/>
  <c r="BZ169" i="1"/>
  <c r="CB169" i="1" s="1"/>
  <c r="BZ367" i="1"/>
  <c r="CB367" i="1" s="1"/>
  <c r="BZ361" i="1"/>
  <c r="CB361" i="1" s="1"/>
  <c r="BZ279" i="1"/>
  <c r="CA279" i="1" s="1"/>
  <c r="BZ332" i="1"/>
  <c r="CA332" i="1" s="1"/>
  <c r="BZ331" i="1"/>
  <c r="CB331" i="1" s="1"/>
  <c r="BZ226" i="1"/>
  <c r="CA226" i="1" s="1"/>
  <c r="BZ273" i="1"/>
  <c r="CB273" i="1" s="1"/>
  <c r="BZ83" i="1"/>
  <c r="CA83" i="1" s="1"/>
  <c r="BZ182" i="1"/>
  <c r="CA182" i="1" s="1"/>
  <c r="BZ197" i="1"/>
  <c r="CA197" i="1" s="1"/>
  <c r="BZ246" i="1"/>
  <c r="CB246" i="1" s="1"/>
  <c r="BZ102" i="1"/>
  <c r="CB102" i="1" s="1"/>
  <c r="BZ212" i="1"/>
  <c r="CB212" i="1" s="1"/>
  <c r="BZ366" i="1"/>
  <c r="CB366" i="1" s="1"/>
  <c r="BZ157" i="1"/>
  <c r="CB157" i="1" s="1"/>
  <c r="BZ282" i="1"/>
  <c r="CB282" i="1" s="1"/>
  <c r="BZ22" i="1"/>
  <c r="CB22" i="1" s="1"/>
  <c r="BZ266" i="1"/>
  <c r="CB266" i="1" s="1"/>
  <c r="BZ52" i="1"/>
  <c r="CA52" i="1" s="1"/>
  <c r="BZ305" i="1"/>
  <c r="CB305" i="1" s="1"/>
  <c r="BZ307" i="1"/>
  <c r="CA307" i="1" s="1"/>
  <c r="BZ20" i="1"/>
  <c r="CB20" i="1" s="1"/>
  <c r="BZ250" i="1"/>
  <c r="CB250" i="1" s="1"/>
  <c r="BZ26" i="1"/>
  <c r="CB26" i="1" s="1"/>
  <c r="BZ209" i="1"/>
  <c r="CA209" i="1" s="1"/>
  <c r="BZ173" i="1"/>
  <c r="CB173" i="1" s="1"/>
  <c r="BZ147" i="1"/>
  <c r="CB147" i="1" s="1"/>
  <c r="BZ222" i="1"/>
  <c r="CB222" i="1" s="1"/>
  <c r="BZ47" i="1"/>
  <c r="CA47" i="1" s="1"/>
  <c r="BZ63" i="1"/>
  <c r="CB63" i="1" s="1"/>
  <c r="BZ374" i="1"/>
  <c r="CA374" i="1" s="1"/>
  <c r="BZ235" i="1"/>
  <c r="CA235" i="1" s="1"/>
  <c r="BZ370" i="1"/>
  <c r="CA370" i="1" s="1"/>
  <c r="BZ99" i="1"/>
  <c r="CB99" i="1" s="1"/>
  <c r="BZ127" i="1"/>
  <c r="CA127" i="1" s="1"/>
  <c r="BZ300" i="1"/>
  <c r="CB300" i="1" s="1"/>
  <c r="BZ131" i="1"/>
  <c r="CA131" i="1" s="1"/>
  <c r="BZ364" i="1"/>
  <c r="CA364" i="1" s="1"/>
  <c r="BZ174" i="1"/>
  <c r="CA174" i="1" s="1"/>
  <c r="BZ70" i="1"/>
  <c r="CB70" i="1" s="1"/>
  <c r="BZ191" i="1"/>
  <c r="CB191" i="1" s="1"/>
  <c r="BZ51" i="1"/>
  <c r="CB51" i="1" s="1"/>
  <c r="BZ84" i="1"/>
  <c r="CB84" i="1" s="1"/>
  <c r="BZ333" i="1"/>
  <c r="CB333" i="1" s="1"/>
  <c r="BZ151" i="1"/>
  <c r="CB151" i="1" s="1"/>
  <c r="BZ135" i="1"/>
  <c r="CB135" i="1" s="1"/>
  <c r="BZ268" i="1"/>
  <c r="CB268" i="1" s="1"/>
  <c r="BZ245" i="1"/>
  <c r="CB245" i="1" s="1"/>
  <c r="BZ130" i="1"/>
  <c r="CA130" i="1" s="1"/>
  <c r="BZ324" i="1"/>
  <c r="CA324" i="1" s="1"/>
  <c r="BZ295" i="1"/>
  <c r="CB295" i="1" s="1"/>
  <c r="BZ155" i="1"/>
  <c r="CB155" i="1" s="1"/>
  <c r="BZ359" i="1"/>
  <c r="CB359" i="1" s="1"/>
  <c r="BZ205" i="1"/>
  <c r="CB205" i="1" s="1"/>
  <c r="BZ133" i="1"/>
  <c r="CB133" i="1" s="1"/>
  <c r="BZ60" i="1"/>
  <c r="CA60" i="1" s="1"/>
  <c r="BZ85" i="1"/>
  <c r="CA85" i="1" s="1"/>
  <c r="BZ263" i="1"/>
  <c r="CB263" i="1" s="1"/>
  <c r="BZ260" i="1"/>
  <c r="CB260" i="1" s="1"/>
  <c r="BZ339" i="1"/>
  <c r="CA339" i="1" s="1"/>
  <c r="BZ75" i="1"/>
  <c r="CA75" i="1" s="1"/>
  <c r="BZ71" i="1"/>
  <c r="CB71" i="1" s="1"/>
  <c r="BZ344" i="1"/>
  <c r="CA344" i="1" s="1"/>
  <c r="BZ349" i="1"/>
  <c r="CB349" i="1" s="1"/>
  <c r="BZ188" i="1"/>
  <c r="CB188" i="1" s="1"/>
  <c r="BZ45" i="1"/>
  <c r="CA45" i="1" s="1"/>
  <c r="BZ271" i="1"/>
  <c r="CB271" i="1" s="1"/>
  <c r="BZ274" i="1"/>
  <c r="CA274" i="1" s="1"/>
  <c r="BZ154" i="1"/>
  <c r="CB154" i="1" s="1"/>
  <c r="BZ55" i="1"/>
  <c r="CA55" i="1" s="1"/>
  <c r="BZ269" i="1"/>
  <c r="CB269" i="1" s="1"/>
  <c r="BZ69" i="1"/>
  <c r="CB69" i="1" s="1"/>
  <c r="BZ116" i="1"/>
  <c r="CB116" i="1" s="1"/>
  <c r="BZ59" i="1"/>
  <c r="CB59" i="1" s="1"/>
  <c r="BZ281" i="1"/>
  <c r="CA281" i="1" s="1"/>
  <c r="BZ365" i="1"/>
  <c r="CA365" i="1" s="1"/>
  <c r="BZ206" i="1"/>
  <c r="CA206" i="1" s="1"/>
  <c r="BZ183" i="1"/>
  <c r="CA183" i="1" s="1"/>
  <c r="BZ372" i="1"/>
  <c r="CB372" i="1" s="1"/>
  <c r="BZ65" i="1"/>
  <c r="CA65" i="1" s="1"/>
  <c r="BZ323" i="1"/>
  <c r="CA323" i="1" s="1"/>
  <c r="BZ328" i="1"/>
  <c r="CA328" i="1" s="1"/>
  <c r="BZ228" i="1"/>
  <c r="CB228" i="1" s="1"/>
  <c r="BZ317" i="1"/>
  <c r="CA317" i="1" s="1"/>
  <c r="BZ213" i="1"/>
  <c r="CB213" i="1" s="1"/>
  <c r="BZ255" i="1"/>
  <c r="CB255" i="1" s="1"/>
  <c r="BZ179" i="1"/>
  <c r="CB179" i="1" s="1"/>
  <c r="BZ100" i="1"/>
  <c r="CB100" i="1" s="1"/>
  <c r="BZ186" i="1"/>
  <c r="CA186" i="1" s="1"/>
  <c r="BZ175" i="1"/>
  <c r="CA175" i="1" s="1"/>
  <c r="BZ259" i="1"/>
  <c r="CA259" i="1" s="1"/>
  <c r="BZ202" i="1"/>
  <c r="CA202" i="1" s="1"/>
  <c r="BZ77" i="1"/>
  <c r="CB77" i="1" s="1"/>
  <c r="BZ275" i="1"/>
  <c r="CA275" i="1" s="1"/>
  <c r="BZ86" i="1"/>
  <c r="CA86" i="1" s="1"/>
  <c r="BZ363" i="1"/>
  <c r="CB363" i="1" s="1"/>
  <c r="BZ166" i="1"/>
  <c r="CA166" i="1" s="1"/>
  <c r="BZ137" i="1"/>
  <c r="CA137" i="1" s="1"/>
  <c r="BZ341" i="1"/>
  <c r="CA341" i="1" s="1"/>
  <c r="BZ90" i="1"/>
  <c r="CA90" i="1" s="1"/>
  <c r="BZ301" i="1"/>
  <c r="CB301" i="1" s="1"/>
  <c r="BZ253" i="1"/>
  <c r="CB253" i="1" s="1"/>
  <c r="BZ292" i="1"/>
  <c r="CA292" i="1" s="1"/>
  <c r="BZ91" i="1"/>
  <c r="CA91" i="1" s="1"/>
  <c r="BZ74" i="1"/>
  <c r="CB74" i="1" s="1"/>
  <c r="BZ294" i="1"/>
  <c r="CB294" i="1" s="1"/>
  <c r="BZ28" i="1"/>
  <c r="CA28" i="1" s="1"/>
  <c r="BZ93" i="1"/>
  <c r="CA93" i="1" s="1"/>
  <c r="BZ284" i="1"/>
  <c r="CB284" i="1" s="1"/>
  <c r="BZ23" i="1"/>
  <c r="CB23" i="1" s="1"/>
  <c r="BZ371" i="1"/>
  <c r="CA371" i="1" s="1"/>
  <c r="BZ92" i="1"/>
  <c r="CA92" i="1" s="1"/>
  <c r="BZ167" i="1"/>
  <c r="CB167" i="1" s="1"/>
  <c r="BZ163" i="1"/>
  <c r="CB163" i="1" s="1"/>
  <c r="BZ230" i="1"/>
  <c r="CA230" i="1" s="1"/>
  <c r="BZ327" i="1"/>
  <c r="CB327" i="1" s="1"/>
  <c r="BZ221" i="1"/>
  <c r="CB221" i="1" s="1"/>
  <c r="BZ265" i="1"/>
  <c r="CB265" i="1" s="1"/>
  <c r="BZ29" i="1"/>
  <c r="CB29" i="1" s="1"/>
  <c r="BZ172" i="1"/>
  <c r="CA172" i="1" s="1"/>
  <c r="BZ256" i="1"/>
  <c r="CB256" i="1" s="1"/>
  <c r="BZ194" i="1"/>
  <c r="CB194" i="1" s="1"/>
  <c r="BZ310" i="1"/>
  <c r="CA310" i="1" s="1"/>
  <c r="BZ315" i="1"/>
  <c r="CA315" i="1" s="1"/>
  <c r="BZ67" i="1"/>
  <c r="CA67" i="1" s="1"/>
  <c r="BZ336" i="1"/>
  <c r="CB336" i="1" s="1"/>
  <c r="BZ87" i="1"/>
  <c r="CA87" i="1" s="1"/>
  <c r="BZ171" i="1"/>
  <c r="CA171" i="1" s="1"/>
  <c r="BZ37" i="1"/>
  <c r="CB37" i="1" s="1"/>
  <c r="BZ287" i="1"/>
  <c r="CA287" i="1" s="1"/>
  <c r="BZ178" i="1"/>
  <c r="CA178" i="1" s="1"/>
  <c r="BZ343" i="1"/>
  <c r="CA343" i="1" s="1"/>
  <c r="BZ61" i="1"/>
  <c r="CB61" i="1" s="1"/>
  <c r="BZ375" i="1"/>
  <c r="CB375" i="1" s="1"/>
  <c r="BZ79" i="1"/>
  <c r="CB79" i="1" s="1"/>
  <c r="BZ290" i="1"/>
  <c r="CB290" i="1" s="1"/>
  <c r="BZ335" i="1"/>
  <c r="CB335" i="1" s="1"/>
  <c r="BZ204" i="1"/>
  <c r="CB204" i="1" s="1"/>
  <c r="BZ238" i="1"/>
  <c r="CB238" i="1" s="1"/>
  <c r="BZ189" i="1"/>
  <c r="CA189" i="1" s="1"/>
  <c r="BZ139" i="1"/>
  <c r="CB139" i="1" s="1"/>
  <c r="BZ193" i="1"/>
  <c r="CB193" i="1" s="1"/>
  <c r="BZ350" i="1"/>
  <c r="CA350" i="1" s="1"/>
  <c r="BZ21" i="1"/>
  <c r="CB21" i="1" s="1"/>
  <c r="BZ78" i="1"/>
  <c r="CA78" i="1" s="1"/>
  <c r="BZ150" i="1"/>
  <c r="CA150" i="1" s="1"/>
  <c r="BZ30" i="1"/>
  <c r="CA30" i="1" s="1"/>
  <c r="BZ242" i="1"/>
  <c r="CB242" i="1" s="1"/>
  <c r="BZ95" i="1"/>
  <c r="CA95" i="1" s="1"/>
  <c r="BZ258" i="1"/>
  <c r="CA258" i="1" s="1"/>
  <c r="BZ113" i="1"/>
  <c r="CA113" i="1" s="1"/>
  <c r="BZ142" i="1"/>
  <c r="CA142" i="1" s="1"/>
  <c r="BZ201" i="1"/>
  <c r="CB201" i="1" s="1"/>
  <c r="BZ149" i="1"/>
  <c r="CA149" i="1" s="1"/>
  <c r="BZ340" i="1"/>
  <c r="CA340" i="1" s="1"/>
  <c r="BZ36" i="1"/>
  <c r="CB36" i="1" s="1"/>
  <c r="BZ129" i="1"/>
  <c r="CB129" i="1" s="1"/>
  <c r="BZ109" i="1"/>
  <c r="CB109" i="1" s="1"/>
  <c r="BZ196" i="1"/>
  <c r="CA196" i="1" s="1"/>
  <c r="BZ123" i="1"/>
  <c r="CB123" i="1" s="1"/>
  <c r="BZ18" i="1"/>
  <c r="CA18" i="1" s="1"/>
  <c r="BZ330" i="1"/>
  <c r="CA330" i="1" s="1"/>
  <c r="BZ357" i="1"/>
  <c r="CA357" i="1" s="1"/>
  <c r="BZ321" i="1"/>
  <c r="CA321" i="1" s="1"/>
  <c r="BZ334" i="1"/>
  <c r="CB334" i="1" s="1"/>
  <c r="BZ110" i="1"/>
  <c r="CA110" i="1" s="1"/>
  <c r="BZ348" i="1"/>
  <c r="CA348" i="1" s="1"/>
  <c r="BZ43" i="1"/>
  <c r="CA43" i="1" s="1"/>
  <c r="BZ318" i="1"/>
  <c r="CB318" i="1" s="1"/>
  <c r="BZ325" i="1"/>
  <c r="CB325" i="1" s="1"/>
  <c r="BZ283" i="1"/>
  <c r="CB283" i="1" s="1"/>
  <c r="BZ358" i="1"/>
  <c r="CB358" i="1" s="1"/>
  <c r="BZ138" i="1"/>
  <c r="CA138" i="1" s="1"/>
  <c r="BZ203" i="1"/>
  <c r="CB203" i="1" s="1"/>
  <c r="BZ207" i="1"/>
  <c r="CB207" i="1" s="1"/>
  <c r="BZ94" i="1"/>
  <c r="CA94" i="1" s="1"/>
  <c r="BZ314" i="1"/>
  <c r="CB314" i="1" s="1"/>
  <c r="BZ108" i="1"/>
  <c r="CB108" i="1" s="1"/>
  <c r="BZ262" i="1"/>
  <c r="CB262" i="1" s="1"/>
  <c r="BZ164" i="1"/>
  <c r="CB164" i="1" s="1"/>
  <c r="BZ187" i="1"/>
  <c r="CB187" i="1" s="1"/>
  <c r="BZ247" i="1"/>
  <c r="CA247" i="1" s="1"/>
  <c r="BZ141" i="1"/>
  <c r="CA141" i="1" s="1"/>
  <c r="BZ347" i="1"/>
  <c r="CA347" i="1" s="1"/>
  <c r="BZ199" i="1"/>
  <c r="CA199" i="1" s="1"/>
  <c r="BZ76" i="1"/>
  <c r="CA76" i="1" s="1"/>
  <c r="BZ276" i="1"/>
  <c r="CA276" i="1" s="1"/>
  <c r="BZ134" i="1"/>
  <c r="CB134" i="1" s="1"/>
  <c r="BZ278" i="1"/>
  <c r="CB278" i="1" s="1"/>
  <c r="BZ308" i="1"/>
  <c r="CB308" i="1" s="1"/>
  <c r="BZ41" i="1"/>
  <c r="CB41" i="1" s="1"/>
  <c r="BZ231" i="1"/>
  <c r="CA231" i="1" s="1"/>
  <c r="BZ82" i="1"/>
  <c r="CA82" i="1" s="1"/>
  <c r="BZ351" i="1"/>
  <c r="CA351" i="1" s="1"/>
  <c r="BZ237" i="1"/>
  <c r="CA237" i="1" s="1"/>
  <c r="BZ252" i="1"/>
  <c r="CB252" i="1" s="1"/>
  <c r="BZ44" i="1"/>
  <c r="CA44" i="1" s="1"/>
  <c r="BZ251" i="1"/>
  <c r="CA251" i="1" s="1"/>
  <c r="BZ218" i="1"/>
  <c r="CA218" i="1" s="1"/>
  <c r="BZ208" i="1"/>
  <c r="CB208" i="1" s="1"/>
  <c r="BZ114" i="1"/>
  <c r="CA114" i="1" s="1"/>
  <c r="BZ119" i="1"/>
  <c r="CA119" i="1" s="1"/>
  <c r="BZ319" i="1"/>
  <c r="CB319" i="1" s="1"/>
  <c r="BZ198" i="1"/>
  <c r="CB198" i="1" s="1"/>
  <c r="BZ267" i="1"/>
  <c r="CB267" i="1" s="1"/>
  <c r="BZ19" i="1"/>
  <c r="CA19" i="1" s="1"/>
  <c r="BZ309" i="1"/>
  <c r="CA309" i="1" s="1"/>
  <c r="BZ107" i="1"/>
  <c r="CB107" i="1" s="1"/>
  <c r="BZ117" i="1"/>
  <c r="CA117" i="1" s="1"/>
  <c r="BZ293" i="1"/>
  <c r="CB293" i="1" s="1"/>
  <c r="BZ106" i="1"/>
  <c r="CA106" i="1" s="1"/>
  <c r="BZ312" i="1"/>
  <c r="CA312" i="1" s="1"/>
  <c r="BZ217" i="1"/>
  <c r="CB217" i="1" s="1"/>
  <c r="BZ216" i="1"/>
  <c r="CB216" i="1" s="1"/>
  <c r="BZ136" i="1"/>
  <c r="CA136" i="1" s="1"/>
  <c r="BZ272" i="1"/>
  <c r="CB272" i="1" s="1"/>
  <c r="BZ192" i="1"/>
  <c r="CA192" i="1" s="1"/>
  <c r="BZ289" i="1"/>
  <c r="CB289" i="1" s="1"/>
  <c r="BZ176" i="1"/>
  <c r="CB176" i="1" s="1"/>
  <c r="BZ249" i="1"/>
  <c r="CA249" i="1" s="1"/>
  <c r="BZ25" i="1"/>
  <c r="CB25" i="1" s="1"/>
  <c r="BZ96" i="1"/>
  <c r="CA96" i="1" s="1"/>
  <c r="BZ144" i="1"/>
  <c r="CA144" i="1" s="1"/>
  <c r="BZ177" i="1"/>
  <c r="CA177" i="1" s="1"/>
  <c r="BZ73" i="1"/>
  <c r="CB73" i="1" s="1"/>
  <c r="BZ297" i="1"/>
  <c r="CA297" i="1" s="1"/>
  <c r="BZ233" i="1"/>
  <c r="CB233" i="1" s="1"/>
  <c r="BZ298" i="1"/>
  <c r="CB298" i="1" s="1"/>
  <c r="BZ105" i="1"/>
  <c r="CB105" i="1" s="1"/>
  <c r="BZ57" i="1"/>
  <c r="CB57" i="1" s="1"/>
  <c r="BZ360" i="1"/>
  <c r="CA360" i="1" s="1"/>
  <c r="BZ33" i="1"/>
  <c r="CA33" i="1" s="1"/>
  <c r="BZ161" i="1"/>
  <c r="CB161" i="1" s="1"/>
  <c r="BZ225" i="1"/>
  <c r="CA225" i="1" s="1"/>
  <c r="BZ234" i="1"/>
  <c r="CB234" i="1" s="1"/>
  <c r="BZ64" i="1"/>
  <c r="CB64" i="1" s="1"/>
  <c r="BZ257" i="1"/>
  <c r="CA257" i="1" s="1"/>
  <c r="BZ362" i="1"/>
  <c r="CA362" i="1" s="1"/>
  <c r="BZ48" i="1"/>
  <c r="CB48" i="1" s="1"/>
  <c r="BZ145" i="1"/>
  <c r="CA145" i="1" s="1"/>
  <c r="BZ121" i="1"/>
  <c r="CB121" i="1" s="1"/>
  <c r="BZ152" i="1"/>
  <c r="CB152" i="1" s="1"/>
  <c r="BZ32" i="1"/>
  <c r="CA32" i="1" s="1"/>
  <c r="BZ42" i="1"/>
  <c r="CA42" i="1" s="1"/>
  <c r="BZ320" i="1"/>
  <c r="CB320" i="1" s="1"/>
  <c r="BZ89" i="1"/>
  <c r="CB89" i="1" s="1"/>
  <c r="BZ264" i="1"/>
  <c r="CA264" i="1" s="1"/>
  <c r="BZ153" i="1"/>
  <c r="CA153" i="1" s="1"/>
  <c r="BZ162" i="1"/>
  <c r="CB162" i="1" s="1"/>
  <c r="BZ280" i="1"/>
  <c r="CA280" i="1" s="1"/>
  <c r="BZ97" i="1"/>
  <c r="CB97" i="1" s="1"/>
  <c r="BZ368" i="1"/>
  <c r="CA368" i="1" s="1"/>
  <c r="BZ34" i="1"/>
  <c r="CB34" i="1" s="1"/>
  <c r="BZ98" i="1"/>
  <c r="CB98" i="1" s="1"/>
  <c r="BZ200" i="1"/>
  <c r="CA200" i="1" s="1"/>
  <c r="BZ17" i="1"/>
  <c r="CB17" i="1" s="1"/>
  <c r="BZ81" i="1"/>
  <c r="CB81" i="1" s="1"/>
  <c r="BZ56" i="1"/>
  <c r="CB56" i="1" s="1"/>
  <c r="BZ112" i="1"/>
  <c r="CB112" i="1" s="1"/>
  <c r="BZ16" i="1"/>
  <c r="CA16" i="1" s="1"/>
  <c r="BZ128" i="1"/>
  <c r="CB128" i="1" s="1"/>
  <c r="BZ185" i="1"/>
  <c r="CA185" i="1" s="1"/>
  <c r="BZ248" i="1"/>
  <c r="CA248" i="1" s="1"/>
  <c r="BZ296" i="1"/>
  <c r="CA296" i="1" s="1"/>
  <c r="BZ88" i="1"/>
  <c r="CB88" i="1" s="1"/>
  <c r="BZ184" i="1"/>
  <c r="CA184" i="1" s="1"/>
  <c r="BZ80" i="1"/>
  <c r="CA80" i="1" s="1"/>
  <c r="BZ232" i="1"/>
  <c r="CA232" i="1" s="1"/>
  <c r="BZ120" i="1"/>
  <c r="CB120" i="1" s="1"/>
  <c r="BZ352" i="1"/>
  <c r="CB352" i="1" s="1"/>
  <c r="BZ168" i="1"/>
  <c r="CB168" i="1" s="1"/>
  <c r="BZ288" i="1"/>
  <c r="CB288" i="1" s="1"/>
  <c r="BZ40" i="1"/>
  <c r="CA40" i="1" s="1"/>
  <c r="BZ304" i="1"/>
  <c r="CA304" i="1" s="1"/>
  <c r="BZ72" i="1"/>
  <c r="CB72" i="1" s="1"/>
  <c r="BZ104" i="1"/>
  <c r="CB104" i="1" s="1"/>
  <c r="BZ224" i="1"/>
  <c r="CB224" i="1" s="1"/>
  <c r="BZ240" i="1"/>
  <c r="CB240" i="1" s="1"/>
  <c r="BZ24" i="1"/>
  <c r="CA24" i="1" s="1"/>
  <c r="BZ160" i="1"/>
  <c r="CA160" i="1" s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H197" i="1" l="1"/>
  <c r="CI197" i="1" s="1"/>
  <c r="CJ197" i="1" s="1"/>
  <c r="CB15" i="1"/>
  <c r="CC15" i="1" s="1"/>
  <c r="CH85" i="1"/>
  <c r="CI85" i="1" s="1"/>
  <c r="CJ85" i="1" s="1"/>
  <c r="CH104" i="1"/>
  <c r="CI104" i="1" s="1"/>
  <c r="CJ104" i="1" s="1"/>
  <c r="CH97" i="1"/>
  <c r="CI97" i="1" s="1"/>
  <c r="CJ97" i="1" s="1"/>
  <c r="CH102" i="1"/>
  <c r="CI102" i="1" s="1"/>
  <c r="CJ102" i="1" s="1"/>
  <c r="CH351" i="1"/>
  <c r="CI351" i="1" s="1"/>
  <c r="CJ351" i="1" s="1"/>
  <c r="CH363" i="1"/>
  <c r="CI363" i="1" s="1"/>
  <c r="CJ363" i="1" s="1"/>
  <c r="CH275" i="1"/>
  <c r="CI275" i="1" s="1"/>
  <c r="CJ275" i="1" s="1"/>
  <c r="CH218" i="1"/>
  <c r="CI218" i="1" s="1"/>
  <c r="CJ218" i="1" s="1"/>
  <c r="CB214" i="1"/>
  <c r="CC214" i="1" s="1"/>
  <c r="CH227" i="1"/>
  <c r="CI227" i="1" s="1"/>
  <c r="CJ227" i="1" s="1"/>
  <c r="CH195" i="1"/>
  <c r="CI195" i="1" s="1"/>
  <c r="CJ195" i="1" s="1"/>
  <c r="CG50" i="1"/>
  <c r="CH50" i="1"/>
  <c r="CH341" i="1"/>
  <c r="CI341" i="1" s="1"/>
  <c r="CJ341" i="1" s="1"/>
  <c r="CG326" i="1"/>
  <c r="CI326" i="1" s="1"/>
  <c r="CJ326" i="1" s="1"/>
  <c r="CH186" i="1"/>
  <c r="CI186" i="1" s="1"/>
  <c r="CJ186" i="1" s="1"/>
  <c r="CG280" i="1"/>
  <c r="CI280" i="1" s="1"/>
  <c r="CJ280" i="1" s="1"/>
  <c r="CH243" i="1"/>
  <c r="CI243" i="1" s="1"/>
  <c r="CJ243" i="1" s="1"/>
  <c r="CH23" i="1"/>
  <c r="CI23" i="1" s="1"/>
  <c r="CJ23" i="1" s="1"/>
  <c r="CF44" i="1"/>
  <c r="CG44" i="1" s="1"/>
  <c r="CH367" i="1"/>
  <c r="CI367" i="1" s="1"/>
  <c r="CJ367" i="1" s="1"/>
  <c r="CH323" i="1"/>
  <c r="CI323" i="1" s="1"/>
  <c r="CJ323" i="1" s="1"/>
  <c r="CG270" i="1"/>
  <c r="CH270" i="1"/>
  <c r="CH113" i="1"/>
  <c r="CG113" i="1"/>
  <c r="CG66" i="1"/>
  <c r="CI66" i="1" s="1"/>
  <c r="CJ66" i="1" s="1"/>
  <c r="CG335" i="1"/>
  <c r="CI335" i="1" s="1"/>
  <c r="CJ335" i="1" s="1"/>
  <c r="CG304" i="1"/>
  <c r="CI304" i="1" s="1"/>
  <c r="CJ304" i="1" s="1"/>
  <c r="CF319" i="1"/>
  <c r="CG319" i="1" s="1"/>
  <c r="CH318" i="1"/>
  <c r="CI318" i="1" s="1"/>
  <c r="CJ318" i="1" s="1"/>
  <c r="CG82" i="1"/>
  <c r="CI82" i="1" s="1"/>
  <c r="CJ82" i="1" s="1"/>
  <c r="CH43" i="1"/>
  <c r="CI43" i="1" s="1"/>
  <c r="CJ43" i="1" s="1"/>
  <c r="CH145" i="1"/>
  <c r="CI145" i="1" s="1"/>
  <c r="CJ145" i="1" s="1"/>
  <c r="CG199" i="1"/>
  <c r="CI199" i="1" s="1"/>
  <c r="CJ199" i="1" s="1"/>
  <c r="CF329" i="1"/>
  <c r="CG329" i="1" s="1"/>
  <c r="CF315" i="1"/>
  <c r="CG315" i="1" s="1"/>
  <c r="CF55" i="1"/>
  <c r="CG55" i="1" s="1"/>
  <c r="CF53" i="1"/>
  <c r="CG53" i="1" s="1"/>
  <c r="CF90" i="1"/>
  <c r="CG90" i="1" s="1"/>
  <c r="CH288" i="1"/>
  <c r="CI288" i="1" s="1"/>
  <c r="CJ288" i="1" s="1"/>
  <c r="CF71" i="1"/>
  <c r="CG71" i="1" s="1"/>
  <c r="CF140" i="1"/>
  <c r="CG140" i="1" s="1"/>
  <c r="CF17" i="1"/>
  <c r="CG17" i="1" s="1"/>
  <c r="CF42" i="1"/>
  <c r="CG42" i="1" s="1"/>
  <c r="CF246" i="1"/>
  <c r="CG246" i="1" s="1"/>
  <c r="CF268" i="1"/>
  <c r="CG268" i="1" s="1"/>
  <c r="CF175" i="1"/>
  <c r="CG175" i="1" s="1"/>
  <c r="CF35" i="1"/>
  <c r="CG35" i="1" s="1"/>
  <c r="CH201" i="1"/>
  <c r="CI201" i="1" s="1"/>
  <c r="CJ201" i="1" s="1"/>
  <c r="CF24" i="1"/>
  <c r="CG24" i="1" s="1"/>
  <c r="CH357" i="1"/>
  <c r="CI357" i="1" s="1"/>
  <c r="CJ357" i="1" s="1"/>
  <c r="CF59" i="1"/>
  <c r="CG59" i="1" s="1"/>
  <c r="CF152" i="1"/>
  <c r="CG152" i="1" s="1"/>
  <c r="CF46" i="1"/>
  <c r="CG46" i="1" s="1"/>
  <c r="CF20" i="1"/>
  <c r="CG20" i="1" s="1"/>
  <c r="CF269" i="1"/>
  <c r="CG269" i="1" s="1"/>
  <c r="CF373" i="1"/>
  <c r="CG373" i="1" s="1"/>
  <c r="CH207" i="1"/>
  <c r="CI207" i="1" s="1"/>
  <c r="CJ207" i="1" s="1"/>
  <c r="CF148" i="1"/>
  <c r="CG148" i="1" s="1"/>
  <c r="CH283" i="1"/>
  <c r="CI283" i="1" s="1"/>
  <c r="CJ283" i="1" s="1"/>
  <c r="CF361" i="1"/>
  <c r="CG361" i="1" s="1"/>
  <c r="CH312" i="1"/>
  <c r="CI312" i="1" s="1"/>
  <c r="CJ312" i="1" s="1"/>
  <c r="CF181" i="1"/>
  <c r="CG181" i="1" s="1"/>
  <c r="CF249" i="1"/>
  <c r="CG249" i="1" s="1"/>
  <c r="CF311" i="1"/>
  <c r="CG311" i="1" s="1"/>
  <c r="CF78" i="1"/>
  <c r="CG78" i="1" s="1"/>
  <c r="CF70" i="1"/>
  <c r="CG70" i="1" s="1"/>
  <c r="CF147" i="1"/>
  <c r="CG147" i="1" s="1"/>
  <c r="CF271" i="1"/>
  <c r="CG271" i="1" s="1"/>
  <c r="CH222" i="1"/>
  <c r="CI222" i="1" s="1"/>
  <c r="CJ222" i="1" s="1"/>
  <c r="CF371" i="1"/>
  <c r="CG371" i="1" s="1"/>
  <c r="CH160" i="1"/>
  <c r="CI160" i="1" s="1"/>
  <c r="CJ160" i="1" s="1"/>
  <c r="CF358" i="1"/>
  <c r="CG358" i="1" s="1"/>
  <c r="CH300" i="1"/>
  <c r="CI300" i="1" s="1"/>
  <c r="CJ300" i="1" s="1"/>
  <c r="CH365" i="1"/>
  <c r="CI365" i="1" s="1"/>
  <c r="CJ365" i="1" s="1"/>
  <c r="CH337" i="1"/>
  <c r="CI337" i="1" s="1"/>
  <c r="CJ337" i="1" s="1"/>
  <c r="CF96" i="1"/>
  <c r="CG96" i="1" s="1"/>
  <c r="CH236" i="1"/>
  <c r="CI236" i="1" s="1"/>
  <c r="CJ236" i="1" s="1"/>
  <c r="CF242" i="1"/>
  <c r="CG242" i="1" s="1"/>
  <c r="CF292" i="1"/>
  <c r="CG292" i="1" s="1"/>
  <c r="CF56" i="1"/>
  <c r="CG56" i="1" s="1"/>
  <c r="CH267" i="1"/>
  <c r="CI267" i="1" s="1"/>
  <c r="CJ267" i="1" s="1"/>
  <c r="CF61" i="1"/>
  <c r="CG61" i="1" s="1"/>
  <c r="CH110" i="1"/>
  <c r="CI110" i="1" s="1"/>
  <c r="CJ110" i="1" s="1"/>
  <c r="CF244" i="1"/>
  <c r="CG244" i="1" s="1"/>
  <c r="CH58" i="1"/>
  <c r="CI58" i="1" s="1"/>
  <c r="CJ58" i="1" s="1"/>
  <c r="CF320" i="1"/>
  <c r="CG320" i="1" s="1"/>
  <c r="CF95" i="1"/>
  <c r="CG95" i="1" s="1"/>
  <c r="CF81" i="1"/>
  <c r="CG81" i="1" s="1"/>
  <c r="CF231" i="1"/>
  <c r="CG231" i="1" s="1"/>
  <c r="CF196" i="1"/>
  <c r="CG196" i="1" s="1"/>
  <c r="CF202" i="1"/>
  <c r="CG202" i="1" s="1"/>
  <c r="CF208" i="1"/>
  <c r="CG208" i="1" s="1"/>
  <c r="CF214" i="1"/>
  <c r="CG214" i="1" s="1"/>
  <c r="CG72" i="1"/>
  <c r="CI72" i="1" s="1"/>
  <c r="CJ72" i="1" s="1"/>
  <c r="CF123" i="1"/>
  <c r="CG123" i="1" s="1"/>
  <c r="CF284" i="1"/>
  <c r="CG284" i="1" s="1"/>
  <c r="CF360" i="1"/>
  <c r="CG360" i="1" s="1"/>
  <c r="CG188" i="1"/>
  <c r="CH188" i="1"/>
  <c r="CG238" i="1"/>
  <c r="CI238" i="1" s="1"/>
  <c r="CJ238" i="1" s="1"/>
  <c r="CH220" i="1"/>
  <c r="CI220" i="1" s="1"/>
  <c r="CJ220" i="1" s="1"/>
  <c r="CF296" i="1"/>
  <c r="CG296" i="1" s="1"/>
  <c r="CF317" i="1"/>
  <c r="CG317" i="1" s="1"/>
  <c r="CF117" i="1"/>
  <c r="CG117" i="1" s="1"/>
  <c r="CH91" i="1"/>
  <c r="CI91" i="1" s="1"/>
  <c r="CJ91" i="1" s="1"/>
  <c r="CG173" i="1"/>
  <c r="CH173" i="1"/>
  <c r="CF294" i="1"/>
  <c r="CG294" i="1" s="1"/>
  <c r="CF354" i="1"/>
  <c r="CG354" i="1" s="1"/>
  <c r="CF94" i="1"/>
  <c r="CG94" i="1" s="1"/>
  <c r="CH107" i="1"/>
  <c r="CI107" i="1" s="1"/>
  <c r="CJ107" i="1" s="1"/>
  <c r="CH106" i="1"/>
  <c r="CI106" i="1" s="1"/>
  <c r="CJ106" i="1" s="1"/>
  <c r="CF310" i="1"/>
  <c r="CG310" i="1" s="1"/>
  <c r="CF190" i="1"/>
  <c r="CG190" i="1" s="1"/>
  <c r="CH99" i="1"/>
  <c r="CI99" i="1" s="1"/>
  <c r="CJ99" i="1" s="1"/>
  <c r="CF237" i="1"/>
  <c r="CG237" i="1" s="1"/>
  <c r="CF239" i="1"/>
  <c r="CG239" i="1" s="1"/>
  <c r="CH321" i="1"/>
  <c r="CI321" i="1" s="1"/>
  <c r="CJ321" i="1" s="1"/>
  <c r="CF134" i="1"/>
  <c r="CG134" i="1" s="1"/>
  <c r="CF51" i="1"/>
  <c r="CG51" i="1" s="1"/>
  <c r="CH129" i="1"/>
  <c r="CI129" i="1" s="1"/>
  <c r="CJ129" i="1" s="1"/>
  <c r="CF127" i="1"/>
  <c r="CG127" i="1" s="1"/>
  <c r="CF37" i="1"/>
  <c r="CG37" i="1" s="1"/>
  <c r="CF212" i="1"/>
  <c r="CG212" i="1" s="1"/>
  <c r="CF370" i="1"/>
  <c r="CG370" i="1" s="1"/>
  <c r="CH139" i="1"/>
  <c r="CI139" i="1" s="1"/>
  <c r="CJ139" i="1" s="1"/>
  <c r="CF279" i="1"/>
  <c r="CG279" i="1" s="1"/>
  <c r="CF340" i="1"/>
  <c r="CG340" i="1" s="1"/>
  <c r="CH116" i="1"/>
  <c r="CI116" i="1" s="1"/>
  <c r="CJ116" i="1" s="1"/>
  <c r="CH369" i="1"/>
  <c r="CI369" i="1" s="1"/>
  <c r="CJ369" i="1" s="1"/>
  <c r="CH192" i="1"/>
  <c r="CI192" i="1" s="1"/>
  <c r="CJ192" i="1" s="1"/>
  <c r="CG45" i="1"/>
  <c r="CI45" i="1" s="1"/>
  <c r="CJ45" i="1" s="1"/>
  <c r="CF215" i="1"/>
  <c r="CG215" i="1" s="1"/>
  <c r="CH259" i="1"/>
  <c r="CI259" i="1" s="1"/>
  <c r="CJ259" i="1" s="1"/>
  <c r="CH52" i="1"/>
  <c r="CI52" i="1" s="1"/>
  <c r="CJ52" i="1" s="1"/>
  <c r="CF128" i="1"/>
  <c r="CG128" i="1" s="1"/>
  <c r="CF133" i="1"/>
  <c r="CG133" i="1" s="1"/>
  <c r="CF63" i="1"/>
  <c r="CG63" i="1" s="1"/>
  <c r="CF65" i="1"/>
  <c r="CG65" i="1" s="1"/>
  <c r="CF261" i="1"/>
  <c r="CG261" i="1" s="1"/>
  <c r="CF189" i="1"/>
  <c r="CG189" i="1" s="1"/>
  <c r="CH157" i="1"/>
  <c r="CI157" i="1" s="1"/>
  <c r="CJ157" i="1" s="1"/>
  <c r="CF217" i="1"/>
  <c r="CG217" i="1" s="1"/>
  <c r="CH60" i="1"/>
  <c r="CI60" i="1" s="1"/>
  <c r="CJ60" i="1" s="1"/>
  <c r="CF313" i="1"/>
  <c r="CG313" i="1" s="1"/>
  <c r="CF375" i="1"/>
  <c r="CG375" i="1" s="1"/>
  <c r="CF142" i="1"/>
  <c r="CG142" i="1" s="1"/>
  <c r="CH251" i="1"/>
  <c r="CI251" i="1" s="1"/>
  <c r="CJ251" i="1" s="1"/>
  <c r="CH265" i="1"/>
  <c r="CI265" i="1" s="1"/>
  <c r="CJ265" i="1" s="1"/>
  <c r="CF88" i="1"/>
  <c r="CG88" i="1" s="1"/>
  <c r="CF30" i="1"/>
  <c r="CG30" i="1" s="1"/>
  <c r="CF228" i="1"/>
  <c r="CG228" i="1" s="1"/>
  <c r="CH234" i="1"/>
  <c r="CI234" i="1" s="1"/>
  <c r="CJ234" i="1" s="1"/>
  <c r="CF48" i="1"/>
  <c r="CG48" i="1" s="1"/>
  <c r="CH353" i="1"/>
  <c r="CI353" i="1" s="1"/>
  <c r="CJ353" i="1" s="1"/>
  <c r="CF164" i="1"/>
  <c r="CG164" i="1" s="1"/>
  <c r="CF16" i="1"/>
  <c r="CH16" i="1" s="1"/>
  <c r="CH149" i="1"/>
  <c r="CI149" i="1" s="1"/>
  <c r="CJ149" i="1" s="1"/>
  <c r="CH295" i="1"/>
  <c r="CI295" i="1" s="1"/>
  <c r="CJ295" i="1" s="1"/>
  <c r="CF260" i="1"/>
  <c r="CG260" i="1" s="1"/>
  <c r="CF266" i="1"/>
  <c r="CG266" i="1" s="1"/>
  <c r="CF272" i="1"/>
  <c r="CG272" i="1" s="1"/>
  <c r="CF278" i="1"/>
  <c r="CG278" i="1" s="1"/>
  <c r="CF224" i="1"/>
  <c r="CG224" i="1" s="1"/>
  <c r="CF221" i="1"/>
  <c r="CG221" i="1" s="1"/>
  <c r="CH372" i="1"/>
  <c r="CI372" i="1" s="1"/>
  <c r="CJ372" i="1" s="1"/>
  <c r="CF83" i="1"/>
  <c r="CG83" i="1" s="1"/>
  <c r="CF240" i="1"/>
  <c r="CG240" i="1" s="1"/>
  <c r="CF223" i="1"/>
  <c r="CG223" i="1" s="1"/>
  <c r="CH299" i="1"/>
  <c r="CI299" i="1" s="1"/>
  <c r="CJ299" i="1" s="1"/>
  <c r="CH185" i="1"/>
  <c r="CI185" i="1" s="1"/>
  <c r="CJ185" i="1" s="1"/>
  <c r="CF247" i="1"/>
  <c r="CG247" i="1" s="1"/>
  <c r="CF203" i="1"/>
  <c r="CG203" i="1" s="1"/>
  <c r="CF18" i="1"/>
  <c r="CG18" i="1" s="1"/>
  <c r="CH226" i="1"/>
  <c r="CI226" i="1" s="1"/>
  <c r="CJ226" i="1" s="1"/>
  <c r="CH210" i="1"/>
  <c r="CI210" i="1" s="1"/>
  <c r="CJ210" i="1" s="1"/>
  <c r="CH29" i="1"/>
  <c r="CI29" i="1" s="1"/>
  <c r="CJ29" i="1" s="1"/>
  <c r="CF350" i="1"/>
  <c r="CG350" i="1" s="1"/>
  <c r="CF76" i="1"/>
  <c r="CG76" i="1" s="1"/>
  <c r="CF67" i="1"/>
  <c r="CG67" i="1" s="1"/>
  <c r="CH301" i="1"/>
  <c r="CI301" i="1" s="1"/>
  <c r="CJ301" i="1" s="1"/>
  <c r="CF256" i="1"/>
  <c r="CG256" i="1" s="1"/>
  <c r="CF38" i="1"/>
  <c r="CG38" i="1" s="1"/>
  <c r="CH198" i="1"/>
  <c r="CI198" i="1" s="1"/>
  <c r="CJ198" i="1" s="1"/>
  <c r="CF115" i="1"/>
  <c r="CG115" i="1" s="1"/>
  <c r="CH193" i="1"/>
  <c r="CI193" i="1" s="1"/>
  <c r="CJ193" i="1" s="1"/>
  <c r="CF191" i="1"/>
  <c r="CG191" i="1" s="1"/>
  <c r="CF25" i="1"/>
  <c r="CG25" i="1" s="1"/>
  <c r="CH348" i="1"/>
  <c r="CI348" i="1" s="1"/>
  <c r="CJ348" i="1" s="1"/>
  <c r="CH93" i="1"/>
  <c r="CI93" i="1" s="1"/>
  <c r="CJ93" i="1" s="1"/>
  <c r="CH143" i="1"/>
  <c r="CI143" i="1" s="1"/>
  <c r="CJ143" i="1" s="1"/>
  <c r="CF131" i="1"/>
  <c r="CG131" i="1" s="1"/>
  <c r="CH219" i="1"/>
  <c r="CI219" i="1" s="1"/>
  <c r="CJ219" i="1" s="1"/>
  <c r="CF297" i="1"/>
  <c r="CG297" i="1" s="1"/>
  <c r="CF180" i="1"/>
  <c r="CG180" i="1" s="1"/>
  <c r="CF343" i="1"/>
  <c r="CG343" i="1" s="1"/>
  <c r="CF167" i="1"/>
  <c r="CG167" i="1" s="1"/>
  <c r="CH132" i="1"/>
  <c r="CI132" i="1" s="1"/>
  <c r="CJ132" i="1" s="1"/>
  <c r="CF138" i="1"/>
  <c r="CG138" i="1" s="1"/>
  <c r="CF144" i="1"/>
  <c r="CG144" i="1" s="1"/>
  <c r="CH150" i="1"/>
  <c r="CI150" i="1" s="1"/>
  <c r="CJ150" i="1" s="1"/>
  <c r="CF248" i="1"/>
  <c r="CG248" i="1" s="1"/>
  <c r="CG332" i="1"/>
  <c r="CI332" i="1" s="1"/>
  <c r="CJ332" i="1" s="1"/>
  <c r="CF289" i="1"/>
  <c r="CG289" i="1" s="1"/>
  <c r="CF19" i="1"/>
  <c r="CG19" i="1" s="1"/>
  <c r="CH103" i="1"/>
  <c r="CI103" i="1" s="1"/>
  <c r="CJ103" i="1" s="1"/>
  <c r="CF68" i="1"/>
  <c r="CG68" i="1" s="1"/>
  <c r="CH74" i="1"/>
  <c r="CI74" i="1" s="1"/>
  <c r="CJ74" i="1" s="1"/>
  <c r="CH80" i="1"/>
  <c r="CI80" i="1" s="1"/>
  <c r="CJ80" i="1" s="1"/>
  <c r="CF26" i="1"/>
  <c r="CG26" i="1" s="1"/>
  <c r="CF305" i="1"/>
  <c r="CG305" i="1" s="1"/>
  <c r="CF75" i="1"/>
  <c r="CG75" i="1" s="1"/>
  <c r="CH205" i="1"/>
  <c r="CI205" i="1" s="1"/>
  <c r="CJ205" i="1" s="1"/>
  <c r="CH73" i="1"/>
  <c r="CI73" i="1" s="1"/>
  <c r="CJ73" i="1" s="1"/>
  <c r="CH345" i="1"/>
  <c r="CI345" i="1" s="1"/>
  <c r="CJ345" i="1" s="1"/>
  <c r="CF36" i="1"/>
  <c r="CG36" i="1" s="1"/>
  <c r="CH346" i="1"/>
  <c r="CI346" i="1" s="1"/>
  <c r="CJ346" i="1" s="1"/>
  <c r="CH307" i="1"/>
  <c r="CI307" i="1" s="1"/>
  <c r="CJ307" i="1" s="1"/>
  <c r="CH322" i="1"/>
  <c r="CI322" i="1" s="1"/>
  <c r="CJ322" i="1" s="1"/>
  <c r="CH276" i="1"/>
  <c r="CI276" i="1" s="1"/>
  <c r="CJ276" i="1" s="1"/>
  <c r="CH40" i="1"/>
  <c r="CI40" i="1" s="1"/>
  <c r="CJ40" i="1" s="1"/>
  <c r="CH174" i="1"/>
  <c r="CI174" i="1" s="1"/>
  <c r="CJ174" i="1" s="1"/>
  <c r="CH122" i="1"/>
  <c r="CI122" i="1" s="1"/>
  <c r="CJ122" i="1" s="1"/>
  <c r="CH314" i="1"/>
  <c r="CI314" i="1" s="1"/>
  <c r="CJ314" i="1" s="1"/>
  <c r="CH176" i="1"/>
  <c r="CI176" i="1" s="1"/>
  <c r="CJ176" i="1" s="1"/>
  <c r="CH273" i="1"/>
  <c r="CI273" i="1" s="1"/>
  <c r="CJ273" i="1" s="1"/>
  <c r="CH230" i="1"/>
  <c r="CI230" i="1" s="1"/>
  <c r="CJ230" i="1" s="1"/>
  <c r="CH172" i="1"/>
  <c r="CI172" i="1" s="1"/>
  <c r="CJ172" i="1" s="1"/>
  <c r="CH146" i="1"/>
  <c r="CI146" i="1" s="1"/>
  <c r="CJ146" i="1" s="1"/>
  <c r="CH286" i="1"/>
  <c r="CI286" i="1" s="1"/>
  <c r="CJ286" i="1" s="1"/>
  <c r="CH28" i="1"/>
  <c r="CI28" i="1" s="1"/>
  <c r="CJ28" i="1" s="1"/>
  <c r="CH170" i="1"/>
  <c r="CI170" i="1" s="1"/>
  <c r="CJ170" i="1" s="1"/>
  <c r="CH374" i="1"/>
  <c r="CI374" i="1" s="1"/>
  <c r="CJ374" i="1" s="1"/>
  <c r="CH163" i="1"/>
  <c r="CI163" i="1" s="1"/>
  <c r="CJ163" i="1" s="1"/>
  <c r="CH49" i="1"/>
  <c r="CI49" i="1" s="1"/>
  <c r="CJ49" i="1" s="1"/>
  <c r="CH303" i="1"/>
  <c r="CI303" i="1" s="1"/>
  <c r="CJ303" i="1" s="1"/>
  <c r="CH125" i="1"/>
  <c r="CI125" i="1" s="1"/>
  <c r="CJ125" i="1" s="1"/>
  <c r="CH264" i="1"/>
  <c r="CI264" i="1" s="1"/>
  <c r="CJ264" i="1" s="1"/>
  <c r="CH47" i="1"/>
  <c r="CI47" i="1" s="1"/>
  <c r="CJ47" i="1" s="1"/>
  <c r="CH156" i="1"/>
  <c r="CI156" i="1" s="1"/>
  <c r="CJ156" i="1" s="1"/>
  <c r="CH232" i="1"/>
  <c r="CI232" i="1" s="1"/>
  <c r="CJ232" i="1" s="1"/>
  <c r="CH366" i="1"/>
  <c r="CI366" i="1" s="1"/>
  <c r="CJ366" i="1" s="1"/>
  <c r="CH101" i="1"/>
  <c r="CI101" i="1" s="1"/>
  <c r="CJ101" i="1" s="1"/>
  <c r="CH27" i="1"/>
  <c r="CI27" i="1" s="1"/>
  <c r="CJ27" i="1" s="1"/>
  <c r="CH105" i="1"/>
  <c r="CI105" i="1" s="1"/>
  <c r="CJ105" i="1" s="1"/>
  <c r="CH282" i="1"/>
  <c r="CI282" i="1" s="1"/>
  <c r="CJ282" i="1" s="1"/>
  <c r="CH263" i="1"/>
  <c r="CI263" i="1" s="1"/>
  <c r="CJ263" i="1" s="1"/>
  <c r="CH368" i="1"/>
  <c r="CI368" i="1" s="1"/>
  <c r="CJ368" i="1" s="1"/>
  <c r="CH339" i="1"/>
  <c r="CI339" i="1" s="1"/>
  <c r="CJ339" i="1" s="1"/>
  <c r="CF69" i="1"/>
  <c r="CG69" i="1" s="1"/>
  <c r="CH33" i="1"/>
  <c r="CI33" i="1" s="1"/>
  <c r="CJ33" i="1" s="1"/>
  <c r="CH298" i="1"/>
  <c r="CI298" i="1" s="1"/>
  <c r="CJ298" i="1" s="1"/>
  <c r="CH124" i="1"/>
  <c r="CI124" i="1" s="1"/>
  <c r="CJ124" i="1" s="1"/>
  <c r="CH213" i="1"/>
  <c r="CI213" i="1" s="1"/>
  <c r="CJ213" i="1" s="1"/>
  <c r="CH293" i="1"/>
  <c r="CI293" i="1" s="1"/>
  <c r="CJ293" i="1" s="1"/>
  <c r="CH206" i="1"/>
  <c r="CI206" i="1" s="1"/>
  <c r="CJ206" i="1" s="1"/>
  <c r="CF287" i="1"/>
  <c r="CG287" i="1" s="1"/>
  <c r="CH34" i="1"/>
  <c r="CI34" i="1" s="1"/>
  <c r="CJ34" i="1" s="1"/>
  <c r="CH233" i="1"/>
  <c r="CI233" i="1" s="1"/>
  <c r="CJ233" i="1" s="1"/>
  <c r="CF118" i="1"/>
  <c r="CG118" i="1" s="1"/>
  <c r="CF79" i="1"/>
  <c r="CG79" i="1" s="1"/>
  <c r="CH184" i="1"/>
  <c r="CI184" i="1" s="1"/>
  <c r="CJ184" i="1" s="1"/>
  <c r="CH235" i="1"/>
  <c r="CI235" i="1" s="1"/>
  <c r="CJ235" i="1" s="1"/>
  <c r="CH121" i="1"/>
  <c r="CI121" i="1" s="1"/>
  <c r="CJ121" i="1" s="1"/>
  <c r="CH151" i="1"/>
  <c r="CI151" i="1" s="1"/>
  <c r="CJ151" i="1" s="1"/>
  <c r="CH109" i="1"/>
  <c r="CI109" i="1" s="1"/>
  <c r="CJ109" i="1" s="1"/>
  <c r="CH241" i="1"/>
  <c r="CI241" i="1" s="1"/>
  <c r="CJ241" i="1" s="1"/>
  <c r="CH64" i="1"/>
  <c r="CI64" i="1" s="1"/>
  <c r="CJ64" i="1" s="1"/>
  <c r="CF153" i="1"/>
  <c r="CG153" i="1" s="1"/>
  <c r="CF258" i="1"/>
  <c r="CG258" i="1" s="1"/>
  <c r="CF325" i="1"/>
  <c r="CG325" i="1" s="1"/>
  <c r="CH159" i="1"/>
  <c r="CI159" i="1" s="1"/>
  <c r="CJ159" i="1" s="1"/>
  <c r="CH209" i="1"/>
  <c r="CI209" i="1" s="1"/>
  <c r="CJ209" i="1" s="1"/>
  <c r="CH355" i="1"/>
  <c r="CI355" i="1" s="1"/>
  <c r="CJ355" i="1" s="1"/>
  <c r="CH166" i="1"/>
  <c r="CI166" i="1" s="1"/>
  <c r="CJ166" i="1" s="1"/>
  <c r="CH108" i="1"/>
  <c r="CI108" i="1" s="1"/>
  <c r="CJ108" i="1" s="1"/>
  <c r="CH114" i="1"/>
  <c r="CI114" i="1" s="1"/>
  <c r="CJ114" i="1" s="1"/>
  <c r="CH359" i="1"/>
  <c r="CI359" i="1" s="1"/>
  <c r="CJ359" i="1" s="1"/>
  <c r="CH324" i="1"/>
  <c r="CI324" i="1" s="1"/>
  <c r="CJ324" i="1" s="1"/>
  <c r="CH336" i="1"/>
  <c r="CI336" i="1" s="1"/>
  <c r="CJ336" i="1" s="1"/>
  <c r="CH342" i="1"/>
  <c r="CI342" i="1" s="1"/>
  <c r="CJ342" i="1" s="1"/>
  <c r="CF77" i="1"/>
  <c r="CG77" i="1" s="1"/>
  <c r="CF86" i="1"/>
  <c r="CG86" i="1" s="1"/>
  <c r="CH54" i="1"/>
  <c r="CI54" i="1" s="1"/>
  <c r="CJ54" i="1" s="1"/>
  <c r="CH316" i="1"/>
  <c r="CI316" i="1" s="1"/>
  <c r="CJ316" i="1" s="1"/>
  <c r="CH194" i="1"/>
  <c r="CI194" i="1" s="1"/>
  <c r="CJ194" i="1" s="1"/>
  <c r="CH200" i="1"/>
  <c r="CI200" i="1" s="1"/>
  <c r="CJ200" i="1" s="1"/>
  <c r="CH347" i="1"/>
  <c r="CI347" i="1" s="1"/>
  <c r="CJ347" i="1" s="1"/>
  <c r="CH168" i="1"/>
  <c r="CI168" i="1" s="1"/>
  <c r="CJ168" i="1" s="1"/>
  <c r="CH302" i="1"/>
  <c r="CI302" i="1" s="1"/>
  <c r="CJ302" i="1" s="1"/>
  <c r="CH62" i="1"/>
  <c r="CI62" i="1" s="1"/>
  <c r="CJ62" i="1" s="1"/>
  <c r="CH250" i="1"/>
  <c r="CI250" i="1" s="1"/>
  <c r="CJ250" i="1" s="1"/>
  <c r="CH262" i="1"/>
  <c r="CI262" i="1" s="1"/>
  <c r="CJ262" i="1" s="1"/>
  <c r="CH179" i="1"/>
  <c r="CI179" i="1" s="1"/>
  <c r="CJ179" i="1" s="1"/>
  <c r="CH257" i="1"/>
  <c r="CI257" i="1" s="1"/>
  <c r="CJ257" i="1" s="1"/>
  <c r="CH255" i="1"/>
  <c r="CI255" i="1" s="1"/>
  <c r="CJ255" i="1" s="1"/>
  <c r="CH98" i="1"/>
  <c r="CI98" i="1" s="1"/>
  <c r="CJ98" i="1" s="1"/>
  <c r="CF21" i="1"/>
  <c r="CG21" i="1" s="1"/>
  <c r="CF308" i="1"/>
  <c r="CG308" i="1" s="1"/>
  <c r="CF162" i="1"/>
  <c r="CG162" i="1" s="1"/>
  <c r="CH187" i="1"/>
  <c r="CI187" i="1" s="1"/>
  <c r="CJ187" i="1" s="1"/>
  <c r="CH328" i="1"/>
  <c r="CI328" i="1" s="1"/>
  <c r="CJ328" i="1" s="1"/>
  <c r="CH111" i="1"/>
  <c r="CI111" i="1" s="1"/>
  <c r="CJ111" i="1" s="1"/>
  <c r="CF182" i="1"/>
  <c r="CG182" i="1" s="1"/>
  <c r="CF155" i="1"/>
  <c r="CG155" i="1" s="1"/>
  <c r="CH165" i="1"/>
  <c r="CI165" i="1" s="1"/>
  <c r="CJ165" i="1" s="1"/>
  <c r="CH84" i="1"/>
  <c r="CI84" i="1" s="1"/>
  <c r="CJ84" i="1" s="1"/>
  <c r="CH274" i="1"/>
  <c r="CI274" i="1" s="1"/>
  <c r="CJ274" i="1" s="1"/>
  <c r="CH285" i="1"/>
  <c r="CI285" i="1" s="1"/>
  <c r="CJ285" i="1" s="1"/>
  <c r="CH141" i="1"/>
  <c r="CI141" i="1" s="1"/>
  <c r="CJ141" i="1" s="1"/>
  <c r="CH306" i="1"/>
  <c r="CI306" i="1" s="1"/>
  <c r="CJ306" i="1" s="1"/>
  <c r="CH120" i="1"/>
  <c r="CI120" i="1" s="1"/>
  <c r="CJ120" i="1" s="1"/>
  <c r="CH204" i="1"/>
  <c r="CI204" i="1" s="1"/>
  <c r="CJ204" i="1" s="1"/>
  <c r="CH57" i="1"/>
  <c r="CI57" i="1" s="1"/>
  <c r="CJ57" i="1" s="1"/>
  <c r="CH119" i="1"/>
  <c r="CI119" i="1" s="1"/>
  <c r="CJ119" i="1" s="1"/>
  <c r="CF171" i="1"/>
  <c r="CG171" i="1" s="1"/>
  <c r="CF225" i="1"/>
  <c r="CG225" i="1" s="1"/>
  <c r="CF178" i="1"/>
  <c r="CG178" i="1" s="1"/>
  <c r="CF327" i="1"/>
  <c r="CG327" i="1" s="1"/>
  <c r="CG112" i="1"/>
  <c r="CI112" i="1" s="1"/>
  <c r="CJ112" i="1" s="1"/>
  <c r="CH330" i="1"/>
  <c r="CI330" i="1" s="1"/>
  <c r="CJ330" i="1" s="1"/>
  <c r="CH87" i="1"/>
  <c r="CI87" i="1" s="1"/>
  <c r="CJ87" i="1" s="1"/>
  <c r="CH281" i="1"/>
  <c r="CI281" i="1" s="1"/>
  <c r="CJ281" i="1" s="1"/>
  <c r="CH291" i="1"/>
  <c r="CI291" i="1" s="1"/>
  <c r="CJ291" i="1" s="1"/>
  <c r="CH177" i="1"/>
  <c r="CI177" i="1" s="1"/>
  <c r="CJ177" i="1" s="1"/>
  <c r="CH245" i="1"/>
  <c r="CI245" i="1" s="1"/>
  <c r="CJ245" i="1" s="1"/>
  <c r="CG89" i="1"/>
  <c r="CI89" i="1" s="1"/>
  <c r="CJ89" i="1" s="1"/>
  <c r="CF290" i="1"/>
  <c r="CG290" i="1" s="1"/>
  <c r="CH31" i="1"/>
  <c r="CI31" i="1" s="1"/>
  <c r="CJ31" i="1" s="1"/>
  <c r="CH338" i="1"/>
  <c r="CI338" i="1" s="1"/>
  <c r="CJ338" i="1" s="1"/>
  <c r="CH216" i="1"/>
  <c r="CI216" i="1" s="1"/>
  <c r="CJ216" i="1" s="1"/>
  <c r="CH158" i="1"/>
  <c r="CI158" i="1" s="1"/>
  <c r="CJ158" i="1" s="1"/>
  <c r="CH356" i="1"/>
  <c r="CI356" i="1" s="1"/>
  <c r="CJ356" i="1" s="1"/>
  <c r="CF183" i="1"/>
  <c r="CG183" i="1" s="1"/>
  <c r="CH137" i="1"/>
  <c r="CI137" i="1" s="1"/>
  <c r="CJ137" i="1" s="1"/>
  <c r="CH362" i="1"/>
  <c r="CI362" i="1" s="1"/>
  <c r="CJ362" i="1" s="1"/>
  <c r="CH277" i="1"/>
  <c r="CI277" i="1" s="1"/>
  <c r="CJ277" i="1" s="1"/>
  <c r="CH100" i="1"/>
  <c r="CI100" i="1" s="1"/>
  <c r="CJ100" i="1" s="1"/>
  <c r="CF169" i="1"/>
  <c r="CG169" i="1" s="1"/>
  <c r="CF364" i="1"/>
  <c r="CG364" i="1" s="1"/>
  <c r="CH39" i="1"/>
  <c r="CI39" i="1" s="1"/>
  <c r="CJ39" i="1" s="1"/>
  <c r="CH253" i="1"/>
  <c r="CI253" i="1" s="1"/>
  <c r="CJ253" i="1" s="1"/>
  <c r="CH309" i="1"/>
  <c r="CI309" i="1" s="1"/>
  <c r="CJ309" i="1" s="1"/>
  <c r="CH349" i="1"/>
  <c r="CI349" i="1" s="1"/>
  <c r="CJ349" i="1" s="1"/>
  <c r="CH22" i="1"/>
  <c r="CI22" i="1" s="1"/>
  <c r="CJ22" i="1" s="1"/>
  <c r="CF32" i="1"/>
  <c r="CG32" i="1" s="1"/>
  <c r="CF254" i="1"/>
  <c r="CG254" i="1" s="1"/>
  <c r="CH229" i="1"/>
  <c r="CI229" i="1" s="1"/>
  <c r="CJ229" i="1" s="1"/>
  <c r="CH130" i="1"/>
  <c r="CI130" i="1" s="1"/>
  <c r="CJ130" i="1" s="1"/>
  <c r="CH136" i="1"/>
  <c r="CI136" i="1" s="1"/>
  <c r="CJ136" i="1" s="1"/>
  <c r="CH334" i="1"/>
  <c r="CI334" i="1" s="1"/>
  <c r="CJ334" i="1" s="1"/>
  <c r="CF92" i="1"/>
  <c r="CG92" i="1" s="1"/>
  <c r="CF161" i="1"/>
  <c r="CG161" i="1" s="1"/>
  <c r="CF333" i="1"/>
  <c r="CG333" i="1" s="1"/>
  <c r="CF344" i="1"/>
  <c r="CG344" i="1" s="1"/>
  <c r="CF331" i="1"/>
  <c r="CG331" i="1" s="1"/>
  <c r="CH154" i="1"/>
  <c r="CI154" i="1" s="1"/>
  <c r="CJ154" i="1" s="1"/>
  <c r="CH352" i="1"/>
  <c r="CI352" i="1" s="1"/>
  <c r="CJ352" i="1" s="1"/>
  <c r="CH135" i="1"/>
  <c r="CI135" i="1" s="1"/>
  <c r="CJ135" i="1" s="1"/>
  <c r="CH126" i="1"/>
  <c r="CI126" i="1" s="1"/>
  <c r="CJ126" i="1" s="1"/>
  <c r="CH211" i="1"/>
  <c r="CI211" i="1" s="1"/>
  <c r="CJ211" i="1" s="1"/>
  <c r="CF41" i="1"/>
  <c r="CG41" i="1" s="1"/>
  <c r="CF252" i="1"/>
  <c r="CG252" i="1" s="1"/>
  <c r="CF15" i="1"/>
  <c r="CG15" i="1" s="1"/>
  <c r="CA190" i="1"/>
  <c r="CC190" i="1" s="1"/>
  <c r="CA215" i="1"/>
  <c r="CC215" i="1" s="1"/>
  <c r="CA227" i="1"/>
  <c r="CC227" i="1" s="1"/>
  <c r="CB38" i="1"/>
  <c r="CC38" i="1" s="1"/>
  <c r="CB355" i="1"/>
  <c r="CC355" i="1" s="1"/>
  <c r="CB46" i="1"/>
  <c r="CC46" i="1" s="1"/>
  <c r="CB210" i="1"/>
  <c r="CC210" i="1" s="1"/>
  <c r="CA342" i="1"/>
  <c r="CC342" i="1" s="1"/>
  <c r="CA35" i="1"/>
  <c r="CC35" i="1" s="1"/>
  <c r="CB220" i="1"/>
  <c r="CC220" i="1" s="1"/>
  <c r="CB132" i="1"/>
  <c r="CC132" i="1" s="1"/>
  <c r="CA291" i="1"/>
  <c r="CC291" i="1" s="1"/>
  <c r="CA354" i="1"/>
  <c r="CC354" i="1" s="1"/>
  <c r="CA244" i="1"/>
  <c r="CC244" i="1" s="1"/>
  <c r="CB159" i="1"/>
  <c r="CC159" i="1" s="1"/>
  <c r="CB58" i="1"/>
  <c r="CC58" i="1" s="1"/>
  <c r="CA353" i="1"/>
  <c r="CC353" i="1" s="1"/>
  <c r="CB285" i="1"/>
  <c r="CC285" i="1" s="1"/>
  <c r="CB126" i="1"/>
  <c r="CC126" i="1" s="1"/>
  <c r="CA277" i="1"/>
  <c r="CC277" i="1" s="1"/>
  <c r="CB124" i="1"/>
  <c r="CC124" i="1" s="1"/>
  <c r="CA229" i="1"/>
  <c r="CC229" i="1" s="1"/>
  <c r="CB181" i="1"/>
  <c r="CC181" i="1" s="1"/>
  <c r="CB49" i="1"/>
  <c r="CC49" i="1" s="1"/>
  <c r="CA345" i="1"/>
  <c r="CC345" i="1" s="1"/>
  <c r="CA261" i="1"/>
  <c r="CC261" i="1" s="1"/>
  <c r="CB53" i="1"/>
  <c r="CC53" i="1" s="1"/>
  <c r="CB306" i="1"/>
  <c r="CC306" i="1" s="1"/>
  <c r="CB311" i="1"/>
  <c r="CC311" i="1" s="1"/>
  <c r="CB180" i="1"/>
  <c r="CC180" i="1" s="1"/>
  <c r="CA239" i="1"/>
  <c r="CC239" i="1" s="1"/>
  <c r="CB316" i="1"/>
  <c r="CC316" i="1" s="1"/>
  <c r="CB373" i="1"/>
  <c r="CC373" i="1" s="1"/>
  <c r="CB369" i="1"/>
  <c r="CC369" i="1" s="1"/>
  <c r="CB146" i="1"/>
  <c r="CC146" i="1" s="1"/>
  <c r="CA241" i="1"/>
  <c r="CC241" i="1" s="1"/>
  <c r="CA243" i="1"/>
  <c r="CC243" i="1" s="1"/>
  <c r="CA223" i="1"/>
  <c r="CC223" i="1" s="1"/>
  <c r="CB158" i="1"/>
  <c r="CC158" i="1" s="1"/>
  <c r="CB156" i="1"/>
  <c r="CC156" i="1" s="1"/>
  <c r="CB31" i="1"/>
  <c r="CC31" i="1" s="1"/>
  <c r="CB343" i="1"/>
  <c r="CC343" i="1" s="1"/>
  <c r="CB332" i="1"/>
  <c r="CC332" i="1" s="1"/>
  <c r="CB27" i="1"/>
  <c r="CC27" i="1" s="1"/>
  <c r="CA299" i="1"/>
  <c r="CC299" i="1" s="1"/>
  <c r="CA62" i="1"/>
  <c r="CC62" i="1" s="1"/>
  <c r="CB313" i="1"/>
  <c r="CC313" i="1" s="1"/>
  <c r="CA211" i="1"/>
  <c r="CC211" i="1" s="1"/>
  <c r="CA50" i="1"/>
  <c r="CC50" i="1" s="1"/>
  <c r="CB165" i="1"/>
  <c r="CC165" i="1" s="1"/>
  <c r="CB286" i="1"/>
  <c r="CC286" i="1" s="1"/>
  <c r="CB346" i="1"/>
  <c r="CC346" i="1" s="1"/>
  <c r="CB219" i="1"/>
  <c r="CC219" i="1" s="1"/>
  <c r="CB68" i="1"/>
  <c r="CC68" i="1" s="1"/>
  <c r="CB148" i="1"/>
  <c r="CC148" i="1" s="1"/>
  <c r="CA236" i="1"/>
  <c r="CC236" i="1" s="1"/>
  <c r="CB326" i="1"/>
  <c r="CC326" i="1" s="1"/>
  <c r="CA303" i="1"/>
  <c r="CC303" i="1" s="1"/>
  <c r="CA143" i="1"/>
  <c r="CC143" i="1" s="1"/>
  <c r="CB118" i="1"/>
  <c r="CC118" i="1" s="1"/>
  <c r="CA103" i="1"/>
  <c r="CC103" i="1" s="1"/>
  <c r="CB195" i="1"/>
  <c r="CC195" i="1" s="1"/>
  <c r="CB254" i="1"/>
  <c r="CC254" i="1" s="1"/>
  <c r="CB131" i="1"/>
  <c r="CC131" i="1" s="1"/>
  <c r="CB115" i="1"/>
  <c r="CC115" i="1" s="1"/>
  <c r="CB338" i="1"/>
  <c r="CC338" i="1" s="1"/>
  <c r="CB337" i="1"/>
  <c r="CC337" i="1" s="1"/>
  <c r="CA122" i="1"/>
  <c r="CC122" i="1" s="1"/>
  <c r="CB125" i="1"/>
  <c r="CC125" i="1" s="1"/>
  <c r="CB226" i="1"/>
  <c r="CC226" i="1" s="1"/>
  <c r="CB39" i="1"/>
  <c r="CC39" i="1" s="1"/>
  <c r="CB130" i="1"/>
  <c r="CC130" i="1" s="1"/>
  <c r="CB209" i="1"/>
  <c r="CC209" i="1" s="1"/>
  <c r="CA22" i="1"/>
  <c r="CC22" i="1" s="1"/>
  <c r="CA66" i="1"/>
  <c r="CC66" i="1" s="1"/>
  <c r="CA191" i="1"/>
  <c r="CC191" i="1" s="1"/>
  <c r="CA367" i="1"/>
  <c r="CC367" i="1" s="1"/>
  <c r="CA111" i="1"/>
  <c r="CC111" i="1" s="1"/>
  <c r="CA140" i="1"/>
  <c r="CC140" i="1" s="1"/>
  <c r="CB182" i="1"/>
  <c r="CC182" i="1" s="1"/>
  <c r="CA250" i="1"/>
  <c r="CC250" i="1" s="1"/>
  <c r="CA79" i="1"/>
  <c r="CC79" i="1" s="1"/>
  <c r="CA270" i="1"/>
  <c r="CC270" i="1" s="1"/>
  <c r="CA169" i="1"/>
  <c r="CC169" i="1" s="1"/>
  <c r="CB113" i="1"/>
  <c r="CC113" i="1" s="1"/>
  <c r="CA273" i="1"/>
  <c r="CC273" i="1" s="1"/>
  <c r="CA207" i="1"/>
  <c r="CC207" i="1" s="1"/>
  <c r="CB218" i="1"/>
  <c r="CC218" i="1" s="1"/>
  <c r="CA269" i="1"/>
  <c r="CC269" i="1" s="1"/>
  <c r="CB83" i="1"/>
  <c r="CC83" i="1" s="1"/>
  <c r="CA133" i="1"/>
  <c r="CC133" i="1" s="1"/>
  <c r="CA329" i="1"/>
  <c r="CC329" i="1" s="1"/>
  <c r="CB350" i="1"/>
  <c r="CC350" i="1" s="1"/>
  <c r="CA302" i="1"/>
  <c r="CC302" i="1" s="1"/>
  <c r="CB144" i="1"/>
  <c r="CC144" i="1" s="1"/>
  <c r="CA29" i="1"/>
  <c r="CC29" i="1" s="1"/>
  <c r="CB87" i="1"/>
  <c r="CC87" i="1" s="1"/>
  <c r="CB86" i="1"/>
  <c r="CC86" i="1" s="1"/>
  <c r="CA282" i="1"/>
  <c r="CC282" i="1" s="1"/>
  <c r="CB344" i="1"/>
  <c r="CC344" i="1" s="1"/>
  <c r="CA101" i="1"/>
  <c r="CC101" i="1" s="1"/>
  <c r="CA372" i="1"/>
  <c r="CC372" i="1" s="1"/>
  <c r="CB371" i="1"/>
  <c r="CC371" i="1" s="1"/>
  <c r="CB54" i="1"/>
  <c r="CC54" i="1" s="1"/>
  <c r="CB136" i="1"/>
  <c r="CC136" i="1" s="1"/>
  <c r="CA322" i="1"/>
  <c r="CC322" i="1" s="1"/>
  <c r="CA157" i="1"/>
  <c r="CC157" i="1" s="1"/>
  <c r="CB196" i="1"/>
  <c r="CC196" i="1" s="1"/>
  <c r="CB309" i="1"/>
  <c r="CC309" i="1" s="1"/>
  <c r="CB292" i="1"/>
  <c r="CC292" i="1" s="1"/>
  <c r="CA41" i="1"/>
  <c r="CC41" i="1" s="1"/>
  <c r="CB348" i="1"/>
  <c r="CC348" i="1" s="1"/>
  <c r="CA268" i="1"/>
  <c r="CC268" i="1" s="1"/>
  <c r="CA179" i="1"/>
  <c r="CC179" i="1" s="1"/>
  <c r="CB374" i="1"/>
  <c r="CC374" i="1" s="1"/>
  <c r="CB141" i="1"/>
  <c r="CC141" i="1" s="1"/>
  <c r="CA356" i="1"/>
  <c r="CC356" i="1" s="1"/>
  <c r="CB174" i="1"/>
  <c r="CC174" i="1" s="1"/>
  <c r="CA173" i="1"/>
  <c r="CC173" i="1" s="1"/>
  <c r="CB279" i="1"/>
  <c r="CC279" i="1" s="1"/>
  <c r="CB197" i="1"/>
  <c r="CC197" i="1" s="1"/>
  <c r="CA361" i="1"/>
  <c r="CC361" i="1" s="1"/>
  <c r="CA266" i="1"/>
  <c r="CC266" i="1" s="1"/>
  <c r="CA99" i="1"/>
  <c r="CC99" i="1" s="1"/>
  <c r="CB206" i="1"/>
  <c r="CC206" i="1" s="1"/>
  <c r="CA284" i="1"/>
  <c r="CC284" i="1" s="1"/>
  <c r="CB75" i="1"/>
  <c r="CC75" i="1" s="1"/>
  <c r="CA151" i="1"/>
  <c r="CC151" i="1" s="1"/>
  <c r="CB307" i="1"/>
  <c r="CC307" i="1" s="1"/>
  <c r="CA301" i="1"/>
  <c r="CC301" i="1" s="1"/>
  <c r="CA331" i="1"/>
  <c r="CC331" i="1" s="1"/>
  <c r="CA212" i="1"/>
  <c r="CC212" i="1" s="1"/>
  <c r="CB47" i="1"/>
  <c r="CC47" i="1" s="1"/>
  <c r="CA221" i="1"/>
  <c r="CC221" i="1" s="1"/>
  <c r="CA77" i="1"/>
  <c r="CC77" i="1" s="1"/>
  <c r="CA213" i="1"/>
  <c r="CC213" i="1" s="1"/>
  <c r="CA154" i="1"/>
  <c r="CC154" i="1" s="1"/>
  <c r="CA359" i="1"/>
  <c r="CC359" i="1" s="1"/>
  <c r="CB370" i="1"/>
  <c r="CC370" i="1" s="1"/>
  <c r="CA147" i="1"/>
  <c r="CC147" i="1" s="1"/>
  <c r="CA102" i="1"/>
  <c r="CC102" i="1" s="1"/>
  <c r="CA238" i="1"/>
  <c r="CC238" i="1" s="1"/>
  <c r="CA84" i="1"/>
  <c r="CC84" i="1" s="1"/>
  <c r="CA295" i="1"/>
  <c r="CC295" i="1" s="1"/>
  <c r="CB259" i="1"/>
  <c r="CC259" i="1" s="1"/>
  <c r="CB178" i="1"/>
  <c r="CC178" i="1" s="1"/>
  <c r="CB127" i="1"/>
  <c r="CC127" i="1" s="1"/>
  <c r="CA246" i="1"/>
  <c r="CC246" i="1" s="1"/>
  <c r="CB52" i="1"/>
  <c r="CC52" i="1" s="1"/>
  <c r="CB230" i="1"/>
  <c r="CC230" i="1" s="1"/>
  <c r="CB281" i="1"/>
  <c r="CC281" i="1" s="1"/>
  <c r="CB341" i="1"/>
  <c r="CC341" i="1" s="1"/>
  <c r="CA333" i="1"/>
  <c r="CC333" i="1" s="1"/>
  <c r="CA222" i="1"/>
  <c r="CC222" i="1" s="1"/>
  <c r="CA300" i="1"/>
  <c r="CC300" i="1" s="1"/>
  <c r="CA155" i="1"/>
  <c r="CC155" i="1" s="1"/>
  <c r="CA305" i="1"/>
  <c r="CC305" i="1" s="1"/>
  <c r="CB339" i="1"/>
  <c r="CC339" i="1" s="1"/>
  <c r="CA255" i="1"/>
  <c r="CC255" i="1" s="1"/>
  <c r="CB364" i="1"/>
  <c r="CC364" i="1" s="1"/>
  <c r="CA366" i="1"/>
  <c r="CC366" i="1" s="1"/>
  <c r="CB235" i="1"/>
  <c r="CC235" i="1" s="1"/>
  <c r="CA26" i="1"/>
  <c r="CC26" i="1" s="1"/>
  <c r="CA70" i="1"/>
  <c r="CC70" i="1" s="1"/>
  <c r="CB110" i="1"/>
  <c r="CC110" i="1" s="1"/>
  <c r="CB274" i="1"/>
  <c r="CC274" i="1" s="1"/>
  <c r="CB90" i="1"/>
  <c r="CC90" i="1" s="1"/>
  <c r="CA327" i="1"/>
  <c r="CC327" i="1" s="1"/>
  <c r="CB202" i="1"/>
  <c r="CC202" i="1" s="1"/>
  <c r="CB317" i="1"/>
  <c r="CC317" i="1" s="1"/>
  <c r="CB365" i="1"/>
  <c r="CC365" i="1" s="1"/>
  <c r="CB93" i="1"/>
  <c r="CC93" i="1" s="1"/>
  <c r="CA135" i="1"/>
  <c r="CC135" i="1" s="1"/>
  <c r="CB258" i="1"/>
  <c r="CC258" i="1" s="1"/>
  <c r="CA253" i="1"/>
  <c r="CC253" i="1" s="1"/>
  <c r="CB96" i="1"/>
  <c r="CC96" i="1" s="1"/>
  <c r="CA23" i="1"/>
  <c r="CC23" i="1" s="1"/>
  <c r="CA63" i="1"/>
  <c r="CC63" i="1" s="1"/>
  <c r="CA205" i="1"/>
  <c r="CC205" i="1" s="1"/>
  <c r="CA336" i="1"/>
  <c r="CC336" i="1" s="1"/>
  <c r="CA109" i="1"/>
  <c r="CC109" i="1" s="1"/>
  <c r="CA265" i="1"/>
  <c r="CC265" i="1" s="1"/>
  <c r="CA375" i="1"/>
  <c r="CC375" i="1" s="1"/>
  <c r="CA203" i="1"/>
  <c r="CC203" i="1" s="1"/>
  <c r="CA20" i="1"/>
  <c r="CC20" i="1" s="1"/>
  <c r="CB55" i="1"/>
  <c r="CC55" i="1" s="1"/>
  <c r="CB183" i="1"/>
  <c r="CC183" i="1" s="1"/>
  <c r="CA71" i="1"/>
  <c r="CC71" i="1" s="1"/>
  <c r="CB247" i="1"/>
  <c r="CC247" i="1" s="1"/>
  <c r="CA193" i="1"/>
  <c r="CC193" i="1" s="1"/>
  <c r="CB275" i="1"/>
  <c r="CC275" i="1" s="1"/>
  <c r="CB324" i="1"/>
  <c r="CC324" i="1" s="1"/>
  <c r="CA51" i="1"/>
  <c r="CC51" i="1" s="1"/>
  <c r="CA245" i="1"/>
  <c r="CC245" i="1" s="1"/>
  <c r="CB65" i="1"/>
  <c r="CC65" i="1" s="1"/>
  <c r="CA363" i="1"/>
  <c r="CC363" i="1" s="1"/>
  <c r="CA100" i="1"/>
  <c r="CC100" i="1" s="1"/>
  <c r="CB91" i="1"/>
  <c r="CC91" i="1" s="1"/>
  <c r="CA21" i="1"/>
  <c r="CC21" i="1" s="1"/>
  <c r="CA123" i="1"/>
  <c r="CC123" i="1" s="1"/>
  <c r="CA349" i="1"/>
  <c r="CC349" i="1" s="1"/>
  <c r="CA69" i="1"/>
  <c r="CC69" i="1" s="1"/>
  <c r="CB60" i="1"/>
  <c r="CC60" i="1" s="1"/>
  <c r="CB172" i="1"/>
  <c r="CC172" i="1" s="1"/>
  <c r="CB92" i="1"/>
  <c r="CC92" i="1" s="1"/>
  <c r="CA116" i="1"/>
  <c r="CC116" i="1" s="1"/>
  <c r="CB166" i="1"/>
  <c r="CC166" i="1" s="1"/>
  <c r="CA188" i="1"/>
  <c r="CC188" i="1" s="1"/>
  <c r="CB323" i="1"/>
  <c r="CC323" i="1" s="1"/>
  <c r="CB186" i="1"/>
  <c r="CC186" i="1" s="1"/>
  <c r="CB85" i="1"/>
  <c r="CC85" i="1" s="1"/>
  <c r="CA228" i="1"/>
  <c r="CC228" i="1" s="1"/>
  <c r="CB30" i="1"/>
  <c r="CC30" i="1" s="1"/>
  <c r="CB28" i="1"/>
  <c r="CC28" i="1" s="1"/>
  <c r="CA271" i="1"/>
  <c r="CC271" i="1" s="1"/>
  <c r="CA260" i="1"/>
  <c r="CC260" i="1" s="1"/>
  <c r="CB310" i="1"/>
  <c r="CC310" i="1" s="1"/>
  <c r="CB175" i="1"/>
  <c r="CC175" i="1" s="1"/>
  <c r="CB150" i="1"/>
  <c r="CC150" i="1" s="1"/>
  <c r="CB287" i="1"/>
  <c r="CC287" i="1" s="1"/>
  <c r="CA194" i="1"/>
  <c r="CC194" i="1" s="1"/>
  <c r="CA204" i="1"/>
  <c r="CC204" i="1" s="1"/>
  <c r="CA59" i="1"/>
  <c r="CC59" i="1" s="1"/>
  <c r="CA163" i="1"/>
  <c r="CC163" i="1" s="1"/>
  <c r="CB137" i="1"/>
  <c r="CC137" i="1" s="1"/>
  <c r="CA263" i="1"/>
  <c r="CC263" i="1" s="1"/>
  <c r="CB45" i="1"/>
  <c r="CC45" i="1" s="1"/>
  <c r="CA294" i="1"/>
  <c r="CC294" i="1" s="1"/>
  <c r="CB328" i="1"/>
  <c r="CC328" i="1" s="1"/>
  <c r="CA37" i="1"/>
  <c r="CC37" i="1" s="1"/>
  <c r="CA318" i="1"/>
  <c r="CC318" i="1" s="1"/>
  <c r="CA74" i="1"/>
  <c r="CC74" i="1" s="1"/>
  <c r="CA167" i="1"/>
  <c r="CC167" i="1" s="1"/>
  <c r="CA335" i="1"/>
  <c r="CC335" i="1" s="1"/>
  <c r="CA256" i="1"/>
  <c r="CC256" i="1" s="1"/>
  <c r="CB78" i="1"/>
  <c r="CC78" i="1" s="1"/>
  <c r="CB312" i="1"/>
  <c r="CC312" i="1" s="1"/>
  <c r="CB321" i="1"/>
  <c r="CC321" i="1" s="1"/>
  <c r="CA358" i="1"/>
  <c r="CC358" i="1" s="1"/>
  <c r="CB189" i="1"/>
  <c r="CC189" i="1" s="1"/>
  <c r="CA252" i="1"/>
  <c r="CC252" i="1" s="1"/>
  <c r="CA242" i="1"/>
  <c r="CC242" i="1" s="1"/>
  <c r="CA164" i="1"/>
  <c r="CC164" i="1" s="1"/>
  <c r="CA134" i="1"/>
  <c r="CC134" i="1" s="1"/>
  <c r="CA36" i="1"/>
  <c r="CC36" i="1" s="1"/>
  <c r="CA198" i="1"/>
  <c r="CC198" i="1" s="1"/>
  <c r="CB315" i="1"/>
  <c r="CC315" i="1" s="1"/>
  <c r="CB95" i="1"/>
  <c r="CC95" i="1" s="1"/>
  <c r="CB138" i="1"/>
  <c r="CC138" i="1" s="1"/>
  <c r="CA139" i="1"/>
  <c r="CC139" i="1" s="1"/>
  <c r="CA334" i="1"/>
  <c r="CC334" i="1" s="1"/>
  <c r="CB67" i="1"/>
  <c r="CC67" i="1" s="1"/>
  <c r="CA129" i="1"/>
  <c r="CC129" i="1" s="1"/>
  <c r="CA187" i="1"/>
  <c r="CC187" i="1" s="1"/>
  <c r="CA278" i="1"/>
  <c r="CC278" i="1" s="1"/>
  <c r="CA267" i="1"/>
  <c r="CC267" i="1" s="1"/>
  <c r="CB44" i="1"/>
  <c r="CC44" i="1" s="1"/>
  <c r="CA61" i="1"/>
  <c r="CC61" i="1" s="1"/>
  <c r="CB142" i="1"/>
  <c r="CC142" i="1" s="1"/>
  <c r="CA290" i="1"/>
  <c r="CC290" i="1" s="1"/>
  <c r="CA217" i="1"/>
  <c r="CC217" i="1" s="1"/>
  <c r="CB171" i="1"/>
  <c r="CC171" i="1" s="1"/>
  <c r="CB76" i="1"/>
  <c r="CC76" i="1" s="1"/>
  <c r="CB199" i="1"/>
  <c r="CC199" i="1" s="1"/>
  <c r="CA314" i="1"/>
  <c r="CC314" i="1" s="1"/>
  <c r="CB82" i="1"/>
  <c r="CC82" i="1" s="1"/>
  <c r="CB114" i="1"/>
  <c r="CC114" i="1" s="1"/>
  <c r="CA201" i="1"/>
  <c r="CC201" i="1" s="1"/>
  <c r="CB18" i="1"/>
  <c r="CC18" i="1" s="1"/>
  <c r="CB117" i="1"/>
  <c r="CC117" i="1" s="1"/>
  <c r="CB340" i="1"/>
  <c r="CC340" i="1" s="1"/>
  <c r="CA262" i="1"/>
  <c r="CC262" i="1" s="1"/>
  <c r="CA283" i="1"/>
  <c r="CC283" i="1" s="1"/>
  <c r="CB276" i="1"/>
  <c r="CC276" i="1" s="1"/>
  <c r="CB330" i="1"/>
  <c r="CC330" i="1" s="1"/>
  <c r="CA108" i="1"/>
  <c r="CC108" i="1" s="1"/>
  <c r="CA325" i="1"/>
  <c r="CC325" i="1" s="1"/>
  <c r="CA293" i="1"/>
  <c r="CC293" i="1" s="1"/>
  <c r="CB119" i="1"/>
  <c r="CC119" i="1" s="1"/>
  <c r="CB351" i="1"/>
  <c r="CC351" i="1" s="1"/>
  <c r="CB149" i="1"/>
  <c r="CC149" i="1" s="1"/>
  <c r="CB357" i="1"/>
  <c r="CC357" i="1" s="1"/>
  <c r="CB153" i="1"/>
  <c r="CC153" i="1" s="1"/>
  <c r="CA107" i="1"/>
  <c r="CC107" i="1" s="1"/>
  <c r="CB43" i="1"/>
  <c r="CC43" i="1" s="1"/>
  <c r="CA208" i="1"/>
  <c r="CC208" i="1" s="1"/>
  <c r="CA272" i="1"/>
  <c r="CC272" i="1" s="1"/>
  <c r="CB177" i="1"/>
  <c r="CC177" i="1" s="1"/>
  <c r="CB94" i="1"/>
  <c r="CC94" i="1" s="1"/>
  <c r="CB347" i="1"/>
  <c r="CC347" i="1" s="1"/>
  <c r="CB231" i="1"/>
  <c r="CC231" i="1" s="1"/>
  <c r="CA308" i="1"/>
  <c r="CC308" i="1" s="1"/>
  <c r="CB19" i="1"/>
  <c r="CC19" i="1" s="1"/>
  <c r="CA216" i="1"/>
  <c r="CC216" i="1" s="1"/>
  <c r="CB251" i="1"/>
  <c r="CC251" i="1" s="1"/>
  <c r="CB106" i="1"/>
  <c r="CC106" i="1" s="1"/>
  <c r="CA319" i="1"/>
  <c r="CC319" i="1" s="1"/>
  <c r="CB237" i="1"/>
  <c r="CC237" i="1" s="1"/>
  <c r="CA73" i="1"/>
  <c r="CC73" i="1" s="1"/>
  <c r="CA162" i="1"/>
  <c r="CC162" i="1" s="1"/>
  <c r="CA121" i="1"/>
  <c r="CC121" i="1" s="1"/>
  <c r="CA161" i="1"/>
  <c r="CC161" i="1" s="1"/>
  <c r="CB192" i="1"/>
  <c r="CC192" i="1" s="1"/>
  <c r="CB297" i="1"/>
  <c r="CC297" i="1" s="1"/>
  <c r="CA233" i="1"/>
  <c r="CC233" i="1" s="1"/>
  <c r="CA234" i="1"/>
  <c r="CC234" i="1" s="1"/>
  <c r="CA176" i="1"/>
  <c r="CC176" i="1" s="1"/>
  <c r="CB225" i="1"/>
  <c r="CC225" i="1" s="1"/>
  <c r="CA289" i="1"/>
  <c r="CC289" i="1" s="1"/>
  <c r="CA298" i="1"/>
  <c r="CC298" i="1" s="1"/>
  <c r="CB249" i="1"/>
  <c r="CC249" i="1" s="1"/>
  <c r="CA25" i="1"/>
  <c r="CC25" i="1" s="1"/>
  <c r="CA105" i="1"/>
  <c r="CC105" i="1" s="1"/>
  <c r="CB33" i="1"/>
  <c r="CC33" i="1" s="1"/>
  <c r="CB145" i="1"/>
  <c r="CC145" i="1" s="1"/>
  <c r="CB360" i="1"/>
  <c r="CC360" i="1" s="1"/>
  <c r="CB264" i="1"/>
  <c r="CC264" i="1" s="1"/>
  <c r="CA57" i="1"/>
  <c r="CC57" i="1" s="1"/>
  <c r="CA48" i="1"/>
  <c r="CC48" i="1" s="1"/>
  <c r="CA64" i="1"/>
  <c r="CC64" i="1" s="1"/>
  <c r="CA34" i="1"/>
  <c r="CC34" i="1" s="1"/>
  <c r="CA320" i="1"/>
  <c r="CC320" i="1" s="1"/>
  <c r="CB257" i="1"/>
  <c r="CC257" i="1" s="1"/>
  <c r="CB362" i="1"/>
  <c r="CC362" i="1" s="1"/>
  <c r="CA89" i="1"/>
  <c r="CC89" i="1" s="1"/>
  <c r="CB32" i="1"/>
  <c r="CC32" i="1" s="1"/>
  <c r="CB280" i="1"/>
  <c r="CC280" i="1" s="1"/>
  <c r="CA152" i="1"/>
  <c r="CC152" i="1" s="1"/>
  <c r="CB42" i="1"/>
  <c r="CC42" i="1" s="1"/>
  <c r="CB80" i="1"/>
  <c r="CC80" i="1" s="1"/>
  <c r="CA112" i="1"/>
  <c r="CC112" i="1" s="1"/>
  <c r="CA72" i="1"/>
  <c r="CC72" i="1" s="1"/>
  <c r="CA97" i="1"/>
  <c r="CC97" i="1" s="1"/>
  <c r="CB368" i="1"/>
  <c r="CC368" i="1" s="1"/>
  <c r="CA98" i="1"/>
  <c r="CC98" i="1" s="1"/>
  <c r="CB185" i="1"/>
  <c r="CC185" i="1" s="1"/>
  <c r="CA17" i="1"/>
  <c r="CC17" i="1" s="1"/>
  <c r="CB200" i="1"/>
  <c r="CC200" i="1" s="1"/>
  <c r="CB248" i="1"/>
  <c r="CC248" i="1" s="1"/>
  <c r="CA56" i="1"/>
  <c r="CC56" i="1" s="1"/>
  <c r="CA81" i="1"/>
  <c r="CC81" i="1" s="1"/>
  <c r="CA128" i="1"/>
  <c r="CC128" i="1" s="1"/>
  <c r="CB232" i="1"/>
  <c r="CC232" i="1" s="1"/>
  <c r="CB16" i="1"/>
  <c r="CC16" i="1" s="1"/>
  <c r="CB184" i="1"/>
  <c r="CC184" i="1" s="1"/>
  <c r="CA88" i="1"/>
  <c r="CC88" i="1" s="1"/>
  <c r="CB296" i="1"/>
  <c r="CC296" i="1" s="1"/>
  <c r="CA352" i="1"/>
  <c r="CC352" i="1" s="1"/>
  <c r="CA168" i="1"/>
  <c r="CC168" i="1" s="1"/>
  <c r="CA240" i="1"/>
  <c r="CC240" i="1" s="1"/>
  <c r="CB304" i="1"/>
  <c r="CC304" i="1" s="1"/>
  <c r="CA120" i="1"/>
  <c r="CC120" i="1" s="1"/>
  <c r="CA288" i="1"/>
  <c r="CC288" i="1" s="1"/>
  <c r="CB24" i="1"/>
  <c r="CC24" i="1" s="1"/>
  <c r="CB160" i="1"/>
  <c r="CC160" i="1" s="1"/>
  <c r="CB40" i="1"/>
  <c r="CC40" i="1" s="1"/>
  <c r="CA104" i="1"/>
  <c r="CC104" i="1" s="1"/>
  <c r="CA224" i="1"/>
  <c r="CC224" i="1" s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J186" i="1"/>
  <c r="K186" i="1" s="1"/>
  <c r="J194" i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BZ11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CH17" i="1" l="1"/>
  <c r="CI17" i="1" s="1"/>
  <c r="CJ17" i="1" s="1"/>
  <c r="CI50" i="1"/>
  <c r="CJ50" i="1" s="1"/>
  <c r="CH86" i="1"/>
  <c r="CI86" i="1" s="1"/>
  <c r="CJ86" i="1" s="1"/>
  <c r="CH115" i="1"/>
  <c r="CH268" i="1"/>
  <c r="CI268" i="1" s="1"/>
  <c r="CJ268" i="1" s="1"/>
  <c r="CH71" i="1"/>
  <c r="CI71" i="1" s="1"/>
  <c r="CJ71" i="1" s="1"/>
  <c r="CH76" i="1"/>
  <c r="CI76" i="1" s="1"/>
  <c r="CJ76" i="1" s="1"/>
  <c r="CH42" i="1"/>
  <c r="CI42" i="1" s="1"/>
  <c r="CJ42" i="1" s="1"/>
  <c r="CH191" i="1"/>
  <c r="CI191" i="1" s="1"/>
  <c r="CJ191" i="1" s="1"/>
  <c r="CH360" i="1"/>
  <c r="CI360" i="1" s="1"/>
  <c r="CJ360" i="1" s="1"/>
  <c r="CH196" i="1"/>
  <c r="CI196" i="1" s="1"/>
  <c r="CJ196" i="1" s="1"/>
  <c r="CI113" i="1"/>
  <c r="CJ113" i="1" s="1"/>
  <c r="CH319" i="1"/>
  <c r="CI319" i="1" s="1"/>
  <c r="CJ319" i="1" s="1"/>
  <c r="CH30" i="1"/>
  <c r="CI30" i="1" s="1"/>
  <c r="CJ30" i="1" s="1"/>
  <c r="CI173" i="1"/>
  <c r="CJ173" i="1" s="1"/>
  <c r="CH296" i="1"/>
  <c r="CI296" i="1" s="1"/>
  <c r="CJ296" i="1" s="1"/>
  <c r="CH308" i="1"/>
  <c r="CI308" i="1" s="1"/>
  <c r="CJ308" i="1" s="1"/>
  <c r="CH221" i="1"/>
  <c r="CI221" i="1" s="1"/>
  <c r="CJ221" i="1" s="1"/>
  <c r="CH56" i="1"/>
  <c r="CI56" i="1" s="1"/>
  <c r="CJ56" i="1" s="1"/>
  <c r="CH252" i="1"/>
  <c r="CI252" i="1" s="1"/>
  <c r="CJ252" i="1" s="1"/>
  <c r="CH325" i="1"/>
  <c r="CI325" i="1" s="1"/>
  <c r="CJ325" i="1" s="1"/>
  <c r="CH287" i="1"/>
  <c r="CI287" i="1" s="1"/>
  <c r="CJ287" i="1" s="1"/>
  <c r="CH261" i="1"/>
  <c r="CI261" i="1" s="1"/>
  <c r="CJ261" i="1" s="1"/>
  <c r="CH44" i="1"/>
  <c r="CI44" i="1" s="1"/>
  <c r="CJ44" i="1" s="1"/>
  <c r="CH162" i="1"/>
  <c r="CI162" i="1" s="1"/>
  <c r="CJ162" i="1" s="1"/>
  <c r="CH343" i="1"/>
  <c r="CI343" i="1" s="1"/>
  <c r="CJ343" i="1" s="1"/>
  <c r="CH142" i="1"/>
  <c r="CI142" i="1" s="1"/>
  <c r="CJ142" i="1" s="1"/>
  <c r="CH128" i="1"/>
  <c r="CI128" i="1" s="1"/>
  <c r="CJ128" i="1" s="1"/>
  <c r="CH127" i="1"/>
  <c r="CI127" i="1" s="1"/>
  <c r="CJ127" i="1" s="1"/>
  <c r="CH358" i="1"/>
  <c r="CI358" i="1" s="1"/>
  <c r="CJ358" i="1" s="1"/>
  <c r="CH256" i="1"/>
  <c r="CI256" i="1" s="1"/>
  <c r="CJ256" i="1" s="1"/>
  <c r="CH266" i="1"/>
  <c r="CI266" i="1" s="1"/>
  <c r="CJ266" i="1" s="1"/>
  <c r="CH61" i="1"/>
  <c r="CI61" i="1" s="1"/>
  <c r="CJ61" i="1" s="1"/>
  <c r="CH77" i="1"/>
  <c r="CI77" i="1" s="1"/>
  <c r="CJ77" i="1" s="1"/>
  <c r="CH169" i="1"/>
  <c r="CI169" i="1" s="1"/>
  <c r="CJ169" i="1" s="1"/>
  <c r="CH94" i="1"/>
  <c r="CI94" i="1" s="1"/>
  <c r="CJ94" i="1" s="1"/>
  <c r="CH46" i="1"/>
  <c r="CI46" i="1" s="1"/>
  <c r="CJ46" i="1" s="1"/>
  <c r="CH239" i="1"/>
  <c r="CI239" i="1" s="1"/>
  <c r="CJ239" i="1" s="1"/>
  <c r="CH333" i="1"/>
  <c r="CI333" i="1" s="1"/>
  <c r="CJ333" i="1" s="1"/>
  <c r="CH79" i="1"/>
  <c r="CI79" i="1" s="1"/>
  <c r="CJ79" i="1" s="1"/>
  <c r="CH258" i="1"/>
  <c r="CI258" i="1" s="1"/>
  <c r="CJ258" i="1" s="1"/>
  <c r="CH279" i="1"/>
  <c r="CI279" i="1" s="1"/>
  <c r="CJ279" i="1" s="1"/>
  <c r="CH225" i="1"/>
  <c r="CI225" i="1" s="1"/>
  <c r="CJ225" i="1" s="1"/>
  <c r="CG16" i="1"/>
  <c r="CI16" i="1" s="1"/>
  <c r="CJ16" i="1" s="1"/>
  <c r="CH51" i="1"/>
  <c r="CI51" i="1" s="1"/>
  <c r="CJ51" i="1" s="1"/>
  <c r="CH117" i="1"/>
  <c r="CI117" i="1" s="1"/>
  <c r="CJ117" i="1" s="1"/>
  <c r="CH208" i="1"/>
  <c r="CI208" i="1" s="1"/>
  <c r="CJ208" i="1" s="1"/>
  <c r="CH96" i="1"/>
  <c r="CI96" i="1" s="1"/>
  <c r="CJ96" i="1" s="1"/>
  <c r="CH371" i="1"/>
  <c r="CI371" i="1" s="1"/>
  <c r="CJ371" i="1" s="1"/>
  <c r="CH249" i="1"/>
  <c r="CI249" i="1" s="1"/>
  <c r="CJ249" i="1" s="1"/>
  <c r="CH175" i="1"/>
  <c r="CI175" i="1" s="1"/>
  <c r="CJ175" i="1" s="1"/>
  <c r="CH55" i="1"/>
  <c r="CI55" i="1" s="1"/>
  <c r="CJ55" i="1" s="1"/>
  <c r="CH37" i="1"/>
  <c r="CI37" i="1" s="1"/>
  <c r="CJ37" i="1" s="1"/>
  <c r="CH278" i="1"/>
  <c r="CI278" i="1" s="1"/>
  <c r="CJ278" i="1" s="1"/>
  <c r="CH63" i="1"/>
  <c r="CI63" i="1" s="1"/>
  <c r="CJ63" i="1" s="1"/>
  <c r="CH310" i="1"/>
  <c r="CI310" i="1" s="1"/>
  <c r="CJ310" i="1" s="1"/>
  <c r="CH35" i="1"/>
  <c r="CI35" i="1" s="1"/>
  <c r="CJ35" i="1" s="1"/>
  <c r="CH69" i="1"/>
  <c r="CI69" i="1" s="1"/>
  <c r="CJ69" i="1" s="1"/>
  <c r="CH373" i="1"/>
  <c r="CI373" i="1" s="1"/>
  <c r="CJ373" i="1" s="1"/>
  <c r="CH164" i="1"/>
  <c r="CI164" i="1" s="1"/>
  <c r="CJ164" i="1" s="1"/>
  <c r="CI270" i="1"/>
  <c r="CJ270" i="1" s="1"/>
  <c r="CH178" i="1"/>
  <c r="CI178" i="1" s="1"/>
  <c r="CJ178" i="1" s="1"/>
  <c r="CH290" i="1"/>
  <c r="CI290" i="1" s="1"/>
  <c r="CJ290" i="1" s="1"/>
  <c r="CH26" i="1"/>
  <c r="CI26" i="1" s="1"/>
  <c r="CJ26" i="1" s="1"/>
  <c r="CH180" i="1"/>
  <c r="CI180" i="1" s="1"/>
  <c r="CJ180" i="1" s="1"/>
  <c r="CH271" i="1"/>
  <c r="CI271" i="1" s="1"/>
  <c r="CJ271" i="1" s="1"/>
  <c r="CH144" i="1"/>
  <c r="CI144" i="1" s="1"/>
  <c r="CJ144" i="1" s="1"/>
  <c r="CH247" i="1"/>
  <c r="CI247" i="1" s="1"/>
  <c r="CJ247" i="1" s="1"/>
  <c r="CH83" i="1"/>
  <c r="CI83" i="1" s="1"/>
  <c r="CJ83" i="1" s="1"/>
  <c r="CH88" i="1"/>
  <c r="CI88" i="1" s="1"/>
  <c r="CJ88" i="1" s="1"/>
  <c r="CH375" i="1"/>
  <c r="CI375" i="1" s="1"/>
  <c r="CJ375" i="1" s="1"/>
  <c r="CH305" i="1"/>
  <c r="CI305" i="1" s="1"/>
  <c r="CJ305" i="1" s="1"/>
  <c r="CH181" i="1"/>
  <c r="CI181" i="1" s="1"/>
  <c r="CJ181" i="1" s="1"/>
  <c r="CH148" i="1"/>
  <c r="CI148" i="1" s="1"/>
  <c r="CJ148" i="1" s="1"/>
  <c r="CH354" i="1"/>
  <c r="CI354" i="1" s="1"/>
  <c r="CJ354" i="1" s="1"/>
  <c r="CH92" i="1"/>
  <c r="CI92" i="1" s="1"/>
  <c r="CJ92" i="1" s="1"/>
  <c r="CH183" i="1"/>
  <c r="CI183" i="1" s="1"/>
  <c r="CJ183" i="1" s="1"/>
  <c r="CH155" i="1"/>
  <c r="CI155" i="1" s="1"/>
  <c r="CJ155" i="1" s="1"/>
  <c r="CH32" i="1"/>
  <c r="CI32" i="1" s="1"/>
  <c r="CJ32" i="1" s="1"/>
  <c r="CH19" i="1"/>
  <c r="CI19" i="1" s="1"/>
  <c r="CJ19" i="1" s="1"/>
  <c r="CH297" i="1"/>
  <c r="CI297" i="1" s="1"/>
  <c r="CJ297" i="1" s="1"/>
  <c r="CH25" i="1"/>
  <c r="CI25" i="1" s="1"/>
  <c r="CJ25" i="1" s="1"/>
  <c r="CH260" i="1"/>
  <c r="CI260" i="1" s="1"/>
  <c r="CJ260" i="1" s="1"/>
  <c r="CH182" i="1"/>
  <c r="CI182" i="1" s="1"/>
  <c r="CJ182" i="1" s="1"/>
  <c r="CH189" i="1"/>
  <c r="CI189" i="1" s="1"/>
  <c r="CJ189" i="1" s="1"/>
  <c r="CH133" i="1"/>
  <c r="CI133" i="1" s="1"/>
  <c r="CJ133" i="1" s="1"/>
  <c r="CH237" i="1"/>
  <c r="CI237" i="1" s="1"/>
  <c r="CJ237" i="1" s="1"/>
  <c r="CH284" i="1"/>
  <c r="CI284" i="1" s="1"/>
  <c r="CJ284" i="1" s="1"/>
  <c r="CH202" i="1"/>
  <c r="CI202" i="1" s="1"/>
  <c r="CJ202" i="1" s="1"/>
  <c r="CH320" i="1"/>
  <c r="CI320" i="1" s="1"/>
  <c r="CJ320" i="1" s="1"/>
  <c r="CH370" i="1"/>
  <c r="CI370" i="1" s="1"/>
  <c r="CJ370" i="1" s="1"/>
  <c r="CH240" i="1"/>
  <c r="CI240" i="1" s="1"/>
  <c r="CJ240" i="1" s="1"/>
  <c r="CH20" i="1"/>
  <c r="CI20" i="1" s="1"/>
  <c r="CJ20" i="1" s="1"/>
  <c r="CH90" i="1"/>
  <c r="CI90" i="1" s="1"/>
  <c r="CJ90" i="1" s="1"/>
  <c r="CH315" i="1"/>
  <c r="CI315" i="1" s="1"/>
  <c r="CJ315" i="1" s="1"/>
  <c r="CH329" i="1"/>
  <c r="CI329" i="1" s="1"/>
  <c r="CJ329" i="1" s="1"/>
  <c r="CH67" i="1"/>
  <c r="CI67" i="1" s="1"/>
  <c r="CJ67" i="1" s="1"/>
  <c r="CH161" i="1"/>
  <c r="CI161" i="1" s="1"/>
  <c r="CJ161" i="1" s="1"/>
  <c r="CH364" i="1"/>
  <c r="CI364" i="1" s="1"/>
  <c r="CJ364" i="1" s="1"/>
  <c r="CH344" i="1"/>
  <c r="CI344" i="1" s="1"/>
  <c r="CJ344" i="1" s="1"/>
  <c r="CH36" i="1"/>
  <c r="CI36" i="1" s="1"/>
  <c r="CJ36" i="1" s="1"/>
  <c r="CH138" i="1"/>
  <c r="CI138" i="1" s="1"/>
  <c r="CJ138" i="1" s="1"/>
  <c r="CH38" i="1"/>
  <c r="CI38" i="1" s="1"/>
  <c r="CJ38" i="1" s="1"/>
  <c r="CH313" i="1"/>
  <c r="CI313" i="1" s="1"/>
  <c r="CJ313" i="1" s="1"/>
  <c r="CH203" i="1"/>
  <c r="CI203" i="1" s="1"/>
  <c r="CJ203" i="1" s="1"/>
  <c r="CH292" i="1"/>
  <c r="CI292" i="1" s="1"/>
  <c r="CJ292" i="1" s="1"/>
  <c r="CH242" i="1"/>
  <c r="CI242" i="1" s="1"/>
  <c r="CJ242" i="1" s="1"/>
  <c r="CH78" i="1"/>
  <c r="CI78" i="1" s="1"/>
  <c r="CJ78" i="1" s="1"/>
  <c r="CH24" i="1"/>
  <c r="CI24" i="1" s="1"/>
  <c r="CJ24" i="1" s="1"/>
  <c r="CH147" i="1"/>
  <c r="CI147" i="1" s="1"/>
  <c r="CJ147" i="1" s="1"/>
  <c r="CH212" i="1"/>
  <c r="CI212" i="1" s="1"/>
  <c r="CJ212" i="1" s="1"/>
  <c r="CH331" i="1"/>
  <c r="CI331" i="1" s="1"/>
  <c r="CJ331" i="1" s="1"/>
  <c r="CH65" i="1"/>
  <c r="CI65" i="1" s="1"/>
  <c r="CJ65" i="1" s="1"/>
  <c r="CH95" i="1"/>
  <c r="CI95" i="1" s="1"/>
  <c r="CJ95" i="1" s="1"/>
  <c r="CH41" i="1"/>
  <c r="CI41" i="1" s="1"/>
  <c r="CJ41" i="1" s="1"/>
  <c r="CH254" i="1"/>
  <c r="CI254" i="1" s="1"/>
  <c r="CJ254" i="1" s="1"/>
  <c r="CH153" i="1"/>
  <c r="CI153" i="1" s="1"/>
  <c r="CJ153" i="1" s="1"/>
  <c r="CH327" i="1"/>
  <c r="CI327" i="1" s="1"/>
  <c r="CJ327" i="1" s="1"/>
  <c r="CH131" i="1"/>
  <c r="CI131" i="1" s="1"/>
  <c r="CJ131" i="1" s="1"/>
  <c r="CH18" i="1"/>
  <c r="CI18" i="1" s="1"/>
  <c r="CJ18" i="1" s="1"/>
  <c r="CH223" i="1"/>
  <c r="CI223" i="1" s="1"/>
  <c r="CJ223" i="1" s="1"/>
  <c r="CH118" i="1"/>
  <c r="CI118" i="1" s="1"/>
  <c r="CJ118" i="1" s="1"/>
  <c r="CH228" i="1"/>
  <c r="CI228" i="1" s="1"/>
  <c r="CJ228" i="1" s="1"/>
  <c r="CH215" i="1"/>
  <c r="CI215" i="1" s="1"/>
  <c r="CJ215" i="1" s="1"/>
  <c r="CH134" i="1"/>
  <c r="CI134" i="1" s="1"/>
  <c r="CJ134" i="1" s="1"/>
  <c r="CH190" i="1"/>
  <c r="CI190" i="1" s="1"/>
  <c r="CJ190" i="1" s="1"/>
  <c r="CI188" i="1"/>
  <c r="CJ188" i="1" s="1"/>
  <c r="CH244" i="1"/>
  <c r="CI244" i="1" s="1"/>
  <c r="CJ244" i="1" s="1"/>
  <c r="CH294" i="1"/>
  <c r="CI294" i="1" s="1"/>
  <c r="CJ294" i="1" s="1"/>
  <c r="CH311" i="1"/>
  <c r="CI311" i="1" s="1"/>
  <c r="CJ311" i="1" s="1"/>
  <c r="CH59" i="1"/>
  <c r="CI59" i="1" s="1"/>
  <c r="CJ59" i="1" s="1"/>
  <c r="CH123" i="1"/>
  <c r="CI123" i="1" s="1"/>
  <c r="CJ123" i="1" s="1"/>
  <c r="CH140" i="1"/>
  <c r="CI140" i="1" s="1"/>
  <c r="CJ140" i="1" s="1"/>
  <c r="CH53" i="1"/>
  <c r="CI53" i="1" s="1"/>
  <c r="CJ53" i="1" s="1"/>
  <c r="CH70" i="1"/>
  <c r="CI70" i="1" s="1"/>
  <c r="CJ70" i="1" s="1"/>
  <c r="CH171" i="1"/>
  <c r="CI171" i="1" s="1"/>
  <c r="CJ171" i="1" s="1"/>
  <c r="CH21" i="1"/>
  <c r="CI21" i="1" s="1"/>
  <c r="CJ21" i="1" s="1"/>
  <c r="CH68" i="1"/>
  <c r="CI68" i="1" s="1"/>
  <c r="CJ68" i="1" s="1"/>
  <c r="CH167" i="1"/>
  <c r="CI167" i="1" s="1"/>
  <c r="CJ167" i="1" s="1"/>
  <c r="CI115" i="1"/>
  <c r="CJ115" i="1" s="1"/>
  <c r="CH350" i="1"/>
  <c r="CI350" i="1" s="1"/>
  <c r="CJ350" i="1" s="1"/>
  <c r="CH248" i="1"/>
  <c r="CI248" i="1" s="1"/>
  <c r="CJ248" i="1" s="1"/>
  <c r="CH224" i="1"/>
  <c r="CI224" i="1" s="1"/>
  <c r="CJ224" i="1" s="1"/>
  <c r="CH272" i="1"/>
  <c r="CI272" i="1" s="1"/>
  <c r="CJ272" i="1" s="1"/>
  <c r="CH289" i="1"/>
  <c r="CI289" i="1" s="1"/>
  <c r="CJ289" i="1" s="1"/>
  <c r="CH217" i="1"/>
  <c r="CI217" i="1" s="1"/>
  <c r="CJ217" i="1" s="1"/>
  <c r="CH75" i="1"/>
  <c r="CI75" i="1" s="1"/>
  <c r="CJ75" i="1" s="1"/>
  <c r="CH340" i="1"/>
  <c r="CI340" i="1" s="1"/>
  <c r="CJ340" i="1" s="1"/>
  <c r="CH48" i="1"/>
  <c r="CI48" i="1" s="1"/>
  <c r="CJ48" i="1" s="1"/>
  <c r="CH317" i="1"/>
  <c r="CI317" i="1" s="1"/>
  <c r="CJ317" i="1" s="1"/>
  <c r="CH214" i="1"/>
  <c r="CI214" i="1" s="1"/>
  <c r="CJ214" i="1" s="1"/>
  <c r="CH231" i="1"/>
  <c r="CI231" i="1" s="1"/>
  <c r="CJ231" i="1" s="1"/>
  <c r="CH361" i="1"/>
  <c r="CI361" i="1" s="1"/>
  <c r="CJ361" i="1" s="1"/>
  <c r="CH269" i="1"/>
  <c r="CI269" i="1" s="1"/>
  <c r="CJ269" i="1" s="1"/>
  <c r="CH152" i="1"/>
  <c r="CI152" i="1" s="1"/>
  <c r="CJ152" i="1" s="1"/>
  <c r="CH246" i="1"/>
  <c r="CI246" i="1" s="1"/>
  <c r="CJ246" i="1" s="1"/>
  <c r="CH81" i="1"/>
  <c r="CI81" i="1" s="1"/>
  <c r="CJ81" i="1" s="1"/>
  <c r="CH15" i="1"/>
  <c r="CI15" i="1" s="1"/>
  <c r="CJ15" i="1" s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P191" i="1" l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I171" i="1" l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N171" i="1" l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AU159" i="1" l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W4" i="1" s="1"/>
  <c r="AW158" i="1"/>
  <c r="O158" i="1" s="1"/>
  <c r="AW164" i="1"/>
  <c r="O164" i="1" s="1"/>
  <c r="BZ170" i="1"/>
  <c r="CB170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AB7" i="1" l="1"/>
  <c r="CA170" i="1"/>
  <c r="CC170" i="1" s="1"/>
  <c r="O165" i="1"/>
  <c r="B180" i="1" s="1"/>
  <c r="B202" i="1" s="1"/>
  <c r="N165" i="1"/>
  <c r="B179" i="1" s="1"/>
  <c r="B201" i="1" s="1"/>
  <c r="B83" i="1"/>
  <c r="B205" i="1" l="1"/>
  <c r="U6" i="1" s="1"/>
  <c r="CC9" i="1" s="1"/>
  <c r="CJ9" i="1" s="1"/>
  <c r="B204" i="1"/>
  <c r="U5" i="1" s="1"/>
  <c r="CB9" i="1" s="1"/>
  <c r="CI9" i="1" s="1"/>
  <c r="CI10" i="1" l="1"/>
  <c r="CI11" i="1" s="1"/>
  <c r="CB10" i="1"/>
  <c r="CB11" i="1" s="1"/>
  <c r="U8" i="1"/>
  <c r="AA7" i="1" s="1"/>
  <c r="U7" i="1"/>
  <c r="W7" i="1" s="1"/>
  <c r="AA9" i="1"/>
  <c r="AB9" i="1"/>
  <c r="W6" i="1"/>
  <c r="U18" i="1"/>
  <c r="U19" i="1" s="1"/>
  <c r="U21" i="1" s="1"/>
  <c r="CJ11" i="1" l="1"/>
  <c r="CL11" i="1" s="1"/>
  <c r="CM11" i="1" s="1"/>
  <c r="CC11" i="1"/>
  <c r="CE11" i="1" s="1"/>
  <c r="CG11" i="1" s="1"/>
  <c r="X8" i="1"/>
  <c r="X7" i="1"/>
  <c r="V19" i="1"/>
  <c r="V21" i="1" s="1"/>
  <c r="W19" i="1"/>
  <c r="W21" i="1" s="1"/>
  <c r="AC9" i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<sst xmlns="http://schemas.openxmlformats.org/spreadsheetml/2006/main" count="362" uniqueCount="209">
  <si>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</si>
  <si>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</si>
  <si>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</si>
  <si>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</si>
  <si>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</si>
  <si>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</si>
  <si>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</si>
  <si>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</si>
  <si>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</si>
  <si>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</si>
  <si>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</si>
  <si>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</si>
  <si>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</si>
  <si>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</si>
  <si>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</si>
  <si>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</si>
  <si>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</si>
  <si>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</si>
  <si>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</si>
  <si>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</si>
  <si>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</si>
  <si>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</si>
  <si>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</si>
  <si>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</si>
  <si>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</si>
  <si>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</si>
  <si>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</si>
  <si>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</si>
  <si>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</si>
  <si>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</si>
  <si>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</si>
  <si>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</si>
  <si>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</si>
  <si>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</si>
  <si>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</si>
  <si>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</si>
  <si>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</si>
  <si>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</si>
  <si>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</si>
  <si>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</si>
  <si>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</si>
  <si>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</si>
  <si>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</si>
  <si>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</si>
  <si>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</si>
  <si>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</si>
  <si>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</si>
  <si>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</si>
  <si>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</si>
  <si>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</si>
  <si>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</si>
  <si>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</si>
  <si>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</si>
  <si>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</si>
  <si>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</si>
  <si>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</si>
  <si>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</si>
  <si>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</si>
  <si>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</si>
  <si>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</si>
  <si>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</si>
  <si>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</si>
  <si>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</si>
  <si>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</si>
  <si>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</si>
  <si>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</si>
  <si>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</si>
  <si>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</si>
  <si>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</si>
  <si>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</si>
  <si>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</si>
  <si>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</si>
  <si>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</si>
  <si>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</si>
  <si>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</si>
  <si>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</si>
  <si>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</si>
  <si>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</si>
  <si>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</si>
  <si>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</si>
  <si>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</si>
  <si>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</si>
  <si>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</si>
  <si>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</si>
  <si>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</si>
  <si>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</si>
  <si>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</si>
  <si>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</si>
  <si>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</si>
  <si>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</si>
  <si>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</si>
  <si>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</si>
  <si>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</si>
  <si>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</si>
  <si>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</si>
  <si>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</si>
  <si>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</si>
  <si>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</si>
  <si>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</si>
  <si>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</si>
  <si>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</si>
  <si>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</si>
  <si>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</si>
  <si>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</si>
  <si>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</si>
  <si>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</si>
  <si>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</si>
  <si>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</si>
  <si>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</si>
  <si>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</si>
  <si>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</si>
  <si>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</si>
  <si>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</si>
  <si>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</si>
  <si>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</si>
  <si>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</si>
  <si>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</si>
  <si>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</si>
  <si>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</si>
  <si>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</si>
  <si>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</si>
  <si>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</si>
  <si>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</si>
  <si>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</si>
  <si>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</si>
  <si>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</si>
  <si>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</si>
  <si>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</si>
  <si>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</si>
  <si>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</si>
  <si>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</si>
  <si>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</si>
  <si>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</si>
  <si>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</si>
  <si>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</si>
  <si>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</si>
  <si>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</si>
  <si>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</si>
  <si>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</si>
  <si>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</si>
  <si>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</si>
  <si>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</si>
  <si>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</si>
  <si>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</si>
  <si>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</si>
  <si>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</si>
  <si>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</si>
  <si>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</si>
  <si>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</si>
  <si>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</si>
  <si>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</si>
  <si>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</si>
  <si>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</si>
  <si>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</si>
  <si>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</si>
  <si>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</si>
  <si>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</si>
  <si>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</si>
  <si>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</si>
  <si>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</si>
  <si>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</si>
  <si>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</si>
  <si>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</si>
  <si>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</si>
  <si>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</si>
  <si>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</si>
  <si>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</si>
  <si>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</si>
  <si>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</si>
  <si>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</si>
  <si>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</si>
  <si>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</si>
  <si>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</si>
  <si>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</si>
  <si>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</si>
  <si>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</si>
  <si>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</si>
  <si>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</si>
  <si>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</si>
  <si>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</si>
  <si>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</si>
  <si>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</si>
  <si>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</si>
  <si>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</si>
  <si>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</si>
  <si>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</si>
  <si>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</si>
  <si>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</si>
  <si>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</si>
  <si>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</si>
  <si>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</si>
  <si>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</si>
  <si>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</si>
  <si>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</si>
  <si>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</si>
  <si>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</si>
  <si>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</si>
  <si>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</si>
  <si>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PCA_Parabolic</t>
  </si>
  <si>
    <t>Max</t>
  </si>
  <si>
    <t>Min</t>
  </si>
  <si>
    <t>GU</t>
  </si>
  <si>
    <t>|GU|</t>
  </si>
  <si>
    <t>t</t>
  </si>
  <si>
    <t>Mx,calc</t>
  </si>
  <si>
    <t>My,calc</t>
  </si>
  <si>
    <t>Mx,user</t>
  </si>
  <si>
    <t>My,user</t>
  </si>
  <si>
    <t>2D Vector Between User Load/Calculated and New Center Point - moving from load to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</si>
</sst>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26.083141244895298</c:v>
                </c:pt>
                <c:pt idx="1">
                  <c:v>5.0244076288212902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24.602198619779301</c:v>
                </c:pt>
                <c:pt idx="1">
                  <c:v>35.689579815608383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18.599236518341037</c:v>
                </c:pt>
                <c:pt idx="1">
                  <c:v>29.686617714170119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-0.2813616563632495</c:v>
                </c:pt>
                <c:pt idx="1">
                  <c:v>-10.899582800400921</c:v>
                </c:pt>
                <c:pt idx="2">
                  <c:v>-3.4456198292248073</c:v>
                </c:pt>
                <c:pt idx="3">
                  <c:v>-3.4456198292248073</c:v>
                </c:pt>
                <c:pt idx="4">
                  <c:v>0.2813616563632495</c:v>
                </c:pt>
                <c:pt idx="5">
                  <c:v>10.899582800400921</c:v>
                </c:pt>
                <c:pt idx="6">
                  <c:v>7.172601314812864</c:v>
                </c:pt>
                <c:pt idx="7">
                  <c:v>7.172601314812864</c:v>
                </c:pt>
                <c:pt idx="8">
                  <c:v>-0.2813616563632495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13.413457258228714</c:v>
                </c:pt>
                <c:pt idx="1">
                  <c:v>7.8229850298466284</c:v>
                </c:pt>
                <c:pt idx="2">
                  <c:v>-6.3346431622035997</c:v>
                </c:pt>
                <c:pt idx="3">
                  <c:v>-6.3346431622035997</c:v>
                </c:pt>
                <c:pt idx="4">
                  <c:v>-13.413457258228714</c:v>
                </c:pt>
                <c:pt idx="5">
                  <c:v>-7.8229850298466284</c:v>
                </c:pt>
                <c:pt idx="6">
                  <c:v>-0.74417093382151434</c:v>
                </c:pt>
                <c:pt idx="7">
                  <c:v>-0.74417093382151434</c:v>
                </c:pt>
                <c:pt idx="8">
                  <c:v>13.413457258228714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-1.1193198089725134</c:v>
                </c:pt>
                <c:pt idx="1">
                  <c:v>-0.18757443757549952</c:v>
                </c:pt>
                <c:pt idx="2">
                  <c:v>-2.889023332978792</c:v>
                </c:pt>
                <c:pt idx="3">
                  <c:v>-1.9572779615817779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10.71200836282542</c:v>
                </c:pt>
                <c:pt idx="1">
                  <c:v>8.9423048388191422</c:v>
                </c:pt>
                <c:pt idx="2">
                  <c:v>9.7802629914284065</c:v>
                </c:pt>
                <c:pt idx="3">
                  <c:v>8.0105594674221283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-11.899582800400921</c:v>
                </c:pt>
                <c:pt idx="1">
                  <c:v>11.899582800400921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-20.507264602847076</c:v>
                </c:pt>
                <c:pt idx="1">
                  <c:v>-20.507264602847076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-11.899582800400921</c:v>
                </c:pt>
                <c:pt idx="1">
                  <c:v>11.899582800400921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-13.723120230631917</c:v>
                </c:pt>
                <c:pt idx="1">
                  <c:v>-13.723120230631917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-0.2813616563632495</c:v>
                </c:pt>
                <c:pt idx="1">
                  <c:v>-10.899582800400921</c:v>
                </c:pt>
                <c:pt idx="2">
                  <c:v>-3.4456198292248073</c:v>
                </c:pt>
                <c:pt idx="3">
                  <c:v>-3.4456198292248073</c:v>
                </c:pt>
                <c:pt idx="4">
                  <c:v>0.2813616563632495</c:v>
                </c:pt>
                <c:pt idx="5">
                  <c:v>10.899582800400921</c:v>
                </c:pt>
                <c:pt idx="6">
                  <c:v>7.172601314812864</c:v>
                </c:pt>
                <c:pt idx="7">
                  <c:v>7.172601314812864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13.413457258228714</c:v>
                </c:pt>
                <c:pt idx="1">
                  <c:v>7.8229850298466284</c:v>
                </c:pt>
                <c:pt idx="2">
                  <c:v>-6.3346431622035997</c:v>
                </c:pt>
                <c:pt idx="3">
                  <c:v>-6.3346431622035997</c:v>
                </c:pt>
                <c:pt idx="4">
                  <c:v>-13.413457258228714</c:v>
                </c:pt>
                <c:pt idx="5">
                  <c:v>-7.8229850298466284</c:v>
                </c:pt>
                <c:pt idx="6">
                  <c:v>-0.74417093382151434</c:v>
                </c:pt>
                <c:pt idx="7">
                  <c:v>-0.74417093382151434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-10.899582800400921</c:v>
                </c:pt>
                <c:pt idx="1">
                  <c:v>-3.4456198292248073</c:v>
                </c:pt>
                <c:pt idx="2">
                  <c:v>-3.4456198292248073</c:v>
                </c:pt>
                <c:pt idx="3">
                  <c:v>0.2813616563632495</c:v>
                </c:pt>
                <c:pt idx="4">
                  <c:v>10.899582800400921</c:v>
                </c:pt>
                <c:pt idx="5">
                  <c:v>7.172601314812864</c:v>
                </c:pt>
                <c:pt idx="6">
                  <c:v>7.172601314812864</c:v>
                </c:pt>
                <c:pt idx="7">
                  <c:v>-0.2813616563632495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7.8229850298466284</c:v>
                </c:pt>
                <c:pt idx="1">
                  <c:v>-6.3346431622035997</c:v>
                </c:pt>
                <c:pt idx="2">
                  <c:v>-6.3346431622035997</c:v>
                </c:pt>
                <c:pt idx="3">
                  <c:v>-13.413457258228714</c:v>
                </c:pt>
                <c:pt idx="4">
                  <c:v>-7.8229850298466284</c:v>
                </c:pt>
                <c:pt idx="5">
                  <c:v>-0.74417093382151434</c:v>
                </c:pt>
                <c:pt idx="6">
                  <c:v>-0.74417093382151434</c:v>
                </c:pt>
                <c:pt idx="7">
                  <c:v>13.413457258228714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49.477267507411923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850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130.4837873034227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849.99999999977456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49.477267507411923</c:v>
                </c:pt>
                <c:pt idx="1">
                  <c:v>130.4837873034227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850</c:v>
                </c:pt>
                <c:pt idx="1">
                  <c:v>849.99999999977456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-40.331788593580519</c:v>
                </c:pt>
                <c:pt idx="1">
                  <c:v>-40.359527432683578</c:v>
                </c:pt>
                <c:pt idx="2">
                  <c:v>-40.388358471576794</c:v>
                </c:pt>
                <c:pt idx="3">
                  <c:v>-40.418306837146119</c:v>
                </c:pt>
                <c:pt idx="4">
                  <c:v>-40.449399896063028</c:v>
                </c:pt>
                <c:pt idx="5">
                  <c:v>-40.481667359771137</c:v>
                </c:pt>
                <c:pt idx="6">
                  <c:v>-40.515141398683269</c:v>
                </c:pt>
                <c:pt idx="7">
                  <c:v>-40.549856765348466</c:v>
                </c:pt>
                <c:pt idx="8">
                  <c:v>-40.585850928941987</c:v>
                </c:pt>
                <c:pt idx="9">
                  <c:v>-40.623164228460141</c:v>
                </c:pt>
                <c:pt idx="10">
                  <c:v>-40.661840027084828</c:v>
                </c:pt>
                <c:pt idx="11">
                  <c:v>-40.701924892682833</c:v>
                </c:pt>
                <c:pt idx="12">
                  <c:v>-40.743468786939729</c:v>
                </c:pt>
                <c:pt idx="13">
                  <c:v>-40.786525278619365</c:v>
                </c:pt>
                <c:pt idx="14">
                  <c:v>-40.831151766991759</c:v>
                </c:pt>
                <c:pt idx="15">
                  <c:v>-40.877409737266277</c:v>
                </c:pt>
                <c:pt idx="16">
                  <c:v>-40.925365031278403</c:v>
                </c:pt>
                <c:pt idx="17">
                  <c:v>-40.97508814248696</c:v>
                </c:pt>
                <c:pt idx="18">
                  <c:v>-41.026654549228041</c:v>
                </c:pt>
                <c:pt idx="19">
                  <c:v>-41.080145067440839</c:v>
                </c:pt>
                <c:pt idx="20">
                  <c:v>-41.13564623784486</c:v>
                </c:pt>
                <c:pt idx="21">
                  <c:v>-41.193250762623222</c:v>
                </c:pt>
                <c:pt idx="22">
                  <c:v>-41.253057969575174</c:v>
                </c:pt>
                <c:pt idx="23">
                  <c:v>-41.315174327751471</c:v>
                </c:pt>
                <c:pt idx="24">
                  <c:v>-41.379714014495114</c:v>
                </c:pt>
                <c:pt idx="25">
                  <c:v>-41.446799540154231</c:v>
                </c:pt>
                <c:pt idx="26">
                  <c:v>-41.51656243041792</c:v>
                </c:pt>
                <c:pt idx="27">
                  <c:v>-41.589143984680682</c:v>
                </c:pt>
                <c:pt idx="28">
                  <c:v>-41.66469610669737</c:v>
                </c:pt>
                <c:pt idx="29">
                  <c:v>-41.743382231148253</c:v>
                </c:pt>
                <c:pt idx="30">
                  <c:v>-41.825378335753356</c:v>
                </c:pt>
                <c:pt idx="31">
                  <c:v>-41.910874074781574</c:v>
                </c:pt>
                <c:pt idx="32">
                  <c:v>-42.000074031749577</c:v>
                </c:pt>
                <c:pt idx="33">
                  <c:v>-42.093199107429875</c:v>
                </c:pt>
                <c:pt idx="34">
                  <c:v>-42.190488067247067</c:v>
                </c:pt>
                <c:pt idx="35">
                  <c:v>-42.292199273863474</c:v>
                </c:pt>
                <c:pt idx="36">
                  <c:v>-42.398612603842643</c:v>
                </c:pt>
                <c:pt idx="37">
                  <c:v>-42.510031609135424</c:v>
                </c:pt>
                <c:pt idx="38">
                  <c:v>-42.626785920508603</c:v>
                </c:pt>
                <c:pt idx="39">
                  <c:v>-42.74923396860941</c:v>
                </c:pt>
                <c:pt idx="40">
                  <c:v>-42.87776601655154</c:v>
                </c:pt>
                <c:pt idx="41">
                  <c:v>-43.012807603813833</c:v>
                </c:pt>
                <c:pt idx="42">
                  <c:v>-43.154823410728824</c:v>
                </c:pt>
                <c:pt idx="43">
                  <c:v>-43.304321656715096</c:v>
                </c:pt>
                <c:pt idx="44">
                  <c:v>-43.461859068113831</c:v>
                </c:pt>
                <c:pt idx="45">
                  <c:v>-43.628046541880906</c:v>
                </c:pt>
                <c:pt idx="46">
                  <c:v>-43.803555595817883</c:v>
                </c:pt>
                <c:pt idx="47">
                  <c:v>-43.989125738260199</c:v>
                </c:pt>
                <c:pt idx="48">
                  <c:v>-44.185572927925129</c:v>
                </c:pt>
                <c:pt idx="49">
                  <c:v>-44.393799278490548</c:v>
                </c:pt>
                <c:pt idx="50">
                  <c:v>-44.614804263627981</c:v>
                </c:pt>
                <c:pt idx="51">
                  <c:v>-44.849697667833887</c:v>
                </c:pt>
                <c:pt idx="52">
                  <c:v>-45.099714620299672</c:v>
                </c:pt>
                <c:pt idx="53">
                  <c:v>-45.366233092387425</c:v>
                </c:pt>
                <c:pt idx="54">
                  <c:v>-45.650794363155988</c:v>
                </c:pt>
                <c:pt idx="55">
                  <c:v>-45.955127019333318</c:v>
                </c:pt>
                <c:pt idx="56">
                  <c:v>-46.281164332824602</c:v>
                </c:pt>
                <c:pt idx="57">
                  <c:v>-46.630995228847688</c:v>
                </c:pt>
                <c:pt idx="58">
                  <c:v>-47.006826914764716</c:v>
                </c:pt>
                <c:pt idx="59">
                  <c:v>-47.410995061082218</c:v>
                </c:pt>
                <c:pt idx="60">
                  <c:v>-47.845977696483914</c:v>
                </c:pt>
                <c:pt idx="61">
                  <c:v>-48.314410007368416</c:v>
                </c:pt>
                <c:pt idx="62">
                  <c:v>-48.819100190528829</c:v>
                </c:pt>
                <c:pt idx="63">
                  <c:v>-49.36304652970469</c:v>
                </c:pt>
                <c:pt idx="64">
                  <c:v>-49.949455925742804</c:v>
                </c:pt>
                <c:pt idx="65">
                  <c:v>-50.581764176499441</c:v>
                </c:pt>
                <c:pt idx="66">
                  <c:v>-51.263658425131403</c:v>
                </c:pt>
                <c:pt idx="67">
                  <c:v>-51.999102388289842</c:v>
                </c:pt>
                <c:pt idx="68">
                  <c:v>-52.792365271118889</c:v>
                </c:pt>
                <c:pt idx="69">
                  <c:v>-53.648055733213006</c:v>
                </c:pt>
                <c:pt idx="70">
                  <c:v>-54.571163067885209</c:v>
                </c:pt>
                <c:pt idx="71">
                  <c:v>-55.567108950622718</c:v>
                </c:pt>
                <c:pt idx="72">
                  <c:v>-56.641815222556886</c:v>
                </c:pt>
                <c:pt idx="73">
                  <c:v>-57.801793362312686</c:v>
                </c:pt>
                <c:pt idx="74">
                  <c:v>-59.054205596571514</c:v>
                </c:pt>
                <c:pt idx="75">
                  <c:v>-60.406879809598053</c:v>
                </c:pt>
                <c:pt idx="76">
                  <c:v>-61.802485911971502</c:v>
                </c:pt>
                <c:pt idx="77">
                  <c:v>-63.265486394238401</c:v>
                </c:pt>
                <c:pt idx="78">
                  <c:v>-64.763719942274037</c:v>
                </c:pt>
                <c:pt idx="79">
                  <c:v>-66.194765048147943</c:v>
                </c:pt>
                <c:pt idx="80">
                  <c:v>-67.720391842590786</c:v>
                </c:pt>
                <c:pt idx="81">
                  <c:v>-69.347194674873833</c:v>
                </c:pt>
                <c:pt idx="82">
                  <c:v>-71.082258504920546</c:v>
                </c:pt>
                <c:pt idx="83">
                  <c:v>-72.93317609956658</c:v>
                </c:pt>
                <c:pt idx="84">
                  <c:v>-74.908079722489902</c:v>
                </c:pt>
                <c:pt idx="85">
                  <c:v>-77.015673052185306</c:v>
                </c:pt>
                <c:pt idx="86">
                  <c:v>-79.116822395322501</c:v>
                </c:pt>
                <c:pt idx="87">
                  <c:v>-80.758793699500671</c:v>
                </c:pt>
                <c:pt idx="88">
                  <c:v>-82.412272911186193</c:v>
                </c:pt>
                <c:pt idx="89">
                  <c:v>-84.12074285141945</c:v>
                </c:pt>
                <c:pt idx="90">
                  <c:v>-85.882875000000183</c:v>
                </c:pt>
                <c:pt idx="91">
                  <c:v>-87.645007148594374</c:v>
                </c:pt>
                <c:pt idx="92">
                  <c:v>-89.353477088794747</c:v>
                </c:pt>
                <c:pt idx="93">
                  <c:v>-91.006956300464225</c:v>
                </c:pt>
                <c:pt idx="94">
                  <c:v>-92.604687246538077</c:v>
                </c:pt>
                <c:pt idx="95">
                  <c:v>-94.146398252606147</c:v>
                </c:pt>
                <c:pt idx="96">
                  <c:v>-95.63222666338666</c:v>
                </c:pt>
                <c:pt idx="97">
                  <c:v>-97.062650283250548</c:v>
                </c:pt>
                <c:pt idx="98">
                  <c:v>-98.438426822384315</c:v>
                </c:pt>
                <c:pt idx="99">
                  <c:v>-99.760540893706533</c:v>
                </c:pt>
                <c:pt idx="100">
                  <c:v>-101.03015799367479</c:v>
                </c:pt>
                <c:pt idx="101">
                  <c:v>-102.2485848489179</c:v>
                </c:pt>
                <c:pt idx="102">
                  <c:v>-103.41723549795655</c:v>
                </c:pt>
                <c:pt idx="103">
                  <c:v>-104.53760248034847</c:v>
                </c:pt>
                <c:pt idx="104">
                  <c:v>-105.61123255484861</c:v>
                </c:pt>
                <c:pt idx="105">
                  <c:v>-106.63970637763583</c:v>
                </c:pt>
                <c:pt idx="106">
                  <c:v>-107.62462165620691</c:v>
                </c:pt>
                <c:pt idx="107">
                  <c:v>-108.56757775976887</c:v>
                </c:pt>
                <c:pt idx="108">
                  <c:v>-109.47009063221243</c:v>
                </c:pt>
                <c:pt idx="109">
                  <c:v>-110.33345701779245</c:v>
                </c:pt>
                <c:pt idx="110">
                  <c:v>-111.15883246659899</c:v>
                </c:pt>
                <c:pt idx="111">
                  <c:v>-111.9473215686475</c:v>
                </c:pt>
                <c:pt idx="112">
                  <c:v>-112.70002492929238</c:v>
                </c:pt>
                <c:pt idx="113">
                  <c:v>-113.41806071233947</c:v>
                </c:pt>
                <c:pt idx="114">
                  <c:v>-114.10257176477371</c:v>
                </c:pt>
                <c:pt idx="115">
                  <c:v>-114.75472484635152</c:v>
                </c:pt>
                <c:pt idx="116">
                  <c:v>-115.37570586418434</c:v>
                </c:pt>
                <c:pt idx="117">
                  <c:v>-115.96671342697492</c:v>
                </c:pt>
                <c:pt idx="118">
                  <c:v>-116.52895203128189</c:v>
                </c:pt>
                <c:pt idx="119">
                  <c:v>-117.06362564508531</c:v>
                </c:pt>
                <c:pt idx="120">
                  <c:v>-117.5719320529235</c:v>
                </c:pt>
                <c:pt idx="121">
                  <c:v>-118.05505816326192</c:v>
                </c:pt>
                <c:pt idx="122">
                  <c:v>-118.51417629459593</c:v>
                </c:pt>
                <c:pt idx="123">
                  <c:v>-118.95044143614814</c:v>
                </c:pt>
                <c:pt idx="124">
                  <c:v>-119.3649894256335</c:v>
                </c:pt>
                <c:pt idx="125">
                  <c:v>-119.75893594604648</c:v>
                </c:pt>
                <c:pt idx="126">
                  <c:v>-120.13337628846126</c:v>
                </c:pt>
                <c:pt idx="127">
                  <c:v>-120.48938578678438</c:v>
                </c:pt>
                <c:pt idx="128">
                  <c:v>-120.8280208691058</c:v>
                </c:pt>
                <c:pt idx="129">
                  <c:v>-121.15032066831611</c:v>
                </c:pt>
                <c:pt idx="130">
                  <c:v>-121.45730914382126</c:v>
                </c:pt>
                <c:pt idx="131">
                  <c:v>-121.74999669733926</c:v>
                </c:pt>
                <c:pt idx="132">
                  <c:v>-122.02935748524308</c:v>
                </c:pt>
                <c:pt idx="133">
                  <c:v>-122.29628900545578</c:v>
                </c:pt>
                <c:pt idx="134">
                  <c:v>-122.55161190766442</c:v>
                </c:pt>
                <c:pt idx="135">
                  <c:v>-122.79607791412785</c:v>
                </c:pt>
                <c:pt idx="136">
                  <c:v>-123.03037678447224</c:v>
                </c:pt>
                <c:pt idx="137">
                  <c:v>-123.25514245715283</c:v>
                </c:pt>
                <c:pt idx="138">
                  <c:v>-123.47095846411723</c:v>
                </c:pt>
                <c:pt idx="139">
                  <c:v>-123.6783627380444</c:v>
                </c:pt>
                <c:pt idx="140">
                  <c:v>-123.8778518693356</c:v>
                </c:pt>
                <c:pt idx="141">
                  <c:v>-124.06988489823149</c:v>
                </c:pt>
                <c:pt idx="142">
                  <c:v>-124.25488670141458</c:v>
                </c:pt>
                <c:pt idx="143">
                  <c:v>-124.43325101286604</c:v>
                </c:pt>
                <c:pt idx="144">
                  <c:v>-124.60534312793295</c:v>
                </c:pt>
                <c:pt idx="145">
                  <c:v>-124.77150233790292</c:v>
                </c:pt>
                <c:pt idx="146">
                  <c:v>-124.93204410916658</c:v>
                </c:pt>
                <c:pt idx="147">
                  <c:v>-125.0872620502292</c:v>
                </c:pt>
                <c:pt idx="148">
                  <c:v>-125.23742968708368</c:v>
                </c:pt>
                <c:pt idx="149">
                  <c:v>-125.38280206044217</c:v>
                </c:pt>
                <c:pt idx="150">
                  <c:v>-125.52361717778763</c:v>
                </c:pt>
                <c:pt idx="151">
                  <c:v>-125.66009732433778</c:v>
                </c:pt>
                <c:pt idx="152">
                  <c:v>-125.7924502529886</c:v>
                </c:pt>
                <c:pt idx="153">
                  <c:v>-125.9208702641958</c:v>
                </c:pt>
                <c:pt idx="154">
                  <c:v>-126.04553919233783</c:v>
                </c:pt>
                <c:pt idx="155">
                  <c:v>-126.16662729468212</c:v>
                </c:pt>
                <c:pt idx="156">
                  <c:v>-126.28429406817028</c:v>
                </c:pt>
                <c:pt idx="157">
                  <c:v>-126.3986889922754</c:v>
                </c:pt>
                <c:pt idx="158">
                  <c:v>-126.50995220424016</c:v>
                </c:pt>
                <c:pt idx="159">
                  <c:v>-126.61821511918572</c:v>
                </c:pt>
                <c:pt idx="160">
                  <c:v>-126.72360099268433</c:v>
                </c:pt>
                <c:pt idx="161">
                  <c:v>-126.82622543849564</c:v>
                </c:pt>
                <c:pt idx="162">
                  <c:v>-126.92619689861947</c:v>
                </c:pt>
                <c:pt idx="163">
                  <c:v>-127.02361707243811</c:v>
                </c:pt>
                <c:pt idx="164">
                  <c:v>-127.11858131277839</c:v>
                </c:pt>
                <c:pt idx="165">
                  <c:v>-127.21117898180705</c:v>
                </c:pt>
                <c:pt idx="166">
                  <c:v>-127.30149378118827</c:v>
                </c:pt>
                <c:pt idx="167">
                  <c:v>-127.38960404977917</c:v>
                </c:pt>
                <c:pt idx="168">
                  <c:v>-127.47558303366094</c:v>
                </c:pt>
                <c:pt idx="169">
                  <c:v>-127.55949913827907</c:v>
                </c:pt>
                <c:pt idx="170">
                  <c:v>-127.64141614401615</c:v>
                </c:pt>
                <c:pt idx="171">
                  <c:v>-127.72139341641711</c:v>
                </c:pt>
                <c:pt idx="172">
                  <c:v>-127.79948608182291</c:v>
                </c:pt>
                <c:pt idx="173">
                  <c:v>-127.87574519545535</c:v>
                </c:pt>
                <c:pt idx="174">
                  <c:v>-127.95021788386303</c:v>
                </c:pt>
                <c:pt idx="175">
                  <c:v>-128.02294747203183</c:v>
                </c:pt>
                <c:pt idx="176">
                  <c:v>-128.09397359992352</c:v>
                </c:pt>
                <c:pt idx="177">
                  <c:v>-128.16333231141547</c:v>
                </c:pt>
                <c:pt idx="178">
                  <c:v>-128.23105614649501</c:v>
                </c:pt>
                <c:pt idx="179">
                  <c:v>-128.29717419953818</c:v>
                </c:pt>
                <c:pt idx="180">
                  <c:v>-128.36171217961632</c:v>
                </c:pt>
                <c:pt idx="181">
                  <c:v>-128.29717419953937</c:v>
                </c:pt>
                <c:pt idx="182">
                  <c:v>-128.2310561464962</c:v>
                </c:pt>
                <c:pt idx="183">
                  <c:v>-128.16333231141675</c:v>
                </c:pt>
                <c:pt idx="184">
                  <c:v>-128.09397359992471</c:v>
                </c:pt>
                <c:pt idx="185">
                  <c:v>-128.02294747203302</c:v>
                </c:pt>
                <c:pt idx="186">
                  <c:v>-127.95021788386418</c:v>
                </c:pt>
                <c:pt idx="187">
                  <c:v>-127.87574519545643</c:v>
                </c:pt>
                <c:pt idx="188">
                  <c:v>-127.79948608182394</c:v>
                </c:pt>
                <c:pt idx="189">
                  <c:v>-127.72139341641839</c:v>
                </c:pt>
                <c:pt idx="190">
                  <c:v>-127.64141614401717</c:v>
                </c:pt>
                <c:pt idx="191">
                  <c:v>-127.55949913828015</c:v>
                </c:pt>
                <c:pt idx="192">
                  <c:v>-127.47558303366193</c:v>
                </c:pt>
                <c:pt idx="193">
                  <c:v>-127.38960404978027</c:v>
                </c:pt>
                <c:pt idx="194">
                  <c:v>-127.30149378118935</c:v>
                </c:pt>
                <c:pt idx="195">
                  <c:v>-127.21117898180805</c:v>
                </c:pt>
                <c:pt idx="196">
                  <c:v>-127.11858131277944</c:v>
                </c:pt>
                <c:pt idx="197">
                  <c:v>-127.02361707243922</c:v>
                </c:pt>
                <c:pt idx="198">
                  <c:v>-126.92619689862039</c:v>
                </c:pt>
                <c:pt idx="199">
                  <c:v>-126.82622543849668</c:v>
                </c:pt>
                <c:pt idx="200">
                  <c:v>-126.72360099268531</c:v>
                </c:pt>
                <c:pt idx="201">
                  <c:v>-126.61821511918669</c:v>
                </c:pt>
                <c:pt idx="202">
                  <c:v>-126.50995220424099</c:v>
                </c:pt>
                <c:pt idx="203">
                  <c:v>-126.39868899227629</c:v>
                </c:pt>
                <c:pt idx="204">
                  <c:v>-126.28429406817112</c:v>
                </c:pt>
                <c:pt idx="205">
                  <c:v>-126.16662729468285</c:v>
                </c:pt>
                <c:pt idx="206">
                  <c:v>-126.04553919233869</c:v>
                </c:pt>
                <c:pt idx="207">
                  <c:v>-125.92087026419676</c:v>
                </c:pt>
                <c:pt idx="208">
                  <c:v>-125.79245025298951</c:v>
                </c:pt>
                <c:pt idx="209">
                  <c:v>-125.66009732433868</c:v>
                </c:pt>
                <c:pt idx="210">
                  <c:v>-125.52361717778859</c:v>
                </c:pt>
                <c:pt idx="211">
                  <c:v>-125.3828020604431</c:v>
                </c:pt>
                <c:pt idx="212">
                  <c:v>-125.23742968708456</c:v>
                </c:pt>
                <c:pt idx="213">
                  <c:v>-125.08726205023019</c:v>
                </c:pt>
                <c:pt idx="214">
                  <c:v>-124.93204410916748</c:v>
                </c:pt>
                <c:pt idx="215">
                  <c:v>-124.77150233790381</c:v>
                </c:pt>
                <c:pt idx="216">
                  <c:v>-124.60534312793388</c:v>
                </c:pt>
                <c:pt idx="217">
                  <c:v>-124.43325101286696</c:v>
                </c:pt>
                <c:pt idx="218">
                  <c:v>-124.25488670141551</c:v>
                </c:pt>
                <c:pt idx="219">
                  <c:v>-124.06988489823237</c:v>
                </c:pt>
                <c:pt idx="220">
                  <c:v>-123.87785186933652</c:v>
                </c:pt>
                <c:pt idx="221">
                  <c:v>-123.67836273804529</c:v>
                </c:pt>
                <c:pt idx="222">
                  <c:v>-123.47095846411811</c:v>
                </c:pt>
                <c:pt idx="223">
                  <c:v>-123.2551990782711</c:v>
                </c:pt>
                <c:pt idx="224">
                  <c:v>-122.92451215365722</c:v>
                </c:pt>
                <c:pt idx="225">
                  <c:v>-122.45009157353456</c:v>
                </c:pt>
                <c:pt idx="226">
                  <c:v>-121.96522946985272</c:v>
                </c:pt>
                <c:pt idx="227">
                  <c:v>-121.46926545138665</c:v>
                </c:pt>
                <c:pt idx="228">
                  <c:v>-120.96149271299653</c:v>
                </c:pt>
                <c:pt idx="229">
                  <c:v>-120.44115322056993</c:v>
                </c:pt>
                <c:pt idx="230">
                  <c:v>-119.90743225821447</c:v>
                </c:pt>
                <c:pt idx="231">
                  <c:v>-119.35945591188879</c:v>
                </c:pt>
                <c:pt idx="232">
                  <c:v>-118.79636312343585</c:v>
                </c:pt>
                <c:pt idx="233">
                  <c:v>-118.08979365504237</c:v>
                </c:pt>
                <c:pt idx="234">
                  <c:v>-117.20124967644087</c:v>
                </c:pt>
                <c:pt idx="235">
                  <c:v>-116.29500236435409</c:v>
                </c:pt>
                <c:pt idx="236">
                  <c:v>-115.37035522546351</c:v>
                </c:pt>
                <c:pt idx="237">
                  <c:v>-114.31601937588539</c:v>
                </c:pt>
                <c:pt idx="238">
                  <c:v>-113.20299590471758</c:v>
                </c:pt>
                <c:pt idx="239">
                  <c:v>-112.07085810005103</c:v>
                </c:pt>
                <c:pt idx="240">
                  <c:v>-110.91908642365834</c:v>
                </c:pt>
                <c:pt idx="241">
                  <c:v>-109.74721188579785</c:v>
                </c:pt>
                <c:pt idx="242">
                  <c:v>-108.55482362955169</c:v>
                </c:pt>
                <c:pt idx="243">
                  <c:v>-107.34157712713332</c:v>
                </c:pt>
                <c:pt idx="244">
                  <c:v>-106.1072026919302</c:v>
                </c:pt>
                <c:pt idx="245">
                  <c:v>-104.85157122127016</c:v>
                </c:pt>
                <c:pt idx="246">
                  <c:v>-103.48041055796502</c:v>
                </c:pt>
                <c:pt idx="247">
                  <c:v>-101.98808731247706</c:v>
                </c:pt>
                <c:pt idx="248">
                  <c:v>-100.47772071952154</c:v>
                </c:pt>
                <c:pt idx="249">
                  <c:v>-98.949830691057457</c:v>
                </c:pt>
                <c:pt idx="250">
                  <c:v>-97.405014310931008</c:v>
                </c:pt>
                <c:pt idx="251">
                  <c:v>-95.843894427482013</c:v>
                </c:pt>
                <c:pt idx="252">
                  <c:v>-94.267028689888548</c:v>
                </c:pt>
                <c:pt idx="253">
                  <c:v>-92.674778064188914</c:v>
                </c:pt>
                <c:pt idx="254">
                  <c:v>-91.067380649103796</c:v>
                </c:pt>
                <c:pt idx="255">
                  <c:v>-89.445166162898275</c:v>
                </c:pt>
                <c:pt idx="256">
                  <c:v>-87.808594327678492</c:v>
                </c:pt>
                <c:pt idx="257">
                  <c:v>-86.158270254998527</c:v>
                </c:pt>
                <c:pt idx="258">
                  <c:v>-84.494961275527317</c:v>
                </c:pt>
                <c:pt idx="259">
                  <c:v>-82.819615237491305</c:v>
                </c:pt>
                <c:pt idx="260">
                  <c:v>-81.133380266885382</c:v>
                </c:pt>
                <c:pt idx="261">
                  <c:v>-79.437625935761943</c:v>
                </c:pt>
                <c:pt idx="262">
                  <c:v>-77.733965726978639</c:v>
                </c:pt>
                <c:pt idx="263">
                  <c:v>-76.02428060068145</c:v>
                </c:pt>
                <c:pt idx="264">
                  <c:v>-74.310743371810986</c:v>
                </c:pt>
                <c:pt idx="265">
                  <c:v>-72.59584346960834</c:v>
                </c:pt>
                <c:pt idx="266">
                  <c:v>-70.882411498820872</c:v>
                </c:pt>
                <c:pt idx="267">
                  <c:v>-69.173642809511875</c:v>
                </c:pt>
                <c:pt idx="268">
                  <c:v>-67.473119047956246</c:v>
                </c:pt>
                <c:pt idx="269">
                  <c:v>-65.784826366986181</c:v>
                </c:pt>
                <c:pt idx="270">
                  <c:v>-64.113168623315389</c:v>
                </c:pt>
                <c:pt idx="271">
                  <c:v>-62.353481602013161</c:v>
                </c:pt>
                <c:pt idx="272">
                  <c:v>-60.735649897507543</c:v>
                </c:pt>
                <c:pt idx="273">
                  <c:v>-59.247734704366124</c:v>
                </c:pt>
                <c:pt idx="274">
                  <c:v>-57.878853546604333</c:v>
                </c:pt>
                <c:pt idx="275">
                  <c:v>-56.619083908735462</c:v>
                </c:pt>
                <c:pt idx="276">
                  <c:v>-55.459375393332365</c:v>
                </c:pt>
                <c:pt idx="277">
                  <c:v>-54.391469690671116</c:v>
                </c:pt>
                <c:pt idx="278">
                  <c:v>-53.407827716854378</c:v>
                </c:pt>
                <c:pt idx="279">
                  <c:v>-52.501563321673721</c:v>
                </c:pt>
                <c:pt idx="280">
                  <c:v>-51.666383012571423</c:v>
                </c:pt>
                <c:pt idx="281">
                  <c:v>-50.896531181351804</c:v>
                </c:pt>
                <c:pt idx="282">
                  <c:v>-50.186740349777267</c:v>
                </c:pt>
                <c:pt idx="283">
                  <c:v>-49.532186002450381</c:v>
                </c:pt>
                <c:pt idx="284">
                  <c:v>-48.928445576432182</c:v>
                </c:pt>
                <c:pt idx="285">
                  <c:v>-48.371461247023682</c:v>
                </c:pt>
                <c:pt idx="286">
                  <c:v>-47.857506143943056</c:v>
                </c:pt>
                <c:pt idx="287">
                  <c:v>-47.38315368311553</c:v>
                </c:pt>
                <c:pt idx="288">
                  <c:v>-46.945249718080291</c:v>
                </c:pt>
                <c:pt idx="289">
                  <c:v>-46.540887231351157</c:v>
                </c:pt>
                <c:pt idx="290">
                  <c:v>-46.16738333593149</c:v>
                </c:pt>
                <c:pt idx="291">
                  <c:v>-45.822258333908721</c:v>
                </c:pt>
                <c:pt idx="292">
                  <c:v>-45.503216657042884</c:v>
                </c:pt>
                <c:pt idx="293">
                  <c:v>-45.208129468815848</c:v>
                </c:pt>
                <c:pt idx="294">
                  <c:v>-44.935020622017646</c:v>
                </c:pt>
                <c:pt idx="295">
                  <c:v>-44.682068597368676</c:v>
                </c:pt>
                <c:pt idx="296">
                  <c:v>-44.447599036297063</c:v>
                </c:pt>
                <c:pt idx="297">
                  <c:v>-44.230060534937188</c:v>
                </c:pt>
                <c:pt idx="298">
                  <c:v>-44.028004842355088</c:v>
                </c:pt>
                <c:pt idx="299">
                  <c:v>-43.840071503777246</c:v>
                </c:pt>
                <c:pt idx="300">
                  <c:v>-43.664975572637445</c:v>
                </c:pt>
                <c:pt idx="301">
                  <c:v>-43.501498831324071</c:v>
                </c:pt>
                <c:pt idx="302">
                  <c:v>-43.348514205681887</c:v>
                </c:pt>
                <c:pt idx="303">
                  <c:v>-43.20502860577654</c:v>
                </c:pt>
                <c:pt idx="304">
                  <c:v>-43.070171939606837</c:v>
                </c:pt>
                <c:pt idx="305">
                  <c:v>-42.943178349475595</c:v>
                </c:pt>
                <c:pt idx="306">
                  <c:v>-42.823370812249017</c:v>
                </c:pt>
                <c:pt idx="307">
                  <c:v>-42.710148449949301</c:v>
                </c:pt>
                <c:pt idx="308">
                  <c:v>-42.60297597394527</c:v>
                </c:pt>
                <c:pt idx="309">
                  <c:v>-42.501374877251962</c:v>
                </c:pt>
                <c:pt idx="310">
                  <c:v>-42.404916030430705</c:v>
                </c:pt>
                <c:pt idx="311">
                  <c:v>-42.313213421479389</c:v>
                </c:pt>
                <c:pt idx="312">
                  <c:v>-42.225918838938789</c:v>
                </c:pt>
                <c:pt idx="313">
                  <c:v>-42.142717345367004</c:v>
                </c:pt>
                <c:pt idx="314">
                  <c:v>-42.06332337731196</c:v>
                </c:pt>
                <c:pt idx="315">
                  <c:v>-41.987477410409561</c:v>
                </c:pt>
                <c:pt idx="316">
                  <c:v>-41.914943057122045</c:v>
                </c:pt>
                <c:pt idx="317">
                  <c:v>-41.845504562847239</c:v>
                </c:pt>
                <c:pt idx="318">
                  <c:v>-41.778964621486779</c:v>
                </c:pt>
                <c:pt idx="319">
                  <c:v>-41.715142461301625</c:v>
                </c:pt>
                <c:pt idx="320">
                  <c:v>-41.653872173274308</c:v>
                </c:pt>
                <c:pt idx="321">
                  <c:v>-41.595001244796769</c:v>
                </c:pt>
                <c:pt idx="322">
                  <c:v>-41.538389257573385</c:v>
                </c:pt>
                <c:pt idx="323">
                  <c:v>-41.483906744405637</c:v>
                </c:pt>
                <c:pt idx="324">
                  <c:v>-41.431434171283612</c:v>
                </c:pt>
                <c:pt idx="325">
                  <c:v>-41.380861040594134</c:v>
                </c:pt>
                <c:pt idx="326">
                  <c:v>-41.332085078371129</c:v>
                </c:pt>
                <c:pt idx="327">
                  <c:v>-41.285011525804649</c:v>
                </c:pt>
                <c:pt idx="328">
                  <c:v>-41.239552497407452</c:v>
                </c:pt>
                <c:pt idx="329">
                  <c:v>-41.195626401596527</c:v>
                </c:pt>
                <c:pt idx="330">
                  <c:v>-41.153157435055427</c:v>
                </c:pt>
                <c:pt idx="331">
                  <c:v>-41.112075110331588</c:v>
                </c:pt>
                <c:pt idx="332">
                  <c:v>-41.072313846482238</c:v>
                </c:pt>
                <c:pt idx="333">
                  <c:v>-41.033812591032529</c:v>
                </c:pt>
                <c:pt idx="334">
                  <c:v>-40.99651448144305</c:v>
                </c:pt>
                <c:pt idx="335">
                  <c:v>-40.960366542959022</c:v>
                </c:pt>
                <c:pt idx="336">
                  <c:v>-40.925319407275829</c:v>
                </c:pt>
                <c:pt idx="337">
                  <c:v>-40.891327065061347</c:v>
                </c:pt>
                <c:pt idx="338">
                  <c:v>-40.858346641479486</c:v>
                </c:pt>
                <c:pt idx="339">
                  <c:v>-40.826338190428736</c:v>
                </c:pt>
                <c:pt idx="340">
                  <c:v>-40.795264508856924</c:v>
                </c:pt>
                <c:pt idx="341">
                  <c:v>-40.765090971448814</c:v>
                </c:pt>
                <c:pt idx="342">
                  <c:v>-40.735785378160415</c:v>
                </c:pt>
                <c:pt idx="343">
                  <c:v>-40.707317816482366</c:v>
                </c:pt>
                <c:pt idx="344">
                  <c:v>-40.679660544959887</c:v>
                </c:pt>
                <c:pt idx="345">
                  <c:v>-40.65278787349164</c:v>
                </c:pt>
                <c:pt idx="346">
                  <c:v>-40.626676071457922</c:v>
                </c:pt>
                <c:pt idx="347">
                  <c:v>-40.601303278682423</c:v>
                </c:pt>
                <c:pt idx="348">
                  <c:v>-40.576649425641186</c:v>
                </c:pt>
                <c:pt idx="349">
                  <c:v>-40.552696167076199</c:v>
                </c:pt>
                <c:pt idx="350">
                  <c:v>-40.529426817356025</c:v>
                </c:pt>
                <c:pt idx="351">
                  <c:v>-40.506826308264884</c:v>
                </c:pt>
                <c:pt idx="352">
                  <c:v>-40.484881138283214</c:v>
                </c:pt>
                <c:pt idx="353">
                  <c:v>-40.46357933973389</c:v>
                </c:pt>
                <c:pt idx="354">
                  <c:v>-40.442910449985774</c:v>
                </c:pt>
                <c:pt idx="355">
                  <c:v>-40.422865495345505</c:v>
                </c:pt>
                <c:pt idx="356">
                  <c:v>-40.403436973255758</c:v>
                </c:pt>
                <c:pt idx="357">
                  <c:v>-40.384618847422104</c:v>
                </c:pt>
                <c:pt idx="358">
                  <c:v>-40.366406553041521</c:v>
                </c:pt>
                <c:pt idx="359">
                  <c:v>-40.348797000386298</c:v>
                </c:pt>
                <c:pt idx="360">
                  <c:v>-40.33178859358128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19.35914985546226</c:v>
                </c:pt>
                <c:pt idx="1">
                  <c:v>19.502691771876172</c:v>
                </c:pt>
                <c:pt idx="2">
                  <c:v>19.646756271039983</c:v>
                </c:pt>
                <c:pt idx="3">
                  <c:v>19.791402509461257</c:v>
                </c:pt>
                <c:pt idx="4">
                  <c:v>19.93669130091396</c:v>
                </c:pt>
                <c:pt idx="5">
                  <c:v>20.082685182498178</c:v>
                </c:pt>
                <c:pt idx="6">
                  <c:v>20.229448489832233</c:v>
                </c:pt>
                <c:pt idx="7">
                  <c:v>20.377047441258235</c:v>
                </c:pt>
                <c:pt idx="8">
                  <c:v>20.525550231351502</c:v>
                </c:pt>
                <c:pt idx="9">
                  <c:v>20.675027134650851</c:v>
                </c:pt>
                <c:pt idx="10">
                  <c:v>20.825550617526432</c:v>
                </c:pt>
                <c:pt idx="11">
                  <c:v>20.977195461442843</c:v>
                </c:pt>
                <c:pt idx="12">
                  <c:v>21.130038895662576</c:v>
                </c:pt>
                <c:pt idx="13">
                  <c:v>21.284160741492219</c:v>
                </c:pt>
                <c:pt idx="14">
                  <c:v>21.439643566834139</c:v>
                </c:pt>
                <c:pt idx="15">
                  <c:v>21.596572853847515</c:v>
                </c:pt>
                <c:pt idx="16">
                  <c:v>21.755037178338796</c:v>
                </c:pt>
                <c:pt idx="17">
                  <c:v>21.915128402467175</c:v>
                </c:pt>
                <c:pt idx="18">
                  <c:v>22.076941882681361</c:v>
                </c:pt>
                <c:pt idx="19">
                  <c:v>22.240576691744611</c:v>
                </c:pt>
                <c:pt idx="20">
                  <c:v>22.406135857169492</c:v>
                </c:pt>
                <c:pt idx="21">
                  <c:v>22.573726618155703</c:v>
                </c:pt>
                <c:pt idx="22">
                  <c:v>22.743460700083052</c:v>
                </c:pt>
                <c:pt idx="23">
                  <c:v>22.915454609768982</c:v>
                </c:pt>
                <c:pt idx="24">
                  <c:v>23.089829952609932</c:v>
                </c:pt>
                <c:pt idx="25">
                  <c:v>23.266713773405286</c:v>
                </c:pt>
                <c:pt idx="26">
                  <c:v>23.44623892239159</c:v>
                </c:pt>
                <c:pt idx="27">
                  <c:v>23.628544449421714</c:v>
                </c:pt>
                <c:pt idx="28">
                  <c:v>23.813776027867366</c:v>
                </c:pt>
                <c:pt idx="29">
                  <c:v>24.002086411740088</c:v>
                </c:pt>
                <c:pt idx="30">
                  <c:v>24.193635927726721</c:v>
                </c:pt>
                <c:pt idx="31">
                  <c:v>24.388593006677663</c:v>
                </c:pt>
                <c:pt idx="32">
                  <c:v>24.587134757150967</c:v>
                </c:pt>
                <c:pt idx="33">
                  <c:v>24.789447585044723</c:v>
                </c:pt>
                <c:pt idx="34">
                  <c:v>24.995727863930398</c:v>
                </c:pt>
                <c:pt idx="35">
                  <c:v>25.206182660939263</c:v>
                </c:pt>
                <c:pt idx="36">
                  <c:v>25.421030522735254</c:v>
                </c:pt>
                <c:pt idx="37">
                  <c:v>25.64050232855417</c:v>
                </c:pt>
                <c:pt idx="38">
                  <c:v>25.864842215912606</c:v>
                </c:pt>
                <c:pt idx="39">
                  <c:v>26.094308587157201</c:v>
                </c:pt>
                <c:pt idx="40">
                  <c:v>26.32917520412661</c:v>
                </c:pt>
                <c:pt idx="41">
                  <c:v>26.569732380824469</c:v>
                </c:pt>
                <c:pt idx="42">
                  <c:v>26.816288283787792</c:v>
                </c:pt>
                <c:pt idx="43">
                  <c:v>27.069170351880494</c:v>
                </c:pt>
                <c:pt idx="44">
                  <c:v>27.328726848307657</c:v>
                </c:pt>
                <c:pt idx="45">
                  <c:v>27.595328559369438</c:v>
                </c:pt>
                <c:pt idx="46">
                  <c:v>27.869370656416368</c:v>
                </c:pt>
                <c:pt idx="47">
                  <c:v>28.151274739762464</c:v>
                </c:pt>
                <c:pt idx="48">
                  <c:v>28.441491085266925</c:v>
                </c:pt>
                <c:pt idx="49">
                  <c:v>28.740501118667478</c:v>
                </c:pt>
                <c:pt idx="50">
                  <c:v>29.048820144470294</c:v>
                </c:pt>
                <c:pt idx="51">
                  <c:v>29.367000362054767</c:v>
                </c:pt>
                <c:pt idx="52">
                  <c:v>29.69563420553369</c:v>
                </c:pt>
                <c:pt idx="53">
                  <c:v>30.035358051290942</c:v>
                </c:pt>
                <c:pt idx="54">
                  <c:v>30.386856342460309</c:v>
                </c:pt>
                <c:pt idx="55">
                  <c:v>30.750866190448498</c:v>
                </c:pt>
                <c:pt idx="56">
                  <c:v>31.128179557884405</c:v>
                </c:pt>
                <c:pt idx="57">
                  <c:v>31.519627440443024</c:v>
                </c:pt>
                <c:pt idx="58">
                  <c:v>31.926069155343836</c:v>
                </c:pt>
                <c:pt idx="59">
                  <c:v>32.348395377098235</c:v>
                </c:pt>
                <c:pt idx="60">
                  <c:v>32.78753210324102</c:v>
                </c:pt>
                <c:pt idx="61">
                  <c:v>33.244444806504873</c:v>
                </c:pt>
                <c:pt idx="62">
                  <c:v>33.720142879525675</c:v>
                </c:pt>
                <c:pt idx="63">
                  <c:v>34.215684513681815</c:v>
                </c:pt>
                <c:pt idx="64">
                  <c:v>34.732182202972929</c:v>
                </c:pt>
                <c:pt idx="65">
                  <c:v>35.270809139465008</c:v>
                </c:pt>
                <c:pt idx="66">
                  <c:v>35.83280687509108</c:v>
                </c:pt>
                <c:pt idx="67">
                  <c:v>36.419494782488869</c:v>
                </c:pt>
                <c:pt idx="68">
                  <c:v>37.032282081250095</c:v>
                </c:pt>
                <c:pt idx="69">
                  <c:v>37.672683546244713</c:v>
                </c:pt>
                <c:pt idx="70">
                  <c:v>38.342340524854791</c:v>
                </c:pt>
                <c:pt idx="71">
                  <c:v>39.043049684488643</c:v>
                </c:pt>
                <c:pt idx="72">
                  <c:v>39.776803096427173</c:v>
                </c:pt>
                <c:pt idx="73">
                  <c:v>40.545841576179257</c:v>
                </c:pt>
                <c:pt idx="74">
                  <c:v>41.352662187428017</c:v>
                </c:pt>
                <c:pt idx="75">
                  <c:v>42.199974113195672</c:v>
                </c:pt>
                <c:pt idx="76">
                  <c:v>42.973208243437583</c:v>
                </c:pt>
                <c:pt idx="77">
                  <c:v>43.716343167600598</c:v>
                </c:pt>
                <c:pt idx="78">
                  <c:v>44.41391171526044</c:v>
                </c:pt>
                <c:pt idx="79">
                  <c:v>44.956198641831641</c:v>
                </c:pt>
                <c:pt idx="80">
                  <c:v>45.517436247506183</c:v>
                </c:pt>
                <c:pt idx="81">
                  <c:v>46.098884036458053</c:v>
                </c:pt>
                <c:pt idx="82">
                  <c:v>46.701910304260593</c:v>
                </c:pt>
                <c:pt idx="83">
                  <c:v>47.327986986301774</c:v>
                </c:pt>
                <c:pt idx="84">
                  <c:v>47.978700801036126</c:v>
                </c:pt>
                <c:pt idx="85">
                  <c:v>48.655765753050751</c:v>
                </c:pt>
                <c:pt idx="86">
                  <c:v>49.234032903817344</c:v>
                </c:pt>
                <c:pt idx="87">
                  <c:v>49.43078043804762</c:v>
                </c:pt>
                <c:pt idx="88">
                  <c:v>49.58778920370203</c:v>
                </c:pt>
                <c:pt idx="89">
                  <c:v>49.733387487951596</c:v>
                </c:pt>
                <c:pt idx="90">
                  <c:v>49.867043589532202</c:v>
                </c:pt>
                <c:pt idx="91">
                  <c:v>49.733387488131477</c:v>
                </c:pt>
                <c:pt idx="92">
                  <c:v>49.587789203571084</c:v>
                </c:pt>
                <c:pt idx="93">
                  <c:v>49.430780437887115</c:v>
                </c:pt>
                <c:pt idx="94">
                  <c:v>49.262898029894714</c:v>
                </c:pt>
                <c:pt idx="95">
                  <c:v>49.084674318673891</c:v>
                </c:pt>
                <c:pt idx="96">
                  <c:v>48.896629434094152</c:v>
                </c:pt>
                <c:pt idx="97">
                  <c:v>48.699265250084032</c:v>
                </c:pt>
                <c:pt idx="98">
                  <c:v>48.493060742981122</c:v>
                </c:pt>
                <c:pt idx="99">
                  <c:v>48.278468532739652</c:v>
                </c:pt>
                <c:pt idx="100">
                  <c:v>48.055912396227718</c:v>
                </c:pt>
                <c:pt idx="101">
                  <c:v>47.825785571984241</c:v>
                </c:pt>
                <c:pt idx="102">
                  <c:v>47.588449700868836</c:v>
                </c:pt>
                <c:pt idx="103">
                  <c:v>47.344234257948351</c:v>
                </c:pt>
                <c:pt idx="104">
                  <c:v>47.093436375904389</c:v>
                </c:pt>
                <c:pt idx="105">
                  <c:v>46.836320940944617</c:v>
                </c:pt>
                <c:pt idx="106">
                  <c:v>46.573120902395253</c:v>
                </c:pt>
                <c:pt idx="107">
                  <c:v>46.304039465175094</c:v>
                </c:pt>
                <c:pt idx="108">
                  <c:v>46.029339271736298</c:v>
                </c:pt>
                <c:pt idx="109">
                  <c:v>45.749520694128158</c:v>
                </c:pt>
                <c:pt idx="110">
                  <c:v>45.465265461478417</c:v>
                </c:pt>
                <c:pt idx="111">
                  <c:v>45.177340880686046</c:v>
                </c:pt>
                <c:pt idx="112">
                  <c:v>44.886537597391666</c:v>
                </c:pt>
                <c:pt idx="113">
                  <c:v>44.593630176566087</c:v>
                </c:pt>
                <c:pt idx="114">
                  <c:v>44.299352956066599</c:v>
                </c:pt>
                <c:pt idx="115">
                  <c:v>44.00438610473627</c:v>
                </c:pt>
                <c:pt idx="116">
                  <c:v>43.709348478168266</c:v>
                </c:pt>
                <c:pt idx="117">
                  <c:v>43.414794961681466</c:v>
                </c:pt>
                <c:pt idx="118">
                  <c:v>43.121216706523086</c:v>
                </c:pt>
                <c:pt idx="119">
                  <c:v>42.829043186986034</c:v>
                </c:pt>
                <c:pt idx="120">
                  <c:v>42.538645325475947</c:v>
                </c:pt>
                <c:pt idx="121">
                  <c:v>42.250339192450113</c:v>
                </c:pt>
                <c:pt idx="122">
                  <c:v>41.964389923623905</c:v>
                </c:pt>
                <c:pt idx="123">
                  <c:v>41.681015632913585</c:v>
                </c:pt>
                <c:pt idx="124">
                  <c:v>41.400391168715949</c:v>
                </c:pt>
                <c:pt idx="125">
                  <c:v>41.122651605728862</c:v>
                </c:pt>
                <c:pt idx="126">
                  <c:v>40.847895419865466</c:v>
                </c:pt>
                <c:pt idx="127">
                  <c:v>40.576187300189218</c:v>
                </c:pt>
                <c:pt idx="128">
                  <c:v>40.307560578915179</c:v>
                </c:pt>
                <c:pt idx="129">
                  <c:v>40.04201926464966</c:v>
                </c:pt>
                <c:pt idx="130">
                  <c:v>39.779539667943958</c:v>
                </c:pt>
                <c:pt idx="131">
                  <c:v>39.520071839444562</c:v>
                </c:pt>
                <c:pt idx="132">
                  <c:v>39.263546417759486</c:v>
                </c:pt>
                <c:pt idx="133">
                  <c:v>39.009886306223294</c:v>
                </c:pt>
                <c:pt idx="134">
                  <c:v>38.759009709136862</c:v>
                </c:pt>
                <c:pt idx="135">
                  <c:v>38.510831028854376</c:v>
                </c:pt>
                <c:pt idx="136">
                  <c:v>38.265261632624437</c:v>
                </c:pt>
                <c:pt idx="137">
                  <c:v>38.0222105117751</c:v>
                </c:pt>
                <c:pt idx="138">
                  <c:v>37.781584841882498</c:v>
                </c:pt>
                <c:pt idx="139">
                  <c:v>37.543290461223819</c:v>
                </c:pt>
                <c:pt idx="140">
                  <c:v>37.307232272117702</c:v>
                </c:pt>
                <c:pt idx="141">
                  <c:v>37.073314578282485</c:v>
                </c:pt>
                <c:pt idx="142">
                  <c:v>36.841441366197344</c:v>
                </c:pt>
                <c:pt idx="143">
                  <c:v>36.611516535380645</c:v>
                </c:pt>
                <c:pt idx="144">
                  <c:v>36.383444085222592</c:v>
                </c:pt>
                <c:pt idx="145">
                  <c:v>36.157128265698603</c:v>
                </c:pt>
                <c:pt idx="146">
                  <c:v>35.932473693287335</c:v>
                </c:pt>
                <c:pt idx="147">
                  <c:v>35.709385439272339</c:v>
                </c:pt>
                <c:pt idx="148">
                  <c:v>35.487769093267694</c:v>
                </c:pt>
                <c:pt idx="149">
                  <c:v>35.26753080394554</c:v>
                </c:pt>
                <c:pt idx="150">
                  <c:v>35.048577302155458</c:v>
                </c:pt>
                <c:pt idx="151">
                  <c:v>34.830815906825855</c:v>
                </c:pt>
                <c:pt idx="152">
                  <c:v>34.614154516728846</c:v>
                </c:pt>
                <c:pt idx="153">
                  <c:v>34.398501589680436</c:v>
                </c:pt>
                <c:pt idx="154">
                  <c:v>34.183766111460493</c:v>
                </c:pt>
                <c:pt idx="155">
                  <c:v>33.96985755399399</c:v>
                </c:pt>
                <c:pt idx="156">
                  <c:v>33.756685826201185</c:v>
                </c:pt>
                <c:pt idx="157">
                  <c:v>33.544161217205819</c:v>
                </c:pt>
                <c:pt idx="158">
                  <c:v>33.332194332784098</c:v>
                </c:pt>
                <c:pt idx="159">
                  <c:v>33.120696026514324</c:v>
                </c:pt>
                <c:pt idx="160">
                  <c:v>32.909577325375608</c:v>
                </c:pt>
                <c:pt idx="161">
                  <c:v>32.698749351166668</c:v>
                </c:pt>
                <c:pt idx="162">
                  <c:v>32.488123237447603</c:v>
                </c:pt>
                <c:pt idx="163">
                  <c:v>32.277610042721768</c:v>
                </c:pt>
                <c:pt idx="164">
                  <c:v>32.067120660505786</c:v>
                </c:pt>
                <c:pt idx="165">
                  <c:v>31.856565725692697</c:v>
                </c:pt>
                <c:pt idx="166">
                  <c:v>31.64585551838605</c:v>
                </c:pt>
                <c:pt idx="167">
                  <c:v>31.434899864632808</c:v>
                </c:pt>
                <c:pt idx="168">
                  <c:v>31.223608034459161</c:v>
                </c:pt>
                <c:pt idx="169">
                  <c:v>31.011888637756829</c:v>
                </c:pt>
                <c:pt idx="170">
                  <c:v>30.799649516939382</c:v>
                </c:pt>
                <c:pt idx="171">
                  <c:v>30.586797638140304</c:v>
                </c:pt>
                <c:pt idx="172">
                  <c:v>30.373238979360899</c:v>
                </c:pt>
                <c:pt idx="173">
                  <c:v>30.15887841696005</c:v>
                </c:pt>
                <c:pt idx="174">
                  <c:v>29.943619609661511</c:v>
                </c:pt>
                <c:pt idx="175">
                  <c:v>29.727364880645911</c:v>
                </c:pt>
                <c:pt idx="176">
                  <c:v>29.510015097863178</c:v>
                </c:pt>
                <c:pt idx="177">
                  <c:v>29.291469552278528</c:v>
                </c:pt>
                <c:pt idx="178">
                  <c:v>29.07162583490836</c:v>
                </c:pt>
                <c:pt idx="179">
                  <c:v>28.850379712103745</c:v>
                </c:pt>
                <c:pt idx="180">
                  <c:v>28.627625000000151</c:v>
                </c:pt>
                <c:pt idx="181">
                  <c:v>28.404870287896511</c:v>
                </c:pt>
                <c:pt idx="182">
                  <c:v>28.183624165091885</c:v>
                </c:pt>
                <c:pt idx="183">
                  <c:v>27.963780447721714</c:v>
                </c:pt>
                <c:pt idx="184">
                  <c:v>27.745234902137085</c:v>
                </c:pt>
                <c:pt idx="185">
                  <c:v>27.527885119354352</c:v>
                </c:pt>
                <c:pt idx="186">
                  <c:v>27.311630390338728</c:v>
                </c:pt>
                <c:pt idx="187">
                  <c:v>27.096371583040199</c:v>
                </c:pt>
                <c:pt idx="188">
                  <c:v>26.882011020639329</c:v>
                </c:pt>
                <c:pt idx="189">
                  <c:v>26.66845236185992</c:v>
                </c:pt>
                <c:pt idx="190">
                  <c:v>26.455600483060827</c:v>
                </c:pt>
                <c:pt idx="191">
                  <c:v>26.24336136224337</c:v>
                </c:pt>
                <c:pt idx="192">
                  <c:v>26.031641965541056</c:v>
                </c:pt>
                <c:pt idx="193">
                  <c:v>25.820350135367399</c:v>
                </c:pt>
                <c:pt idx="194">
                  <c:v>25.609394481614196</c:v>
                </c:pt>
                <c:pt idx="195">
                  <c:v>25.398684274307524</c:v>
                </c:pt>
                <c:pt idx="196">
                  <c:v>25.188129339494413</c:v>
                </c:pt>
                <c:pt idx="197">
                  <c:v>24.977639957278413</c:v>
                </c:pt>
                <c:pt idx="198">
                  <c:v>24.767126762552561</c:v>
                </c:pt>
                <c:pt idx="199">
                  <c:v>24.556500648833502</c:v>
                </c:pt>
                <c:pt idx="200">
                  <c:v>24.345672674624556</c:v>
                </c:pt>
                <c:pt idx="201">
                  <c:v>24.134553973485822</c:v>
                </c:pt>
                <c:pt idx="202">
                  <c:v>23.923055667216133</c:v>
                </c:pt>
                <c:pt idx="203">
                  <c:v>23.711088782794373</c:v>
                </c:pt>
                <c:pt idx="204">
                  <c:v>23.498564173799025</c:v>
                </c:pt>
                <c:pt idx="205">
                  <c:v>23.285392446006206</c:v>
                </c:pt>
                <c:pt idx="206">
                  <c:v>23.071483888539721</c:v>
                </c:pt>
                <c:pt idx="207">
                  <c:v>22.856748410319717</c:v>
                </c:pt>
                <c:pt idx="208">
                  <c:v>22.641095483271314</c:v>
                </c:pt>
                <c:pt idx="209">
                  <c:v>22.424434093174277</c:v>
                </c:pt>
                <c:pt idx="210">
                  <c:v>22.206672697844663</c:v>
                </c:pt>
                <c:pt idx="211">
                  <c:v>21.987719196054638</c:v>
                </c:pt>
                <c:pt idx="212">
                  <c:v>21.767480906732526</c:v>
                </c:pt>
                <c:pt idx="213">
                  <c:v>21.545864560727807</c:v>
                </c:pt>
                <c:pt idx="214">
                  <c:v>21.322776306712804</c:v>
                </c:pt>
                <c:pt idx="215">
                  <c:v>21.098121734301554</c:v>
                </c:pt>
                <c:pt idx="216">
                  <c:v>20.871805914777617</c:v>
                </c:pt>
                <c:pt idx="217">
                  <c:v>20.643733464619547</c:v>
                </c:pt>
                <c:pt idx="218">
                  <c:v>20.413808633802702</c:v>
                </c:pt>
                <c:pt idx="219">
                  <c:v>20.181935421717693</c:v>
                </c:pt>
                <c:pt idx="220">
                  <c:v>19.948017727882494</c:v>
                </c:pt>
                <c:pt idx="221">
                  <c:v>19.711959538776295</c:v>
                </c:pt>
                <c:pt idx="222">
                  <c:v>19.473665158117623</c:v>
                </c:pt>
                <c:pt idx="223">
                  <c:v>19.233048783247238</c:v>
                </c:pt>
                <c:pt idx="224">
                  <c:v>18.972861508759816</c:v>
                </c:pt>
                <c:pt idx="225">
                  <c:v>18.689287615040598</c:v>
                </c:pt>
                <c:pt idx="226">
                  <c:v>18.404253622600873</c:v>
                </c:pt>
                <c:pt idx="227">
                  <c:v>18.117707082632403</c:v>
                </c:pt>
                <c:pt idx="228">
                  <c:v>17.829602743943564</c:v>
                </c:pt>
                <c:pt idx="229">
                  <c:v>17.539903528948003</c:v>
                </c:pt>
                <c:pt idx="230">
                  <c:v>17.248581642801572</c:v>
                </c:pt>
                <c:pt idx="231">
                  <c:v>16.955620634531801</c:v>
                </c:pt>
                <c:pt idx="232">
                  <c:v>16.661029683928959</c:v>
                </c:pt>
                <c:pt idx="233">
                  <c:v>16.34956030126915</c:v>
                </c:pt>
                <c:pt idx="234">
                  <c:v>16.01788934179395</c:v>
                </c:pt>
                <c:pt idx="235">
                  <c:v>15.686391883948257</c:v>
                </c:pt>
                <c:pt idx="236">
                  <c:v>15.355256589700444</c:v>
                </c:pt>
                <c:pt idx="237">
                  <c:v>15.028844834482483</c:v>
                </c:pt>
                <c:pt idx="238">
                  <c:v>14.705972248840174</c:v>
                </c:pt>
                <c:pt idx="239">
                  <c:v>14.385678210969063</c:v>
                </c:pt>
                <c:pt idx="240">
                  <c:v>14.068364791999429</c:v>
                </c:pt>
                <c:pt idx="241">
                  <c:v>13.754481766413996</c:v>
                </c:pt>
                <c:pt idx="242">
                  <c:v>13.444528039880701</c:v>
                </c:pt>
                <c:pt idx="243">
                  <c:v>13.139052305458286</c:v>
                </c:pt>
                <c:pt idx="244">
                  <c:v>12.838652498380171</c:v>
                </c:pt>
                <c:pt idx="245">
                  <c:v>12.543969556277716</c:v>
                </c:pt>
                <c:pt idx="246">
                  <c:v>12.262555545714683</c:v>
                </c:pt>
                <c:pt idx="247">
                  <c:v>11.997081718120471</c:v>
                </c:pt>
                <c:pt idx="248">
                  <c:v>11.741353783753608</c:v>
                </c:pt>
                <c:pt idx="249">
                  <c:v>11.496117677661029</c:v>
                </c:pt>
                <c:pt idx="250">
                  <c:v>11.262067597235422</c:v>
                </c:pt>
                <c:pt idx="251">
                  <c:v>11.039792829062284</c:v>
                </c:pt>
                <c:pt idx="252">
                  <c:v>10.829700994252523</c:v>
                </c:pt>
                <c:pt idx="253">
                  <c:v>10.631925335471175</c:v>
                </c:pt>
                <c:pt idx="254">
                  <c:v>10.446413698928126</c:v>
                </c:pt>
                <c:pt idx="255">
                  <c:v>10.273108987165926</c:v>
                </c:pt>
                <c:pt idx="256">
                  <c:v>10.111967546699431</c:v>
                </c:pt>
                <c:pt idx="257">
                  <c:v>9.9629564134421198</c:v>
                </c:pt>
                <c:pt idx="258">
                  <c:v>9.8260502893972319</c:v>
                </c:pt>
                <c:pt idx="259">
                  <c:v>9.7012282070198133</c:v>
                </c:pt>
                <c:pt idx="260">
                  <c:v>9.5884698223477667</c:v>
                </c:pt>
                <c:pt idx="261">
                  <c:v>9.487751280326771</c:v>
                </c:pt>
                <c:pt idx="262">
                  <c:v>9.3990406055563067</c:v>
                </c:pt>
                <c:pt idx="263">
                  <c:v>9.3222925524865232</c:v>
                </c:pt>
                <c:pt idx="264">
                  <c:v>9.2574428809686857</c:v>
                </c:pt>
                <c:pt idx="265">
                  <c:v>9.2044019995583319</c:v>
                </c:pt>
                <c:pt idx="266">
                  <c:v>9.1630479655816526</c:v>
                </c:pt>
                <c:pt idx="267">
                  <c:v>9.1332188174191611</c:v>
                </c:pt>
                <c:pt idx="268">
                  <c:v>9.1147042669657026</c:v>
                </c:pt>
                <c:pt idx="269">
                  <c:v>9.1072368098342675</c:v>
                </c:pt>
                <c:pt idx="270">
                  <c:v>9.1104823537370514</c:v>
                </c:pt>
                <c:pt idx="271">
                  <c:v>9.2850031676938425</c:v>
                </c:pt>
                <c:pt idx="272">
                  <c:v>9.4535633717926881</c:v>
                </c:pt>
                <c:pt idx="273">
                  <c:v>9.6165618806964446</c:v>
                </c:pt>
                <c:pt idx="274">
                  <c:v>9.7743640972880002</c:v>
                </c:pt>
                <c:pt idx="275">
                  <c:v>9.9273069118659372</c:v>
                </c:pt>
                <c:pt idx="276">
                  <c:v>10.075702872054983</c:v>
                </c:pt>
                <c:pt idx="277">
                  <c:v>10.219843670861957</c:v>
                </c:pt>
                <c:pt idx="278">
                  <c:v>10.360003082881645</c:v>
                </c:pt>
                <c:pt idx="279">
                  <c:v>10.496439451654807</c:v>
                </c:pt>
                <c:pt idx="280">
                  <c:v>10.629397814266285</c:v>
                </c:pt>
                <c:pt idx="281">
                  <c:v>10.759111734583657</c:v>
                </c:pt>
                <c:pt idx="282">
                  <c:v>10.885804899517842</c:v>
                </c:pt>
                <c:pt idx="283">
                  <c:v>11.009692533806431</c:v>
                </c:pt>
                <c:pt idx="284">
                  <c:v>11.130982660470622</c:v>
                </c:pt>
                <c:pt idx="285">
                  <c:v>11.249877251638175</c:v>
                </c:pt>
                <c:pt idx="286">
                  <c:v>11.366573287503122</c:v>
                </c:pt>
                <c:pt idx="287">
                  <c:v>11.481263750883693</c:v>
                </c:pt>
                <c:pt idx="288">
                  <c:v>11.594138576541761</c:v>
                </c:pt>
                <c:pt idx="289">
                  <c:v>11.705385567740395</c:v>
                </c:pt>
                <c:pt idx="290">
                  <c:v>11.815191304218262</c:v>
                </c:pt>
                <c:pt idx="291">
                  <c:v>11.923742041711245</c:v>
                </c:pt>
                <c:pt idx="292">
                  <c:v>12.03122463127478</c:v>
                </c:pt>
                <c:pt idx="293">
                  <c:v>12.137827455013133</c:v>
                </c:pt>
                <c:pt idx="294">
                  <c:v>12.243737833511652</c:v>
                </c:pt>
                <c:pt idx="295">
                  <c:v>12.349108779058231</c:v>
                </c:pt>
                <c:pt idx="296">
                  <c:v>12.454039518911866</c:v>
                </c:pt>
                <c:pt idx="297">
                  <c:v>12.55859186514323</c:v>
                </c:pt>
                <c:pt idx="298">
                  <c:v>12.662804811556358</c:v>
                </c:pt>
                <c:pt idx="299">
                  <c:v>12.766705168761929</c:v>
                </c:pt>
                <c:pt idx="300">
                  <c:v>12.870315336795983</c:v>
                </c:pt>
                <c:pt idx="301">
                  <c:v>12.973658797819084</c:v>
                </c:pt>
                <c:pt idx="302">
                  <c:v>13.076758814654818</c:v>
                </c:pt>
                <c:pt idx="303">
                  <c:v>13.179632141992682</c:v>
                </c:pt>
                <c:pt idx="304">
                  <c:v>13.282290111375019</c:v>
                </c:pt>
                <c:pt idx="305">
                  <c:v>13.384740775728735</c:v>
                </c:pt>
                <c:pt idx="306">
                  <c:v>13.486990469607161</c:v>
                </c:pt>
                <c:pt idx="307">
                  <c:v>13.589044940195635</c:v>
                </c:pt>
                <c:pt idx="308">
                  <c:v>13.690910147147584</c:v>
                </c:pt>
                <c:pt idx="309">
                  <c:v>13.792592826078582</c:v>
                </c:pt>
                <c:pt idx="310">
                  <c:v>13.894100872160127</c:v>
                </c:pt>
                <c:pt idx="311">
                  <c:v>13.995443590415602</c:v>
                </c:pt>
                <c:pt idx="312">
                  <c:v>14.096631849513244</c:v>
                </c:pt>
                <c:pt idx="313">
                  <c:v>14.197678169040897</c:v>
                </c:pt>
                <c:pt idx="314">
                  <c:v>14.298596750209564</c:v>
                </c:pt>
                <c:pt idx="315">
                  <c:v>14.399403479280387</c:v>
                </c:pt>
                <c:pt idx="316">
                  <c:v>14.500115900810002</c:v>
                </c:pt>
                <c:pt idx="317">
                  <c:v>14.600753180542688</c:v>
                </c:pt>
                <c:pt idx="318">
                  <c:v>14.701336057945024</c:v>
                </c:pt>
                <c:pt idx="319">
                  <c:v>14.801886792988704</c:v>
                </c:pt>
                <c:pt idx="320">
                  <c:v>14.902429114238698</c:v>
                </c:pt>
                <c:pt idx="321">
                  <c:v>15.002988169565413</c:v>
                </c:pt>
                <c:pt idx="322">
                  <c:v>15.10359047768263</c:v>
                </c:pt>
                <c:pt idx="323">
                  <c:v>15.204263886946695</c:v>
                </c:pt>
                <c:pt idx="324">
                  <c:v>15.30503753849119</c:v>
                </c:pt>
                <c:pt idx="325">
                  <c:v>15.40594183773578</c:v>
                </c:pt>
                <c:pt idx="326">
                  <c:v>15.507008428643198</c:v>
                </c:pt>
                <c:pt idx="327">
                  <c:v>15.608270179545816</c:v>
                </c:pt>
                <c:pt idx="328">
                  <c:v>15.709761173477048</c:v>
                </c:pt>
                <c:pt idx="329">
                  <c:v>15.811516704470602</c:v>
                </c:pt>
                <c:pt idx="330">
                  <c:v>15.913573284588439</c:v>
                </c:pt>
                <c:pt idx="331">
                  <c:v>16.01596865322303</c:v>
                </c:pt>
                <c:pt idx="332">
                  <c:v>16.118741797507369</c:v>
                </c:pt>
                <c:pt idx="333">
                  <c:v>16.221932977218945</c:v>
                </c:pt>
                <c:pt idx="334">
                  <c:v>16.325583757296325</c:v>
                </c:pt>
                <c:pt idx="335">
                  <c:v>16.429737048082412</c:v>
                </c:pt>
                <c:pt idx="336">
                  <c:v>16.53443715054005</c:v>
                </c:pt>
                <c:pt idx="337">
                  <c:v>16.639729810223894</c:v>
                </c:pt>
                <c:pt idx="338">
                  <c:v>16.745662278161891</c:v>
                </c:pt>
                <c:pt idx="339">
                  <c:v>16.85228337838787</c:v>
                </c:pt>
                <c:pt idx="340">
                  <c:v>16.959643583087857</c:v>
                </c:pt>
                <c:pt idx="341">
                  <c:v>17.067795096012979</c:v>
                </c:pt>
                <c:pt idx="342">
                  <c:v>17.176791943169267</c:v>
                </c:pt>
                <c:pt idx="343">
                  <c:v>17.286690071849034</c:v>
                </c:pt>
                <c:pt idx="344">
                  <c:v>17.397547459932316</c:v>
                </c:pt>
                <c:pt idx="345">
                  <c:v>17.509424231178297</c:v>
                </c:pt>
                <c:pt idx="346">
                  <c:v>17.622382783502928</c:v>
                </c:pt>
                <c:pt idx="347">
                  <c:v>17.736487925909625</c:v>
                </c:pt>
                <c:pt idx="348">
                  <c:v>17.851807026227288</c:v>
                </c:pt>
                <c:pt idx="349">
                  <c:v>17.968410171283402</c:v>
                </c:pt>
                <c:pt idx="350">
                  <c:v>18.086370338252301</c:v>
                </c:pt>
                <c:pt idx="351">
                  <c:v>18.205763581984421</c:v>
                </c:pt>
                <c:pt idx="352">
                  <c:v>18.326669233735011</c:v>
                </c:pt>
                <c:pt idx="353">
                  <c:v>18.449170117333736</c:v>
                </c:pt>
                <c:pt idx="354">
                  <c:v>18.573352781567465</c:v>
                </c:pt>
                <c:pt idx="355">
                  <c:v>18.699307751696413</c:v>
                </c:pt>
                <c:pt idx="356">
                  <c:v>18.82712979923944</c:v>
                </c:pt>
                <c:pt idx="357">
                  <c:v>18.956918234260531</c:v>
                </c:pt>
                <c:pt idx="358">
                  <c:v>19.088777221498429</c:v>
                </c:pt>
                <c:pt idx="359">
                  <c:v>19.222816120597393</c:v>
                </c:pt>
                <c:pt idx="360">
                  <c:v>19.359149855462007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-125.82275350937033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34.563759175834683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-48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-73.987988670835691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24.662662890278558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L_Section_Capacity!$AS$4:$AS$5</c:f>
              <c:numCache>
                <c:formatCode>0.000</c:formatCode>
                <c:ptCount val="2"/>
                <c:pt idx="0">
                  <c:v>0</c:v>
                </c:pt>
                <c:pt idx="1">
                  <c:v>-76.800000000000011</c:v>
                </c:pt>
              </c:numCache>
            </c:numRef>
          </c:xVal>
          <c:yVal>
            <c:numRef>
              <c:f>L_Section_Capacity!$AT$4:$AT$5</c:f>
              <c:numCache>
                <c:formatCode>0.000</c:formatCode>
                <c:ptCount val="2"/>
                <c:pt idx="0">
                  <c:v>0</c:v>
                </c:pt>
                <c:pt idx="1">
                  <c:v>19.200000000000003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2.6940748682815081</c:v>
                </c:pt>
                <c:pt idx="1">
                  <c:v>2.6914557001024582</c:v>
                </c:pt>
                <c:pt idx="2">
                  <c:v>2.688846903683999</c:v>
                </c:pt>
                <c:pt idx="3">
                  <c:v>2.6862477285879693</c:v>
                </c:pt>
                <c:pt idx="4">
                  <c:v>2.6836574284190684</c:v>
                </c:pt>
                <c:pt idx="5">
                  <c:v>2.6810752615141817</c:v>
                </c:pt>
                <c:pt idx="6">
                  <c:v>2.6785004915817812</c:v>
                </c:pt>
                <c:pt idx="7">
                  <c:v>2.6759323882976669</c:v>
                </c:pt>
                <c:pt idx="8">
                  <c:v>2.6733702278808571</c:v>
                </c:pt>
                <c:pt idx="9">
                  <c:v>2.6708132937118676</c:v>
                </c:pt>
                <c:pt idx="10">
                  <c:v>2.6682608768674996</c:v>
                </c:pt>
                <c:pt idx="11">
                  <c:v>2.6657122767626698</c:v>
                </c:pt>
                <c:pt idx="12">
                  <c:v>2.6631668017718084</c:v>
                </c:pt>
                <c:pt idx="13">
                  <c:v>2.6606237699509454</c:v>
                </c:pt>
                <c:pt idx="14">
                  <c:v>2.6580825097530867</c:v>
                </c:pt>
                <c:pt idx="15">
                  <c:v>2.6555423609102071</c:v>
                </c:pt>
                <c:pt idx="16">
                  <c:v>2.6530026753496965</c:v>
                </c:pt>
                <c:pt idx="17">
                  <c:v>2.6504628182145185</c:v>
                </c:pt>
                <c:pt idx="18">
                  <c:v>2.6479221691021508</c:v>
                </c:pt>
                <c:pt idx="19">
                  <c:v>2.6453801233645393</c:v>
                </c:pt>
                <c:pt idx="20">
                  <c:v>2.6428360935867738</c:v>
                </c:pt>
                <c:pt idx="21">
                  <c:v>2.6402895113706841</c:v>
                </c:pt>
                <c:pt idx="22">
                  <c:v>2.6377398292288174</c:v>
                </c:pt>
                <c:pt idx="23">
                  <c:v>2.6351865227854225</c:v>
                </c:pt>
                <c:pt idx="24">
                  <c:v>2.6326290932765031</c:v>
                </c:pt>
                <c:pt idx="25">
                  <c:v>2.630067070393435</c:v>
                </c:pt>
                <c:pt idx="26">
                  <c:v>2.6275000154550927</c:v>
                </c:pt>
                <c:pt idx="27">
                  <c:v>2.6249275250579029</c:v>
                </c:pt>
                <c:pt idx="28">
                  <c:v>2.6223492351510203</c:v>
                </c:pt>
                <c:pt idx="29">
                  <c:v>2.6197648257308712</c:v>
                </c:pt>
                <c:pt idx="30">
                  <c:v>2.6171740260314502</c:v>
                </c:pt>
                <c:pt idx="31">
                  <c:v>2.6145766205123047</c:v>
                </c:pt>
                <c:pt idx="32">
                  <c:v>2.6119724555877317</c:v>
                </c:pt>
                <c:pt idx="33">
                  <c:v>2.609361447202653</c:v>
                </c:pt>
                <c:pt idx="34">
                  <c:v>2.6067435894315034</c:v>
                </c:pt>
                <c:pt idx="35">
                  <c:v>2.6041189642879896</c:v>
                </c:pt>
                <c:pt idx="36">
                  <c:v>2.6014877526553088</c:v>
                </c:pt>
                <c:pt idx="37">
                  <c:v>2.5988502468410868</c:v>
                </c:pt>
                <c:pt idx="38">
                  <c:v>2.5962068646172733</c:v>
                </c:pt>
                <c:pt idx="39">
                  <c:v>2.5935581653681181</c:v>
                </c:pt>
                <c:pt idx="40">
                  <c:v>2.5909048681216804</c:v>
                </c:pt>
                <c:pt idx="41">
                  <c:v>2.588247872280566</c:v>
                </c:pt>
                <c:pt idx="42">
                  <c:v>2.585588280908806</c:v>
                </c:pt>
                <c:pt idx="43">
                  <c:v>2.5829274274499969</c:v>
                </c:pt>
                <c:pt idx="44">
                  <c:v>2.5802669058949106</c:v>
                </c:pt>
                <c:pt idx="45">
                  <c:v>2.5776086052821086</c:v>
                </c:pt>
                <c:pt idx="46">
                  <c:v>2.5749547489544291</c:v>
                </c:pt>
                <c:pt idx="47">
                  <c:v>2.5723079393202033</c:v>
                </c:pt>
                <c:pt idx="48">
                  <c:v>2.5696712091301164</c:v>
                </c:pt>
                <c:pt idx="49">
                  <c:v>2.5670480799192856</c:v>
                </c:pt>
                <c:pt idx="50">
                  <c:v>2.5644426291224494</c:v>
                </c:pt>
                <c:pt idx="51">
                  <c:v>2.561859566962525</c:v>
                </c:pt>
                <c:pt idx="52">
                  <c:v>2.5593043248331733</c:v>
                </c:pt>
                <c:pt idx="53">
                  <c:v>2.5567831568820694</c:v>
                </c:pt>
                <c:pt idx="54">
                  <c:v>2.5543032572416502</c:v>
                </c:pt>
                <c:pt idx="55">
                  <c:v>2.5518728952402512</c:v>
                </c:pt>
                <c:pt idx="56">
                  <c:v>2.5495015068734972</c:v>
                </c:pt>
                <c:pt idx="57">
                  <c:v>2.547199373998744</c:v>
                </c:pt>
                <c:pt idx="58">
                  <c:v>2.5449773324739109</c:v>
                </c:pt>
                <c:pt idx="59">
                  <c:v>2.5428467412766524</c:v>
                </c:pt>
                <c:pt idx="60">
                  <c:v>2.5408194630072618</c:v>
                </c:pt>
                <c:pt idx="61">
                  <c:v>2.5389078374739635</c:v>
                </c:pt>
                <c:pt idx="62">
                  <c:v>2.5371246470939739</c:v>
                </c:pt>
                <c:pt idx="63">
                  <c:v>2.5354830726238702</c:v>
                </c:pt>
                <c:pt idx="64">
                  <c:v>2.5339966377309571</c:v>
                </c:pt>
                <c:pt idx="65">
                  <c:v>2.5326791406832228</c:v>
                </c:pt>
                <c:pt idx="66">
                  <c:v>2.5315445713698113</c:v>
                </c:pt>
                <c:pt idx="67">
                  <c:v>2.530607011868681</c:v>
                </c:pt>
                <c:pt idx="68">
                  <c:v>2.529880518800296</c:v>
                </c:pt>
                <c:pt idx="69">
                  <c:v>2.5293789857421842</c:v>
                </c:pt>
                <c:pt idx="70">
                  <c:v>2.5291159850039722</c:v>
                </c:pt>
                <c:pt idx="71">
                  <c:v>2.5291045887821073</c:v>
                </c:pt>
                <c:pt idx="72">
                  <c:v>2.5293571730475284</c:v>
                </c:pt>
                <c:pt idx="73">
                  <c:v>2.5298852273195376</c:v>
                </c:pt>
                <c:pt idx="74">
                  <c:v>2.53069943816788</c:v>
                </c:pt>
                <c:pt idx="75">
                  <c:v>2.5318099319860305</c:v>
                </c:pt>
                <c:pt idx="76">
                  <c:v>2.5340068636502266</c:v>
                </c:pt>
                <c:pt idx="77">
                  <c:v>2.5369336857612432</c:v>
                </c:pt>
                <c:pt idx="78">
                  <c:v>2.5404716001697167</c:v>
                </c:pt>
                <c:pt idx="79">
                  <c:v>2.5449972138728487</c:v>
                </c:pt>
                <c:pt idx="80">
                  <c:v>2.5498118899480193</c:v>
                </c:pt>
                <c:pt idx="81">
                  <c:v>2.5549147831424319</c:v>
                </c:pt>
                <c:pt idx="82">
                  <c:v>2.5603037339245547</c:v>
                </c:pt>
                <c:pt idx="83">
                  <c:v>2.5659751978573446</c:v>
                </c:pt>
                <c:pt idx="84">
                  <c:v>2.5719241154917265</c:v>
                </c:pt>
                <c:pt idx="85">
                  <c:v>2.5781437831395935</c:v>
                </c:pt>
                <c:pt idx="86">
                  <c:v>2.584940599473859</c:v>
                </c:pt>
                <c:pt idx="87">
                  <c:v>2.5923386756101765</c:v>
                </c:pt>
                <c:pt idx="88">
                  <c:v>2.5999211990492843</c:v>
                </c:pt>
                <c:pt idx="89">
                  <c:v>2.6076582606719443</c:v>
                </c:pt>
                <c:pt idx="90">
                  <c:v>2.6155299983051572</c:v>
                </c:pt>
                <c:pt idx="91">
                  <c:v>2.6254575714066539</c:v>
                </c:pt>
                <c:pt idx="92">
                  <c:v>2.6349477880127092</c:v>
                </c:pt>
                <c:pt idx="93">
                  <c:v>2.644020779276774</c:v>
                </c:pt>
                <c:pt idx="94">
                  <c:v>2.6526974936474792</c:v>
                </c:pt>
                <c:pt idx="95">
                  <c:v>2.6609991849684302</c:v>
                </c:pt>
                <c:pt idx="96">
                  <c:v>2.6689470260196844</c:v>
                </c:pt>
                <c:pt idx="97">
                  <c:v>2.6765618237374444</c:v>
                </c:pt>
                <c:pt idx="98">
                  <c:v>2.6838638157676957</c:v>
                </c:pt>
                <c:pt idx="99">
                  <c:v>2.6908725311808959</c:v>
                </c:pt>
                <c:pt idx="100">
                  <c:v>2.6976067012477047</c:v>
                </c:pt>
                <c:pt idx="101">
                  <c:v>2.704084208766893</c:v>
                </c:pt>
                <c:pt idx="102">
                  <c:v>2.7103220666844181</c:v>
                </c:pt>
                <c:pt idx="103">
                  <c:v>2.7163364186878503</c:v>
                </c:pt>
                <c:pt idx="104">
                  <c:v>2.72214255589506</c:v>
                </c:pt>
                <c:pt idx="105">
                  <c:v>2.727754945212403</c:v>
                </c:pt>
                <c:pt idx="106">
                  <c:v>2.7331872657510492</c:v>
                </c:pt>
                <c:pt idx="107">
                  <c:v>2.7384524318852104</c:v>
                </c:pt>
                <c:pt idx="108">
                  <c:v>2.7435617099634428</c:v>
                </c:pt>
                <c:pt idx="109">
                  <c:v>2.7485230187970919</c:v>
                </c:pt>
                <c:pt idx="110">
                  <c:v>2.7533417720683753</c:v>
                </c:pt>
                <c:pt idx="111">
                  <c:v>2.7580220067925385</c:v>
                </c:pt>
                <c:pt idx="112">
                  <c:v>2.7625670676147394</c:v>
                </c:pt>
                <c:pt idx="113">
                  <c:v>2.7669800110317415</c:v>
                </c:pt>
                <c:pt idx="114">
                  <c:v>2.7712638359111965</c:v>
                </c:pt>
                <c:pt idx="115">
                  <c:v>2.7754216068076216</c:v>
                </c:pt>
                <c:pt idx="116">
                  <c:v>2.779456511876246</c:v>
                </c:pt>
                <c:pt idx="117">
                  <c:v>2.7833718817840998</c:v>
                </c:pt>
                <c:pt idx="118">
                  <c:v>2.7871711863310082</c:v>
                </c:pt>
                <c:pt idx="119">
                  <c:v>2.7908580192530268</c:v>
                </c:pt>
                <c:pt idx="120">
                  <c:v>2.7944360777654387</c:v>
                </c:pt>
                <c:pt idx="121">
                  <c:v>2.797909140823291</c:v>
                </c:pt>
                <c:pt idx="122">
                  <c:v>2.801281048498657</c:v>
                </c:pt>
                <c:pt idx="123">
                  <c:v>2.8045556838073202</c:v>
                </c:pt>
                <c:pt idx="124">
                  <c:v>2.8077369576906528</c:v>
                </c:pt>
                <c:pt idx="125">
                  <c:v>2.8108287974672597</c:v>
                </c:pt>
                <c:pt idx="126">
                  <c:v>2.8138351388237042</c:v>
                </c:pt>
                <c:pt idx="127">
                  <c:v>2.8167599213034373</c:v>
                </c:pt>
                <c:pt idx="128">
                  <c:v>2.8196070871907954</c:v>
                </c:pt>
                <c:pt idx="129">
                  <c:v>2.8223805836819258</c:v>
                </c:pt>
                <c:pt idx="130">
                  <c:v>2.8250843682537576</c:v>
                </c:pt>
                <c:pt idx="131">
                  <c:v>2.8277224131070189</c:v>
                </c:pt>
                <c:pt idx="132">
                  <c:v>2.8302986104004031</c:v>
                </c:pt>
                <c:pt idx="133">
                  <c:v>2.8328166021108929</c:v>
                </c:pt>
                <c:pt idx="134">
                  <c:v>2.83527977285092</c:v>
                </c:pt>
                <c:pt idx="135">
                  <c:v>2.8376912762100912</c:v>
                </c:pt>
                <c:pt idx="136">
                  <c:v>2.8400540577563089</c:v>
                </c:pt>
                <c:pt idx="137">
                  <c:v>2.8423708751683958</c:v>
                </c:pt>
                <c:pt idx="138">
                  <c:v>2.8446443159344961</c:v>
                </c:pt>
                <c:pt idx="139">
                  <c:v>2.8468768129916477</c:v>
                </c:pt>
                <c:pt idx="140">
                  <c:v>2.8490706585940888</c:v>
                </c:pt>
                <c:pt idx="141">
                  <c:v>2.8512280166681045</c:v>
                </c:pt>
                <c:pt idx="142">
                  <c:v>2.8533509338630636</c:v>
                </c:pt>
                <c:pt idx="143">
                  <c:v>2.8554413494662216</c:v>
                </c:pt>
                <c:pt idx="144">
                  <c:v>2.8575011043315932</c:v>
                </c:pt>
                <c:pt idx="145">
                  <c:v>2.8595319489558055</c:v>
                </c:pt>
                <c:pt idx="146">
                  <c:v>2.8615355507934348</c:v>
                </c:pt>
                <c:pt idx="147">
                  <c:v>2.8635135009141717</c:v>
                </c:pt>
                <c:pt idx="148">
                  <c:v>2.8654673200774829</c:v>
                </c:pt>
                <c:pt idx="149">
                  <c:v>2.8673984642850079</c:v>
                </c:pt>
                <c:pt idx="150">
                  <c:v>2.8693083298817257</c:v>
                </c:pt>
                <c:pt idx="151">
                  <c:v>2.8711982582459075</c:v>
                </c:pt>
                <c:pt idx="152">
                  <c:v>2.8730695401171684</c:v>
                </c:pt>
                <c:pt idx="153">
                  <c:v>2.8749234195998903</c:v>
                </c:pt>
                <c:pt idx="154">
                  <c:v>2.8767610978819023</c:v>
                </c:pt>
                <c:pt idx="155">
                  <c:v>2.8785837366842517</c:v>
                </c:pt>
                <c:pt idx="156">
                  <c:v>2.8803924614857896</c:v>
                </c:pt>
                <c:pt idx="157">
                  <c:v>2.8821883645366966</c:v>
                </c:pt>
                <c:pt idx="158">
                  <c:v>2.8839725076810723</c:v>
                </c:pt>
                <c:pt idx="159">
                  <c:v>2.8857459250147408</c:v>
                </c:pt>
                <c:pt idx="160">
                  <c:v>2.8875096253862655</c:v>
                </c:pt>
                <c:pt idx="161">
                  <c:v>2.8892645947655446</c:v>
                </c:pt>
                <c:pt idx="162">
                  <c:v>2.8910117984852657</c:v>
                </c:pt>
                <c:pt idx="163">
                  <c:v>2.8927521833708689</c:v>
                </c:pt>
                <c:pt idx="164">
                  <c:v>2.894486679775961</c:v>
                </c:pt>
                <c:pt idx="165">
                  <c:v>2.8962162035204573</c:v>
                </c:pt>
                <c:pt idx="166">
                  <c:v>2.897941657755605</c:v>
                </c:pt>
                <c:pt idx="167">
                  <c:v>2.8996639347525326</c:v>
                </c:pt>
                <c:pt idx="168">
                  <c:v>2.9013839176251031</c:v>
                </c:pt>
                <c:pt idx="169">
                  <c:v>2.9031024820050089</c:v>
                </c:pt>
                <c:pt idx="170">
                  <c:v>2.9048204976470591</c:v>
                </c:pt>
                <c:pt idx="171">
                  <c:v>2.9065388300117907</c:v>
                </c:pt>
                <c:pt idx="172">
                  <c:v>2.908258341787584</c:v>
                </c:pt>
                <c:pt idx="173">
                  <c:v>2.9099798943936688</c:v>
                </c:pt>
                <c:pt idx="174">
                  <c:v>2.9117043494406296</c:v>
                </c:pt>
                <c:pt idx="175">
                  <c:v>2.9134325701653898</c:v>
                </c:pt>
                <c:pt idx="176">
                  <c:v>2.9151654228502459</c:v>
                </c:pt>
                <c:pt idx="177">
                  <c:v>2.9169037782011795</c:v>
                </c:pt>
                <c:pt idx="178">
                  <c:v>2.9186485127344626</c:v>
                </c:pt>
                <c:pt idx="179">
                  <c:v>2.9204005101141743</c:v>
                </c:pt>
                <c:pt idx="180">
                  <c:v>2.9221606624973466</c:v>
                </c:pt>
                <c:pt idx="181">
                  <c:v>2.92370829535467</c:v>
                </c:pt>
                <c:pt idx="182">
                  <c:v>2.9252447431133906</c:v>
                </c:pt>
                <c:pt idx="183">
                  <c:v>2.9267707616759226</c:v>
                </c:pt>
                <c:pt idx="184">
                  <c:v>2.9282870914872516</c:v>
                </c:pt>
                <c:pt idx="185">
                  <c:v>2.9297944584714237</c:v>
                </c:pt>
                <c:pt idx="186">
                  <c:v>2.9312935749788034</c:v>
                </c:pt>
                <c:pt idx="187">
                  <c:v>2.9327851406803158</c:v>
                </c:pt>
                <c:pt idx="188">
                  <c:v>2.9342698434738526</c:v>
                </c:pt>
                <c:pt idx="189">
                  <c:v>2.9357483603481178</c:v>
                </c:pt>
                <c:pt idx="190">
                  <c:v>2.9372213582347206</c:v>
                </c:pt>
                <c:pt idx="191">
                  <c:v>2.9386894948411575</c:v>
                </c:pt>
                <c:pt idx="192">
                  <c:v>2.9401534194459558</c:v>
                </c:pt>
                <c:pt idx="193">
                  <c:v>2.9416137736919628</c:v>
                </c:pt>
                <c:pt idx="194">
                  <c:v>2.9430711923271851</c:v>
                </c:pt>
                <c:pt idx="195">
                  <c:v>2.9445263039521579</c:v>
                </c:pt>
                <c:pt idx="196">
                  <c:v>2.9459797317146093</c:v>
                </c:pt>
                <c:pt idx="197">
                  <c:v>2.9474320939905199</c:v>
                </c:pt>
                <c:pt idx="198">
                  <c:v>2.9488840050349183</c:v>
                </c:pt>
                <c:pt idx="199">
                  <c:v>2.9503360755949917</c:v>
                </c:pt>
                <c:pt idx="200">
                  <c:v>2.9517889135027815</c:v>
                </c:pt>
                <c:pt idx="201">
                  <c:v>2.9532431242203683</c:v>
                </c:pt>
                <c:pt idx="202">
                  <c:v>2.9546993113561286</c:v>
                </c:pt>
                <c:pt idx="203">
                  <c:v>2.956158077139468</c:v>
                </c:pt>
                <c:pt idx="204">
                  <c:v>2.957620022843074</c:v>
                </c:pt>
                <c:pt idx="205">
                  <c:v>2.9590857491638216</c:v>
                </c:pt>
                <c:pt idx="206">
                  <c:v>2.960555856538766</c:v>
                </c:pt>
                <c:pt idx="207">
                  <c:v>2.9620309454073528</c:v>
                </c:pt>
                <c:pt idx="208">
                  <c:v>2.9635116163972066</c:v>
                </c:pt>
                <c:pt idx="209">
                  <c:v>2.9649984704249519</c:v>
                </c:pt>
                <c:pt idx="210">
                  <c:v>2.9664921087244411</c:v>
                </c:pt>
                <c:pt idx="211">
                  <c:v>2.9679931327496702</c:v>
                </c:pt>
                <c:pt idx="212">
                  <c:v>2.9695021439707987</c:v>
                </c:pt>
                <c:pt idx="213">
                  <c:v>2.9710197435332439</c:v>
                </c:pt>
                <c:pt idx="214">
                  <c:v>2.9725465317642858</c:v>
                </c:pt>
                <c:pt idx="215">
                  <c:v>2.9740831074890477</c:v>
                </c:pt>
                <c:pt idx="216">
                  <c:v>2.9756300671613558</c:v>
                </c:pt>
                <c:pt idx="217">
                  <c:v>2.9771880037408627</c:v>
                </c:pt>
                <c:pt idx="218">
                  <c:v>2.978757505300651</c:v>
                </c:pt>
                <c:pt idx="219">
                  <c:v>2.9803391533352928</c:v>
                </c:pt>
                <c:pt idx="220">
                  <c:v>2.98193352067833</c:v>
                </c:pt>
                <c:pt idx="221">
                  <c:v>2.9835411690242073</c:v>
                </c:pt>
                <c:pt idx="222">
                  <c:v>2.9851626459625211</c:v>
                </c:pt>
                <c:pt idx="223">
                  <c:v>2.986798477790209</c:v>
                </c:pt>
                <c:pt idx="224">
                  <c:v>2.9884554323941139</c:v>
                </c:pt>
                <c:pt idx="225">
                  <c:v>2.9901337301799287</c:v>
                </c:pt>
                <c:pt idx="226">
                  <c:v>2.9918250277873373</c:v>
                </c:pt>
                <c:pt idx="227">
                  <c:v>2.9935295459600924</c:v>
                </c:pt>
                <c:pt idx="228">
                  <c:v>2.9952474393432187</c:v>
                </c:pt>
                <c:pt idx="229">
                  <c:v>2.9969787854560574</c:v>
                </c:pt>
                <c:pt idx="230">
                  <c:v>2.9987235719149985</c:v>
                </c:pt>
                <c:pt idx="231">
                  <c:v>3.0004816793259921</c:v>
                </c:pt>
                <c:pt idx="232">
                  <c:v>3.0022528492121845</c:v>
                </c:pt>
                <c:pt idx="233">
                  <c:v>3.0040170028289457</c:v>
                </c:pt>
                <c:pt idx="234">
                  <c:v>3.0057642268186489</c:v>
                </c:pt>
                <c:pt idx="235">
                  <c:v>3.0075173715694561</c:v>
                </c:pt>
                <c:pt idx="236">
                  <c:v>3.00927496537741</c:v>
                </c:pt>
                <c:pt idx="237">
                  <c:v>3.0108747792207979</c:v>
                </c:pt>
                <c:pt idx="238">
                  <c:v>3.0124081437374581</c:v>
                </c:pt>
                <c:pt idx="239">
                  <c:v>3.0139284234449719</c:v>
                </c:pt>
                <c:pt idx="240">
                  <c:v>3.0154318102316773</c:v>
                </c:pt>
                <c:pt idx="241">
                  <c:v>3.0169139719058777</c:v>
                </c:pt>
                <c:pt idx="242">
                  <c:v>3.0183700073830373</c:v>
                </c:pt>
                <c:pt idx="243">
                  <c:v>3.019794404381368</c:v>
                </c:pt>
                <c:pt idx="244">
                  <c:v>3.0211810033447626</c:v>
                </c:pt>
                <c:pt idx="245">
                  <c:v>3.022523074331946</c:v>
                </c:pt>
                <c:pt idx="246">
                  <c:v>3.0236414862675107</c:v>
                </c:pt>
                <c:pt idx="247">
                  <c:v>3.0244985782341161</c:v>
                </c:pt>
                <c:pt idx="248">
                  <c:v>3.0252649345181548</c:v>
                </c:pt>
                <c:pt idx="249">
                  <c:v>3.0259299252286254</c:v>
                </c:pt>
                <c:pt idx="250">
                  <c:v>3.0264827509287708</c:v>
                </c:pt>
                <c:pt idx="251">
                  <c:v>3.0269129027409751</c:v>
                </c:pt>
                <c:pt idx="252">
                  <c:v>3.0272108715437622</c:v>
                </c:pt>
                <c:pt idx="253">
                  <c:v>3.0273690542840419</c:v>
                </c:pt>
                <c:pt idx="254">
                  <c:v>3.0273810439768289</c:v>
                </c:pt>
                <c:pt idx="255">
                  <c:v>3.0272400118624336</c:v>
                </c:pt>
                <c:pt idx="256">
                  <c:v>3.0269385068061423</c:v>
                </c:pt>
                <c:pt idx="257">
                  <c:v>3.0264684468476117</c:v>
                </c:pt>
                <c:pt idx="258">
                  <c:v>3.0258211189291875</c:v>
                </c:pt>
                <c:pt idx="259">
                  <c:v>3.0249871899165282</c:v>
                </c:pt>
                <c:pt idx="260">
                  <c:v>3.0239567329867265</c:v>
                </c:pt>
                <c:pt idx="261">
                  <c:v>3.0227192743924003</c:v>
                </c:pt>
                <c:pt idx="262">
                  <c:v>3.0212638666295071</c:v>
                </c:pt>
                <c:pt idx="263">
                  <c:v>3.0195791955861302</c:v>
                </c:pt>
                <c:pt idx="264">
                  <c:v>3.0176537303637065</c:v>
                </c:pt>
                <c:pt idx="265">
                  <c:v>3.0154759263684996</c:v>
                </c:pt>
                <c:pt idx="266">
                  <c:v>3.0130344933633966</c:v>
                </c:pt>
                <c:pt idx="267">
                  <c:v>3.0103187418753792</c:v>
                </c:pt>
                <c:pt idx="268">
                  <c:v>3.0073190218604604</c:v>
                </c:pt>
                <c:pt idx="269">
                  <c:v>3.0040272675359874</c:v>
                </c:pt>
                <c:pt idx="270">
                  <c:v>3.0004376608089225</c:v>
                </c:pt>
                <c:pt idx="271">
                  <c:v>2.9937697344865679</c:v>
                </c:pt>
                <c:pt idx="272">
                  <c:v>2.9871807099480745</c:v>
                </c:pt>
                <c:pt idx="273">
                  <c:v>2.9806848459147268</c:v>
                </c:pt>
                <c:pt idx="274">
                  <c:v>2.9742948786819396</c:v>
                </c:pt>
                <c:pt idx="275">
                  <c:v>2.9680219629872187</c:v>
                </c:pt>
                <c:pt idx="276">
                  <c:v>2.9618756478857238</c:v>
                </c:pt>
                <c:pt idx="277">
                  <c:v>2.9558638834489241</c:v>
                </c:pt>
                <c:pt idx="278">
                  <c:v>2.9499930536297514</c:v>
                </c:pt>
                <c:pt idx="279">
                  <c:v>2.9442680305950613</c:v>
                </c:pt>
                <c:pt idx="280">
                  <c:v>2.9386922458972347</c:v>
                </c:pt>
                <c:pt idx="281">
                  <c:v>2.9332677740977324</c:v>
                </c:pt>
                <c:pt idx="282">
                  <c:v>2.9279954248721709</c:v>
                </c:pt>
                <c:pt idx="283">
                  <c:v>2.9228748399162763</c:v>
                </c:pt>
                <c:pt idx="284">
                  <c:v>2.9179045916926567</c:v>
                </c:pt>
                <c:pt idx="285">
                  <c:v>2.9130822812351544</c:v>
                </c:pt>
                <c:pt idx="286">
                  <c:v>2.9084046329583368</c:v>
                </c:pt>
                <c:pt idx="287">
                  <c:v>2.9038675846826507</c:v>
                </c:pt>
                <c:pt idx="288">
                  <c:v>2.8994663715414952</c:v>
                </c:pt>
                <c:pt idx="289">
                  <c:v>2.8951956028210293</c:v>
                </c:pt>
                <c:pt idx="290">
                  <c:v>2.8910493309343308</c:v>
                </c:pt>
                <c:pt idx="291">
                  <c:v>2.8870211122066634</c:v>
                </c:pt>
                <c:pt idx="292">
                  <c:v>2.8831040590473029</c:v>
                </c:pt>
                <c:pt idx="293">
                  <c:v>2.8792908835344697</c:v>
                </c:pt>
                <c:pt idx="294">
                  <c:v>2.8755740166004458</c:v>
                </c:pt>
                <c:pt idx="295">
                  <c:v>2.8719464437846369</c:v>
                </c:pt>
                <c:pt idx="296">
                  <c:v>2.8684022077742863</c:v>
                </c:pt>
                <c:pt idx="297">
                  <c:v>2.8649360545136351</c:v>
                </c:pt>
                <c:pt idx="298">
                  <c:v>2.8615431129448483</c:v>
                </c:pt>
                <c:pt idx="299">
                  <c:v>2.8582186621305774</c:v>
                </c:pt>
                <c:pt idx="300">
                  <c:v>2.8549579611251339</c:v>
                </c:pt>
                <c:pt idx="301">
                  <c:v>2.8517561367463946</c:v>
                </c:pt>
                <c:pt idx="302">
                  <c:v>2.8486084179925664</c:v>
                </c:pt>
                <c:pt idx="303">
                  <c:v>2.845510604485197</c:v>
                </c:pt>
                <c:pt idx="304">
                  <c:v>2.8424590444109437</c:v>
                </c:pt>
                <c:pt idx="305">
                  <c:v>2.8394505284777791</c:v>
                </c:pt>
                <c:pt idx="306">
                  <c:v>2.8364822060068704</c:v>
                </c:pt>
                <c:pt idx="307">
                  <c:v>2.8335515183791733</c:v>
                </c:pt>
                <c:pt idx="308">
                  <c:v>2.8306561460649173</c:v>
                </c:pt>
                <c:pt idx="309">
                  <c:v>2.8277939662757294</c:v>
                </c:pt>
                <c:pt idx="310">
                  <c:v>2.824963018984405</c:v>
                </c:pt>
                <c:pt idx="311">
                  <c:v>2.8221614795428387</c:v>
                </c:pt>
                <c:pt idx="312">
                  <c:v>2.8193876365175257</c:v>
                </c:pt>
                <c:pt idx="313">
                  <c:v>2.8166398736711655</c:v>
                </c:pt>
                <c:pt idx="314">
                  <c:v>2.8139166552308028</c:v>
                </c:pt>
                <c:pt idx="315">
                  <c:v>2.8112165137932235</c:v>
                </c:pt>
                <c:pt idx="316">
                  <c:v>2.8085380403172677</c:v>
                </c:pt>
                <c:pt idx="317">
                  <c:v>2.8058798758067329</c:v>
                </c:pt>
                <c:pt idx="318">
                  <c:v>2.8032407043396201</c:v>
                </c:pt>
                <c:pt idx="319">
                  <c:v>2.8006192471718707</c:v>
                </c:pt>
                <c:pt idx="320">
                  <c:v>2.7980142577187257</c:v>
                </c:pt>
                <c:pt idx="321">
                  <c:v>2.7954245172441898</c:v>
                </c:pt>
                <c:pt idx="322">
                  <c:v>2.7928488310995729</c:v>
                </c:pt>
                <c:pt idx="323">
                  <c:v>2.7902860254300368</c:v>
                </c:pt>
                <c:pt idx="324">
                  <c:v>2.7877349442382604</c:v>
                </c:pt>
                <c:pt idx="325">
                  <c:v>2.7851944467587657</c:v>
                </c:pt>
                <c:pt idx="326">
                  <c:v>2.7826634050347856</c:v>
                </c:pt>
                <c:pt idx="327">
                  <c:v>2.7801407017222362</c:v>
                </c:pt>
                <c:pt idx="328">
                  <c:v>2.7776252280229907</c:v>
                </c:pt>
                <c:pt idx="329">
                  <c:v>2.7751158817206329</c:v>
                </c:pt>
                <c:pt idx="330">
                  <c:v>2.7726115653464425</c:v>
                </c:pt>
                <c:pt idx="331">
                  <c:v>2.7701111843595299</c:v>
                </c:pt>
                <c:pt idx="332">
                  <c:v>2.7676136454230535</c:v>
                </c:pt>
                <c:pt idx="333">
                  <c:v>2.7651178546842718</c:v>
                </c:pt>
                <c:pt idx="334">
                  <c:v>2.7626227160807684</c:v>
                </c:pt>
                <c:pt idx="335">
                  <c:v>2.7601271296661518</c:v>
                </c:pt>
                <c:pt idx="336">
                  <c:v>2.7576299899013894</c:v>
                </c:pt>
                <c:pt idx="337">
                  <c:v>2.7551301839576015</c:v>
                </c:pt>
                <c:pt idx="338">
                  <c:v>2.7526265899946267</c:v>
                </c:pt>
                <c:pt idx="339">
                  <c:v>2.7501180753981243</c:v>
                </c:pt>
                <c:pt idx="340">
                  <c:v>2.7476034949795247</c:v>
                </c:pt>
                <c:pt idx="341">
                  <c:v>2.7450816891409602</c:v>
                </c:pt>
                <c:pt idx="342">
                  <c:v>2.7425514819729737</c:v>
                </c:pt>
                <c:pt idx="343">
                  <c:v>2.740011679289994</c:v>
                </c:pt>
                <c:pt idx="344">
                  <c:v>2.7374610666329464</c:v>
                </c:pt>
                <c:pt idx="345">
                  <c:v>2.7348984071233051</c:v>
                </c:pt>
                <c:pt idx="346">
                  <c:v>2.7323224393076848</c:v>
                </c:pt>
                <c:pt idx="347">
                  <c:v>2.7297318748743158</c:v>
                </c:pt>
                <c:pt idx="348">
                  <c:v>2.7271253962634425</c:v>
                </c:pt>
                <c:pt idx="349">
                  <c:v>2.7245016541874247</c:v>
                </c:pt>
                <c:pt idx="350">
                  <c:v>2.7218592649930482</c:v>
                </c:pt>
                <c:pt idx="351">
                  <c:v>2.7191968079680984</c:v>
                </c:pt>
                <c:pt idx="352">
                  <c:v>2.7165128224178057</c:v>
                </c:pt>
                <c:pt idx="353">
                  <c:v>2.7138058046412841</c:v>
                </c:pt>
                <c:pt idx="354">
                  <c:v>2.7110742047226841</c:v>
                </c:pt>
                <c:pt idx="355">
                  <c:v>2.7083164231739212</c:v>
                </c:pt>
                <c:pt idx="356">
                  <c:v>2.7055308073301418</c:v>
                </c:pt>
                <c:pt idx="357">
                  <c:v>2.7027156475671834</c:v>
                </c:pt>
                <c:pt idx="358">
                  <c:v>2.6998691733102902</c:v>
                </c:pt>
                <c:pt idx="359">
                  <c:v>2.696989548740341</c:v>
                </c:pt>
                <c:pt idx="360">
                  <c:v>2.6940748682815205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2.6569720474062657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2.8735035331398482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2.9852987705578022</c:v>
                </c:pt>
                <c:pt idx="1">
                  <c:v>2.9893395305895734</c:v>
                </c:pt>
                <c:pt idx="2">
                  <c:v>2.9934024584079961</c:v>
                </c:pt>
                <c:pt idx="3">
                  <c:v>2.9974895533489221</c:v>
                </c:pt>
                <c:pt idx="4">
                  <c:v>3.0016028831069845</c:v>
                </c:pt>
                <c:pt idx="5">
                  <c:v>3.0057445875514106</c:v>
                </c:pt>
                <c:pt idx="6">
                  <c:v>3.0099168829539531</c:v>
                </c:pt>
                <c:pt idx="7">
                  <c:v>3.0141220666475945</c:v>
                </c:pt>
                <c:pt idx="8">
                  <c:v>3.0183625221382799</c:v>
                </c:pt>
                <c:pt idx="9">
                  <c:v>3.0226407246965423</c:v>
                </c:pt>
                <c:pt idx="10">
                  <c:v>3.0269592474613485</c:v>
                </c:pt>
                <c:pt idx="11">
                  <c:v>3.0313207680911671</c:v>
                </c:pt>
                <c:pt idx="12">
                  <c:v>3.035728076004776</c:v>
                </c:pt>
                <c:pt idx="13">
                  <c:v>3.0401840802594333</c:v>
                </c:pt>
                <c:pt idx="14">
                  <c:v>3.0446918181194089</c:v>
                </c:pt>
                <c:pt idx="15">
                  <c:v>3.0492544643779276</c:v>
                </c:pt>
                <c:pt idx="16">
                  <c:v>3.0538753414999489</c:v>
                </c:pt>
                <c:pt idx="17">
                  <c:v>3.0585579306638295</c:v>
                </c:pt>
                <c:pt idx="18">
                  <c:v>3.0633058837936793</c:v>
                </c:pt>
                <c:pt idx="19">
                  <c:v>3.0681230366769841</c:v>
                </c:pt>
                <c:pt idx="20">
                  <c:v>3.0730134232819086</c:v>
                </c:pt>
                <c:pt idx="21">
                  <c:v>3.0779812914072608</c:v>
                </c:pt>
                <c:pt idx="22">
                  <c:v>3.0830311197998066</c:v>
                </c:pt>
                <c:pt idx="23">
                  <c:v>3.088167636909148</c:v>
                </c:pt>
                <c:pt idx="24">
                  <c:v>3.0933958414645746</c:v>
                </c:pt>
                <c:pt idx="25">
                  <c:v>3.0987210250857857</c:v>
                </c:pt>
                <c:pt idx="26">
                  <c:v>3.1041487971639108</c:v>
                </c:pt>
                <c:pt idx="27">
                  <c:v>3.1096851122945011</c:v>
                </c:pt>
                <c:pt idx="28">
                  <c:v>3.1153363005691039</c:v>
                </c:pt>
                <c:pt idx="29">
                  <c:v>3.1211091010967262</c:v>
                </c:pt>
                <c:pt idx="30">
                  <c:v>3.1270106991527644</c:v>
                </c:pt>
                <c:pt idx="31">
                  <c:v>3.1330487674526055</c:v>
                </c:pt>
                <c:pt idx="32">
                  <c:v>3.1392315120892129</c:v>
                </c:pt>
                <c:pt idx="33">
                  <c:v>-3.1376175834069127</c:v>
                </c:pt>
                <c:pt idx="34">
                  <c:v>-3.1311184720590606</c:v>
                </c:pt>
                <c:pt idx="35">
                  <c:v>-3.124446322306647</c:v>
                </c:pt>
                <c:pt idx="36">
                  <c:v>-3.1175902171660845</c:v>
                </c:pt>
                <c:pt idx="37">
                  <c:v>-3.1105383801556084</c:v>
                </c:pt>
                <c:pt idx="38">
                  <c:v>-3.1032780835559857</c:v>
                </c:pt>
                <c:pt idx="39">
                  <c:v>-3.0957955444814904</c:v>
                </c:pt>
                <c:pt idx="40">
                  <c:v>-3.0880758068813661</c:v>
                </c:pt>
                <c:pt idx="41">
                  <c:v>-3.0801026070689055</c:v>
                </c:pt>
                <c:pt idx="42">
                  <c:v>-3.0718582200849465</c:v>
                </c:pt>
                <c:pt idx="43">
                  <c:v>-3.0633232834890247</c:v>
                </c:pt>
                <c:pt idx="44">
                  <c:v>-3.054476594655593</c:v>
                </c:pt>
                <c:pt idx="45">
                  <c:v>-3.0452948766719596</c:v>
                </c:pt>
                <c:pt idx="46">
                  <c:v>-3.0357525069977913</c:v>
                </c:pt>
                <c:pt idx="47">
                  <c:v>-3.0258212017124033</c:v>
                </c:pt>
                <c:pt idx="48">
                  <c:v>-3.0154696465148438</c:v>
                </c:pt>
                <c:pt idx="49">
                  <c:v>-3.0046630637202676</c:v>
                </c:pt>
                <c:pt idx="50">
                  <c:v>-2.9933627017425106</c:v>
                </c:pt>
                <c:pt idx="51">
                  <c:v>-2.9815252304043791</c:v>
                </c:pt>
                <c:pt idx="52">
                  <c:v>-2.9691020211013792</c:v>
                </c:pt>
                <c:pt idx="53">
                  <c:v>-2.9560382854932552</c:v>
                </c:pt>
                <c:pt idx="54">
                  <c:v>-2.9422720392315713</c:v>
                </c:pt>
                <c:pt idx="55">
                  <c:v>-2.9277328482659923</c:v>
                </c:pt>
                <c:pt idx="56">
                  <c:v>-2.9123404916721367</c:v>
                </c:pt>
                <c:pt idx="57">
                  <c:v>-2.896004584370254</c:v>
                </c:pt>
                <c:pt idx="58">
                  <c:v>-2.8786239328020269</c:v>
                </c:pt>
                <c:pt idx="59">
                  <c:v>-2.8600849283345418</c:v>
                </c:pt>
                <c:pt idx="60">
                  <c:v>-2.8402596533573496</c:v>
                </c:pt>
                <c:pt idx="61">
                  <c:v>-2.8190037235220573</c:v>
                </c:pt>
                <c:pt idx="62">
                  <c:v>-2.7961538479832724</c:v>
                </c:pt>
                <c:pt idx="63">
                  <c:v>-2.77152510346819</c:v>
                </c:pt>
                <c:pt idx="64">
                  <c:v>-2.7449079437364889</c:v>
                </c:pt>
                <c:pt idx="65">
                  <c:v>-2.7160650106192796</c:v>
                </c:pt>
                <c:pt idx="66">
                  <c:v>-2.6847278862628281</c:v>
                </c:pt>
                <c:pt idx="67">
                  <c:v>-2.6505940428081387</c:v>
                </c:pt>
                <c:pt idx="68">
                  <c:v>-2.613324424740076</c:v>
                </c:pt>
                <c:pt idx="69">
                  <c:v>-2.5725423639380058</c:v>
                </c:pt>
                <c:pt idx="70">
                  <c:v>-2.5278349002836289</c:v>
                </c:pt>
                <c:pt idx="71">
                  <c:v>-2.4787580736822745</c:v>
                </c:pt>
                <c:pt idx="72">
                  <c:v>-2.4248483355758985</c:v>
                </c:pt>
                <c:pt idx="73">
                  <c:v>-2.3656429940960955</c:v>
                </c:pt>
                <c:pt idx="74">
                  <c:v>-2.3007168092661399</c:v>
                </c:pt>
                <c:pt idx="75">
                  <c:v>-2.229739098080012</c:v>
                </c:pt>
                <c:pt idx="76">
                  <c:v>-2.1579845512226301</c:v>
                </c:pt>
                <c:pt idx="77">
                  <c:v>-2.0833774197035191</c:v>
                </c:pt>
                <c:pt idx="78">
                  <c:v>-2.0077152767512656</c:v>
                </c:pt>
                <c:pt idx="79">
                  <c:v>-1.9374556927569002</c:v>
                </c:pt>
                <c:pt idx="80">
                  <c:v>-1.8627442052597221</c:v>
                </c:pt>
                <c:pt idx="81">
                  <c:v>-1.7839991802016053</c:v>
                </c:pt>
                <c:pt idx="82">
                  <c:v>-1.7018837041090769</c:v>
                </c:pt>
                <c:pt idx="83">
                  <c:v>-1.6173013772335072</c:v>
                </c:pt>
                <c:pt idx="84">
                  <c:v>-1.5313550673563443</c:v>
                </c:pt>
                <c:pt idx="85">
                  <c:v>-1.4452700282177984</c:v>
                </c:pt>
                <c:pt idx="86">
                  <c:v>-1.3650187866101187</c:v>
                </c:pt>
                <c:pt idx="87">
                  <c:v>-1.3039482206921682</c:v>
                </c:pt>
                <c:pt idx="88">
                  <c:v>-1.2448663758753316</c:v>
                </c:pt>
                <c:pt idx="89">
                  <c:v>-1.1867030620070751</c:v>
                </c:pt>
                <c:pt idx="90">
                  <c:v>-1.1298498770608383</c:v>
                </c:pt>
                <c:pt idx="91">
                  <c:v>-1.0720007184629954</c:v>
                </c:pt>
                <c:pt idx="92">
                  <c:v>-1.0183575017230653</c:v>
                </c:pt>
                <c:pt idx="93">
                  <c:v>-0.96875887151729256</c:v>
                </c:pt>
                <c:pt idx="94">
                  <c:v>-0.92297703149299648</c:v>
                </c:pt>
                <c:pt idx="95">
                  <c:v>-0.88074659925607113</c:v>
                </c:pt>
                <c:pt idx="96">
                  <c:v>-0.84178622863326369</c:v>
                </c:pt>
                <c:pt idx="97">
                  <c:v>-0.80581381386692919</c:v>
                </c:pt>
                <c:pt idx="98">
                  <c:v>-0.77255650060701497</c:v>
                </c:pt>
                <c:pt idx="99">
                  <c:v>-0.74175676138845692</c:v>
                </c:pt>
                <c:pt idx="100">
                  <c:v>-0.71317563950700991</c:v>
                </c:pt>
                <c:pt idx="101">
                  <c:v>-0.68659404743144659</c:v>
                </c:pt>
                <c:pt idx="102">
                  <c:v>-0.66181278979117386</c:v>
                </c:pt>
                <c:pt idx="103">
                  <c:v>-0.63865179551973017</c:v>
                </c:pt>
                <c:pt idx="104">
                  <c:v>-0.61694889732512248</c:v>
                </c:pt>
                <c:pt idx="105">
                  <c:v>-0.59655838642603631</c:v>
                </c:pt>
                <c:pt idx="106">
                  <c:v>-0.57734949138893032</c:v>
                </c:pt>
                <c:pt idx="107">
                  <c:v>-0.55920493053031783</c:v>
                </c:pt>
                <c:pt idx="108">
                  <c:v>-0.5420222282236048</c:v>
                </c:pt>
                <c:pt idx="109">
                  <c:v>-0.52571732004938976</c:v>
                </c:pt>
                <c:pt idx="110">
                  <c:v>-0.51022060636024413</c:v>
                </c:pt>
                <c:pt idx="111">
                  <c:v>-0.49547256108180349</c:v>
                </c:pt>
                <c:pt idx="112">
                  <c:v>-0.48142095125190976</c:v>
                </c:pt>
                <c:pt idx="113">
                  <c:v>-0.46801905268826721</c:v>
                </c:pt>
                <c:pt idx="114">
                  <c:v>-0.45522447921829867</c:v>
                </c:pt>
                <c:pt idx="115">
                  <c:v>-0.44299839361670762</c:v>
                </c:pt>
                <c:pt idx="116">
                  <c:v>-0.43130495832760929</c:v>
                </c:pt>
                <c:pt idx="117">
                  <c:v>-0.42011093831548463</c:v>
                </c:pt>
                <c:pt idx="118">
                  <c:v>-0.40938540148373864</c:v>
                </c:pt>
                <c:pt idx="119">
                  <c:v>-0.39909948256546263</c:v>
                </c:pt>
                <c:pt idx="120">
                  <c:v>-0.38922618900514877</c:v>
                </c:pt>
                <c:pt idx="121">
                  <c:v>-0.37974023528095707</c:v>
                </c:pt>
                <c:pt idx="122">
                  <c:v>-0.37061789700694436</c:v>
                </c:pt>
                <c:pt idx="123">
                  <c:v>-0.36183687927167002</c:v>
                </c:pt>
                <c:pt idx="124">
                  <c:v>-0.3533761955751466</c:v>
                </c:pt>
                <c:pt idx="125">
                  <c:v>-0.34521605492176866</c:v>
                </c:pt>
                <c:pt idx="126">
                  <c:v>-0.33733775536822436</c:v>
                </c:pt>
                <c:pt idx="127">
                  <c:v>-0.32972358275976493</c:v>
                </c:pt>
                <c:pt idx="128">
                  <c:v>-0.32235671364814655</c:v>
                </c:pt>
                <c:pt idx="129">
                  <c:v>-0.31522112152016141</c:v>
                </c:pt>
                <c:pt idx="130">
                  <c:v>-0.30830148552845377</c:v>
                </c:pt>
                <c:pt idx="131">
                  <c:v>-0.30158311114086478</c:v>
                </c:pt>
                <c:pt idx="132">
                  <c:v>-0.29505210536673943</c:v>
                </c:pt>
                <c:pt idx="133">
                  <c:v>-0.28869573188972564</c:v>
                </c:pt>
                <c:pt idx="134">
                  <c:v>-0.28250235449604227</c:v>
                </c:pt>
                <c:pt idx="135">
                  <c:v>-0.27646130701289329</c:v>
                </c:pt>
                <c:pt idx="136">
                  <c:v>-0.27056278175047066</c:v>
                </c:pt>
                <c:pt idx="137">
                  <c:v>-0.26479773348789076</c:v>
                </c:pt>
                <c:pt idx="138">
                  <c:v>-0.25915779646672954</c:v>
                </c:pt>
                <c:pt idx="139">
                  <c:v>-0.25363521229996894</c:v>
                </c:pt>
                <c:pt idx="140">
                  <c:v>-0.24822276711127744</c:v>
                </c:pt>
                <c:pt idx="141">
                  <c:v>-0.24291373649195219</c:v>
                </c:pt>
                <c:pt idx="142">
                  <c:v>-0.23770183711417453</c:v>
                </c:pt>
                <c:pt idx="143">
                  <c:v>-0.23258118404433961</c:v>
                </c:pt>
                <c:pt idx="144">
                  <c:v>-0.22754625294655331</c:v>
                </c:pt>
                <c:pt idx="145">
                  <c:v>-0.22259184649103694</c:v>
                </c:pt>
                <c:pt idx="146">
                  <c:v>-0.2177130644132925</c:v>
                </c:pt>
                <c:pt idx="147">
                  <c:v>-0.21290527672877119</c:v>
                </c:pt>
                <c:pt idx="148">
                  <c:v>-0.2081640996964603</c:v>
                </c:pt>
                <c:pt idx="149">
                  <c:v>-0.2034853741897347</c:v>
                </c:pt>
                <c:pt idx="150">
                  <c:v>-0.19886514616190579</c:v>
                </c:pt>
                <c:pt idx="151">
                  <c:v>-0.19429964896132965</c:v>
                </c:pt>
                <c:pt idx="152">
                  <c:v>-0.18978528726936494</c:v>
                </c:pt>
                <c:pt idx="153">
                  <c:v>-0.18531862247144759</c:v>
                </c:pt>
                <c:pt idx="154">
                  <c:v>-0.18089635928949063</c:v>
                </c:pt>
                <c:pt idx="155">
                  <c:v>-0.17651533354545673</c:v>
                </c:pt>
                <c:pt idx="156">
                  <c:v>-0.17217250091269395</c:v>
                </c:pt>
                <c:pt idx="157">
                  <c:v>-0.16786492655422847</c:v>
                </c:pt>
                <c:pt idx="158">
                  <c:v>-0.16358977555177154</c:v>
                </c:pt>
                <c:pt idx="159">
                  <c:v>-0.15934430403282951</c:v>
                </c:pt>
                <c:pt idx="160">
                  <c:v>-0.15512585092900982</c:v>
                </c:pt>
                <c:pt idx="161">
                  <c:v>-0.15093183028979371</c:v>
                </c:pt>
                <c:pt idx="162">
                  <c:v>-0.14675972410037685</c:v>
                </c:pt>
                <c:pt idx="163">
                  <c:v>-0.14260707554744356</c:v>
                </c:pt>
                <c:pt idx="164">
                  <c:v>-0.13847148268041654</c:v>
                </c:pt>
                <c:pt idx="165">
                  <c:v>-0.13435059243780206</c:v>
                </c:pt>
                <c:pt idx="166">
                  <c:v>-0.13024209498704251</c:v>
                </c:pt>
                <c:pt idx="167">
                  <c:v>-0.12614371835466359</c:v>
                </c:pt>
                <c:pt idx="168">
                  <c:v>-0.12205322331315628</c:v>
                </c:pt>
                <c:pt idx="169">
                  <c:v>-0.11796839848745044</c:v>
                </c:pt>
                <c:pt idx="170">
                  <c:v>-0.11388705568120115</c:v>
                </c:pt>
                <c:pt idx="171">
                  <c:v>-0.10980702536418052</c:v>
                </c:pt>
                <c:pt idx="172">
                  <c:v>-0.10572615233842293</c:v>
                </c:pt>
                <c:pt idx="173">
                  <c:v>-0.10164229153316715</c:v>
                </c:pt>
                <c:pt idx="174">
                  <c:v>-9.7553303936425709E-2</c:v>
                </c:pt>
                <c:pt idx="175">
                  <c:v>-9.3457052637378649E-2</c:v>
                </c:pt>
                <c:pt idx="176">
                  <c:v>-8.9351398961914963E-2</c:v>
                </c:pt>
                <c:pt idx="177">
                  <c:v>-8.5234198713502102E-2</c:v>
                </c:pt>
                <c:pt idx="178">
                  <c:v>-8.1103298471257509E-2</c:v>
                </c:pt>
                <c:pt idx="179">
                  <c:v>-7.6956531986882237E-2</c:v>
                </c:pt>
                <c:pt idx="180">
                  <c:v>-7.2791716628791844E-2</c:v>
                </c:pt>
                <c:pt idx="181">
                  <c:v>-6.8796862469887893E-2</c:v>
                </c:pt>
                <c:pt idx="182">
                  <c:v>-6.4819871267217111E-2</c:v>
                </c:pt>
                <c:pt idx="183">
                  <c:v>-6.0858700469720278E-2</c:v>
                </c:pt>
                <c:pt idx="184">
                  <c:v>-5.6911324149785607E-2</c:v>
                </c:pt>
                <c:pt idx="185">
                  <c:v>-5.2975729867888725E-2</c:v>
                </c:pt>
                <c:pt idx="186">
                  <c:v>-4.9049915456186866E-2</c:v>
                </c:pt>
                <c:pt idx="187">
                  <c:v>-4.5131885767031844E-2</c:v>
                </c:pt>
                <c:pt idx="188">
                  <c:v>-4.1219649328625672E-2</c:v>
                </c:pt>
                <c:pt idx="189">
                  <c:v>-3.731121494371361E-2</c:v>
                </c:pt>
                <c:pt idx="190">
                  <c:v>-3.3404588198127312E-2</c:v>
                </c:pt>
                <c:pt idx="191">
                  <c:v>-2.9497767874852188E-2</c:v>
                </c:pt>
                <c:pt idx="192">
                  <c:v>-2.5588742276548931E-2</c:v>
                </c:pt>
                <c:pt idx="193">
                  <c:v>-2.1675485415232638E-2</c:v>
                </c:pt>
                <c:pt idx="194">
                  <c:v>-1.7755953093698588E-2</c:v>
                </c:pt>
                <c:pt idx="195">
                  <c:v>-1.3828078816152849E-2</c:v>
                </c:pt>
                <c:pt idx="196">
                  <c:v>-9.8897695555176506E-3</c:v>
                </c:pt>
                <c:pt idx="197">
                  <c:v>-5.9389013262564324E-3</c:v>
                </c:pt>
                <c:pt idx="198">
                  <c:v>-1.9733145525327248E-3</c:v>
                </c:pt>
                <c:pt idx="199">
                  <c:v>2.0091907884480123E-3</c:v>
                </c:pt>
                <c:pt idx="200">
                  <c:v>6.0108602900965664E-3</c:v>
                </c:pt>
                <c:pt idx="201">
                  <c:v>1.0033990518485959E-2</c:v>
                </c:pt>
                <c:pt idx="202">
                  <c:v>1.4080934743293886E-2</c:v>
                </c:pt>
                <c:pt idx="203">
                  <c:v>1.8154109028520885E-2</c:v>
                </c:pt>
                <c:pt idx="204">
                  <c:v>2.2255998720220327E-2</c:v>
                </c:pt>
                <c:pt idx="205">
                  <c:v>2.6389165391265259E-2</c:v>
                </c:pt>
                <c:pt idx="206">
                  <c:v>3.0556254283170031E-2</c:v>
                </c:pt>
                <c:pt idx="207">
                  <c:v>3.4760002319352667E-2</c:v>
                </c:pt>
                <c:pt idx="208">
                  <c:v>3.9003246747212908E-2</c:v>
                </c:pt>
                <c:pt idx="209">
                  <c:v>4.3288934487539642E-2</c:v>
                </c:pt>
                <c:pt idx="210">
                  <c:v>4.7620132297940286E-2</c:v>
                </c:pt>
                <c:pt idx="211">
                  <c:v>5.2000037820970568E-2</c:v>
                </c:pt>
                <c:pt idx="212">
                  <c:v>5.6431991658819881E-2</c:v>
                </c:pt>
                <c:pt idx="213">
                  <c:v>6.0919490598534271E-2</c:v>
                </c:pt>
                <c:pt idx="214">
                  <c:v>6.5466202145696512E-2</c:v>
                </c:pt>
                <c:pt idx="215">
                  <c:v>7.0075980534024168E-2</c:v>
                </c:pt>
                <c:pt idx="216">
                  <c:v>7.4752884444208523E-2</c:v>
                </c:pt>
                <c:pt idx="217">
                  <c:v>7.950119664607401E-2</c:v>
                </c:pt>
                <c:pt idx="218">
                  <c:v>8.43254458646676E-2</c:v>
                </c:pt>
                <c:pt idx="219">
                  <c:v>8.9230431214897793E-2</c:v>
                </c:pt>
                <c:pt idx="220">
                  <c:v>9.4221249567542201E-2</c:v>
                </c:pt>
                <c:pt idx="221">
                  <c:v>9.9303326356833838E-2</c:v>
                </c:pt>
                <c:pt idx="222">
                  <c:v>0.10448245036895823</c:v>
                </c:pt>
                <c:pt idx="223">
                  <c:v>0.10976450162855708</c:v>
                </c:pt>
                <c:pt idx="224">
                  <c:v>0.11574929704974463</c:v>
                </c:pt>
                <c:pt idx="225">
                  <c:v>0.12264010720810731</c:v>
                </c:pt>
                <c:pt idx="226">
                  <c:v>0.12971295439016164</c:v>
                </c:pt>
                <c:pt idx="227">
                  <c:v>0.1369796619360211</c:v>
                </c:pt>
                <c:pt idx="228">
                  <c:v>0.14445305424018501</c:v>
                </c:pt>
                <c:pt idx="229">
                  <c:v>0.15214708124309506</c:v>
                </c:pt>
                <c:pt idx="230">
                  <c:v>0.16007696345032066</c:v>
                </c:pt>
                <c:pt idx="231">
                  <c:v>0.16825933115251207</c:v>
                </c:pt>
                <c:pt idx="232">
                  <c:v>0.17671183566814103</c:v>
                </c:pt>
                <c:pt idx="233">
                  <c:v>0.18631189321885544</c:v>
                </c:pt>
                <c:pt idx="234">
                  <c:v>0.19744276151380041</c:v>
                </c:pt>
                <c:pt idx="235">
                  <c:v>0.20906944655241044</c:v>
                </c:pt>
                <c:pt idx="236">
                  <c:v>0.22123103702641822</c:v>
                </c:pt>
                <c:pt idx="237">
                  <c:v>0.23449176444630576</c:v>
                </c:pt>
                <c:pt idx="238">
                  <c:v>0.24864587700705545</c:v>
                </c:pt>
                <c:pt idx="239">
                  <c:v>0.26357991141115678</c:v>
                </c:pt>
                <c:pt idx="240">
                  <c:v>0.27936467288032291</c:v>
                </c:pt>
                <c:pt idx="241">
                  <c:v>0.29607901124757685</c:v>
                </c:pt>
                <c:pt idx="242">
                  <c:v>0.31381092652503639</c:v>
                </c:pt>
                <c:pt idx="243">
                  <c:v>0.33265884695199927</c:v>
                </c:pt>
                <c:pt idx="244">
                  <c:v>0.3527331119657901</c:v>
                </c:pt>
                <c:pt idx="245">
                  <c:v>0.37415717772990048</c:v>
                </c:pt>
                <c:pt idx="246">
                  <c:v>0.39801098784694866</c:v>
                </c:pt>
                <c:pt idx="247">
                  <c:v>0.42479865785152549</c:v>
                </c:pt>
                <c:pt idx="248">
                  <c:v>0.45382840648606304</c:v>
                </c:pt>
                <c:pt idx="249">
                  <c:v>0.48537890649995985</c:v>
                </c:pt>
                <c:pt idx="250">
                  <c:v>0.5197716360236101</c:v>
                </c:pt>
                <c:pt idx="251">
                  <c:v>0.55737867738820601</c:v>
                </c:pt>
                <c:pt idx="252">
                  <c:v>0.59863240986879362</c:v>
                </c:pt>
                <c:pt idx="253">
                  <c:v>0.6440367333268443</c:v>
                </c:pt>
                <c:pt idx="254">
                  <c:v>0.69416518269002658</c:v>
                </c:pt>
                <c:pt idx="255">
                  <c:v>0.74964320651412919</c:v>
                </c:pt>
                <c:pt idx="256">
                  <c:v>0.81112587302326533</c:v>
                </c:pt>
                <c:pt idx="257">
                  <c:v>0.87925726148314753</c:v>
                </c:pt>
                <c:pt idx="258">
                  <c:v>0.95460238544669829</c:v>
                </c:pt>
                <c:pt idx="259">
                  <c:v>1.0375450798448695</c:v>
                </c:pt>
                <c:pt idx="260">
                  <c:v>1.1281520787289245</c:v>
                </c:pt>
                <c:pt idx="261">
                  <c:v>1.2260186584679793</c:v>
                </c:pt>
                <c:pt idx="262">
                  <c:v>1.33013418080644</c:v>
                </c:pt>
                <c:pt idx="263">
                  <c:v>1.4388270935681127</c:v>
                </c:pt>
                <c:pt idx="264">
                  <c:v>1.5498483955454585</c:v>
                </c:pt>
                <c:pt idx="265">
                  <c:v>1.660612364618772</c:v>
                </c:pt>
                <c:pt idx="266">
                  <c:v>1.7685426267612379</c:v>
                </c:pt>
                <c:pt idx="267">
                  <c:v>1.8714148155501877</c:v>
                </c:pt>
                <c:pt idx="268">
                  <c:v>1.9675890073856575</c:v>
                </c:pt>
                <c:pt idx="269">
                  <c:v>2.0560842009562457</c:v>
                </c:pt>
                <c:pt idx="270">
                  <c:v>2.1365170287311166</c:v>
                </c:pt>
                <c:pt idx="271">
                  <c:v>2.2184985479992201</c:v>
                </c:pt>
                <c:pt idx="272">
                  <c:v>2.2875512120187276</c:v>
                </c:pt>
                <c:pt idx="273">
                  <c:v>2.3459268258435158</c:v>
                </c:pt>
                <c:pt idx="274">
                  <c:v>2.3955592219300916</c:v>
                </c:pt>
                <c:pt idx="275">
                  <c:v>2.4380423607148671</c:v>
                </c:pt>
                <c:pt idx="276">
                  <c:v>2.4746642945597443</c:v>
                </c:pt>
                <c:pt idx="277">
                  <c:v>2.5064574833304349</c:v>
                </c:pt>
                <c:pt idx="278">
                  <c:v>2.5342483703220644</c:v>
                </c:pt>
                <c:pt idx="279">
                  <c:v>2.5587001637467055</c:v>
                </c:pt>
                <c:pt idx="280">
                  <c:v>2.580347631984647</c:v>
                </c:pt>
                <c:pt idx="281">
                  <c:v>2.599624598861725</c:v>
                </c:pt>
                <c:pt idx="282">
                  <c:v>2.6168853755411208</c:v>
                </c:pt>
                <c:pt idx="283">
                  <c:v>2.6324213778567689</c:v>
                </c:pt>
                <c:pt idx="284">
                  <c:v>2.646474005200917</c:v>
                </c:pt>
                <c:pt idx="285">
                  <c:v>2.6592446470859716</c:v>
                </c:pt>
                <c:pt idx="286">
                  <c:v>2.6709024913802932</c:v>
                </c:pt>
                <c:pt idx="287">
                  <c:v>2.6815906499376951</c:v>
                </c:pt>
                <c:pt idx="288">
                  <c:v>2.6914309931322897</c:v>
                </c:pt>
                <c:pt idx="289">
                  <c:v>2.7005279897723882</c:v>
                </c:pt>
                <c:pt idx="290">
                  <c:v>2.7089717770897703</c:v>
                </c:pt>
                <c:pt idx="291">
                  <c:v>2.7168406315461664</c:v>
                </c:pt>
                <c:pt idx="292">
                  <c:v>2.7242029707854023</c:v>
                </c:pt>
                <c:pt idx="293">
                  <c:v>2.7311189866576404</c:v>
                </c:pt>
                <c:pt idx="294">
                  <c:v>2.7376418596425833</c:v>
                </c:pt>
                <c:pt idx="295">
                  <c:v>2.7438176774038165</c:v>
                </c:pt>
                <c:pt idx="296">
                  <c:v>2.7496857318060677</c:v>
                </c:pt>
                <c:pt idx="297">
                  <c:v>2.7552799155547389</c:v>
                </c:pt>
                <c:pt idx="298">
                  <c:v>2.7606298731541119</c:v>
                </c:pt>
                <c:pt idx="299">
                  <c:v>2.7657618781536564</c:v>
                </c:pt>
                <c:pt idx="300">
                  <c:v>2.7706995118997044</c:v>
                </c:pt>
                <c:pt idx="301">
                  <c:v>2.7754641755817278</c:v>
                </c:pt>
                <c:pt idx="302">
                  <c:v>2.7800750020798146</c:v>
                </c:pt>
                <c:pt idx="303">
                  <c:v>2.7845484232051469</c:v>
                </c:pt>
                <c:pt idx="304">
                  <c:v>2.7888985241644222</c:v>
                </c:pt>
                <c:pt idx="305">
                  <c:v>2.7931374714438704</c:v>
                </c:pt>
                <c:pt idx="306">
                  <c:v>2.7972758521270475</c:v>
                </c:pt>
                <c:pt idx="307">
                  <c:v>2.8013229447747583</c:v>
                </c:pt>
                <c:pt idx="308">
                  <c:v>2.8052869372158495</c:v>
                </c:pt>
                <c:pt idx="309">
                  <c:v>2.8091751028270524</c:v>
                </c:pt>
                <c:pt idx="310">
                  <c:v>2.8129939441415392</c:v>
                </c:pt>
                <c:pt idx="311">
                  <c:v>2.8167493105709807</c:v>
                </c:pt>
                <c:pt idx="312">
                  <c:v>2.8204464954863857</c:v>
                </c:pt>
                <c:pt idx="313">
                  <c:v>2.8240903167374931</c:v>
                </c:pt>
                <c:pt idx="314">
                  <c:v>2.8276851838316812</c:v>
                </c:pt>
                <c:pt idx="315">
                  <c:v>2.8312351542731871</c:v>
                </c:pt>
                <c:pt idx="316">
                  <c:v>2.8347439810925548</c:v>
                </c:pt>
                <c:pt idx="317">
                  <c:v>2.8382151531437723</c:v>
                </c:pt>
                <c:pt idx="318">
                  <c:v>2.8416519294631422</c:v>
                </c:pt>
                <c:pt idx="319">
                  <c:v>2.84505736872473</c:v>
                </c:pt>
                <c:pt idx="320">
                  <c:v>2.8484343546221695</c:v>
                </c:pt>
                <c:pt idx="321">
                  <c:v>2.851785617860946</c:v>
                </c:pt>
                <c:pt idx="322">
                  <c:v>2.855113755327813</c:v>
                </c:pt>
                <c:pt idx="323">
                  <c:v>2.8584212468840331</c:v>
                </c:pt>
                <c:pt idx="324">
                  <c:v>2.8617104701701059</c:v>
                </c:pt>
                <c:pt idx="325">
                  <c:v>2.8649837137276855</c:v>
                </c:pt>
                <c:pt idx="326">
                  <c:v>2.8682431887158741</c:v>
                </c:pt>
                <c:pt idx="327">
                  <c:v>2.8714910394191473</c:v>
                </c:pt>
                <c:pt idx="328">
                  <c:v>2.874729352749811</c:v>
                </c:pt>
                <c:pt idx="329">
                  <c:v>2.8779601668977963</c:v>
                </c:pt>
                <c:pt idx="330">
                  <c:v>2.8811854792474016</c:v>
                </c:pt>
                <c:pt idx="331">
                  <c:v>2.8844072536974781</c:v>
                </c:pt>
                <c:pt idx="332">
                  <c:v>2.8876274274583209</c:v>
                </c:pt>
                <c:pt idx="333">
                  <c:v>2.8908479174279056</c:v>
                </c:pt>
                <c:pt idx="334">
                  <c:v>2.8940706262125602</c:v>
                </c:pt>
                <c:pt idx="335">
                  <c:v>2.8972974478563436</c:v>
                </c:pt>
                <c:pt idx="336">
                  <c:v>2.9005302733446339</c:v>
                </c:pt>
                <c:pt idx="337">
                  <c:v>2.9037709959225766</c:v>
                </c:pt>
                <c:pt idx="338">
                  <c:v>2.9070215162803361</c:v>
                </c:pt>
                <c:pt idx="339">
                  <c:v>2.9102837476488101</c:v>
                </c:pt>
                <c:pt idx="340">
                  <c:v>2.9135596208427534</c:v>
                </c:pt>
                <c:pt idx="341">
                  <c:v>2.9168510892867667</c:v>
                </c:pt>
                <c:pt idx="342">
                  <c:v>2.9201601340627157</c:v>
                </c:pt>
                <c:pt idx="343">
                  <c:v>2.9234887690098712</c:v>
                </c:pt>
                <c:pt idx="344">
                  <c:v>2.9268390459059188</c:v>
                </c:pt>
                <c:pt idx="345">
                  <c:v>2.9302130597747409</c:v>
                </c:pt>
                <c:pt idx="346">
                  <c:v>2.9336129543342353</c:v>
                </c:pt>
                <c:pt idx="347">
                  <c:v>2.9370409276309779</c:v>
                </c:pt>
                <c:pt idx="348">
                  <c:v>2.9404992378905597</c:v>
                </c:pt>
                <c:pt idx="349">
                  <c:v>2.943990209615384</c:v>
                </c:pt>
                <c:pt idx="350">
                  <c:v>2.9475162399715273</c:v>
                </c:pt>
                <c:pt idx="351">
                  <c:v>2.9510798054915242</c:v>
                </c:pt>
                <c:pt idx="352">
                  <c:v>2.954683469148323</c:v>
                </c:pt>
                <c:pt idx="353">
                  <c:v>2.9583298878292639</c:v>
                </c:pt>
                <c:pt idx="354">
                  <c:v>2.9620218202623558</c:v>
                </c:pt>
                <c:pt idx="355">
                  <c:v>2.9657621354398662</c:v>
                </c:pt>
                <c:pt idx="356">
                  <c:v>2.969553821598149</c:v>
                </c:pt>
                <c:pt idx="357">
                  <c:v>2.9733999958046784</c:v>
                </c:pt>
                <c:pt idx="358">
                  <c:v>2.9773039142165412</c:v>
                </c:pt>
                <c:pt idx="359">
                  <c:v>2.9812689830825829</c:v>
                </c:pt>
                <c:pt idx="360">
                  <c:v>2.9852987705577911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0.20253912218142078</c:v>
                </c:pt>
                <c:pt idx="1">
                  <c:v>0.20515829036047073</c:v>
                </c:pt>
                <c:pt idx="2">
                  <c:v>0.20776708677892985</c:v>
                </c:pt>
                <c:pt idx="3">
                  <c:v>0.21036626187495955</c:v>
                </c:pt>
                <c:pt idx="4">
                  <c:v>0.21295656204386049</c:v>
                </c:pt>
                <c:pt idx="5">
                  <c:v>0.21553872894874715</c:v>
                </c:pt>
                <c:pt idx="6">
                  <c:v>0.21811349888114773</c:v>
                </c:pt>
                <c:pt idx="7">
                  <c:v>0.220681602165262</c:v>
                </c:pt>
                <c:pt idx="8">
                  <c:v>0.22324376258207179</c:v>
                </c:pt>
                <c:pt idx="9">
                  <c:v>0.22580069675106129</c:v>
                </c:pt>
                <c:pt idx="10">
                  <c:v>0.22835311359542931</c:v>
                </c:pt>
                <c:pt idx="11">
                  <c:v>0.23090171370025914</c:v>
                </c:pt>
                <c:pt idx="12">
                  <c:v>0.23344718869112044</c:v>
                </c:pt>
                <c:pt idx="13">
                  <c:v>0.23599022051198348</c:v>
                </c:pt>
                <c:pt idx="14">
                  <c:v>0.23853148070984223</c:v>
                </c:pt>
                <c:pt idx="15">
                  <c:v>0.24107162955272177</c:v>
                </c:pt>
                <c:pt idx="16">
                  <c:v>0.24361131511323242</c:v>
                </c:pt>
                <c:pt idx="17">
                  <c:v>0.24615117224841043</c:v>
                </c:pt>
                <c:pt idx="18">
                  <c:v>0.24869182136077808</c:v>
                </c:pt>
                <c:pt idx="19">
                  <c:v>0.25123386709838957</c:v>
                </c:pt>
                <c:pt idx="20">
                  <c:v>0.25377789687615504</c:v>
                </c:pt>
                <c:pt idx="21">
                  <c:v>0.25632447909224476</c:v>
                </c:pt>
                <c:pt idx="22">
                  <c:v>0.25887416123411139</c:v>
                </c:pt>
                <c:pt idx="23">
                  <c:v>0.26142746767750635</c:v>
                </c:pt>
                <c:pt idx="24">
                  <c:v>0.26398489718642582</c:v>
                </c:pt>
                <c:pt idx="25">
                  <c:v>0.26654692006949388</c:v>
                </c:pt>
                <c:pt idx="26">
                  <c:v>0.26911397500783618</c:v>
                </c:pt>
                <c:pt idx="27">
                  <c:v>0.27168646540502595</c:v>
                </c:pt>
                <c:pt idx="28">
                  <c:v>0.27426475531190864</c:v>
                </c:pt>
                <c:pt idx="29">
                  <c:v>0.27684916473205767</c:v>
                </c:pt>
                <c:pt idx="30">
                  <c:v>0.27943996443147862</c:v>
                </c:pt>
                <c:pt idx="31">
                  <c:v>0.28203736995062417</c:v>
                </c:pt>
                <c:pt idx="32">
                  <c:v>0.28464153487519717</c:v>
                </c:pt>
                <c:pt idx="33">
                  <c:v>0.28725254326027594</c:v>
                </c:pt>
                <c:pt idx="34">
                  <c:v>0.28987040103142547</c:v>
                </c:pt>
                <c:pt idx="35">
                  <c:v>0.29249502617493928</c:v>
                </c:pt>
                <c:pt idx="36">
                  <c:v>0.29512623780762004</c:v>
                </c:pt>
                <c:pt idx="37">
                  <c:v>0.29776374362184216</c:v>
                </c:pt>
                <c:pt idx="38">
                  <c:v>0.30040712584565549</c:v>
                </c:pt>
                <c:pt idx="39">
                  <c:v>0.30305582509481077</c:v>
                </c:pt>
                <c:pt idx="40">
                  <c:v>0.30570912234124847</c:v>
                </c:pt>
                <c:pt idx="41">
                  <c:v>0.30836611818236292</c:v>
                </c:pt>
                <c:pt idx="42">
                  <c:v>0.3110257095541229</c:v>
                </c:pt>
                <c:pt idx="43">
                  <c:v>0.31368656301293196</c:v>
                </c:pt>
                <c:pt idx="44">
                  <c:v>0.31634708456801824</c:v>
                </c:pt>
                <c:pt idx="45">
                  <c:v>0.31900538518082039</c:v>
                </c:pt>
                <c:pt idx="46">
                  <c:v>0.32165924150849978</c:v>
                </c:pt>
                <c:pt idx="47">
                  <c:v>0.32430605114272559</c:v>
                </c:pt>
                <c:pt idx="48">
                  <c:v>0.32694278133281252</c:v>
                </c:pt>
                <c:pt idx="49">
                  <c:v>0.32956591054364326</c:v>
                </c:pt>
                <c:pt idx="50">
                  <c:v>0.33217136134047953</c:v>
                </c:pt>
                <c:pt idx="51">
                  <c:v>0.33475442350040391</c:v>
                </c:pt>
                <c:pt idx="52">
                  <c:v>0.33730966562975562</c:v>
                </c:pt>
                <c:pt idx="53">
                  <c:v>0.33983083358085953</c:v>
                </c:pt>
                <c:pt idx="54">
                  <c:v>0.3423107332212787</c:v>
                </c:pt>
                <c:pt idx="55">
                  <c:v>0.34474109522267771</c:v>
                </c:pt>
                <c:pt idx="56">
                  <c:v>0.3471124835894317</c:v>
                </c:pt>
                <c:pt idx="57">
                  <c:v>0.34941461646418492</c:v>
                </c:pt>
                <c:pt idx="58">
                  <c:v>0.351636657989018</c:v>
                </c:pt>
                <c:pt idx="59">
                  <c:v>0.35376724918627644</c:v>
                </c:pt>
                <c:pt idx="60">
                  <c:v>0.35579452745566709</c:v>
                </c:pt>
                <c:pt idx="61">
                  <c:v>0.35770615298896535</c:v>
                </c:pt>
                <c:pt idx="62">
                  <c:v>0.35948934336895499</c:v>
                </c:pt>
                <c:pt idx="63">
                  <c:v>0.36113091783905871</c:v>
                </c:pt>
                <c:pt idx="64">
                  <c:v>0.36261735273197182</c:v>
                </c:pt>
                <c:pt idx="65">
                  <c:v>0.36393484977970614</c:v>
                </c:pt>
                <c:pt idx="66">
                  <c:v>0.36506941909311763</c:v>
                </c:pt>
                <c:pt idx="67">
                  <c:v>0.36600697859424791</c:v>
                </c:pt>
                <c:pt idx="68">
                  <c:v>0.36673347166263293</c:v>
                </c:pt>
                <c:pt idx="69">
                  <c:v>0.36723500472074466</c:v>
                </c:pt>
                <c:pt idx="70">
                  <c:v>0.36749800545895678</c:v>
                </c:pt>
                <c:pt idx="71">
                  <c:v>0.36750940168082158</c:v>
                </c:pt>
                <c:pt idx="72">
                  <c:v>0.3672568174154005</c:v>
                </c:pt>
                <c:pt idx="73">
                  <c:v>0.36672876314339131</c:v>
                </c:pt>
                <c:pt idx="74">
                  <c:v>0.36591455229504888</c:v>
                </c:pt>
                <c:pt idx="75">
                  <c:v>0.3648040584768984</c:v>
                </c:pt>
                <c:pt idx="76">
                  <c:v>0.36260712681270224</c:v>
                </c:pt>
                <c:pt idx="77">
                  <c:v>0.35968030470168566</c:v>
                </c:pt>
                <c:pt idx="78">
                  <c:v>0.3561423902932121</c:v>
                </c:pt>
                <c:pt idx="79">
                  <c:v>0.35161677659008017</c:v>
                </c:pt>
                <c:pt idx="80">
                  <c:v>0.34680210051490962</c:v>
                </c:pt>
                <c:pt idx="81">
                  <c:v>0.34169920732049697</c:v>
                </c:pt>
                <c:pt idx="82">
                  <c:v>0.33631025653837421</c:v>
                </c:pt>
                <c:pt idx="83">
                  <c:v>0.33063879260558426</c:v>
                </c:pt>
                <c:pt idx="84">
                  <c:v>0.32468987497120233</c:v>
                </c:pt>
                <c:pt idx="85">
                  <c:v>0.31847020732333542</c:v>
                </c:pt>
                <c:pt idx="86">
                  <c:v>0.31167339098906993</c:v>
                </c:pt>
                <c:pt idx="87">
                  <c:v>0.30427531485275239</c:v>
                </c:pt>
                <c:pt idx="88">
                  <c:v>0.29669279141364457</c:v>
                </c:pt>
                <c:pt idx="89">
                  <c:v>0.28895572979098461</c:v>
                </c:pt>
                <c:pt idx="90">
                  <c:v>0.28108399215777169</c:v>
                </c:pt>
                <c:pt idx="91">
                  <c:v>0.27115641905627497</c:v>
                </c:pt>
                <c:pt idx="92">
                  <c:v>0.26166620245021965</c:v>
                </c:pt>
                <c:pt idx="93">
                  <c:v>0.25259321118615485</c:v>
                </c:pt>
                <c:pt idx="94">
                  <c:v>0.24391649681544969</c:v>
                </c:pt>
                <c:pt idx="95">
                  <c:v>0.23561480549449867</c:v>
                </c:pt>
                <c:pt idx="96">
                  <c:v>0.22766696444324452</c:v>
                </c:pt>
                <c:pt idx="97">
                  <c:v>0.22005216672548444</c:v>
                </c:pt>
                <c:pt idx="98">
                  <c:v>0.21275017469523316</c:v>
                </c:pt>
                <c:pt idx="99">
                  <c:v>0.205741459282033</c:v>
                </c:pt>
                <c:pt idx="100">
                  <c:v>0.19900728921522415</c:v>
                </c:pt>
                <c:pt idx="101">
                  <c:v>0.19252978169603588</c:v>
                </c:pt>
                <c:pt idx="102">
                  <c:v>0.18629192377851081</c:v>
                </c:pt>
                <c:pt idx="103">
                  <c:v>0.18027757177507867</c:v>
                </c:pt>
                <c:pt idx="104">
                  <c:v>0.17447143456786884</c:v>
                </c:pt>
                <c:pt idx="105">
                  <c:v>0.16885904525052586</c:v>
                </c:pt>
                <c:pt idx="106">
                  <c:v>0.16342672471187969</c:v>
                </c:pt>
                <c:pt idx="107">
                  <c:v>0.15816155857771855</c:v>
                </c:pt>
                <c:pt idx="108">
                  <c:v>0.15305228049948602</c:v>
                </c:pt>
                <c:pt idx="109">
                  <c:v>0.14809097166583693</c:v>
                </c:pt>
                <c:pt idx="110">
                  <c:v>0.14327221839455362</c:v>
                </c:pt>
                <c:pt idx="111">
                  <c:v>0.13859198367039041</c:v>
                </c:pt>
                <c:pt idx="112">
                  <c:v>0.13404692284818953</c:v>
                </c:pt>
                <c:pt idx="113">
                  <c:v>0.12963397943118737</c:v>
                </c:pt>
                <c:pt idx="114">
                  <c:v>0.12535015455173235</c:v>
                </c:pt>
                <c:pt idx="115">
                  <c:v>0.12119238365530725</c:v>
                </c:pt>
                <c:pt idx="116">
                  <c:v>0.11715747858668289</c:v>
                </c:pt>
                <c:pt idx="117">
                  <c:v>0.11324210867882911</c:v>
                </c:pt>
                <c:pt idx="118">
                  <c:v>0.10944280413192065</c:v>
                </c:pt>
                <c:pt idx="119">
                  <c:v>0.1057559712099021</c:v>
                </c:pt>
                <c:pt idx="120">
                  <c:v>0.10217791269749021</c:v>
                </c:pt>
                <c:pt idx="121">
                  <c:v>9.8704849639637895E-2</c:v>
                </c:pt>
                <c:pt idx="122">
                  <c:v>9.5332941964271889E-2</c:v>
                </c:pt>
                <c:pt idx="123">
                  <c:v>9.2058306655608671E-2</c:v>
                </c:pt>
                <c:pt idx="124">
                  <c:v>8.8877032772276099E-2</c:v>
                </c:pt>
                <c:pt idx="125">
                  <c:v>8.5785192995669224E-2</c:v>
                </c:pt>
                <c:pt idx="126">
                  <c:v>8.2778851639224715E-2</c:v>
                </c:pt>
                <c:pt idx="127">
                  <c:v>7.9854069159491559E-2</c:v>
                </c:pt>
                <c:pt idx="128">
                  <c:v>7.7006903272133442E-2</c:v>
                </c:pt>
                <c:pt idx="129">
                  <c:v>7.4233406781003083E-2</c:v>
                </c:pt>
                <c:pt idx="130">
                  <c:v>7.1529622209171251E-2</c:v>
                </c:pt>
                <c:pt idx="131">
                  <c:v>6.8891577355910005E-2</c:v>
                </c:pt>
                <c:pt idx="132">
                  <c:v>6.6315380062525797E-2</c:v>
                </c:pt>
                <c:pt idx="133">
                  <c:v>6.3797388352035966E-2</c:v>
                </c:pt>
                <c:pt idx="134">
                  <c:v>6.1334217612008857E-2</c:v>
                </c:pt>
                <c:pt idx="135">
                  <c:v>5.8922714252837682E-2</c:v>
                </c:pt>
                <c:pt idx="136">
                  <c:v>5.6559932706619964E-2</c:v>
                </c:pt>
                <c:pt idx="137">
                  <c:v>5.4243115294533073E-2</c:v>
                </c:pt>
                <c:pt idx="138">
                  <c:v>5.1969674528432819E-2</c:v>
                </c:pt>
                <c:pt idx="139">
                  <c:v>4.9737177471281147E-2</c:v>
                </c:pt>
                <c:pt idx="140">
                  <c:v>4.7543331868840084E-2</c:v>
                </c:pt>
                <c:pt idx="141">
                  <c:v>4.5385973794824341E-2</c:v>
                </c:pt>
                <c:pt idx="142">
                  <c:v>4.3263056599865291E-2</c:v>
                </c:pt>
                <c:pt idx="143">
                  <c:v>4.1172640996707255E-2</c:v>
                </c:pt>
                <c:pt idx="144">
                  <c:v>3.9112886131335685E-2</c:v>
                </c:pt>
                <c:pt idx="145">
                  <c:v>3.708204150712336E-2</c:v>
                </c:pt>
                <c:pt idx="146">
                  <c:v>3.5078439669494088E-2</c:v>
                </c:pt>
                <c:pt idx="147">
                  <c:v>3.3100489548757217E-2</c:v>
                </c:pt>
                <c:pt idx="148">
                  <c:v>3.114667038544594E-2</c:v>
                </c:pt>
                <c:pt idx="149">
                  <c:v>2.9215526177920999E-2</c:v>
                </c:pt>
                <c:pt idx="150">
                  <c:v>2.7305660581203206E-2</c:v>
                </c:pt>
                <c:pt idx="151">
                  <c:v>2.5415732217021425E-2</c:v>
                </c:pt>
                <c:pt idx="152">
                  <c:v>2.354445034576047E-2</c:v>
                </c:pt>
                <c:pt idx="153">
                  <c:v>2.1690570863038609E-2</c:v>
                </c:pt>
                <c:pt idx="154">
                  <c:v>1.9852892581026623E-2</c:v>
                </c:pt>
                <c:pt idx="155">
                  <c:v>1.8030253778677174E-2</c:v>
                </c:pt>
                <c:pt idx="156">
                  <c:v>1.6221528977139243E-2</c:v>
                </c:pt>
                <c:pt idx="157">
                  <c:v>1.4425625926232311E-2</c:v>
                </c:pt>
                <c:pt idx="158">
                  <c:v>1.2641482781856617E-2</c:v>
                </c:pt>
                <c:pt idx="159">
                  <c:v>1.086806544818808E-2</c:v>
                </c:pt>
                <c:pt idx="160">
                  <c:v>9.1043650766633455E-3</c:v>
                </c:pt>
                <c:pt idx="161">
                  <c:v>7.3493956973842423E-3</c:v>
                </c:pt>
                <c:pt idx="162">
                  <c:v>5.6021919776632068E-3</c:v>
                </c:pt>
                <c:pt idx="163">
                  <c:v>3.8618070920599656E-3</c:v>
                </c:pt>
                <c:pt idx="164">
                  <c:v>2.1273106869679204E-3</c:v>
                </c:pt>
                <c:pt idx="165">
                  <c:v>3.9778694247161184E-4</c:v>
                </c:pt>
                <c:pt idx="166">
                  <c:v>-1.3276672926760824E-3</c:v>
                </c:pt>
                <c:pt idx="167">
                  <c:v>-3.049944289603701E-3</c:v>
                </c:pt>
                <c:pt idx="168">
                  <c:v>-4.7699271621741701E-3</c:v>
                </c:pt>
                <c:pt idx="169">
                  <c:v>-6.4884915420799771E-3</c:v>
                </c:pt>
                <c:pt idx="170">
                  <c:v>-8.2065071841301851E-3</c:v>
                </c:pt>
                <c:pt idx="171">
                  <c:v>-9.924839548861808E-3</c:v>
                </c:pt>
                <c:pt idx="172">
                  <c:v>-1.1644351324655135E-2</c:v>
                </c:pt>
                <c:pt idx="173">
                  <c:v>-1.3365903930739886E-2</c:v>
                </c:pt>
                <c:pt idx="174">
                  <c:v>-1.5090358977700724E-2</c:v>
                </c:pt>
                <c:pt idx="175">
                  <c:v>-1.6818579702460923E-2</c:v>
                </c:pt>
                <c:pt idx="176">
                  <c:v>-1.8551432387317046E-2</c:v>
                </c:pt>
                <c:pt idx="177">
                  <c:v>-2.0289787738250631E-2</c:v>
                </c:pt>
                <c:pt idx="178">
                  <c:v>-2.2034522271533685E-2</c:v>
                </c:pt>
                <c:pt idx="179">
                  <c:v>-2.3786519651245452E-2</c:v>
                </c:pt>
                <c:pt idx="180">
                  <c:v>-2.5546672034417739E-2</c:v>
                </c:pt>
                <c:pt idx="181">
                  <c:v>-2.7094304891741139E-2</c:v>
                </c:pt>
                <c:pt idx="182">
                  <c:v>-2.8630752650461666E-2</c:v>
                </c:pt>
                <c:pt idx="183">
                  <c:v>-3.015677121299376E-2</c:v>
                </c:pt>
                <c:pt idx="184">
                  <c:v>-3.1673101024322747E-2</c:v>
                </c:pt>
                <c:pt idx="185">
                  <c:v>-3.3180468008494834E-2</c:v>
                </c:pt>
                <c:pt idx="186">
                  <c:v>-3.4679584515874495E-2</c:v>
                </c:pt>
                <c:pt idx="187">
                  <c:v>-3.6171150217386927E-2</c:v>
                </c:pt>
                <c:pt idx="188">
                  <c:v>-3.7655853010923668E-2</c:v>
                </c:pt>
                <c:pt idx="189">
                  <c:v>-3.9134369885188924E-2</c:v>
                </c:pt>
                <c:pt idx="190">
                  <c:v>-4.0607367771791747E-2</c:v>
                </c:pt>
                <c:pt idx="191">
                  <c:v>-4.2075504378228601E-2</c:v>
                </c:pt>
                <c:pt idx="192">
                  <c:v>-4.353942898302688E-2</c:v>
                </c:pt>
                <c:pt idx="193">
                  <c:v>-4.499978322903387E-2</c:v>
                </c:pt>
                <c:pt idx="194">
                  <c:v>-4.645720186425617E-2</c:v>
                </c:pt>
                <c:pt idx="195">
                  <c:v>-4.7912313489228975E-2</c:v>
                </c:pt>
                <c:pt idx="196">
                  <c:v>-4.9365741251680362E-2</c:v>
                </c:pt>
                <c:pt idx="197">
                  <c:v>-5.0818103527590974E-2</c:v>
                </c:pt>
                <c:pt idx="198">
                  <c:v>-5.2270014571989432E-2</c:v>
                </c:pt>
                <c:pt idx="199">
                  <c:v>-5.372208513206278E-2</c:v>
                </c:pt>
                <c:pt idx="200">
                  <c:v>-5.5174923039852608E-2</c:v>
                </c:pt>
                <c:pt idx="201">
                  <c:v>-5.6629133757439387E-2</c:v>
                </c:pt>
                <c:pt idx="202">
                  <c:v>-5.8085320893199739E-2</c:v>
                </c:pt>
                <c:pt idx="203">
                  <c:v>-5.9544086676539106E-2</c:v>
                </c:pt>
                <c:pt idx="204">
                  <c:v>-6.1006032380145125E-2</c:v>
                </c:pt>
                <c:pt idx="205">
                  <c:v>-6.2471758700892721E-2</c:v>
                </c:pt>
                <c:pt idx="206">
                  <c:v>-6.3941866075837073E-2</c:v>
                </c:pt>
                <c:pt idx="207">
                  <c:v>-6.5416954944423886E-2</c:v>
                </c:pt>
                <c:pt idx="208">
                  <c:v>-6.6897625934277713E-2</c:v>
                </c:pt>
                <c:pt idx="209">
                  <c:v>-6.8384479962023015E-2</c:v>
                </c:pt>
                <c:pt idx="210">
                  <c:v>-6.9878118261512245E-2</c:v>
                </c:pt>
                <c:pt idx="211">
                  <c:v>-7.1379142286741359E-2</c:v>
                </c:pt>
                <c:pt idx="212">
                  <c:v>-7.2888153507869813E-2</c:v>
                </c:pt>
                <c:pt idx="213">
                  <c:v>-7.440575307031505E-2</c:v>
                </c:pt>
                <c:pt idx="214">
                  <c:v>-7.5932541301356946E-2</c:v>
                </c:pt>
                <c:pt idx="215">
                  <c:v>-7.7469117026118806E-2</c:v>
                </c:pt>
                <c:pt idx="216">
                  <c:v>-7.9016076698426918E-2</c:v>
                </c:pt>
                <c:pt idx="217">
                  <c:v>-8.0574013277933787E-2</c:v>
                </c:pt>
                <c:pt idx="218">
                  <c:v>-8.2143514837722087E-2</c:v>
                </c:pt>
                <c:pt idx="219">
                  <c:v>-8.3725162872363881E-2</c:v>
                </c:pt>
                <c:pt idx="220">
                  <c:v>-8.5319530215401063E-2</c:v>
                </c:pt>
                <c:pt idx="221">
                  <c:v>-8.6927178561278406E-2</c:v>
                </c:pt>
                <c:pt idx="222">
                  <c:v>-8.8548655499592233E-2</c:v>
                </c:pt>
                <c:pt idx="223">
                  <c:v>-9.0184487327280127E-2</c:v>
                </c:pt>
                <c:pt idx="224">
                  <c:v>-9.1841441931185042E-2</c:v>
                </c:pt>
                <c:pt idx="225">
                  <c:v>-9.3519739716999783E-2</c:v>
                </c:pt>
                <c:pt idx="226">
                  <c:v>-9.5211037324408387E-2</c:v>
                </c:pt>
                <c:pt idx="227">
                  <c:v>-9.6915555497163464E-2</c:v>
                </c:pt>
                <c:pt idx="228">
                  <c:v>-9.8633448880289798E-2</c:v>
                </c:pt>
                <c:pt idx="229">
                  <c:v>-0.10036479499312856</c:v>
                </c:pt>
                <c:pt idx="230">
                  <c:v>-0.10210958145206961</c:v>
                </c:pt>
                <c:pt idx="231">
                  <c:v>-0.10386768886306319</c:v>
                </c:pt>
                <c:pt idx="232">
                  <c:v>-0.1056388587492556</c:v>
                </c:pt>
                <c:pt idx="233">
                  <c:v>-0.10740301236601679</c:v>
                </c:pt>
                <c:pt idx="234">
                  <c:v>-0.10915023635571997</c:v>
                </c:pt>
                <c:pt idx="235">
                  <c:v>-0.1109033811065272</c:v>
                </c:pt>
                <c:pt idx="236">
                  <c:v>-0.11266097491448113</c:v>
                </c:pt>
                <c:pt idx="237">
                  <c:v>-0.11426078875786905</c:v>
                </c:pt>
                <c:pt idx="238">
                  <c:v>-0.11579415327452924</c:v>
                </c:pt>
                <c:pt idx="239">
                  <c:v>-0.11731443298204303</c:v>
                </c:pt>
                <c:pt idx="240">
                  <c:v>-0.11881781976874839</c:v>
                </c:pt>
                <c:pt idx="241">
                  <c:v>-0.12029998144294884</c:v>
                </c:pt>
                <c:pt idx="242">
                  <c:v>-0.1217560169201084</c:v>
                </c:pt>
                <c:pt idx="243">
                  <c:v>-0.12318041391843916</c:v>
                </c:pt>
                <c:pt idx="244">
                  <c:v>-0.12456701288183368</c:v>
                </c:pt>
                <c:pt idx="245">
                  <c:v>-0.12590908386901711</c:v>
                </c:pt>
                <c:pt idx="246">
                  <c:v>-0.12702749580458181</c:v>
                </c:pt>
                <c:pt idx="247">
                  <c:v>-0.12788458777118716</c:v>
                </c:pt>
                <c:pt idx="248">
                  <c:v>-0.12865094405522592</c:v>
                </c:pt>
                <c:pt idx="249">
                  <c:v>-0.12931593476569647</c:v>
                </c:pt>
                <c:pt idx="250">
                  <c:v>-0.12986876046584198</c:v>
                </c:pt>
                <c:pt idx="251">
                  <c:v>-0.13029891227804624</c:v>
                </c:pt>
                <c:pt idx="252">
                  <c:v>-0.13059688108083337</c:v>
                </c:pt>
                <c:pt idx="253">
                  <c:v>-0.13075506382111302</c:v>
                </c:pt>
                <c:pt idx="254">
                  <c:v>-0.13076705351390006</c:v>
                </c:pt>
                <c:pt idx="255">
                  <c:v>-0.13062602139950477</c:v>
                </c:pt>
                <c:pt idx="256">
                  <c:v>-0.1303245163432134</c:v>
                </c:pt>
                <c:pt idx="257">
                  <c:v>-0.12985445638468288</c:v>
                </c:pt>
                <c:pt idx="258">
                  <c:v>-0.12920712846625859</c:v>
                </c:pt>
                <c:pt idx="259">
                  <c:v>-0.12837319945359926</c:v>
                </c:pt>
                <c:pt idx="260">
                  <c:v>-0.1273427425237976</c:v>
                </c:pt>
                <c:pt idx="261">
                  <c:v>-0.1261052839294714</c:v>
                </c:pt>
                <c:pt idx="262">
                  <c:v>-0.12464987616657817</c:v>
                </c:pt>
                <c:pt idx="263">
                  <c:v>-0.1229652051232013</c:v>
                </c:pt>
                <c:pt idx="264">
                  <c:v>-0.12103973990077767</c:v>
                </c:pt>
                <c:pt idx="265">
                  <c:v>-0.11886193590557072</c:v>
                </c:pt>
                <c:pt idx="266">
                  <c:v>-0.11642050290046768</c:v>
                </c:pt>
                <c:pt idx="267">
                  <c:v>-0.11370475141245028</c:v>
                </c:pt>
                <c:pt idx="268">
                  <c:v>-0.11070503139753152</c:v>
                </c:pt>
                <c:pt idx="269">
                  <c:v>-0.10741327707305848</c:v>
                </c:pt>
                <c:pt idx="270">
                  <c:v>-0.1038236703459936</c:v>
                </c:pt>
                <c:pt idx="271">
                  <c:v>-9.7155744023639024E-2</c:v>
                </c:pt>
                <c:pt idx="272">
                  <c:v>-9.0566719485145594E-2</c:v>
                </c:pt>
                <c:pt idx="273">
                  <c:v>-8.4070855451797932E-2</c:v>
                </c:pt>
                <c:pt idx="274">
                  <c:v>-7.7680888219010744E-2</c:v>
                </c:pt>
                <c:pt idx="275">
                  <c:v>-7.1407972524289764E-2</c:v>
                </c:pt>
                <c:pt idx="276">
                  <c:v>-6.5261657422794883E-2</c:v>
                </c:pt>
                <c:pt idx="277">
                  <c:v>-5.9249892985995249E-2</c:v>
                </c:pt>
                <c:pt idx="278">
                  <c:v>-5.3379063166822505E-2</c:v>
                </c:pt>
                <c:pt idx="279">
                  <c:v>-4.7654040132132369E-2</c:v>
                </c:pt>
                <c:pt idx="280">
                  <c:v>-4.2078255434305767E-2</c:v>
                </c:pt>
                <c:pt idx="281">
                  <c:v>-3.6653783634803531E-2</c:v>
                </c:pt>
                <c:pt idx="282">
                  <c:v>-3.1381434409242015E-2</c:v>
                </c:pt>
                <c:pt idx="283">
                  <c:v>-2.6260849453347394E-2</c:v>
                </c:pt>
                <c:pt idx="284">
                  <c:v>-2.1290601229727809E-2</c:v>
                </c:pt>
                <c:pt idx="285">
                  <c:v>-1.6468290772225558E-2</c:v>
                </c:pt>
                <c:pt idx="286">
                  <c:v>-1.1790642495407956E-2</c:v>
                </c:pt>
                <c:pt idx="287">
                  <c:v>-7.2535942197218262E-3</c:v>
                </c:pt>
                <c:pt idx="288">
                  <c:v>-2.852381078566335E-3</c:v>
                </c:pt>
                <c:pt idx="289">
                  <c:v>1.41838764189961E-3</c:v>
                </c:pt>
                <c:pt idx="290">
                  <c:v>5.5646595285980807E-3</c:v>
                </c:pt>
                <c:pt idx="291">
                  <c:v>9.5928782562655357E-3</c:v>
                </c:pt>
                <c:pt idx="292">
                  <c:v>1.3509931415625955E-2</c:v>
                </c:pt>
                <c:pt idx="293">
                  <c:v>1.7323106928459175E-2</c:v>
                </c:pt>
                <c:pt idx="294">
                  <c:v>2.103997386248313E-2</c:v>
                </c:pt>
                <c:pt idx="295">
                  <c:v>2.4667546678291966E-2</c:v>
                </c:pt>
                <c:pt idx="296">
                  <c:v>2.8211782688642547E-2</c:v>
                </c:pt>
                <c:pt idx="297">
                  <c:v>3.1677935949293801E-2</c:v>
                </c:pt>
                <c:pt idx="298">
                  <c:v>3.5070877518080579E-2</c:v>
                </c:pt>
                <c:pt idx="299">
                  <c:v>3.8395328332351486E-2</c:v>
                </c:pt>
                <c:pt idx="300">
                  <c:v>4.1656029337794998E-2</c:v>
                </c:pt>
                <c:pt idx="301">
                  <c:v>4.4857853716534279E-2</c:v>
                </c:pt>
                <c:pt idx="302">
                  <c:v>4.8005572470362523E-2</c:v>
                </c:pt>
                <c:pt idx="303">
                  <c:v>5.1103385977731897E-2</c:v>
                </c:pt>
                <c:pt idx="304">
                  <c:v>5.4154946051985231E-2</c:v>
                </c:pt>
                <c:pt idx="305">
                  <c:v>5.7163461985149759E-2</c:v>
                </c:pt>
                <c:pt idx="306">
                  <c:v>6.013178445605849E-2</c:v>
                </c:pt>
                <c:pt idx="307">
                  <c:v>6.3062472083755594E-2</c:v>
                </c:pt>
                <c:pt idx="308">
                  <c:v>6.595784439801157E-2</c:v>
                </c:pt>
                <c:pt idx="309">
                  <c:v>6.8820024187199458E-2</c:v>
                </c:pt>
                <c:pt idx="310">
                  <c:v>7.1650971478523839E-2</c:v>
                </c:pt>
                <c:pt idx="311">
                  <c:v>7.4452510920090198E-2</c:v>
                </c:pt>
                <c:pt idx="312">
                  <c:v>7.7226353945403226E-2</c:v>
                </c:pt>
                <c:pt idx="313">
                  <c:v>7.9974116791763361E-2</c:v>
                </c:pt>
                <c:pt idx="314">
                  <c:v>8.2697335232126065E-2</c:v>
                </c:pt>
                <c:pt idx="315">
                  <c:v>8.539747666970543E-2</c:v>
                </c:pt>
                <c:pt idx="316">
                  <c:v>8.8075950145661164E-2</c:v>
                </c:pt>
                <c:pt idx="317">
                  <c:v>9.0734114656195963E-2</c:v>
                </c:pt>
                <c:pt idx="318">
                  <c:v>9.3373286123308738E-2</c:v>
                </c:pt>
                <c:pt idx="319">
                  <c:v>9.5994743291058171E-2</c:v>
                </c:pt>
                <c:pt idx="320">
                  <c:v>9.8599732744203195E-2</c:v>
                </c:pt>
                <c:pt idx="321">
                  <c:v>0.10118947321873906</c:v>
                </c:pt>
                <c:pt idx="322">
                  <c:v>0.10376515936335597</c:v>
                </c:pt>
                <c:pt idx="323">
                  <c:v>0.10632796503289209</c:v>
                </c:pt>
                <c:pt idx="324">
                  <c:v>0.10887904622466849</c:v>
                </c:pt>
                <c:pt idx="325">
                  <c:v>0.11141954370416318</c:v>
                </c:pt>
                <c:pt idx="326">
                  <c:v>0.11395058542814329</c:v>
                </c:pt>
                <c:pt idx="327">
                  <c:v>0.11647328874069274</c:v>
                </c:pt>
                <c:pt idx="328">
                  <c:v>0.11898876243993817</c:v>
                </c:pt>
                <c:pt idx="329">
                  <c:v>0.12149810874229594</c:v>
                </c:pt>
                <c:pt idx="330">
                  <c:v>0.1240024251164864</c:v>
                </c:pt>
                <c:pt idx="331">
                  <c:v>0.12650280610339903</c:v>
                </c:pt>
                <c:pt idx="332">
                  <c:v>0.12900034503987531</c:v>
                </c:pt>
                <c:pt idx="333">
                  <c:v>0.13149613577865704</c:v>
                </c:pt>
                <c:pt idx="334">
                  <c:v>0.13399127438216052</c:v>
                </c:pt>
                <c:pt idx="335">
                  <c:v>0.13648686079677708</c:v>
                </c:pt>
                <c:pt idx="336">
                  <c:v>0.13898400056153948</c:v>
                </c:pt>
                <c:pt idx="337">
                  <c:v>0.14148380650532744</c:v>
                </c:pt>
                <c:pt idx="338">
                  <c:v>0.14398740046830216</c:v>
                </c:pt>
                <c:pt idx="339">
                  <c:v>0.14649591506480467</c:v>
                </c:pt>
                <c:pt idx="340">
                  <c:v>0.14901049548340417</c:v>
                </c:pt>
                <c:pt idx="341">
                  <c:v>0.15153230132196868</c:v>
                </c:pt>
                <c:pt idx="342">
                  <c:v>0.15406250848995517</c:v>
                </c:pt>
                <c:pt idx="343">
                  <c:v>0.15660231117293488</c:v>
                </c:pt>
                <c:pt idx="344">
                  <c:v>0.15915292382998247</c:v>
                </c:pt>
                <c:pt idx="345">
                  <c:v>0.16171558333962377</c:v>
                </c:pt>
                <c:pt idx="346">
                  <c:v>0.16429155115524408</c:v>
                </c:pt>
                <c:pt idx="347">
                  <c:v>0.16688211558861307</c:v>
                </c:pt>
                <c:pt idx="348">
                  <c:v>0.16948859419948636</c:v>
                </c:pt>
                <c:pt idx="349">
                  <c:v>0.17211233627550415</c:v>
                </c:pt>
                <c:pt idx="350">
                  <c:v>0.17475472546988069</c:v>
                </c:pt>
                <c:pt idx="351">
                  <c:v>0.17741718249483054</c:v>
                </c:pt>
                <c:pt idx="352">
                  <c:v>0.18010116804512319</c:v>
                </c:pt>
                <c:pt idx="353">
                  <c:v>0.18280818582164482</c:v>
                </c:pt>
                <c:pt idx="354">
                  <c:v>0.18553978574024477</c:v>
                </c:pt>
                <c:pt idx="355">
                  <c:v>0.18829756728900768</c:v>
                </c:pt>
                <c:pt idx="356">
                  <c:v>0.19108318313278702</c:v>
                </c:pt>
                <c:pt idx="357">
                  <c:v>0.19389834289574545</c:v>
                </c:pt>
                <c:pt idx="358">
                  <c:v>0.1967448171526387</c:v>
                </c:pt>
                <c:pt idx="359">
                  <c:v>0.19962444172258786</c:v>
                </c:pt>
                <c:pt idx="360">
                  <c:v>0.20253912218140835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2.6569720474062657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2.3110457323080705E-2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2.8966139904629289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3.9438115416595263</c:v>
                </c:pt>
                <c:pt idx="1">
                  <c:v>1.8494164392663313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L_Section_Capacity!$CJ$15:$CJ$375</c:f>
              <c:numCache>
                <c:formatCode>General</c:formatCode>
                <c:ptCount val="361"/>
                <c:pt idx="0">
                  <c:v>2.131779516228252</c:v>
                </c:pt>
                <c:pt idx="1">
                  <c:v>2.1203141232041238</c:v>
                </c:pt>
                <c:pt idx="2">
                  <c:v>2.1089144923455851</c:v>
                </c:pt>
                <c:pt idx="3">
                  <c:v>2.09757535122628</c:v>
                </c:pt>
                <c:pt idx="4">
                  <c:v>2.0862914401128476</c:v>
                </c:pt>
                <c:pt idx="5">
                  <c:v>2.0750575085578697</c:v>
                </c:pt>
                <c:pt idx="6">
                  <c:v>2.0638683113914555</c:v>
                </c:pt>
                <c:pt idx="7">
                  <c:v>2.0527186042347987</c:v>
                </c:pt>
                <c:pt idx="8">
                  <c:v>2.0416031384622881</c:v>
                </c:pt>
                <c:pt idx="9">
                  <c:v>2.0305166551683644</c:v>
                </c:pt>
                <c:pt idx="10">
                  <c:v>2.0194538795371617</c:v>
                </c:pt>
                <c:pt idx="11">
                  <c:v>2.0084095138682985</c:v>
                </c:pt>
                <c:pt idx="12">
                  <c:v>1.9973782306571704</c:v>
                </c:pt>
                <c:pt idx="13">
                  <c:v>1.9863546646973973</c:v>
                </c:pt>
                <c:pt idx="14">
                  <c:v>1.975333405339823</c:v>
                </c:pt>
                <c:pt idx="15">
                  <c:v>1.9643089874334139</c:v>
                </c:pt>
                <c:pt idx="16">
                  <c:v>1.9532758822993259</c:v>
                </c:pt>
                <c:pt idx="17">
                  <c:v>1.942228488210695</c:v>
                </c:pt>
                <c:pt idx="18">
                  <c:v>1.9311611195292089</c:v>
                </c:pt>
                <c:pt idx="19">
                  <c:v>1.9200679960151426</c:v>
                </c:pt>
                <c:pt idx="20">
                  <c:v>1.9089432314059553</c:v>
                </c:pt>
                <c:pt idx="21">
                  <c:v>1.8977808204018598</c:v>
                </c:pt>
                <c:pt idx="22">
                  <c:v>1.8865746258453662</c:v>
                </c:pt>
                <c:pt idx="23">
                  <c:v>1.8753183646326366</c:v>
                </c:pt>
                <c:pt idx="24">
                  <c:v>1.8640055926452415</c:v>
                </c:pt>
                <c:pt idx="25">
                  <c:v>1.8526296885744951</c:v>
                </c:pt>
                <c:pt idx="26">
                  <c:v>1.8411838369840714</c:v>
                </c:pt>
                <c:pt idx="27">
                  <c:v>1.8296610097256505</c:v>
                </c:pt>
                <c:pt idx="28">
                  <c:v>1.8180539464067227</c:v>
                </c:pt>
                <c:pt idx="29">
                  <c:v>1.8063551327918388</c:v>
                </c:pt>
                <c:pt idx="30">
                  <c:v>1.7945567784041765</c:v>
                </c:pt>
                <c:pt idx="31">
                  <c:v>1.7826507915358856</c:v>
                </c:pt>
                <c:pt idx="32">
                  <c:v>1.7706287525566329</c:v>
                </c:pt>
                <c:pt idx="33">
                  <c:v>1.7584818852606772</c:v>
                </c:pt>
                <c:pt idx="34">
                  <c:v>1.7462010255979126</c:v>
                </c:pt>
                <c:pt idx="35">
                  <c:v>1.7337765871874293</c:v>
                </c:pt>
                <c:pt idx="36">
                  <c:v>1.7211985249217254</c:v>
                </c:pt>
                <c:pt idx="37">
                  <c:v>1.7084562941357888</c:v>
                </c:pt>
                <c:pt idx="38">
                  <c:v>1.6955388071821345</c:v>
                </c:pt>
                <c:pt idx="39">
                  <c:v>1.6824343844681551</c:v>
                </c:pt>
                <c:pt idx="40">
                  <c:v>1.6691307025542936</c:v>
                </c:pt>
                <c:pt idx="41">
                  <c:v>1.6556147355695054</c:v>
                </c:pt>
                <c:pt idx="42">
                  <c:v>1.6418726923597518</c:v>
                </c:pt>
                <c:pt idx="43">
                  <c:v>1.627889945826215</c:v>
                </c:pt>
                <c:pt idx="44">
                  <c:v>1.6136509563431869</c:v>
                </c:pt>
                <c:pt idx="45">
                  <c:v>1.5991391863379325</c:v>
                </c:pt>
                <c:pt idx="46">
                  <c:v>1.5843370062279776</c:v>
                </c:pt>
                <c:pt idx="47">
                  <c:v>1.5692255904326851</c:v>
                </c:pt>
                <c:pt idx="48">
                  <c:v>1.5537848013018516</c:v>
                </c:pt>
                <c:pt idx="49">
                  <c:v>1.5379930613443811</c:v>
                </c:pt>
                <c:pt idx="50">
                  <c:v>1.5218272102146644</c:v>
                </c:pt>
                <c:pt idx="51">
                  <c:v>1.5052623459708239</c:v>
                </c:pt>
                <c:pt idx="52">
                  <c:v>1.4882716478309956</c:v>
                </c:pt>
                <c:pt idx="53">
                  <c:v>1.4708261789037287</c:v>
                </c:pt>
                <c:pt idx="54">
                  <c:v>1.4528946650812975</c:v>
                </c:pt>
                <c:pt idx="55">
                  <c:v>1.4344432486288186</c:v>
                </c:pt>
                <c:pt idx="56">
                  <c:v>1.4154357916745666</c:v>
                </c:pt>
                <c:pt idx="57">
                  <c:v>1.3958377865827274</c:v>
                </c:pt>
                <c:pt idx="58">
                  <c:v>1.375619350581359</c:v>
                </c:pt>
                <c:pt idx="59">
                  <c:v>1.3547555974523144</c:v>
                </c:pt>
                <c:pt idx="60">
                  <c:v>1.3332268878273554</c:v>
                </c:pt>
                <c:pt idx="61">
                  <c:v>1.3110191100573905</c:v>
                </c:pt>
                <c:pt idx="62">
                  <c:v>1.2881239786551255</c:v>
                </c:pt>
                <c:pt idx="63">
                  <c:v>1.2645393354452075</c:v>
                </c:pt>
                <c:pt idx="64">
                  <c:v>1.2402694356462594</c:v>
                </c:pt>
                <c:pt idx="65">
                  <c:v>1.2153251991574738</c:v>
                </c:pt>
                <c:pt idx="66">
                  <c:v>1.1897244048445021</c:v>
                </c:pt>
                <c:pt idx="67">
                  <c:v>1.1634918032533916</c:v>
                </c:pt>
                <c:pt idx="68">
                  <c:v>1.1366591212528292</c:v>
                </c:pt>
                <c:pt idx="69">
                  <c:v>1.1092649305879847</c:v>
                </c:pt>
                <c:pt idx="70">
                  <c:v>1.0813543478483274</c:v>
                </c:pt>
                <c:pt idx="71">
                  <c:v>1.0529785301611005</c:v>
                </c:pt>
                <c:pt idx="72">
                  <c:v>1.0241939186857403</c:v>
                </c:pt>
                <c:pt idx="73">
                  <c:v>0.99506122689565379</c:v>
                </c:pt>
                <c:pt idx="74">
                  <c:v>0.96564520043826163</c:v>
                </c:pt>
                <c:pt idx="75">
                  <c:v>0.93601505772177795</c:v>
                </c:pt>
                <c:pt idx="76">
                  <c:v>0.9066065948801163</c:v>
                </c:pt>
                <c:pt idx="77">
                  <c:v>0.87723115085523862</c:v>
                </c:pt>
                <c:pt idx="78">
                  <c:v>0.84852330897615014</c:v>
                </c:pt>
                <c:pt idx="79">
                  <c:v>0.82137178941899291</c:v>
                </c:pt>
                <c:pt idx="80">
                  <c:v>0.79399933458755267</c:v>
                </c:pt>
                <c:pt idx="81">
                  <c:v>0.7664723220072247</c:v>
                </c:pt>
                <c:pt idx="82">
                  <c:v>0.73886014415243828</c:v>
                </c:pt>
                <c:pt idx="83">
                  <c:v>0.71123456529960816</c:v>
                </c:pt>
                <c:pt idx="84">
                  <c:v>0.6836688724628166</c:v>
                </c:pt>
                <c:pt idx="85">
                  <c:v>0.65623699468446528</c:v>
                </c:pt>
                <c:pt idx="86">
                  <c:v>0.62967889702697599</c:v>
                </c:pt>
                <c:pt idx="87">
                  <c:v>0.60688386126650151</c:v>
                </c:pt>
                <c:pt idx="88">
                  <c:v>0.58449529132570588</c:v>
                </c:pt>
                <c:pt idx="89">
                  <c:v>0.56225156848978575</c:v>
                </c:pt>
                <c:pt idx="90">
                  <c:v>0.54021050453128483</c:v>
                </c:pt>
                <c:pt idx="91">
                  <c:v>0.51571969993791322</c:v>
                </c:pt>
                <c:pt idx="92">
                  <c:v>0.49275323321840725</c:v>
                </c:pt>
                <c:pt idx="93">
                  <c:v>0.4712073450052135</c:v>
                </c:pt>
                <c:pt idx="94">
                  <c:v>0.45097992518655167</c:v>
                </c:pt>
                <c:pt idx="95">
                  <c:v>0.43197236086835966</c:v>
                </c:pt>
                <c:pt idx="96">
                  <c:v>0.41409072667837687</c:v>
                </c:pt>
                <c:pt idx="97">
                  <c:v>0.3972464813027794</c:v>
                </c:pt>
                <c:pt idx="98">
                  <c:v>0.38135680259673954</c:v>
                </c:pt>
                <c:pt idx="99">
                  <c:v>0.3663446652903235</c:v>
                </c:pt>
                <c:pt idx="100">
                  <c:v>0.35213874096966263</c:v>
                </c:pt>
                <c:pt idx="101">
                  <c:v>0.33867318025673354</c:v>
                </c:pt>
                <c:pt idx="102">
                  <c:v>0.32588732138380472</c:v>
                </c:pt>
                <c:pt idx="103">
                  <c:v>0.31372535708001337</c:v>
                </c:pt>
                <c:pt idx="104">
                  <c:v>0.3021359825328726</c:v>
                </c:pt>
                <c:pt idx="105">
                  <c:v>0.29107203998252729</c:v>
                </c:pt>
                <c:pt idx="106">
                  <c:v>0.28049017059303777</c:v>
                </c:pt>
                <c:pt idx="107">
                  <c:v>0.27035051313853531</c:v>
                </c:pt>
                <c:pt idx="108">
                  <c:v>0.26061799903159377</c:v>
                </c:pt>
                <c:pt idx="109">
                  <c:v>0.25126502572046228</c:v>
                </c:pt>
                <c:pt idx="110">
                  <c:v>0.24226970314951091</c:v>
                </c:pt>
                <c:pt idx="111">
                  <c:v>0.23361369855871228</c:v>
                </c:pt>
                <c:pt idx="112">
                  <c:v>0.22528091945101281</c:v>
                </c:pt>
                <c:pt idx="113">
                  <c:v>0.21725671705078933</c:v>
                </c:pt>
                <c:pt idx="114">
                  <c:v>0.20952740875491616</c:v>
                </c:pt>
                <c:pt idx="115">
                  <c:v>0.20207999589396985</c:v>
                </c:pt>
                <c:pt idx="116">
                  <c:v>0.19490200036253172</c:v>
                </c:pt>
                <c:pt idx="117">
                  <c:v>0.18798137263842341</c:v>
                </c:pt>
                <c:pt idx="118">
                  <c:v>0.18130644165072463</c:v>
                </c:pt>
                <c:pt idx="119">
                  <c:v>0.17486588820989724</c:v>
                </c:pt>
                <c:pt idx="120">
                  <c:v>0.16864873073561659</c:v>
                </c:pt>
                <c:pt idx="121">
                  <c:v>0.16264431646037503</c:v>
                </c:pt>
                <c:pt idx="122">
                  <c:v>0.15684231405341853</c:v>
                </c:pt>
                <c:pt idx="123">
                  <c:v>0.15123270534647659</c:v>
                </c:pt>
                <c:pt idx="124">
                  <c:v>0.14580577489448432</c:v>
                </c:pt>
                <c:pt idx="125">
                  <c:v>0.14055209675443961</c:v>
                </c:pt>
                <c:pt idx="126">
                  <c:v>0.1354625182131155</c:v>
                </c:pt>
                <c:pt idx="127">
                  <c:v>0.130528140401974</c:v>
                </c:pt>
                <c:pt idx="128">
                  <c:v>0.12574029580757173</c:v>
                </c:pt>
                <c:pt idx="129">
                  <c:v>0.12109052270249698</c:v>
                </c:pt>
                <c:pt idx="130">
                  <c:v>0.11657053649360805</c:v>
                </c:pt>
                <c:pt idx="131">
                  <c:v>0.11217220501843526</c:v>
                </c:pt>
                <c:pt idx="132">
                  <c:v>0.10788769807324039</c:v>
                </c:pt>
                <c:pt idx="133">
                  <c:v>0.10370976533704335</c:v>
                </c:pt>
                <c:pt idx="134">
                  <c:v>9.96317289937423E-2</c:v>
                </c:pt>
                <c:pt idx="135">
                  <c:v>9.5647420590198262E-2</c:v>
                </c:pt>
                <c:pt idx="136">
                  <c:v>9.1751126351779178E-2</c:v>
                </c:pt>
                <c:pt idx="137">
                  <c:v>8.7937539683355936E-2</c:v>
                </c:pt>
                <c:pt idx="138">
                  <c:v>8.4201719745577996E-2</c:v>
                </c:pt>
                <c:pt idx="139">
                  <c:v>8.0539055147754265E-2</c:v>
                </c:pt>
                <c:pt idx="140">
                  <c:v>7.6945232022552101E-2</c:v>
                </c:pt>
                <c:pt idx="141">
                  <c:v>7.3416205826213346E-2</c:v>
                </c:pt>
                <c:pt idx="142">
                  <c:v>6.9948176333134882E-2</c:v>
                </c:pt>
                <c:pt idx="143">
                  <c:v>6.6537565397252432E-2</c:v>
                </c:pt>
                <c:pt idx="144">
                  <c:v>6.318099710028946E-2</c:v>
                </c:pt>
                <c:pt idx="145">
                  <c:v>5.9875279956174587E-2</c:v>
                </c:pt>
                <c:pt idx="146">
                  <c:v>5.6617390932849787E-2</c:v>
                </c:pt>
                <c:pt idx="147">
                  <c:v>5.3404461040544859E-2</c:v>
                </c:pt>
                <c:pt idx="148">
                  <c:v>5.0233762297472673E-2</c:v>
                </c:pt>
                <c:pt idx="149">
                  <c:v>4.7102695919296167E-2</c:v>
                </c:pt>
                <c:pt idx="150">
                  <c:v>4.4008781564305988E-2</c:v>
                </c:pt>
                <c:pt idx="151">
                  <c:v>4.0949647530324824E-2</c:v>
                </c:pt>
                <c:pt idx="152">
                  <c:v>3.7923021785709388E-2</c:v>
                </c:pt>
                <c:pt idx="153">
                  <c:v>3.4926723743238249E-2</c:v>
                </c:pt>
                <c:pt idx="154">
                  <c:v>3.1958656684566211E-2</c:v>
                </c:pt>
                <c:pt idx="155">
                  <c:v>2.9016800788493669E-2</c:v>
                </c:pt>
                <c:pt idx="156">
                  <c:v>2.6099206669352615E-2</c:v>
                </c:pt>
                <c:pt idx="157">
                  <c:v>2.3203989386775703E-2</c:v>
                </c:pt>
                <c:pt idx="158">
                  <c:v>2.0329322878836379E-2</c:v>
                </c:pt>
                <c:pt idx="159">
                  <c:v>1.7473434762231402E-2</c:v>
                </c:pt>
                <c:pt idx="160">
                  <c:v>1.4634601475711495E-2</c:v>
                </c:pt>
                <c:pt idx="161">
                  <c:v>1.1811143716394133E-2</c:v>
                </c:pt>
                <c:pt idx="162">
                  <c:v>9.0014221520089439E-3</c:v>
                </c:pt>
                <c:pt idx="163">
                  <c:v>6.2038333754994568E-3</c:v>
                </c:pt>
                <c:pt idx="164">
                  <c:v>3.4168060675585639E-3</c:v>
                </c:pt>
                <c:pt idx="165">
                  <c:v>6.3879736558147826E-4</c:v>
                </c:pt>
                <c:pt idx="166">
                  <c:v>-2.1317106057816564E-3</c:v>
                </c:pt>
                <c:pt idx="167">
                  <c:v>-4.8962140417541109E-3</c:v>
                </c:pt>
                <c:pt idx="168">
                  <c:v>-7.6561906242096356E-3</c:v>
                </c:pt>
                <c:pt idx="169">
                  <c:v>-1.0413102580585587E-2</c:v>
                </c:pt>
                <c:pt idx="170">
                  <c:v>-1.3168399603720626E-2</c:v>
                </c:pt>
                <c:pt idx="171">
                  <c:v>-1.5923521710530242E-2</c:v>
                </c:pt>
                <c:pt idx="172">
                  <c:v>-1.8679901982908031E-2</c:v>
                </c:pt>
                <c:pt idx="173">
                  <c:v>-2.143896925868205E-2</c:v>
                </c:pt>
                <c:pt idx="174">
                  <c:v>-2.4202150738612538E-2</c:v>
                </c:pt>
                <c:pt idx="175">
                  <c:v>-2.6970874538435833E-2</c:v>
                </c:pt>
                <c:pt idx="176">
                  <c:v>-2.9746572202697052E-2</c:v>
                </c:pt>
                <c:pt idx="177">
                  <c:v>-3.2530681144658839E-2</c:v>
                </c:pt>
                <c:pt idx="178">
                  <c:v>-3.5324647088941674E-2</c:v>
                </c:pt>
                <c:pt idx="179">
                  <c:v>-3.8129926431448524E-2</c:v>
                </c:pt>
                <c:pt idx="180">
                  <c:v>-4.0947988604282948E-2</c:v>
                </c:pt>
                <c:pt idx="181">
                  <c:v>-4.3450043520823385E-2</c:v>
                </c:pt>
                <c:pt idx="182">
                  <c:v>-4.5936805627317945E-2</c:v>
                </c:pt>
                <c:pt idx="183">
                  <c:v>-4.8409509604358636E-2</c:v>
                </c:pt>
                <c:pt idx="184">
                  <c:v>-5.0869370776231555E-2</c:v>
                </c:pt>
                <c:pt idx="185">
                  <c:v>-5.3317586747827946E-2</c:v>
                </c:pt>
                <c:pt idx="186">
                  <c:v>-5.5755339077523391E-2</c:v>
                </c:pt>
                <c:pt idx="187">
                  <c:v>-5.8183794893160723E-2</c:v>
                </c:pt>
                <c:pt idx="188">
                  <c:v>-6.0604108548568007E-2</c:v>
                </c:pt>
                <c:pt idx="189">
                  <c:v>-6.3017423241710446E-2</c:v>
                </c:pt>
                <c:pt idx="190">
                  <c:v>-6.5424872641592469E-2</c:v>
                </c:pt>
                <c:pt idx="191">
                  <c:v>-6.7827582515063156E-2</c:v>
                </c:pt>
                <c:pt idx="192">
                  <c:v>-7.0226672328658424E-2</c:v>
                </c:pt>
                <c:pt idx="193">
                  <c:v>-7.2623256880375311E-2</c:v>
                </c:pt>
                <c:pt idx="194">
                  <c:v>-7.5018447890860873E-2</c:v>
                </c:pt>
                <c:pt idx="195">
                  <c:v>-7.7413355642719242E-2</c:v>
                </c:pt>
                <c:pt idx="196">
                  <c:v>-7.9809090585809983E-2</c:v>
                </c:pt>
                <c:pt idx="197">
                  <c:v>-8.2206764969159352E-2</c:v>
                </c:pt>
                <c:pt idx="198">
                  <c:v>-8.4607494479865153E-2</c:v>
                </c:pt>
                <c:pt idx="199">
                  <c:v>-8.7012399883425115E-2</c:v>
                </c:pt>
                <c:pt idx="200">
                  <c:v>-8.9422608695860703E-2</c:v>
                </c:pt>
                <c:pt idx="201">
                  <c:v>-9.1839256855055673E-2</c:v>
                </c:pt>
                <c:pt idx="202">
                  <c:v>-9.4263490424955521E-2</c:v>
                </c:pt>
                <c:pt idx="203">
                  <c:v>-9.6696467322400448E-2</c:v>
                </c:pt>
                <c:pt idx="204">
                  <c:v>-9.9139359059811749E-2</c:v>
                </c:pt>
                <c:pt idx="205">
                  <c:v>-0.10159335252945924</c:v>
                </c:pt>
                <c:pt idx="206">
                  <c:v>-0.10405965180688304</c:v>
                </c:pt>
                <c:pt idx="207">
                  <c:v>-0.10653948000180558</c:v>
                </c:pt>
                <c:pt idx="208">
                  <c:v>-0.10903408113850599</c:v>
                </c:pt>
                <c:pt idx="209">
                  <c:v>-0.11154472206958176</c:v>
                </c:pt>
                <c:pt idx="210">
                  <c:v>-0.1140726944586743</c:v>
                </c:pt>
                <c:pt idx="211">
                  <c:v>-0.11661931677815575</c:v>
                </c:pt>
                <c:pt idx="212">
                  <c:v>-0.11918593637130169</c:v>
                </c:pt>
                <c:pt idx="213">
                  <c:v>-0.12177393156324266</c:v>
                </c:pt>
                <c:pt idx="214">
                  <c:v>-0.12438471382934368</c:v>
                </c:pt>
                <c:pt idx="215">
                  <c:v>-0.12701973000238453</c:v>
                </c:pt>
                <c:pt idx="216">
                  <c:v>-0.12968046456671489</c:v>
                </c:pt>
                <c:pt idx="217">
                  <c:v>-0.1323684419893687</c:v>
                </c:pt>
                <c:pt idx="218">
                  <c:v>-0.1350852291199662</c:v>
                </c:pt>
                <c:pt idx="219">
                  <c:v>-0.13783243767983008</c:v>
                </c:pt>
                <c:pt idx="220">
                  <c:v>-0.14061172678536371</c:v>
                </c:pt>
                <c:pt idx="221">
                  <c:v>-0.14342480558416515</c:v>
                </c:pt>
                <c:pt idx="222">
                  <c:v>-0.14627343597461318</c:v>
                </c:pt>
                <c:pt idx="223">
                  <c:v>-0.14915938466607681</c:v>
                </c:pt>
                <c:pt idx="224">
                  <c:v>-0.15218080109568932</c:v>
                </c:pt>
                <c:pt idx="225">
                  <c:v>-0.15536999337967661</c:v>
                </c:pt>
                <c:pt idx="226">
                  <c:v>-0.15860941566947462</c:v>
                </c:pt>
                <c:pt idx="227">
                  <c:v>-0.16190139128410719</c:v>
                </c:pt>
                <c:pt idx="228">
                  <c:v>-0.16524832178638205</c:v>
                </c:pt>
                <c:pt idx="229">
                  <c:v>-0.16865269026820551</c:v>
                </c:pt>
                <c:pt idx="230">
                  <c:v>-0.17211706485437839</c:v>
                </c:pt>
                <c:pt idx="231">
                  <c:v>-0.1756440948819771</c:v>
                </c:pt>
                <c:pt idx="232">
                  <c:v>-0.17923640626571169</c:v>
                </c:pt>
                <c:pt idx="233">
                  <c:v>-0.18300117029800322</c:v>
                </c:pt>
                <c:pt idx="234">
                  <c:v>-0.18698283782862646</c:v>
                </c:pt>
                <c:pt idx="235">
                  <c:v>-0.191053517542489</c:v>
                </c:pt>
                <c:pt idx="236">
                  <c:v>-0.19521661832177006</c:v>
                </c:pt>
                <c:pt idx="237">
                  <c:v>-0.19933748284432307</c:v>
                </c:pt>
                <c:pt idx="238">
                  <c:v>-0.20350172934293065</c:v>
                </c:pt>
                <c:pt idx="239">
                  <c:v>-0.20776085988954263</c:v>
                </c:pt>
                <c:pt idx="240">
                  <c:v>-0.21211708923518513</c:v>
                </c:pt>
                <c:pt idx="241">
                  <c:v>-0.21657236298983884</c:v>
                </c:pt>
                <c:pt idx="242">
                  <c:v>-0.22112830668307024</c:v>
                </c:pt>
                <c:pt idx="243">
                  <c:v>-0.22578617617367414</c:v>
                </c:pt>
                <c:pt idx="244">
                  <c:v>-0.23054681587947101</c:v>
                </c:pt>
                <c:pt idx="245">
                  <c:v>-0.23541071372561717</c:v>
                </c:pt>
                <c:pt idx="246">
                  <c:v>-0.24024629753927673</c:v>
                </c:pt>
                <c:pt idx="247">
                  <c:v>-0.24503271730848056</c:v>
                </c:pt>
                <c:pt idx="248">
                  <c:v>-0.24990730938646902</c:v>
                </c:pt>
                <c:pt idx="249">
                  <c:v>-0.25486811493902573</c:v>
                </c:pt>
                <c:pt idx="250">
                  <c:v>-0.25991393931081874</c:v>
                </c:pt>
                <c:pt idx="251">
                  <c:v>-0.26504555553818787</c:v>
                </c:pt>
                <c:pt idx="252">
                  <c:v>-0.27026771983329234</c:v>
                </c:pt>
                <c:pt idx="253">
                  <c:v>-0.27559207228763355</c:v>
                </c:pt>
                <c:pt idx="254">
                  <c:v>-0.28103641530352541</c:v>
                </c:pt>
                <c:pt idx="255">
                  <c:v>-0.28662146115634202</c:v>
                </c:pt>
                <c:pt idx="256">
                  <c:v>-0.29237090971943958</c:v>
                </c:pt>
                <c:pt idx="257">
                  <c:v>-0.29831210250492141</c:v>
                </c:pt>
                <c:pt idx="258">
                  <c:v>-0.30447684435816691</c:v>
                </c:pt>
                <c:pt idx="259">
                  <c:v>-0.3109024448850628</c:v>
                </c:pt>
                <c:pt idx="260">
                  <c:v>-0.3176330511860182</c:v>
                </c:pt>
                <c:pt idx="261">
                  <c:v>-0.32472137080936592</c:v>
                </c:pt>
                <c:pt idx="262">
                  <c:v>-0.33223092323176062</c:v>
                </c:pt>
                <c:pt idx="263">
                  <c:v>-0.34023901721900374</c:v>
                </c:pt>
                <c:pt idx="264">
                  <c:v>-0.34884073793228981</c:v>
                </c:pt>
                <c:pt idx="265">
                  <c:v>-0.35815436173288817</c:v>
                </c:pt>
                <c:pt idx="266">
                  <c:v>-0.36832882209136236</c:v>
                </c:pt>
                <c:pt idx="267">
                  <c:v>-0.37955417903245192</c:v>
                </c:pt>
                <c:pt idx="268">
                  <c:v>-0.39207657611617308</c:v>
                </c:pt>
                <c:pt idx="269">
                  <c:v>-0.40622005659358457</c:v>
                </c:pt>
                <c:pt idx="270">
                  <c:v>-0.42241913213854893</c:v>
                </c:pt>
                <c:pt idx="271">
                  <c:v>-0.43192250495489432</c:v>
                </c:pt>
                <c:pt idx="272">
                  <c:v>-0.44232187457509675</c:v>
                </c:pt>
                <c:pt idx="273">
                  <c:v>-0.45379357949192062</c:v>
                </c:pt>
                <c:pt idx="274">
                  <c:v>-0.46657190702982582</c:v>
                </c:pt>
                <c:pt idx="275">
                  <c:v>-0.48097479682432837</c:v>
                </c:pt>
                <c:pt idx="276">
                  <c:v>-0.49744458088983939</c:v>
                </c:pt>
                <c:pt idx="277">
                  <c:v>-0.51661504443256434</c:v>
                </c:pt>
                <c:pt idx="278">
                  <c:v>-0.53942682498596306</c:v>
                </c:pt>
                <c:pt idx="279">
                  <c:v>-0.56733677149735695</c:v>
                </c:pt>
                <c:pt idx="280">
                  <c:v>-0.60272276064488339</c:v>
                </c:pt>
                <c:pt idx="281">
                  <c:v>-0.64972978634687828</c:v>
                </c:pt>
                <c:pt idx="282">
                  <c:v>-0.71621583335622696</c:v>
                </c:pt>
                <c:pt idx="283">
                  <c:v>-0.81877405034509665</c:v>
                </c:pt>
                <c:pt idx="284">
                  <c:v>-0.9973265774189628</c:v>
                </c:pt>
                <c:pt idx="285">
                  <c:v>-1.3559742542738358</c:v>
                </c:pt>
                <c:pt idx="286">
                  <c:v>-2.0370486287362501</c:v>
                </c:pt>
                <c:pt idx="287">
                  <c:v>-2.6873553915348398</c:v>
                </c:pt>
                <c:pt idx="288">
                  <c:v>-3.0192420235318362</c:v>
                </c:pt>
                <c:pt idx="289">
                  <c:v>3.0958486872083641</c:v>
                </c:pt>
                <c:pt idx="290">
                  <c:v>2.997118379043946</c:v>
                </c:pt>
                <c:pt idx="291">
                  <c:v>2.9316166785604314</c:v>
                </c:pt>
                <c:pt idx="292">
                  <c:v>2.8841086989301941</c:v>
                </c:pt>
                <c:pt idx="293">
                  <c:v>2.8472866135172472</c:v>
                </c:pt>
                <c:pt idx="294">
                  <c:v>2.817257509968162</c:v>
                </c:pt>
                <c:pt idx="295">
                  <c:v>2.7917809182338615</c:v>
                </c:pt>
                <c:pt idx="296">
                  <c:v>2.7694912094288306</c:v>
                </c:pt>
                <c:pt idx="297">
                  <c:v>2.7495142695657462</c:v>
                </c:pt>
                <c:pt idx="298">
                  <c:v>2.7312679766171235</c:v>
                </c:pt>
                <c:pt idx="299">
                  <c:v>2.7143520887977735</c:v>
                </c:pt>
                <c:pt idx="300">
                  <c:v>2.6984842575164829</c:v>
                </c:pt>
                <c:pt idx="301">
                  <c:v>2.6834611809658573</c:v>
                </c:pt>
                <c:pt idx="302">
                  <c:v>2.6691337063176444</c:v>
                </c:pt>
                <c:pt idx="303">
                  <c:v>2.6553899578777429</c:v>
                </c:pt>
                <c:pt idx="304">
                  <c:v>2.6421443181985906</c:v>
                </c:pt>
                <c:pt idx="305">
                  <c:v>2.629330085798026</c:v>
                </c:pt>
                <c:pt idx="306">
                  <c:v>2.6168944302257202</c:v>
                </c:pt>
                <c:pt idx="307">
                  <c:v>2.6047948528783169</c:v>
                </c:pt>
                <c:pt idx="308">
                  <c:v>2.5929966628901426</c:v>
                </c:pt>
                <c:pt idx="309">
                  <c:v>2.581471145603691</c:v>
                </c:pt>
                <c:pt idx="310">
                  <c:v>2.5701942157727649</c:v>
                </c:pt>
                <c:pt idx="311">
                  <c:v>2.5591454146786177</c:v>
                </c:pt>
                <c:pt idx="312">
                  <c:v>2.5483071543060842</c:v>
                </c:pt>
                <c:pt idx="313">
                  <c:v>2.5376641404701004</c:v>
                </c:pt>
                <c:pt idx="314">
                  <c:v>2.5272029309669</c:v>
                </c:pt>
                <c:pt idx="315">
                  <c:v>2.5169115902630148</c:v>
                </c:pt>
                <c:pt idx="316">
                  <c:v>2.5067794209750249</c:v>
                </c:pt>
                <c:pt idx="317">
                  <c:v>2.4967967504699691</c:v>
                </c:pt>
                <c:pt idx="318">
                  <c:v>2.4869547614401344</c:v>
                </c:pt>
                <c:pt idx="319">
                  <c:v>2.4772453566091315</c:v>
                </c:pt>
                <c:pt idx="320">
                  <c:v>2.4676610489000161</c:v>
                </c:pt>
                <c:pt idx="321">
                  <c:v>2.4581948717923989</c:v>
                </c:pt>
                <c:pt idx="322">
                  <c:v>2.4488403067794908</c:v>
                </c:pt>
                <c:pt idx="323">
                  <c:v>2.4395912228177608</c:v>
                </c:pt>
                <c:pt idx="324">
                  <c:v>2.4304418264848184</c:v>
                </c:pt>
                <c:pt idx="325">
                  <c:v>2.4213866196165901</c:v>
                </c:pt>
                <c:pt idx="326">
                  <c:v>2.4124203649486087</c:v>
                </c:pt>
                <c:pt idx="327">
                  <c:v>2.4035380554699075</c:v>
                </c:pt>
                <c:pt idx="328">
                  <c:v>2.3947348890195999</c:v>
                </c:pt>
                <c:pt idx="329">
                  <c:v>2.3860062468543699</c:v>
                </c:pt>
                <c:pt idx="330">
                  <c:v>2.3773476738111006</c:v>
                </c:pt>
                <c:pt idx="331">
                  <c:v>2.3687548626161119</c:v>
                </c:pt>
                <c:pt idx="332">
                  <c:v>2.3602236386924367</c:v>
                </c:pt>
                <c:pt idx="333">
                  <c:v>2.351749947534568</c:v>
                </c:pt>
                <c:pt idx="334">
                  <c:v>2.3433298432313139</c:v>
                </c:pt>
                <c:pt idx="335">
                  <c:v>2.3349594778554863</c:v>
                </c:pt>
                <c:pt idx="336">
                  <c:v>2.3266350925999459</c:v>
                </c:pt>
                <c:pt idx="337">
                  <c:v>2.3183530090981748</c:v>
                </c:pt>
                <c:pt idx="338">
                  <c:v>2.3101096215334174</c:v>
                </c:pt>
                <c:pt idx="339">
                  <c:v>2.3019013895968645</c:v>
                </c:pt>
                <c:pt idx="340">
                  <c:v>2.2937248319109509</c:v>
                </c:pt>
                <c:pt idx="341">
                  <c:v>2.2855765196710962</c:v>
                </c:pt>
                <c:pt idx="342">
                  <c:v>2.2774530709512089</c:v>
                </c:pt>
                <c:pt idx="343">
                  <c:v>2.2693511453381054</c:v>
                </c:pt>
                <c:pt idx="344">
                  <c:v>2.2612674382093871</c:v>
                </c:pt>
                <c:pt idx="345">
                  <c:v>2.2531986765692222</c:v>
                </c:pt>
                <c:pt idx="346">
                  <c:v>2.2451416137406159</c:v>
                </c:pt>
                <c:pt idx="347">
                  <c:v>2.2370930249075114</c:v>
                </c:pt>
                <c:pt idx="348">
                  <c:v>2.2290497028809648</c:v>
                </c:pt>
                <c:pt idx="349">
                  <c:v>2.2210084536828174</c:v>
                </c:pt>
                <c:pt idx="350">
                  <c:v>2.2129660928332524</c:v>
                </c:pt>
                <c:pt idx="351">
                  <c:v>2.2049194406239625</c:v>
                </c:pt>
                <c:pt idx="352">
                  <c:v>2.1968653188271805</c:v>
                </c:pt>
                <c:pt idx="353">
                  <c:v>2.1888005466794276</c:v>
                </c:pt>
                <c:pt idx="354">
                  <c:v>2.1807219372251314</c:v>
                </c:pt>
                <c:pt idx="355">
                  <c:v>2.1726262933184337</c:v>
                </c:pt>
                <c:pt idx="356">
                  <c:v>2.1645104043972831</c:v>
                </c:pt>
                <c:pt idx="357">
                  <c:v>2.1563710428711595</c:v>
                </c:pt>
                <c:pt idx="358">
                  <c:v>2.1482049603556681</c:v>
                </c:pt>
                <c:pt idx="359">
                  <c:v>2.1400088846581786</c:v>
                </c:pt>
                <c:pt idx="360">
                  <c:v>2.1317795162282192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DI378"/>
  <sheetViews>
    <sheetView tabSelected="1" topLeftCell="S1" zoomScale="80" zoomScaleNormal="80" workbookViewId="0">
      <selection activeCell="CM11" sqref="CM11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1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</cols>
  <sheetData>
    <row r="1" spans="1:113" x14ac:dyDescent="0.25">
      <c r="A1" s="8" t="s">
        <v>196</v>
      </c>
      <c r="B1" s="20" t="s">
        <v>198</v>
      </c>
      <c r="K1" s="8" t="s">
        <v>71</v>
      </c>
      <c r="L1" s="56">
        <v>1.0000000000000001E-9</v>
      </c>
      <c r="P1" s="8" t="s">
        <v>144</v>
      </c>
      <c r="Q1" s="4">
        <v>1</v>
      </c>
      <c r="T1" t="s">
        <v>157</v>
      </c>
      <c r="U1" s="4">
        <v>0</v>
      </c>
      <c r="W1" t="s">
        <v>197</v>
      </c>
      <c r="X1" s="4">
        <v>1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145</v>
      </c>
      <c r="BH1" s="6" t="s">
        <v>146</v>
      </c>
      <c r="BI1" s="6" t="s">
        <v>147</v>
      </c>
      <c r="BW1" s="45" t="s">
        <v>148</v>
      </c>
      <c r="CU1" t="s">
        <v>113</v>
      </c>
      <c r="DC1" t="s">
        <v>136</v>
      </c>
      <c r="DI1" t="s">
        <v>143</v>
      </c>
    </row>
    <row r="2" spans="1:113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8765</v>
      </c>
      <c r="N2">
        <v>76</v>
      </c>
      <c r="O2">
        <v>0</v>
      </c>
      <c r="AD2" s="8" t="s">
        <v>158</v>
      </c>
      <c r="AE2" s="20">
        <v>360</v>
      </c>
      <c r="AS2" s="6" t="s">
        <v>203</v>
      </c>
      <c r="AT2" s="7">
        <v>1.6</v>
      </c>
      <c r="BC2">
        <v>0</v>
      </c>
      <c r="BD2">
        <v>-40.331788593580519</v>
      </c>
      <c r="BE2">
        <v>19.35914985546226</v>
      </c>
      <c r="BF2" s="6">
        <f t="shared" ref="BF2:BF33" si="0">IF(BC2&lt;&gt;"",IF(AND(BD2=0,BE2=0),0,MOD(ATAN2(BD2,BE2),2*PI())),NA())</f>
        <v>2.6940748682815081</v>
      </c>
      <c r="BG2" s="6">
        <f t="shared" ref="BG2:BG33" si="1">ABS(BC2-BF2)</f>
        <v>2.6940748682815081</v>
      </c>
      <c r="BH2" s="6">
        <f>ATAN2(COS($U$13-BF2),SIN($U$13-BF2))</f>
        <v>0.20253912218142078</v>
      </c>
      <c r="BI2" s="6">
        <f>ABS(BH2)</f>
        <v>0.20253912218142078</v>
      </c>
      <c r="BT2">
        <v>2.3561944901923448</v>
      </c>
      <c r="BV2" s="38"/>
      <c r="CJ2">
        <v>3.1415926535897931</v>
      </c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3.1415926535897931</v>
      </c>
    </row>
    <row r="3" spans="1:113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0.65</v>
      </c>
      <c r="V3" s="15"/>
      <c r="W3" s="29" t="s">
        <v>95</v>
      </c>
      <c r="X3" t="s">
        <v>79</v>
      </c>
      <c r="AA3" t="s">
        <v>110</v>
      </c>
      <c r="AS3" s="6" t="s">
        <v>8</v>
      </c>
      <c r="AT3" s="6" t="s">
        <v>9</v>
      </c>
      <c r="BC3">
        <v>1.7453292519943295E-2</v>
      </c>
      <c r="BD3">
        <v>-40.359527432683578</v>
      </c>
      <c r="BE3">
        <v>19.502691771876172</v>
      </c>
      <c r="BF3" s="6">
        <f t="shared" si="0"/>
        <v>2.6914557001024582</v>
      </c>
      <c r="BG3" s="6">
        <f t="shared" si="1"/>
        <v>2.6740024075825151</v>
      </c>
      <c r="BH3" s="6">
        <f t="shared" ref="BH3:BH66" si="2">ATAN2(COS($U$13-BF3),SIN($U$13-BF3))</f>
        <v>0.20515829036047073</v>
      </c>
      <c r="BI3" s="6">
        <f t="shared" ref="BI3:BI66" si="3">ABS(BH3)</f>
        <v>0.20515829036047073</v>
      </c>
      <c r="BV3" s="38"/>
      <c r="BW3" t="s">
        <v>149</v>
      </c>
      <c r="CU3">
        <v>3.4033920413889422</v>
      </c>
      <c r="CV3">
        <v>1.3089969389957472</v>
      </c>
      <c r="CW3">
        <v>2.3561944901923448</v>
      </c>
      <c r="CX3">
        <v>-0.91106971906517531</v>
      </c>
      <c r="CY3">
        <v>2.0052505840714008</v>
      </c>
      <c r="CZ3">
        <v>-0.41731018745882009</v>
      </c>
      <c r="DC3" t="s">
        <v>138</v>
      </c>
      <c r="DD3" t="s">
        <v>139</v>
      </c>
      <c r="DE3" t="s">
        <v>141</v>
      </c>
      <c r="DF3" t="s">
        <v>142</v>
      </c>
      <c r="DG3" t="s">
        <v>140</v>
      </c>
    </row>
    <row r="4" spans="1:113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849.99999999977456</v>
      </c>
      <c r="V4" s="16" t="s">
        <v>68</v>
      </c>
      <c r="W4" s="30">
        <f ca="1">U4-U10</f>
        <v>-2.2544099920196459E-10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0</v>
      </c>
      <c r="AT4" s="6">
        <v>0</v>
      </c>
      <c r="BC4">
        <v>3.4906585039886591E-2</v>
      </c>
      <c r="BD4">
        <v>-40.388358471576794</v>
      </c>
      <c r="BE4">
        <v>19.646756271039983</v>
      </c>
      <c r="BF4" s="6">
        <f t="shared" si="0"/>
        <v>2.688846903683999</v>
      </c>
      <c r="BG4" s="6">
        <f t="shared" si="1"/>
        <v>2.6539403186441124</v>
      </c>
      <c r="BH4" s="6">
        <f t="shared" si="2"/>
        <v>0.20776708677892985</v>
      </c>
      <c r="BI4" s="6">
        <f t="shared" si="3"/>
        <v>0.20776708677892985</v>
      </c>
      <c r="BV4" s="38"/>
      <c r="BW4" s="1" t="s">
        <v>100</v>
      </c>
      <c r="BX4" s="1" t="s">
        <v>101</v>
      </c>
      <c r="CU4">
        <v>2.3561944901923448</v>
      </c>
      <c r="CV4">
        <v>1.3089969389957472</v>
      </c>
      <c r="CW4">
        <v>1.8325957145940461</v>
      </c>
      <c r="CX4">
        <v>-0.41731018745882009</v>
      </c>
      <c r="CY4">
        <v>2.0052505840714008</v>
      </c>
      <c r="CZ4">
        <v>-0.24767865190102259</v>
      </c>
    </row>
    <row r="5" spans="1:113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4">((E4*F5)-(E5*F4))*0.5</f>
        <v>96</v>
      </c>
      <c r="T5" s="26" t="s">
        <v>77</v>
      </c>
      <c r="U5" s="10">
        <f ca="1">U3*IF(B1="PCA_Parabolic",B204*(1/12),B79*(1/12))</f>
        <v>-125.82275350937033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AS5" s="6">
        <f>AS4+(AT2*(U11-AS4))</f>
        <v>-76.800000000000011</v>
      </c>
      <c r="AT5" s="6">
        <f>AT4+(AT2*(U12-AT4))</f>
        <v>19.200000000000003</v>
      </c>
      <c r="BC5">
        <v>5.235987755982989E-2</v>
      </c>
      <c r="BD5">
        <v>-40.418306837146119</v>
      </c>
      <c r="BE5">
        <v>19.791402509461257</v>
      </c>
      <c r="BF5" s="6">
        <f t="shared" si="0"/>
        <v>2.6862477285879693</v>
      </c>
      <c r="BG5" s="6">
        <f t="shared" si="1"/>
        <v>2.6338878510281396</v>
      </c>
      <c r="BH5" s="6">
        <f t="shared" si="2"/>
        <v>0.21036626187495955</v>
      </c>
      <c r="BI5" s="6">
        <f t="shared" si="3"/>
        <v>0.21036626187495955</v>
      </c>
      <c r="BV5" s="38"/>
      <c r="BW5">
        <f ca="1">B132</f>
        <v>-73.987988670835691</v>
      </c>
      <c r="BX5">
        <f ca="1">B133</f>
        <v>24.662662890278558</v>
      </c>
      <c r="CU5">
        <v>1.8325957145940461</v>
      </c>
      <c r="CV5">
        <v>1.3089969389957472</v>
      </c>
      <c r="CW5">
        <v>1.5707963267948966</v>
      </c>
      <c r="CX5">
        <v>-0.24767865190102259</v>
      </c>
      <c r="CY5">
        <v>2.0052505840714008</v>
      </c>
      <c r="CZ5">
        <v>1.3498466628678234</v>
      </c>
    </row>
    <row r="6" spans="1:113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4"/>
        <v>0</v>
      </c>
      <c r="T6" s="26" t="s">
        <v>76</v>
      </c>
      <c r="U6" s="10">
        <f ca="1">U3*IF(B1="PCA_Parabolic",B205*(1/12),B80*(1/12))</f>
        <v>34.563759175834683</v>
      </c>
      <c r="V6" s="16" t="s">
        <v>70</v>
      </c>
      <c r="W6" s="30">
        <f t="shared" ref="W6" ca="1" si="5">U6</f>
        <v>34.563759175834683</v>
      </c>
      <c r="X6">
        <f>IF(B6=0,0,-1*X5)</f>
        <v>0</v>
      </c>
      <c r="Y6">
        <f>IF(B6=0,0,Y5)</f>
        <v>0</v>
      </c>
      <c r="AA6">
        <f>U14</f>
        <v>49.477267507411923</v>
      </c>
      <c r="AB6">
        <f>U10</f>
        <v>850</v>
      </c>
      <c r="BC6">
        <v>6.9813170079773182E-2</v>
      </c>
      <c r="BD6">
        <v>-40.449399896063028</v>
      </c>
      <c r="BE6">
        <v>19.93669130091396</v>
      </c>
      <c r="BF6" s="6">
        <f t="shared" si="0"/>
        <v>2.6836574284190684</v>
      </c>
      <c r="BG6" s="6">
        <f t="shared" si="1"/>
        <v>2.6138442583392951</v>
      </c>
      <c r="BH6" s="6">
        <f t="shared" si="2"/>
        <v>0.21295656204386049</v>
      </c>
      <c r="BI6" s="6">
        <f t="shared" si="3"/>
        <v>0.21295656204386049</v>
      </c>
      <c r="BV6" s="38"/>
      <c r="CU6">
        <v>1.8325957145940461</v>
      </c>
      <c r="CV6">
        <v>1.5707963267948966</v>
      </c>
      <c r="CW6">
        <v>1.7016960206944713</v>
      </c>
      <c r="CX6">
        <v>-0.24767865190102259</v>
      </c>
      <c r="CY6">
        <v>1.3498466628678234</v>
      </c>
      <c r="CZ6">
        <v>5.8048560714903275E-2</v>
      </c>
    </row>
    <row r="7" spans="1:113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4"/>
        <v>48</v>
      </c>
      <c r="T7" s="27" t="s">
        <v>96</v>
      </c>
      <c r="U7" s="28">
        <f ca="1">IF(AND(U5=0,U6=0),0,MOD(ATAN2(U5,U6),2*PI()))</f>
        <v>2.8735035331398482</v>
      </c>
      <c r="V7" s="17" t="s">
        <v>97</v>
      </c>
      <c r="W7" s="32">
        <f ca="1">IF((U13-U7)=0,0,ATAN2(COS(U13-U7),SIN(U13-U7)))</f>
        <v>2.3110457323080705E-2</v>
      </c>
      <c r="X7" s="38">
        <f ca="1">U7+2*PI()</f>
        <v>9.1566888403194344</v>
      </c>
      <c r="AA7">
        <f ca="1">U8</f>
        <v>130.4837873034227</v>
      </c>
      <c r="AB7" s="9">
        <f ca="1">U4</f>
        <v>849.99999999977456</v>
      </c>
      <c r="BC7">
        <v>8.7266462599716474E-2</v>
      </c>
      <c r="BD7">
        <v>-40.481667359771137</v>
      </c>
      <c r="BE7">
        <v>20.082685182498178</v>
      </c>
      <c r="BF7" s="6">
        <f t="shared" si="0"/>
        <v>2.6810752615141817</v>
      </c>
      <c r="BG7" s="6">
        <f t="shared" si="1"/>
        <v>2.5938087989144654</v>
      </c>
      <c r="BH7" s="6">
        <f t="shared" si="2"/>
        <v>0.21553872894874715</v>
      </c>
      <c r="BI7" s="6">
        <f t="shared" si="3"/>
        <v>0.21553872894874715</v>
      </c>
      <c r="BV7" s="38"/>
      <c r="BW7" t="s">
        <v>208</v>
      </c>
      <c r="CU7">
        <v>1.8325957145940461</v>
      </c>
      <c r="CV7">
        <v>1.7016960206944713</v>
      </c>
      <c r="CW7">
        <v>1.7671458676442588</v>
      </c>
      <c r="CX7">
        <v>-0.24767865190102259</v>
      </c>
      <c r="CY7">
        <v>5.8048560714903275E-2</v>
      </c>
      <c r="CZ7">
        <v>-0.16147144027062546</v>
      </c>
    </row>
    <row r="8" spans="1:113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4"/>
        <v>144</v>
      </c>
      <c r="T8" s="36" t="s">
        <v>109</v>
      </c>
      <c r="U8" s="6">
        <f ca="1">SQRT(POWER(U5,2)+POWER(U6,2))</f>
        <v>130.4837873034227</v>
      </c>
      <c r="V8" s="40" t="s">
        <v>70</v>
      </c>
      <c r="X8">
        <f ca="1">DEGREES(U7)</f>
        <v>164.6396248648438</v>
      </c>
      <c r="BC8">
        <v>0.10471975511965977</v>
      </c>
      <c r="BD8">
        <v>-40.515141398683269</v>
      </c>
      <c r="BE8">
        <v>20.229448489832233</v>
      </c>
      <c r="BF8" s="6">
        <f t="shared" si="0"/>
        <v>2.6785004915817812</v>
      </c>
      <c r="BG8" s="6">
        <f t="shared" si="1"/>
        <v>2.5737807364621212</v>
      </c>
      <c r="BH8" s="6">
        <f t="shared" si="2"/>
        <v>0.21811349888114773</v>
      </c>
      <c r="BI8" s="6">
        <f t="shared" si="3"/>
        <v>0.21811349888114773</v>
      </c>
      <c r="BV8" s="38"/>
      <c r="BW8" s="1" t="s">
        <v>206</v>
      </c>
      <c r="BX8" s="1" t="s">
        <v>207</v>
      </c>
      <c r="BY8" s="1"/>
      <c r="BZ8" s="1"/>
      <c r="CA8" s="1"/>
      <c r="CB8" s="1" t="s">
        <v>204</v>
      </c>
      <c r="CC8" s="1" t="s">
        <v>205</v>
      </c>
      <c r="CD8" s="1"/>
      <c r="CE8" s="1"/>
      <c r="CG8" s="1"/>
      <c r="CN8" s="1"/>
      <c r="CO8" s="1"/>
      <c r="CP8" s="1"/>
      <c r="CQ8" s="1"/>
      <c r="CU8">
        <v>1.7671458676442588</v>
      </c>
      <c r="CV8">
        <v>1.7016960206944713</v>
      </c>
      <c r="CW8">
        <v>1.734420944169365</v>
      </c>
      <c r="CX8">
        <v>-0.16147144027062546</v>
      </c>
      <c r="CY8">
        <v>5.8048560714903275E-2</v>
      </c>
      <c r="CZ8">
        <v>-8.1829149069945206E-2</v>
      </c>
    </row>
    <row r="9" spans="1:113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4"/>
        <v>0</v>
      </c>
      <c r="T9" s="34" t="s">
        <v>98</v>
      </c>
      <c r="U9" s="35"/>
      <c r="V9" s="15"/>
      <c r="AA9" s="9">
        <f ca="1">U5-U11</f>
        <v>-77.82275350937033</v>
      </c>
      <c r="AB9" s="9">
        <f ca="1">U6-U12</f>
        <v>22.563759175834683</v>
      </c>
      <c r="AC9" s="9">
        <f ca="1">AA9+AB9</f>
        <v>-55.258994333535647</v>
      </c>
      <c r="BC9">
        <v>0.12217304763960306</v>
      </c>
      <c r="BD9">
        <v>-40.549856765348466</v>
      </c>
      <c r="BE9">
        <v>20.377047441258235</v>
      </c>
      <c r="BF9" s="6">
        <f t="shared" si="0"/>
        <v>2.6759323882976669</v>
      </c>
      <c r="BG9" s="6">
        <f t="shared" si="1"/>
        <v>2.5537593406580639</v>
      </c>
      <c r="BH9" s="6">
        <f t="shared" si="2"/>
        <v>0.220681602165262</v>
      </c>
      <c r="BI9" s="6">
        <f t="shared" si="3"/>
        <v>0.220681602165262</v>
      </c>
      <c r="BV9" s="38" t="s">
        <v>201</v>
      </c>
      <c r="BW9" s="6">
        <f ca="1">(BW5-U11)</f>
        <v>-25.987988670835691</v>
      </c>
      <c r="BX9" s="6">
        <f ca="1">(BX5-U12)</f>
        <v>12.662662890278558</v>
      </c>
      <c r="BY9" s="1"/>
      <c r="BZ9" s="1"/>
      <c r="CA9" s="1"/>
      <c r="CB9" s="6">
        <f ca="1">BW5-U5</f>
        <v>51.834764838534639</v>
      </c>
      <c r="CC9" s="6">
        <f ca="1">BX5-U6</f>
        <v>-9.9010962855561253</v>
      </c>
      <c r="CD9" s="1"/>
      <c r="CE9" s="6"/>
      <c r="CF9" s="9"/>
      <c r="CI9" s="6">
        <f ca="1">BW9-CB9</f>
        <v>-77.82275350937033</v>
      </c>
      <c r="CJ9" s="6">
        <f ca="1">BX9-CC9</f>
        <v>22.563759175834683</v>
      </c>
      <c r="CK9" s="1"/>
      <c r="CL9" s="1"/>
      <c r="CM9" s="9"/>
      <c r="CR9" s="38"/>
      <c r="CU9">
        <v>1.734420944169365</v>
      </c>
      <c r="CV9">
        <v>1.7016960206944713</v>
      </c>
      <c r="CW9">
        <v>1.7180584824319181</v>
      </c>
      <c r="CX9">
        <v>-8.1829149069945206E-2</v>
      </c>
      <c r="CY9">
        <v>5.8048560714903275E-2</v>
      </c>
      <c r="CZ9">
        <v>-2.2080339356326917E-2</v>
      </c>
    </row>
    <row r="10" spans="1:113" x14ac:dyDescent="0.25">
      <c r="E10">
        <v>0</v>
      </c>
      <c r="F10">
        <f>F9</f>
        <v>16</v>
      </c>
      <c r="G10">
        <f t="shared" si="4"/>
        <v>0</v>
      </c>
      <c r="T10" s="36" t="s">
        <v>99</v>
      </c>
      <c r="U10" s="47">
        <v>850</v>
      </c>
      <c r="V10" s="16" t="s">
        <v>68</v>
      </c>
      <c r="W10" t="str">
        <f>"+ Compression"</f>
        <v>+ Compression</v>
      </c>
      <c r="BC10">
        <v>0.13962634015954636</v>
      </c>
      <c r="BD10">
        <v>-40.585850928941987</v>
      </c>
      <c r="BE10">
        <v>20.525550231351502</v>
      </c>
      <c r="BF10" s="6">
        <f t="shared" si="0"/>
        <v>2.6733702278808571</v>
      </c>
      <c r="BG10" s="6">
        <f t="shared" si="1"/>
        <v>2.5337438877213105</v>
      </c>
      <c r="BH10" s="6">
        <f t="shared" si="2"/>
        <v>0.22324376258207179</v>
      </c>
      <c r="BI10" s="6">
        <f t="shared" si="3"/>
        <v>0.22324376258207179</v>
      </c>
      <c r="BV10" s="38" t="s">
        <v>202</v>
      </c>
      <c r="BW10" s="1">
        <f ca="1">SQRT(POWER(BW9,2)+POWER(BX9,2))</f>
        <v>28.908797737511012</v>
      </c>
      <c r="BX10" s="1"/>
      <c r="BY10" s="1"/>
      <c r="BZ10" s="1" t="s">
        <v>155</v>
      </c>
      <c r="CA10" s="39" t="s">
        <v>202</v>
      </c>
      <c r="CB10" s="1">
        <f ca="1">SQRT(POWER(CB9,2)+POWER(CC9,2))</f>
        <v>52.771910648772611</v>
      </c>
      <c r="CC10" s="1"/>
      <c r="CD10" s="1"/>
      <c r="CE10" s="1" t="s">
        <v>155</v>
      </c>
      <c r="CH10" s="39" t="s">
        <v>202</v>
      </c>
      <c r="CI10" s="1">
        <f ca="1">SQRT(POWER(CI9,2)+POWER(CJ9,2))</f>
        <v>81.027798883625593</v>
      </c>
      <c r="CJ10" s="1"/>
      <c r="CK10" s="1"/>
      <c r="CL10" s="1" t="s">
        <v>155</v>
      </c>
      <c r="CU10">
        <v>1.7180584824319181</v>
      </c>
      <c r="CV10">
        <v>1.7016960206944713</v>
      </c>
      <c r="CW10">
        <v>1.7098772515631948</v>
      </c>
      <c r="CX10">
        <v>-2.2080339356326917E-2</v>
      </c>
      <c r="CY10">
        <v>5.8048560714903275E-2</v>
      </c>
      <c r="CZ10">
        <v>1.5193694322599871E-2</v>
      </c>
    </row>
    <row r="11" spans="1:113" x14ac:dyDescent="0.25">
      <c r="A11" t="s">
        <v>10</v>
      </c>
      <c r="E11">
        <v>0</v>
      </c>
      <c r="F11">
        <v>0</v>
      </c>
      <c r="G11">
        <f t="shared" si="4"/>
        <v>0</v>
      </c>
      <c r="T11" s="36" t="s">
        <v>100</v>
      </c>
      <c r="U11" s="47">
        <v>-48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-40.623164228460141</v>
      </c>
      <c r="BE11">
        <v>20.675027134650851</v>
      </c>
      <c r="BF11" s="6">
        <f t="shared" si="0"/>
        <v>2.6708132937118676</v>
      </c>
      <c r="BG11" s="6">
        <f t="shared" si="1"/>
        <v>2.5137336610323779</v>
      </c>
      <c r="BH11" s="6">
        <f t="shared" si="2"/>
        <v>0.22580069675106129</v>
      </c>
      <c r="BI11" s="6">
        <f t="shared" si="3"/>
        <v>0.22580069675106129</v>
      </c>
      <c r="BV11" s="38" t="s">
        <v>150</v>
      </c>
      <c r="BW11" s="1">
        <f ca="1">BW9/BW10</f>
        <v>-0.89896469949404412</v>
      </c>
      <c r="BX11" s="1">
        <f ca="1">BX9/BW10</f>
        <v>0.43802108289850961</v>
      </c>
      <c r="BY11" s="1"/>
      <c r="BZ11" s="1">
        <f ca="1">ATAN2(BW11,BX11)</f>
        <v>2.6881964928585198</v>
      </c>
      <c r="CA11" s="39" t="s">
        <v>150</v>
      </c>
      <c r="CB11" s="1">
        <f ca="1">CB9/CB10</f>
        <v>0.98224157892490915</v>
      </c>
      <c r="CC11" s="1">
        <f ca="1">CC9/CB10</f>
        <v>-0.18762057624658715</v>
      </c>
      <c r="CD11" s="1"/>
      <c r="CE11" s="1">
        <f ca="1">ATAN2(CB11,CC11)</f>
        <v>-0.18873914093948144</v>
      </c>
      <c r="CF11" s="9"/>
      <c r="CG11">
        <f ca="1">ATAN2(COS(CE11-BZ11),SIN(CE11-BZ11))</f>
        <v>-2.8769356337980012</v>
      </c>
      <c r="CH11" s="39" t="s">
        <v>150</v>
      </c>
      <c r="CI11" s="1">
        <f ca="1">CI9/CI10</f>
        <v>-0.9604451136719333</v>
      </c>
      <c r="CJ11" s="1">
        <f ca="1">CJ9/CI10</f>
        <v>0.27846935850054855</v>
      </c>
      <c r="CK11" s="1"/>
      <c r="CL11" s="1">
        <f ca="1">ATAN2(CI11,CJ11)</f>
        <v>2.8593925927241566</v>
      </c>
      <c r="CM11" s="38">
        <f ca="1">ATAN2(COS(U13-CL11),SIN(U13-CL11))</f>
        <v>3.7221397738772304E-2</v>
      </c>
      <c r="CU11">
        <v>1.7180584824319181</v>
      </c>
      <c r="CV11">
        <v>1.7098772515631948</v>
      </c>
      <c r="CW11">
        <v>1.7139678669975564</v>
      </c>
      <c r="CX11">
        <v>-2.2080339356326917E-2</v>
      </c>
      <c r="CY11">
        <v>1.5193694322599871E-2</v>
      </c>
      <c r="CZ11">
        <v>-4.1111625075531677E-3</v>
      </c>
    </row>
    <row r="12" spans="1:113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12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-40.661840027084828</v>
      </c>
      <c r="BE12">
        <v>20.825550617526432</v>
      </c>
      <c r="BF12" s="6">
        <f t="shared" si="0"/>
        <v>2.6682608768674996</v>
      </c>
      <c r="BG12" s="6">
        <f t="shared" si="1"/>
        <v>2.4937279516680668</v>
      </c>
      <c r="BH12" s="6">
        <f t="shared" si="2"/>
        <v>0.22835311359542931</v>
      </c>
      <c r="BI12" s="6">
        <f t="shared" si="3"/>
        <v>0.22835311359542931</v>
      </c>
      <c r="BV12" s="38"/>
      <c r="CN12" s="1"/>
      <c r="CO12" s="1"/>
      <c r="CP12" s="1"/>
      <c r="CQ12" s="1"/>
      <c r="CU12">
        <v>1.7139678669975564</v>
      </c>
      <c r="CV12">
        <v>1.7098772515631948</v>
      </c>
      <c r="CW12">
        <v>1.7119225592803757</v>
      </c>
      <c r="CX12">
        <v>-4.1111625075531677E-3</v>
      </c>
      <c r="CY12">
        <v>1.5193694322599871E-2</v>
      </c>
      <c r="CZ12">
        <v>5.3707212482150277E-3</v>
      </c>
    </row>
    <row r="13" spans="1:113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2.8966139904629289</v>
      </c>
      <c r="V13" s="17" t="s">
        <v>97</v>
      </c>
      <c r="X13" s="38"/>
      <c r="Y13" s="9"/>
      <c r="AA13" s="48"/>
      <c r="BC13">
        <v>0.19198621771937624</v>
      </c>
      <c r="BD13">
        <v>-40.701924892682833</v>
      </c>
      <c r="BE13">
        <v>20.977195461442843</v>
      </c>
      <c r="BF13" s="6">
        <f t="shared" si="0"/>
        <v>2.6657122767626698</v>
      </c>
      <c r="BG13" s="6">
        <f t="shared" si="1"/>
        <v>2.4737260590432935</v>
      </c>
      <c r="BH13" s="6">
        <f t="shared" si="2"/>
        <v>0.23090171370025914</v>
      </c>
      <c r="BI13" s="6">
        <f t="shared" si="3"/>
        <v>0.23090171370025914</v>
      </c>
      <c r="BV13" s="38"/>
      <c r="BW13" t="s">
        <v>151</v>
      </c>
      <c r="CI13" s="9"/>
      <c r="CJ13" s="9"/>
      <c r="CU13">
        <v>1.7139678669975564</v>
      </c>
      <c r="CV13">
        <v>1.7119225592803757</v>
      </c>
      <c r="CW13">
        <v>1.712945213138966</v>
      </c>
      <c r="CX13">
        <v>-4.1111625075531677E-3</v>
      </c>
      <c r="CY13">
        <v>5.3707212482150277E-3</v>
      </c>
      <c r="CZ13">
        <v>5.8760083742503966E-4</v>
      </c>
    </row>
    <row r="14" spans="1:113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49.477267507411923</v>
      </c>
      <c r="V14" s="43" t="s">
        <v>70</v>
      </c>
      <c r="Y14" s="57"/>
      <c r="Z14" s="58" t="s">
        <v>99</v>
      </c>
      <c r="AA14" s="59" t="s">
        <v>100</v>
      </c>
      <c r="AB14" s="60" t="s">
        <v>101</v>
      </c>
      <c r="BC14">
        <v>0.20943951023931953</v>
      </c>
      <c r="BD14">
        <v>-40.743468786939729</v>
      </c>
      <c r="BE14">
        <v>21.130038895662576</v>
      </c>
      <c r="BF14" s="6">
        <f t="shared" si="0"/>
        <v>2.6631668017718084</v>
      </c>
      <c r="BG14" s="6">
        <f t="shared" si="1"/>
        <v>2.453727291532489</v>
      </c>
      <c r="BH14" s="6">
        <f t="shared" si="2"/>
        <v>0.23344718869112044</v>
      </c>
      <c r="BI14" s="6">
        <f t="shared" si="3"/>
        <v>0.23344718869112044</v>
      </c>
      <c r="BV14" s="38"/>
      <c r="BW14" t="s">
        <v>111</v>
      </c>
      <c r="BX14" s="1" t="s">
        <v>100</v>
      </c>
      <c r="BY14" s="1" t="s">
        <v>101</v>
      </c>
      <c r="BZ14" s="1" t="s">
        <v>152</v>
      </c>
      <c r="CA14" s="1" t="s">
        <v>153</v>
      </c>
      <c r="CB14" s="1" t="s">
        <v>154</v>
      </c>
      <c r="CC14" s="1" t="s">
        <v>155</v>
      </c>
      <c r="CD14" s="1"/>
      <c r="CE14" s="1"/>
      <c r="CF14" s="1" t="s">
        <v>152</v>
      </c>
      <c r="CG14" s="1" t="s">
        <v>153</v>
      </c>
      <c r="CH14" s="1" t="s">
        <v>154</v>
      </c>
      <c r="CI14" s="1" t="s">
        <v>155</v>
      </c>
      <c r="CJ14" s="1" t="s">
        <v>156</v>
      </c>
      <c r="CL14" s="1"/>
      <c r="CM14" s="1"/>
      <c r="CN14" s="1"/>
      <c r="CO14" s="1"/>
      <c r="CP14" s="1"/>
      <c r="CU14">
        <v>1.7139678669975564</v>
      </c>
      <c r="CV14">
        <v>1.712945213138966</v>
      </c>
      <c r="CW14">
        <v>1.7134565400682611</v>
      </c>
      <c r="CX14">
        <v>-4.1111625075531677E-3</v>
      </c>
      <c r="CY14">
        <v>5.8760083742503966E-4</v>
      </c>
      <c r="CZ14">
        <v>-1.7722690683505957E-3</v>
      </c>
    </row>
    <row r="15" spans="1:113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6">IF($B15=0,NA(),D15)</f>
        <v>2</v>
      </c>
      <c r="L15" s="1">
        <f t="shared" ref="L15:L24" si="7">IF($B15=0,NA(),E15)</f>
        <v>2</v>
      </c>
      <c r="T15" s="37" t="s">
        <v>103</v>
      </c>
      <c r="U15" s="6">
        <f>SQRT(POWER(U12,2)+POWER(U11,2)+POWER(U10,2))</f>
        <v>851.43878229735344</v>
      </c>
      <c r="Y15" s="61" t="s">
        <v>199</v>
      </c>
      <c r="Z15" s="10">
        <f ca="1">B115</f>
        <v>910.1105</v>
      </c>
      <c r="AA15" s="10">
        <f ca="1">C116</f>
        <v>-85.882875000000013</v>
      </c>
      <c r="AB15" s="64">
        <f ca="1">C117</f>
        <v>28.627624999999998</v>
      </c>
      <c r="BC15">
        <v>0.22689280275926282</v>
      </c>
      <c r="BD15">
        <v>-40.786525278619365</v>
      </c>
      <c r="BE15">
        <v>21.284160741492219</v>
      </c>
      <c r="BF15" s="6">
        <f t="shared" si="0"/>
        <v>2.6606237699509454</v>
      </c>
      <c r="BG15" s="6">
        <f t="shared" si="1"/>
        <v>2.4337309671916825</v>
      </c>
      <c r="BH15" s="6">
        <f t="shared" si="2"/>
        <v>0.23599022051198348</v>
      </c>
      <c r="BI15" s="6">
        <f t="shared" si="3"/>
        <v>0.23599022051198348</v>
      </c>
      <c r="BV15" s="38"/>
      <c r="BW15" s="6">
        <f t="shared" ref="BW15:BW78" si="8">BC2</f>
        <v>0</v>
      </c>
      <c r="BX15" s="9">
        <f ca="1">$BW$5-BD2</f>
        <v>-33.656200077255171</v>
      </c>
      <c r="BY15" s="9">
        <f ca="1">$BX$5-BE2</f>
        <v>5.303513034816298</v>
      </c>
      <c r="BZ15">
        <f ca="1">SQRT(POWER(BX15,2)+POWER(BY15,2))</f>
        <v>34.071499147391464</v>
      </c>
      <c r="CA15" s="6">
        <f t="shared" ref="CA15" ca="1" si="9">BX15/BZ15</f>
        <v>-0.98781095400763752</v>
      </c>
      <c r="CB15" s="6">
        <f t="shared" ref="CB15" ca="1" si="10">BY15/BZ15</f>
        <v>0.15565834106311516</v>
      </c>
      <c r="CC15" s="6">
        <f t="shared" ref="CC15" ca="1" si="11">ATAN2(CA15,CB15)</f>
        <v>2.9852987705578022</v>
      </c>
      <c r="CD15" s="6">
        <f ca="1">$BW$9-BX15</f>
        <v>7.6682114064194806</v>
      </c>
      <c r="CE15" s="9">
        <f ca="1">$BX$9-BY15</f>
        <v>7.3591498554622596</v>
      </c>
      <c r="CF15">
        <f ca="1">SQRT(POWER(CD15,2)+POWER(CE15,2))</f>
        <v>10.628196120165079</v>
      </c>
      <c r="CG15" s="6">
        <f t="shared" ref="CG15" ca="1" si="12">CD15/CF15</f>
        <v>0.72149698027028664</v>
      </c>
      <c r="CH15" s="6">
        <f t="shared" ref="CH15" ca="1" si="13">CE15/CF15</f>
        <v>0.69241758170980727</v>
      </c>
      <c r="CI15" s="6">
        <f t="shared" ref="CI15" ca="1" si="14">ATAN2(CG15,CH15)</f>
        <v>0.76483447423467699</v>
      </c>
      <c r="CJ15" s="1">
        <f ca="1">ATAN2(COS($U$13-CI15),SIN($U$13-CI15))</f>
        <v>2.131779516228252</v>
      </c>
      <c r="CK15" s="38"/>
      <c r="CL15" s="9"/>
      <c r="CM15" s="9"/>
      <c r="CN15" s="1"/>
      <c r="CO15" s="1"/>
      <c r="CP15" s="1"/>
      <c r="CQ15" s="1"/>
      <c r="CU15">
        <v>1.7134565400682611</v>
      </c>
      <c r="CV15">
        <v>1.712945213138966</v>
      </c>
      <c r="CW15">
        <v>1.7132008766036135</v>
      </c>
      <c r="CX15">
        <v>-1.7722690683505957E-3</v>
      </c>
      <c r="CY15">
        <v>5.8760083742503966E-4</v>
      </c>
      <c r="CZ15">
        <v>-5.9496318727347841E-4</v>
      </c>
    </row>
    <row r="16" spans="1:113" ht="15.75" thickBot="1" x14ac:dyDescent="0.3">
      <c r="A16">
        <v>2</v>
      </c>
      <c r="B16" s="19">
        <v>8</v>
      </c>
      <c r="C16" s="6">
        <f t="shared" ref="C16:C24" ca="1" si="15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6"/>
        <v>2</v>
      </c>
      <c r="L16" s="1">
        <f t="shared" si="7"/>
        <v>4</v>
      </c>
      <c r="T16" s="37" t="s">
        <v>104</v>
      </c>
      <c r="U16" s="39">
        <f>U10/U15</f>
        <v>0.99831017528533139</v>
      </c>
      <c r="V16" s="39">
        <f>U11/U15</f>
        <v>-5.6375162839642244E-2</v>
      </c>
      <c r="W16" s="39">
        <f>U12/U15</f>
        <v>1.4093790709910561E-2</v>
      </c>
      <c r="X16" s="38"/>
      <c r="Y16" s="62" t="s">
        <v>200</v>
      </c>
      <c r="Z16" s="63">
        <f ca="1">J115</f>
        <v>-170.64000000000001</v>
      </c>
      <c r="AA16" s="63">
        <f ca="1">K116</f>
        <v>127.98</v>
      </c>
      <c r="AB16" s="65">
        <f ca="1">K117</f>
        <v>-42.660000000000004</v>
      </c>
      <c r="BC16">
        <v>0.24434609527920612</v>
      </c>
      <c r="BD16">
        <v>-40.831151766991759</v>
      </c>
      <c r="BE16">
        <v>21.439643566834139</v>
      </c>
      <c r="BF16" s="6">
        <f t="shared" si="0"/>
        <v>2.6580825097530867</v>
      </c>
      <c r="BG16" s="6">
        <f t="shared" si="1"/>
        <v>2.4137364144738807</v>
      </c>
      <c r="BH16" s="6">
        <f t="shared" si="2"/>
        <v>0.23853148070984223</v>
      </c>
      <c r="BI16" s="6">
        <f t="shared" si="3"/>
        <v>0.23853148070984223</v>
      </c>
      <c r="BV16" s="38"/>
      <c r="BW16" s="6">
        <f t="shared" si="8"/>
        <v>1.7453292519943295E-2</v>
      </c>
      <c r="BX16" s="9">
        <f t="shared" ref="BX16:BX79" ca="1" si="16">$BW$5-BD3</f>
        <v>-33.628461238152113</v>
      </c>
      <c r="BY16" s="9">
        <f t="shared" ref="BY16:BY79" ca="1" si="17">$BX$5-BE3</f>
        <v>5.1599711184023853</v>
      </c>
      <c r="BZ16">
        <f t="shared" ref="BZ16:BZ79" ca="1" si="18">SQRT(POWER(BX16,2)+POWER(BY16,2))</f>
        <v>34.022032672793756</v>
      </c>
      <c r="CA16" s="6">
        <f t="shared" ref="CA16:CA79" ca="1" si="19">BX16/BZ16</f>
        <v>-0.98843186594913923</v>
      </c>
      <c r="CB16" s="6">
        <f t="shared" ref="CB16:CB79" ca="1" si="20">BY16/BZ16</f>
        <v>0.15166557413039686</v>
      </c>
      <c r="CC16" s="6">
        <f t="shared" ref="CC16:CC79" ca="1" si="21">ATAN2(CA16,CB16)</f>
        <v>2.9893395305895734</v>
      </c>
      <c r="CD16" s="6">
        <f t="shared" ref="CD16:CD79" ca="1" si="22">$BW$9-BX16</f>
        <v>7.6404725673164222</v>
      </c>
      <c r="CE16" s="9">
        <f t="shared" ref="CE16:CE79" ca="1" si="23">$BX$9-BY16</f>
        <v>7.5026917718761723</v>
      </c>
      <c r="CF16">
        <f t="shared" ref="CF16:CF79" ca="1" si="24">SQRT(POWER(CD16,2)+POWER(CE16,2))</f>
        <v>10.708277400015991</v>
      </c>
      <c r="CG16" s="6">
        <f t="shared" ref="CG16:CG79" ca="1" si="25">CD16/CF16</f>
        <v>0.71351089273285095</v>
      </c>
      <c r="CH16" s="6">
        <f t="shared" ref="CH16:CH79" ca="1" si="26">CE16/CF16</f>
        <v>0.70064413645699619</v>
      </c>
      <c r="CI16" s="6">
        <f t="shared" ref="CI16:CI79" ca="1" si="27">ATAN2(CG16,CH16)</f>
        <v>0.77629986725880484</v>
      </c>
      <c r="CJ16" s="1">
        <f t="shared" ref="CJ16:CJ79" ca="1" si="28">ATAN2(COS($U$13-CI16),SIN($U$13-CI16))</f>
        <v>2.1203141232041238</v>
      </c>
      <c r="CK16" s="38"/>
      <c r="CU16">
        <v>1.7132008766036135</v>
      </c>
      <c r="CV16">
        <v>1.712945213138966</v>
      </c>
      <c r="CW16">
        <v>1.7130730448712899</v>
      </c>
      <c r="CX16">
        <v>-5.9496318727347841E-4</v>
      </c>
      <c r="CY16">
        <v>5.8760083742503966E-4</v>
      </c>
      <c r="CZ16">
        <v>-4.3393223054799535E-6</v>
      </c>
    </row>
    <row r="17" spans="1:104" x14ac:dyDescent="0.25">
      <c r="A17">
        <v>3</v>
      </c>
      <c r="B17" s="19">
        <v>8</v>
      </c>
      <c r="C17" s="6">
        <f t="shared" ca="1" si="15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6"/>
        <v>4</v>
      </c>
      <c r="L17" s="1">
        <f t="shared" si="7"/>
        <v>2</v>
      </c>
      <c r="BC17">
        <v>0.26179938779914941</v>
      </c>
      <c r="BD17">
        <v>-40.877409737266277</v>
      </c>
      <c r="BE17">
        <v>21.596572853847515</v>
      </c>
      <c r="BF17" s="6">
        <f t="shared" si="0"/>
        <v>2.6555423609102071</v>
      </c>
      <c r="BG17" s="6">
        <f t="shared" si="1"/>
        <v>2.3937429731110575</v>
      </c>
      <c r="BH17" s="6">
        <f t="shared" si="2"/>
        <v>0.24107162955272177</v>
      </c>
      <c r="BI17" s="6">
        <f t="shared" si="3"/>
        <v>0.24107162955272177</v>
      </c>
      <c r="BV17" s="38"/>
      <c r="BW17" s="6">
        <f t="shared" si="8"/>
        <v>3.4906585039886591E-2</v>
      </c>
      <c r="BX17" s="9">
        <f t="shared" ca="1" si="16"/>
        <v>-33.599630199258897</v>
      </c>
      <c r="BY17" s="9">
        <f t="shared" ca="1" si="17"/>
        <v>5.0159066192385744</v>
      </c>
      <c r="BZ17">
        <f t="shared" ca="1" si="18"/>
        <v>33.971965923977258</v>
      </c>
      <c r="CA17" s="6">
        <f t="shared" ca="1" si="19"/>
        <v>-0.9890399123338468</v>
      </c>
      <c r="CB17" s="6">
        <f t="shared" ca="1" si="20"/>
        <v>0.14764840605525187</v>
      </c>
      <c r="CC17" s="6">
        <f t="shared" ca="1" si="21"/>
        <v>2.9934024584079961</v>
      </c>
      <c r="CD17" s="6">
        <f t="shared" ca="1" si="22"/>
        <v>7.6116415284232062</v>
      </c>
      <c r="CE17" s="9">
        <f t="shared" ca="1" si="23"/>
        <v>7.6467562710399832</v>
      </c>
      <c r="CF17">
        <f t="shared" ca="1" si="24"/>
        <v>10.789345124978905</v>
      </c>
      <c r="CG17" s="6">
        <f t="shared" ca="1" si="25"/>
        <v>0.70547762076876641</v>
      </c>
      <c r="CH17" s="6">
        <f t="shared" ca="1" si="26"/>
        <v>0.7087321966684178</v>
      </c>
      <c r="CI17" s="6">
        <f t="shared" ca="1" si="27"/>
        <v>0.7876994981173433</v>
      </c>
      <c r="CJ17" s="1">
        <f t="shared" ca="1" si="28"/>
        <v>2.1089144923455851</v>
      </c>
      <c r="CK17" s="38"/>
      <c r="CU17">
        <v>1.7130730448712899</v>
      </c>
      <c r="CV17">
        <v>1.712945213138966</v>
      </c>
      <c r="CW17">
        <v>1.7130091290051279</v>
      </c>
      <c r="CX17">
        <v>-4.3393223054799535E-6</v>
      </c>
      <c r="CY17">
        <v>5.8760083742503966E-4</v>
      </c>
      <c r="CZ17">
        <v>2.9146610903074688E-4</v>
      </c>
    </row>
    <row r="18" spans="1:104" x14ac:dyDescent="0.25">
      <c r="A18">
        <v>4</v>
      </c>
      <c r="B18" s="19">
        <v>8</v>
      </c>
      <c r="C18" s="6">
        <f t="shared" ca="1" si="15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6"/>
        <v>4</v>
      </c>
      <c r="L18" s="1">
        <f t="shared" si="7"/>
        <v>4</v>
      </c>
      <c r="T18" s="8" t="s">
        <v>105</v>
      </c>
      <c r="U18" s="6">
        <f ca="1">SQRT(POWER(U6,2)+POWER(U5,2)+POWER(U4,2))</f>
        <v>859.95698656889908</v>
      </c>
      <c r="BC18">
        <v>0.27925268031909273</v>
      </c>
      <c r="BD18">
        <v>-40.925365031278403</v>
      </c>
      <c r="BE18">
        <v>21.755037178338796</v>
      </c>
      <c r="BF18" s="6">
        <f t="shared" si="0"/>
        <v>2.6530026753496965</v>
      </c>
      <c r="BG18" s="6">
        <f t="shared" si="1"/>
        <v>2.3737499950306038</v>
      </c>
      <c r="BH18" s="6">
        <f t="shared" si="2"/>
        <v>0.24361131511323242</v>
      </c>
      <c r="BI18" s="6">
        <f t="shared" si="3"/>
        <v>0.24361131511323242</v>
      </c>
      <c r="BV18" s="38"/>
      <c r="BW18" s="6">
        <f t="shared" si="8"/>
        <v>5.235987755982989E-2</v>
      </c>
      <c r="BX18" s="9">
        <f t="shared" ca="1" si="16"/>
        <v>-33.569681833689572</v>
      </c>
      <c r="BY18" s="9">
        <f t="shared" ca="1" si="17"/>
        <v>4.8712603808173007</v>
      </c>
      <c r="BZ18">
        <f t="shared" ca="1" si="18"/>
        <v>33.921272324499682</v>
      </c>
      <c r="CA18" s="6">
        <f t="shared" ca="1" si="19"/>
        <v>-0.98963510308673852</v>
      </c>
      <c r="CB18" s="6">
        <f t="shared" ca="1" si="20"/>
        <v>0.14360488410392044</v>
      </c>
      <c r="CC18" s="6">
        <f t="shared" ca="1" si="21"/>
        <v>2.9974895533489221</v>
      </c>
      <c r="CD18" s="6">
        <f t="shared" ca="1" si="22"/>
        <v>7.5816931628538811</v>
      </c>
      <c r="CE18" s="9">
        <f t="shared" ca="1" si="23"/>
        <v>7.7914025094612569</v>
      </c>
      <c r="CF18">
        <f t="shared" ca="1" si="24"/>
        <v>10.871431565350742</v>
      </c>
      <c r="CG18" s="6">
        <f t="shared" ca="1" si="25"/>
        <v>0.69739602528687539</v>
      </c>
      <c r="CH18" s="6">
        <f t="shared" ca="1" si="26"/>
        <v>0.71668597301333292</v>
      </c>
      <c r="CI18" s="6">
        <f t="shared" ca="1" si="27"/>
        <v>0.79903863923664908</v>
      </c>
      <c r="CJ18" s="1">
        <f t="shared" ca="1" si="28"/>
        <v>2.09757535122628</v>
      </c>
      <c r="CK18" s="38"/>
      <c r="CU18">
        <v>1.7130730448712899</v>
      </c>
      <c r="CV18">
        <v>1.7130091290051279</v>
      </c>
      <c r="CW18">
        <v>1.7130410869382089</v>
      </c>
      <c r="CX18">
        <v>-4.3393223054799535E-6</v>
      </c>
      <c r="CY18">
        <v>2.9146610903074688E-4</v>
      </c>
      <c r="CZ18">
        <v>1.4352224505476127E-4</v>
      </c>
    </row>
    <row r="19" spans="1:104" x14ac:dyDescent="0.25">
      <c r="A19">
        <v>5</v>
      </c>
      <c r="B19" s="19">
        <v>0</v>
      </c>
      <c r="C19" s="6">
        <f t="shared" ca="1" si="15"/>
        <v>0</v>
      </c>
      <c r="D19" s="2">
        <v>2</v>
      </c>
      <c r="E19" s="2">
        <v>8.66</v>
      </c>
      <c r="G19" s="1">
        <v>7</v>
      </c>
      <c r="H19" s="6">
        <v>0.875</v>
      </c>
      <c r="I19" s="6">
        <v>0.6</v>
      </c>
      <c r="K19" s="1" t="e">
        <f t="shared" si="6"/>
        <v>#N/A</v>
      </c>
      <c r="L19" s="1" t="e">
        <f t="shared" si="7"/>
        <v>#N/A</v>
      </c>
      <c r="T19" s="8" t="s">
        <v>106</v>
      </c>
      <c r="U19" s="39">
        <f ca="1">U4/U18</f>
        <v>0.98842152953620221</v>
      </c>
      <c r="V19" s="39">
        <f ca="1">U5/U18</f>
        <v>-0.14631284526378985</v>
      </c>
      <c r="W19" s="39">
        <f ca="1">U6/U18</f>
        <v>4.0192427895421795E-2</v>
      </c>
      <c r="X19" s="38"/>
      <c r="BC19">
        <v>0.29670597283903605</v>
      </c>
      <c r="BD19">
        <v>-40.97508814248696</v>
      </c>
      <c r="BE19">
        <v>21.915128402467175</v>
      </c>
      <c r="BF19" s="6">
        <f t="shared" si="0"/>
        <v>2.6504628182145185</v>
      </c>
      <c r="BG19" s="6">
        <f t="shared" si="1"/>
        <v>2.3537568453754822</v>
      </c>
      <c r="BH19" s="6">
        <f t="shared" si="2"/>
        <v>0.24615117224841043</v>
      </c>
      <c r="BI19" s="6">
        <f t="shared" si="3"/>
        <v>0.24615117224841043</v>
      </c>
      <c r="BV19" s="38"/>
      <c r="BW19" s="6">
        <f t="shared" si="8"/>
        <v>6.9813170079773182E-2</v>
      </c>
      <c r="BX19" s="9">
        <f t="shared" ca="1" si="16"/>
        <v>-33.538588774772663</v>
      </c>
      <c r="BY19" s="9">
        <f t="shared" ca="1" si="17"/>
        <v>4.7259715893645975</v>
      </c>
      <c r="BZ19">
        <f t="shared" ca="1" si="18"/>
        <v>33.869923892249716</v>
      </c>
      <c r="CA19" s="6">
        <f t="shared" ca="1" si="19"/>
        <v>-0.99021742361951781</v>
      </c>
      <c r="CB19" s="6">
        <f t="shared" ca="1" si="20"/>
        <v>0.13953298520537916</v>
      </c>
      <c r="CC19" s="6">
        <f t="shared" ca="1" si="21"/>
        <v>3.0016028831069845</v>
      </c>
      <c r="CD19" s="6">
        <f t="shared" ca="1" si="22"/>
        <v>7.5506001039369721</v>
      </c>
      <c r="CE19" s="9">
        <f t="shared" ca="1" si="23"/>
        <v>7.9366913009139601</v>
      </c>
      <c r="CF19">
        <f t="shared" ca="1" si="24"/>
        <v>10.954571225546728</v>
      </c>
      <c r="CG19" s="6">
        <f t="shared" ca="1" si="25"/>
        <v>0.68926477800687558</v>
      </c>
      <c r="CH19" s="6">
        <f t="shared" ca="1" si="26"/>
        <v>0.72450953465025747</v>
      </c>
      <c r="CI19" s="6">
        <f t="shared" ca="1" si="27"/>
        <v>0.81032255035008149</v>
      </c>
      <c r="CJ19" s="1">
        <f t="shared" ca="1" si="28"/>
        <v>2.0862914401128476</v>
      </c>
      <c r="CK19" s="38"/>
      <c r="CU19">
        <v>1.7130730448712899</v>
      </c>
      <c r="CV19">
        <v>1.7130410869382089</v>
      </c>
      <c r="CW19">
        <v>1.7130570659047493</v>
      </c>
      <c r="CX19">
        <v>-4.3393223054799535E-6</v>
      </c>
      <c r="CY19">
        <v>1.4352224505476127E-4</v>
      </c>
      <c r="CZ19">
        <v>6.9581174563460024E-5</v>
      </c>
    </row>
    <row r="20" spans="1:104" x14ac:dyDescent="0.25">
      <c r="A20">
        <v>6</v>
      </c>
      <c r="B20" s="19">
        <v>0</v>
      </c>
      <c r="C20" s="6">
        <f t="shared" ca="1" si="15"/>
        <v>0</v>
      </c>
      <c r="D20" s="2">
        <v>10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6"/>
        <v>#N/A</v>
      </c>
      <c r="L20" s="1" t="e">
        <f t="shared" si="7"/>
        <v>#N/A</v>
      </c>
      <c r="BC20">
        <v>0.31415926535897937</v>
      </c>
      <c r="BD20">
        <v>-41.026654549228041</v>
      </c>
      <c r="BE20">
        <v>22.076941882681361</v>
      </c>
      <c r="BF20" s="6">
        <f t="shared" si="0"/>
        <v>2.6479221691021508</v>
      </c>
      <c r="BG20" s="6">
        <f t="shared" si="1"/>
        <v>2.3337629037431715</v>
      </c>
      <c r="BH20" s="6">
        <f t="shared" si="2"/>
        <v>0.24869182136077808</v>
      </c>
      <c r="BI20" s="6">
        <f t="shared" si="3"/>
        <v>0.24869182136077808</v>
      </c>
      <c r="BV20" s="38"/>
      <c r="BW20" s="6">
        <f t="shared" si="8"/>
        <v>8.7266462599716474E-2</v>
      </c>
      <c r="BX20" s="9">
        <f t="shared" ca="1" si="16"/>
        <v>-33.506321311064553</v>
      </c>
      <c r="BY20" s="9">
        <f t="shared" ca="1" si="17"/>
        <v>4.5799777077803796</v>
      </c>
      <c r="BZ20">
        <f t="shared" ca="1" si="18"/>
        <v>33.817891176181639</v>
      </c>
      <c r="CA20" s="6">
        <f t="shared" ca="1" si="19"/>
        <v>-0.99078683341034202</v>
      </c>
      <c r="CB20" s="6">
        <f t="shared" ca="1" si="20"/>
        <v>0.13543061227324887</v>
      </c>
      <c r="CC20" s="6">
        <f t="shared" ca="1" si="21"/>
        <v>3.0057445875514106</v>
      </c>
      <c r="CD20" s="6">
        <f t="shared" ca="1" si="22"/>
        <v>7.5183326402288628</v>
      </c>
      <c r="CE20" s="9">
        <f t="shared" ca="1" si="23"/>
        <v>8.082685182498178</v>
      </c>
      <c r="CF20">
        <f t="shared" ca="1" si="24"/>
        <v>11.038800906280823</v>
      </c>
      <c r="CG20" s="6">
        <f t="shared" ca="1" si="25"/>
        <v>0.68108236610654926</v>
      </c>
      <c r="CH20" s="6">
        <f t="shared" ca="1" si="26"/>
        <v>0.73220680861263809</v>
      </c>
      <c r="CI20" s="6">
        <f t="shared" ca="1" si="27"/>
        <v>0.82155648190505881</v>
      </c>
      <c r="CJ20" s="1">
        <f t="shared" ca="1" si="28"/>
        <v>2.0750575085578697</v>
      </c>
      <c r="CK20" s="38"/>
      <c r="CU20">
        <v>1.7130730448712899</v>
      </c>
      <c r="CV20">
        <v>1.7130570659047493</v>
      </c>
      <c r="CW20">
        <v>1.7130650553880196</v>
      </c>
      <c r="CX20">
        <v>-4.3393223054799535E-6</v>
      </c>
      <c r="CY20">
        <v>6.9581174563460024E-5</v>
      </c>
      <c r="CZ20">
        <v>3.2618356213376387E-5</v>
      </c>
    </row>
    <row r="21" spans="1:104" x14ac:dyDescent="0.25">
      <c r="A21">
        <v>7</v>
      </c>
      <c r="B21" s="19">
        <v>0</v>
      </c>
      <c r="C21" s="6">
        <f t="shared" ca="1" si="15"/>
        <v>0</v>
      </c>
      <c r="D21" s="2">
        <v>2</v>
      </c>
      <c r="E21" s="2">
        <v>15.33</v>
      </c>
      <c r="G21" s="1">
        <v>9</v>
      </c>
      <c r="H21" s="6">
        <v>1.1279999999999999</v>
      </c>
      <c r="I21" s="6">
        <v>1</v>
      </c>
      <c r="K21" s="1" t="e">
        <f t="shared" si="6"/>
        <v>#N/A</v>
      </c>
      <c r="L21" s="1" t="e">
        <f t="shared" si="7"/>
        <v>#N/A</v>
      </c>
      <c r="T21" s="8" t="s">
        <v>107</v>
      </c>
      <c r="U21" s="39">
        <f ca="1">U16-U19</f>
        <v>9.8886457491291768E-3</v>
      </c>
      <c r="V21" s="39">
        <f t="shared" ref="V21:W21" ca="1" si="29">V16-V19</f>
        <v>8.9937682424147597E-2</v>
      </c>
      <c r="W21" s="39">
        <f t="shared" ca="1" si="29"/>
        <v>-2.6098637185511232E-2</v>
      </c>
      <c r="BC21">
        <v>0.33161255787892269</v>
      </c>
      <c r="BD21">
        <v>-41.080145067440839</v>
      </c>
      <c r="BE21">
        <v>22.240576691744611</v>
      </c>
      <c r="BF21" s="6">
        <f t="shared" si="0"/>
        <v>2.6453801233645393</v>
      </c>
      <c r="BG21" s="6">
        <f t="shared" si="1"/>
        <v>2.3137675654856165</v>
      </c>
      <c r="BH21" s="6">
        <f t="shared" si="2"/>
        <v>0.25123386709838957</v>
      </c>
      <c r="BI21" s="6">
        <f t="shared" si="3"/>
        <v>0.25123386709838957</v>
      </c>
      <c r="BV21" s="38"/>
      <c r="BW21" s="6">
        <f t="shared" si="8"/>
        <v>0.10471975511965977</v>
      </c>
      <c r="BX21" s="9">
        <f t="shared" ca="1" si="16"/>
        <v>-33.472847272152421</v>
      </c>
      <c r="BY21" s="9">
        <f t="shared" ca="1" si="17"/>
        <v>4.4332144004463245</v>
      </c>
      <c r="BZ21">
        <f t="shared" ca="1" si="18"/>
        <v>33.765143186800884</v>
      </c>
      <c r="CA21" s="6">
        <f t="shared" ca="1" si="19"/>
        <v>-0.99134326447154753</v>
      </c>
      <c r="CB21" s="6">
        <f t="shared" ca="1" si="20"/>
        <v>0.13129559012737463</v>
      </c>
      <c r="CC21" s="6">
        <f t="shared" ca="1" si="21"/>
        <v>3.0099168829539531</v>
      </c>
      <c r="CD21" s="6">
        <f t="shared" ca="1" si="22"/>
        <v>7.4848586013167306</v>
      </c>
      <c r="CE21" s="9">
        <f t="shared" ca="1" si="23"/>
        <v>8.2294484898322331</v>
      </c>
      <c r="CF21">
        <f t="shared" ca="1" si="24"/>
        <v>11.124159776293537</v>
      </c>
      <c r="CG21" s="6">
        <f t="shared" ca="1" si="25"/>
        <v>0.67284709603574333</v>
      </c>
      <c r="CH21" s="6">
        <f t="shared" ca="1" si="26"/>
        <v>0.73978157949239798</v>
      </c>
      <c r="CI21" s="6">
        <f t="shared" ca="1" si="27"/>
        <v>0.83274567907147345</v>
      </c>
      <c r="CJ21" s="1">
        <f t="shared" ca="1" si="28"/>
        <v>2.0638683113914555</v>
      </c>
      <c r="CK21" s="38"/>
      <c r="CU21">
        <v>1.7130730448712899</v>
      </c>
      <c r="CV21">
        <v>1.7130650553880196</v>
      </c>
      <c r="CW21">
        <v>1.7130690501296546</v>
      </c>
      <c r="CX21">
        <v>-4.3393223054799535E-6</v>
      </c>
      <c r="CY21">
        <v>3.2618356213376387E-5</v>
      </c>
      <c r="CZ21">
        <v>1.4138874893099285E-5</v>
      </c>
    </row>
    <row r="22" spans="1:104" x14ac:dyDescent="0.25">
      <c r="A22">
        <v>8</v>
      </c>
      <c r="B22" s="19">
        <v>0</v>
      </c>
      <c r="C22" s="6">
        <f t="shared" ca="1" si="15"/>
        <v>0</v>
      </c>
      <c r="D22" s="2">
        <v>10</v>
      </c>
      <c r="E22" s="2">
        <v>15.33</v>
      </c>
      <c r="G22" s="1">
        <v>10</v>
      </c>
      <c r="H22" s="6">
        <v>1.27</v>
      </c>
      <c r="I22" s="6">
        <v>1.27</v>
      </c>
      <c r="K22" s="1" t="e">
        <f t="shared" si="6"/>
        <v>#N/A</v>
      </c>
      <c r="L22" s="1" t="e">
        <f t="shared" si="7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-41.13564623784486</v>
      </c>
      <c r="BE22">
        <v>22.406135857169492</v>
      </c>
      <c r="BF22" s="6">
        <f t="shared" si="0"/>
        <v>2.6428360935867738</v>
      </c>
      <c r="BG22" s="6">
        <f t="shared" si="1"/>
        <v>2.2937702431879079</v>
      </c>
      <c r="BH22" s="6">
        <f t="shared" si="2"/>
        <v>0.25377789687615504</v>
      </c>
      <c r="BI22" s="6">
        <f t="shared" si="3"/>
        <v>0.25377789687615504</v>
      </c>
      <c r="BV22" s="38"/>
      <c r="BW22" s="6">
        <f t="shared" si="8"/>
        <v>0.12217304763960306</v>
      </c>
      <c r="BX22" s="9">
        <f t="shared" ca="1" si="16"/>
        <v>-33.438131905487225</v>
      </c>
      <c r="BY22" s="9">
        <f t="shared" ca="1" si="17"/>
        <v>4.2856154490203231</v>
      </c>
      <c r="BZ22">
        <f t="shared" ca="1" si="18"/>
        <v>33.711647321150657</v>
      </c>
      <c r="CA22" s="6">
        <f t="shared" ca="1" si="19"/>
        <v>-0.99188661968791336</v>
      </c>
      <c r="CB22" s="6">
        <f t="shared" ca="1" si="20"/>
        <v>0.12712566099763187</v>
      </c>
      <c r="CC22" s="6">
        <f t="shared" ca="1" si="21"/>
        <v>3.0141220666475945</v>
      </c>
      <c r="CD22" s="6">
        <f t="shared" ca="1" si="22"/>
        <v>7.4501432346515344</v>
      </c>
      <c r="CE22" s="9">
        <f t="shared" ca="1" si="23"/>
        <v>8.3770474412582345</v>
      </c>
      <c r="CF22">
        <f t="shared" ca="1" si="24"/>
        <v>11.210689454708625</v>
      </c>
      <c r="CG22" s="6">
        <f t="shared" ca="1" si="25"/>
        <v>0.66455709657735496</v>
      </c>
      <c r="CH22" s="6">
        <f t="shared" ca="1" si="26"/>
        <v>0.74723748928213984</v>
      </c>
      <c r="CI22" s="6">
        <f t="shared" ca="1" si="27"/>
        <v>0.84389538622813021</v>
      </c>
      <c r="CJ22" s="1">
        <f t="shared" ca="1" si="28"/>
        <v>2.0527186042347987</v>
      </c>
      <c r="CK22" s="38"/>
      <c r="CU22">
        <v>1.7130730448712899</v>
      </c>
      <c r="CV22">
        <v>1.7130690501296546</v>
      </c>
      <c r="CW22">
        <v>1.7130710475004722</v>
      </c>
      <c r="CX22">
        <v>-4.3393223054799535E-6</v>
      </c>
      <c r="CY22">
        <v>1.4138874893099285E-5</v>
      </c>
      <c r="CZ22">
        <v>4.8996138346524268E-6</v>
      </c>
    </row>
    <row r="23" spans="1:104" x14ac:dyDescent="0.25">
      <c r="A23">
        <v>9</v>
      </c>
      <c r="B23" s="19">
        <v>0</v>
      </c>
      <c r="C23" s="6">
        <f t="shared" ca="1" si="15"/>
        <v>0</v>
      </c>
      <c r="D23" s="2">
        <v>8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6"/>
        <v>#N/A</v>
      </c>
      <c r="L23" s="1" t="e">
        <f t="shared" si="7"/>
        <v>#N/A</v>
      </c>
      <c r="T23" s="8" t="s">
        <v>108</v>
      </c>
      <c r="U23" s="39">
        <f ca="1">SQRT(POWER(U21,2)+POWER(V21,2)+POWER(W21,2))</f>
        <v>9.4168523921316444E-2</v>
      </c>
      <c r="V23" t="str">
        <f ca="1">IF(ABS(U23)&lt;=L1,"","NG")</f>
        <v>NG</v>
      </c>
      <c r="BC23">
        <v>0.36651914291880933</v>
      </c>
      <c r="BD23">
        <v>-41.193250762623222</v>
      </c>
      <c r="BE23">
        <v>22.573726618155703</v>
      </c>
      <c r="BF23" s="6">
        <f t="shared" si="0"/>
        <v>2.6402895113706841</v>
      </c>
      <c r="BG23" s="6">
        <f t="shared" si="1"/>
        <v>2.2737703684518746</v>
      </c>
      <c r="BH23" s="6">
        <f t="shared" si="2"/>
        <v>0.25632447909224476</v>
      </c>
      <c r="BI23" s="6">
        <f t="shared" si="3"/>
        <v>0.25632447909224476</v>
      </c>
      <c r="BV23" s="38"/>
      <c r="BW23" s="6">
        <f t="shared" si="8"/>
        <v>0.13962634015954636</v>
      </c>
      <c r="BX23" s="9">
        <f t="shared" ca="1" si="16"/>
        <v>-33.402137741893704</v>
      </c>
      <c r="BY23" s="9">
        <f t="shared" ca="1" si="17"/>
        <v>4.1371126589270553</v>
      </c>
      <c r="BZ23">
        <f t="shared" ca="1" si="18"/>
        <v>33.657369280457651</v>
      </c>
      <c r="CA23" s="6">
        <f t="shared" ca="1" si="19"/>
        <v>-0.99241677100675418</v>
      </c>
      <c r="CB23" s="6">
        <f t="shared" ca="1" si="20"/>
        <v>0.12291847958922836</v>
      </c>
      <c r="CC23" s="6">
        <f t="shared" ca="1" si="21"/>
        <v>3.0183625221382799</v>
      </c>
      <c r="CD23" s="6">
        <f t="shared" ca="1" si="22"/>
        <v>7.4141490710580129</v>
      </c>
      <c r="CE23" s="9">
        <f t="shared" ca="1" si="23"/>
        <v>8.5255502313515024</v>
      </c>
      <c r="CF23">
        <f t="shared" ca="1" si="24"/>
        <v>11.298434103678618</v>
      </c>
      <c r="CG23" s="6">
        <f t="shared" ca="1" si="25"/>
        <v>0.65621032109609467</v>
      </c>
      <c r="CH23" s="6">
        <f t="shared" ca="1" si="26"/>
        <v>0.75457803737384266</v>
      </c>
      <c r="CI23" s="6">
        <f t="shared" ca="1" si="27"/>
        <v>0.85501085200064042</v>
      </c>
      <c r="CJ23" s="1">
        <f t="shared" ca="1" si="28"/>
        <v>2.0416031384622881</v>
      </c>
      <c r="CK23" s="38"/>
      <c r="CU23">
        <v>1.7130730448712899</v>
      </c>
      <c r="CV23">
        <v>1.7130710475004722</v>
      </c>
      <c r="CW23">
        <v>1.713072046185881</v>
      </c>
      <c r="CX23">
        <v>-4.3393223054799535E-6</v>
      </c>
      <c r="CY23">
        <v>4.8996138346524268E-6</v>
      </c>
      <c r="CZ23">
        <v>2.8010670893863221E-7</v>
      </c>
    </row>
    <row r="24" spans="1:104" ht="15.75" thickBot="1" x14ac:dyDescent="0.3">
      <c r="A24">
        <v>10</v>
      </c>
      <c r="B24" s="19">
        <v>0</v>
      </c>
      <c r="C24" s="11">
        <f t="shared" ca="1" si="15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6"/>
        <v>#N/A</v>
      </c>
      <c r="L24" s="1" t="e">
        <f t="shared" si="7"/>
        <v>#N/A</v>
      </c>
      <c r="BC24">
        <v>0.38397243543875265</v>
      </c>
      <c r="BD24">
        <v>-41.253057969575174</v>
      </c>
      <c r="BE24">
        <v>22.743460700083052</v>
      </c>
      <c r="BF24" s="6">
        <f t="shared" si="0"/>
        <v>2.6377398292288174</v>
      </c>
      <c r="BG24" s="6">
        <f t="shared" si="1"/>
        <v>2.2537673937900649</v>
      </c>
      <c r="BH24" s="6">
        <f t="shared" si="2"/>
        <v>0.25887416123411139</v>
      </c>
      <c r="BI24" s="6">
        <f t="shared" si="3"/>
        <v>0.25887416123411139</v>
      </c>
      <c r="BV24" s="38"/>
      <c r="BW24" s="6">
        <f t="shared" si="8"/>
        <v>0.15707963267948966</v>
      </c>
      <c r="BX24" s="9">
        <f t="shared" ca="1" si="16"/>
        <v>-33.36482444237555</v>
      </c>
      <c r="BY24" s="9">
        <f t="shared" ca="1" si="17"/>
        <v>3.9876357556277071</v>
      </c>
      <c r="BZ24">
        <f t="shared" ca="1" si="18"/>
        <v>33.602272973566855</v>
      </c>
      <c r="CA24" s="6">
        <f t="shared" ca="1" si="19"/>
        <v>-0.99293355745969647</v>
      </c>
      <c r="CB24" s="6">
        <f t="shared" ca="1" si="20"/>
        <v>0.11867160768453286</v>
      </c>
      <c r="CC24" s="6">
        <f t="shared" ca="1" si="21"/>
        <v>3.0226407246965423</v>
      </c>
      <c r="CD24" s="6">
        <f t="shared" ca="1" si="22"/>
        <v>7.3768357715398594</v>
      </c>
      <c r="CE24" s="9">
        <f t="shared" ca="1" si="23"/>
        <v>8.6750271346508505</v>
      </c>
      <c r="CF24">
        <f t="shared" ca="1" si="24"/>
        <v>11.387440528371537</v>
      </c>
      <c r="CG24" s="6">
        <f t="shared" ca="1" si="25"/>
        <v>0.64780454863062942</v>
      </c>
      <c r="CH24" s="6">
        <f t="shared" ca="1" si="26"/>
        <v>0.76180658094654607</v>
      </c>
      <c r="CI24" s="6">
        <f t="shared" ca="1" si="27"/>
        <v>0.86609733529456423</v>
      </c>
      <c r="CJ24" s="1">
        <f t="shared" ca="1" si="28"/>
        <v>2.0305166551683644</v>
      </c>
      <c r="CK24" s="38"/>
      <c r="CU24">
        <v>1.7130730448712899</v>
      </c>
      <c r="CV24">
        <v>1.713072046185881</v>
      </c>
      <c r="CW24">
        <v>1.7130725455285853</v>
      </c>
      <c r="CX24">
        <v>-4.3393223054799535E-6</v>
      </c>
      <c r="CY24">
        <v>2.8010670893863221E-7</v>
      </c>
      <c r="CZ24">
        <v>-2.0296202887237773E-6</v>
      </c>
    </row>
    <row r="25" spans="1:104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-41.315174327751471</v>
      </c>
      <c r="BE25">
        <v>22.915454609768982</v>
      </c>
      <c r="BF25" s="6">
        <f t="shared" si="0"/>
        <v>2.6351865227854225</v>
      </c>
      <c r="BG25" s="6">
        <f t="shared" si="1"/>
        <v>2.2337607948267264</v>
      </c>
      <c r="BH25" s="6">
        <f t="shared" si="2"/>
        <v>0.26142746767750635</v>
      </c>
      <c r="BI25" s="6">
        <f t="shared" si="3"/>
        <v>0.26142746767750635</v>
      </c>
      <c r="BV25" s="38"/>
      <c r="BW25" s="6">
        <f t="shared" si="8"/>
        <v>0.17453292519943295</v>
      </c>
      <c r="BX25" s="9">
        <f t="shared" ca="1" si="16"/>
        <v>-33.326148643750862</v>
      </c>
      <c r="BY25" s="9">
        <f t="shared" ca="1" si="17"/>
        <v>3.8371122727521261</v>
      </c>
      <c r="BZ25">
        <f t="shared" ca="1" si="18"/>
        <v>33.546320424438242</v>
      </c>
      <c r="CA25" s="6">
        <f t="shared" ca="1" si="19"/>
        <v>-0.99343678299432847</v>
      </c>
      <c r="CB25" s="6">
        <f t="shared" ca="1" si="20"/>
        <v>0.11438250825139137</v>
      </c>
      <c r="CC25" s="6">
        <f t="shared" ca="1" si="21"/>
        <v>3.0269592474613485</v>
      </c>
      <c r="CD25" s="6">
        <f t="shared" ca="1" si="22"/>
        <v>7.3381599729151716</v>
      </c>
      <c r="CE25" s="9">
        <f t="shared" ca="1" si="23"/>
        <v>8.8255506175264316</v>
      </c>
      <c r="CF25">
        <f t="shared" ca="1" si="24"/>
        <v>11.477758295530341</v>
      </c>
      <c r="CG25" s="6">
        <f t="shared" ca="1" si="25"/>
        <v>0.6393373848770445</v>
      </c>
      <c r="CH25" s="6">
        <f t="shared" ca="1" si="26"/>
        <v>0.76892633476724026</v>
      </c>
      <c r="CI25" s="6">
        <f t="shared" ca="1" si="27"/>
        <v>0.87716011092576707</v>
      </c>
      <c r="CJ25" s="1">
        <f t="shared" ca="1" si="28"/>
        <v>2.0194538795371617</v>
      </c>
      <c r="CK25" s="38"/>
      <c r="CU25">
        <v>1.7130725455285853</v>
      </c>
      <c r="CV25">
        <v>1.713072046185881</v>
      </c>
      <c r="CW25">
        <v>1.7130722958572333</v>
      </c>
      <c r="CX25">
        <v>-2.0296202887237773E-6</v>
      </c>
      <c r="CY25">
        <v>2.8010670893863221E-7</v>
      </c>
      <c r="CZ25">
        <v>-8.7475757570842916E-7</v>
      </c>
    </row>
    <row r="26" spans="1:104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-41.379714014495114</v>
      </c>
      <c r="BE26">
        <v>23.089829952609932</v>
      </c>
      <c r="BF26" s="6">
        <f t="shared" si="0"/>
        <v>2.6326290932765031</v>
      </c>
      <c r="BG26" s="6">
        <f t="shared" si="1"/>
        <v>2.2137500727978638</v>
      </c>
      <c r="BH26" s="6">
        <f t="shared" si="2"/>
        <v>0.26398489718642582</v>
      </c>
      <c r="BI26" s="6">
        <f t="shared" si="3"/>
        <v>0.26398489718642582</v>
      </c>
      <c r="BV26" s="38"/>
      <c r="BW26" s="6">
        <f t="shared" si="8"/>
        <v>0.19198621771937624</v>
      </c>
      <c r="BX26" s="9">
        <f t="shared" ca="1" si="16"/>
        <v>-33.286063778152858</v>
      </c>
      <c r="BY26" s="9">
        <f t="shared" ca="1" si="17"/>
        <v>3.6854674288357145</v>
      </c>
      <c r="BZ26">
        <f t="shared" ca="1" si="18"/>
        <v>33.489471659198635</v>
      </c>
      <c r="CA26" s="6">
        <f t="shared" ca="1" si="19"/>
        <v>-0.99392621409152904</v>
      </c>
      <c r="CB26" s="6">
        <f t="shared" ca="1" si="20"/>
        <v>0.11004853902564982</v>
      </c>
      <c r="CC26" s="6">
        <f t="shared" ca="1" si="21"/>
        <v>3.0313207680911671</v>
      </c>
      <c r="CD26" s="6">
        <f t="shared" ca="1" si="22"/>
        <v>7.2980751073171675</v>
      </c>
      <c r="CE26" s="9">
        <f t="shared" ca="1" si="23"/>
        <v>8.9771954614428431</v>
      </c>
      <c r="CF26">
        <f t="shared" ca="1" si="24"/>
        <v>11.569439857875249</v>
      </c>
      <c r="CG26" s="6">
        <f t="shared" ca="1" si="25"/>
        <v>0.63080626175254384</v>
      </c>
      <c r="CH26" s="6">
        <f t="shared" ca="1" si="26"/>
        <v>0.77594037150658757</v>
      </c>
      <c r="CI26" s="6">
        <f t="shared" ca="1" si="27"/>
        <v>0.88820447659463042</v>
      </c>
      <c r="CJ26" s="1">
        <f t="shared" ca="1" si="28"/>
        <v>2.0084095138682985</v>
      </c>
      <c r="CK26" s="38"/>
      <c r="CU26">
        <v>1.7130722958572333</v>
      </c>
      <c r="CV26">
        <v>1.713072046185881</v>
      </c>
      <c r="CW26">
        <v>1.7130721710215573</v>
      </c>
      <c r="CX26">
        <v>-8.7475757570842916E-7</v>
      </c>
      <c r="CY26">
        <v>2.8010670893863221E-7</v>
      </c>
      <c r="CZ26">
        <v>-2.973275785578266E-7</v>
      </c>
    </row>
    <row r="27" spans="1:104" x14ac:dyDescent="0.25">
      <c r="A27" s="8" t="s">
        <v>15</v>
      </c>
      <c r="B27" s="33">
        <v>2.6569720474062657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-41.446799540154231</v>
      </c>
      <c r="BE27">
        <v>23.266713773405286</v>
      </c>
      <c r="BF27" s="6">
        <f t="shared" si="0"/>
        <v>2.630067070393435</v>
      </c>
      <c r="BG27" s="6">
        <f t="shared" si="1"/>
        <v>2.1937347573948522</v>
      </c>
      <c r="BH27" s="6">
        <f t="shared" si="2"/>
        <v>0.26654692006949388</v>
      </c>
      <c r="BI27" s="6">
        <f t="shared" si="3"/>
        <v>0.26654692006949388</v>
      </c>
      <c r="BV27" s="38"/>
      <c r="BW27" s="6">
        <f t="shared" si="8"/>
        <v>0.20943951023931953</v>
      </c>
      <c r="BX27" s="9">
        <f t="shared" ca="1" si="16"/>
        <v>-33.244519883895961</v>
      </c>
      <c r="BY27" s="9">
        <f t="shared" ca="1" si="17"/>
        <v>3.5326239946159816</v>
      </c>
      <c r="BZ27">
        <f t="shared" ca="1" si="18"/>
        <v>33.431684591089493</v>
      </c>
      <c r="CA27" s="6">
        <f t="shared" ca="1" si="19"/>
        <v>-0.99440157714207988</v>
      </c>
      <c r="CB27" s="6">
        <f t="shared" ca="1" si="20"/>
        <v>0.10566694552859977</v>
      </c>
      <c r="CC27" s="6">
        <f t="shared" ca="1" si="21"/>
        <v>3.035728076004776</v>
      </c>
      <c r="CD27" s="6">
        <f t="shared" ca="1" si="22"/>
        <v>7.2565312130602706</v>
      </c>
      <c r="CE27" s="9">
        <f t="shared" ca="1" si="23"/>
        <v>9.130038895662576</v>
      </c>
      <c r="CF27">
        <f t="shared" ca="1" si="24"/>
        <v>11.662540695853091</v>
      </c>
      <c r="CG27" s="6">
        <f t="shared" ca="1" si="25"/>
        <v>0.62220843659225233</v>
      </c>
      <c r="CH27" s="6">
        <f t="shared" ca="1" si="26"/>
        <v>0.78285162159468313</v>
      </c>
      <c r="CI27" s="6">
        <f t="shared" ca="1" si="27"/>
        <v>0.89923575980575821</v>
      </c>
      <c r="CJ27" s="1">
        <f t="shared" ca="1" si="28"/>
        <v>1.9973782306571704</v>
      </c>
      <c r="CK27" s="38"/>
      <c r="CU27">
        <v>1.7130721710215573</v>
      </c>
      <c r="CV27">
        <v>1.713072046185881</v>
      </c>
      <c r="CW27">
        <v>1.7130721086037193</v>
      </c>
      <c r="CX27">
        <v>-2.973275785578266E-7</v>
      </c>
      <c r="CY27">
        <v>2.8010670893863221E-7</v>
      </c>
      <c r="CZ27">
        <v>-8.6121394460292322E-9</v>
      </c>
    </row>
    <row r="28" spans="1:104" x14ac:dyDescent="0.25">
      <c r="A28" s="8" t="s">
        <v>17</v>
      </c>
      <c r="B28" s="33">
        <v>33.920721861075791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10</v>
      </c>
      <c r="BC28">
        <v>0.45378560551852593</v>
      </c>
      <c r="BD28">
        <v>-41.51656243041792</v>
      </c>
      <c r="BE28">
        <v>23.44623892239159</v>
      </c>
      <c r="BF28" s="6">
        <f t="shared" si="0"/>
        <v>2.6275000154550927</v>
      </c>
      <c r="BG28" s="6">
        <f t="shared" si="1"/>
        <v>2.1737144099365668</v>
      </c>
      <c r="BH28" s="6">
        <f t="shared" si="2"/>
        <v>0.26911397500783618</v>
      </c>
      <c r="BI28" s="6">
        <f t="shared" si="3"/>
        <v>0.26911397500783618</v>
      </c>
      <c r="BV28" s="38"/>
      <c r="BW28" s="6">
        <f t="shared" si="8"/>
        <v>0.22689280275926282</v>
      </c>
      <c r="BX28" s="9">
        <f t="shared" ca="1" si="16"/>
        <v>-33.201463392216326</v>
      </c>
      <c r="BY28" s="9">
        <f t="shared" ca="1" si="17"/>
        <v>3.3785021487863389</v>
      </c>
      <c r="BZ28">
        <f t="shared" ca="1" si="18"/>
        <v>33.372914888484559</v>
      </c>
      <c r="CA28" s="6">
        <f t="shared" ca="1" si="19"/>
        <v>-0.99486255555317427</v>
      </c>
      <c r="CB28" s="6">
        <f t="shared" ca="1" si="20"/>
        <v>0.10123485347550816</v>
      </c>
      <c r="CC28" s="6">
        <f t="shared" ca="1" si="21"/>
        <v>3.0401840802594333</v>
      </c>
      <c r="CD28" s="6">
        <f t="shared" ca="1" si="22"/>
        <v>7.2134747213806349</v>
      </c>
      <c r="CE28" s="9">
        <f t="shared" ca="1" si="23"/>
        <v>9.2841607414922187</v>
      </c>
      <c r="CF28">
        <f t="shared" ca="1" si="24"/>
        <v>11.757119469915358</v>
      </c>
      <c r="CG28" s="6">
        <f t="shared" ca="1" si="25"/>
        <v>0.61354099019226571</v>
      </c>
      <c r="CH28" s="6">
        <f t="shared" ca="1" si="26"/>
        <v>0.7896628732274894</v>
      </c>
      <c r="CI28" s="6">
        <f t="shared" ca="1" si="27"/>
        <v>0.91025932576553148</v>
      </c>
      <c r="CJ28" s="1">
        <f t="shared" ca="1" si="28"/>
        <v>1.9863546646973973</v>
      </c>
      <c r="CK28" s="38"/>
      <c r="CU28">
        <v>1.7130721086037193</v>
      </c>
      <c r="CV28">
        <v>1.713072046185881</v>
      </c>
      <c r="CW28">
        <v>1.7130720773948003</v>
      </c>
      <c r="CX28">
        <v>-8.6121394460292322E-9</v>
      </c>
      <c r="CY28">
        <v>2.8010670893863221E-7</v>
      </c>
      <c r="CZ28">
        <v>1.3574880552980059E-7</v>
      </c>
    </row>
    <row r="29" spans="1:104" x14ac:dyDescent="0.25">
      <c r="A29" s="8" t="s">
        <v>18</v>
      </c>
      <c r="B29" s="6">
        <f>B28*B4</f>
        <v>27.136577488860631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-41.589143984680682</v>
      </c>
      <c r="BE29">
        <v>23.628544449421714</v>
      </c>
      <c r="BF29" s="6">
        <f t="shared" si="0"/>
        <v>2.6249275250579029</v>
      </c>
      <c r="BG29" s="6">
        <f t="shared" si="1"/>
        <v>2.1536886270194335</v>
      </c>
      <c r="BH29" s="6">
        <f t="shared" si="2"/>
        <v>0.27168646540502595</v>
      </c>
      <c r="BI29" s="6">
        <f t="shared" si="3"/>
        <v>0.27168646540502595</v>
      </c>
      <c r="BV29" s="38"/>
      <c r="BW29" s="6">
        <f t="shared" si="8"/>
        <v>0.24434609527920612</v>
      </c>
      <c r="BX29" s="9">
        <f t="shared" ca="1" si="16"/>
        <v>-33.156836903843931</v>
      </c>
      <c r="BY29" s="9">
        <f t="shared" ca="1" si="17"/>
        <v>3.2230193234444187</v>
      </c>
      <c r="BZ29">
        <f t="shared" ca="1" si="18"/>
        <v>33.31311584087269</v>
      </c>
      <c r="CA29" s="6">
        <f t="shared" ca="1" si="19"/>
        <v>-0.99530878655196175</v>
      </c>
      <c r="CB29" s="6">
        <f t="shared" ca="1" si="20"/>
        <v>9.6749260526690695E-2</v>
      </c>
      <c r="CC29" s="6">
        <f t="shared" ca="1" si="21"/>
        <v>3.0446918181194089</v>
      </c>
      <c r="CD29" s="6">
        <f t="shared" ca="1" si="22"/>
        <v>7.1688482330082408</v>
      </c>
      <c r="CE29" s="9">
        <f t="shared" ca="1" si="23"/>
        <v>9.439643566834139</v>
      </c>
      <c r="CF29">
        <f t="shared" ca="1" si="24"/>
        <v>11.853238192864367</v>
      </c>
      <c r="CG29" s="6">
        <f t="shared" ca="1" si="25"/>
        <v>0.60480082458174822</v>
      </c>
      <c r="CH29" s="6">
        <f t="shared" ca="1" si="26"/>
        <v>0.79637677175143506</v>
      </c>
      <c r="CI29" s="6">
        <f t="shared" ca="1" si="27"/>
        <v>0.92128058512310562</v>
      </c>
      <c r="CJ29" s="1">
        <f t="shared" ca="1" si="28"/>
        <v>1.975333405339823</v>
      </c>
      <c r="CK29" s="38"/>
      <c r="CU29">
        <v>1.7130721086037193</v>
      </c>
      <c r="CV29">
        <v>1.7130720773948003</v>
      </c>
      <c r="CW29">
        <v>1.7130720929992598</v>
      </c>
      <c r="CX29">
        <v>-8.6121394460292322E-9</v>
      </c>
      <c r="CY29">
        <v>1.3574880552980059E-7</v>
      </c>
      <c r="CZ29">
        <v>6.3568323049878486E-8</v>
      </c>
    </row>
    <row r="30" spans="1:104" x14ac:dyDescent="0.25">
      <c r="A30" s="8" t="s">
        <v>102</v>
      </c>
      <c r="B30" s="1">
        <v>3.0000000000000001E-3</v>
      </c>
      <c r="BC30">
        <v>0.48869219055841256</v>
      </c>
      <c r="BD30">
        <v>-41.66469610669737</v>
      </c>
      <c r="BE30">
        <v>23.813776027867366</v>
      </c>
      <c r="BF30" s="6">
        <f t="shared" si="0"/>
        <v>2.6223492351510203</v>
      </c>
      <c r="BG30" s="6">
        <f t="shared" si="1"/>
        <v>2.1336570445926077</v>
      </c>
      <c r="BH30" s="6">
        <f t="shared" si="2"/>
        <v>0.27426475531190864</v>
      </c>
      <c r="BI30" s="6">
        <f t="shared" si="3"/>
        <v>0.27426475531190864</v>
      </c>
      <c r="BV30" s="38"/>
      <c r="BW30" s="6">
        <f t="shared" si="8"/>
        <v>0.26179938779914941</v>
      </c>
      <c r="BX30" s="9">
        <f t="shared" ca="1" si="16"/>
        <v>-33.110578933569414</v>
      </c>
      <c r="BY30" s="9">
        <f t="shared" ca="1" si="17"/>
        <v>3.0660900364310422</v>
      </c>
      <c r="BZ30">
        <f t="shared" ca="1" si="18"/>
        <v>33.252238201775718</v>
      </c>
      <c r="CA30" s="6">
        <f t="shared" ca="1" si="19"/>
        <v>-0.99573985764968032</v>
      </c>
      <c r="CB30" s="6">
        <f t="shared" ca="1" si="20"/>
        <v>9.2207027323270782E-2</v>
      </c>
      <c r="CC30" s="6">
        <f t="shared" ca="1" si="21"/>
        <v>3.0492544643779276</v>
      </c>
      <c r="CD30" s="6">
        <f t="shared" ca="1" si="22"/>
        <v>7.1225902627337234</v>
      </c>
      <c r="CE30" s="9">
        <f t="shared" ca="1" si="23"/>
        <v>9.5965728538475155</v>
      </c>
      <c r="CF30">
        <f t="shared" ca="1" si="24"/>
        <v>11.950962412709377</v>
      </c>
      <c r="CG30" s="6">
        <f t="shared" ca="1" si="25"/>
        <v>0.59598465937430534</v>
      </c>
      <c r="CH30" s="6">
        <f t="shared" ca="1" si="26"/>
        <v>0.80299581928581243</v>
      </c>
      <c r="CI30" s="6">
        <f t="shared" ca="1" si="27"/>
        <v>0.9323050030295148</v>
      </c>
      <c r="CJ30" s="1">
        <f t="shared" ca="1" si="28"/>
        <v>1.9643089874334139</v>
      </c>
      <c r="CK30" s="38"/>
      <c r="CU30">
        <v>1.7130721086037193</v>
      </c>
      <c r="CV30">
        <v>1.7130720929992598</v>
      </c>
      <c r="CW30">
        <v>1.7130721008014895</v>
      </c>
      <c r="CX30">
        <v>-8.6121394460292322E-9</v>
      </c>
      <c r="CY30">
        <v>6.3568323049878486E-8</v>
      </c>
      <c r="CZ30">
        <v>2.7478089137389361E-8</v>
      </c>
    </row>
    <row r="31" spans="1:104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-41.743382231148253</v>
      </c>
      <c r="BE31">
        <v>24.002086411740088</v>
      </c>
      <c r="BF31" s="6">
        <f t="shared" si="0"/>
        <v>2.6197648257308712</v>
      </c>
      <c r="BG31" s="6">
        <f t="shared" si="1"/>
        <v>2.1136193426525152</v>
      </c>
      <c r="BH31" s="6">
        <f t="shared" si="2"/>
        <v>0.27684916473205767</v>
      </c>
      <c r="BI31" s="6">
        <f t="shared" si="3"/>
        <v>0.27684916473205767</v>
      </c>
      <c r="BV31" s="38"/>
      <c r="BW31" s="6">
        <f t="shared" si="8"/>
        <v>0.27925268031909273</v>
      </c>
      <c r="BX31" s="9">
        <f t="shared" ca="1" si="16"/>
        <v>-33.062623639557287</v>
      </c>
      <c r="BY31" s="9">
        <f t="shared" ca="1" si="17"/>
        <v>2.9076257119397617</v>
      </c>
      <c r="BZ31">
        <f t="shared" ca="1" si="18"/>
        <v>33.190230026496437</v>
      </c>
      <c r="CA31" s="6">
        <f t="shared" ca="1" si="19"/>
        <v>-0.99615530272501041</v>
      </c>
      <c r="CB31" s="6">
        <f t="shared" ca="1" si="20"/>
        <v>8.760486774627789E-2</v>
      </c>
      <c r="CC31" s="6">
        <f t="shared" ca="1" si="21"/>
        <v>3.0538753414999489</v>
      </c>
      <c r="CD31" s="6">
        <f t="shared" ca="1" si="22"/>
        <v>7.0746349687215968</v>
      </c>
      <c r="CE31" s="9">
        <f t="shared" ca="1" si="23"/>
        <v>9.7550371783387959</v>
      </c>
      <c r="CF31">
        <f t="shared" ca="1" si="24"/>
        <v>12.050361417460913</v>
      </c>
      <c r="CG31" s="6">
        <f t="shared" ca="1" si="25"/>
        <v>0.58708902775899208</v>
      </c>
      <c r="CH31" s="6">
        <f t="shared" ca="1" si="26"/>
        <v>0.80952237367783808</v>
      </c>
      <c r="CI31" s="6">
        <f t="shared" ca="1" si="27"/>
        <v>0.94333810816360264</v>
      </c>
      <c r="CJ31" s="1">
        <f t="shared" ca="1" si="28"/>
        <v>1.9532758822993259</v>
      </c>
      <c r="CK31" s="38"/>
      <c r="CU31">
        <v>1.7130721086037193</v>
      </c>
      <c r="CV31">
        <v>1.7130721008014895</v>
      </c>
      <c r="CW31">
        <v>1.7130721047026043</v>
      </c>
      <c r="CX31">
        <v>-8.6121394460292322E-9</v>
      </c>
      <c r="CY31">
        <v>2.7478089137389361E-8</v>
      </c>
      <c r="CZ31">
        <v>9.4329748456800644E-9</v>
      </c>
    </row>
    <row r="32" spans="1:104" x14ac:dyDescent="0.25">
      <c r="J32" t="s">
        <v>88</v>
      </c>
      <c r="N32" t="s">
        <v>89</v>
      </c>
      <c r="BC32">
        <v>0.52359877559829915</v>
      </c>
      <c r="BD32">
        <v>-41.825378335753356</v>
      </c>
      <c r="BE32">
        <v>24.193635927726721</v>
      </c>
      <c r="BF32" s="6">
        <f t="shared" si="0"/>
        <v>2.6171740260314502</v>
      </c>
      <c r="BG32" s="6">
        <f t="shared" si="1"/>
        <v>2.0935752504331511</v>
      </c>
      <c r="BH32" s="6">
        <f t="shared" si="2"/>
        <v>0.27943996443147862</v>
      </c>
      <c r="BI32" s="6">
        <f t="shared" si="3"/>
        <v>0.27943996443147862</v>
      </c>
      <c r="BV32" s="38"/>
      <c r="BW32" s="6">
        <f t="shared" si="8"/>
        <v>0.29670597283903605</v>
      </c>
      <c r="BX32" s="9">
        <f t="shared" ca="1" si="16"/>
        <v>-33.01290052834873</v>
      </c>
      <c r="BY32" s="9">
        <f t="shared" ca="1" si="17"/>
        <v>2.7475344878113823</v>
      </c>
      <c r="BZ32">
        <f t="shared" ca="1" si="18"/>
        <v>33.127036496740253</v>
      </c>
      <c r="CA32" s="6">
        <f t="shared" ca="1" si="19"/>
        <v>-0.99655459768027377</v>
      </c>
      <c r="CB32" s="6">
        <f t="shared" ca="1" si="20"/>
        <v>8.2939338328127957E-2</v>
      </c>
      <c r="CC32" s="6">
        <f t="shared" ca="1" si="21"/>
        <v>3.0585579306638295</v>
      </c>
      <c r="CD32" s="6">
        <f t="shared" ca="1" si="22"/>
        <v>7.0249118575130396</v>
      </c>
      <c r="CE32" s="9">
        <f t="shared" ca="1" si="23"/>
        <v>9.9151284024671753</v>
      </c>
      <c r="CF32">
        <f t="shared" ca="1" si="24"/>
        <v>12.151508459579764</v>
      </c>
      <c r="CG32" s="6">
        <f t="shared" ca="1" si="25"/>
        <v>0.57811027173131579</v>
      </c>
      <c r="CH32" s="6">
        <f t="shared" ca="1" si="26"/>
        <v>0.81595864706414156</v>
      </c>
      <c r="CI32" s="6">
        <f t="shared" ca="1" si="27"/>
        <v>0.95438550225223362</v>
      </c>
      <c r="CJ32" s="1">
        <f t="shared" ca="1" si="28"/>
        <v>1.942228488210695</v>
      </c>
      <c r="CK32" s="38"/>
      <c r="CU32">
        <v>1.7130721086037193</v>
      </c>
      <c r="CV32">
        <v>1.7130721047026043</v>
      </c>
      <c r="CW32">
        <v>1.7130721066531618</v>
      </c>
      <c r="CX32">
        <v>-8.6121394460292322E-9</v>
      </c>
      <c r="CY32">
        <v>9.4329748456800644E-9</v>
      </c>
      <c r="CZ32">
        <v>4.1197623090738489E-10</v>
      </c>
    </row>
    <row r="33" spans="1:89" x14ac:dyDescent="0.25">
      <c r="A33" t="s">
        <v>19</v>
      </c>
      <c r="J33">
        <f>(J38*COS(-1*$B$27))+(K38*SIN(-1*$B$27))+$I$2</f>
        <v>26.083141244895298</v>
      </c>
      <c r="K33">
        <f>(-1*J38*SIN(-1*$B$27))+(K38*COS(-1*$B$27))+$I$3</f>
        <v>24.602198619779301</v>
      </c>
      <c r="N33" t="e">
        <f>IF(B1="PCA_Parabolic",NA(),(N38*COS(-1*$B$27))+(O38*SIN(-1*$B$27))+$I$2)</f>
        <v>#N/A</v>
      </c>
      <c r="O33">
        <f>(-1*N38*SIN(-1*$B$27))+(O38*COS(-1*$B$27))+$I$3</f>
        <v>18.599236518341037</v>
      </c>
      <c r="BC33">
        <v>0.54105206811824247</v>
      </c>
      <c r="BD33">
        <v>-41.910874074781574</v>
      </c>
      <c r="BE33">
        <v>24.388593006677663</v>
      </c>
      <c r="BF33" s="6">
        <f t="shared" si="0"/>
        <v>2.6145766205123047</v>
      </c>
      <c r="BG33" s="6">
        <f t="shared" si="1"/>
        <v>2.073524552394062</v>
      </c>
      <c r="BH33" s="6">
        <f t="shared" si="2"/>
        <v>0.28203736995062417</v>
      </c>
      <c r="BI33" s="6">
        <f t="shared" si="3"/>
        <v>0.28203736995062417</v>
      </c>
      <c r="BV33" s="38"/>
      <c r="BW33" s="6">
        <f t="shared" si="8"/>
        <v>0.31415926535897937</v>
      </c>
      <c r="BX33" s="9">
        <f t="shared" ca="1" si="16"/>
        <v>-32.961334121607649</v>
      </c>
      <c r="BY33" s="9">
        <f t="shared" ca="1" si="17"/>
        <v>2.585721007597197</v>
      </c>
      <c r="BZ33">
        <f t="shared" ca="1" si="18"/>
        <v>33.062599719401774</v>
      </c>
      <c r="CA33" s="6">
        <f t="shared" ca="1" si="19"/>
        <v>-0.99693715561832541</v>
      </c>
      <c r="CB33" s="6">
        <f t="shared" ca="1" si="20"/>
        <v>7.8206826732982099E-2</v>
      </c>
      <c r="CC33" s="6">
        <f t="shared" ca="1" si="21"/>
        <v>3.0633058837936793</v>
      </c>
      <c r="CD33" s="6">
        <f t="shared" ca="1" si="22"/>
        <v>6.9733454507719586</v>
      </c>
      <c r="CE33" s="9">
        <f t="shared" ca="1" si="23"/>
        <v>10.076941882681361</v>
      </c>
      <c r="CF33">
        <f t="shared" ca="1" si="24"/>
        <v>12.254480996057715</v>
      </c>
      <c r="CG33" s="6">
        <f t="shared" ca="1" si="25"/>
        <v>0.56904453587347303</v>
      </c>
      <c r="CH33" s="6">
        <f t="shared" ca="1" si="26"/>
        <v>0.82230670445554799</v>
      </c>
      <c r="CI33" s="6">
        <f t="shared" ca="1" si="27"/>
        <v>0.96545287093371968</v>
      </c>
      <c r="CJ33" s="1">
        <f t="shared" ca="1" si="28"/>
        <v>1.9311611195292089</v>
      </c>
      <c r="CK33" s="38"/>
    </row>
    <row r="34" spans="1:89" x14ac:dyDescent="0.25">
      <c r="J34">
        <f>(J39*COS(-1*$B$27))+(K39*SIN(-1*$B$27))+$I$2</f>
        <v>5.0244076288212902</v>
      </c>
      <c r="K34">
        <f>(-1*J39*SIN(-1*$B$27))+(K39*COS(-1*$B$27))+$I$3</f>
        <v>35.689579815608383</v>
      </c>
      <c r="N34" t="e">
        <f>IF(B1="PCA_Parabolic",NA(),(N39*COS(-1*$B$27))+(O39*SIN(-1*$B$27))+$I$2)</f>
        <v>#N/A</v>
      </c>
      <c r="O34">
        <f>(-1*N39*SIN(-1*$B$27))+(O39*COS(-1*$B$27))+$I$3</f>
        <v>29.686617714170119</v>
      </c>
      <c r="BC34">
        <v>0.55850536063818579</v>
      </c>
      <c r="BD34">
        <v>-42.000074031749577</v>
      </c>
      <c r="BE34">
        <v>24.587134757150967</v>
      </c>
      <c r="BF34" s="6">
        <f t="shared" ref="BF34:BF65" si="30">IF(BC34&lt;&gt;"",IF(AND(BD34=0,BE34=0),0,MOD(ATAN2(BD34,BE34),2*PI())),NA())</f>
        <v>2.6119724555877317</v>
      </c>
      <c r="BG34" s="6">
        <f t="shared" ref="BG34:BG65" si="31">ABS(BC34-BF34)</f>
        <v>2.0534670949495459</v>
      </c>
      <c r="BH34" s="6">
        <f t="shared" si="2"/>
        <v>0.28464153487519717</v>
      </c>
      <c r="BI34" s="6">
        <f t="shared" si="3"/>
        <v>0.28464153487519717</v>
      </c>
      <c r="BV34" s="38"/>
      <c r="BW34" s="6">
        <f t="shared" si="8"/>
        <v>0.33161255787892269</v>
      </c>
      <c r="BX34" s="9">
        <f t="shared" ca="1" si="16"/>
        <v>-32.907843603394852</v>
      </c>
      <c r="BY34" s="9">
        <f t="shared" ca="1" si="17"/>
        <v>2.4220861985339468</v>
      </c>
      <c r="BZ34">
        <f t="shared" ca="1" si="18"/>
        <v>32.996858519844345</v>
      </c>
      <c r="CA34" s="6">
        <f t="shared" ca="1" si="19"/>
        <v>-0.99730232148021125</v>
      </c>
      <c r="CB34" s="6">
        <f t="shared" ca="1" si="20"/>
        <v>7.340353922108378E-2</v>
      </c>
      <c r="CC34" s="6">
        <f t="shared" ca="1" si="21"/>
        <v>3.0681230366769841</v>
      </c>
      <c r="CD34" s="6">
        <f t="shared" ca="1" si="22"/>
        <v>6.9198549325591614</v>
      </c>
      <c r="CE34" s="9">
        <f t="shared" ca="1" si="23"/>
        <v>10.240576691744611</v>
      </c>
      <c r="CF34">
        <f t="shared" ca="1" si="24"/>
        <v>12.359360957070813</v>
      </c>
      <c r="CG34" s="6">
        <f t="shared" ca="1" si="25"/>
        <v>0.55988776091212866</v>
      </c>
      <c r="CH34" s="6">
        <f t="shared" ca="1" si="26"/>
        <v>0.82856846137226525</v>
      </c>
      <c r="CI34" s="6">
        <f t="shared" ca="1" si="27"/>
        <v>0.97654599444778634</v>
      </c>
      <c r="CJ34" s="1">
        <f t="shared" ca="1" si="28"/>
        <v>1.9200679960151426</v>
      </c>
      <c r="CK34" s="38"/>
    </row>
    <row r="35" spans="1:89" x14ac:dyDescent="0.25">
      <c r="A35" s="8" t="s">
        <v>20</v>
      </c>
      <c r="AD35" t="s">
        <v>135</v>
      </c>
      <c r="BC35">
        <v>0.57595865315812911</v>
      </c>
      <c r="BD35">
        <v>-42.093199107429875</v>
      </c>
      <c r="BE35">
        <v>24.789447585044723</v>
      </c>
      <c r="BF35" s="6">
        <f t="shared" si="30"/>
        <v>2.609361447202653</v>
      </c>
      <c r="BG35" s="6">
        <f t="shared" si="31"/>
        <v>2.0334027940445241</v>
      </c>
      <c r="BH35" s="6">
        <f t="shared" si="2"/>
        <v>0.28725254326027594</v>
      </c>
      <c r="BI35" s="6">
        <f t="shared" si="3"/>
        <v>0.28725254326027594</v>
      </c>
      <c r="BV35" s="38"/>
      <c r="BW35" s="6">
        <f t="shared" si="8"/>
        <v>0.34906585039886601</v>
      </c>
      <c r="BX35" s="9">
        <f t="shared" ca="1" si="16"/>
        <v>-32.852342432990831</v>
      </c>
      <c r="BY35" s="9">
        <f t="shared" ca="1" si="17"/>
        <v>2.2565270331090659</v>
      </c>
      <c r="BZ35">
        <f t="shared" ca="1" si="18"/>
        <v>32.929748216250331</v>
      </c>
      <c r="CA35" s="6">
        <f t="shared" ca="1" si="19"/>
        <v>-0.99764936607619426</v>
      </c>
      <c r="CB35" s="6">
        <f t="shared" ca="1" si="20"/>
        <v>6.8525486994021528E-2</v>
      </c>
      <c r="CC35" s="6">
        <f t="shared" ca="1" si="21"/>
        <v>3.0730134232819086</v>
      </c>
      <c r="CD35" s="6">
        <f t="shared" ca="1" si="22"/>
        <v>6.8643537621551403</v>
      </c>
      <c r="CE35" s="9">
        <f t="shared" ca="1" si="23"/>
        <v>10.406135857169492</v>
      </c>
      <c r="CF35">
        <f t="shared" ca="1" si="24"/>
        <v>12.466235039091877</v>
      </c>
      <c r="CG35" s="6">
        <f t="shared" ca="1" si="25"/>
        <v>0.55063567633930832</v>
      </c>
      <c r="CH35" s="6">
        <f t="shared" ca="1" si="26"/>
        <v>0.83474568099652513</v>
      </c>
      <c r="CI35" s="6">
        <f t="shared" ca="1" si="27"/>
        <v>0.98767075905697344</v>
      </c>
      <c r="CJ35" s="1">
        <f t="shared" ca="1" si="28"/>
        <v>1.9089432314059553</v>
      </c>
      <c r="CK35" s="38"/>
    </row>
    <row r="36" spans="1:8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58.720180742922523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-42.190488067247067</v>
      </c>
      <c r="BE36">
        <v>24.995727863930398</v>
      </c>
      <c r="BF36" s="6">
        <f t="shared" si="30"/>
        <v>2.6067435894315034</v>
      </c>
      <c r="BG36" s="6">
        <f t="shared" si="31"/>
        <v>2.013331643753431</v>
      </c>
      <c r="BH36" s="6">
        <f t="shared" si="2"/>
        <v>0.28987040103142547</v>
      </c>
      <c r="BI36" s="6">
        <f t="shared" si="3"/>
        <v>0.28987040103142547</v>
      </c>
      <c r="BV36" s="38"/>
      <c r="BW36" s="6">
        <f t="shared" si="8"/>
        <v>0.36651914291880933</v>
      </c>
      <c r="BX36" s="9">
        <f t="shared" ca="1" si="16"/>
        <v>-32.794737908212468</v>
      </c>
      <c r="BY36" s="9">
        <f t="shared" ca="1" si="17"/>
        <v>2.0889362721228544</v>
      </c>
      <c r="BZ36">
        <f t="shared" ca="1" si="18"/>
        <v>32.861200361784391</v>
      </c>
      <c r="CA36" s="6">
        <f t="shared" ca="1" si="19"/>
        <v>-0.9979774794334898</v>
      </c>
      <c r="CB36" s="6">
        <f t="shared" ca="1" si="20"/>
        <v>6.3568471301254176E-2</v>
      </c>
      <c r="CC36" s="6">
        <f t="shared" ca="1" si="21"/>
        <v>3.0779812914072608</v>
      </c>
      <c r="CD36" s="6">
        <f t="shared" ca="1" si="22"/>
        <v>6.8067492373767777</v>
      </c>
      <c r="CE36" s="9">
        <f t="shared" ca="1" si="23"/>
        <v>10.573726618155703</v>
      </c>
      <c r="CF36">
        <f t="shared" ca="1" si="24"/>
        <v>12.57519501940323</v>
      </c>
      <c r="CG36" s="6">
        <f t="shared" ca="1" si="25"/>
        <v>0.54128379137453719</v>
      </c>
      <c r="CH36" s="6">
        <f t="shared" ca="1" si="26"/>
        <v>0.84083997121640597</v>
      </c>
      <c r="CI36" s="6">
        <f t="shared" ca="1" si="27"/>
        <v>0.99883317006106898</v>
      </c>
      <c r="CJ36" s="1">
        <f t="shared" ca="1" si="28"/>
        <v>1.8977808204018598</v>
      </c>
      <c r="CK36" s="38"/>
    </row>
    <row r="37" spans="1:89" x14ac:dyDescent="0.25">
      <c r="A37" s="3">
        <f t="shared" ref="A37:A45" si="32">E3-$I$2</f>
        <v>-6</v>
      </c>
      <c r="B37" s="6">
        <f t="shared" ref="B37:B45" si="33">F3-$I$3</f>
        <v>-12</v>
      </c>
      <c r="C37" s="6">
        <f t="shared" ref="C37:C45" si="34">A37*COS($B$27)+B37*SIN($B$27)</f>
        <v>-0.2813616563632495</v>
      </c>
      <c r="D37" s="6">
        <f t="shared" ref="D37:D45" si="35">-1*A37*SIN($B$27)+B37*COS($B$27)</f>
        <v>13.413457258228714</v>
      </c>
      <c r="F37" s="8" t="s">
        <v>23</v>
      </c>
      <c r="G37" s="1">
        <f>MAX(D37:D41)-MIN(D37:D41)</f>
        <v>26.826914516457428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-42.292199273863474</v>
      </c>
      <c r="BE37">
        <v>25.206182660939263</v>
      </c>
      <c r="BF37" s="6">
        <f t="shared" si="30"/>
        <v>2.6041189642879896</v>
      </c>
      <c r="BG37" s="6">
        <f t="shared" si="31"/>
        <v>1.9932537260899739</v>
      </c>
      <c r="BH37" s="6">
        <f t="shared" si="2"/>
        <v>0.29249502617493928</v>
      </c>
      <c r="BI37" s="6">
        <f t="shared" si="3"/>
        <v>0.29249502617493928</v>
      </c>
      <c r="BV37" s="38"/>
      <c r="BW37" s="6">
        <f t="shared" si="8"/>
        <v>0.38397243543875265</v>
      </c>
      <c r="BX37" s="9">
        <f t="shared" ca="1" si="16"/>
        <v>-32.734930701260517</v>
      </c>
      <c r="BY37" s="9">
        <f t="shared" ca="1" si="17"/>
        <v>1.9192021901955059</v>
      </c>
      <c r="BZ37">
        <f t="shared" ca="1" si="18"/>
        <v>32.791142478772827</v>
      </c>
      <c r="CA37" s="6">
        <f t="shared" ca="1" si="19"/>
        <v>-0.99828576337196251</v>
      </c>
      <c r="CB37" s="6">
        <f t="shared" ca="1" si="20"/>
        <v>5.852806718881147E-2</v>
      </c>
      <c r="CC37" s="6">
        <f t="shared" ca="1" si="21"/>
        <v>3.0830311197998066</v>
      </c>
      <c r="CD37" s="6">
        <f t="shared" ca="1" si="22"/>
        <v>6.746942030424826</v>
      </c>
      <c r="CE37" s="9">
        <f t="shared" ca="1" si="23"/>
        <v>10.743460700083052</v>
      </c>
      <c r="CF37">
        <f t="shared" ca="1" si="24"/>
        <v>12.686338107434395</v>
      </c>
      <c r="CG37" s="6">
        <f t="shared" ca="1" si="25"/>
        <v>0.53182738575058242</v>
      </c>
      <c r="CH37" s="6">
        <f t="shared" ca="1" si="26"/>
        <v>0.84685278045578916</v>
      </c>
      <c r="CI37" s="6">
        <f t="shared" ca="1" si="27"/>
        <v>1.0100393646175625</v>
      </c>
      <c r="CJ37" s="1">
        <f t="shared" ca="1" si="28"/>
        <v>1.8865746258453662</v>
      </c>
      <c r="CK37" s="38"/>
    </row>
    <row r="38" spans="1:89" x14ac:dyDescent="0.25">
      <c r="A38" s="3">
        <f t="shared" si="32"/>
        <v>6</v>
      </c>
      <c r="B38" s="6">
        <f t="shared" si="33"/>
        <v>-12</v>
      </c>
      <c r="C38" s="6">
        <f t="shared" si="34"/>
        <v>-10.899582800400921</v>
      </c>
      <c r="D38" s="6">
        <f t="shared" si="35"/>
        <v>7.8229850298466284</v>
      </c>
      <c r="F38" s="8" t="s">
        <v>24</v>
      </c>
      <c r="G38" s="6">
        <f>MAX(D37:D43)</f>
        <v>13.413457258228714</v>
      </c>
      <c r="H38" t="s">
        <v>4</v>
      </c>
      <c r="J38" s="9">
        <f>MIN(C37:C43,A37:A43)-1</f>
        <v>-11.899582800400921</v>
      </c>
      <c r="K38" s="9">
        <f>G40</f>
        <v>-20.507264602847076</v>
      </c>
      <c r="N38" s="9">
        <f>J38</f>
        <v>-11.899582800400921</v>
      </c>
      <c r="O38" s="9">
        <f>G41</f>
        <v>-13.723120230631917</v>
      </c>
      <c r="AD38">
        <f>AE37</f>
        <v>6.2831853071795862</v>
      </c>
      <c r="AE38">
        <f>AE37</f>
        <v>6.2831853071795862</v>
      </c>
      <c r="BC38">
        <v>0.62831853071795907</v>
      </c>
      <c r="BD38">
        <v>-42.398612603842643</v>
      </c>
      <c r="BE38">
        <v>25.421030522735254</v>
      </c>
      <c r="BF38" s="6">
        <f t="shared" si="30"/>
        <v>2.6014877526553088</v>
      </c>
      <c r="BG38" s="6">
        <f t="shared" si="31"/>
        <v>1.9731692219373498</v>
      </c>
      <c r="BH38" s="6">
        <f t="shared" si="2"/>
        <v>0.29512623780762004</v>
      </c>
      <c r="BI38" s="6">
        <f t="shared" si="3"/>
        <v>0.29512623780762004</v>
      </c>
      <c r="BV38" s="38"/>
      <c r="BW38" s="6">
        <f t="shared" si="8"/>
        <v>0.40142572795869597</v>
      </c>
      <c r="BX38" s="9">
        <f t="shared" ca="1" si="16"/>
        <v>-32.67281434308422</v>
      </c>
      <c r="BY38" s="9">
        <f t="shared" ca="1" si="17"/>
        <v>1.7472082805095752</v>
      </c>
      <c r="BZ38">
        <f t="shared" ca="1" si="18"/>
        <v>32.719497763155395</v>
      </c>
      <c r="CA38" s="6">
        <f t="shared" ca="1" si="19"/>
        <v>-0.9985732232074862</v>
      </c>
      <c r="CB38" s="6">
        <f t="shared" ca="1" si="20"/>
        <v>5.3399605738357711E-2</v>
      </c>
      <c r="CC38" s="6">
        <f t="shared" ca="1" si="21"/>
        <v>3.088167636909148</v>
      </c>
      <c r="CD38" s="6">
        <f t="shared" ca="1" si="22"/>
        <v>6.6848256722485289</v>
      </c>
      <c r="CE38" s="9">
        <f t="shared" ca="1" si="23"/>
        <v>10.915454609768982</v>
      </c>
      <c r="CF38">
        <f t="shared" ca="1" si="24"/>
        <v>12.79976732625558</v>
      </c>
      <c r="CG38" s="6">
        <f t="shared" ca="1" si="25"/>
        <v>0.52226149912399189</v>
      </c>
      <c r="CH38" s="6">
        <f t="shared" ca="1" si="26"/>
        <v>0.85278539301090317</v>
      </c>
      <c r="CI38" s="6">
        <f t="shared" ca="1" si="27"/>
        <v>1.0212956258302923</v>
      </c>
      <c r="CJ38" s="1">
        <f t="shared" ca="1" si="28"/>
        <v>1.8753183646326366</v>
      </c>
      <c r="CK38" s="38"/>
    </row>
    <row r="39" spans="1:89" x14ac:dyDescent="0.25">
      <c r="A39" s="3">
        <f t="shared" si="32"/>
        <v>6</v>
      </c>
      <c r="B39" s="6">
        <f t="shared" si="33"/>
        <v>4</v>
      </c>
      <c r="C39" s="6">
        <f t="shared" si="34"/>
        <v>-3.4456198292248073</v>
      </c>
      <c r="D39" s="6">
        <f t="shared" si="35"/>
        <v>-6.3346431622035997</v>
      </c>
      <c r="J39" s="9">
        <f>MAX(C37:C43,A37:A43)+1</f>
        <v>11.899582800400921</v>
      </c>
      <c r="K39" s="9">
        <f>K38</f>
        <v>-20.507264602847076</v>
      </c>
      <c r="N39" s="9">
        <f>J39</f>
        <v>11.899582800400921</v>
      </c>
      <c r="O39" s="9">
        <f>G41</f>
        <v>-13.723120230631917</v>
      </c>
      <c r="AD39">
        <f>AD38</f>
        <v>6.2831853071795862</v>
      </c>
      <c r="AE39">
        <v>0</v>
      </c>
      <c r="BC39">
        <v>0.64577182323790239</v>
      </c>
      <c r="BD39">
        <v>-42.510031609135424</v>
      </c>
      <c r="BE39">
        <v>25.64050232855417</v>
      </c>
      <c r="BF39" s="6">
        <f t="shared" si="30"/>
        <v>2.5988502468410868</v>
      </c>
      <c r="BG39" s="6">
        <f t="shared" si="31"/>
        <v>1.9530784236031844</v>
      </c>
      <c r="BH39" s="6">
        <f t="shared" si="2"/>
        <v>0.29776374362184216</v>
      </c>
      <c r="BI39" s="6">
        <f t="shared" si="3"/>
        <v>0.29776374362184216</v>
      </c>
      <c r="BV39" s="38"/>
      <c r="BW39" s="6">
        <f t="shared" si="8"/>
        <v>0.41887902047863929</v>
      </c>
      <c r="BX39" s="9">
        <f t="shared" ca="1" si="16"/>
        <v>-32.608274656340576</v>
      </c>
      <c r="BY39" s="9">
        <f t="shared" ca="1" si="17"/>
        <v>1.5728329376686254</v>
      </c>
      <c r="BZ39">
        <f t="shared" ca="1" si="18"/>
        <v>32.646184761977295</v>
      </c>
      <c r="CA39" s="6">
        <f t="shared" ca="1" si="19"/>
        <v>-0.99883875846708825</v>
      </c>
      <c r="CB39" s="6">
        <f t="shared" ca="1" si="20"/>
        <v>4.8178154633875904E-2</v>
      </c>
      <c r="CC39" s="6">
        <f t="shared" ca="1" si="21"/>
        <v>3.0933958414645746</v>
      </c>
      <c r="CD39" s="6">
        <f t="shared" ca="1" si="22"/>
        <v>6.6202859855048857</v>
      </c>
      <c r="CE39" s="9">
        <f t="shared" ca="1" si="23"/>
        <v>11.089829952609932</v>
      </c>
      <c r="CF39">
        <f t="shared" ca="1" si="24"/>
        <v>12.915591930208883</v>
      </c>
      <c r="CG39" s="6">
        <f t="shared" ca="1" si="25"/>
        <v>0.51258091934759786</v>
      </c>
      <c r="CH39" s="6">
        <f t="shared" ca="1" si="26"/>
        <v>0.85863892359988625</v>
      </c>
      <c r="CI39" s="6">
        <f t="shared" ca="1" si="27"/>
        <v>1.0326083978176872</v>
      </c>
      <c r="CJ39" s="1">
        <f t="shared" ca="1" si="28"/>
        <v>1.8640055926452415</v>
      </c>
      <c r="CK39" s="38"/>
    </row>
    <row r="40" spans="1:89" x14ac:dyDescent="0.25">
      <c r="A40" s="3">
        <f t="shared" si="32"/>
        <v>6</v>
      </c>
      <c r="B40" s="6">
        <f t="shared" si="33"/>
        <v>4</v>
      </c>
      <c r="C40" s="6">
        <f t="shared" si="34"/>
        <v>-3.4456198292248073</v>
      </c>
      <c r="D40" s="6">
        <f t="shared" si="35"/>
        <v>-6.3346431622035997</v>
      </c>
      <c r="F40" s="8" t="s">
        <v>50</v>
      </c>
      <c r="G40" s="9">
        <f>G38-B28</f>
        <v>-20.507264602847076</v>
      </c>
      <c r="AD40">
        <f>AE39</f>
        <v>0</v>
      </c>
      <c r="AE40">
        <f>AE39</f>
        <v>0</v>
      </c>
      <c r="BC40">
        <v>0.66322511575784571</v>
      </c>
      <c r="BD40">
        <v>-42.626785920508603</v>
      </c>
      <c r="BE40">
        <v>25.864842215912606</v>
      </c>
      <c r="BF40" s="6">
        <f t="shared" si="30"/>
        <v>2.5962068646172733</v>
      </c>
      <c r="BG40" s="6">
        <f t="shared" si="31"/>
        <v>1.9329817488594276</v>
      </c>
      <c r="BH40" s="6">
        <f t="shared" si="2"/>
        <v>0.30040712584565549</v>
      </c>
      <c r="BI40" s="6">
        <f t="shared" si="3"/>
        <v>0.30040712584565549</v>
      </c>
      <c r="BV40" s="38"/>
      <c r="BW40" s="6">
        <f t="shared" si="8"/>
        <v>0.43633231299858261</v>
      </c>
      <c r="BX40" s="9">
        <f t="shared" ca="1" si="16"/>
        <v>-32.54118913068146</v>
      </c>
      <c r="BY40" s="9">
        <f t="shared" ca="1" si="17"/>
        <v>1.3959491168732718</v>
      </c>
      <c r="BZ40">
        <f t="shared" ca="1" si="18"/>
        <v>32.571117020693052</v>
      </c>
      <c r="CA40" s="6">
        <f t="shared" ca="1" si="19"/>
        <v>-0.99908115248265572</v>
      </c>
      <c r="CB40" s="6">
        <f t="shared" ca="1" si="20"/>
        <v>4.2858496869677472E-2</v>
      </c>
      <c r="CC40" s="6">
        <f t="shared" ca="1" si="21"/>
        <v>3.0987210250857857</v>
      </c>
      <c r="CD40" s="6">
        <f t="shared" ca="1" si="22"/>
        <v>6.5532004598457689</v>
      </c>
      <c r="CE40" s="9">
        <f t="shared" ca="1" si="23"/>
        <v>11.266713773405286</v>
      </c>
      <c r="CF40">
        <f t="shared" ca="1" si="24"/>
        <v>13.033927862266355</v>
      </c>
      <c r="CG40" s="6">
        <f t="shared" ca="1" si="25"/>
        <v>0.50278016950036197</v>
      </c>
      <c r="CH40" s="6">
        <f t="shared" ca="1" si="26"/>
        <v>0.86441431105528743</v>
      </c>
      <c r="CI40" s="6">
        <f t="shared" ca="1" si="27"/>
        <v>1.0439843018884338</v>
      </c>
      <c r="CJ40" s="1">
        <f t="shared" ca="1" si="28"/>
        <v>1.8526296885744951</v>
      </c>
      <c r="CK40" s="38"/>
    </row>
    <row r="41" spans="1:89" x14ac:dyDescent="0.25">
      <c r="A41" s="3">
        <f t="shared" si="32"/>
        <v>6</v>
      </c>
      <c r="B41" s="6">
        <f t="shared" si="33"/>
        <v>12</v>
      </c>
      <c r="C41" s="6">
        <f t="shared" si="34"/>
        <v>0.2813616563632495</v>
      </c>
      <c r="D41" s="6">
        <f t="shared" si="35"/>
        <v>-13.413457258228714</v>
      </c>
      <c r="F41" s="8" t="s">
        <v>51</v>
      </c>
      <c r="G41" s="9">
        <f>G38-B29</f>
        <v>-13.723120230631917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-42.74923396860941</v>
      </c>
      <c r="BE41">
        <v>26.094308587157201</v>
      </c>
      <c r="BF41" s="6">
        <f t="shared" si="30"/>
        <v>2.5935581653681181</v>
      </c>
      <c r="BG41" s="6">
        <f t="shared" si="31"/>
        <v>1.9128797570903291</v>
      </c>
      <c r="BH41" s="6">
        <f t="shared" si="2"/>
        <v>0.30305582509481077</v>
      </c>
      <c r="BI41" s="6">
        <f t="shared" si="3"/>
        <v>0.30305582509481077</v>
      </c>
      <c r="BV41" s="38"/>
      <c r="BW41" s="6">
        <f t="shared" si="8"/>
        <v>0.45378560551852593</v>
      </c>
      <c r="BX41" s="9">
        <f t="shared" ca="1" si="16"/>
        <v>-32.47142624041777</v>
      </c>
      <c r="BY41" s="9">
        <f t="shared" ca="1" si="17"/>
        <v>1.2164239678869677</v>
      </c>
      <c r="BZ41">
        <f t="shared" ca="1" si="18"/>
        <v>32.494202703813826</v>
      </c>
      <c r="CA41" s="6">
        <f t="shared" ca="1" si="19"/>
        <v>-0.99929906070926977</v>
      </c>
      <c r="CB41" s="6">
        <f t="shared" ca="1" si="20"/>
        <v>3.7435107393608912E-2</v>
      </c>
      <c r="CC41" s="6">
        <f t="shared" ca="1" si="21"/>
        <v>3.1041487971639108</v>
      </c>
      <c r="CD41" s="6">
        <f t="shared" ca="1" si="22"/>
        <v>6.4834375695820796</v>
      </c>
      <c r="CE41" s="9">
        <f t="shared" ca="1" si="23"/>
        <v>11.44623892239159</v>
      </c>
      <c r="CF41">
        <f t="shared" ca="1" si="24"/>
        <v>13.154898258334823</v>
      </c>
      <c r="CG41" s="6">
        <f t="shared" ca="1" si="25"/>
        <v>0.49285349398078643</v>
      </c>
      <c r="CH41" s="6">
        <f t="shared" ca="1" si="26"/>
        <v>0.87011231083747509</v>
      </c>
      <c r="CI41" s="6">
        <f t="shared" ca="1" si="27"/>
        <v>1.0554301534788573</v>
      </c>
      <c r="CJ41" s="1">
        <f t="shared" ca="1" si="28"/>
        <v>1.8411838369840714</v>
      </c>
      <c r="CK41" s="38"/>
    </row>
    <row r="42" spans="1:89" x14ac:dyDescent="0.25">
      <c r="A42" s="3">
        <f t="shared" si="32"/>
        <v>-6</v>
      </c>
      <c r="B42" s="6">
        <f t="shared" si="33"/>
        <v>12</v>
      </c>
      <c r="C42" s="6">
        <f t="shared" si="34"/>
        <v>10.899582800400921</v>
      </c>
      <c r="D42" s="6">
        <f t="shared" si="35"/>
        <v>-7.8229850298466284</v>
      </c>
      <c r="J42" s="9"/>
      <c r="K42" s="9"/>
      <c r="N42" s="9"/>
      <c r="O42" s="9"/>
      <c r="BC42">
        <v>0.69813170079773235</v>
      </c>
      <c r="BD42">
        <v>-42.87776601655154</v>
      </c>
      <c r="BE42">
        <v>26.32917520412661</v>
      </c>
      <c r="BF42" s="6">
        <f t="shared" si="30"/>
        <v>2.5909048681216804</v>
      </c>
      <c r="BG42" s="6">
        <f t="shared" si="31"/>
        <v>1.8927731673239481</v>
      </c>
      <c r="BH42" s="6">
        <f t="shared" si="2"/>
        <v>0.30570912234124847</v>
      </c>
      <c r="BI42" s="6">
        <f t="shared" si="3"/>
        <v>0.30570912234124847</v>
      </c>
      <c r="BV42" s="38"/>
      <c r="BW42" s="6">
        <f t="shared" si="8"/>
        <v>0.47123889803846924</v>
      </c>
      <c r="BX42" s="9">
        <f t="shared" ca="1" si="16"/>
        <v>-32.398844686155009</v>
      </c>
      <c r="BY42" s="9">
        <f t="shared" ca="1" si="17"/>
        <v>1.0341184408568438</v>
      </c>
      <c r="BZ42">
        <f t="shared" ca="1" si="18"/>
        <v>32.415344174438665</v>
      </c>
      <c r="CA42" s="6">
        <f t="shared" ca="1" si="19"/>
        <v>-0.99949099759068216</v>
      </c>
      <c r="CB42" s="6">
        <f t="shared" ca="1" si="20"/>
        <v>3.1902127439766774E-2</v>
      </c>
      <c r="CC42" s="6">
        <f t="shared" ca="1" si="21"/>
        <v>3.1096851122945011</v>
      </c>
      <c r="CD42" s="6">
        <f t="shared" ca="1" si="22"/>
        <v>6.4108560153193181</v>
      </c>
      <c r="CE42" s="9">
        <f t="shared" ca="1" si="23"/>
        <v>11.628544449421714</v>
      </c>
      <c r="CF42">
        <f t="shared" ca="1" si="24"/>
        <v>13.278633998319723</v>
      </c>
      <c r="CG42" s="6">
        <f t="shared" ca="1" si="25"/>
        <v>0.48279484291309988</v>
      </c>
      <c r="CH42" s="6">
        <f t="shared" ca="1" si="26"/>
        <v>0.8757334866593347</v>
      </c>
      <c r="CI42" s="6">
        <f t="shared" ca="1" si="27"/>
        <v>1.0669529807372782</v>
      </c>
      <c r="CJ42" s="1">
        <f t="shared" ca="1" si="28"/>
        <v>1.8296610097256505</v>
      </c>
      <c r="CK42" s="38"/>
    </row>
    <row r="43" spans="1:89" x14ac:dyDescent="0.25">
      <c r="A43" s="3">
        <f t="shared" si="32"/>
        <v>-6</v>
      </c>
      <c r="B43" s="6">
        <f t="shared" si="33"/>
        <v>4</v>
      </c>
      <c r="C43" s="6">
        <f t="shared" si="34"/>
        <v>7.172601314812864</v>
      </c>
      <c r="D43" s="6">
        <f t="shared" si="35"/>
        <v>-0.74417093382151434</v>
      </c>
      <c r="AD43" t="s">
        <v>134</v>
      </c>
      <c r="BC43">
        <v>0.71558499331767567</v>
      </c>
      <c r="BD43">
        <v>-43.012807603813833</v>
      </c>
      <c r="BE43">
        <v>26.569732380824469</v>
      </c>
      <c r="BF43" s="6">
        <f t="shared" si="30"/>
        <v>2.588247872280566</v>
      </c>
      <c r="BG43" s="6">
        <f t="shared" si="31"/>
        <v>1.8726628789628903</v>
      </c>
      <c r="BH43" s="6">
        <f t="shared" si="2"/>
        <v>0.30836611818236292</v>
      </c>
      <c r="BI43" s="6">
        <f t="shared" si="3"/>
        <v>0.30836611818236292</v>
      </c>
      <c r="BV43" s="38"/>
      <c r="BW43" s="6">
        <f t="shared" si="8"/>
        <v>0.48869219055841256</v>
      </c>
      <c r="BX43" s="9">
        <f t="shared" ca="1" si="16"/>
        <v>-32.32329256413832</v>
      </c>
      <c r="BY43" s="9">
        <f t="shared" ca="1" si="17"/>
        <v>0.8488868624111916</v>
      </c>
      <c r="BZ43">
        <f t="shared" ca="1" si="18"/>
        <v>32.334437540987999</v>
      </c>
      <c r="CA43" s="6">
        <f t="shared" ca="1" si="19"/>
        <v>-0.99965532176536087</v>
      </c>
      <c r="CB43" s="6">
        <f t="shared" ca="1" si="20"/>
        <v>2.6253336286895971E-2</v>
      </c>
      <c r="CC43" s="6">
        <f t="shared" ca="1" si="21"/>
        <v>3.1153363005691039</v>
      </c>
      <c r="CD43" s="6">
        <f t="shared" ca="1" si="22"/>
        <v>6.3353038933026298</v>
      </c>
      <c r="CE43" s="9">
        <f t="shared" ca="1" si="23"/>
        <v>11.813776027867366</v>
      </c>
      <c r="CF43">
        <f t="shared" ca="1" si="24"/>
        <v>13.405274314877301</v>
      </c>
      <c r="CG43" s="6">
        <f t="shared" ca="1" si="25"/>
        <v>0.4725978554777987</v>
      </c>
      <c r="CH43" s="6">
        <f t="shared" ca="1" si="26"/>
        <v>0.88127820068227358</v>
      </c>
      <c r="CI43" s="6">
        <f t="shared" ca="1" si="27"/>
        <v>1.078560044056206</v>
      </c>
      <c r="CJ43" s="1">
        <f t="shared" ca="1" si="28"/>
        <v>1.8180539464067227</v>
      </c>
      <c r="CK43" s="38"/>
    </row>
    <row r="44" spans="1:89" x14ac:dyDescent="0.25">
      <c r="A44" s="3">
        <f t="shared" si="32"/>
        <v>-6</v>
      </c>
      <c r="B44" s="6">
        <f t="shared" si="33"/>
        <v>4</v>
      </c>
      <c r="C44" s="6">
        <f t="shared" si="34"/>
        <v>7.172601314812864</v>
      </c>
      <c r="D44" s="6">
        <f t="shared" si="35"/>
        <v>-0.74417093382151434</v>
      </c>
      <c r="AD44" t="s">
        <v>8</v>
      </c>
      <c r="AE44" t="s">
        <v>9</v>
      </c>
      <c r="BC44">
        <v>0.73303828583761899</v>
      </c>
      <c r="BD44">
        <v>-43.154823410728824</v>
      </c>
      <c r="BE44">
        <v>26.816288283787792</v>
      </c>
      <c r="BF44" s="6">
        <f t="shared" si="30"/>
        <v>2.585588280908806</v>
      </c>
      <c r="BG44" s="6">
        <f t="shared" si="31"/>
        <v>1.852549995071187</v>
      </c>
      <c r="BH44" s="6">
        <f t="shared" si="2"/>
        <v>0.3110257095541229</v>
      </c>
      <c r="BI44" s="6">
        <f t="shared" si="3"/>
        <v>0.3110257095541229</v>
      </c>
      <c r="BV44" s="38"/>
      <c r="BW44" s="6">
        <f t="shared" si="8"/>
        <v>0.50614548307835583</v>
      </c>
      <c r="BX44" s="9">
        <f t="shared" ca="1" si="16"/>
        <v>-32.244606439687438</v>
      </c>
      <c r="BY44" s="9">
        <f t="shared" ca="1" si="17"/>
        <v>0.66057647853847001</v>
      </c>
      <c r="BZ44">
        <f t="shared" ca="1" si="18"/>
        <v>32.251372152736863</v>
      </c>
      <c r="CA44" s="6">
        <f t="shared" ca="1" si="19"/>
        <v>-0.99979021937369417</v>
      </c>
      <c r="CB44" s="6">
        <f t="shared" ca="1" si="20"/>
        <v>2.0482120122210467E-2</v>
      </c>
      <c r="CC44" s="6">
        <f t="shared" ca="1" si="21"/>
        <v>3.1211091010967262</v>
      </c>
      <c r="CD44" s="6">
        <f t="shared" ca="1" si="22"/>
        <v>6.256617768851747</v>
      </c>
      <c r="CE44" s="9">
        <f t="shared" ca="1" si="23"/>
        <v>12.002086411740088</v>
      </c>
      <c r="CF44">
        <f t="shared" ca="1" si="24"/>
        <v>13.534967459893927</v>
      </c>
      <c r="CG44" s="6">
        <f t="shared" ca="1" si="25"/>
        <v>0.46225584120471758</v>
      </c>
      <c r="CH44" s="6">
        <f t="shared" ca="1" si="26"/>
        <v>0.88674660262789784</v>
      </c>
      <c r="CI44" s="6">
        <f t="shared" ca="1" si="27"/>
        <v>1.0902588576710899</v>
      </c>
      <c r="CJ44" s="1">
        <f t="shared" ca="1" si="28"/>
        <v>1.8063551327918388</v>
      </c>
      <c r="CK44" s="38"/>
    </row>
    <row r="45" spans="1:89" x14ac:dyDescent="0.25">
      <c r="A45" s="3">
        <f t="shared" si="32"/>
        <v>-6</v>
      </c>
      <c r="B45" s="6">
        <f t="shared" si="33"/>
        <v>-12</v>
      </c>
      <c r="C45" s="6">
        <f t="shared" si="34"/>
        <v>-0.2813616563632495</v>
      </c>
      <c r="D45" s="6">
        <f t="shared" si="35"/>
        <v>13.413457258228714</v>
      </c>
      <c r="AD45" s="38">
        <f>U13+PI()/3</f>
        <v>3.9438115416595263</v>
      </c>
      <c r="AE45">
        <v>0</v>
      </c>
      <c r="BC45">
        <v>0.75049157835756231</v>
      </c>
      <c r="BD45">
        <v>-43.304321656715096</v>
      </c>
      <c r="BE45">
        <v>27.069170351880494</v>
      </c>
      <c r="BF45" s="6">
        <f t="shared" si="30"/>
        <v>2.5829274274499969</v>
      </c>
      <c r="BG45" s="6">
        <f t="shared" si="31"/>
        <v>1.8324358490924346</v>
      </c>
      <c r="BH45" s="6">
        <f t="shared" si="2"/>
        <v>0.31368656301293196</v>
      </c>
      <c r="BI45" s="6">
        <f t="shared" si="3"/>
        <v>0.31368656301293196</v>
      </c>
      <c r="BV45" s="38"/>
      <c r="BW45" s="6">
        <f t="shared" si="8"/>
        <v>0.52359877559829915</v>
      </c>
      <c r="BX45" s="9">
        <f t="shared" ca="1" si="16"/>
        <v>-32.162610335082334</v>
      </c>
      <c r="BY45" s="9">
        <f t="shared" ca="1" si="17"/>
        <v>0.46902696255183685</v>
      </c>
      <c r="BZ45">
        <f t="shared" ca="1" si="18"/>
        <v>32.166030060577036</v>
      </c>
      <c r="CA45" s="6">
        <f t="shared" ca="1" si="19"/>
        <v>-0.99989368518625821</v>
      </c>
      <c r="CB45" s="6">
        <f t="shared" ca="1" si="20"/>
        <v>1.4581437674109505E-2</v>
      </c>
      <c r="CC45" s="6">
        <f t="shared" ca="1" si="21"/>
        <v>3.1270106991527644</v>
      </c>
      <c r="CD45" s="6">
        <f t="shared" ca="1" si="22"/>
        <v>6.1746216642466436</v>
      </c>
      <c r="CE45" s="9">
        <f t="shared" ca="1" si="23"/>
        <v>12.193635927726721</v>
      </c>
      <c r="CF45">
        <f t="shared" ca="1" si="24"/>
        <v>13.667871444908014</v>
      </c>
      <c r="CG45" s="6">
        <f t="shared" ca="1" si="25"/>
        <v>0.45176176035420701</v>
      </c>
      <c r="CH45" s="6">
        <f t="shared" ca="1" si="26"/>
        <v>0.89213861696580987</v>
      </c>
      <c r="CI45" s="6">
        <f t="shared" ca="1" si="27"/>
        <v>1.1020572120587522</v>
      </c>
      <c r="CJ45" s="1">
        <f t="shared" ca="1" si="28"/>
        <v>1.7945567784041765</v>
      </c>
      <c r="CK45" s="38"/>
    </row>
    <row r="46" spans="1:89" x14ac:dyDescent="0.25">
      <c r="AD46" s="38">
        <f>U13-PI()/3</f>
        <v>1.8494164392663313</v>
      </c>
      <c r="AE46">
        <f>AE45</f>
        <v>0</v>
      </c>
      <c r="BC46">
        <v>0.76794487087750563</v>
      </c>
      <c r="BD46">
        <v>-43.461859068113831</v>
      </c>
      <c r="BE46">
        <v>27.328726848307657</v>
      </c>
      <c r="BF46" s="6">
        <f t="shared" si="30"/>
        <v>2.5802669058949106</v>
      </c>
      <c r="BG46" s="6">
        <f t="shared" si="31"/>
        <v>1.812322035017405</v>
      </c>
      <c r="BH46" s="6">
        <f t="shared" si="2"/>
        <v>0.31634708456801824</v>
      </c>
      <c r="BI46" s="6">
        <f t="shared" si="3"/>
        <v>0.31634708456801824</v>
      </c>
      <c r="BV46" s="38"/>
      <c r="BW46" s="6">
        <f t="shared" si="8"/>
        <v>0.54105206811824247</v>
      </c>
      <c r="BX46" s="9">
        <f t="shared" ca="1" si="16"/>
        <v>-32.077114596054116</v>
      </c>
      <c r="BY46" s="9">
        <f t="shared" ca="1" si="17"/>
        <v>0.27406988360089457</v>
      </c>
      <c r="BZ46">
        <f t="shared" ca="1" si="18"/>
        <v>32.078285414115967</v>
      </c>
      <c r="CA46" s="6">
        <f t="shared" ca="1" si="19"/>
        <v>-0.99996350122686617</v>
      </c>
      <c r="CB46" s="6">
        <f t="shared" ca="1" si="20"/>
        <v>8.5437821898140115E-3</v>
      </c>
      <c r="CC46" s="6">
        <f t="shared" ca="1" si="21"/>
        <v>3.1330487674526055</v>
      </c>
      <c r="CD46" s="6">
        <f t="shared" ca="1" si="22"/>
        <v>6.0891259252184256</v>
      </c>
      <c r="CE46" s="9">
        <f t="shared" ca="1" si="23"/>
        <v>12.388593006677663</v>
      </c>
      <c r="CF46">
        <f t="shared" ca="1" si="24"/>
        <v>13.804154853458789</v>
      </c>
      <c r="CG46" s="6">
        <f t="shared" ca="1" si="25"/>
        <v>0.44110820183190902</v>
      </c>
      <c r="CH46" s="6">
        <f t="shared" ca="1" si="26"/>
        <v>0.89745392877663643</v>
      </c>
      <c r="CI46" s="6">
        <f t="shared" ca="1" si="27"/>
        <v>1.1139631989270431</v>
      </c>
      <c r="CJ46" s="1">
        <f t="shared" ca="1" si="28"/>
        <v>1.7826507915358856</v>
      </c>
      <c r="CK46" s="38"/>
    </row>
    <row r="47" spans="1:89" x14ac:dyDescent="0.25">
      <c r="A47" t="s">
        <v>27</v>
      </c>
      <c r="BC47">
        <v>0.78539816339744895</v>
      </c>
      <c r="BD47">
        <v>-43.628046541880906</v>
      </c>
      <c r="BE47">
        <v>27.595328559369438</v>
      </c>
      <c r="BF47" s="6">
        <f t="shared" si="30"/>
        <v>2.5776086052821086</v>
      </c>
      <c r="BG47" s="6">
        <f t="shared" si="31"/>
        <v>1.7922104418846596</v>
      </c>
      <c r="BH47" s="6">
        <f t="shared" si="2"/>
        <v>0.31900538518082039</v>
      </c>
      <c r="BI47" s="6">
        <f t="shared" si="3"/>
        <v>0.31900538518082039</v>
      </c>
      <c r="BV47" s="38"/>
      <c r="BW47" s="6">
        <f t="shared" si="8"/>
        <v>0.55850536063818579</v>
      </c>
      <c r="BX47" s="9">
        <f t="shared" ca="1" si="16"/>
        <v>-31.987914639086114</v>
      </c>
      <c r="BY47" s="9">
        <f t="shared" ca="1" si="17"/>
        <v>7.5528133127590991E-2</v>
      </c>
      <c r="BZ47">
        <f t="shared" ca="1" si="18"/>
        <v>31.988003805432331</v>
      </c>
      <c r="CA47" s="6">
        <f t="shared" ca="1" si="19"/>
        <v>-0.99999721250670215</v>
      </c>
      <c r="CB47" s="6">
        <f t="shared" ca="1" si="20"/>
        <v>2.3611393066911069E-3</v>
      </c>
      <c r="CC47" s="6">
        <f t="shared" ca="1" si="21"/>
        <v>3.1392315120892129</v>
      </c>
      <c r="CD47" s="6">
        <f t="shared" ca="1" si="22"/>
        <v>5.9999259682504231</v>
      </c>
      <c r="CE47" s="9">
        <f t="shared" ca="1" si="23"/>
        <v>12.587134757150967</v>
      </c>
      <c r="CF47">
        <f t="shared" ca="1" si="24"/>
        <v>13.943997741650838</v>
      </c>
      <c r="CG47" s="6">
        <f t="shared" ca="1" si="25"/>
        <v>0.43028735943699947</v>
      </c>
      <c r="CH47" s="6">
        <f t="shared" ca="1" si="26"/>
        <v>0.90269196756630921</v>
      </c>
      <c r="CI47" s="6">
        <f t="shared" ca="1" si="27"/>
        <v>1.1259852379062958</v>
      </c>
      <c r="CJ47" s="1">
        <f t="shared" ca="1" si="28"/>
        <v>1.7706287525566329</v>
      </c>
      <c r="CK47" s="38"/>
    </row>
    <row r="48" spans="1:8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-43.803555595817883</v>
      </c>
      <c r="BE48">
        <v>27.869370656416368</v>
      </c>
      <c r="BF48" s="6">
        <f t="shared" si="30"/>
        <v>2.5749547489544291</v>
      </c>
      <c r="BG48" s="6">
        <f t="shared" si="31"/>
        <v>1.7721032930370368</v>
      </c>
      <c r="BH48" s="6">
        <f t="shared" si="2"/>
        <v>0.32165924150849978</v>
      </c>
      <c r="BI48" s="6">
        <f t="shared" si="3"/>
        <v>0.32165924150849978</v>
      </c>
      <c r="BV48" s="38"/>
      <c r="BW48" s="6">
        <f t="shared" si="8"/>
        <v>0.57595865315812911</v>
      </c>
      <c r="BX48" s="9">
        <f t="shared" ca="1" si="16"/>
        <v>-31.894789563405816</v>
      </c>
      <c r="BY48" s="9">
        <f t="shared" ca="1" si="17"/>
        <v>-0.12678469476616527</v>
      </c>
      <c r="BZ48">
        <f t="shared" ca="1" si="18"/>
        <v>31.89504155276753</v>
      </c>
      <c r="CA48" s="6">
        <f t="shared" ca="1" si="19"/>
        <v>-0.99999209941892386</v>
      </c>
      <c r="CB48" s="6">
        <f t="shared" ca="1" si="20"/>
        <v>-3.9750597144202239E-3</v>
      </c>
      <c r="CC48" s="6">
        <f t="shared" ca="1" si="21"/>
        <v>-3.1376175834069127</v>
      </c>
      <c r="CD48" s="6">
        <f t="shared" ca="1" si="22"/>
        <v>5.906800892570125</v>
      </c>
      <c r="CE48" s="9">
        <f t="shared" ca="1" si="23"/>
        <v>12.789447585044723</v>
      </c>
      <c r="CF48">
        <f t="shared" ca="1" si="24"/>
        <v>14.08759263732003</v>
      </c>
      <c r="CG48" s="6">
        <f t="shared" ca="1" si="25"/>
        <v>0.41929100625199595</v>
      </c>
      <c r="CH48" s="6">
        <f t="shared" ca="1" si="26"/>
        <v>0.90785188884321244</v>
      </c>
      <c r="CI48" s="6">
        <f t="shared" ca="1" si="27"/>
        <v>1.1381321052022517</v>
      </c>
      <c r="CJ48" s="1">
        <f t="shared" ca="1" si="28"/>
        <v>1.7584818852606772</v>
      </c>
      <c r="CK48" s="38"/>
    </row>
    <row r="49" spans="1:89" x14ac:dyDescent="0.25">
      <c r="A49" t="s">
        <v>43</v>
      </c>
      <c r="B49" s="6">
        <f>C37</f>
        <v>-0.2813616563632495</v>
      </c>
      <c r="C49" s="6">
        <f>D37</f>
        <v>13.413457258228714</v>
      </c>
      <c r="D49" s="6">
        <f t="shared" ref="D49:E56" si="36">C38</f>
        <v>-10.899582800400921</v>
      </c>
      <c r="E49" s="6">
        <f t="shared" si="36"/>
        <v>7.8229850298466284</v>
      </c>
      <c r="F49" s="6">
        <f t="shared" ref="F49:F56" si="37">IF(B49=D49,"V",(C49-E49)/(B49-D49))</f>
        <v>0.52649800305969696</v>
      </c>
      <c r="G49" s="6">
        <f t="shared" ref="G49:G56" si="38">IF(F49="V",0,(-1*B49*F49)+C49)</f>
        <v>13.561593608441534</v>
      </c>
      <c r="H49" s="6">
        <f t="shared" ref="H49:H56" si="39">IF(AND(C49&lt;$G$41,E49&lt;$G$41),0,IF(AND(C49&lt;$G$41,E49&gt;$G$41),IF(F49="V",B49,($G$41-G49)/F49),B49))</f>
        <v>-0.2813616563632495</v>
      </c>
      <c r="I49" s="6">
        <f t="shared" ref="I49:I56" si="40">IF(AND(C49&lt;$G$41,E49&lt;$G$41),0,IF(AND(C49&lt;$G$41,E49&gt;$G$41),$G$41,C49))</f>
        <v>13.413457258228714</v>
      </c>
      <c r="J49" s="6">
        <f t="shared" ref="J49:J56" si="41">IF(AND(C49&lt;$G$41,E49&lt;$G$41),0,IF(E49&gt;=$G$41,D49,IF(F49="V",D49,($G$41-G49)/F49)))</f>
        <v>-10.899582800400921</v>
      </c>
      <c r="K49" s="6">
        <f t="shared" ref="K49:K56" si="42">IF(AND(C49&lt;$G$41,E49&lt;$G$41),0,IF(E49&gt;=$G$41,E49,$G$41))</f>
        <v>7.8229850298466284</v>
      </c>
      <c r="L49" s="6">
        <f t="shared" ref="L49:L56" si="43">IF(AND(I49=0,K49=0,H49=0,J49=0),0,$B$31)</f>
        <v>4.25</v>
      </c>
      <c r="M49" s="6">
        <f t="shared" ref="M49:M56" si="44">IF(AND(I49=0,K49=0,H49=0,J49=0),0,$B$31)</f>
        <v>4.25</v>
      </c>
      <c r="N49" s="10">
        <f t="shared" ref="N49:N56" si="45">(1/6)*(K49-I49)*((L49*((2*H49)+J49))+(M49*(H49+(2*J49))))</f>
        <v>132.8268638793233</v>
      </c>
      <c r="O49" s="10">
        <f t="shared" ref="O49:O56" si="46">((1/12)*(K49-I49)*(L49*H49*((3*I49)+K49)+L49*J49*(I49+K49)+M49*H49*(I49+K49)+M49*J49*(I49+(3*K49))))</f>
        <v>1292.852929994674</v>
      </c>
      <c r="P49" s="10">
        <f t="shared" ref="P49:P56" si="47">((-1/24)*(K49-I49)*(H49*H49*((3*L49)+M49)+2*H49*J49*(L49+M49)+J49*J49*(L49+(3*M49))))</f>
        <v>482.89928476978031</v>
      </c>
      <c r="S49">
        <f t="shared" ref="S49:S56" si="48">IF(AND(I49=0,K49=0,H49=0,J49=0),NA(),H49)</f>
        <v>-0.2813616563632495</v>
      </c>
      <c r="T49">
        <f t="shared" ref="T49:T56" si="49">IF(AND(I49=0,K49=0,H49=0,J49=0),NA(),I49)</f>
        <v>13.413457258228714</v>
      </c>
      <c r="V49">
        <f t="shared" ref="V49:V56" si="50">IF(AND(I49=0,K49=0,H49=0,J49=0),NA(),J49)</f>
        <v>-10.899582800400921</v>
      </c>
      <c r="W49">
        <f t="shared" ref="W49:W56" si="51">IF(AND(I49=0,K49=0,H49=0,J49=0),NA(),K49)</f>
        <v>7.8229850298466284</v>
      </c>
      <c r="AC49">
        <v>0</v>
      </c>
      <c r="AD49">
        <f>-PI()</f>
        <v>-3.1415926535897931</v>
      </c>
      <c r="BC49">
        <v>0.82030474843733558</v>
      </c>
      <c r="BD49">
        <v>-43.989125738260199</v>
      </c>
      <c r="BE49">
        <v>28.151274739762464</v>
      </c>
      <c r="BF49" s="6">
        <f t="shared" si="30"/>
        <v>2.5723079393202033</v>
      </c>
      <c r="BG49" s="6">
        <f t="shared" si="31"/>
        <v>1.7520031908828677</v>
      </c>
      <c r="BH49" s="6">
        <f t="shared" si="2"/>
        <v>0.32430605114272559</v>
      </c>
      <c r="BI49" s="6">
        <f t="shared" si="3"/>
        <v>0.32430605114272559</v>
      </c>
      <c r="BV49" s="38"/>
      <c r="BW49" s="6">
        <f t="shared" si="8"/>
        <v>0.59341194567807243</v>
      </c>
      <c r="BX49" s="9">
        <f t="shared" ca="1" si="16"/>
        <v>-31.797500603588624</v>
      </c>
      <c r="BY49" s="9">
        <f t="shared" ca="1" si="17"/>
        <v>-0.33306497365184029</v>
      </c>
      <c r="BZ49">
        <f t="shared" ca="1" si="18"/>
        <v>31.79924491103354</v>
      </c>
      <c r="CA49" s="6">
        <f t="shared" ca="1" si="19"/>
        <v>-0.99994514626212683</v>
      </c>
      <c r="CB49" s="6">
        <f t="shared" ca="1" si="20"/>
        <v>-1.0473990014029393E-2</v>
      </c>
      <c r="CC49" s="6">
        <f t="shared" ca="1" si="21"/>
        <v>-3.1311184720590606</v>
      </c>
      <c r="CD49" s="6">
        <f t="shared" ca="1" si="22"/>
        <v>5.8095119327529332</v>
      </c>
      <c r="CE49" s="9">
        <f t="shared" ca="1" si="23"/>
        <v>12.995727863930398</v>
      </c>
      <c r="CF49">
        <f t="shared" ca="1" si="24"/>
        <v>14.235145647661483</v>
      </c>
      <c r="CG49" s="6">
        <f t="shared" ca="1" si="25"/>
        <v>0.40811046662577044</v>
      </c>
      <c r="CH49" s="6">
        <f t="shared" ca="1" si="26"/>
        <v>0.91293255338524104</v>
      </c>
      <c r="CI49" s="6">
        <f t="shared" ca="1" si="27"/>
        <v>1.1504129648650161</v>
      </c>
      <c r="CJ49" s="1">
        <f t="shared" ca="1" si="28"/>
        <v>1.7462010255979126</v>
      </c>
      <c r="CK49" s="38"/>
    </row>
    <row r="50" spans="1:89" x14ac:dyDescent="0.25">
      <c r="A50" t="s">
        <v>44</v>
      </c>
      <c r="B50" s="6">
        <f t="shared" ref="B50:C56" si="52">D49</f>
        <v>-10.899582800400921</v>
      </c>
      <c r="C50" s="6">
        <f t="shared" si="52"/>
        <v>7.8229850298466284</v>
      </c>
      <c r="D50" s="6">
        <f t="shared" si="36"/>
        <v>-3.4456198292248073</v>
      </c>
      <c r="E50" s="6">
        <f t="shared" si="36"/>
        <v>-6.3346431622035997</v>
      </c>
      <c r="F50" s="6">
        <f t="shared" si="37"/>
        <v>-1.8993424366067631</v>
      </c>
      <c r="G50" s="6">
        <f t="shared" si="38"/>
        <v>-12.879055124264024</v>
      </c>
      <c r="H50" s="6">
        <f t="shared" si="39"/>
        <v>-10.899582800400921</v>
      </c>
      <c r="I50" s="6">
        <f t="shared" si="40"/>
        <v>7.8229850298466284</v>
      </c>
      <c r="J50" s="6">
        <f t="shared" si="41"/>
        <v>-3.4456198292248073</v>
      </c>
      <c r="K50" s="6">
        <f t="shared" si="42"/>
        <v>-6.3346431622035997</v>
      </c>
      <c r="L50" s="6">
        <f t="shared" si="43"/>
        <v>4.25</v>
      </c>
      <c r="M50" s="6">
        <f t="shared" si="44"/>
        <v>4.25</v>
      </c>
      <c r="N50" s="10">
        <f t="shared" si="45"/>
        <v>431.57484598595727</v>
      </c>
      <c r="O50" s="10">
        <f t="shared" si="46"/>
        <v>850.3119470291507</v>
      </c>
      <c r="P50" s="10">
        <f t="shared" si="47"/>
        <v>1687.05443926615</v>
      </c>
      <c r="S50">
        <f t="shared" si="48"/>
        <v>-10.899582800400921</v>
      </c>
      <c r="T50">
        <f t="shared" si="49"/>
        <v>7.8229850298466284</v>
      </c>
      <c r="V50">
        <f t="shared" si="50"/>
        <v>-3.4456198292248073</v>
      </c>
      <c r="W50">
        <f t="shared" si="51"/>
        <v>-6.3346431622035997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-44.185572927925129</v>
      </c>
      <c r="BE50">
        <v>28.441491085266925</v>
      </c>
      <c r="BF50" s="6">
        <f t="shared" si="30"/>
        <v>2.5696712091301164</v>
      </c>
      <c r="BG50" s="6">
        <f t="shared" si="31"/>
        <v>1.7319131681728375</v>
      </c>
      <c r="BH50" s="6">
        <f t="shared" si="2"/>
        <v>0.32694278133281252</v>
      </c>
      <c r="BI50" s="6">
        <f t="shared" si="3"/>
        <v>0.32694278133281252</v>
      </c>
      <c r="BV50" s="38"/>
      <c r="BW50" s="6">
        <f t="shared" si="8"/>
        <v>0.61086523819801575</v>
      </c>
      <c r="BX50" s="9">
        <f t="shared" ca="1" si="16"/>
        <v>-31.695789396972216</v>
      </c>
      <c r="BY50" s="9">
        <f t="shared" ca="1" si="17"/>
        <v>-0.54351977066070489</v>
      </c>
      <c r="BZ50">
        <f t="shared" ca="1" si="18"/>
        <v>31.700449196159912</v>
      </c>
      <c r="CA50" s="6">
        <f t="shared" ca="1" si="19"/>
        <v>-0.99985300526314747</v>
      </c>
      <c r="CB50" s="6">
        <f t="shared" ca="1" si="20"/>
        <v>-1.7145491134761114E-2</v>
      </c>
      <c r="CC50" s="6">
        <f t="shared" ca="1" si="21"/>
        <v>-3.124446322306647</v>
      </c>
      <c r="CD50" s="6">
        <f t="shared" ca="1" si="22"/>
        <v>5.7078007261365258</v>
      </c>
      <c r="CE50" s="9">
        <f t="shared" ca="1" si="23"/>
        <v>13.206182660939263</v>
      </c>
      <c r="CF50">
        <f t="shared" ca="1" si="24"/>
        <v>14.386877687788184</v>
      </c>
      <c r="CG50" s="6">
        <f t="shared" ca="1" si="25"/>
        <v>0.39673658524124383</v>
      </c>
      <c r="CH50" s="6">
        <f t="shared" ca="1" si="26"/>
        <v>0.91793250401710758</v>
      </c>
      <c r="CI50" s="6">
        <f t="shared" ca="1" si="27"/>
        <v>1.1628374032754996</v>
      </c>
      <c r="CJ50" s="1">
        <f t="shared" ca="1" si="28"/>
        <v>1.7337765871874293</v>
      </c>
      <c r="CK50" s="38"/>
    </row>
    <row r="51" spans="1:89" x14ac:dyDescent="0.25">
      <c r="A51" t="s">
        <v>45</v>
      </c>
      <c r="B51" s="6">
        <f t="shared" si="52"/>
        <v>-3.4456198292248073</v>
      </c>
      <c r="C51" s="6">
        <f t="shared" si="52"/>
        <v>-6.3346431622035997</v>
      </c>
      <c r="D51" s="6">
        <f t="shared" si="36"/>
        <v>-3.4456198292248073</v>
      </c>
      <c r="E51" s="6">
        <f t="shared" si="36"/>
        <v>-6.3346431622035997</v>
      </c>
      <c r="F51" s="6" t="str">
        <f t="shared" si="37"/>
        <v>V</v>
      </c>
      <c r="G51" s="6">
        <f t="shared" si="38"/>
        <v>0</v>
      </c>
      <c r="H51" s="6">
        <f t="shared" si="39"/>
        <v>-3.4456198292248073</v>
      </c>
      <c r="I51" s="6">
        <f t="shared" si="40"/>
        <v>-6.3346431622035997</v>
      </c>
      <c r="J51" s="6">
        <f t="shared" si="41"/>
        <v>-3.4456198292248073</v>
      </c>
      <c r="K51" s="6">
        <f t="shared" si="42"/>
        <v>-6.3346431622035997</v>
      </c>
      <c r="L51" s="6">
        <f t="shared" si="43"/>
        <v>4.25</v>
      </c>
      <c r="M51" s="6">
        <f t="shared" si="44"/>
        <v>4.25</v>
      </c>
      <c r="N51" s="10">
        <f t="shared" si="45"/>
        <v>0</v>
      </c>
      <c r="O51" s="10">
        <f t="shared" si="46"/>
        <v>0</v>
      </c>
      <c r="P51" s="10">
        <f t="shared" si="47"/>
        <v>0</v>
      </c>
      <c r="S51">
        <f t="shared" si="48"/>
        <v>-3.4456198292248073</v>
      </c>
      <c r="T51">
        <f t="shared" si="49"/>
        <v>-6.3346431622035997</v>
      </c>
      <c r="V51">
        <f t="shared" si="50"/>
        <v>-3.4456198292248073</v>
      </c>
      <c r="W51">
        <f t="shared" si="51"/>
        <v>-6.3346431622035997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-44.393799278490548</v>
      </c>
      <c r="BE51">
        <v>28.740501118667478</v>
      </c>
      <c r="BF51" s="6">
        <f t="shared" si="30"/>
        <v>2.5670480799192856</v>
      </c>
      <c r="BG51" s="6">
        <f t="shared" si="31"/>
        <v>1.7118367464420634</v>
      </c>
      <c r="BH51" s="6">
        <f t="shared" si="2"/>
        <v>0.32956591054364326</v>
      </c>
      <c r="BI51" s="6">
        <f t="shared" si="3"/>
        <v>0.32956591054364326</v>
      </c>
      <c r="BV51" s="38"/>
      <c r="BW51" s="6">
        <f t="shared" si="8"/>
        <v>0.62831853071795907</v>
      </c>
      <c r="BX51" s="9">
        <f t="shared" ca="1" si="16"/>
        <v>-31.589376066993047</v>
      </c>
      <c r="BY51" s="9">
        <f t="shared" ca="1" si="17"/>
        <v>-0.75836763245669658</v>
      </c>
      <c r="BZ51">
        <f t="shared" ca="1" si="18"/>
        <v>31.598477839412947</v>
      </c>
      <c r="CA51" s="6">
        <f t="shared" ca="1" si="19"/>
        <v>-0.99971195535221169</v>
      </c>
      <c r="CB51" s="6">
        <f t="shared" ca="1" si="20"/>
        <v>-2.4000131788335089E-2</v>
      </c>
      <c r="CC51" s="6">
        <f t="shared" ca="1" si="21"/>
        <v>-3.1175902171660845</v>
      </c>
      <c r="CD51" s="6">
        <f t="shared" ca="1" si="22"/>
        <v>5.6013873961573566</v>
      </c>
      <c r="CE51" s="9">
        <f t="shared" ca="1" si="23"/>
        <v>13.421030522735254</v>
      </c>
      <c r="CF51">
        <f t="shared" ca="1" si="24"/>
        <v>14.543025856197252</v>
      </c>
      <c r="CG51" s="6">
        <f t="shared" ca="1" si="25"/>
        <v>0.3851596945191722</v>
      </c>
      <c r="CH51" s="6">
        <f t="shared" ca="1" si="26"/>
        <v>0.92284993889467104</v>
      </c>
      <c r="CI51" s="6">
        <f t="shared" ca="1" si="27"/>
        <v>1.1754154655412032</v>
      </c>
      <c r="CJ51" s="1">
        <f t="shared" ca="1" si="28"/>
        <v>1.7211985249217254</v>
      </c>
      <c r="CK51" s="38"/>
    </row>
    <row r="52" spans="1:89" x14ac:dyDescent="0.25">
      <c r="A52" t="s">
        <v>46</v>
      </c>
      <c r="B52" s="6">
        <f t="shared" si="52"/>
        <v>-3.4456198292248073</v>
      </c>
      <c r="C52" s="6">
        <f t="shared" si="52"/>
        <v>-6.3346431622035997</v>
      </c>
      <c r="D52" s="6">
        <f t="shared" si="36"/>
        <v>0.2813616563632495</v>
      </c>
      <c r="E52" s="6">
        <f t="shared" si="36"/>
        <v>-13.413457258228714</v>
      </c>
      <c r="F52" s="6">
        <f t="shared" si="37"/>
        <v>-1.8993424366067633</v>
      </c>
      <c r="G52" s="6">
        <f t="shared" si="38"/>
        <v>-12.879055124264024</v>
      </c>
      <c r="H52" s="6">
        <f t="shared" si="39"/>
        <v>-3.4456198292248073</v>
      </c>
      <c r="I52" s="6">
        <f t="shared" si="40"/>
        <v>-6.3346431622035997</v>
      </c>
      <c r="J52" s="6">
        <f t="shared" si="41"/>
        <v>0.2813616563632495</v>
      </c>
      <c r="K52" s="6">
        <f t="shared" si="42"/>
        <v>-13.413457258228714</v>
      </c>
      <c r="L52" s="6">
        <f t="shared" si="43"/>
        <v>4.25</v>
      </c>
      <c r="M52" s="6">
        <f t="shared" si="44"/>
        <v>4.25</v>
      </c>
      <c r="N52" s="10">
        <f t="shared" si="45"/>
        <v>47.598290134719512</v>
      </c>
      <c r="O52" s="10">
        <f t="shared" si="46"/>
        <v>-403.84459535091889</v>
      </c>
      <c r="P52" s="10">
        <f t="shared" si="47"/>
        <v>55.065480316584406</v>
      </c>
      <c r="S52">
        <f t="shared" si="48"/>
        <v>-3.4456198292248073</v>
      </c>
      <c r="T52">
        <f t="shared" si="49"/>
        <v>-6.3346431622035997</v>
      </c>
      <c r="V52">
        <f t="shared" si="50"/>
        <v>0.2813616563632495</v>
      </c>
      <c r="W52">
        <f t="shared" si="51"/>
        <v>-13.413457258228714</v>
      </c>
      <c r="AC52">
        <f>0</f>
        <v>0</v>
      </c>
      <c r="AD52">
        <f>AD51</f>
        <v>3.1415926535897931</v>
      </c>
      <c r="BC52">
        <v>0.87266462599716554</v>
      </c>
      <c r="BD52">
        <v>-44.614804263627981</v>
      </c>
      <c r="BE52">
        <v>29.048820144470294</v>
      </c>
      <c r="BF52" s="6">
        <f t="shared" si="30"/>
        <v>2.5644426291224494</v>
      </c>
      <c r="BG52" s="6">
        <f t="shared" si="31"/>
        <v>1.6917780031252838</v>
      </c>
      <c r="BH52" s="6">
        <f t="shared" si="2"/>
        <v>0.33217136134047953</v>
      </c>
      <c r="BI52" s="6">
        <f t="shared" si="3"/>
        <v>0.33217136134047953</v>
      </c>
      <c r="BV52" s="38"/>
      <c r="BW52" s="6">
        <f t="shared" si="8"/>
        <v>0.64577182323790239</v>
      </c>
      <c r="BX52" s="9">
        <f t="shared" ca="1" si="16"/>
        <v>-31.477957061700266</v>
      </c>
      <c r="BY52" s="9">
        <f t="shared" ca="1" si="17"/>
        <v>-0.97783943827561259</v>
      </c>
      <c r="BZ52">
        <f t="shared" ca="1" si="18"/>
        <v>31.493141328633648</v>
      </c>
      <c r="CA52" s="6">
        <f t="shared" ca="1" si="19"/>
        <v>-0.99951785479971866</v>
      </c>
      <c r="CB52" s="6">
        <f t="shared" ca="1" si="20"/>
        <v>-3.1049282384115758E-2</v>
      </c>
      <c r="CC52" s="6">
        <f t="shared" ca="1" si="21"/>
        <v>-3.1105383801556084</v>
      </c>
      <c r="CD52" s="6">
        <f t="shared" ca="1" si="22"/>
        <v>5.4899683908645756</v>
      </c>
      <c r="CE52" s="9">
        <f t="shared" ca="1" si="23"/>
        <v>13.64050232855417</v>
      </c>
      <c r="CF52">
        <f t="shared" ca="1" si="24"/>
        <v>14.703844963409534</v>
      </c>
      <c r="CG52" s="6">
        <f t="shared" ca="1" si="25"/>
        <v>0.37336957812914529</v>
      </c>
      <c r="CH52" s="6">
        <f t="shared" ca="1" si="26"/>
        <v>0.92768268180863656</v>
      </c>
      <c r="CI52" s="6">
        <f t="shared" ca="1" si="27"/>
        <v>1.1881576963271399</v>
      </c>
      <c r="CJ52" s="1">
        <f t="shared" ca="1" si="28"/>
        <v>1.7084562941357888</v>
      </c>
      <c r="CK52" s="38"/>
    </row>
    <row r="53" spans="1:89" x14ac:dyDescent="0.25">
      <c r="A53" t="s">
        <v>47</v>
      </c>
      <c r="B53" s="6">
        <f t="shared" si="52"/>
        <v>0.2813616563632495</v>
      </c>
      <c r="C53" s="6">
        <f t="shared" si="52"/>
        <v>-13.413457258228714</v>
      </c>
      <c r="D53" s="6">
        <f t="shared" si="36"/>
        <v>10.899582800400921</v>
      </c>
      <c r="E53" s="6">
        <f t="shared" si="36"/>
        <v>-7.8229850298466284</v>
      </c>
      <c r="F53" s="6">
        <f t="shared" si="37"/>
        <v>0.52649800305969696</v>
      </c>
      <c r="G53" s="6">
        <f t="shared" si="38"/>
        <v>-13.561593608441534</v>
      </c>
      <c r="H53" s="6">
        <f t="shared" si="39"/>
        <v>0.2813616563632495</v>
      </c>
      <c r="I53" s="6">
        <f t="shared" si="40"/>
        <v>-13.413457258228714</v>
      </c>
      <c r="J53" s="6">
        <f t="shared" si="41"/>
        <v>10.899582800400921</v>
      </c>
      <c r="K53" s="6">
        <f t="shared" si="42"/>
        <v>-7.8229850298466284</v>
      </c>
      <c r="L53" s="6">
        <f t="shared" si="43"/>
        <v>4.25</v>
      </c>
      <c r="M53" s="6">
        <f t="shared" si="44"/>
        <v>4.25</v>
      </c>
      <c r="N53" s="10">
        <f t="shared" si="45"/>
        <v>132.8268638793233</v>
      </c>
      <c r="O53" s="10">
        <f t="shared" si="46"/>
        <v>-1292.852929994674</v>
      </c>
      <c r="P53" s="10">
        <f t="shared" si="47"/>
        <v>-482.89928476978031</v>
      </c>
      <c r="S53">
        <f t="shared" si="48"/>
        <v>0.2813616563632495</v>
      </c>
      <c r="T53">
        <f t="shared" si="49"/>
        <v>-13.413457258228714</v>
      </c>
      <c r="V53">
        <f t="shared" si="50"/>
        <v>10.899582800400921</v>
      </c>
      <c r="W53">
        <f t="shared" si="51"/>
        <v>-7.8229850298466284</v>
      </c>
      <c r="AC53">
        <f>AC49</f>
        <v>0</v>
      </c>
      <c r="AD53">
        <f>AD49</f>
        <v>-3.1415926535897931</v>
      </c>
      <c r="BC53">
        <v>0.89011791851710886</v>
      </c>
      <c r="BD53">
        <v>-44.849697667833887</v>
      </c>
      <c r="BE53">
        <v>29.367000362054767</v>
      </c>
      <c r="BF53" s="6">
        <f t="shared" si="30"/>
        <v>2.561859566962525</v>
      </c>
      <c r="BG53" s="6">
        <f t="shared" si="31"/>
        <v>1.6717416484454162</v>
      </c>
      <c r="BH53" s="6">
        <f t="shared" si="2"/>
        <v>0.33475442350040391</v>
      </c>
      <c r="BI53" s="6">
        <f t="shared" si="3"/>
        <v>0.33475442350040391</v>
      </c>
      <c r="BV53" s="38"/>
      <c r="BW53" s="6">
        <f t="shared" si="8"/>
        <v>0.66322511575784571</v>
      </c>
      <c r="BX53" s="9">
        <f t="shared" ca="1" si="16"/>
        <v>-31.361202750327088</v>
      </c>
      <c r="BY53" s="9">
        <f t="shared" ca="1" si="17"/>
        <v>-1.2021793256340487</v>
      </c>
      <c r="BZ53">
        <f t="shared" ca="1" si="18"/>
        <v>31.384236060132245</v>
      </c>
      <c r="CA53" s="6">
        <f t="shared" ca="1" si="19"/>
        <v>-0.99926608665060301</v>
      </c>
      <c r="CB53" s="6">
        <f t="shared" ca="1" si="20"/>
        <v>-3.8305196383645317E-2</v>
      </c>
      <c r="CC53" s="6">
        <f t="shared" ca="1" si="21"/>
        <v>-3.1032780835559857</v>
      </c>
      <c r="CD53" s="6">
        <f t="shared" ca="1" si="22"/>
        <v>5.3732140794913974</v>
      </c>
      <c r="CE53" s="9">
        <f t="shared" ca="1" si="23"/>
        <v>13.864842215912606</v>
      </c>
      <c r="CF53">
        <f t="shared" ca="1" si="24"/>
        <v>14.869609248941176</v>
      </c>
      <c r="CG53" s="6">
        <f t="shared" ca="1" si="25"/>
        <v>0.36135543238125167</v>
      </c>
      <c r="CH53" s="6">
        <f t="shared" ca="1" si="26"/>
        <v>0.93242814816400665</v>
      </c>
      <c r="CI53" s="6">
        <f t="shared" ca="1" si="27"/>
        <v>1.2010751832807942</v>
      </c>
      <c r="CJ53" s="1">
        <f t="shared" ca="1" si="28"/>
        <v>1.6955388071821345</v>
      </c>
      <c r="CK53" s="38"/>
    </row>
    <row r="54" spans="1:89" x14ac:dyDescent="0.25">
      <c r="A54" t="s">
        <v>48</v>
      </c>
      <c r="B54" s="6">
        <f t="shared" si="52"/>
        <v>10.899582800400921</v>
      </c>
      <c r="C54" s="6">
        <f t="shared" si="52"/>
        <v>-7.8229850298466284</v>
      </c>
      <c r="D54" s="6">
        <f t="shared" si="36"/>
        <v>7.172601314812864</v>
      </c>
      <c r="E54" s="6">
        <f t="shared" si="36"/>
        <v>-0.74417093382151434</v>
      </c>
      <c r="F54" s="6">
        <f t="shared" si="37"/>
        <v>-1.8993424366067631</v>
      </c>
      <c r="G54" s="6">
        <f t="shared" si="38"/>
        <v>12.879055124264024</v>
      </c>
      <c r="H54" s="6">
        <f t="shared" si="39"/>
        <v>10.899582800400921</v>
      </c>
      <c r="I54" s="6">
        <f t="shared" si="40"/>
        <v>-7.8229850298466284</v>
      </c>
      <c r="J54" s="6">
        <f t="shared" si="41"/>
        <v>7.172601314812864</v>
      </c>
      <c r="K54" s="6">
        <f t="shared" si="42"/>
        <v>-0.74417093382151434</v>
      </c>
      <c r="L54" s="6">
        <f t="shared" si="43"/>
        <v>4.25</v>
      </c>
      <c r="M54" s="6">
        <f t="shared" si="44"/>
        <v>4.25</v>
      </c>
      <c r="N54" s="10">
        <f t="shared" si="45"/>
        <v>271.85046727906501</v>
      </c>
      <c r="O54" s="10">
        <f t="shared" si="46"/>
        <v>-1230.6359873476451</v>
      </c>
      <c r="P54" s="10">
        <f t="shared" si="47"/>
        <v>-1245.64508479187</v>
      </c>
      <c r="S54">
        <f t="shared" si="48"/>
        <v>10.899582800400921</v>
      </c>
      <c r="T54">
        <f t="shared" si="49"/>
        <v>-7.8229850298466284</v>
      </c>
      <c r="V54">
        <f t="shared" si="50"/>
        <v>7.172601314812864</v>
      </c>
      <c r="W54">
        <f t="shared" si="51"/>
        <v>-0.74417093382151434</v>
      </c>
      <c r="BC54">
        <v>0.90757121103705218</v>
      </c>
      <c r="BD54">
        <v>-45.099714620299672</v>
      </c>
      <c r="BE54">
        <v>29.69563420553369</v>
      </c>
      <c r="BF54" s="6">
        <f t="shared" si="30"/>
        <v>2.5593043248331733</v>
      </c>
      <c r="BG54" s="6">
        <f t="shared" si="31"/>
        <v>1.6517331137961211</v>
      </c>
      <c r="BH54" s="6">
        <f t="shared" si="2"/>
        <v>0.33730966562975562</v>
      </c>
      <c r="BI54" s="6">
        <f t="shared" si="3"/>
        <v>0.33730966562975562</v>
      </c>
      <c r="BV54" s="38"/>
      <c r="BW54" s="6">
        <f t="shared" si="8"/>
        <v>0.68067840827778903</v>
      </c>
      <c r="BX54" s="9">
        <f t="shared" ca="1" si="16"/>
        <v>-31.238754702226281</v>
      </c>
      <c r="BY54" s="9">
        <f t="shared" ca="1" si="17"/>
        <v>-1.4316456968786433</v>
      </c>
      <c r="BZ54">
        <f t="shared" ca="1" si="18"/>
        <v>31.271543050307827</v>
      </c>
      <c r="CA54" s="6">
        <f t="shared" ca="1" si="19"/>
        <v>-0.99895149567679475</v>
      </c>
      <c r="CB54" s="6">
        <f t="shared" ca="1" si="20"/>
        <v>-4.5781101833558248E-2</v>
      </c>
      <c r="CC54" s="6">
        <f t="shared" ca="1" si="21"/>
        <v>-3.0957955444814904</v>
      </c>
      <c r="CD54" s="6">
        <f t="shared" ca="1" si="22"/>
        <v>5.2507660313905902</v>
      </c>
      <c r="CE54" s="9">
        <f t="shared" ca="1" si="23"/>
        <v>14.094308587157201</v>
      </c>
      <c r="CF54">
        <f t="shared" ca="1" si="24"/>
        <v>15.040614298173413</v>
      </c>
      <c r="CG54" s="6">
        <f t="shared" ca="1" si="25"/>
        <v>0.34910582289370073</v>
      </c>
      <c r="CH54" s="6">
        <f t="shared" ca="1" si="26"/>
        <v>0.9370833070873219</v>
      </c>
      <c r="CI54" s="6">
        <f t="shared" ca="1" si="27"/>
        <v>1.2141796059947736</v>
      </c>
      <c r="CJ54" s="1">
        <f t="shared" ca="1" si="28"/>
        <v>1.6824343844681551</v>
      </c>
      <c r="CK54" s="38"/>
    </row>
    <row r="55" spans="1:89" x14ac:dyDescent="0.25">
      <c r="A55" t="s">
        <v>93</v>
      </c>
      <c r="B55" s="6">
        <f t="shared" si="52"/>
        <v>7.172601314812864</v>
      </c>
      <c r="C55" s="6">
        <f t="shared" si="52"/>
        <v>-0.74417093382151434</v>
      </c>
      <c r="D55" s="6">
        <f t="shared" si="36"/>
        <v>7.172601314812864</v>
      </c>
      <c r="E55" s="6">
        <f t="shared" si="36"/>
        <v>-0.74417093382151434</v>
      </c>
      <c r="F55" s="6" t="str">
        <f t="shared" si="37"/>
        <v>V</v>
      </c>
      <c r="G55" s="6">
        <f t="shared" si="38"/>
        <v>0</v>
      </c>
      <c r="H55" s="6">
        <f t="shared" si="39"/>
        <v>7.172601314812864</v>
      </c>
      <c r="I55" s="6">
        <f t="shared" si="40"/>
        <v>-0.74417093382151434</v>
      </c>
      <c r="J55" s="6">
        <f t="shared" si="41"/>
        <v>7.172601314812864</v>
      </c>
      <c r="K55" s="6">
        <f t="shared" si="42"/>
        <v>-0.74417093382151434</v>
      </c>
      <c r="L55" s="6">
        <f t="shared" si="43"/>
        <v>4.25</v>
      </c>
      <c r="M55" s="6">
        <f t="shared" si="44"/>
        <v>4.25</v>
      </c>
      <c r="N55" s="10">
        <f t="shared" si="45"/>
        <v>0</v>
      </c>
      <c r="O55" s="10">
        <f t="shared" si="46"/>
        <v>0</v>
      </c>
      <c r="P55" s="10">
        <f t="shared" si="47"/>
        <v>0</v>
      </c>
      <c r="S55">
        <f t="shared" si="48"/>
        <v>7.172601314812864</v>
      </c>
      <c r="T55">
        <f t="shared" si="49"/>
        <v>-0.74417093382151434</v>
      </c>
      <c r="V55">
        <f t="shared" si="50"/>
        <v>7.172601314812864</v>
      </c>
      <c r="W55">
        <f t="shared" si="51"/>
        <v>-0.74417093382151434</v>
      </c>
      <c r="BC55">
        <v>0.9250245035569955</v>
      </c>
      <c r="BD55">
        <v>-45.366233092387425</v>
      </c>
      <c r="BE55">
        <v>30.035358051290942</v>
      </c>
      <c r="BF55" s="6">
        <f t="shared" si="30"/>
        <v>2.5567831568820694</v>
      </c>
      <c r="BG55" s="6">
        <f t="shared" si="31"/>
        <v>1.6317586533250739</v>
      </c>
      <c r="BH55" s="6">
        <f t="shared" si="2"/>
        <v>0.33983083358085953</v>
      </c>
      <c r="BI55" s="6">
        <f t="shared" si="3"/>
        <v>0.33983083358085953</v>
      </c>
      <c r="BV55" s="38"/>
      <c r="BW55" s="6">
        <f t="shared" si="8"/>
        <v>0.69813170079773235</v>
      </c>
      <c r="BX55" s="9">
        <f t="shared" ca="1" si="16"/>
        <v>-31.110222654284151</v>
      </c>
      <c r="BY55" s="9">
        <f t="shared" ca="1" si="17"/>
        <v>-1.6665123138480524</v>
      </c>
      <c r="BZ55">
        <f t="shared" ca="1" si="18"/>
        <v>31.154826542469177</v>
      </c>
      <c r="CA55" s="6">
        <f t="shared" ca="1" si="19"/>
        <v>-0.99856831530985335</v>
      </c>
      <c r="CB55" s="6">
        <f t="shared" ca="1" si="20"/>
        <v>-5.3491304519905469E-2</v>
      </c>
      <c r="CC55" s="6">
        <f t="shared" ca="1" si="21"/>
        <v>-3.0880758068813661</v>
      </c>
      <c r="CD55" s="6">
        <f t="shared" ca="1" si="22"/>
        <v>5.12223398344846</v>
      </c>
      <c r="CE55" s="9">
        <f t="shared" ca="1" si="23"/>
        <v>14.32917520412661</v>
      </c>
      <c r="CF55">
        <f t="shared" ca="1" si="24"/>
        <v>15.217179206796217</v>
      </c>
      <c r="CG55" s="6">
        <f t="shared" ca="1" si="25"/>
        <v>0.33660863908080907</v>
      </c>
      <c r="CH55" s="6">
        <f t="shared" ca="1" si="26"/>
        <v>0.94164463790549224</v>
      </c>
      <c r="CI55" s="6">
        <f t="shared" ca="1" si="27"/>
        <v>1.227483287908635</v>
      </c>
      <c r="CJ55" s="1">
        <f t="shared" ca="1" si="28"/>
        <v>1.6691307025542936</v>
      </c>
      <c r="CK55" s="38"/>
    </row>
    <row r="56" spans="1:89" ht="15.75" thickBot="1" x14ac:dyDescent="0.3">
      <c r="A56" t="s">
        <v>94</v>
      </c>
      <c r="B56" s="6">
        <f t="shared" si="52"/>
        <v>7.172601314812864</v>
      </c>
      <c r="C56" s="6">
        <f t="shared" si="52"/>
        <v>-0.74417093382151434</v>
      </c>
      <c r="D56" s="6">
        <f t="shared" si="36"/>
        <v>-0.2813616563632495</v>
      </c>
      <c r="E56" s="6">
        <f t="shared" si="36"/>
        <v>13.413457258228714</v>
      </c>
      <c r="F56" s="6">
        <f t="shared" si="37"/>
        <v>-1.8993424366067633</v>
      </c>
      <c r="G56" s="6">
        <f t="shared" si="38"/>
        <v>12.879055124264024</v>
      </c>
      <c r="H56" s="6">
        <f t="shared" si="39"/>
        <v>7.172601314812864</v>
      </c>
      <c r="I56" s="6">
        <f t="shared" si="40"/>
        <v>-0.74417093382151434</v>
      </c>
      <c r="J56" s="6">
        <f t="shared" si="41"/>
        <v>-0.2813616563632495</v>
      </c>
      <c r="K56" s="6">
        <f t="shared" si="42"/>
        <v>13.413457258228714</v>
      </c>
      <c r="L56" s="6">
        <f t="shared" si="43"/>
        <v>4.25</v>
      </c>
      <c r="M56" s="6">
        <f t="shared" si="44"/>
        <v>4.25</v>
      </c>
      <c r="N56" s="11">
        <f t="shared" si="45"/>
        <v>207.3226688416118</v>
      </c>
      <c r="O56" s="11">
        <f t="shared" si="46"/>
        <v>784.16863566941277</v>
      </c>
      <c r="P56" s="11">
        <f t="shared" si="47"/>
        <v>-496.47483479086429</v>
      </c>
      <c r="S56">
        <f t="shared" si="48"/>
        <v>7.172601314812864</v>
      </c>
      <c r="T56">
        <f t="shared" si="49"/>
        <v>-0.74417093382151434</v>
      </c>
      <c r="V56">
        <f t="shared" si="50"/>
        <v>-0.2813616563632495</v>
      </c>
      <c r="W56">
        <f t="shared" si="51"/>
        <v>13.413457258228714</v>
      </c>
      <c r="BC56">
        <v>0.94247779607693882</v>
      </c>
      <c r="BD56">
        <v>-45.650794363155988</v>
      </c>
      <c r="BE56">
        <v>30.386856342460309</v>
      </c>
      <c r="BF56" s="6">
        <f t="shared" si="30"/>
        <v>2.5543032572416502</v>
      </c>
      <c r="BG56" s="6">
        <f t="shared" si="31"/>
        <v>1.6118254611647114</v>
      </c>
      <c r="BH56" s="6">
        <f t="shared" si="2"/>
        <v>0.3423107332212787</v>
      </c>
      <c r="BI56" s="6">
        <f t="shared" si="3"/>
        <v>0.3423107332212787</v>
      </c>
      <c r="BV56" s="38"/>
      <c r="BW56" s="6">
        <f t="shared" si="8"/>
        <v>0.71558499331767567</v>
      </c>
      <c r="BX56" s="9">
        <f t="shared" ca="1" si="16"/>
        <v>-30.975181067021857</v>
      </c>
      <c r="BY56" s="9">
        <f t="shared" ca="1" si="17"/>
        <v>-1.9070694905459113</v>
      </c>
      <c r="BZ56">
        <f t="shared" ca="1" si="18"/>
        <v>31.033832444230288</v>
      </c>
      <c r="CA56" s="6">
        <f t="shared" ca="1" si="19"/>
        <v>-0.99811008268753687</v>
      </c>
      <c r="CB56" s="6">
        <f t="shared" ca="1" si="20"/>
        <v>-6.1451304603549459E-2</v>
      </c>
      <c r="CC56" s="6">
        <f t="shared" ca="1" si="21"/>
        <v>-3.0801026070689055</v>
      </c>
      <c r="CD56" s="6">
        <f t="shared" ca="1" si="22"/>
        <v>4.9871923961861668</v>
      </c>
      <c r="CE56" s="9">
        <f t="shared" ca="1" si="23"/>
        <v>14.569732380824469</v>
      </c>
      <c r="CF56">
        <f t="shared" ca="1" si="24"/>
        <v>15.399649010461964</v>
      </c>
      <c r="CG56" s="6">
        <f t="shared" ca="1" si="25"/>
        <v>0.32385104315027236</v>
      </c>
      <c r="CH56" s="6">
        <f t="shared" ca="1" si="26"/>
        <v>0.94610808148460535</v>
      </c>
      <c r="CI56" s="6">
        <f t="shared" ca="1" si="27"/>
        <v>1.2409992548934232</v>
      </c>
      <c r="CJ56" s="1">
        <f t="shared" ca="1" si="28"/>
        <v>1.6556147355695054</v>
      </c>
      <c r="CK56" s="38"/>
    </row>
    <row r="57" spans="1:89" ht="15.75" thickTop="1" x14ac:dyDescent="0.25">
      <c r="N57" s="6">
        <f>SUM(N49:N56)</f>
        <v>1224.0000000000002</v>
      </c>
      <c r="O57" s="6">
        <f>SUM(O49:O56)</f>
        <v>0</v>
      </c>
      <c r="P57" s="6">
        <f>SUM(P49:P56)</f>
        <v>0</v>
      </c>
      <c r="BC57">
        <v>0.95993108859688214</v>
      </c>
      <c r="BD57">
        <v>-45.955127019333318</v>
      </c>
      <c r="BE57">
        <v>30.750866190448498</v>
      </c>
      <c r="BF57" s="6">
        <f t="shared" si="30"/>
        <v>2.5518728952402512</v>
      </c>
      <c r="BG57" s="6">
        <f t="shared" si="31"/>
        <v>1.591941806643369</v>
      </c>
      <c r="BH57" s="6">
        <f t="shared" si="2"/>
        <v>0.34474109522267771</v>
      </c>
      <c r="BI57" s="6">
        <f t="shared" si="3"/>
        <v>0.34474109522267771</v>
      </c>
      <c r="BV57" s="38"/>
      <c r="BW57" s="6">
        <f t="shared" si="8"/>
        <v>0.73303828583761899</v>
      </c>
      <c r="BX57" s="9">
        <f t="shared" ca="1" si="16"/>
        <v>-30.833165260106867</v>
      </c>
      <c r="BY57" s="9">
        <f t="shared" ca="1" si="17"/>
        <v>-2.153625393509234</v>
      </c>
      <c r="BZ57">
        <f t="shared" ca="1" si="18"/>
        <v>30.908286628226882</v>
      </c>
      <c r="CA57" s="6">
        <f t="shared" ca="1" si="19"/>
        <v>-0.99756953955346683</v>
      </c>
      <c r="CB57" s="6">
        <f t="shared" ca="1" si="20"/>
        <v>-6.9677928751393267E-2</v>
      </c>
      <c r="CC57" s="6">
        <f t="shared" ca="1" si="21"/>
        <v>-3.0718582200849465</v>
      </c>
      <c r="CD57" s="6">
        <f t="shared" ca="1" si="22"/>
        <v>4.8451765892711762</v>
      </c>
      <c r="CE57" s="9">
        <f t="shared" ca="1" si="23"/>
        <v>14.816288283787792</v>
      </c>
      <c r="CF57">
        <f t="shared" ca="1" si="24"/>
        <v>15.588397438143822</v>
      </c>
      <c r="CG57" s="6">
        <f t="shared" ca="1" si="25"/>
        <v>0.31081941607514674</v>
      </c>
      <c r="CH57" s="6">
        <f t="shared" ca="1" si="26"/>
        <v>0.9504689845495774</v>
      </c>
      <c r="CI57" s="6">
        <f t="shared" ca="1" si="27"/>
        <v>1.2547412981031769</v>
      </c>
      <c r="CJ57" s="1">
        <f t="shared" ca="1" si="28"/>
        <v>1.6418726923597518</v>
      </c>
      <c r="CK57" s="38"/>
    </row>
    <row r="58" spans="1:89" x14ac:dyDescent="0.25">
      <c r="O58" s="6">
        <f>O57/N57</f>
        <v>0</v>
      </c>
      <c r="P58" s="6">
        <f>-1*P57/N57</f>
        <v>0</v>
      </c>
      <c r="S58">
        <f>(P58*COS(-1*$B$27))+(O58*SIN(-1*$B$27))+$I$2</f>
        <v>6</v>
      </c>
      <c r="T58">
        <f>(-1*P58*SIN(-1*$B$27))+(O58*COS(-1*$B$27))+$I$3</f>
        <v>12</v>
      </c>
      <c r="BC58">
        <v>0.97738438111682546</v>
      </c>
      <c r="BD58">
        <v>-46.281164332824602</v>
      </c>
      <c r="BE58">
        <v>31.128179557884405</v>
      </c>
      <c r="BF58" s="6">
        <f t="shared" si="30"/>
        <v>2.5495015068734972</v>
      </c>
      <c r="BG58" s="6">
        <f t="shared" si="31"/>
        <v>1.5721171257566717</v>
      </c>
      <c r="BH58" s="6">
        <f t="shared" si="2"/>
        <v>0.3471124835894317</v>
      </c>
      <c r="BI58" s="6">
        <f t="shared" si="3"/>
        <v>0.3471124835894317</v>
      </c>
      <c r="BV58" s="38"/>
      <c r="BW58" s="6">
        <f t="shared" si="8"/>
        <v>0.75049157835756231</v>
      </c>
      <c r="BX58" s="9">
        <f t="shared" ca="1" si="16"/>
        <v>-30.683667014120594</v>
      </c>
      <c r="BY58" s="9">
        <f t="shared" ca="1" si="17"/>
        <v>-2.4065074616019366</v>
      </c>
      <c r="BZ58">
        <f t="shared" ca="1" si="18"/>
        <v>30.77789303373735</v>
      </c>
      <c r="CA58" s="6">
        <f t="shared" ca="1" si="19"/>
        <v>-0.9969385162423734</v>
      </c>
      <c r="CB58" s="6">
        <f t="shared" ca="1" si="20"/>
        <v>-7.8189480318358082E-2</v>
      </c>
      <c r="CC58" s="6">
        <f t="shared" ca="1" si="21"/>
        <v>-3.0633232834890247</v>
      </c>
      <c r="CD58" s="6">
        <f t="shared" ca="1" si="22"/>
        <v>4.6956783432849036</v>
      </c>
      <c r="CE58" s="9">
        <f t="shared" ca="1" si="23"/>
        <v>15.069170351880494</v>
      </c>
      <c r="CF58">
        <f t="shared" ca="1" si="24"/>
        <v>15.783830023083402</v>
      </c>
      <c r="CG58" s="6">
        <f t="shared" ca="1" si="25"/>
        <v>0.29749929747200826</v>
      </c>
      <c r="CH58" s="6">
        <f t="shared" ca="1" si="26"/>
        <v>0.95472203703678138</v>
      </c>
      <c r="CI58" s="6">
        <f t="shared" ca="1" si="27"/>
        <v>1.2687240446367136</v>
      </c>
      <c r="CJ58" s="1">
        <f t="shared" ca="1" si="28"/>
        <v>1.627889945826215</v>
      </c>
      <c r="CK58" s="38"/>
    </row>
    <row r="59" spans="1:89" x14ac:dyDescent="0.25">
      <c r="A59" t="s">
        <v>54</v>
      </c>
      <c r="O59">
        <f>O57/12</f>
        <v>0</v>
      </c>
      <c r="P59">
        <f>P57/12</f>
        <v>0</v>
      </c>
      <c r="BC59">
        <v>0.99483767363676878</v>
      </c>
      <c r="BD59">
        <v>-46.630995228847688</v>
      </c>
      <c r="BE59">
        <v>31.519627440443024</v>
      </c>
      <c r="BF59" s="6">
        <f t="shared" si="30"/>
        <v>2.547199373998744</v>
      </c>
      <c r="BG59" s="6">
        <f t="shared" si="31"/>
        <v>1.5523617003619752</v>
      </c>
      <c r="BH59" s="6">
        <f t="shared" si="2"/>
        <v>0.34941461646418492</v>
      </c>
      <c r="BI59" s="6">
        <f t="shared" si="3"/>
        <v>0.34941461646418492</v>
      </c>
      <c r="BV59" s="38"/>
      <c r="BW59" s="6">
        <f t="shared" si="8"/>
        <v>0.76794487087750563</v>
      </c>
      <c r="BX59" s="9">
        <f t="shared" ca="1" si="16"/>
        <v>-30.526129602721859</v>
      </c>
      <c r="BY59" s="9">
        <f t="shared" ca="1" si="17"/>
        <v>-2.666063958029099</v>
      </c>
      <c r="BZ59">
        <f t="shared" ca="1" si="18"/>
        <v>30.642331594551898</v>
      </c>
      <c r="CA59" s="6">
        <f t="shared" ca="1" si="19"/>
        <v>-0.99620779536728532</v>
      </c>
      <c r="CB59" s="6">
        <f t="shared" ca="1" si="20"/>
        <v>-8.7005910428275504E-2</v>
      </c>
      <c r="CC59" s="6">
        <f t="shared" ca="1" si="21"/>
        <v>-3.054476594655593</v>
      </c>
      <c r="CD59" s="6">
        <f t="shared" ca="1" si="22"/>
        <v>4.5381409318861685</v>
      </c>
      <c r="CE59" s="9">
        <f t="shared" ca="1" si="23"/>
        <v>15.328726848307657</v>
      </c>
      <c r="CF59">
        <f t="shared" ca="1" si="24"/>
        <v>15.986387644107991</v>
      </c>
      <c r="CG59" s="6">
        <f t="shared" ca="1" si="25"/>
        <v>0.28387532148695049</v>
      </c>
      <c r="CH59" s="6">
        <f t="shared" ca="1" si="26"/>
        <v>0.95886120051375556</v>
      </c>
      <c r="CI59" s="6">
        <f t="shared" ca="1" si="27"/>
        <v>1.2829630341197418</v>
      </c>
      <c r="CJ59" s="1">
        <f t="shared" ca="1" si="28"/>
        <v>1.6136509563431869</v>
      </c>
      <c r="CK59" s="38"/>
    </row>
    <row r="60" spans="1:89" x14ac:dyDescent="0.25">
      <c r="BC60">
        <v>1.0122909661567121</v>
      </c>
      <c r="BD60">
        <v>-47.006826914764716</v>
      </c>
      <c r="BE60">
        <v>31.926069155343836</v>
      </c>
      <c r="BF60" s="6">
        <f t="shared" si="30"/>
        <v>2.5449773324739109</v>
      </c>
      <c r="BG60" s="6">
        <f t="shared" si="31"/>
        <v>1.5326863663171988</v>
      </c>
      <c r="BH60" s="6">
        <f t="shared" si="2"/>
        <v>0.351636657989018</v>
      </c>
      <c r="BI60" s="6">
        <f t="shared" si="3"/>
        <v>0.351636657989018</v>
      </c>
      <c r="BV60" s="38"/>
      <c r="BW60" s="6">
        <f t="shared" si="8"/>
        <v>0.78539816339744895</v>
      </c>
      <c r="BX60" s="9">
        <f t="shared" ca="1" si="16"/>
        <v>-30.359942128954785</v>
      </c>
      <c r="BY60" s="9">
        <f t="shared" ca="1" si="17"/>
        <v>-2.9326656690908806</v>
      </c>
      <c r="BZ60">
        <f t="shared" ca="1" si="18"/>
        <v>30.501255941356707</v>
      </c>
      <c r="CA60" s="6">
        <f t="shared" ca="1" si="19"/>
        <v>-0.99536695103068484</v>
      </c>
      <c r="CB60" s="6">
        <f t="shared" ca="1" si="20"/>
        <v>-9.6149013494046781E-2</v>
      </c>
      <c r="CC60" s="6">
        <f t="shared" ca="1" si="21"/>
        <v>-3.0452948766719596</v>
      </c>
      <c r="CD60" s="6">
        <f t="shared" ca="1" si="22"/>
        <v>4.3719534581190942</v>
      </c>
      <c r="CE60" s="9">
        <f t="shared" ca="1" si="23"/>
        <v>15.595328559369438</v>
      </c>
      <c r="CF60">
        <f t="shared" ca="1" si="24"/>
        <v>16.196550556048766</v>
      </c>
      <c r="CG60" s="6">
        <f t="shared" ca="1" si="25"/>
        <v>0.26993114632586651</v>
      </c>
      <c r="CH60" s="6">
        <f t="shared" ca="1" si="26"/>
        <v>0.96287962707869323</v>
      </c>
      <c r="CI60" s="6">
        <f t="shared" ca="1" si="27"/>
        <v>1.2974748041249962</v>
      </c>
      <c r="CJ60" s="1">
        <f t="shared" ca="1" si="28"/>
        <v>1.5991391863379325</v>
      </c>
      <c r="CK60" s="38"/>
    </row>
    <row r="61" spans="1:89" x14ac:dyDescent="0.25">
      <c r="A61">
        <f t="shared" ref="A61:E71" si="53">A14</f>
        <v>0</v>
      </c>
      <c r="B61" s="1" t="str">
        <f t="shared" si="53"/>
        <v>Bar #</v>
      </c>
      <c r="C61" s="1" t="str">
        <f t="shared" si="53"/>
        <v>As (in^2)</v>
      </c>
      <c r="D61" s="1" t="str">
        <f t="shared" si="53"/>
        <v>x</v>
      </c>
      <c r="E61" s="1" t="str">
        <f t="shared" si="53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-47.410995061082218</v>
      </c>
      <c r="BE61">
        <v>32.348395377098235</v>
      </c>
      <c r="BF61" s="6">
        <f t="shared" si="30"/>
        <v>2.5428467412766524</v>
      </c>
      <c r="BG61" s="6">
        <f t="shared" si="31"/>
        <v>1.513102482599997</v>
      </c>
      <c r="BH61" s="6">
        <f t="shared" si="2"/>
        <v>0.35376724918627644</v>
      </c>
      <c r="BI61" s="6">
        <f t="shared" si="3"/>
        <v>0.35376724918627644</v>
      </c>
      <c r="BV61" s="38"/>
      <c r="BW61" s="6">
        <f t="shared" si="8"/>
        <v>0.80285145591739226</v>
      </c>
      <c r="BX61" s="9">
        <f t="shared" ca="1" si="16"/>
        <v>-30.184433075017807</v>
      </c>
      <c r="BY61" s="9">
        <f t="shared" ca="1" si="17"/>
        <v>-3.2067077661378107</v>
      </c>
      <c r="BZ61">
        <f t="shared" ca="1" si="18"/>
        <v>30.354290878846726</v>
      </c>
      <c r="CA61" s="6">
        <f t="shared" ca="1" si="19"/>
        <v>-0.99440415839372187</v>
      </c>
      <c r="CB61" s="6">
        <f t="shared" ca="1" si="20"/>
        <v>-0.10564265127908155</v>
      </c>
      <c r="CC61" s="6">
        <f t="shared" ca="1" si="21"/>
        <v>-3.0357525069977913</v>
      </c>
      <c r="CD61" s="6">
        <f t="shared" ca="1" si="22"/>
        <v>4.1964444041821167</v>
      </c>
      <c r="CE61" s="9">
        <f t="shared" ca="1" si="23"/>
        <v>15.869370656416368</v>
      </c>
      <c r="CF61">
        <f t="shared" ca="1" si="24"/>
        <v>16.414842998582724</v>
      </c>
      <c r="CG61" s="6">
        <f t="shared" ca="1" si="25"/>
        <v>0.25564937809910471</v>
      </c>
      <c r="CH61" s="6">
        <f t="shared" ca="1" si="26"/>
        <v>0.9667695668966525</v>
      </c>
      <c r="CI61" s="6">
        <f t="shared" ca="1" si="27"/>
        <v>1.3122769842349511</v>
      </c>
      <c r="CJ61" s="1">
        <f t="shared" ca="1" si="28"/>
        <v>1.5843370062279776</v>
      </c>
      <c r="CK61" s="38"/>
    </row>
    <row r="62" spans="1:89" x14ac:dyDescent="0.25">
      <c r="A62">
        <f t="shared" si="53"/>
        <v>1</v>
      </c>
      <c r="B62" s="1">
        <f t="shared" si="53"/>
        <v>8</v>
      </c>
      <c r="C62" s="1">
        <f t="shared" ca="1" si="53"/>
        <v>0.79</v>
      </c>
      <c r="D62" s="1">
        <f t="shared" si="53"/>
        <v>2</v>
      </c>
      <c r="E62" s="1">
        <f t="shared" si="53"/>
        <v>2</v>
      </c>
      <c r="F62" s="1">
        <f t="shared" ref="F62:F71" si="54">D62-$I$2</f>
        <v>-4</v>
      </c>
      <c r="G62" s="1">
        <f t="shared" ref="G62:G71" si="55">E62-$I$3</f>
        <v>-10</v>
      </c>
      <c r="H62" s="6">
        <f t="shared" ref="H62:H71" si="56">F62*COS($B$27)+G62*SIN($B$27)</f>
        <v>-1.1193198089725134</v>
      </c>
      <c r="I62" s="6">
        <f t="shared" ref="I62:I71" si="57">-1*F62*SIN($B$27)+G62*COS($B$27)</f>
        <v>10.71200836282542</v>
      </c>
      <c r="J62" s="6">
        <f t="shared" ref="J62:J71" si="58">$G$38-I62</f>
        <v>2.7014488954032938</v>
      </c>
      <c r="K62">
        <f t="shared" ref="K62:K71" ca="1" si="59">IF($B$28=0,-1,IF(C62=0,0,(($B$28-J62)/$B$28)*$B$30)*IF($B$28&lt;0,-1,1))</f>
        <v>2.761079769487168E-3</v>
      </c>
      <c r="L62">
        <f t="shared" ref="L62:L71" ca="1" si="60">IF(AND(K62&gt;0,J62&lt;=$B$29),MIN((K62*B$13),B$12)-$B$31,MAX(K62*B$13,-1*B$12))</f>
        <v>55.75</v>
      </c>
      <c r="M62" s="6">
        <f t="shared" ref="M62:M71" ca="1" si="61">L62*C62</f>
        <v>44.042500000000004</v>
      </c>
      <c r="N62" s="6">
        <f t="shared" ref="N62:N71" ca="1" si="62">M62*I62</f>
        <v>471.78362831973863</v>
      </c>
      <c r="O62" s="6">
        <f t="shared" ref="O62:O71" ca="1" si="63">M62*H62*-1</f>
        <v>49.297642686671928</v>
      </c>
      <c r="Q62">
        <f t="shared" ref="Q62:Q71" si="64">IF($B62=0,NA(),H62)</f>
        <v>-1.1193198089725134</v>
      </c>
      <c r="R62">
        <f t="shared" ref="R62:R71" si="65">IF($B62=0,NA(),I62)</f>
        <v>10.71200836282542</v>
      </c>
      <c r="BC62">
        <v>1.0471975511965987</v>
      </c>
      <c r="BD62">
        <v>-47.845977696483914</v>
      </c>
      <c r="BE62">
        <v>32.78753210324102</v>
      </c>
      <c r="BF62" s="6">
        <f t="shared" si="30"/>
        <v>2.5408194630072618</v>
      </c>
      <c r="BG62" s="6">
        <f t="shared" si="31"/>
        <v>1.4936219118106631</v>
      </c>
      <c r="BH62" s="6">
        <f t="shared" si="2"/>
        <v>0.35579452745566709</v>
      </c>
      <c r="BI62" s="6">
        <f t="shared" si="3"/>
        <v>0.35579452745566709</v>
      </c>
      <c r="BV62" s="38"/>
      <c r="BW62" s="6">
        <f t="shared" si="8"/>
        <v>0.82030474843733558</v>
      </c>
      <c r="BX62" s="9">
        <f t="shared" ca="1" si="16"/>
        <v>-29.998862932575491</v>
      </c>
      <c r="BY62" s="9">
        <f t="shared" ca="1" si="17"/>
        <v>-3.488611849483906</v>
      </c>
      <c r="BZ62">
        <f t="shared" ca="1" si="18"/>
        <v>30.201029616286451</v>
      </c>
      <c r="CA62" s="6">
        <f t="shared" ca="1" si="19"/>
        <v>-0.99330596717133324</v>
      </c>
      <c r="CB62" s="6">
        <f t="shared" ca="1" si="20"/>
        <v>-0.11551301044394224</v>
      </c>
      <c r="CC62" s="6">
        <f t="shared" ca="1" si="21"/>
        <v>-3.0258212017124033</v>
      </c>
      <c r="CD62" s="6">
        <f t="shared" ca="1" si="22"/>
        <v>4.0108742617398008</v>
      </c>
      <c r="CE62" s="9">
        <f t="shared" ca="1" si="23"/>
        <v>16.151274739762464</v>
      </c>
      <c r="CF62">
        <f t="shared" ca="1" si="24"/>
        <v>16.641838482054073</v>
      </c>
      <c r="CG62" s="6">
        <f t="shared" ca="1" si="25"/>
        <v>0.24101148836800546</v>
      </c>
      <c r="CH62" s="6">
        <f t="shared" ca="1" si="26"/>
        <v>0.97052226274034481</v>
      </c>
      <c r="CI62" s="6">
        <f t="shared" ca="1" si="27"/>
        <v>1.3273884000302438</v>
      </c>
      <c r="CJ62" s="1">
        <f t="shared" ca="1" si="28"/>
        <v>1.5692255904326851</v>
      </c>
      <c r="CK62" s="38"/>
    </row>
    <row r="63" spans="1:89" x14ac:dyDescent="0.25">
      <c r="A63">
        <f t="shared" si="53"/>
        <v>2</v>
      </c>
      <c r="B63" s="1">
        <f t="shared" si="53"/>
        <v>8</v>
      </c>
      <c r="C63" s="1">
        <f t="shared" ca="1" si="53"/>
        <v>0.79</v>
      </c>
      <c r="D63" s="1">
        <f t="shared" si="53"/>
        <v>2</v>
      </c>
      <c r="E63" s="1">
        <f t="shared" si="53"/>
        <v>4</v>
      </c>
      <c r="F63" s="1">
        <f t="shared" si="54"/>
        <v>-4</v>
      </c>
      <c r="G63" s="1">
        <f t="shared" si="55"/>
        <v>-8</v>
      </c>
      <c r="H63" s="6">
        <f t="shared" si="56"/>
        <v>-0.18757443757549952</v>
      </c>
      <c r="I63" s="6">
        <f t="shared" si="57"/>
        <v>8.9423048388191422</v>
      </c>
      <c r="J63" s="6">
        <f t="shared" si="58"/>
        <v>4.471152419409572</v>
      </c>
      <c r="K63">
        <f t="shared" ca="1" si="59"/>
        <v>2.6045645103555206E-3</v>
      </c>
      <c r="L63">
        <f t="shared" ca="1" si="60"/>
        <v>55.75</v>
      </c>
      <c r="M63" s="6">
        <f t="shared" ca="1" si="61"/>
        <v>44.042500000000004</v>
      </c>
      <c r="N63" s="6">
        <f t="shared" ca="1" si="62"/>
        <v>393.84146086369208</v>
      </c>
      <c r="O63" s="6">
        <f t="shared" ca="1" si="63"/>
        <v>8.2612471669189382</v>
      </c>
      <c r="Q63">
        <f t="shared" si="64"/>
        <v>-0.18757443757549952</v>
      </c>
      <c r="R63">
        <f t="shared" si="65"/>
        <v>8.9423048388191422</v>
      </c>
      <c r="BC63">
        <v>1.0646508437165421</v>
      </c>
      <c r="BD63">
        <v>-48.314410007368416</v>
      </c>
      <c r="BE63">
        <v>33.244444806504873</v>
      </c>
      <c r="BF63" s="6">
        <f t="shared" si="30"/>
        <v>2.5389078374739635</v>
      </c>
      <c r="BG63" s="6">
        <f t="shared" si="31"/>
        <v>1.4742569937574215</v>
      </c>
      <c r="BH63" s="6">
        <f t="shared" si="2"/>
        <v>0.35770615298896535</v>
      </c>
      <c r="BI63" s="6">
        <f t="shared" si="3"/>
        <v>0.35770615298896535</v>
      </c>
      <c r="BV63" s="38"/>
      <c r="BW63" s="6">
        <f t="shared" si="8"/>
        <v>0.8377580409572789</v>
      </c>
      <c r="BX63" s="9">
        <f t="shared" ca="1" si="16"/>
        <v>-29.802415742910561</v>
      </c>
      <c r="BY63" s="9">
        <f t="shared" ca="1" si="17"/>
        <v>-3.7788281949883675</v>
      </c>
      <c r="BZ63">
        <f t="shared" ca="1" si="18"/>
        <v>30.041030718677451</v>
      </c>
      <c r="CA63" s="6">
        <f t="shared" ca="1" si="19"/>
        <v>-0.99205703099865561</v>
      </c>
      <c r="CB63" s="6">
        <f t="shared" ca="1" si="20"/>
        <v>-0.12578889953462721</v>
      </c>
      <c r="CC63" s="6">
        <f t="shared" ca="1" si="21"/>
        <v>-3.0154696465148438</v>
      </c>
      <c r="CD63" s="6">
        <f t="shared" ca="1" si="22"/>
        <v>3.8144270720748708</v>
      </c>
      <c r="CE63" s="9">
        <f t="shared" ca="1" si="23"/>
        <v>16.441491085266925</v>
      </c>
      <c r="CF63">
        <f t="shared" ca="1" si="24"/>
        <v>16.878165865848381</v>
      </c>
      <c r="CG63" s="6">
        <f t="shared" ca="1" si="25"/>
        <v>0.22599772406509283</v>
      </c>
      <c r="CH63" s="6">
        <f t="shared" ca="1" si="26"/>
        <v>0.97412782976229473</v>
      </c>
      <c r="CI63" s="6">
        <f t="shared" ca="1" si="27"/>
        <v>1.3428291891610773</v>
      </c>
      <c r="CJ63" s="1">
        <f t="shared" ca="1" si="28"/>
        <v>1.5537848013018516</v>
      </c>
      <c r="CK63" s="38"/>
    </row>
    <row r="64" spans="1:89" x14ac:dyDescent="0.25">
      <c r="A64">
        <f t="shared" si="53"/>
        <v>3</v>
      </c>
      <c r="B64" s="1">
        <f t="shared" si="53"/>
        <v>8</v>
      </c>
      <c r="C64" s="1">
        <f t="shared" ca="1" si="53"/>
        <v>0.79</v>
      </c>
      <c r="D64" s="1">
        <f t="shared" si="53"/>
        <v>4</v>
      </c>
      <c r="E64" s="1">
        <f t="shared" si="53"/>
        <v>2</v>
      </c>
      <c r="F64" s="1">
        <f t="shared" si="54"/>
        <v>-2</v>
      </c>
      <c r="G64" s="1">
        <f t="shared" si="55"/>
        <v>-10</v>
      </c>
      <c r="H64" s="6">
        <f t="shared" si="56"/>
        <v>-2.889023332978792</v>
      </c>
      <c r="I64" s="6">
        <f t="shared" si="57"/>
        <v>9.7802629914284065</v>
      </c>
      <c r="J64" s="6">
        <f t="shared" si="58"/>
        <v>3.6331942668003077</v>
      </c>
      <c r="K64">
        <f t="shared" ca="1" si="59"/>
        <v>2.6786747981059843E-3</v>
      </c>
      <c r="L64">
        <f t="shared" ca="1" si="60"/>
        <v>55.75</v>
      </c>
      <c r="M64" s="6">
        <f t="shared" ca="1" si="61"/>
        <v>44.042500000000004</v>
      </c>
      <c r="N64" s="6">
        <f t="shared" ca="1" si="62"/>
        <v>430.74723279998562</v>
      </c>
      <c r="O64" s="6">
        <f t="shared" ca="1" si="63"/>
        <v>127.23981014271845</v>
      </c>
      <c r="Q64">
        <f t="shared" si="64"/>
        <v>-2.889023332978792</v>
      </c>
      <c r="R64">
        <f t="shared" si="65"/>
        <v>9.7802629914284065</v>
      </c>
      <c r="BC64">
        <v>1.0821041362364854</v>
      </c>
      <c r="BD64">
        <v>-48.819100190528829</v>
      </c>
      <c r="BE64">
        <v>33.720142879525675</v>
      </c>
      <c r="BF64" s="6">
        <f t="shared" si="30"/>
        <v>2.5371246470939739</v>
      </c>
      <c r="BG64" s="6">
        <f t="shared" si="31"/>
        <v>1.4550205108574885</v>
      </c>
      <c r="BH64" s="6">
        <f t="shared" si="2"/>
        <v>0.35948934336895499</v>
      </c>
      <c r="BI64" s="6">
        <f t="shared" si="3"/>
        <v>0.35948934336895499</v>
      </c>
      <c r="BV64" s="38"/>
      <c r="BW64" s="6">
        <f t="shared" si="8"/>
        <v>0.85521133347722222</v>
      </c>
      <c r="BX64" s="9">
        <f t="shared" ca="1" si="16"/>
        <v>-29.594189392345143</v>
      </c>
      <c r="BY64" s="9">
        <f t="shared" ca="1" si="17"/>
        <v>-4.0778382283889201</v>
      </c>
      <c r="BZ64">
        <f t="shared" ca="1" si="18"/>
        <v>29.873814795015782</v>
      </c>
      <c r="CA64" s="6">
        <f t="shared" ca="1" si="19"/>
        <v>-0.9906397825457065</v>
      </c>
      <c r="CB64" s="6">
        <f t="shared" ca="1" si="20"/>
        <v>-0.13650209243009956</v>
      </c>
      <c r="CC64" s="6">
        <f t="shared" ca="1" si="21"/>
        <v>-3.0046630637202676</v>
      </c>
      <c r="CD64" s="6">
        <f t="shared" ca="1" si="22"/>
        <v>3.6062007215094525</v>
      </c>
      <c r="CE64" s="9">
        <f t="shared" ca="1" si="23"/>
        <v>16.740501118667478</v>
      </c>
      <c r="CF64">
        <f t="shared" ca="1" si="24"/>
        <v>17.124516382891585</v>
      </c>
      <c r="CG64" s="6">
        <f t="shared" ca="1" si="25"/>
        <v>0.2105870110943549</v>
      </c>
      <c r="CH64" s="6">
        <f t="shared" ca="1" si="26"/>
        <v>0.9775751177062284</v>
      </c>
      <c r="CI64" s="6">
        <f t="shared" ca="1" si="27"/>
        <v>1.3586209291185478</v>
      </c>
      <c r="CJ64" s="1">
        <f t="shared" ca="1" si="28"/>
        <v>1.5379930613443811</v>
      </c>
      <c r="CK64" s="38"/>
    </row>
    <row r="65" spans="1:89" x14ac:dyDescent="0.25">
      <c r="A65">
        <f t="shared" si="53"/>
        <v>4</v>
      </c>
      <c r="B65" s="1">
        <f t="shared" si="53"/>
        <v>8</v>
      </c>
      <c r="C65" s="1">
        <f t="shared" ca="1" si="53"/>
        <v>0.79</v>
      </c>
      <c r="D65" s="1">
        <f t="shared" si="53"/>
        <v>4</v>
      </c>
      <c r="E65" s="1">
        <f t="shared" si="53"/>
        <v>4</v>
      </c>
      <c r="F65" s="1">
        <f t="shared" si="54"/>
        <v>-2</v>
      </c>
      <c r="G65" s="1">
        <f t="shared" si="55"/>
        <v>-8</v>
      </c>
      <c r="H65" s="6">
        <f t="shared" si="56"/>
        <v>-1.9572779615817779</v>
      </c>
      <c r="I65" s="6">
        <f t="shared" si="57"/>
        <v>8.0105594674221283</v>
      </c>
      <c r="J65" s="6">
        <f t="shared" si="58"/>
        <v>5.4028977908065858</v>
      </c>
      <c r="K65">
        <f t="shared" ca="1" si="59"/>
        <v>2.5221595389743369E-3</v>
      </c>
      <c r="L65">
        <f t="shared" ca="1" si="60"/>
        <v>55.75</v>
      </c>
      <c r="M65" s="6">
        <f t="shared" ca="1" si="61"/>
        <v>44.042500000000004</v>
      </c>
      <c r="N65" s="6">
        <f t="shared" ca="1" si="62"/>
        <v>352.80506534393913</v>
      </c>
      <c r="O65" s="6">
        <f t="shared" ca="1" si="63"/>
        <v>86.203414622965468</v>
      </c>
      <c r="Q65">
        <f t="shared" si="64"/>
        <v>-1.9572779615817779</v>
      </c>
      <c r="R65">
        <f t="shared" si="65"/>
        <v>8.0105594674221283</v>
      </c>
      <c r="BC65">
        <v>1.0995574287564287</v>
      </c>
      <c r="BD65">
        <v>-49.36304652970469</v>
      </c>
      <c r="BE65">
        <v>34.215684513681815</v>
      </c>
      <c r="BF65" s="6">
        <f t="shared" si="30"/>
        <v>2.5354830726238702</v>
      </c>
      <c r="BG65" s="6">
        <f t="shared" si="31"/>
        <v>1.4359256438674415</v>
      </c>
      <c r="BH65" s="6">
        <f t="shared" si="2"/>
        <v>0.36113091783905871</v>
      </c>
      <c r="BI65" s="6">
        <f t="shared" si="3"/>
        <v>0.36113091783905871</v>
      </c>
      <c r="BV65" s="38"/>
      <c r="BW65" s="6">
        <f t="shared" si="8"/>
        <v>0.87266462599716554</v>
      </c>
      <c r="BX65" s="9">
        <f t="shared" ca="1" si="16"/>
        <v>-29.37318440720771</v>
      </c>
      <c r="BY65" s="9">
        <f t="shared" ca="1" si="17"/>
        <v>-4.3861572541917369</v>
      </c>
      <c r="BZ65">
        <f t="shared" ca="1" si="18"/>
        <v>29.698860881830619</v>
      </c>
      <c r="CA65" s="6">
        <f t="shared" ca="1" si="19"/>
        <v>-0.98903404154392482</v>
      </c>
      <c r="CB65" s="6">
        <f t="shared" ca="1" si="20"/>
        <v>-0.1476877268675019</v>
      </c>
      <c r="CC65" s="6">
        <f t="shared" ca="1" si="21"/>
        <v>-2.9933627017425106</v>
      </c>
      <c r="CD65" s="6">
        <f t="shared" ca="1" si="22"/>
        <v>3.3851957363720189</v>
      </c>
      <c r="CE65" s="9">
        <f t="shared" ca="1" si="23"/>
        <v>17.048820144470294</v>
      </c>
      <c r="CF65">
        <f t="shared" ca="1" si="24"/>
        <v>17.381651776860778</v>
      </c>
      <c r="CG65" s="6">
        <f t="shared" ca="1" si="25"/>
        <v>0.19475684933917159</v>
      </c>
      <c r="CH65" s="6">
        <f t="shared" ca="1" si="26"/>
        <v>0.98085155331246687</v>
      </c>
      <c r="CI65" s="6">
        <f t="shared" ca="1" si="27"/>
        <v>1.3747867802482645</v>
      </c>
      <c r="CJ65" s="1">
        <f t="shared" ca="1" si="28"/>
        <v>1.5218272102146644</v>
      </c>
      <c r="CK65" s="38"/>
    </row>
    <row r="66" spans="1:89" x14ac:dyDescent="0.25">
      <c r="A66">
        <f t="shared" si="53"/>
        <v>5</v>
      </c>
      <c r="B66" s="1">
        <f t="shared" si="53"/>
        <v>0</v>
      </c>
      <c r="C66" s="1">
        <f t="shared" ca="1" si="53"/>
        <v>0</v>
      </c>
      <c r="D66" s="1">
        <f t="shared" si="53"/>
        <v>2</v>
      </c>
      <c r="E66" s="1">
        <f t="shared" si="53"/>
        <v>8.66</v>
      </c>
      <c r="F66" s="1">
        <f t="shared" si="54"/>
        <v>-4</v>
      </c>
      <c r="G66" s="1">
        <f t="shared" si="55"/>
        <v>-3.34</v>
      </c>
      <c r="H66" s="6">
        <f t="shared" si="56"/>
        <v>1.9833922777795434</v>
      </c>
      <c r="I66" s="6">
        <f t="shared" si="57"/>
        <v>4.8188956278845128</v>
      </c>
      <c r="J66" s="6">
        <f t="shared" si="58"/>
        <v>8.5945616303442023</v>
      </c>
      <c r="K66">
        <f t="shared" ca="1" si="59"/>
        <v>0</v>
      </c>
      <c r="L66">
        <f t="shared" ca="1" si="60"/>
        <v>0</v>
      </c>
      <c r="M66" s="6">
        <f t="shared" ca="1" si="61"/>
        <v>0</v>
      </c>
      <c r="N66" s="6">
        <f t="shared" ca="1" si="62"/>
        <v>0</v>
      </c>
      <c r="O66" s="6">
        <f t="shared" ca="1" si="63"/>
        <v>0</v>
      </c>
      <c r="Q66" t="e">
        <f t="shared" si="64"/>
        <v>#N/A</v>
      </c>
      <c r="R66" t="e">
        <f t="shared" si="65"/>
        <v>#N/A</v>
      </c>
      <c r="BC66">
        <v>1.117010721276372</v>
      </c>
      <c r="BD66">
        <v>-49.949455925742804</v>
      </c>
      <c r="BE66">
        <v>34.732182202972929</v>
      </c>
      <c r="BF66" s="6">
        <f t="shared" ref="BF66:BF97" si="66">IF(BC66&lt;&gt;"",IF(AND(BD66=0,BE66=0),0,MOD(ATAN2(BD66,BE66),2*PI())),NA())</f>
        <v>2.5339966377309571</v>
      </c>
      <c r="BG66" s="6">
        <f t="shared" ref="BG66:BG97" si="67">ABS(BC66-BF66)</f>
        <v>1.416985916454585</v>
      </c>
      <c r="BH66" s="6">
        <f t="shared" si="2"/>
        <v>0.36261735273197182</v>
      </c>
      <c r="BI66" s="6">
        <f t="shared" si="3"/>
        <v>0.36261735273197182</v>
      </c>
      <c r="BV66" s="38"/>
      <c r="BW66" s="6">
        <f t="shared" si="8"/>
        <v>0.89011791851710886</v>
      </c>
      <c r="BX66" s="9">
        <f t="shared" ca="1" si="16"/>
        <v>-29.138291003001804</v>
      </c>
      <c r="BY66" s="9">
        <f t="shared" ca="1" si="17"/>
        <v>-4.7043374717762099</v>
      </c>
      <c r="BZ66">
        <f t="shared" ca="1" si="18"/>
        <v>29.515602545500805</v>
      </c>
      <c r="CA66" s="6">
        <f t="shared" ca="1" si="19"/>
        <v>-0.98721653939073939</v>
      </c>
      <c r="CB66" s="6">
        <f t="shared" ca="1" si="20"/>
        <v>-0.15938476826024725</v>
      </c>
      <c r="CC66" s="6">
        <f t="shared" ca="1" si="21"/>
        <v>-2.9815252304043791</v>
      </c>
      <c r="CD66" s="6">
        <f t="shared" ca="1" si="22"/>
        <v>3.1503023321661132</v>
      </c>
      <c r="CE66" s="9">
        <f t="shared" ca="1" si="23"/>
        <v>17.367000362054767</v>
      </c>
      <c r="CF66">
        <f t="shared" ca="1" si="24"/>
        <v>17.650413773044008</v>
      </c>
      <c r="CG66" s="6">
        <f t="shared" ca="1" si="25"/>
        <v>0.17848320003564477</v>
      </c>
      <c r="CH66" s="6">
        <f t="shared" ca="1" si="26"/>
        <v>0.98394295937571308</v>
      </c>
      <c r="CI66" s="6">
        <f t="shared" ca="1" si="27"/>
        <v>1.391351644492105</v>
      </c>
      <c r="CJ66" s="1">
        <f t="shared" ca="1" si="28"/>
        <v>1.5052623459708239</v>
      </c>
      <c r="CK66" s="38"/>
    </row>
    <row r="67" spans="1:89" x14ac:dyDescent="0.25">
      <c r="A67">
        <f t="shared" si="53"/>
        <v>6</v>
      </c>
      <c r="B67" s="1">
        <f t="shared" si="53"/>
        <v>0</v>
      </c>
      <c r="C67" s="1">
        <f t="shared" ca="1" si="53"/>
        <v>0</v>
      </c>
      <c r="D67" s="1">
        <f t="shared" si="53"/>
        <v>10</v>
      </c>
      <c r="E67" s="1">
        <f t="shared" si="53"/>
        <v>8.66</v>
      </c>
      <c r="F67" s="1">
        <f t="shared" si="54"/>
        <v>4</v>
      </c>
      <c r="G67" s="1">
        <f t="shared" si="55"/>
        <v>-3.34</v>
      </c>
      <c r="H67" s="6">
        <f t="shared" si="56"/>
        <v>-5.0954218182455699</v>
      </c>
      <c r="I67" s="6">
        <f t="shared" si="57"/>
        <v>1.0919141422964564</v>
      </c>
      <c r="J67" s="6">
        <f t="shared" si="58"/>
        <v>12.321543115932258</v>
      </c>
      <c r="K67">
        <f t="shared" ca="1" si="59"/>
        <v>0</v>
      </c>
      <c r="L67">
        <f t="shared" ca="1" si="60"/>
        <v>0</v>
      </c>
      <c r="M67" s="6">
        <f t="shared" ca="1" si="61"/>
        <v>0</v>
      </c>
      <c r="N67" s="6">
        <f t="shared" ca="1" si="62"/>
        <v>0</v>
      </c>
      <c r="O67" s="6">
        <f t="shared" ca="1" si="63"/>
        <v>0</v>
      </c>
      <c r="Q67" t="e">
        <f t="shared" si="64"/>
        <v>#N/A</v>
      </c>
      <c r="R67" t="e">
        <f t="shared" si="65"/>
        <v>#N/A</v>
      </c>
      <c r="BC67">
        <v>1.1344640137963153</v>
      </c>
      <c r="BD67">
        <v>-50.581764176499441</v>
      </c>
      <c r="BE67">
        <v>35.270809139465008</v>
      </c>
      <c r="BF67" s="6">
        <f t="shared" si="66"/>
        <v>2.5326791406832228</v>
      </c>
      <c r="BG67" s="6">
        <f t="shared" si="67"/>
        <v>1.3982151268869074</v>
      </c>
      <c r="BH67" s="6">
        <f t="shared" ref="BH67:BH130" si="68">ATAN2(COS($U$13-BF67),SIN($U$13-BF67))</f>
        <v>0.36393484977970614</v>
      </c>
      <c r="BI67" s="6">
        <f t="shared" ref="BI67:BI130" si="69">ABS(BH67)</f>
        <v>0.36393484977970614</v>
      </c>
      <c r="BV67" s="38"/>
      <c r="BW67" s="6">
        <f t="shared" si="8"/>
        <v>0.90757121103705218</v>
      </c>
      <c r="BX67" s="9">
        <f t="shared" ca="1" si="16"/>
        <v>-28.888274050536019</v>
      </c>
      <c r="BY67" s="9">
        <f t="shared" ca="1" si="17"/>
        <v>-5.0329713152551321</v>
      </c>
      <c r="BZ67">
        <f t="shared" ca="1" si="18"/>
        <v>29.323423706638582</v>
      </c>
      <c r="CA67" s="6">
        <f t="shared" ca="1" si="19"/>
        <v>-0.98516033937728598</v>
      </c>
      <c r="CB67" s="6">
        <f t="shared" ca="1" si="20"/>
        <v>-0.17163655122971566</v>
      </c>
      <c r="CC67" s="6">
        <f t="shared" ca="1" si="21"/>
        <v>-2.9691020211013792</v>
      </c>
      <c r="CD67" s="6">
        <f t="shared" ca="1" si="22"/>
        <v>2.9002853797003283</v>
      </c>
      <c r="CE67" s="9">
        <f t="shared" ca="1" si="23"/>
        <v>17.69563420553369</v>
      </c>
      <c r="CF67">
        <f t="shared" ca="1" si="24"/>
        <v>17.93173514247178</v>
      </c>
      <c r="CG67" s="6">
        <f t="shared" ca="1" si="25"/>
        <v>0.16174036459142915</v>
      </c>
      <c r="CH67" s="6">
        <f t="shared" ca="1" si="26"/>
        <v>0.98683334685337398</v>
      </c>
      <c r="CI67" s="6">
        <f t="shared" ca="1" si="27"/>
        <v>1.4083423426319333</v>
      </c>
      <c r="CJ67" s="1">
        <f t="shared" ca="1" si="28"/>
        <v>1.4882716478309956</v>
      </c>
      <c r="CK67" s="38"/>
    </row>
    <row r="68" spans="1:89" x14ac:dyDescent="0.25">
      <c r="A68">
        <f t="shared" si="53"/>
        <v>7</v>
      </c>
      <c r="B68" s="1">
        <f t="shared" si="53"/>
        <v>0</v>
      </c>
      <c r="C68" s="1">
        <f t="shared" ca="1" si="53"/>
        <v>0</v>
      </c>
      <c r="D68" s="1">
        <f t="shared" si="53"/>
        <v>2</v>
      </c>
      <c r="E68" s="1">
        <f t="shared" si="53"/>
        <v>15.33</v>
      </c>
      <c r="F68" s="1">
        <f t="shared" si="54"/>
        <v>-4</v>
      </c>
      <c r="G68" s="1">
        <f t="shared" si="55"/>
        <v>3.33</v>
      </c>
      <c r="H68" s="6">
        <f t="shared" si="56"/>
        <v>5.0907630913885855</v>
      </c>
      <c r="I68" s="6">
        <f t="shared" si="57"/>
        <v>-1.0830656246764256</v>
      </c>
      <c r="J68" s="6">
        <f t="shared" si="58"/>
        <v>14.49652288290514</v>
      </c>
      <c r="K68">
        <f t="shared" ca="1" si="59"/>
        <v>0</v>
      </c>
      <c r="L68">
        <f t="shared" ca="1" si="60"/>
        <v>0</v>
      </c>
      <c r="M68" s="6">
        <f t="shared" ca="1" si="61"/>
        <v>0</v>
      </c>
      <c r="N68" s="6">
        <f t="shared" ca="1" si="62"/>
        <v>0</v>
      </c>
      <c r="O68" s="6">
        <f t="shared" ca="1" si="63"/>
        <v>0</v>
      </c>
      <c r="Q68" t="e">
        <f t="shared" si="64"/>
        <v>#N/A</v>
      </c>
      <c r="R68" t="e">
        <f t="shared" si="65"/>
        <v>#N/A</v>
      </c>
      <c r="BC68">
        <v>1.1519173063162587</v>
      </c>
      <c r="BD68">
        <v>-51.263658425131403</v>
      </c>
      <c r="BE68">
        <v>35.83280687509108</v>
      </c>
      <c r="BF68" s="6">
        <f t="shared" si="66"/>
        <v>2.5315445713698113</v>
      </c>
      <c r="BG68" s="6">
        <f t="shared" si="67"/>
        <v>1.3796272650535526</v>
      </c>
      <c r="BH68" s="6">
        <f t="shared" si="68"/>
        <v>0.36506941909311763</v>
      </c>
      <c r="BI68" s="6">
        <f t="shared" si="69"/>
        <v>0.36506941909311763</v>
      </c>
      <c r="BV68" s="38"/>
      <c r="BW68" s="6">
        <f t="shared" si="8"/>
        <v>0.9250245035569955</v>
      </c>
      <c r="BX68" s="9">
        <f t="shared" ca="1" si="16"/>
        <v>-28.621755578448266</v>
      </c>
      <c r="BY68" s="9">
        <f t="shared" ca="1" si="17"/>
        <v>-5.3726951610123841</v>
      </c>
      <c r="BZ68">
        <f t="shared" ca="1" si="18"/>
        <v>29.12165424019728</v>
      </c>
      <c r="CA68" s="6">
        <f t="shared" ca="1" si="19"/>
        <v>-0.98283412550585836</v>
      </c>
      <c r="CB68" s="6">
        <f t="shared" ca="1" si="20"/>
        <v>-0.18449141373282055</v>
      </c>
      <c r="CC68" s="6">
        <f t="shared" ca="1" si="21"/>
        <v>-2.9560382854932552</v>
      </c>
      <c r="CD68" s="6">
        <f t="shared" ca="1" si="22"/>
        <v>2.6337669076125749</v>
      </c>
      <c r="CE68" s="9">
        <f t="shared" ca="1" si="23"/>
        <v>18.035358051290942</v>
      </c>
      <c r="CF68">
        <f t="shared" ca="1" si="24"/>
        <v>18.226652686708551</v>
      </c>
      <c r="CG68" s="6">
        <f t="shared" ca="1" si="25"/>
        <v>0.14450085558129938</v>
      </c>
      <c r="CH68" s="6">
        <f t="shared" ca="1" si="26"/>
        <v>0.98950467544942533</v>
      </c>
      <c r="CI68" s="6">
        <f t="shared" ca="1" si="27"/>
        <v>1.4257878115592002</v>
      </c>
      <c r="CJ68" s="1">
        <f t="shared" ca="1" si="28"/>
        <v>1.4708261789037287</v>
      </c>
      <c r="CK68" s="38"/>
    </row>
    <row r="69" spans="1:89" x14ac:dyDescent="0.25">
      <c r="A69">
        <f t="shared" si="53"/>
        <v>8</v>
      </c>
      <c r="B69" s="1">
        <f t="shared" si="53"/>
        <v>0</v>
      </c>
      <c r="C69" s="1">
        <f t="shared" ca="1" si="53"/>
        <v>0</v>
      </c>
      <c r="D69" s="1">
        <f t="shared" si="53"/>
        <v>10</v>
      </c>
      <c r="E69" s="1">
        <f t="shared" si="53"/>
        <v>15.33</v>
      </c>
      <c r="F69" s="1">
        <f t="shared" si="54"/>
        <v>4</v>
      </c>
      <c r="G69" s="1">
        <f t="shared" si="55"/>
        <v>3.33</v>
      </c>
      <c r="H69" s="6">
        <f t="shared" si="56"/>
        <v>-1.9880510046365283</v>
      </c>
      <c r="I69" s="6">
        <f t="shared" si="57"/>
        <v>-4.810047110264482</v>
      </c>
      <c r="J69" s="6">
        <f t="shared" si="58"/>
        <v>18.223504368493195</v>
      </c>
      <c r="K69">
        <f t="shared" ca="1" si="59"/>
        <v>0</v>
      </c>
      <c r="L69">
        <f t="shared" ca="1" si="60"/>
        <v>0</v>
      </c>
      <c r="M69" s="6">
        <f t="shared" ca="1" si="61"/>
        <v>0</v>
      </c>
      <c r="N69" s="6">
        <f t="shared" ca="1" si="62"/>
        <v>0</v>
      </c>
      <c r="O69" s="6">
        <f t="shared" ca="1" si="63"/>
        <v>0</v>
      </c>
      <c r="Q69" t="e">
        <f t="shared" si="64"/>
        <v>#N/A</v>
      </c>
      <c r="R69" t="e">
        <f t="shared" si="65"/>
        <v>#N/A</v>
      </c>
      <c r="BC69">
        <v>1.169370598836202</v>
      </c>
      <c r="BD69">
        <v>-51.999102388289842</v>
      </c>
      <c r="BE69">
        <v>36.419494782488869</v>
      </c>
      <c r="BF69" s="6">
        <f t="shared" si="66"/>
        <v>2.530607011868681</v>
      </c>
      <c r="BG69" s="6">
        <f t="shared" si="67"/>
        <v>1.361236413032479</v>
      </c>
      <c r="BH69" s="6">
        <f t="shared" si="68"/>
        <v>0.36600697859424791</v>
      </c>
      <c r="BI69" s="6">
        <f t="shared" si="69"/>
        <v>0.36600697859424791</v>
      </c>
      <c r="BV69" s="38"/>
      <c r="BW69" s="6">
        <f t="shared" si="8"/>
        <v>0.94247779607693882</v>
      </c>
      <c r="BX69" s="9">
        <f t="shared" ca="1" si="16"/>
        <v>-28.337194307679702</v>
      </c>
      <c r="BY69" s="9">
        <f t="shared" ca="1" si="17"/>
        <v>-5.7241934521817512</v>
      </c>
      <c r="BZ69">
        <f t="shared" ca="1" si="18"/>
        <v>28.909565405055734</v>
      </c>
      <c r="CA69" s="6">
        <f t="shared" ca="1" si="19"/>
        <v>-0.98020132473952948</v>
      </c>
      <c r="CB69" s="6">
        <f t="shared" ca="1" si="20"/>
        <v>-0.19800344183592253</v>
      </c>
      <c r="CC69" s="6">
        <f t="shared" ca="1" si="21"/>
        <v>-2.9422720392315713</v>
      </c>
      <c r="CD69" s="6">
        <f t="shared" ca="1" si="22"/>
        <v>2.3492056368440117</v>
      </c>
      <c r="CE69" s="9">
        <f t="shared" ca="1" si="23"/>
        <v>18.386856342460309</v>
      </c>
      <c r="CF69">
        <f t="shared" ca="1" si="24"/>
        <v>18.53632253934023</v>
      </c>
      <c r="CG69" s="6">
        <f t="shared" ca="1" si="25"/>
        <v>0.12673525894136864</v>
      </c>
      <c r="CH69" s="6">
        <f t="shared" ca="1" si="26"/>
        <v>0.99193657768078303</v>
      </c>
      <c r="CI69" s="6">
        <f t="shared" ca="1" si="27"/>
        <v>1.4437193253816314</v>
      </c>
      <c r="CJ69" s="1">
        <f t="shared" ca="1" si="28"/>
        <v>1.4528946650812975</v>
      </c>
      <c r="CK69" s="38"/>
    </row>
    <row r="70" spans="1:89" x14ac:dyDescent="0.25">
      <c r="A70">
        <f t="shared" si="53"/>
        <v>9</v>
      </c>
      <c r="B70" s="1">
        <f t="shared" si="53"/>
        <v>0</v>
      </c>
      <c r="C70" s="1">
        <f t="shared" ca="1" si="53"/>
        <v>0</v>
      </c>
      <c r="D70" s="1">
        <f t="shared" si="53"/>
        <v>8</v>
      </c>
      <c r="E70" s="1">
        <f t="shared" si="53"/>
        <v>2</v>
      </c>
      <c r="F70" s="1">
        <f t="shared" si="54"/>
        <v>2</v>
      </c>
      <c r="G70" s="1">
        <f t="shared" si="55"/>
        <v>-10</v>
      </c>
      <c r="H70" s="6">
        <f t="shared" si="56"/>
        <v>-6.4284303809913483</v>
      </c>
      <c r="I70" s="6">
        <f t="shared" si="57"/>
        <v>7.9167722486343788</v>
      </c>
      <c r="J70" s="6">
        <f t="shared" si="58"/>
        <v>5.4966850095943354</v>
      </c>
      <c r="K70">
        <f t="shared" ca="1" si="59"/>
        <v>0</v>
      </c>
      <c r="L70">
        <f t="shared" ca="1" si="60"/>
        <v>0</v>
      </c>
      <c r="M70" s="6">
        <f t="shared" ca="1" si="61"/>
        <v>0</v>
      </c>
      <c r="N70" s="6">
        <f t="shared" ca="1" si="62"/>
        <v>0</v>
      </c>
      <c r="O70" s="6">
        <f t="shared" ca="1" si="63"/>
        <v>0</v>
      </c>
      <c r="Q70" t="e">
        <f t="shared" si="64"/>
        <v>#N/A</v>
      </c>
      <c r="R70" t="e">
        <f t="shared" si="65"/>
        <v>#N/A</v>
      </c>
      <c r="BC70">
        <v>1.1868238913561453</v>
      </c>
      <c r="BD70">
        <v>-52.792365271118889</v>
      </c>
      <c r="BE70">
        <v>37.032282081250095</v>
      </c>
      <c r="BF70" s="6">
        <f t="shared" si="66"/>
        <v>2.529880518800296</v>
      </c>
      <c r="BG70" s="6">
        <f t="shared" si="67"/>
        <v>1.3430566274441507</v>
      </c>
      <c r="BH70" s="6">
        <f t="shared" si="68"/>
        <v>0.36673347166263293</v>
      </c>
      <c r="BI70" s="6">
        <f t="shared" si="69"/>
        <v>0.36673347166263293</v>
      </c>
      <c r="BV70" s="38"/>
      <c r="BW70" s="6">
        <f t="shared" si="8"/>
        <v>0.95993108859688214</v>
      </c>
      <c r="BX70" s="9">
        <f t="shared" ca="1" si="16"/>
        <v>-28.032861651502373</v>
      </c>
      <c r="BY70" s="9">
        <f t="shared" ca="1" si="17"/>
        <v>-6.0882033001699405</v>
      </c>
      <c r="BZ70">
        <f t="shared" ca="1" si="18"/>
        <v>28.686365259413268</v>
      </c>
      <c r="CA70" s="6">
        <f t="shared" ca="1" si="19"/>
        <v>-0.97721901670005218</v>
      </c>
      <c r="CB70" s="6">
        <f t="shared" ca="1" si="20"/>
        <v>-0.21223334657820167</v>
      </c>
      <c r="CC70" s="6">
        <f t="shared" ca="1" si="21"/>
        <v>-2.9277328482659923</v>
      </c>
      <c r="CD70" s="6">
        <f t="shared" ca="1" si="22"/>
        <v>2.0448729806666819</v>
      </c>
      <c r="CE70" s="9">
        <f t="shared" ca="1" si="23"/>
        <v>18.750866190448498</v>
      </c>
      <c r="CF70">
        <f t="shared" ca="1" si="24"/>
        <v>18.862038288561635</v>
      </c>
      <c r="CG70" s="6">
        <f t="shared" ca="1" si="25"/>
        <v>0.10841208937141958</v>
      </c>
      <c r="CH70" s="6">
        <f t="shared" ca="1" si="26"/>
        <v>0.99410604005715786</v>
      </c>
      <c r="CI70" s="6">
        <f t="shared" ca="1" si="27"/>
        <v>1.4621707418341103</v>
      </c>
      <c r="CJ70" s="1">
        <f t="shared" ca="1" si="28"/>
        <v>1.4344432486288186</v>
      </c>
      <c r="CK70" s="38"/>
    </row>
    <row r="71" spans="1:89" ht="15.75" thickBot="1" x14ac:dyDescent="0.3">
      <c r="A71">
        <f t="shared" si="53"/>
        <v>10</v>
      </c>
      <c r="B71" s="1">
        <f t="shared" si="53"/>
        <v>0</v>
      </c>
      <c r="C71" s="1">
        <f t="shared" ca="1" si="53"/>
        <v>0</v>
      </c>
      <c r="D71" s="1">
        <f t="shared" si="53"/>
        <v>10</v>
      </c>
      <c r="E71" s="1">
        <f t="shared" si="53"/>
        <v>2</v>
      </c>
      <c r="F71" s="1">
        <f t="shared" si="54"/>
        <v>4</v>
      </c>
      <c r="G71" s="1">
        <f t="shared" si="55"/>
        <v>-10</v>
      </c>
      <c r="H71" s="6">
        <f t="shared" si="56"/>
        <v>-8.1981339049976274</v>
      </c>
      <c r="I71" s="6">
        <f t="shared" si="57"/>
        <v>6.9850268772373649</v>
      </c>
      <c r="J71" s="6">
        <f t="shared" si="58"/>
        <v>6.4284303809913492</v>
      </c>
      <c r="K71" s="12">
        <f t="shared" ca="1" si="59"/>
        <v>0</v>
      </c>
      <c r="L71">
        <f t="shared" ca="1" si="60"/>
        <v>0</v>
      </c>
      <c r="M71" s="11">
        <f t="shared" ca="1" si="61"/>
        <v>0</v>
      </c>
      <c r="N71" s="11">
        <f t="shared" ca="1" si="62"/>
        <v>0</v>
      </c>
      <c r="O71" s="11">
        <f t="shared" ca="1" si="63"/>
        <v>0</v>
      </c>
      <c r="Q71" t="e">
        <f t="shared" si="64"/>
        <v>#N/A</v>
      </c>
      <c r="R71" t="e">
        <f t="shared" si="65"/>
        <v>#N/A</v>
      </c>
      <c r="BC71">
        <v>1.2042771838760886</v>
      </c>
      <c r="BD71">
        <v>-53.648055733213006</v>
      </c>
      <c r="BE71">
        <v>37.672683546244713</v>
      </c>
      <c r="BF71" s="6">
        <f t="shared" si="66"/>
        <v>2.5293789857421842</v>
      </c>
      <c r="BG71" s="6">
        <f t="shared" si="67"/>
        <v>1.3251018018660956</v>
      </c>
      <c r="BH71" s="6">
        <f t="shared" si="68"/>
        <v>0.36723500472074466</v>
      </c>
      <c r="BI71" s="6">
        <f t="shared" si="69"/>
        <v>0.36723500472074466</v>
      </c>
      <c r="BV71" s="38"/>
      <c r="BW71" s="6">
        <f t="shared" si="8"/>
        <v>0.97738438111682546</v>
      </c>
      <c r="BX71" s="9">
        <f t="shared" ca="1" si="16"/>
        <v>-27.706824338011089</v>
      </c>
      <c r="BY71" s="9">
        <f t="shared" ca="1" si="17"/>
        <v>-6.4655166676058471</v>
      </c>
      <c r="BZ71">
        <f t="shared" ca="1" si="18"/>
        <v>28.451204204330132</v>
      </c>
      <c r="CA71" s="6">
        <f t="shared" ca="1" si="19"/>
        <v>-0.97383661299630497</v>
      </c>
      <c r="CB71" s="6">
        <f t="shared" ca="1" si="20"/>
        <v>-0.22724931504381904</v>
      </c>
      <c r="CC71" s="6">
        <f t="shared" ca="1" si="21"/>
        <v>-2.9123404916721367</v>
      </c>
      <c r="CD71" s="6">
        <f t="shared" ca="1" si="22"/>
        <v>1.7188356671753979</v>
      </c>
      <c r="CE71" s="9">
        <f t="shared" ca="1" si="23"/>
        <v>19.128179557884405</v>
      </c>
      <c r="CF71">
        <f t="shared" ca="1" si="24"/>
        <v>19.205250564609177</v>
      </c>
      <c r="CG71" s="6">
        <f t="shared" ca="1" si="25"/>
        <v>8.9498216198377209E-2</v>
      </c>
      <c r="CH71" s="6">
        <f t="shared" ca="1" si="26"/>
        <v>0.99598698249390216</v>
      </c>
      <c r="CI71" s="6">
        <f t="shared" ca="1" si="27"/>
        <v>1.4811781987883623</v>
      </c>
      <c r="CJ71" s="1">
        <f t="shared" ca="1" si="28"/>
        <v>1.4154357916745666</v>
      </c>
      <c r="CK71" s="38"/>
    </row>
    <row r="72" spans="1:89" ht="15.75" thickTop="1" x14ac:dyDescent="0.25">
      <c r="K72" s="13">
        <f ca="1">MIN(K62:K71)</f>
        <v>0</v>
      </c>
      <c r="M72" s="9">
        <f ca="1">SUM(M62:M71)</f>
        <v>176.17000000000002</v>
      </c>
      <c r="N72" s="9">
        <f ca="1">SUM(N62:N71)</f>
        <v>1649.1773873273553</v>
      </c>
      <c r="O72" s="9">
        <f ca="1">SUM(O62:O71)</f>
        <v>271.00211461927478</v>
      </c>
      <c r="BC72">
        <v>1.2217304763960319</v>
      </c>
      <c r="BD72">
        <v>-54.571163067885209</v>
      </c>
      <c r="BE72">
        <v>38.342340524854791</v>
      </c>
      <c r="BF72" s="6">
        <f t="shared" si="66"/>
        <v>2.5291159850039722</v>
      </c>
      <c r="BG72" s="6">
        <f t="shared" si="67"/>
        <v>1.3073855086079402</v>
      </c>
      <c r="BH72" s="6">
        <f t="shared" si="68"/>
        <v>0.36749800545895678</v>
      </c>
      <c r="BI72" s="6">
        <f t="shared" si="69"/>
        <v>0.36749800545895678</v>
      </c>
      <c r="BV72" s="38"/>
      <c r="BW72" s="6">
        <f t="shared" si="8"/>
        <v>0.99483767363676878</v>
      </c>
      <c r="BX72" s="9">
        <f t="shared" ca="1" si="16"/>
        <v>-27.356993441988003</v>
      </c>
      <c r="BY72" s="9">
        <f t="shared" ca="1" si="17"/>
        <v>-6.8569645501644665</v>
      </c>
      <c r="BZ72">
        <f t="shared" ca="1" si="18"/>
        <v>28.203245434296864</v>
      </c>
      <c r="CA72" s="6">
        <f t="shared" ca="1" si="19"/>
        <v>-0.96999451732318132</v>
      </c>
      <c r="CB72" s="6">
        <f t="shared" ca="1" si="20"/>
        <v>-0.24312679071416299</v>
      </c>
      <c r="CC72" s="6">
        <f t="shared" ca="1" si="21"/>
        <v>-2.896004584370254</v>
      </c>
      <c r="CD72" s="6">
        <f t="shared" ca="1" si="22"/>
        <v>1.3690047711523121</v>
      </c>
      <c r="CE72" s="9">
        <f t="shared" ca="1" si="23"/>
        <v>19.519627440443024</v>
      </c>
      <c r="CF72">
        <f t="shared" ca="1" si="24"/>
        <v>19.567575973460126</v>
      </c>
      <c r="CG72" s="6">
        <f t="shared" ca="1" si="25"/>
        <v>6.9962920957052588E-2</v>
      </c>
      <c r="CH72" s="6">
        <f t="shared" ca="1" si="26"/>
        <v>0.9975495925973592</v>
      </c>
      <c r="CI72" s="6">
        <f t="shared" ca="1" si="27"/>
        <v>1.5007762038802015</v>
      </c>
      <c r="CJ72" s="1">
        <f t="shared" ca="1" si="28"/>
        <v>1.3958377865827274</v>
      </c>
      <c r="CK72" s="38"/>
    </row>
    <row r="73" spans="1:89" x14ac:dyDescent="0.25">
      <c r="N73" s="46">
        <f ca="1">N72/12</f>
        <v>137.43144894394626</v>
      </c>
      <c r="O73" s="46">
        <f ca="1">O72/12</f>
        <v>22.58350955160623</v>
      </c>
      <c r="BC73">
        <v>1.2391837689159753</v>
      </c>
      <c r="BD73">
        <v>-55.567108950622718</v>
      </c>
      <c r="BE73">
        <v>39.043049684488643</v>
      </c>
      <c r="BF73" s="6">
        <f t="shared" si="66"/>
        <v>2.5291045887821073</v>
      </c>
      <c r="BG73" s="6">
        <f t="shared" si="67"/>
        <v>1.2899208198661321</v>
      </c>
      <c r="BH73" s="6">
        <f t="shared" si="68"/>
        <v>0.36750940168082158</v>
      </c>
      <c r="BI73" s="6">
        <f t="shared" si="69"/>
        <v>0.36750940168082158</v>
      </c>
      <c r="BV73" s="38"/>
      <c r="BW73" s="6">
        <f t="shared" si="8"/>
        <v>1.0122909661567121</v>
      </c>
      <c r="BX73" s="9">
        <f t="shared" ca="1" si="16"/>
        <v>-26.981161756070975</v>
      </c>
      <c r="BY73" s="9">
        <f t="shared" ca="1" si="17"/>
        <v>-7.263406265065278</v>
      </c>
      <c r="BZ73">
        <f t="shared" ca="1" si="18"/>
        <v>27.941727940101636</v>
      </c>
      <c r="CA73" s="6">
        <f t="shared" ca="1" si="19"/>
        <v>-0.96562252033625784</v>
      </c>
      <c r="CB73" s="6">
        <f t="shared" ca="1" si="20"/>
        <v>-0.25994835683160894</v>
      </c>
      <c r="CC73" s="6">
        <f t="shared" ca="1" si="21"/>
        <v>-2.8786239328020269</v>
      </c>
      <c r="CD73" s="6">
        <f t="shared" ca="1" si="22"/>
        <v>0.99317308523528425</v>
      </c>
      <c r="CE73" s="9">
        <f t="shared" ca="1" si="23"/>
        <v>19.926069155343836</v>
      </c>
      <c r="CF73">
        <f t="shared" ca="1" si="24"/>
        <v>19.950805115603249</v>
      </c>
      <c r="CG73" s="6">
        <f t="shared" ca="1" si="25"/>
        <v>4.9781103042229477E-2</v>
      </c>
      <c r="CH73" s="6">
        <f t="shared" ca="1" si="26"/>
        <v>0.99876015227876358</v>
      </c>
      <c r="CI73" s="6">
        <f t="shared" ca="1" si="27"/>
        <v>1.5209946398815699</v>
      </c>
      <c r="CJ73" s="1">
        <f t="shared" ca="1" si="28"/>
        <v>1.375619350581359</v>
      </c>
      <c r="CK73" s="38"/>
    </row>
    <row r="74" spans="1:89" x14ac:dyDescent="0.25">
      <c r="BC74">
        <v>1.2566370614359186</v>
      </c>
      <c r="BD74">
        <v>-56.641815222556886</v>
      </c>
      <c r="BE74">
        <v>39.776803096427173</v>
      </c>
      <c r="BF74" s="6">
        <f t="shared" si="66"/>
        <v>2.5293571730475284</v>
      </c>
      <c r="BG74" s="6">
        <f t="shared" si="67"/>
        <v>1.2727201116116098</v>
      </c>
      <c r="BH74" s="6">
        <f t="shared" si="68"/>
        <v>0.3672568174154005</v>
      </c>
      <c r="BI74" s="6">
        <f t="shared" si="69"/>
        <v>0.3672568174154005</v>
      </c>
      <c r="BV74" s="38"/>
      <c r="BW74" s="6">
        <f t="shared" si="8"/>
        <v>1.0297442586766554</v>
      </c>
      <c r="BX74" s="9">
        <f t="shared" ca="1" si="16"/>
        <v>-26.576993609753472</v>
      </c>
      <c r="BY74" s="9">
        <f t="shared" ca="1" si="17"/>
        <v>-7.6857324868196777</v>
      </c>
      <c r="BZ74">
        <f t="shared" ca="1" si="18"/>
        <v>27.665991274339554</v>
      </c>
      <c r="CA74" s="6">
        <f t="shared" ca="1" si="19"/>
        <v>-0.96063767772542685</v>
      </c>
      <c r="CB74" s="6">
        <f t="shared" ca="1" si="20"/>
        <v>-0.27780434146049415</v>
      </c>
      <c r="CC74" s="6">
        <f t="shared" ca="1" si="21"/>
        <v>-2.8600849283345418</v>
      </c>
      <c r="CD74" s="6">
        <f t="shared" ca="1" si="22"/>
        <v>0.58900493891778183</v>
      </c>
      <c r="CE74" s="9">
        <f t="shared" ca="1" si="23"/>
        <v>20.348395377098235</v>
      </c>
      <c r="CF74">
        <f t="shared" ca="1" si="24"/>
        <v>20.35691826482541</v>
      </c>
      <c r="CG74" s="6">
        <f t="shared" ca="1" si="25"/>
        <v>2.8933895163076807E-2</v>
      </c>
      <c r="CH74" s="6">
        <f t="shared" ca="1" si="26"/>
        <v>0.9995813272118943</v>
      </c>
      <c r="CI74" s="6">
        <f t="shared" ca="1" si="27"/>
        <v>1.5418583930106144</v>
      </c>
      <c r="CJ74" s="1">
        <f t="shared" ca="1" si="28"/>
        <v>1.3547555974523144</v>
      </c>
      <c r="CK74" s="38"/>
    </row>
    <row r="75" spans="1:89" x14ac:dyDescent="0.25">
      <c r="A75" s="8" t="s">
        <v>63</v>
      </c>
      <c r="B75" s="9">
        <f ca="1">N57+M72</f>
        <v>1400.1700000000003</v>
      </c>
      <c r="C75" t="s">
        <v>68</v>
      </c>
      <c r="E75">
        <f>((O59*COS(-1*B27))+(P59*SIN(-1*B27)))</f>
        <v>0</v>
      </c>
      <c r="F75">
        <f>(-1*(O59)*SIN(-1*B27))+((P59)*COS(-1*B27))</f>
        <v>0</v>
      </c>
      <c r="BC75">
        <v>1.2740903539558619</v>
      </c>
      <c r="BD75">
        <v>-57.801793362312686</v>
      </c>
      <c r="BE75">
        <v>40.545841576179257</v>
      </c>
      <c r="BF75" s="6">
        <f t="shared" si="66"/>
        <v>2.5298852273195376</v>
      </c>
      <c r="BG75" s="6">
        <f t="shared" si="67"/>
        <v>1.2557948733636757</v>
      </c>
      <c r="BH75" s="6">
        <f t="shared" si="68"/>
        <v>0.36672876314339131</v>
      </c>
      <c r="BI75" s="6">
        <f t="shared" si="69"/>
        <v>0.36672876314339131</v>
      </c>
      <c r="BV75" s="38"/>
      <c r="BW75" s="6">
        <f t="shared" si="8"/>
        <v>1.0471975511965987</v>
      </c>
      <c r="BX75" s="9">
        <f t="shared" ca="1" si="16"/>
        <v>-26.142010974351777</v>
      </c>
      <c r="BY75" s="9">
        <f t="shared" ca="1" si="17"/>
        <v>-8.1248692129624622</v>
      </c>
      <c r="BZ75">
        <f t="shared" ca="1" si="18"/>
        <v>27.375504333452454</v>
      </c>
      <c r="CA75" s="6">
        <f t="shared" ca="1" si="19"/>
        <v>-0.95494171197447608</v>
      </c>
      <c r="CB75" s="6">
        <f t="shared" ca="1" si="20"/>
        <v>-0.29679340749291672</v>
      </c>
      <c r="CC75" s="6">
        <f t="shared" ca="1" si="21"/>
        <v>-2.8402596533573496</v>
      </c>
      <c r="CD75" s="6">
        <f t="shared" ca="1" si="22"/>
        <v>0.15402230351608637</v>
      </c>
      <c r="CE75" s="9">
        <f t="shared" ca="1" si="23"/>
        <v>20.78753210324102</v>
      </c>
      <c r="CF75">
        <f t="shared" ca="1" si="24"/>
        <v>20.788102698737479</v>
      </c>
      <c r="CG75" s="6">
        <f t="shared" ca="1" si="25"/>
        <v>7.4091563693035141E-3</v>
      </c>
      <c r="CH75" s="6">
        <f t="shared" ca="1" si="26"/>
        <v>0.99997255182424638</v>
      </c>
      <c r="CI75" s="6">
        <f t="shared" ca="1" si="27"/>
        <v>1.5633871026355735</v>
      </c>
      <c r="CJ75" s="1">
        <f t="shared" ca="1" si="28"/>
        <v>1.3332268878273554</v>
      </c>
      <c r="CK75" s="38"/>
    </row>
    <row r="76" spans="1:89" x14ac:dyDescent="0.25">
      <c r="A76" s="8" t="s">
        <v>66</v>
      </c>
      <c r="B76" s="9">
        <f ca="1">O57+N72</f>
        <v>1649.1773873273553</v>
      </c>
      <c r="C76" t="s">
        <v>69</v>
      </c>
      <c r="E76">
        <f ca="1">((N73*COS(-1*B27))+(O73*SIN(-1*B27)))</f>
        <v>-132.1275</v>
      </c>
      <c r="F76">
        <f ca="1">(-1*(N73)*SIN(-1*B27))+((O73)*COS(-1*B27))</f>
        <v>44.04249999999999</v>
      </c>
      <c r="BC76">
        <v>1.2915436464758052</v>
      </c>
      <c r="BD76">
        <v>-59.054205596571514</v>
      </c>
      <c r="BE76">
        <v>41.352662187428017</v>
      </c>
      <c r="BF76" s="6">
        <f t="shared" si="66"/>
        <v>2.53069943816788</v>
      </c>
      <c r="BG76" s="6">
        <f t="shared" si="67"/>
        <v>1.2391557916920748</v>
      </c>
      <c r="BH76" s="6">
        <f t="shared" si="68"/>
        <v>0.36591455229504888</v>
      </c>
      <c r="BI76" s="6">
        <f t="shared" si="69"/>
        <v>0.36591455229504888</v>
      </c>
      <c r="BV76" s="38"/>
      <c r="BW76" s="6">
        <f t="shared" si="8"/>
        <v>1.0646508437165421</v>
      </c>
      <c r="BX76" s="9">
        <f t="shared" ca="1" si="16"/>
        <v>-25.673578663467275</v>
      </c>
      <c r="BY76" s="9">
        <f t="shared" ca="1" si="17"/>
        <v>-8.5817819162263156</v>
      </c>
      <c r="BZ76">
        <f t="shared" ca="1" si="18"/>
        <v>27.069902516390986</v>
      </c>
      <c r="CA76" s="6">
        <f t="shared" ca="1" si="19"/>
        <v>-0.94841784701373677</v>
      </c>
      <c r="CB76" s="6">
        <f t="shared" ca="1" si="20"/>
        <v>-0.31702300778623033</v>
      </c>
      <c r="CC76" s="6">
        <f t="shared" ca="1" si="21"/>
        <v>-2.8190037235220573</v>
      </c>
      <c r="CD76" s="6">
        <f t="shared" ca="1" si="22"/>
        <v>-0.31441000736841573</v>
      </c>
      <c r="CE76" s="9">
        <f t="shared" ca="1" si="23"/>
        <v>21.244444806504873</v>
      </c>
      <c r="CF76">
        <f t="shared" ca="1" si="24"/>
        <v>21.246771255637061</v>
      </c>
      <c r="CG76" s="6">
        <f t="shared" ca="1" si="25"/>
        <v>-1.4798013476282823E-2</v>
      </c>
      <c r="CH76" s="6">
        <f t="shared" ca="1" si="26"/>
        <v>0.99989050340382568</v>
      </c>
      <c r="CI76" s="6">
        <f t="shared" ca="1" si="27"/>
        <v>1.5855948804055384</v>
      </c>
      <c r="CJ76" s="1">
        <f t="shared" ca="1" si="28"/>
        <v>1.3110191100573905</v>
      </c>
      <c r="CK76" s="38"/>
    </row>
    <row r="77" spans="1:89" x14ac:dyDescent="0.25">
      <c r="A77" s="8" t="s">
        <v>67</v>
      </c>
      <c r="B77" s="9">
        <f ca="1">P57+O72</f>
        <v>271.00211461927478</v>
      </c>
      <c r="C77" t="s">
        <v>69</v>
      </c>
      <c r="BC77">
        <v>1.3089969389957485</v>
      </c>
      <c r="BD77">
        <v>-60.406879809598053</v>
      </c>
      <c r="BE77">
        <v>42.199974113195672</v>
      </c>
      <c r="BF77" s="6">
        <f t="shared" si="66"/>
        <v>2.5318099319860305</v>
      </c>
      <c r="BG77" s="6">
        <f t="shared" si="67"/>
        <v>1.222812992990282</v>
      </c>
      <c r="BH77" s="6">
        <f t="shared" si="68"/>
        <v>0.3648040584768984</v>
      </c>
      <c r="BI77" s="6">
        <f t="shared" si="69"/>
        <v>0.3648040584768984</v>
      </c>
      <c r="BV77" s="38"/>
      <c r="BW77" s="6">
        <f t="shared" si="8"/>
        <v>1.0821041362364854</v>
      </c>
      <c r="BX77" s="9">
        <f t="shared" ca="1" si="16"/>
        <v>-25.168888480306862</v>
      </c>
      <c r="BY77" s="9">
        <f t="shared" ca="1" si="17"/>
        <v>-9.0574799892471169</v>
      </c>
      <c r="BZ77">
        <f t="shared" ca="1" si="18"/>
        <v>26.749035330077522</v>
      </c>
      <c r="CA77" s="6">
        <f t="shared" ca="1" si="19"/>
        <v>-0.94092695941098525</v>
      </c>
      <c r="CB77" s="6">
        <f t="shared" ca="1" si="20"/>
        <v>-0.33860959385935607</v>
      </c>
      <c r="CC77" s="6">
        <f t="shared" ca="1" si="21"/>
        <v>-2.7961538479832724</v>
      </c>
      <c r="CD77" s="6">
        <f t="shared" ca="1" si="22"/>
        <v>-0.81910019052882888</v>
      </c>
      <c r="CE77" s="9">
        <f t="shared" ca="1" si="23"/>
        <v>21.720142879525675</v>
      </c>
      <c r="CF77">
        <f t="shared" ca="1" si="24"/>
        <v>21.735582159885531</v>
      </c>
      <c r="CG77" s="6">
        <f t="shared" ca="1" si="25"/>
        <v>-3.7684759695120244E-2</v>
      </c>
      <c r="CH77" s="6">
        <f t="shared" ca="1" si="26"/>
        <v>0.999289677164095</v>
      </c>
      <c r="CI77" s="6">
        <f t="shared" ca="1" si="27"/>
        <v>1.6084900118078034</v>
      </c>
      <c r="CJ77" s="1">
        <f t="shared" ca="1" si="28"/>
        <v>1.2881239786551255</v>
      </c>
      <c r="CK77" s="38"/>
    </row>
    <row r="78" spans="1:89" x14ac:dyDescent="0.25">
      <c r="BC78">
        <v>1.3264502315156919</v>
      </c>
      <c r="BD78">
        <v>-61.802485911971502</v>
      </c>
      <c r="BE78">
        <v>42.973208243437583</v>
      </c>
      <c r="BF78" s="6">
        <f t="shared" si="66"/>
        <v>2.5340068636502266</v>
      </c>
      <c r="BG78" s="6">
        <f t="shared" si="67"/>
        <v>1.2075566321345348</v>
      </c>
      <c r="BH78" s="6">
        <f t="shared" si="68"/>
        <v>0.36260712681270224</v>
      </c>
      <c r="BI78" s="6">
        <f t="shared" si="69"/>
        <v>0.36260712681270224</v>
      </c>
      <c r="BV78" s="38"/>
      <c r="BW78" s="6">
        <f t="shared" si="8"/>
        <v>1.0995574287564287</v>
      </c>
      <c r="BX78" s="9">
        <f t="shared" ca="1" si="16"/>
        <v>-24.624942141131001</v>
      </c>
      <c r="BY78" s="9">
        <f t="shared" ca="1" si="17"/>
        <v>-9.5530216234032572</v>
      </c>
      <c r="BZ78">
        <f t="shared" ca="1" si="18"/>
        <v>26.413027043322007</v>
      </c>
      <c r="CA78" s="6">
        <f t="shared" ca="1" si="19"/>
        <v>-0.93230291631253648</v>
      </c>
      <c r="CB78" s="6">
        <f t="shared" ca="1" si="20"/>
        <v>-0.36167840996545464</v>
      </c>
      <c r="CC78" s="6">
        <f t="shared" ca="1" si="21"/>
        <v>-2.77152510346819</v>
      </c>
      <c r="CD78" s="6">
        <f t="shared" ca="1" si="22"/>
        <v>-1.3630465297046896</v>
      </c>
      <c r="CE78" s="9">
        <f t="shared" ca="1" si="23"/>
        <v>22.215684513681815</v>
      </c>
      <c r="CF78">
        <f t="shared" ca="1" si="24"/>
        <v>22.257460193238177</v>
      </c>
      <c r="CG78" s="6">
        <f t="shared" ca="1" si="25"/>
        <v>-6.1239985059875948E-2</v>
      </c>
      <c r="CH78" s="6">
        <f t="shared" ca="1" si="26"/>
        <v>0.99812307068310269</v>
      </c>
      <c r="CI78" s="6">
        <f t="shared" ca="1" si="27"/>
        <v>1.6320746550177214</v>
      </c>
      <c r="CJ78" s="1">
        <f t="shared" ca="1" si="28"/>
        <v>1.2645393354452075</v>
      </c>
      <c r="CK78" s="38"/>
    </row>
    <row r="79" spans="1:89" x14ac:dyDescent="0.25">
      <c r="A79" s="8" t="s">
        <v>64</v>
      </c>
      <c r="B79">
        <f ca="1">((B76*COS(-1*B27))+(B77*SIN(-1*B27)))</f>
        <v>-1585.53</v>
      </c>
      <c r="C79" t="s">
        <v>69</v>
      </c>
      <c r="BC79">
        <v>1.3439035240356352</v>
      </c>
      <c r="BD79">
        <v>-63.265486394238401</v>
      </c>
      <c r="BE79">
        <v>43.716343167600598</v>
      </c>
      <c r="BF79" s="6">
        <f t="shared" si="66"/>
        <v>2.5369336857612432</v>
      </c>
      <c r="BG79" s="6">
        <f t="shared" si="67"/>
        <v>1.1930301617256081</v>
      </c>
      <c r="BH79" s="6">
        <f t="shared" si="68"/>
        <v>0.35968030470168566</v>
      </c>
      <c r="BI79" s="6">
        <f t="shared" si="69"/>
        <v>0.35968030470168566</v>
      </c>
      <c r="BV79" s="38"/>
      <c r="BW79" s="6">
        <f t="shared" ref="BW79:BW142" si="70">BC66</f>
        <v>1.117010721276372</v>
      </c>
      <c r="BX79" s="9">
        <f t="shared" ca="1" si="16"/>
        <v>-24.038532745092887</v>
      </c>
      <c r="BY79" s="9">
        <f t="shared" ca="1" si="17"/>
        <v>-10.069519312694371</v>
      </c>
      <c r="BZ79">
        <f t="shared" ca="1" si="18"/>
        <v>26.062353610632098</v>
      </c>
      <c r="CA79" s="6">
        <f t="shared" ca="1" si="19"/>
        <v>-0.92234696467652888</v>
      </c>
      <c r="CB79" s="6">
        <f t="shared" ca="1" si="20"/>
        <v>-0.38636262338895311</v>
      </c>
      <c r="CC79" s="6">
        <f t="shared" ca="1" si="21"/>
        <v>-2.7449079437364889</v>
      </c>
      <c r="CD79" s="6">
        <f t="shared" ca="1" si="22"/>
        <v>-1.9494559257428037</v>
      </c>
      <c r="CE79" s="9">
        <f t="shared" ca="1" si="23"/>
        <v>22.732182202972929</v>
      </c>
      <c r="CF79">
        <f t="shared" ca="1" si="24"/>
        <v>22.815619345430292</v>
      </c>
      <c r="CG79" s="6">
        <f t="shared" ca="1" si="25"/>
        <v>-8.5443918757053483E-2</v>
      </c>
      <c r="CH79" s="6">
        <f t="shared" ca="1" si="26"/>
        <v>0.99634298148149658</v>
      </c>
      <c r="CI79" s="6">
        <f t="shared" ca="1" si="27"/>
        <v>1.6563445548166695</v>
      </c>
      <c r="CJ79" s="1">
        <f t="shared" ca="1" si="28"/>
        <v>1.2402694356462594</v>
      </c>
      <c r="CK79" s="38"/>
    </row>
    <row r="80" spans="1:89" x14ac:dyDescent="0.25">
      <c r="A80" s="8" t="s">
        <v>65</v>
      </c>
      <c r="B80">
        <f ca="1">(-1*(B76)*SIN(-1*B27))+((B77)*COS(-1*B27))</f>
        <v>528.51</v>
      </c>
      <c r="C80" t="s">
        <v>69</v>
      </c>
      <c r="BC80">
        <v>1.3613568165555785</v>
      </c>
      <c r="BD80">
        <v>-64.763719942274037</v>
      </c>
      <c r="BE80">
        <v>44.41391171526044</v>
      </c>
      <c r="BF80" s="6">
        <f t="shared" si="66"/>
        <v>2.5404716001697167</v>
      </c>
      <c r="BG80" s="6">
        <f t="shared" si="67"/>
        <v>1.1791147836141382</v>
      </c>
      <c r="BH80" s="6">
        <f t="shared" si="68"/>
        <v>0.3561423902932121</v>
      </c>
      <c r="BI80" s="6">
        <f t="shared" si="69"/>
        <v>0.3561423902932121</v>
      </c>
      <c r="BV80" s="38"/>
      <c r="BW80" s="6">
        <f t="shared" si="70"/>
        <v>1.1344640137963153</v>
      </c>
      <c r="BX80" s="9">
        <f t="shared" ref="BX80:BX143" ca="1" si="71">$BW$5-BD67</f>
        <v>-23.40622449433625</v>
      </c>
      <c r="BY80" s="9">
        <f t="shared" ref="BY80:BY143" ca="1" si="72">$BX$5-BE67</f>
        <v>-10.608146249186451</v>
      </c>
      <c r="BZ80">
        <f t="shared" ref="BZ80:BZ143" ca="1" si="73">SQRT(POWER(BX80,2)+POWER(BY80,2))</f>
        <v>25.697939838115328</v>
      </c>
      <c r="CA80" s="6">
        <f t="shared" ref="CA80:CA143" ca="1" si="74">BX80/BZ80</f>
        <v>-0.91082104798222019</v>
      </c>
      <c r="CB80" s="6">
        <f t="shared" ref="CB80:CB143" ca="1" si="75">BY80/BZ80</f>
        <v>-0.4128014275079121</v>
      </c>
      <c r="CC80" s="6">
        <f t="shared" ref="CC80:CC143" ca="1" si="76">ATAN2(CA80,CB80)</f>
        <v>-2.7160650106192796</v>
      </c>
      <c r="CD80" s="6">
        <f t="shared" ref="CD80:CD143" ca="1" si="77">$BW$9-BX80</f>
        <v>-2.5817641764994406</v>
      </c>
      <c r="CE80" s="9">
        <f t="shared" ref="CE80:CE143" ca="1" si="78">$BX$9-BY80</f>
        <v>23.270809139465008</v>
      </c>
      <c r="CF80">
        <f t="shared" ref="CF80:CF143" ca="1" si="79">SQRT(POWER(CD80,2)+POWER(CE80,2))</f>
        <v>23.413587172162746</v>
      </c>
      <c r="CG80" s="6">
        <f t="shared" ref="CG80:CG143" ca="1" si="80">CD80/CF80</f>
        <v>-0.11026777560889912</v>
      </c>
      <c r="CH80" s="6">
        <f t="shared" ref="CH80:CH143" ca="1" si="81">CE80/CF80</f>
        <v>0.99390191551393325</v>
      </c>
      <c r="CI80" s="6">
        <f t="shared" ref="CI80:CI143" ca="1" si="82">ATAN2(CG80,CH80)</f>
        <v>1.6812887913054551</v>
      </c>
      <c r="CJ80" s="1">
        <f t="shared" ref="CJ80:CJ143" ca="1" si="83">ATAN2(COS($U$13-CI80),SIN($U$13-CI80))</f>
        <v>1.2153251991574738</v>
      </c>
      <c r="CK80" s="38"/>
    </row>
    <row r="81" spans="1:89" x14ac:dyDescent="0.25">
      <c r="BC81">
        <v>1.3788101090755218</v>
      </c>
      <c r="BD81">
        <v>-66.194765048147943</v>
      </c>
      <c r="BE81">
        <v>44.956198641831641</v>
      </c>
      <c r="BF81" s="6">
        <f t="shared" si="66"/>
        <v>2.5449972138728487</v>
      </c>
      <c r="BG81" s="6">
        <f t="shared" si="67"/>
        <v>1.1661871047973269</v>
      </c>
      <c r="BH81" s="6">
        <f t="shared" si="68"/>
        <v>0.35161677659008017</v>
      </c>
      <c r="BI81" s="6">
        <f t="shared" si="69"/>
        <v>0.35161677659008017</v>
      </c>
      <c r="BV81" s="38"/>
      <c r="BW81" s="6">
        <f t="shared" si="70"/>
        <v>1.1519173063162587</v>
      </c>
      <c r="BX81" s="9">
        <f t="shared" ca="1" si="71"/>
        <v>-22.724330245704287</v>
      </c>
      <c r="BY81" s="9">
        <f t="shared" ca="1" si="72"/>
        <v>-11.170143984812523</v>
      </c>
      <c r="BZ81">
        <f t="shared" ca="1" si="73"/>
        <v>25.321281597843228</v>
      </c>
      <c r="CA81" s="6">
        <f t="shared" ca="1" si="74"/>
        <v>-0.89743997190252256</v>
      </c>
      <c r="CB81" s="6">
        <f t="shared" ca="1" si="75"/>
        <v>-0.44113659656800125</v>
      </c>
      <c r="CC81" s="6">
        <f t="shared" ca="1" si="76"/>
        <v>-2.6847278862628281</v>
      </c>
      <c r="CD81" s="6">
        <f t="shared" ca="1" si="77"/>
        <v>-3.2636584251314034</v>
      </c>
      <c r="CE81" s="9">
        <f t="shared" ca="1" si="78"/>
        <v>23.83280687509108</v>
      </c>
      <c r="CF81">
        <f t="shared" ca="1" si="79"/>
        <v>24.05523123691227</v>
      </c>
      <c r="CG81" s="6">
        <f t="shared" ca="1" si="80"/>
        <v>-0.13567354198297563</v>
      </c>
      <c r="CH81" s="6">
        <f t="shared" ca="1" si="81"/>
        <v>0.99075359701885202</v>
      </c>
      <c r="CI81" s="6">
        <f t="shared" ca="1" si="82"/>
        <v>1.7068895856184267</v>
      </c>
      <c r="CJ81" s="1">
        <f t="shared" ca="1" si="83"/>
        <v>1.1897244048445021</v>
      </c>
      <c r="CK81" s="38"/>
    </row>
    <row r="82" spans="1:89" x14ac:dyDescent="0.25">
      <c r="B82">
        <f>ATAN2(1,0)</f>
        <v>0</v>
      </c>
      <c r="BC82">
        <v>1.3962634015954651</v>
      </c>
      <c r="BD82">
        <v>-67.720391842590786</v>
      </c>
      <c r="BE82">
        <v>45.517436247506183</v>
      </c>
      <c r="BF82" s="6">
        <f t="shared" si="66"/>
        <v>2.5498118899480193</v>
      </c>
      <c r="BG82" s="6">
        <f t="shared" si="67"/>
        <v>1.1535484883525542</v>
      </c>
      <c r="BH82" s="6">
        <f t="shared" si="68"/>
        <v>0.34680210051490962</v>
      </c>
      <c r="BI82" s="6">
        <f t="shared" si="69"/>
        <v>0.34680210051490962</v>
      </c>
      <c r="BV82" s="38"/>
      <c r="BW82" s="6">
        <f t="shared" si="70"/>
        <v>1.169370598836202</v>
      </c>
      <c r="BX82" s="9">
        <f t="shared" ca="1" si="71"/>
        <v>-21.988886282545849</v>
      </c>
      <c r="BY82" s="9">
        <f t="shared" ca="1" si="72"/>
        <v>-11.756831892210311</v>
      </c>
      <c r="BZ82">
        <f t="shared" ca="1" si="73"/>
        <v>24.934598775364854</v>
      </c>
      <c r="CA82" s="6">
        <f t="shared" ca="1" si="74"/>
        <v>-0.88186244666068814</v>
      </c>
      <c r="CB82" s="6">
        <f t="shared" ca="1" si="75"/>
        <v>-0.47150676047075396</v>
      </c>
      <c r="CC82" s="6">
        <f t="shared" ca="1" si="76"/>
        <v>-2.6505940428081387</v>
      </c>
      <c r="CD82" s="6">
        <f t="shared" ca="1" si="77"/>
        <v>-3.9991023882898418</v>
      </c>
      <c r="CE82" s="9">
        <f t="shared" ca="1" si="78"/>
        <v>24.419494782488869</v>
      </c>
      <c r="CF82">
        <f t="shared" ca="1" si="79"/>
        <v>24.744788246093893</v>
      </c>
      <c r="CG82" s="6">
        <f t="shared" ca="1" si="80"/>
        <v>-0.1616139264768662</v>
      </c>
      <c r="CH82" s="6">
        <f t="shared" ca="1" si="81"/>
        <v>0.9868540615353063</v>
      </c>
      <c r="CI82" s="6">
        <f t="shared" ca="1" si="82"/>
        <v>1.7331221872095373</v>
      </c>
      <c r="CJ82" s="1">
        <f t="shared" ca="1" si="83"/>
        <v>1.1634918032533916</v>
      </c>
      <c r="CK82" s="38"/>
    </row>
    <row r="83" spans="1:89" x14ac:dyDescent="0.25">
      <c r="A83" t="s">
        <v>74</v>
      </c>
      <c r="B83">
        <f ca="1">ATAN2(B79,B80)</f>
        <v>2.819842099193151</v>
      </c>
      <c r="BC83">
        <v>1.4137166941154085</v>
      </c>
      <c r="BD83">
        <v>-69.347194674873833</v>
      </c>
      <c r="BE83">
        <v>46.098884036458053</v>
      </c>
      <c r="BF83" s="6">
        <f t="shared" si="66"/>
        <v>2.5549147831424319</v>
      </c>
      <c r="BG83" s="6">
        <f t="shared" si="67"/>
        <v>1.1411980890270235</v>
      </c>
      <c r="BH83" s="6">
        <f t="shared" si="68"/>
        <v>0.34169920732049697</v>
      </c>
      <c r="BI83" s="6">
        <f t="shared" si="69"/>
        <v>0.34169920732049697</v>
      </c>
      <c r="BV83" s="38"/>
      <c r="BW83" s="6">
        <f t="shared" si="70"/>
        <v>1.1868238913561453</v>
      </c>
      <c r="BX83" s="9">
        <f t="shared" ca="1" si="71"/>
        <v>-21.195623399716801</v>
      </c>
      <c r="BY83" s="9">
        <f t="shared" ca="1" si="72"/>
        <v>-12.369619190971537</v>
      </c>
      <c r="BZ83">
        <f t="shared" ca="1" si="73"/>
        <v>24.541025451929954</v>
      </c>
      <c r="CA83" s="6">
        <f t="shared" ca="1" si="74"/>
        <v>-0.8636812443405838</v>
      </c>
      <c r="CB83" s="6">
        <f t="shared" ca="1" si="75"/>
        <v>-0.50403839950374874</v>
      </c>
      <c r="CC83" s="6">
        <f t="shared" ca="1" si="76"/>
        <v>-2.613324424740076</v>
      </c>
      <c r="CD83" s="6">
        <f t="shared" ca="1" si="77"/>
        <v>-4.7923652711188893</v>
      </c>
      <c r="CE83" s="9">
        <f t="shared" ca="1" si="78"/>
        <v>25.032282081250095</v>
      </c>
      <c r="CF83">
        <f t="shared" ca="1" si="79"/>
        <v>25.486896850874196</v>
      </c>
      <c r="CG83" s="6">
        <f t="shared" ca="1" si="80"/>
        <v>-0.18803251330122256</v>
      </c>
      <c r="CH83" s="6">
        <f t="shared" ca="1" si="81"/>
        <v>0.98216280419369661</v>
      </c>
      <c r="CI83" s="6">
        <f t="shared" ca="1" si="82"/>
        <v>1.7599548692100997</v>
      </c>
      <c r="CJ83" s="1">
        <f t="shared" ca="1" si="83"/>
        <v>1.1366591212528292</v>
      </c>
      <c r="CK83" s="38"/>
    </row>
    <row r="84" spans="1:89" x14ac:dyDescent="0.25">
      <c r="BC84">
        <v>1.4311699866353518</v>
      </c>
      <c r="BD84">
        <v>-71.082258504920546</v>
      </c>
      <c r="BE84">
        <v>46.701910304260593</v>
      </c>
      <c r="BF84" s="6">
        <f t="shared" si="66"/>
        <v>2.5603037339245547</v>
      </c>
      <c r="BG84" s="6">
        <f t="shared" si="67"/>
        <v>1.1291337472892029</v>
      </c>
      <c r="BH84" s="6">
        <f t="shared" si="68"/>
        <v>0.33631025653837421</v>
      </c>
      <c r="BI84" s="6">
        <f t="shared" si="69"/>
        <v>0.33631025653837421</v>
      </c>
      <c r="BV84" s="38"/>
      <c r="BW84" s="6">
        <f t="shared" si="70"/>
        <v>1.2042771838760886</v>
      </c>
      <c r="BX84" s="9">
        <f t="shared" ca="1" si="71"/>
        <v>-20.339932937622685</v>
      </c>
      <c r="BY84" s="9">
        <f t="shared" ca="1" si="72"/>
        <v>-13.010020655966155</v>
      </c>
      <c r="BZ84">
        <f t="shared" ca="1" si="73"/>
        <v>24.144844364287259</v>
      </c>
      <c r="CA84" s="6">
        <f t="shared" ca="1" si="74"/>
        <v>-0.84241308954998129</v>
      </c>
      <c r="CB84" s="6">
        <f t="shared" ca="1" si="75"/>
        <v>-0.53883224342540514</v>
      </c>
      <c r="CC84" s="6">
        <f t="shared" ca="1" si="76"/>
        <v>-2.5725423639380058</v>
      </c>
      <c r="CD84" s="6">
        <f t="shared" ca="1" si="77"/>
        <v>-5.6480557332130061</v>
      </c>
      <c r="CE84" s="9">
        <f t="shared" ca="1" si="78"/>
        <v>25.672683546244713</v>
      </c>
      <c r="CF84">
        <f t="shared" ca="1" si="79"/>
        <v>26.286635654474772</v>
      </c>
      <c r="CG84" s="6">
        <f t="shared" ca="1" si="80"/>
        <v>-0.21486415406878204</v>
      </c>
      <c r="CH84" s="6">
        <f t="shared" ca="1" si="81"/>
        <v>0.97664394499546592</v>
      </c>
      <c r="CI84" s="6">
        <f t="shared" ca="1" si="82"/>
        <v>1.7873490598749442</v>
      </c>
      <c r="CJ84" s="1">
        <f t="shared" ca="1" si="83"/>
        <v>1.1092649305879847</v>
      </c>
      <c r="CK84" s="38"/>
    </row>
    <row r="85" spans="1:89" x14ac:dyDescent="0.25">
      <c r="BC85">
        <v>1.4486232791552951</v>
      </c>
      <c r="BD85">
        <v>-72.93317609956658</v>
      </c>
      <c r="BE85">
        <v>47.327986986301774</v>
      </c>
      <c r="BF85" s="6">
        <f t="shared" si="66"/>
        <v>2.5659751978573446</v>
      </c>
      <c r="BG85" s="6">
        <f t="shared" si="67"/>
        <v>1.1173519187020495</v>
      </c>
      <c r="BH85" s="6">
        <f t="shared" si="68"/>
        <v>0.33063879260558426</v>
      </c>
      <c r="BI85" s="6">
        <f t="shared" si="69"/>
        <v>0.33063879260558426</v>
      </c>
      <c r="BV85" s="38"/>
      <c r="BW85" s="6">
        <f t="shared" si="70"/>
        <v>1.2217304763960319</v>
      </c>
      <c r="BX85" s="9">
        <f t="shared" ca="1" si="71"/>
        <v>-19.416825602950482</v>
      </c>
      <c r="BY85" s="9">
        <f t="shared" ca="1" si="72"/>
        <v>-13.679677634576233</v>
      </c>
      <c r="BZ85">
        <f t="shared" ca="1" si="73"/>
        <v>23.751772495570062</v>
      </c>
      <c r="CA85" s="6">
        <f t="shared" ca="1" si="74"/>
        <v>-0.81748954132041762</v>
      </c>
      <c r="CB85" s="6">
        <f t="shared" ca="1" si="75"/>
        <v>-0.57594344325787172</v>
      </c>
      <c r="CC85" s="6">
        <f t="shared" ca="1" si="76"/>
        <v>-2.5278349002836289</v>
      </c>
      <c r="CD85" s="6">
        <f t="shared" ca="1" si="77"/>
        <v>-6.5711630678852089</v>
      </c>
      <c r="CE85" s="9">
        <f t="shared" ca="1" si="78"/>
        <v>26.342340524854791</v>
      </c>
      <c r="CF85">
        <f t="shared" ca="1" si="79"/>
        <v>27.149568843577342</v>
      </c>
      <c r="CG85" s="6">
        <f t="shared" ca="1" si="80"/>
        <v>-0.24203563252680238</v>
      </c>
      <c r="CH85" s="6">
        <f t="shared" ca="1" si="81"/>
        <v>0.97026736139445124</v>
      </c>
      <c r="CI85" s="6">
        <f t="shared" ca="1" si="82"/>
        <v>1.8152596426146015</v>
      </c>
      <c r="CJ85" s="1">
        <f t="shared" ca="1" si="83"/>
        <v>1.0813543478483274</v>
      </c>
      <c r="CK85" s="38"/>
    </row>
    <row r="86" spans="1:89" x14ac:dyDescent="0.25">
      <c r="BC86">
        <v>1.4660765716752384</v>
      </c>
      <c r="BD86">
        <v>-74.908079722489902</v>
      </c>
      <c r="BE86">
        <v>47.978700801036126</v>
      </c>
      <c r="BF86" s="6">
        <f t="shared" si="66"/>
        <v>2.5719241154917265</v>
      </c>
      <c r="BG86" s="6">
        <f t="shared" si="67"/>
        <v>1.1058475438164881</v>
      </c>
      <c r="BH86" s="6">
        <f t="shared" si="68"/>
        <v>0.32468987497120233</v>
      </c>
      <c r="BI86" s="6">
        <f t="shared" si="69"/>
        <v>0.32468987497120233</v>
      </c>
      <c r="BV86" s="38"/>
      <c r="BW86" s="6">
        <f t="shared" si="70"/>
        <v>1.2391837689159753</v>
      </c>
      <c r="BX86" s="9">
        <f t="shared" ca="1" si="71"/>
        <v>-18.420879720212973</v>
      </c>
      <c r="BY86" s="9">
        <f t="shared" ca="1" si="72"/>
        <v>-14.380386794210086</v>
      </c>
      <c r="BZ86">
        <f t="shared" ca="1" si="73"/>
        <v>23.369303242023399</v>
      </c>
      <c r="CA86" s="6">
        <f t="shared" ca="1" si="74"/>
        <v>-0.78825113138537994</v>
      </c>
      <c r="CB86" s="6">
        <f t="shared" ca="1" si="75"/>
        <v>-0.61535368193394968</v>
      </c>
      <c r="CC86" s="6">
        <f t="shared" ca="1" si="76"/>
        <v>-2.4787580736822745</v>
      </c>
      <c r="CD86" s="6">
        <f t="shared" ca="1" si="77"/>
        <v>-7.5671089506227176</v>
      </c>
      <c r="CE86" s="9">
        <f t="shared" ca="1" si="78"/>
        <v>27.043049684488643</v>
      </c>
      <c r="CF86">
        <f t="shared" ca="1" si="79"/>
        <v>28.081803255993297</v>
      </c>
      <c r="CG86" s="6">
        <f t="shared" ca="1" si="80"/>
        <v>-0.26946663224014022</v>
      </c>
      <c r="CH86" s="6">
        <f t="shared" ca="1" si="81"/>
        <v>0.96300972690267106</v>
      </c>
      <c r="CI86" s="6">
        <f t="shared" ca="1" si="82"/>
        <v>1.8436354603018283</v>
      </c>
      <c r="CJ86" s="1">
        <f t="shared" ca="1" si="83"/>
        <v>1.0529785301611005</v>
      </c>
      <c r="CK86" s="38"/>
    </row>
    <row r="87" spans="1:89" x14ac:dyDescent="0.25">
      <c r="A87" t="s">
        <v>119</v>
      </c>
      <c r="BC87">
        <v>1.4835298641951817</v>
      </c>
      <c r="BD87">
        <v>-77.015673052185306</v>
      </c>
      <c r="BE87">
        <v>48.655765753050751</v>
      </c>
      <c r="BF87" s="6">
        <f t="shared" si="66"/>
        <v>2.5781437831395935</v>
      </c>
      <c r="BG87" s="6">
        <f t="shared" si="67"/>
        <v>1.0946139189444117</v>
      </c>
      <c r="BH87" s="6">
        <f t="shared" si="68"/>
        <v>0.31847020732333542</v>
      </c>
      <c r="BI87" s="6">
        <f t="shared" si="69"/>
        <v>0.31847020732333542</v>
      </c>
      <c r="BV87" s="38"/>
      <c r="BW87" s="6">
        <f t="shared" si="70"/>
        <v>1.2566370614359186</v>
      </c>
      <c r="BX87" s="9">
        <f t="shared" ca="1" si="71"/>
        <v>-17.346173448278805</v>
      </c>
      <c r="BY87" s="9">
        <f t="shared" ca="1" si="72"/>
        <v>-15.114140206148615</v>
      </c>
      <c r="BZ87">
        <f t="shared" ca="1" si="73"/>
        <v>23.007106890456495</v>
      </c>
      <c r="CA87" s="6">
        <f t="shared" ca="1" si="74"/>
        <v>-0.75394848778114365</v>
      </c>
      <c r="CB87" s="6">
        <f t="shared" ca="1" si="75"/>
        <v>-0.65693354136664894</v>
      </c>
      <c r="CC87" s="6">
        <f t="shared" ca="1" si="76"/>
        <v>-2.4248483355758985</v>
      </c>
      <c r="CD87" s="6">
        <f t="shared" ca="1" si="77"/>
        <v>-8.6418152225568861</v>
      </c>
      <c r="CE87" s="9">
        <f t="shared" ca="1" si="78"/>
        <v>27.776803096427173</v>
      </c>
      <c r="CF87">
        <f t="shared" ca="1" si="79"/>
        <v>29.090062918434917</v>
      </c>
      <c r="CG87" s="6">
        <f t="shared" ca="1" si="80"/>
        <v>-0.29707103923382738</v>
      </c>
      <c r="CH87" s="6">
        <f t="shared" ca="1" si="81"/>
        <v>0.9548553804888642</v>
      </c>
      <c r="CI87" s="6">
        <f t="shared" ca="1" si="82"/>
        <v>1.8724200717771886</v>
      </c>
      <c r="CJ87" s="1">
        <f t="shared" ca="1" si="83"/>
        <v>1.0241939186857403</v>
      </c>
      <c r="CK87" s="38"/>
    </row>
    <row r="88" spans="1:89" x14ac:dyDescent="0.25">
      <c r="A88" t="s">
        <v>120</v>
      </c>
      <c r="BC88">
        <v>1.5009831567151251</v>
      </c>
      <c r="BD88">
        <v>-79.116822395322501</v>
      </c>
      <c r="BE88">
        <v>49.234032903817344</v>
      </c>
      <c r="BF88" s="6">
        <f t="shared" si="66"/>
        <v>2.584940599473859</v>
      </c>
      <c r="BG88" s="6">
        <f t="shared" si="67"/>
        <v>1.083957442758734</v>
      </c>
      <c r="BH88" s="6">
        <f t="shared" si="68"/>
        <v>0.31167339098906993</v>
      </c>
      <c r="BI88" s="6">
        <f t="shared" si="69"/>
        <v>0.31167339098906993</v>
      </c>
      <c r="BV88" s="38"/>
      <c r="BW88" s="6">
        <f t="shared" si="70"/>
        <v>1.2740903539558619</v>
      </c>
      <c r="BX88" s="9">
        <f t="shared" ca="1" si="71"/>
        <v>-16.186195308523004</v>
      </c>
      <c r="BY88" s="9">
        <f t="shared" ca="1" si="72"/>
        <v>-15.883178685900699</v>
      </c>
      <c r="BZ88">
        <f t="shared" ca="1" si="73"/>
        <v>22.677484069753028</v>
      </c>
      <c r="CA88" s="6">
        <f t="shared" ca="1" si="74"/>
        <v>-0.71375621999055749</v>
      </c>
      <c r="CB88" s="6">
        <f t="shared" ca="1" si="75"/>
        <v>-0.70039421644156297</v>
      </c>
      <c r="CC88" s="6">
        <f t="shared" ca="1" si="76"/>
        <v>-2.3656429940960955</v>
      </c>
      <c r="CD88" s="6">
        <f t="shared" ca="1" si="77"/>
        <v>-9.8017933623126865</v>
      </c>
      <c r="CE88" s="9">
        <f t="shared" ca="1" si="78"/>
        <v>28.545841576179257</v>
      </c>
      <c r="CF88">
        <f t="shared" ca="1" si="79"/>
        <v>30.181786302500409</v>
      </c>
      <c r="CG88" s="6">
        <f t="shared" ca="1" si="80"/>
        <v>-0.32475855683534072</v>
      </c>
      <c r="CH88" s="6">
        <f t="shared" ca="1" si="81"/>
        <v>0.94579695482816328</v>
      </c>
      <c r="CI88" s="6">
        <f t="shared" ca="1" si="82"/>
        <v>1.9015527635672751</v>
      </c>
      <c r="CJ88" s="1">
        <f t="shared" ca="1" si="83"/>
        <v>0.99506122689565379</v>
      </c>
      <c r="CK88" s="38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-80.758793699500671</v>
      </c>
      <c r="BE89">
        <v>49.43078043804762</v>
      </c>
      <c r="BF89" s="6">
        <f t="shared" si="66"/>
        <v>2.5923386756101765</v>
      </c>
      <c r="BG89" s="6">
        <f t="shared" si="67"/>
        <v>1.0739022263751081</v>
      </c>
      <c r="BH89" s="6">
        <f t="shared" si="68"/>
        <v>0.30427531485275239</v>
      </c>
      <c r="BI89" s="6">
        <f t="shared" si="69"/>
        <v>0.30427531485275239</v>
      </c>
      <c r="BV89" s="38"/>
      <c r="BW89" s="6">
        <f t="shared" si="70"/>
        <v>1.2915436464758052</v>
      </c>
      <c r="BX89" s="9">
        <f t="shared" ca="1" si="71"/>
        <v>-14.933783074264177</v>
      </c>
      <c r="BY89" s="9">
        <f t="shared" ca="1" si="72"/>
        <v>-16.689999297149459</v>
      </c>
      <c r="BZ89">
        <f t="shared" ca="1" si="73"/>
        <v>22.395846790153495</v>
      </c>
      <c r="CA89" s="6">
        <f t="shared" ca="1" si="74"/>
        <v>-0.66681037846847246</v>
      </c>
      <c r="CB89" s="6">
        <f t="shared" ca="1" si="75"/>
        <v>-0.74522742781430995</v>
      </c>
      <c r="CC89" s="6">
        <f t="shared" ca="1" si="76"/>
        <v>-2.3007168092661399</v>
      </c>
      <c r="CD89" s="6">
        <f t="shared" ca="1" si="77"/>
        <v>-11.054205596571514</v>
      </c>
      <c r="CE89" s="9">
        <f t="shared" ca="1" si="78"/>
        <v>29.352662187428017</v>
      </c>
      <c r="CF89">
        <f t="shared" ca="1" si="79"/>
        <v>31.365175575158819</v>
      </c>
      <c r="CG89" s="6">
        <f t="shared" ca="1" si="80"/>
        <v>-0.35243563582428761</v>
      </c>
      <c r="CH89" s="6">
        <f t="shared" ca="1" si="81"/>
        <v>0.93583605540774617</v>
      </c>
      <c r="CI89" s="6">
        <f t="shared" ca="1" si="82"/>
        <v>1.9309687900246673</v>
      </c>
      <c r="CJ89" s="1">
        <f t="shared" ca="1" si="83"/>
        <v>0.96564520043826163</v>
      </c>
      <c r="CK89" s="38"/>
    </row>
    <row r="90" spans="1:89" x14ac:dyDescent="0.25">
      <c r="A90" s="6">
        <f t="shared" ref="A90:A98" si="84">E3-$I$2</f>
        <v>-6</v>
      </c>
      <c r="B90" s="1">
        <f t="shared" ref="B90:B98" si="85">F3-$I$3</f>
        <v>-12</v>
      </c>
      <c r="C90" s="1"/>
      <c r="BC90">
        <v>1.5358897417550117</v>
      </c>
      <c r="BD90">
        <v>-82.412272911186193</v>
      </c>
      <c r="BE90">
        <v>49.58778920370203</v>
      </c>
      <c r="BF90" s="6">
        <f t="shared" si="66"/>
        <v>2.5999211990492843</v>
      </c>
      <c r="BG90" s="6">
        <f t="shared" si="67"/>
        <v>1.0640314572942726</v>
      </c>
      <c r="BH90" s="6">
        <f t="shared" si="68"/>
        <v>0.29669279141364457</v>
      </c>
      <c r="BI90" s="6">
        <f t="shared" si="69"/>
        <v>0.29669279141364457</v>
      </c>
      <c r="BV90" s="38"/>
      <c r="BW90" s="6">
        <f t="shared" si="70"/>
        <v>1.3089969389957485</v>
      </c>
      <c r="BX90" s="9">
        <f t="shared" ca="1" si="71"/>
        <v>-13.581108861237638</v>
      </c>
      <c r="BY90" s="9">
        <f t="shared" ca="1" si="72"/>
        <v>-17.537311222917115</v>
      </c>
      <c r="BZ90">
        <f t="shared" ca="1" si="73"/>
        <v>22.181158735067068</v>
      </c>
      <c r="CA90" s="6">
        <f t="shared" ca="1" si="74"/>
        <v>-0.61228130700704686</v>
      </c>
      <c r="CB90" s="6">
        <f t="shared" ca="1" si="75"/>
        <v>-0.79063999461812096</v>
      </c>
      <c r="CC90" s="6">
        <f t="shared" ca="1" si="76"/>
        <v>-2.229739098080012</v>
      </c>
      <c r="CD90" s="6">
        <f t="shared" ca="1" si="77"/>
        <v>-12.406879809598053</v>
      </c>
      <c r="CE90" s="9">
        <f t="shared" ca="1" si="78"/>
        <v>30.199974113195672</v>
      </c>
      <c r="CF90">
        <f t="shared" ca="1" si="79"/>
        <v>32.649182272263737</v>
      </c>
      <c r="CG90" s="6">
        <f t="shared" ca="1" si="80"/>
        <v>-0.3800058361687666</v>
      </c>
      <c r="CH90" s="6">
        <f t="shared" ca="1" si="81"/>
        <v>0.92498408877000493</v>
      </c>
      <c r="CI90" s="6">
        <f t="shared" ca="1" si="82"/>
        <v>1.9605989327411508</v>
      </c>
      <c r="CJ90" s="1">
        <f t="shared" ca="1" si="83"/>
        <v>0.93601505772177795</v>
      </c>
      <c r="CK90" s="38"/>
    </row>
    <row r="91" spans="1:89" x14ac:dyDescent="0.25">
      <c r="A91" s="6">
        <f t="shared" si="84"/>
        <v>6</v>
      </c>
      <c r="B91" s="1">
        <f t="shared" si="85"/>
        <v>-12</v>
      </c>
      <c r="C91" s="1">
        <f t="shared" ref="C91:C98" si="86">((A90*B91)-(A91*B90))*0.5</f>
        <v>72</v>
      </c>
      <c r="D91" s="6">
        <f t="shared" ref="D91:D98" si="87">(A91+A90)*((A90*B91)-(A91*B90))*(1/6)</f>
        <v>0</v>
      </c>
      <c r="E91" s="6">
        <f t="shared" ref="E91:E98" si="88">(B91+B90)*((A90*B91)-(A91*B90))*(1/6)</f>
        <v>-576</v>
      </c>
      <c r="BC91">
        <v>1.553343034274955</v>
      </c>
      <c r="BD91">
        <v>-84.12074285141945</v>
      </c>
      <c r="BE91">
        <v>49.733387487951596</v>
      </c>
      <c r="BF91" s="6">
        <f t="shared" si="66"/>
        <v>2.6076582606719443</v>
      </c>
      <c r="BG91" s="6">
        <f t="shared" si="67"/>
        <v>1.0543152263969893</v>
      </c>
      <c r="BH91" s="6">
        <f t="shared" si="68"/>
        <v>0.28895572979098461</v>
      </c>
      <c r="BI91" s="6">
        <f t="shared" si="69"/>
        <v>0.28895572979098461</v>
      </c>
      <c r="BV91" s="38"/>
      <c r="BW91" s="6">
        <f t="shared" si="70"/>
        <v>1.3264502315156919</v>
      </c>
      <c r="BX91" s="9">
        <f t="shared" ca="1" si="71"/>
        <v>-12.185502758864189</v>
      </c>
      <c r="BY91" s="9">
        <f t="shared" ca="1" si="72"/>
        <v>-18.310545353159025</v>
      </c>
      <c r="BZ91">
        <f t="shared" ca="1" si="73"/>
        <v>21.994602715584119</v>
      </c>
      <c r="CA91" s="6">
        <f t="shared" ca="1" si="74"/>
        <v>-0.55402240797149016</v>
      </c>
      <c r="CB91" s="6">
        <f t="shared" ca="1" si="75"/>
        <v>-0.83250175463206788</v>
      </c>
      <c r="CC91" s="6">
        <f t="shared" ca="1" si="76"/>
        <v>-2.1579845512226301</v>
      </c>
      <c r="CD91" s="6">
        <f t="shared" ca="1" si="77"/>
        <v>-13.802485911971502</v>
      </c>
      <c r="CE91" s="9">
        <f t="shared" ca="1" si="78"/>
        <v>30.973208243437583</v>
      </c>
      <c r="CF91">
        <f t="shared" ca="1" si="79"/>
        <v>33.909412354706497</v>
      </c>
      <c r="CG91" s="6">
        <f t="shared" ca="1" si="80"/>
        <v>-0.4070399618722903</v>
      </c>
      <c r="CH91" s="6">
        <f t="shared" ca="1" si="81"/>
        <v>0.91341035106845847</v>
      </c>
      <c r="CI91" s="6">
        <f t="shared" ca="1" si="82"/>
        <v>1.9900073955828126</v>
      </c>
      <c r="CJ91" s="1">
        <f t="shared" ca="1" si="83"/>
        <v>0.9066065948801163</v>
      </c>
      <c r="CK91" s="38"/>
    </row>
    <row r="92" spans="1:89" x14ac:dyDescent="0.25">
      <c r="A92" s="6">
        <f t="shared" si="84"/>
        <v>6</v>
      </c>
      <c r="B92" s="1">
        <f t="shared" si="85"/>
        <v>4</v>
      </c>
      <c r="C92" s="1">
        <f t="shared" si="86"/>
        <v>48</v>
      </c>
      <c r="D92" s="6">
        <f t="shared" si="87"/>
        <v>192</v>
      </c>
      <c r="E92" s="6">
        <f t="shared" si="88"/>
        <v>-128</v>
      </c>
      <c r="BC92">
        <v>1.5707963267948983</v>
      </c>
      <c r="BD92">
        <v>-85.882875000000183</v>
      </c>
      <c r="BE92">
        <v>49.867043589532202</v>
      </c>
      <c r="BF92" s="6">
        <f t="shared" si="66"/>
        <v>2.6155299983051572</v>
      </c>
      <c r="BG92" s="6">
        <f t="shared" si="67"/>
        <v>1.0447336715102589</v>
      </c>
      <c r="BH92" s="6">
        <f t="shared" si="68"/>
        <v>0.28108399215777169</v>
      </c>
      <c r="BI92" s="6">
        <f t="shared" si="69"/>
        <v>0.28108399215777169</v>
      </c>
      <c r="BV92" s="38"/>
      <c r="BW92" s="6">
        <f t="shared" si="70"/>
        <v>1.3439035240356352</v>
      </c>
      <c r="BX92" s="9">
        <f t="shared" ca="1" si="71"/>
        <v>-10.722502276597289</v>
      </c>
      <c r="BY92" s="9">
        <f t="shared" ca="1" si="72"/>
        <v>-19.053680277322041</v>
      </c>
      <c r="BZ92">
        <f t="shared" ca="1" si="73"/>
        <v>21.863549281442044</v>
      </c>
      <c r="CA92" s="6">
        <f t="shared" ca="1" si="74"/>
        <v>-0.49042825291402414</v>
      </c>
      <c r="CB92" s="6">
        <f t="shared" ca="1" si="75"/>
        <v>-0.87148157108667423</v>
      </c>
      <c r="CC92" s="6">
        <f t="shared" ca="1" si="76"/>
        <v>-2.0833774197035191</v>
      </c>
      <c r="CD92" s="6">
        <f t="shared" ca="1" si="77"/>
        <v>-15.265486394238401</v>
      </c>
      <c r="CE92" s="9">
        <f t="shared" ca="1" si="78"/>
        <v>31.716343167600598</v>
      </c>
      <c r="CF92">
        <f t="shared" ca="1" si="79"/>
        <v>35.198884908157005</v>
      </c>
      <c r="CG92" s="6">
        <f t="shared" ca="1" si="80"/>
        <v>-0.43369232957436021</v>
      </c>
      <c r="CH92" s="6">
        <f t="shared" ca="1" si="81"/>
        <v>0.90106102083508444</v>
      </c>
      <c r="CI92" s="6">
        <f t="shared" ca="1" si="82"/>
        <v>2.0193828396076903</v>
      </c>
      <c r="CJ92" s="1">
        <f t="shared" ca="1" si="83"/>
        <v>0.87723115085523862</v>
      </c>
      <c r="CK92" s="38"/>
    </row>
    <row r="93" spans="1:89" x14ac:dyDescent="0.25">
      <c r="A93" s="6">
        <f t="shared" si="84"/>
        <v>6</v>
      </c>
      <c r="B93" s="1">
        <f t="shared" si="85"/>
        <v>4</v>
      </c>
      <c r="C93" s="1">
        <f t="shared" si="86"/>
        <v>0</v>
      </c>
      <c r="D93" s="6">
        <f t="shared" si="87"/>
        <v>0</v>
      </c>
      <c r="E93" s="6">
        <f t="shared" si="88"/>
        <v>0</v>
      </c>
      <c r="BC93">
        <v>1.5882496193148417</v>
      </c>
      <c r="BD93">
        <v>-87.645007148594374</v>
      </c>
      <c r="BE93">
        <v>49.733387488131477</v>
      </c>
      <c r="BF93" s="6">
        <f t="shared" si="66"/>
        <v>2.6254575714066539</v>
      </c>
      <c r="BG93" s="6">
        <f t="shared" si="67"/>
        <v>1.0372079520918123</v>
      </c>
      <c r="BH93" s="6">
        <f t="shared" si="68"/>
        <v>0.27115641905627497</v>
      </c>
      <c r="BI93" s="6">
        <f t="shared" si="69"/>
        <v>0.27115641905627497</v>
      </c>
      <c r="BV93" s="38"/>
      <c r="BW93" s="6">
        <f t="shared" si="70"/>
        <v>1.3613568165555785</v>
      </c>
      <c r="BX93" s="9">
        <f t="shared" ca="1" si="71"/>
        <v>-9.224268728561654</v>
      </c>
      <c r="BY93" s="9">
        <f t="shared" ca="1" si="72"/>
        <v>-19.751248824981882</v>
      </c>
      <c r="BZ93">
        <f t="shared" ca="1" si="73"/>
        <v>21.799058780669146</v>
      </c>
      <c r="CA93" s="6">
        <f t="shared" ca="1" si="74"/>
        <v>-0.42314986263267029</v>
      </c>
      <c r="CB93" s="6">
        <f t="shared" ca="1" si="75"/>
        <v>-0.90605970760979782</v>
      </c>
      <c r="CC93" s="6">
        <f t="shared" ca="1" si="76"/>
        <v>-2.0077152767512656</v>
      </c>
      <c r="CD93" s="6">
        <f t="shared" ca="1" si="77"/>
        <v>-16.763719942274037</v>
      </c>
      <c r="CE93" s="9">
        <f t="shared" ca="1" si="78"/>
        <v>32.41391171526044</v>
      </c>
      <c r="CF93">
        <f t="shared" ca="1" si="79"/>
        <v>36.492245463765229</v>
      </c>
      <c r="CG93" s="6">
        <f t="shared" ca="1" si="80"/>
        <v>-0.4593775945884031</v>
      </c>
      <c r="CH93" s="6">
        <f t="shared" ca="1" si="81"/>
        <v>0.8882410852860686</v>
      </c>
      <c r="CI93" s="6">
        <f t="shared" ca="1" si="82"/>
        <v>2.0480906814867788</v>
      </c>
      <c r="CJ93" s="1">
        <f t="shared" ca="1" si="83"/>
        <v>0.84852330897615014</v>
      </c>
      <c r="CK93" s="38"/>
    </row>
    <row r="94" spans="1:89" x14ac:dyDescent="0.25">
      <c r="A94" s="6">
        <f t="shared" si="84"/>
        <v>6</v>
      </c>
      <c r="B94" s="1">
        <f t="shared" si="85"/>
        <v>12</v>
      </c>
      <c r="C94" s="1">
        <f t="shared" si="86"/>
        <v>24</v>
      </c>
      <c r="D94" s="6">
        <f t="shared" si="87"/>
        <v>96</v>
      </c>
      <c r="E94" s="6">
        <f t="shared" si="88"/>
        <v>128</v>
      </c>
      <c r="BC94">
        <v>1.605702911834785</v>
      </c>
      <c r="BD94">
        <v>-89.353477088794747</v>
      </c>
      <c r="BE94">
        <v>49.587789203571084</v>
      </c>
      <c r="BF94" s="6">
        <f t="shared" si="66"/>
        <v>2.6349477880127092</v>
      </c>
      <c r="BG94" s="6">
        <f t="shared" si="67"/>
        <v>1.0292448761779243</v>
      </c>
      <c r="BH94" s="6">
        <f t="shared" si="68"/>
        <v>0.26166620245021965</v>
      </c>
      <c r="BI94" s="6">
        <f t="shared" si="69"/>
        <v>0.26166620245021965</v>
      </c>
      <c r="BV94" s="38"/>
      <c r="BW94" s="6">
        <f t="shared" si="70"/>
        <v>1.3788101090755218</v>
      </c>
      <c r="BX94" s="9">
        <f t="shared" ca="1" si="71"/>
        <v>-7.7932236226877478</v>
      </c>
      <c r="BY94" s="9">
        <f t="shared" ca="1" si="72"/>
        <v>-20.293535751553083</v>
      </c>
      <c r="BZ94">
        <f t="shared" ca="1" si="73"/>
        <v>21.738489545798288</v>
      </c>
      <c r="CA94" s="6">
        <f t="shared" ca="1" si="74"/>
        <v>-0.35849885551013627</v>
      </c>
      <c r="CB94" s="6">
        <f t="shared" ca="1" si="75"/>
        <v>-0.93353016587463444</v>
      </c>
      <c r="CC94" s="6">
        <f t="shared" ca="1" si="76"/>
        <v>-1.9374556927569002</v>
      </c>
      <c r="CD94" s="6">
        <f t="shared" ca="1" si="77"/>
        <v>-18.194765048147943</v>
      </c>
      <c r="CE94" s="9">
        <f t="shared" ca="1" si="78"/>
        <v>32.956198641831641</v>
      </c>
      <c r="CF94">
        <f t="shared" ca="1" si="79"/>
        <v>37.645192310269472</v>
      </c>
      <c r="CG94" s="6">
        <f t="shared" ca="1" si="80"/>
        <v>-0.48332240935808624</v>
      </c>
      <c r="CH94" s="6">
        <f t="shared" ca="1" si="81"/>
        <v>0.87544243021017343</v>
      </c>
      <c r="CI94" s="6">
        <f t="shared" ca="1" si="82"/>
        <v>2.075242201043936</v>
      </c>
      <c r="CJ94" s="1">
        <f t="shared" ca="1" si="83"/>
        <v>0.82137178941899291</v>
      </c>
      <c r="CK94" s="38"/>
    </row>
    <row r="95" spans="1:89" x14ac:dyDescent="0.25">
      <c r="A95" s="6">
        <f t="shared" si="84"/>
        <v>-6</v>
      </c>
      <c r="B95" s="1">
        <f t="shared" si="85"/>
        <v>12</v>
      </c>
      <c r="C95" s="1">
        <f t="shared" si="86"/>
        <v>72</v>
      </c>
      <c r="D95" s="6">
        <f t="shared" si="87"/>
        <v>0</v>
      </c>
      <c r="E95" s="6">
        <f t="shared" si="88"/>
        <v>576</v>
      </c>
      <c r="BC95">
        <v>1.6231562043547283</v>
      </c>
      <c r="BD95">
        <v>-91.006956300464225</v>
      </c>
      <c r="BE95">
        <v>49.430780437887115</v>
      </c>
      <c r="BF95" s="6">
        <f t="shared" si="66"/>
        <v>2.644020779276774</v>
      </c>
      <c r="BG95" s="6">
        <f t="shared" si="67"/>
        <v>1.0208645749220457</v>
      </c>
      <c r="BH95" s="6">
        <f t="shared" si="68"/>
        <v>0.25259321118615485</v>
      </c>
      <c r="BI95" s="6">
        <f t="shared" si="69"/>
        <v>0.25259321118615485</v>
      </c>
      <c r="BV95" s="38"/>
      <c r="BW95" s="6">
        <f t="shared" si="70"/>
        <v>1.3962634015954651</v>
      </c>
      <c r="BX95" s="9">
        <f t="shared" ca="1" si="71"/>
        <v>-6.2675968282449048</v>
      </c>
      <c r="BY95" s="9">
        <f t="shared" ca="1" si="72"/>
        <v>-20.854773357227625</v>
      </c>
      <c r="BZ95">
        <f t="shared" ca="1" si="73"/>
        <v>21.77623341587697</v>
      </c>
      <c r="CA95" s="6">
        <f t="shared" ca="1" si="74"/>
        <v>-0.28781822404949164</v>
      </c>
      <c r="CB95" s="6">
        <f t="shared" ca="1" si="75"/>
        <v>-0.95768505778517643</v>
      </c>
      <c r="CC95" s="6">
        <f t="shared" ca="1" si="76"/>
        <v>-1.8627442052597221</v>
      </c>
      <c r="CD95" s="6">
        <f t="shared" ca="1" si="77"/>
        <v>-19.720391842590786</v>
      </c>
      <c r="CE95" s="9">
        <f t="shared" ca="1" si="78"/>
        <v>33.517436247506183</v>
      </c>
      <c r="CF95">
        <f t="shared" ca="1" si="79"/>
        <v>38.88846084677256</v>
      </c>
      <c r="CG95" s="6">
        <f t="shared" ca="1" si="80"/>
        <v>-0.50710137180004711</v>
      </c>
      <c r="CH95" s="6">
        <f t="shared" ca="1" si="81"/>
        <v>0.86188641868781668</v>
      </c>
      <c r="CI95" s="6">
        <f t="shared" ca="1" si="82"/>
        <v>2.1026146558753762</v>
      </c>
      <c r="CJ95" s="1">
        <f t="shared" ca="1" si="83"/>
        <v>0.79399933458755267</v>
      </c>
      <c r="CK95" s="38"/>
    </row>
    <row r="96" spans="1:89" x14ac:dyDescent="0.25">
      <c r="A96" s="6">
        <f t="shared" si="84"/>
        <v>-6</v>
      </c>
      <c r="B96" s="1">
        <f t="shared" si="85"/>
        <v>4</v>
      </c>
      <c r="C96" s="1">
        <f t="shared" si="86"/>
        <v>24</v>
      </c>
      <c r="D96" s="6">
        <f t="shared" si="87"/>
        <v>-96</v>
      </c>
      <c r="E96" s="6">
        <f t="shared" si="88"/>
        <v>128</v>
      </c>
      <c r="BC96">
        <v>1.6406094968746716</v>
      </c>
      <c r="BD96">
        <v>-92.604687246538077</v>
      </c>
      <c r="BE96">
        <v>49.262898029894714</v>
      </c>
      <c r="BF96" s="6">
        <f t="shared" si="66"/>
        <v>2.6526974936474792</v>
      </c>
      <c r="BG96" s="6">
        <f t="shared" si="67"/>
        <v>1.0120879967728076</v>
      </c>
      <c r="BH96" s="6">
        <f t="shared" si="68"/>
        <v>0.24391649681544969</v>
      </c>
      <c r="BI96" s="6">
        <f t="shared" si="69"/>
        <v>0.24391649681544969</v>
      </c>
      <c r="BV96" s="38"/>
      <c r="BW96" s="6">
        <f t="shared" si="70"/>
        <v>1.4137166941154085</v>
      </c>
      <c r="BX96" s="9">
        <f t="shared" ca="1" si="71"/>
        <v>-4.6407939959618574</v>
      </c>
      <c r="BY96" s="9">
        <f t="shared" ca="1" si="72"/>
        <v>-21.436221146179495</v>
      </c>
      <c r="BZ96">
        <f t="shared" ca="1" si="73"/>
        <v>21.932818923724067</v>
      </c>
      <c r="CA96" s="6">
        <f t="shared" ca="1" si="74"/>
        <v>-0.2115913149194904</v>
      </c>
      <c r="CB96" s="6">
        <f t="shared" ca="1" si="75"/>
        <v>-0.97735823291700008</v>
      </c>
      <c r="CC96" s="6">
        <f t="shared" ca="1" si="76"/>
        <v>-1.7839991802016053</v>
      </c>
      <c r="CD96" s="6">
        <f t="shared" ca="1" si="77"/>
        <v>-21.347194674873833</v>
      </c>
      <c r="CE96" s="9">
        <f t="shared" ca="1" si="78"/>
        <v>34.098884036458053</v>
      </c>
      <c r="CF96">
        <f t="shared" ca="1" si="79"/>
        <v>40.229797576159584</v>
      </c>
      <c r="CG96" s="6">
        <f t="shared" ca="1" si="80"/>
        <v>-0.53063142150942133</v>
      </c>
      <c r="CH96" s="6">
        <f t="shared" ca="1" si="81"/>
        <v>0.84760267490545993</v>
      </c>
      <c r="CI96" s="6">
        <f t="shared" ca="1" si="82"/>
        <v>2.1301416684557042</v>
      </c>
      <c r="CJ96" s="1">
        <f t="shared" ca="1" si="83"/>
        <v>0.7664723220072247</v>
      </c>
      <c r="CK96" s="38"/>
    </row>
    <row r="97" spans="1:89" x14ac:dyDescent="0.25">
      <c r="A97" s="6">
        <f t="shared" si="84"/>
        <v>-6</v>
      </c>
      <c r="B97" s="1">
        <f t="shared" si="85"/>
        <v>4</v>
      </c>
      <c r="C97" s="1">
        <f t="shared" si="86"/>
        <v>0</v>
      </c>
      <c r="D97" s="6">
        <f t="shared" si="87"/>
        <v>0</v>
      </c>
      <c r="E97" s="6">
        <f t="shared" si="88"/>
        <v>0</v>
      </c>
      <c r="BC97">
        <v>1.6580627893946149</v>
      </c>
      <c r="BD97">
        <v>-94.146398252606147</v>
      </c>
      <c r="BE97">
        <v>49.084674318673891</v>
      </c>
      <c r="BF97" s="6">
        <f t="shared" si="66"/>
        <v>2.6609991849684302</v>
      </c>
      <c r="BG97" s="6">
        <f t="shared" si="67"/>
        <v>1.0029363955738153</v>
      </c>
      <c r="BH97" s="6">
        <f t="shared" si="68"/>
        <v>0.23561480549449867</v>
      </c>
      <c r="BI97" s="6">
        <f t="shared" si="69"/>
        <v>0.23561480549449867</v>
      </c>
      <c r="BV97" s="38"/>
      <c r="BW97" s="6">
        <f t="shared" si="70"/>
        <v>1.4311699866353518</v>
      </c>
      <c r="BX97" s="9">
        <f t="shared" ca="1" si="71"/>
        <v>-2.9057301659151449</v>
      </c>
      <c r="BY97" s="9">
        <f t="shared" ca="1" si="72"/>
        <v>-22.039247413982036</v>
      </c>
      <c r="BZ97">
        <f t="shared" ca="1" si="73"/>
        <v>22.229972882840482</v>
      </c>
      <c r="CA97" s="6">
        <f t="shared" ca="1" si="74"/>
        <v>-0.13071226767703817</v>
      </c>
      <c r="CB97" s="6">
        <f t="shared" ca="1" si="75"/>
        <v>-0.99142034631064846</v>
      </c>
      <c r="CC97" s="6">
        <f t="shared" ca="1" si="76"/>
        <v>-1.7018837041090769</v>
      </c>
      <c r="CD97" s="6">
        <f t="shared" ca="1" si="77"/>
        <v>-23.082258504920546</v>
      </c>
      <c r="CE97" s="9">
        <f t="shared" ca="1" si="78"/>
        <v>34.701910304260593</v>
      </c>
      <c r="CF97">
        <f t="shared" ca="1" si="79"/>
        <v>41.677490764835213</v>
      </c>
      <c r="CG97" s="6">
        <f t="shared" ca="1" si="80"/>
        <v>-0.55383033098518186</v>
      </c>
      <c r="CH97" s="6">
        <f t="shared" ca="1" si="81"/>
        <v>0.83262954816703683</v>
      </c>
      <c r="CI97" s="6">
        <f t="shared" ca="1" si="82"/>
        <v>2.1577538463104906</v>
      </c>
      <c r="CJ97" s="1">
        <f t="shared" ca="1" si="83"/>
        <v>0.73886014415243828</v>
      </c>
      <c r="CK97" s="38"/>
    </row>
    <row r="98" spans="1:89" x14ac:dyDescent="0.25">
      <c r="A98" s="6">
        <f t="shared" si="84"/>
        <v>-6</v>
      </c>
      <c r="B98" s="1">
        <f t="shared" si="85"/>
        <v>-12</v>
      </c>
      <c r="C98" s="1">
        <f t="shared" si="86"/>
        <v>48</v>
      </c>
      <c r="D98" s="6">
        <f t="shared" si="87"/>
        <v>-192</v>
      </c>
      <c r="E98" s="6">
        <f t="shared" si="88"/>
        <v>-128</v>
      </c>
      <c r="BC98">
        <v>1.6755160819145583</v>
      </c>
      <c r="BD98">
        <v>-95.63222666338666</v>
      </c>
      <c r="BE98">
        <v>48.896629434094152</v>
      </c>
      <c r="BF98" s="6">
        <f t="shared" ref="BF98:BF129" si="89">IF(BC98&lt;&gt;"",IF(AND(BD98=0,BE98=0),0,MOD(ATAN2(BD98,BE98),2*PI())),NA())</f>
        <v>2.6689470260196844</v>
      </c>
      <c r="BG98" s="6">
        <f t="shared" ref="BG98:BG129" si="90">ABS(BC98-BF98)</f>
        <v>0.99343094410512611</v>
      </c>
      <c r="BH98" s="6">
        <f t="shared" si="68"/>
        <v>0.22766696444324452</v>
      </c>
      <c r="BI98" s="6">
        <f t="shared" si="69"/>
        <v>0.22766696444324452</v>
      </c>
      <c r="BV98" s="38"/>
      <c r="BW98" s="6">
        <f t="shared" si="70"/>
        <v>1.4486232791552951</v>
      </c>
      <c r="BX98" s="9">
        <f t="shared" ca="1" si="71"/>
        <v>-1.0548125712691103</v>
      </c>
      <c r="BY98" s="9">
        <f t="shared" ca="1" si="72"/>
        <v>-22.665324096023216</v>
      </c>
      <c r="BZ98">
        <f t="shared" ca="1" si="73"/>
        <v>22.689855573323467</v>
      </c>
      <c r="CA98" s="6">
        <f t="shared" ca="1" si="74"/>
        <v>-4.6488289352941352E-2</v>
      </c>
      <c r="CB98" s="6">
        <f t="shared" ca="1" si="75"/>
        <v>-0.9989188350176591</v>
      </c>
      <c r="CC98" s="6">
        <f t="shared" ca="1" si="76"/>
        <v>-1.6173013772335072</v>
      </c>
      <c r="CD98" s="6">
        <f t="shared" ca="1" si="77"/>
        <v>-24.93317609956658</v>
      </c>
      <c r="CE98" s="9">
        <f t="shared" ca="1" si="78"/>
        <v>35.327986986301774</v>
      </c>
      <c r="CF98">
        <f t="shared" ca="1" si="79"/>
        <v>43.240373898895761</v>
      </c>
      <c r="CG98" s="6">
        <f t="shared" ca="1" si="80"/>
        <v>-0.57661795797291437</v>
      </c>
      <c r="CH98" s="6">
        <f t="shared" ca="1" si="81"/>
        <v>0.81701391086268915</v>
      </c>
      <c r="CI98" s="6">
        <f t="shared" ca="1" si="82"/>
        <v>2.1853794251633207</v>
      </c>
      <c r="CJ98" s="1">
        <f t="shared" ca="1" si="83"/>
        <v>0.71123456529960816</v>
      </c>
      <c r="CK98" s="38"/>
    </row>
    <row r="99" spans="1:89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-97.062650283250548</v>
      </c>
      <c r="BE99">
        <v>48.699265250084032</v>
      </c>
      <c r="BF99" s="6">
        <f t="shared" si="89"/>
        <v>2.6765618237374444</v>
      </c>
      <c r="BG99" s="6">
        <f t="shared" si="90"/>
        <v>0.98359244930294287</v>
      </c>
      <c r="BH99" s="6">
        <f t="shared" si="68"/>
        <v>0.22005216672548444</v>
      </c>
      <c r="BI99" s="6">
        <f t="shared" si="69"/>
        <v>0.22005216672548444</v>
      </c>
      <c r="BV99" s="38"/>
      <c r="BW99" s="6">
        <f t="shared" si="70"/>
        <v>1.4660765716752384</v>
      </c>
      <c r="BX99" s="9">
        <f t="shared" ca="1" si="71"/>
        <v>0.9200910516542109</v>
      </c>
      <c r="BY99" s="9">
        <f t="shared" ca="1" si="72"/>
        <v>-23.316037910757569</v>
      </c>
      <c r="BZ99">
        <f t="shared" ca="1" si="73"/>
        <v>23.33418503824846</v>
      </c>
      <c r="CA99" s="6">
        <f t="shared" ca="1" si="74"/>
        <v>3.9431034344933606E-2</v>
      </c>
      <c r="CB99" s="6">
        <f t="shared" ca="1" si="75"/>
        <v>-0.999222294352207</v>
      </c>
      <c r="CC99" s="6">
        <f t="shared" ca="1" si="76"/>
        <v>-1.5313550673563443</v>
      </c>
      <c r="CD99" s="6">
        <f t="shared" ca="1" si="77"/>
        <v>-26.908079722489902</v>
      </c>
      <c r="CE99" s="9">
        <f t="shared" ca="1" si="78"/>
        <v>35.978700801036126</v>
      </c>
      <c r="CF99">
        <f t="shared" ca="1" si="79"/>
        <v>44.927849555507883</v>
      </c>
      <c r="CG99" s="6">
        <f t="shared" ca="1" si="80"/>
        <v>-0.59891759763051322</v>
      </c>
      <c r="CH99" s="6">
        <f t="shared" ca="1" si="81"/>
        <v>0.8008106588005024</v>
      </c>
      <c r="CI99" s="6">
        <f t="shared" ca="1" si="82"/>
        <v>2.2129451180001123</v>
      </c>
      <c r="CJ99" s="1">
        <f t="shared" ca="1" si="83"/>
        <v>0.6836688724628166</v>
      </c>
      <c r="CK99" s="38"/>
    </row>
    <row r="100" spans="1:89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-98.438426822384315</v>
      </c>
      <c r="BE100">
        <v>48.493060742981122</v>
      </c>
      <c r="BF100" s="6">
        <f t="shared" si="89"/>
        <v>2.6838638157676957</v>
      </c>
      <c r="BG100" s="6">
        <f t="shared" si="90"/>
        <v>0.97344114881325083</v>
      </c>
      <c r="BH100" s="6">
        <f t="shared" si="68"/>
        <v>0.21275017469523316</v>
      </c>
      <c r="BI100" s="6">
        <f t="shared" si="69"/>
        <v>0.21275017469523316</v>
      </c>
      <c r="BV100" s="38"/>
      <c r="BW100" s="6">
        <f t="shared" si="70"/>
        <v>1.4835298641951817</v>
      </c>
      <c r="BX100" s="9">
        <f t="shared" ca="1" si="71"/>
        <v>3.0276843813496157</v>
      </c>
      <c r="BY100" s="9">
        <f t="shared" ca="1" si="72"/>
        <v>-23.993102862772194</v>
      </c>
      <c r="BZ100">
        <f t="shared" ca="1" si="73"/>
        <v>24.183379782334718</v>
      </c>
      <c r="CA100" s="6">
        <f t="shared" ca="1" si="74"/>
        <v>0.12519690831474492</v>
      </c>
      <c r="CB100" s="6">
        <f t="shared" ca="1" si="75"/>
        <v>-0.99213191368306941</v>
      </c>
      <c r="CC100" s="6">
        <f t="shared" ca="1" si="76"/>
        <v>-1.4452700282177984</v>
      </c>
      <c r="CD100" s="6">
        <f t="shared" ca="1" si="77"/>
        <v>-29.015673052185306</v>
      </c>
      <c r="CE100" s="9">
        <f t="shared" ca="1" si="78"/>
        <v>36.655765753050751</v>
      </c>
      <c r="CF100">
        <f t="shared" ca="1" si="79"/>
        <v>46.74991385675316</v>
      </c>
      <c r="CG100" s="6">
        <f t="shared" ca="1" si="80"/>
        <v>-0.62065725171371433</v>
      </c>
      <c r="CH100" s="6">
        <f t="shared" ca="1" si="81"/>
        <v>0.78408199564533998</v>
      </c>
      <c r="CI100" s="6">
        <f t="shared" ca="1" si="82"/>
        <v>2.2403769957784636</v>
      </c>
      <c r="CJ100" s="1">
        <f t="shared" ca="1" si="83"/>
        <v>0.65623699468446528</v>
      </c>
      <c r="CK100" s="38"/>
    </row>
    <row r="101" spans="1:89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-99.760540893706533</v>
      </c>
      <c r="BE101">
        <v>48.278468532739652</v>
      </c>
      <c r="BF101" s="6">
        <f t="shared" si="89"/>
        <v>2.6908725311808959</v>
      </c>
      <c r="BG101" s="6">
        <f t="shared" si="90"/>
        <v>0.96299657170650765</v>
      </c>
      <c r="BH101" s="6">
        <f t="shared" si="68"/>
        <v>0.205741459282033</v>
      </c>
      <c r="BI101" s="6">
        <f t="shared" si="69"/>
        <v>0.205741459282033</v>
      </c>
      <c r="BV101" s="38"/>
      <c r="BW101" s="6">
        <f t="shared" si="70"/>
        <v>1.5009831567151251</v>
      </c>
      <c r="BX101" s="9">
        <f t="shared" ca="1" si="71"/>
        <v>5.1288337244868103</v>
      </c>
      <c r="BY101" s="9">
        <f t="shared" ca="1" si="72"/>
        <v>-24.571370013538786</v>
      </c>
      <c r="BZ101">
        <f t="shared" ca="1" si="73"/>
        <v>25.100939418987217</v>
      </c>
      <c r="CA101" s="6">
        <f t="shared" ca="1" si="74"/>
        <v>0.2043283575517171</v>
      </c>
      <c r="CB101" s="6">
        <f t="shared" ca="1" si="75"/>
        <v>-0.97890240693350916</v>
      </c>
      <c r="CC101" s="6">
        <f t="shared" ca="1" si="76"/>
        <v>-1.3650187866101187</v>
      </c>
      <c r="CD101" s="6">
        <f t="shared" ca="1" si="77"/>
        <v>-31.116822395322501</v>
      </c>
      <c r="CE101" s="9">
        <f t="shared" ca="1" si="78"/>
        <v>37.234032903817344</v>
      </c>
      <c r="CF101">
        <f t="shared" ca="1" si="79"/>
        <v>48.524528253910894</v>
      </c>
      <c r="CG101" s="6">
        <f t="shared" ca="1" si="80"/>
        <v>-0.6412596580537514</v>
      </c>
      <c r="CH101" s="6">
        <f t="shared" ca="1" si="81"/>
        <v>0.76732395437180623</v>
      </c>
      <c r="CI101" s="6">
        <f t="shared" ca="1" si="82"/>
        <v>2.2669350934359529</v>
      </c>
      <c r="CJ101" s="1">
        <f t="shared" ca="1" si="83"/>
        <v>0.62967889702697599</v>
      </c>
      <c r="CK101" s="38"/>
    </row>
    <row r="102" spans="1:89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-101.03015799367479</v>
      </c>
      <c r="BE102">
        <v>48.055912396227718</v>
      </c>
      <c r="BF102" s="6">
        <f t="shared" si="89"/>
        <v>2.6976067012477047</v>
      </c>
      <c r="BG102" s="6">
        <f t="shared" si="90"/>
        <v>0.95227744925337321</v>
      </c>
      <c r="BH102" s="6">
        <f t="shared" si="68"/>
        <v>0.19900728921522415</v>
      </c>
      <c r="BI102" s="6">
        <f t="shared" si="69"/>
        <v>0.19900728921522415</v>
      </c>
      <c r="BV102" s="38"/>
      <c r="BW102" s="6">
        <f t="shared" si="70"/>
        <v>1.5184364492350684</v>
      </c>
      <c r="BX102" s="9">
        <f t="shared" ca="1" si="71"/>
        <v>6.7708050286649808</v>
      </c>
      <c r="BY102" s="9">
        <f t="shared" ca="1" si="72"/>
        <v>-24.768117547769062</v>
      </c>
      <c r="BZ102">
        <f t="shared" ca="1" si="73"/>
        <v>25.676904945812701</v>
      </c>
      <c r="CA102" s="6">
        <f t="shared" ca="1" si="74"/>
        <v>0.26369241319986814</v>
      </c>
      <c r="CB102" s="6">
        <f t="shared" ca="1" si="75"/>
        <v>-0.96460681690563954</v>
      </c>
      <c r="CC102" s="6">
        <f t="shared" ca="1" si="76"/>
        <v>-1.3039482206921682</v>
      </c>
      <c r="CD102" s="6">
        <f t="shared" ca="1" si="77"/>
        <v>-32.758793699500671</v>
      </c>
      <c r="CE102" s="9">
        <f t="shared" ca="1" si="78"/>
        <v>37.43078043804762</v>
      </c>
      <c r="CF102">
        <f t="shared" ca="1" si="79"/>
        <v>49.741349889682056</v>
      </c>
      <c r="CG102" s="6">
        <f t="shared" ca="1" si="80"/>
        <v>-0.65858272387368189</v>
      </c>
      <c r="CH102" s="6">
        <f t="shared" ca="1" si="81"/>
        <v>0.75250833604360945</v>
      </c>
      <c r="CI102" s="6">
        <f t="shared" ca="1" si="82"/>
        <v>2.2897301291964274</v>
      </c>
      <c r="CJ102" s="1">
        <f t="shared" ca="1" si="83"/>
        <v>0.60688386126650151</v>
      </c>
      <c r="CK102" s="38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-102.2485848489179</v>
      </c>
      <c r="BE103">
        <v>47.825785571984241</v>
      </c>
      <c r="BF103" s="6">
        <f t="shared" si="89"/>
        <v>2.704084208766893</v>
      </c>
      <c r="BG103" s="6">
        <f t="shared" si="90"/>
        <v>0.94130166425261819</v>
      </c>
      <c r="BH103" s="6">
        <f t="shared" si="68"/>
        <v>0.19252978169603588</v>
      </c>
      <c r="BI103" s="6">
        <f t="shared" si="69"/>
        <v>0.19252978169603588</v>
      </c>
      <c r="BV103" s="38"/>
      <c r="BW103" s="6">
        <f t="shared" si="70"/>
        <v>1.5358897417550117</v>
      </c>
      <c r="BX103" s="9">
        <f t="shared" ca="1" si="71"/>
        <v>8.4242842403505023</v>
      </c>
      <c r="BY103" s="9">
        <f t="shared" ca="1" si="72"/>
        <v>-24.925126313423473</v>
      </c>
      <c r="BZ103">
        <f t="shared" ca="1" si="73"/>
        <v>26.310273406073399</v>
      </c>
      <c r="CA103" s="6">
        <f t="shared" ca="1" si="74"/>
        <v>0.32018991632393529</v>
      </c>
      <c r="CB103" s="6">
        <f t="shared" ca="1" si="75"/>
        <v>-0.94735337519030938</v>
      </c>
      <c r="CC103" s="6">
        <f t="shared" ca="1" si="76"/>
        <v>-1.2448663758753316</v>
      </c>
      <c r="CD103" s="6">
        <f t="shared" ca="1" si="77"/>
        <v>-34.412272911186193</v>
      </c>
      <c r="CE103" s="9">
        <f t="shared" ca="1" si="78"/>
        <v>37.58778920370203</v>
      </c>
      <c r="CF103">
        <f t="shared" ca="1" si="79"/>
        <v>50.961224711891468</v>
      </c>
      <c r="CG103" s="6">
        <f t="shared" ca="1" si="80"/>
        <v>-0.67526385218831508</v>
      </c>
      <c r="CH103" s="6">
        <f t="shared" ca="1" si="81"/>
        <v>0.7375762536360545</v>
      </c>
      <c r="CI103" s="6">
        <f t="shared" ca="1" si="82"/>
        <v>2.3121186991372231</v>
      </c>
      <c r="CJ103" s="1">
        <f t="shared" ca="1" si="83"/>
        <v>0.58449529132570588</v>
      </c>
      <c r="CK103" s="38"/>
    </row>
    <row r="104" spans="1:89" x14ac:dyDescent="0.25">
      <c r="A104">
        <f t="shared" ref="A104:C113" si="91">A15</f>
        <v>1</v>
      </c>
      <c r="B104">
        <f t="shared" si="91"/>
        <v>8</v>
      </c>
      <c r="C104">
        <f t="shared" ca="1" si="91"/>
        <v>0.79</v>
      </c>
      <c r="D104" s="9">
        <f t="shared" ref="D104:D113" si="92">D15-$I$2</f>
        <v>-4</v>
      </c>
      <c r="E104" s="5">
        <f t="shared" ref="E104:E113" si="93">E15-$I$3</f>
        <v>-10</v>
      </c>
      <c r="F104" s="5">
        <f t="shared" ref="F104:F113" ca="1" si="94">($B$12-$B$31)*C104*0.65</f>
        <v>28.627625000000002</v>
      </c>
      <c r="G104">
        <f t="shared" ref="G104:G113" ca="1" si="95">E104*F104</f>
        <v>-286.27625</v>
      </c>
      <c r="H104">
        <f t="shared" ref="H104:H113" ca="1" si="96">D104*F104*-1</f>
        <v>114.51050000000001</v>
      </c>
      <c r="J104">
        <f t="shared" ref="J104:J113" ca="1" si="97">-1*C104*$B$12*0.9</f>
        <v>-42.660000000000004</v>
      </c>
      <c r="K104">
        <f t="shared" ref="K104:K113" ca="1" si="98">E104*J104</f>
        <v>426.6</v>
      </c>
      <c r="L104">
        <f t="shared" ref="L104:L113" ca="1" si="99">D104*J104*-1</f>
        <v>-170.64000000000001</v>
      </c>
      <c r="BC104">
        <v>1.7802358370342182</v>
      </c>
      <c r="BD104">
        <v>-103.41723549795655</v>
      </c>
      <c r="BE104">
        <v>47.588449700868836</v>
      </c>
      <c r="BF104" s="6">
        <f t="shared" si="89"/>
        <v>2.7103220666844181</v>
      </c>
      <c r="BG104" s="6">
        <f t="shared" si="90"/>
        <v>0.93008622965019994</v>
      </c>
      <c r="BH104" s="6">
        <f t="shared" si="68"/>
        <v>0.18629192377851081</v>
      </c>
      <c r="BI104" s="6">
        <f t="shared" si="69"/>
        <v>0.18629192377851081</v>
      </c>
      <c r="BV104" s="38"/>
      <c r="BW104" s="6">
        <f t="shared" si="70"/>
        <v>1.553343034274955</v>
      </c>
      <c r="BX104" s="9">
        <f t="shared" ca="1" si="71"/>
        <v>10.13275418058376</v>
      </c>
      <c r="BY104" s="9">
        <f t="shared" ca="1" si="72"/>
        <v>-25.070724597673038</v>
      </c>
      <c r="BZ104">
        <f t="shared" ca="1" si="73"/>
        <v>27.040967792157616</v>
      </c>
      <c r="CA104" s="6">
        <f t="shared" ca="1" si="74"/>
        <v>0.37471862170267617</v>
      </c>
      <c r="CB104" s="6">
        <f t="shared" ca="1" si="75"/>
        <v>-0.92713858432774043</v>
      </c>
      <c r="CC104" s="6">
        <f t="shared" ca="1" si="76"/>
        <v>-1.1867030620070751</v>
      </c>
      <c r="CD104" s="6">
        <f t="shared" ca="1" si="77"/>
        <v>-36.12074285141945</v>
      </c>
      <c r="CE104" s="9">
        <f t="shared" ca="1" si="78"/>
        <v>37.733387487951596</v>
      </c>
      <c r="CF104">
        <f t="shared" ca="1" si="79"/>
        <v>52.235204560279762</v>
      </c>
      <c r="CG104" s="6">
        <f t="shared" ca="1" si="80"/>
        <v>-0.69150189332054557</v>
      </c>
      <c r="CH104" s="6">
        <f t="shared" ca="1" si="81"/>
        <v>0.72237464762690884</v>
      </c>
      <c r="CI104" s="6">
        <f t="shared" ca="1" si="82"/>
        <v>2.3343624219731431</v>
      </c>
      <c r="CJ104" s="1">
        <f t="shared" ca="1" si="83"/>
        <v>0.56225156848978575</v>
      </c>
      <c r="CK104" s="38"/>
    </row>
    <row r="105" spans="1:89" x14ac:dyDescent="0.25">
      <c r="A105">
        <f t="shared" si="91"/>
        <v>2</v>
      </c>
      <c r="B105">
        <f t="shared" si="91"/>
        <v>8</v>
      </c>
      <c r="C105">
        <f t="shared" ca="1" si="91"/>
        <v>0.79</v>
      </c>
      <c r="D105" s="9">
        <f t="shared" si="92"/>
        <v>-4</v>
      </c>
      <c r="E105" s="5">
        <f t="shared" si="93"/>
        <v>-8</v>
      </c>
      <c r="F105" s="5">
        <f t="shared" ca="1" si="94"/>
        <v>28.627625000000002</v>
      </c>
      <c r="G105">
        <f t="shared" ca="1" si="95"/>
        <v>-229.02100000000002</v>
      </c>
      <c r="H105">
        <f t="shared" ca="1" si="96"/>
        <v>114.51050000000001</v>
      </c>
      <c r="J105">
        <f t="shared" ca="1" si="97"/>
        <v>-42.660000000000004</v>
      </c>
      <c r="K105">
        <f t="shared" ca="1" si="98"/>
        <v>341.28000000000003</v>
      </c>
      <c r="L105">
        <f t="shared" ca="1" si="99"/>
        <v>-170.64000000000001</v>
      </c>
      <c r="BC105">
        <v>1.7976891295541615</v>
      </c>
      <c r="BD105">
        <v>-104.53760248034847</v>
      </c>
      <c r="BE105">
        <v>47.344234257948351</v>
      </c>
      <c r="BF105" s="6">
        <f t="shared" si="89"/>
        <v>2.7163364186878503</v>
      </c>
      <c r="BG105" s="6">
        <f t="shared" si="90"/>
        <v>0.91864728913368876</v>
      </c>
      <c r="BH105" s="6">
        <f t="shared" si="68"/>
        <v>0.18027757177507867</v>
      </c>
      <c r="BI105" s="6">
        <f t="shared" si="69"/>
        <v>0.18027757177507867</v>
      </c>
      <c r="BV105" s="38"/>
      <c r="BW105" s="6">
        <f t="shared" si="70"/>
        <v>1.5707963267948983</v>
      </c>
      <c r="BX105" s="9">
        <f t="shared" ca="1" si="71"/>
        <v>11.894886329164493</v>
      </c>
      <c r="BY105" s="9">
        <f t="shared" ca="1" si="72"/>
        <v>-25.204380699253644</v>
      </c>
      <c r="BZ105">
        <f t="shared" ca="1" si="73"/>
        <v>27.870219360755918</v>
      </c>
      <c r="CA105" s="6">
        <f t="shared" ca="1" si="74"/>
        <v>0.42679557613793645</v>
      </c>
      <c r="CB105" s="6">
        <f t="shared" ca="1" si="75"/>
        <v>-0.90434812776335571</v>
      </c>
      <c r="CC105" s="6">
        <f t="shared" ca="1" si="76"/>
        <v>-1.1298498770608383</v>
      </c>
      <c r="CD105" s="6">
        <f t="shared" ca="1" si="77"/>
        <v>-37.882875000000183</v>
      </c>
      <c r="CE105" s="9">
        <f t="shared" ca="1" si="78"/>
        <v>37.867043589532202</v>
      </c>
      <c r="CF105">
        <f t="shared" ca="1" si="79"/>
        <v>53.563282278788435</v>
      </c>
      <c r="CG105" s="6">
        <f t="shared" ca="1" si="80"/>
        <v>-0.70725454804703336</v>
      </c>
      <c r="CH105" s="6">
        <f t="shared" ca="1" si="81"/>
        <v>0.7069589834401897</v>
      </c>
      <c r="CI105" s="6">
        <f t="shared" ca="1" si="82"/>
        <v>2.3564034859316441</v>
      </c>
      <c r="CJ105" s="1">
        <f t="shared" ca="1" si="83"/>
        <v>0.54021050453128483</v>
      </c>
      <c r="CK105" s="38"/>
    </row>
    <row r="106" spans="1:89" x14ac:dyDescent="0.25">
      <c r="A106">
        <f t="shared" si="91"/>
        <v>3</v>
      </c>
      <c r="B106">
        <f t="shared" si="91"/>
        <v>8</v>
      </c>
      <c r="C106">
        <f t="shared" ca="1" si="91"/>
        <v>0.79</v>
      </c>
      <c r="D106" s="9">
        <f t="shared" si="92"/>
        <v>-2</v>
      </c>
      <c r="E106" s="5">
        <f t="shared" si="93"/>
        <v>-10</v>
      </c>
      <c r="F106" s="5">
        <f t="shared" ca="1" si="94"/>
        <v>28.627625000000002</v>
      </c>
      <c r="G106">
        <f t="shared" ca="1" si="95"/>
        <v>-286.27625</v>
      </c>
      <c r="H106">
        <f t="shared" ca="1" si="96"/>
        <v>57.255250000000004</v>
      </c>
      <c r="J106">
        <f t="shared" ca="1" si="97"/>
        <v>-42.660000000000004</v>
      </c>
      <c r="K106">
        <f t="shared" ca="1" si="98"/>
        <v>426.6</v>
      </c>
      <c r="L106">
        <f t="shared" ca="1" si="99"/>
        <v>-85.320000000000007</v>
      </c>
      <c r="BC106">
        <v>1.8151424220741048</v>
      </c>
      <c r="BD106">
        <v>-105.61123255484861</v>
      </c>
      <c r="BE106">
        <v>47.093436375904389</v>
      </c>
      <c r="BF106" s="6">
        <f t="shared" si="89"/>
        <v>2.72214255589506</v>
      </c>
      <c r="BG106" s="6">
        <f t="shared" si="90"/>
        <v>0.90700013382095523</v>
      </c>
      <c r="BH106" s="6">
        <f t="shared" si="68"/>
        <v>0.17447143456786884</v>
      </c>
      <c r="BI106" s="6">
        <f t="shared" si="69"/>
        <v>0.17447143456786884</v>
      </c>
      <c r="BV106" s="38"/>
      <c r="BW106" s="6">
        <f t="shared" si="70"/>
        <v>1.5882496193148417</v>
      </c>
      <c r="BX106" s="9">
        <f t="shared" ca="1" si="71"/>
        <v>13.657018477758683</v>
      </c>
      <c r="BY106" s="9">
        <f t="shared" ca="1" si="72"/>
        <v>-25.070724597852919</v>
      </c>
      <c r="BZ106">
        <f t="shared" ca="1" si="73"/>
        <v>28.54917486659167</v>
      </c>
      <c r="CA106" s="6">
        <f t="shared" ca="1" si="74"/>
        <v>0.47836823801657985</v>
      </c>
      <c r="CB106" s="6">
        <f t="shared" ca="1" si="75"/>
        <v>-0.87815934138225327</v>
      </c>
      <c r="CC106" s="6">
        <f t="shared" ca="1" si="76"/>
        <v>-1.0720007184629954</v>
      </c>
      <c r="CD106" s="6">
        <f t="shared" ca="1" si="77"/>
        <v>-39.645007148594374</v>
      </c>
      <c r="CE106" s="9">
        <f t="shared" ca="1" si="78"/>
        <v>37.733387488131477</v>
      </c>
      <c r="CF106">
        <f t="shared" ca="1" si="79"/>
        <v>54.7314820111933</v>
      </c>
      <c r="CG106" s="6">
        <f t="shared" ca="1" si="80"/>
        <v>-0.72435471673298479</v>
      </c>
      <c r="CH106" s="6">
        <f t="shared" ca="1" si="81"/>
        <v>0.68942747577006058</v>
      </c>
      <c r="CI106" s="6">
        <f t="shared" ca="1" si="82"/>
        <v>2.3808942905250157</v>
      </c>
      <c r="CJ106" s="1">
        <f t="shared" ca="1" si="83"/>
        <v>0.51571969993791322</v>
      </c>
      <c r="CK106" s="38"/>
    </row>
    <row r="107" spans="1:89" x14ac:dyDescent="0.25">
      <c r="A107">
        <f t="shared" si="91"/>
        <v>4</v>
      </c>
      <c r="B107">
        <f t="shared" si="91"/>
        <v>8</v>
      </c>
      <c r="C107">
        <f t="shared" ca="1" si="91"/>
        <v>0.79</v>
      </c>
      <c r="D107" s="9">
        <f t="shared" si="92"/>
        <v>-2</v>
      </c>
      <c r="E107" s="5">
        <f t="shared" si="93"/>
        <v>-8</v>
      </c>
      <c r="F107" s="5">
        <f t="shared" ca="1" si="94"/>
        <v>28.627625000000002</v>
      </c>
      <c r="G107">
        <f t="shared" ca="1" si="95"/>
        <v>-229.02100000000002</v>
      </c>
      <c r="H107">
        <f t="shared" ca="1" si="96"/>
        <v>57.255250000000004</v>
      </c>
      <c r="J107">
        <f t="shared" ca="1" si="97"/>
        <v>-42.660000000000004</v>
      </c>
      <c r="K107">
        <f t="shared" ca="1" si="98"/>
        <v>341.28000000000003</v>
      </c>
      <c r="L107">
        <f t="shared" ca="1" si="99"/>
        <v>-85.320000000000007</v>
      </c>
      <c r="BC107">
        <v>1.8325957145940481</v>
      </c>
      <c r="BD107">
        <v>-106.63970637763583</v>
      </c>
      <c r="BE107">
        <v>46.836320940944617</v>
      </c>
      <c r="BF107" s="6">
        <f t="shared" si="89"/>
        <v>2.727754945212403</v>
      </c>
      <c r="BG107" s="6">
        <f t="shared" si="90"/>
        <v>0.8951592306183549</v>
      </c>
      <c r="BH107" s="6">
        <f t="shared" si="68"/>
        <v>0.16885904525052586</v>
      </c>
      <c r="BI107" s="6">
        <f t="shared" si="69"/>
        <v>0.16885904525052586</v>
      </c>
      <c r="BV107" s="38"/>
      <c r="BW107" s="6">
        <f t="shared" si="70"/>
        <v>1.605702911834785</v>
      </c>
      <c r="BX107" s="9">
        <f t="shared" ca="1" si="71"/>
        <v>15.365488417959057</v>
      </c>
      <c r="BY107" s="9">
        <f t="shared" ca="1" si="72"/>
        <v>-24.925126313292527</v>
      </c>
      <c r="BZ107">
        <f t="shared" ca="1" si="73"/>
        <v>29.280713038722631</v>
      </c>
      <c r="CA107" s="6">
        <f t="shared" ca="1" si="74"/>
        <v>0.52476483061183588</v>
      </c>
      <c r="CB107" s="6">
        <f t="shared" ca="1" si="75"/>
        <v>-0.85124724525423934</v>
      </c>
      <c r="CC107" s="6">
        <f t="shared" ca="1" si="76"/>
        <v>-1.0183575017230653</v>
      </c>
      <c r="CD107" s="6">
        <f t="shared" ca="1" si="77"/>
        <v>-41.353477088794747</v>
      </c>
      <c r="CE107" s="9">
        <f t="shared" ca="1" si="78"/>
        <v>37.587789203571084</v>
      </c>
      <c r="CF107">
        <f t="shared" ca="1" si="79"/>
        <v>55.883378249221536</v>
      </c>
      <c r="CG107" s="6">
        <f t="shared" ca="1" si="80"/>
        <v>-0.73999601284610617</v>
      </c>
      <c r="CH107" s="6">
        <f t="shared" ca="1" si="81"/>
        <v>0.67261125546028866</v>
      </c>
      <c r="CI107" s="6">
        <f t="shared" ca="1" si="82"/>
        <v>2.4038607572445216</v>
      </c>
      <c r="CJ107" s="1">
        <f t="shared" ca="1" si="83"/>
        <v>0.49275323321840725</v>
      </c>
      <c r="CK107" s="38"/>
    </row>
    <row r="108" spans="1:89" x14ac:dyDescent="0.25">
      <c r="A108">
        <f t="shared" si="91"/>
        <v>5</v>
      </c>
      <c r="B108">
        <f t="shared" si="91"/>
        <v>0</v>
      </c>
      <c r="C108">
        <f t="shared" ca="1" si="91"/>
        <v>0</v>
      </c>
      <c r="D108" s="9">
        <f t="shared" si="92"/>
        <v>-4</v>
      </c>
      <c r="E108" s="5">
        <f t="shared" si="93"/>
        <v>-3.34</v>
      </c>
      <c r="F108" s="5">
        <f t="shared" ca="1" si="94"/>
        <v>0</v>
      </c>
      <c r="G108">
        <f t="shared" ca="1" si="95"/>
        <v>0</v>
      </c>
      <c r="H108">
        <f t="shared" ca="1" si="96"/>
        <v>0</v>
      </c>
      <c r="J108">
        <f t="shared" ca="1" si="97"/>
        <v>0</v>
      </c>
      <c r="K108">
        <f t="shared" ca="1" si="98"/>
        <v>0</v>
      </c>
      <c r="L108">
        <f t="shared" ca="1" si="99"/>
        <v>0</v>
      </c>
      <c r="BC108">
        <v>1.8500490071139915</v>
      </c>
      <c r="BD108">
        <v>-107.62462165620691</v>
      </c>
      <c r="BE108">
        <v>46.573120902395253</v>
      </c>
      <c r="BF108" s="6">
        <f t="shared" si="89"/>
        <v>2.7331872657510492</v>
      </c>
      <c r="BG108" s="6">
        <f t="shared" si="90"/>
        <v>0.88313825863705775</v>
      </c>
      <c r="BH108" s="6">
        <f t="shared" si="68"/>
        <v>0.16342672471187969</v>
      </c>
      <c r="BI108" s="6">
        <f t="shared" si="69"/>
        <v>0.16342672471187969</v>
      </c>
      <c r="BV108" s="38"/>
      <c r="BW108" s="6">
        <f t="shared" si="70"/>
        <v>1.6231562043547283</v>
      </c>
      <c r="BX108" s="9">
        <f t="shared" ca="1" si="71"/>
        <v>17.018967629628534</v>
      </c>
      <c r="BY108" s="9">
        <f t="shared" ca="1" si="72"/>
        <v>-24.768117547608558</v>
      </c>
      <c r="BZ108">
        <f t="shared" ca="1" si="73"/>
        <v>30.051703878989937</v>
      </c>
      <c r="CA108" s="6">
        <f t="shared" ca="1" si="74"/>
        <v>0.56632288465769864</v>
      </c>
      <c r="CB108" s="6">
        <f t="shared" ca="1" si="75"/>
        <v>-0.82418346884233429</v>
      </c>
      <c r="CC108" s="6">
        <f t="shared" ca="1" si="76"/>
        <v>-0.96875887151729256</v>
      </c>
      <c r="CD108" s="6">
        <f t="shared" ca="1" si="77"/>
        <v>-43.006956300464225</v>
      </c>
      <c r="CE108" s="9">
        <f t="shared" ca="1" si="78"/>
        <v>37.430780437887115</v>
      </c>
      <c r="CF108">
        <f t="shared" ca="1" si="79"/>
        <v>57.014573701987388</v>
      </c>
      <c r="CG108" s="6">
        <f t="shared" ca="1" si="80"/>
        <v>-0.75431514274332123</v>
      </c>
      <c r="CH108" s="6">
        <f t="shared" ca="1" si="81"/>
        <v>0.65651250211105883</v>
      </c>
      <c r="CI108" s="6">
        <f t="shared" ca="1" si="82"/>
        <v>2.4254066454577154</v>
      </c>
      <c r="CJ108" s="1">
        <f t="shared" ca="1" si="83"/>
        <v>0.4712073450052135</v>
      </c>
      <c r="CK108" s="38"/>
    </row>
    <row r="109" spans="1:89" x14ac:dyDescent="0.25">
      <c r="A109">
        <f t="shared" si="91"/>
        <v>6</v>
      </c>
      <c r="B109">
        <f t="shared" si="91"/>
        <v>0</v>
      </c>
      <c r="C109">
        <f t="shared" ca="1" si="91"/>
        <v>0</v>
      </c>
      <c r="D109" s="9">
        <f t="shared" si="92"/>
        <v>4</v>
      </c>
      <c r="E109" s="5">
        <f t="shared" si="93"/>
        <v>-3.34</v>
      </c>
      <c r="F109" s="5">
        <f t="shared" ca="1" si="94"/>
        <v>0</v>
      </c>
      <c r="G109">
        <f t="shared" ca="1" si="95"/>
        <v>0</v>
      </c>
      <c r="H109">
        <f t="shared" ca="1" si="96"/>
        <v>0</v>
      </c>
      <c r="J109">
        <f t="shared" ca="1" si="97"/>
        <v>0</v>
      </c>
      <c r="K109">
        <f t="shared" ca="1" si="98"/>
        <v>0</v>
      </c>
      <c r="L109">
        <f t="shared" ca="1" si="99"/>
        <v>0</v>
      </c>
      <c r="BC109">
        <v>1.8675022996339348</v>
      </c>
      <c r="BD109">
        <v>-108.56757775976887</v>
      </c>
      <c r="BE109">
        <v>46.304039465175094</v>
      </c>
      <c r="BF109" s="6">
        <f t="shared" si="89"/>
        <v>2.7384524318852104</v>
      </c>
      <c r="BG109" s="6">
        <f t="shared" si="90"/>
        <v>0.8709501322512756</v>
      </c>
      <c r="BH109" s="6">
        <f t="shared" si="68"/>
        <v>0.15816155857771855</v>
      </c>
      <c r="BI109" s="6">
        <f t="shared" si="69"/>
        <v>0.15816155857771855</v>
      </c>
      <c r="BV109" s="38"/>
      <c r="BW109" s="6">
        <f t="shared" si="70"/>
        <v>1.6406094968746716</v>
      </c>
      <c r="BX109" s="9">
        <f t="shared" ca="1" si="71"/>
        <v>18.616698575702387</v>
      </c>
      <c r="BY109" s="9">
        <f t="shared" ca="1" si="72"/>
        <v>-24.600235139616156</v>
      </c>
      <c r="BZ109">
        <f t="shared" ca="1" si="73"/>
        <v>30.85049488716453</v>
      </c>
      <c r="CA109" s="6">
        <f t="shared" ca="1" si="74"/>
        <v>0.60344894445916775</v>
      </c>
      <c r="CB109" s="6">
        <f t="shared" ca="1" si="75"/>
        <v>-0.79740163746453163</v>
      </c>
      <c r="CC109" s="6">
        <f t="shared" ca="1" si="76"/>
        <v>-0.92297703149299648</v>
      </c>
      <c r="CD109" s="6">
        <f t="shared" ca="1" si="77"/>
        <v>-44.604687246538077</v>
      </c>
      <c r="CE109" s="9">
        <f t="shared" ca="1" si="78"/>
        <v>37.262898029894714</v>
      </c>
      <c r="CF109">
        <f t="shared" ca="1" si="79"/>
        <v>58.121439193707239</v>
      </c>
      <c r="CG109" s="6">
        <f t="shared" ca="1" si="80"/>
        <v>-0.76743948300866216</v>
      </c>
      <c r="CH109" s="6">
        <f t="shared" ca="1" si="81"/>
        <v>0.64112139249864164</v>
      </c>
      <c r="CI109" s="6">
        <f t="shared" ca="1" si="82"/>
        <v>2.4456340652763773</v>
      </c>
      <c r="CJ109" s="1">
        <f t="shared" ca="1" si="83"/>
        <v>0.45097992518655167</v>
      </c>
      <c r="CK109" s="38"/>
    </row>
    <row r="110" spans="1:89" x14ac:dyDescent="0.25">
      <c r="A110">
        <f t="shared" si="91"/>
        <v>7</v>
      </c>
      <c r="B110">
        <f t="shared" si="91"/>
        <v>0</v>
      </c>
      <c r="C110">
        <f t="shared" ca="1" si="91"/>
        <v>0</v>
      </c>
      <c r="D110" s="9">
        <f t="shared" si="92"/>
        <v>-4</v>
      </c>
      <c r="E110" s="5">
        <f t="shared" si="93"/>
        <v>3.33</v>
      </c>
      <c r="F110" s="5">
        <f t="shared" ca="1" si="94"/>
        <v>0</v>
      </c>
      <c r="G110">
        <f t="shared" ca="1" si="95"/>
        <v>0</v>
      </c>
      <c r="H110">
        <f t="shared" ca="1" si="96"/>
        <v>0</v>
      </c>
      <c r="J110">
        <f t="shared" ca="1" si="97"/>
        <v>0</v>
      </c>
      <c r="K110">
        <f t="shared" ca="1" si="98"/>
        <v>0</v>
      </c>
      <c r="L110">
        <f t="shared" ca="1" si="99"/>
        <v>0</v>
      </c>
      <c r="BC110">
        <v>1.8849555921538781</v>
      </c>
      <c r="BD110">
        <v>-109.47009063221243</v>
      </c>
      <c r="BE110">
        <v>46.029339271736298</v>
      </c>
      <c r="BF110" s="6">
        <f t="shared" si="89"/>
        <v>2.7435617099634428</v>
      </c>
      <c r="BG110" s="6">
        <f t="shared" si="90"/>
        <v>0.85860611780956475</v>
      </c>
      <c r="BH110" s="6">
        <f t="shared" si="68"/>
        <v>0.15305228049948602</v>
      </c>
      <c r="BI110" s="6">
        <f t="shared" si="69"/>
        <v>0.15305228049948602</v>
      </c>
      <c r="BV110" s="38"/>
      <c r="BW110" s="6">
        <f t="shared" si="70"/>
        <v>1.6580627893946149</v>
      </c>
      <c r="BX110" s="9">
        <f t="shared" ca="1" si="71"/>
        <v>20.158409581770456</v>
      </c>
      <c r="BY110" s="9">
        <f t="shared" ca="1" si="72"/>
        <v>-24.422011428395333</v>
      </c>
      <c r="BZ110">
        <f t="shared" ca="1" si="73"/>
        <v>31.666956264773653</v>
      </c>
      <c r="CA110" s="6">
        <f t="shared" ca="1" si="74"/>
        <v>0.63657553360108332</v>
      </c>
      <c r="CB110" s="6">
        <f t="shared" ca="1" si="75"/>
        <v>-0.77121436061609738</v>
      </c>
      <c r="CC110" s="6">
        <f t="shared" ca="1" si="76"/>
        <v>-0.88074659925607113</v>
      </c>
      <c r="CD110" s="6">
        <f t="shared" ca="1" si="77"/>
        <v>-46.146398252606147</v>
      </c>
      <c r="CE110" s="9">
        <f t="shared" ca="1" si="78"/>
        <v>37.084674318673891</v>
      </c>
      <c r="CF110">
        <f t="shared" ca="1" si="79"/>
        <v>59.201040033180519</v>
      </c>
      <c r="CG110" s="6">
        <f t="shared" ca="1" si="80"/>
        <v>-0.77948627636849599</v>
      </c>
      <c r="CH110" s="6">
        <f t="shared" ca="1" si="81"/>
        <v>0.62641930442250626</v>
      </c>
      <c r="CI110" s="6">
        <f t="shared" ca="1" si="82"/>
        <v>2.4646416295945692</v>
      </c>
      <c r="CJ110" s="1">
        <f t="shared" ca="1" si="83"/>
        <v>0.43197236086835966</v>
      </c>
      <c r="CK110" s="38"/>
    </row>
    <row r="111" spans="1:89" x14ac:dyDescent="0.25">
      <c r="A111">
        <f t="shared" si="91"/>
        <v>8</v>
      </c>
      <c r="B111">
        <f t="shared" si="91"/>
        <v>0</v>
      </c>
      <c r="C111">
        <f t="shared" ca="1" si="91"/>
        <v>0</v>
      </c>
      <c r="D111" s="9">
        <f t="shared" si="92"/>
        <v>4</v>
      </c>
      <c r="E111" s="5">
        <f t="shared" si="93"/>
        <v>3.33</v>
      </c>
      <c r="F111" s="5">
        <f t="shared" ca="1" si="94"/>
        <v>0</v>
      </c>
      <c r="G111">
        <f t="shared" ca="1" si="95"/>
        <v>0</v>
      </c>
      <c r="H111">
        <f t="shared" ca="1" si="96"/>
        <v>0</v>
      </c>
      <c r="J111">
        <f t="shared" ca="1" si="97"/>
        <v>0</v>
      </c>
      <c r="K111">
        <f t="shared" ca="1" si="98"/>
        <v>0</v>
      </c>
      <c r="L111">
        <f t="shared" ca="1" si="99"/>
        <v>0</v>
      </c>
      <c r="BC111">
        <v>1.9024088846738214</v>
      </c>
      <c r="BD111">
        <v>-110.33345701779245</v>
      </c>
      <c r="BE111">
        <v>45.749520694128158</v>
      </c>
      <c r="BF111" s="6">
        <f t="shared" si="89"/>
        <v>2.7485230187970919</v>
      </c>
      <c r="BG111" s="6">
        <f t="shared" si="90"/>
        <v>0.84611413412327052</v>
      </c>
      <c r="BH111" s="6">
        <f t="shared" si="68"/>
        <v>0.14809097166583693</v>
      </c>
      <c r="BI111" s="6">
        <f t="shared" si="69"/>
        <v>0.14809097166583693</v>
      </c>
      <c r="BV111" s="38"/>
      <c r="BW111" s="6">
        <f t="shared" si="70"/>
        <v>1.6755160819145583</v>
      </c>
      <c r="BX111" s="9">
        <f t="shared" ca="1" si="71"/>
        <v>21.64423799255097</v>
      </c>
      <c r="BY111" s="9">
        <f t="shared" ca="1" si="72"/>
        <v>-24.233966543815594</v>
      </c>
      <c r="BZ111">
        <f t="shared" ca="1" si="73"/>
        <v>32.492432545516813</v>
      </c>
      <c r="CA111" s="6">
        <f t="shared" ca="1" si="74"/>
        <v>0.66613165887874903</v>
      </c>
      <c r="CB111" s="6">
        <f t="shared" ca="1" si="75"/>
        <v>-0.74583417261442642</v>
      </c>
      <c r="CC111" s="6">
        <f t="shared" ca="1" si="76"/>
        <v>-0.84178622863326369</v>
      </c>
      <c r="CD111" s="6">
        <f t="shared" ca="1" si="77"/>
        <v>-47.63222666338666</v>
      </c>
      <c r="CE111" s="9">
        <f t="shared" ca="1" si="78"/>
        <v>36.896629434094152</v>
      </c>
      <c r="CF111">
        <f t="shared" ca="1" si="79"/>
        <v>60.251060409831013</v>
      </c>
      <c r="CG111" s="6">
        <f t="shared" ca="1" si="80"/>
        <v>-0.79056246212746539</v>
      </c>
      <c r="CH111" s="6">
        <f t="shared" ca="1" si="81"/>
        <v>0.61238141176472671</v>
      </c>
      <c r="CI111" s="6">
        <f t="shared" ca="1" si="82"/>
        <v>2.482523263784552</v>
      </c>
      <c r="CJ111" s="1">
        <f t="shared" ca="1" si="83"/>
        <v>0.41409072667837687</v>
      </c>
      <c r="CK111" s="38"/>
    </row>
    <row r="112" spans="1:89" x14ac:dyDescent="0.25">
      <c r="A112">
        <f t="shared" si="91"/>
        <v>9</v>
      </c>
      <c r="B112">
        <f t="shared" si="91"/>
        <v>0</v>
      </c>
      <c r="C112">
        <f t="shared" ca="1" si="91"/>
        <v>0</v>
      </c>
      <c r="D112" s="9">
        <f t="shared" si="92"/>
        <v>2</v>
      </c>
      <c r="E112" s="5">
        <f t="shared" si="93"/>
        <v>-10</v>
      </c>
      <c r="F112" s="5">
        <f t="shared" ca="1" si="94"/>
        <v>0</v>
      </c>
      <c r="G112">
        <f t="shared" ca="1" si="95"/>
        <v>0</v>
      </c>
      <c r="H112">
        <f t="shared" ca="1" si="96"/>
        <v>0</v>
      </c>
      <c r="J112">
        <f t="shared" ca="1" si="97"/>
        <v>0</v>
      </c>
      <c r="K112">
        <f t="shared" ca="1" si="98"/>
        <v>0</v>
      </c>
      <c r="L112">
        <f t="shared" ca="1" si="99"/>
        <v>0</v>
      </c>
      <c r="BC112">
        <v>1.9198621771937647</v>
      </c>
      <c r="BD112">
        <v>-111.15883246659899</v>
      </c>
      <c r="BE112">
        <v>45.465265461478417</v>
      </c>
      <c r="BF112" s="6">
        <f t="shared" si="89"/>
        <v>2.7533417720683753</v>
      </c>
      <c r="BG112" s="6">
        <f t="shared" si="90"/>
        <v>0.83347959487461054</v>
      </c>
      <c r="BH112" s="6">
        <f t="shared" si="68"/>
        <v>0.14327221839455362</v>
      </c>
      <c r="BI112" s="6">
        <f t="shared" si="69"/>
        <v>0.14327221839455362</v>
      </c>
      <c r="BV112" s="38"/>
      <c r="BW112" s="6">
        <f t="shared" si="70"/>
        <v>1.6929693744345016</v>
      </c>
      <c r="BX112" s="9">
        <f t="shared" ca="1" si="71"/>
        <v>23.074661612414857</v>
      </c>
      <c r="BY112" s="9">
        <f t="shared" ca="1" si="72"/>
        <v>-24.036602359805475</v>
      </c>
      <c r="BZ112">
        <f t="shared" ca="1" si="73"/>
        <v>33.319637776105218</v>
      </c>
      <c r="CA112" s="6">
        <f t="shared" ca="1" si="74"/>
        <v>0.69252438359226631</v>
      </c>
      <c r="CB112" s="6">
        <f t="shared" ca="1" si="75"/>
        <v>-0.72139446777068628</v>
      </c>
      <c r="CC112" s="6">
        <f t="shared" ca="1" si="76"/>
        <v>-0.80581381386692919</v>
      </c>
      <c r="CD112" s="6">
        <f t="shared" ca="1" si="77"/>
        <v>-49.062650283250548</v>
      </c>
      <c r="CE112" s="9">
        <f t="shared" ca="1" si="78"/>
        <v>36.699265250084032</v>
      </c>
      <c r="CF112">
        <f t="shared" ca="1" si="79"/>
        <v>61.26972925280942</v>
      </c>
      <c r="CG112" s="6">
        <f t="shared" ca="1" si="80"/>
        <v>-0.80076492717651215</v>
      </c>
      <c r="CH112" s="6">
        <f t="shared" ca="1" si="81"/>
        <v>0.59897874036062027</v>
      </c>
      <c r="CI112" s="6">
        <f t="shared" ca="1" si="82"/>
        <v>2.4993675091601495</v>
      </c>
      <c r="CJ112" s="1">
        <f t="shared" ca="1" si="83"/>
        <v>0.3972464813027794</v>
      </c>
      <c r="CK112" s="38"/>
    </row>
    <row r="113" spans="1:89" x14ac:dyDescent="0.25">
      <c r="A113">
        <f t="shared" si="91"/>
        <v>10</v>
      </c>
      <c r="B113">
        <f t="shared" si="91"/>
        <v>0</v>
      </c>
      <c r="C113">
        <f t="shared" ca="1" si="91"/>
        <v>0</v>
      </c>
      <c r="D113" s="9">
        <f t="shared" si="92"/>
        <v>4</v>
      </c>
      <c r="E113" s="5">
        <f t="shared" si="93"/>
        <v>-10</v>
      </c>
      <c r="F113" s="5">
        <f t="shared" ca="1" si="94"/>
        <v>0</v>
      </c>
      <c r="G113">
        <f t="shared" ca="1" si="95"/>
        <v>0</v>
      </c>
      <c r="H113">
        <f t="shared" ca="1" si="96"/>
        <v>0</v>
      </c>
      <c r="J113">
        <f t="shared" ca="1" si="97"/>
        <v>0</v>
      </c>
      <c r="K113">
        <f t="shared" ca="1" si="98"/>
        <v>0</v>
      </c>
      <c r="L113">
        <f t="shared" ca="1" si="99"/>
        <v>0</v>
      </c>
      <c r="BC113">
        <v>1.937315469713708</v>
      </c>
      <c r="BD113">
        <v>-111.9473215686475</v>
      </c>
      <c r="BE113">
        <v>45.177340880686046</v>
      </c>
      <c r="BF113" s="6">
        <f t="shared" si="89"/>
        <v>2.7580220067925385</v>
      </c>
      <c r="BG113" s="6">
        <f t="shared" si="90"/>
        <v>0.82070653707883046</v>
      </c>
      <c r="BH113" s="6">
        <f t="shared" si="68"/>
        <v>0.13859198367039041</v>
      </c>
      <c r="BI113" s="6">
        <f t="shared" si="69"/>
        <v>0.13859198367039041</v>
      </c>
      <c r="BV113" s="38"/>
      <c r="BW113" s="6">
        <f t="shared" si="70"/>
        <v>1.7104226669544449</v>
      </c>
      <c r="BX113" s="9">
        <f t="shared" ca="1" si="71"/>
        <v>24.450438151548624</v>
      </c>
      <c r="BY113" s="9">
        <f t="shared" ca="1" si="72"/>
        <v>-23.830397852702564</v>
      </c>
      <c r="BZ113">
        <f t="shared" ca="1" si="73"/>
        <v>34.142521693934611</v>
      </c>
      <c r="CA113" s="6">
        <f t="shared" ca="1" si="74"/>
        <v>0.71612865536795489</v>
      </c>
      <c r="CB113" s="6">
        <f t="shared" ca="1" si="75"/>
        <v>-0.69796830082811412</v>
      </c>
      <c r="CC113" s="6">
        <f t="shared" ca="1" si="76"/>
        <v>-0.77255650060701497</v>
      </c>
      <c r="CD113" s="6">
        <f t="shared" ca="1" si="77"/>
        <v>-50.438426822384315</v>
      </c>
      <c r="CE113" s="9">
        <f t="shared" ca="1" si="78"/>
        <v>36.493060742981122</v>
      </c>
      <c r="CF113">
        <f t="shared" ca="1" si="79"/>
        <v>62.255749796367624</v>
      </c>
      <c r="CG113" s="6">
        <f t="shared" ca="1" si="80"/>
        <v>-0.81018101922092978</v>
      </c>
      <c r="CH113" s="6">
        <f t="shared" ca="1" si="81"/>
        <v>0.58617976431648966</v>
      </c>
      <c r="CI113" s="6">
        <f t="shared" ca="1" si="82"/>
        <v>2.5152571878661893</v>
      </c>
      <c r="CJ113" s="1">
        <f t="shared" ca="1" si="83"/>
        <v>0.38135680259673954</v>
      </c>
      <c r="CK113" s="38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-112.70002492929238</v>
      </c>
      <c r="BE114">
        <v>44.886537597391666</v>
      </c>
      <c r="BF114" s="6">
        <f t="shared" si="89"/>
        <v>2.7625670676147394</v>
      </c>
      <c r="BG114" s="6">
        <f t="shared" si="90"/>
        <v>0.80779830538108799</v>
      </c>
      <c r="BH114" s="6">
        <f t="shared" si="68"/>
        <v>0.13404692284818953</v>
      </c>
      <c r="BI114" s="6">
        <f t="shared" si="69"/>
        <v>0.13404692284818953</v>
      </c>
      <c r="BV114" s="38"/>
      <c r="BW114" s="6">
        <f t="shared" si="70"/>
        <v>1.7278759594743882</v>
      </c>
      <c r="BX114" s="9">
        <f t="shared" ca="1" si="71"/>
        <v>25.772552222870843</v>
      </c>
      <c r="BY114" s="9">
        <f t="shared" ca="1" si="72"/>
        <v>-23.615805642461094</v>
      </c>
      <c r="BZ114">
        <f t="shared" ca="1" si="73"/>
        <v>34.956125703846276</v>
      </c>
      <c r="CA114" s="6">
        <f t="shared" ca="1" si="74"/>
        <v>0.737282856836593</v>
      </c>
      <c r="CB114" s="6">
        <f t="shared" ca="1" si="75"/>
        <v>-0.67558418351443938</v>
      </c>
      <c r="CC114" s="6">
        <f t="shared" ca="1" si="76"/>
        <v>-0.74175676138845692</v>
      </c>
      <c r="CD114" s="6">
        <f t="shared" ca="1" si="77"/>
        <v>-51.760540893706533</v>
      </c>
      <c r="CE114" s="9">
        <f t="shared" ca="1" si="78"/>
        <v>36.278468532739652</v>
      </c>
      <c r="CF114">
        <f t="shared" ca="1" si="79"/>
        <v>63.208234215883991</v>
      </c>
      <c r="CG114" s="6">
        <f t="shared" ca="1" si="80"/>
        <v>-0.81888920859458691</v>
      </c>
      <c r="CH114" s="6">
        <f t="shared" ca="1" si="81"/>
        <v>0.57395162169588043</v>
      </c>
      <c r="CI114" s="6">
        <f t="shared" ca="1" si="82"/>
        <v>2.5302693251726054</v>
      </c>
      <c r="CJ114" s="1">
        <f t="shared" ca="1" si="83"/>
        <v>0.3663446652903235</v>
      </c>
      <c r="CK114" s="38"/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-113.41806071233947</v>
      </c>
      <c r="BE115">
        <v>44.593630176566087</v>
      </c>
      <c r="BF115" s="6">
        <f t="shared" si="89"/>
        <v>2.7669800110317415</v>
      </c>
      <c r="BG115" s="6">
        <f t="shared" si="90"/>
        <v>0.79475795627814683</v>
      </c>
      <c r="BH115" s="6">
        <f t="shared" si="68"/>
        <v>0.12963397943118737</v>
      </c>
      <c r="BI115" s="6">
        <f t="shared" si="69"/>
        <v>0.12963397943118737</v>
      </c>
      <c r="BV115" s="38"/>
      <c r="BW115" s="6">
        <f t="shared" si="70"/>
        <v>1.7453292519943315</v>
      </c>
      <c r="BX115" s="9">
        <f t="shared" ca="1" si="71"/>
        <v>27.042169322839101</v>
      </c>
      <c r="BY115" s="9">
        <f t="shared" ca="1" si="72"/>
        <v>-23.393249505949161</v>
      </c>
      <c r="BZ115">
        <f t="shared" ca="1" si="73"/>
        <v>35.756440596523177</v>
      </c>
      <c r="CA115" s="6">
        <f t="shared" ca="1" si="74"/>
        <v>0.75628806647685676</v>
      </c>
      <c r="CB115" s="6">
        <f t="shared" ca="1" si="75"/>
        <v>-0.65423876414096527</v>
      </c>
      <c r="CC115" s="6">
        <f t="shared" ca="1" si="76"/>
        <v>-0.71317563950700991</v>
      </c>
      <c r="CD115" s="6">
        <f t="shared" ca="1" si="77"/>
        <v>-53.030157993674791</v>
      </c>
      <c r="CE115" s="9">
        <f t="shared" ca="1" si="78"/>
        <v>36.055912396227718</v>
      </c>
      <c r="CF115">
        <f t="shared" ca="1" si="79"/>
        <v>64.126644037861183</v>
      </c>
      <c r="CG115" s="6">
        <f t="shared" ca="1" si="80"/>
        <v>-0.82695981973366817</v>
      </c>
      <c r="CH115" s="6">
        <f t="shared" ca="1" si="81"/>
        <v>0.56226102172039205</v>
      </c>
      <c r="CI115" s="6">
        <f t="shared" ca="1" si="82"/>
        <v>2.5444752494932663</v>
      </c>
      <c r="CJ115" s="1">
        <f t="shared" ca="1" si="83"/>
        <v>0.35213874096966263</v>
      </c>
      <c r="CK115" s="38"/>
    </row>
    <row r="116" spans="1:89" x14ac:dyDescent="0.25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-114.10257176477371</v>
      </c>
      <c r="BE116">
        <v>44.299352956066599</v>
      </c>
      <c r="BF116" s="6">
        <f t="shared" si="89"/>
        <v>2.7712638359111965</v>
      </c>
      <c r="BG116" s="6">
        <f t="shared" si="90"/>
        <v>0.78158848863765851</v>
      </c>
      <c r="BH116" s="6">
        <f t="shared" si="68"/>
        <v>0.12535015455173235</v>
      </c>
      <c r="BI116" s="6">
        <f t="shared" si="69"/>
        <v>0.12535015455173235</v>
      </c>
      <c r="BV116" s="38"/>
      <c r="BW116" s="6">
        <f t="shared" si="70"/>
        <v>1.7627825445142749</v>
      </c>
      <c r="BX116" s="9">
        <f t="shared" ca="1" si="71"/>
        <v>28.26059617808221</v>
      </c>
      <c r="BY116" s="9">
        <f t="shared" ca="1" si="72"/>
        <v>-23.163122681705683</v>
      </c>
      <c r="BZ116">
        <f t="shared" ca="1" si="73"/>
        <v>36.540272969812129</v>
      </c>
      <c r="CA116" s="6">
        <f t="shared" ca="1" si="74"/>
        <v>0.77340955283584767</v>
      </c>
      <c r="CB116" s="6">
        <f t="shared" ca="1" si="75"/>
        <v>-0.63390666787962902</v>
      </c>
      <c r="CC116" s="6">
        <f t="shared" ca="1" si="76"/>
        <v>-0.68659404743144659</v>
      </c>
      <c r="CD116" s="6">
        <f t="shared" ca="1" si="77"/>
        <v>-54.248584848917901</v>
      </c>
      <c r="CE116" s="9">
        <f t="shared" ca="1" si="78"/>
        <v>35.825785571984241</v>
      </c>
      <c r="CF116">
        <f t="shared" ca="1" si="79"/>
        <v>65.010736574507746</v>
      </c>
      <c r="CG116" s="6">
        <f t="shared" ca="1" si="80"/>
        <v>-0.83445577926569836</v>
      </c>
      <c r="CH116" s="6">
        <f t="shared" ca="1" si="81"/>
        <v>0.55107490638757628</v>
      </c>
      <c r="CI116" s="6">
        <f t="shared" ca="1" si="82"/>
        <v>2.5579408102061953</v>
      </c>
      <c r="CJ116" s="1">
        <f t="shared" ca="1" si="83"/>
        <v>0.33867318025673354</v>
      </c>
      <c r="CK116" s="38"/>
    </row>
    <row r="117" spans="1:89" x14ac:dyDescent="0.25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-114.75472484635152</v>
      </c>
      <c r="BE117">
        <v>44.00438610473627</v>
      </c>
      <c r="BF117" s="6">
        <f t="shared" si="89"/>
        <v>2.7754216068076216</v>
      </c>
      <c r="BG117" s="6">
        <f t="shared" si="90"/>
        <v>0.76829296701414052</v>
      </c>
      <c r="BH117" s="6">
        <f t="shared" si="68"/>
        <v>0.12119238365530725</v>
      </c>
      <c r="BI117" s="6">
        <f t="shared" si="69"/>
        <v>0.12119238365530725</v>
      </c>
      <c r="BV117" s="38"/>
      <c r="BW117" s="6">
        <f t="shared" si="70"/>
        <v>1.7802358370342182</v>
      </c>
      <c r="BX117" s="9">
        <f t="shared" ca="1" si="71"/>
        <v>29.429246827120863</v>
      </c>
      <c r="BY117" s="9">
        <f t="shared" ca="1" si="72"/>
        <v>-22.925786810590278</v>
      </c>
      <c r="BZ117">
        <f t="shared" ca="1" si="73"/>
        <v>37.305123906726791</v>
      </c>
      <c r="CA117" s="6">
        <f t="shared" ca="1" si="74"/>
        <v>0.7888794820974776</v>
      </c>
      <c r="CB117" s="6">
        <f t="shared" ca="1" si="75"/>
        <v>-0.61454793362732518</v>
      </c>
      <c r="CC117" s="6">
        <f t="shared" ca="1" si="76"/>
        <v>-0.66181278979117386</v>
      </c>
      <c r="CD117" s="6">
        <f t="shared" ca="1" si="77"/>
        <v>-55.417235497956554</v>
      </c>
      <c r="CE117" s="9">
        <f t="shared" ca="1" si="78"/>
        <v>35.588449700868836</v>
      </c>
      <c r="CF117">
        <f t="shared" ca="1" si="79"/>
        <v>65.860517325232479</v>
      </c>
      <c r="CG117" s="6">
        <f t="shared" ca="1" si="80"/>
        <v>-0.8414333465419821</v>
      </c>
      <c r="CH117" s="6">
        <f t="shared" ca="1" si="81"/>
        <v>0.54036091950395582</v>
      </c>
      <c r="CI117" s="6">
        <f t="shared" ca="1" si="82"/>
        <v>2.5707266690791242</v>
      </c>
      <c r="CJ117" s="1">
        <f t="shared" ca="1" si="83"/>
        <v>0.32588732138380472</v>
      </c>
      <c r="CK117" s="38"/>
    </row>
    <row r="118" spans="1:89" x14ac:dyDescent="0.25">
      <c r="BC118">
        <v>2.0245819323134242</v>
      </c>
      <c r="BD118">
        <v>-115.37570586418434</v>
      </c>
      <c r="BE118">
        <v>43.709348478168266</v>
      </c>
      <c r="BF118" s="6">
        <f t="shared" si="89"/>
        <v>2.779456511876246</v>
      </c>
      <c r="BG118" s="6">
        <f t="shared" si="90"/>
        <v>0.75487457956282178</v>
      </c>
      <c r="BH118" s="6">
        <f t="shared" si="68"/>
        <v>0.11715747858668289</v>
      </c>
      <c r="BI118" s="6">
        <f t="shared" si="69"/>
        <v>0.11715747858668289</v>
      </c>
      <c r="BV118" s="38"/>
      <c r="BW118" s="6">
        <f t="shared" si="70"/>
        <v>1.7976891295541615</v>
      </c>
      <c r="BX118" s="9">
        <f t="shared" ca="1" si="71"/>
        <v>30.549613809512778</v>
      </c>
      <c r="BY118" s="9">
        <f t="shared" ca="1" si="72"/>
        <v>-22.681571367669793</v>
      </c>
      <c r="BZ118">
        <f t="shared" ca="1" si="73"/>
        <v>38.049081245374012</v>
      </c>
      <c r="CA118" s="6">
        <f t="shared" ca="1" si="74"/>
        <v>0.80290017024332183</v>
      </c>
      <c r="CB118" s="6">
        <f t="shared" ca="1" si="75"/>
        <v>-0.59611350984795219</v>
      </c>
      <c r="CC118" s="6">
        <f t="shared" ca="1" si="76"/>
        <v>-0.63865179551973017</v>
      </c>
      <c r="CD118" s="6">
        <f t="shared" ca="1" si="77"/>
        <v>-56.537602480348468</v>
      </c>
      <c r="CE118" s="9">
        <f t="shared" ca="1" si="78"/>
        <v>35.344234257948351</v>
      </c>
      <c r="CF118">
        <f t="shared" ca="1" si="79"/>
        <v>66.676198073275259</v>
      </c>
      <c r="CG118" s="6">
        <f t="shared" ca="1" si="80"/>
        <v>-0.84794280589027049</v>
      </c>
      <c r="CH118" s="6">
        <f t="shared" ca="1" si="81"/>
        <v>0.53008772664431214</v>
      </c>
      <c r="CI118" s="6">
        <f t="shared" ca="1" si="82"/>
        <v>2.5828886333829155</v>
      </c>
      <c r="CJ118" s="1">
        <f t="shared" ca="1" si="83"/>
        <v>0.31372535708001337</v>
      </c>
      <c r="CK118" s="38"/>
    </row>
    <row r="119" spans="1:89" x14ac:dyDescent="0.25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-115.96671342697492</v>
      </c>
      <c r="BE119">
        <v>43.414794961681466</v>
      </c>
      <c r="BF119" s="6">
        <f t="shared" si="89"/>
        <v>2.7833718817840998</v>
      </c>
      <c r="BG119" s="6">
        <f t="shared" si="90"/>
        <v>0.74133665695073248</v>
      </c>
      <c r="BH119" s="6">
        <f t="shared" si="68"/>
        <v>0.11324210867882911</v>
      </c>
      <c r="BI119" s="6">
        <f t="shared" si="69"/>
        <v>0.11324210867882911</v>
      </c>
      <c r="BV119" s="38"/>
      <c r="BW119" s="6">
        <f t="shared" si="70"/>
        <v>1.8151424220741048</v>
      </c>
      <c r="BX119" s="9">
        <f t="shared" ca="1" si="71"/>
        <v>31.623243884012922</v>
      </c>
      <c r="BY119" s="9">
        <f t="shared" ca="1" si="72"/>
        <v>-22.430773485625831</v>
      </c>
      <c r="BZ119">
        <f t="shared" ca="1" si="73"/>
        <v>38.770725462792356</v>
      </c>
      <c r="CA119" s="6">
        <f t="shared" ca="1" si="74"/>
        <v>0.81564746355755557</v>
      </c>
      <c r="CB119" s="6">
        <f t="shared" ca="1" si="75"/>
        <v>-0.5785492331618165</v>
      </c>
      <c r="CC119" s="6">
        <f t="shared" ca="1" si="76"/>
        <v>-0.61694889732512248</v>
      </c>
      <c r="CD119" s="6">
        <f t="shared" ca="1" si="77"/>
        <v>-57.611232554848613</v>
      </c>
      <c r="CE119" s="9">
        <f t="shared" ca="1" si="78"/>
        <v>35.093436375904389</v>
      </c>
      <c r="CF119">
        <f t="shared" ca="1" si="79"/>
        <v>67.458160315550387</v>
      </c>
      <c r="CG119" s="6">
        <f t="shared" ca="1" si="80"/>
        <v>-0.85402910908568208</v>
      </c>
      <c r="CH119" s="6">
        <f t="shared" ca="1" si="81"/>
        <v>0.52022522125932757</v>
      </c>
      <c r="CI119" s="6">
        <f t="shared" ca="1" si="82"/>
        <v>2.5944780079300562</v>
      </c>
      <c r="CJ119" s="1">
        <f t="shared" ca="1" si="83"/>
        <v>0.3021359825328726</v>
      </c>
      <c r="CK119" s="38"/>
    </row>
    <row r="120" spans="1:89" x14ac:dyDescent="0.25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-116.52895203128189</v>
      </c>
      <c r="BE120">
        <v>43.121216706523086</v>
      </c>
      <c r="BF120" s="6">
        <f t="shared" si="89"/>
        <v>2.7871711863310082</v>
      </c>
      <c r="BG120" s="6">
        <f t="shared" si="90"/>
        <v>0.72768266897769784</v>
      </c>
      <c r="BH120" s="6">
        <f t="shared" si="68"/>
        <v>0.10944280413192065</v>
      </c>
      <c r="BI120" s="6">
        <f t="shared" si="69"/>
        <v>0.10944280413192065</v>
      </c>
      <c r="BV120" s="38"/>
      <c r="BW120" s="6">
        <f t="shared" si="70"/>
        <v>1.8325957145940481</v>
      </c>
      <c r="BX120" s="9">
        <f t="shared" ca="1" si="71"/>
        <v>32.651717706800142</v>
      </c>
      <c r="BY120" s="9">
        <f t="shared" ca="1" si="72"/>
        <v>-22.173658050666059</v>
      </c>
      <c r="BZ120">
        <f t="shared" ca="1" si="73"/>
        <v>39.469048386709723</v>
      </c>
      <c r="CA120" s="6">
        <f t="shared" ca="1" si="74"/>
        <v>0.82727400435108644</v>
      </c>
      <c r="CB120" s="6">
        <f t="shared" ca="1" si="75"/>
        <v>-0.56179864873895768</v>
      </c>
      <c r="CC120" s="6">
        <f t="shared" ca="1" si="76"/>
        <v>-0.59655838642603631</v>
      </c>
      <c r="CD120" s="6">
        <f t="shared" ca="1" si="77"/>
        <v>-58.639706377635832</v>
      </c>
      <c r="CE120" s="9">
        <f t="shared" ca="1" si="78"/>
        <v>34.836320940944617</v>
      </c>
      <c r="CF120">
        <f t="shared" ca="1" si="79"/>
        <v>68.206923554400547</v>
      </c>
      <c r="CG120" s="6">
        <f t="shared" ca="1" si="80"/>
        <v>-0.85973246294954087</v>
      </c>
      <c r="CH120" s="6">
        <f t="shared" ca="1" si="81"/>
        <v>0.51074464475970438</v>
      </c>
      <c r="CI120" s="6">
        <f t="shared" ca="1" si="82"/>
        <v>2.6055419504804016</v>
      </c>
      <c r="CJ120" s="1">
        <f t="shared" ca="1" si="83"/>
        <v>0.29107203998252729</v>
      </c>
      <c r="CK120" s="38"/>
    </row>
    <row r="121" spans="1:89" x14ac:dyDescent="0.25">
      <c r="BC121">
        <v>2.0769418098732535</v>
      </c>
      <c r="BD121">
        <v>-117.06362564508531</v>
      </c>
      <c r="BE121">
        <v>42.829043186986034</v>
      </c>
      <c r="BF121" s="6">
        <f t="shared" si="89"/>
        <v>2.7908580192530268</v>
      </c>
      <c r="BG121" s="6">
        <f t="shared" si="90"/>
        <v>0.71391620937977329</v>
      </c>
      <c r="BH121" s="6">
        <f t="shared" si="68"/>
        <v>0.1057559712099021</v>
      </c>
      <c r="BI121" s="6">
        <f t="shared" si="69"/>
        <v>0.1057559712099021</v>
      </c>
      <c r="BV121" s="38"/>
      <c r="BW121" s="6">
        <f t="shared" si="70"/>
        <v>1.8500490071139915</v>
      </c>
      <c r="BX121" s="9">
        <f t="shared" ca="1" si="71"/>
        <v>33.636632985371222</v>
      </c>
      <c r="BY121" s="9">
        <f t="shared" ca="1" si="72"/>
        <v>-21.910458012116695</v>
      </c>
      <c r="BZ121">
        <f t="shared" ca="1" si="73"/>
        <v>40.143383625365864</v>
      </c>
      <c r="CA121" s="6">
        <f t="shared" ca="1" si="74"/>
        <v>0.83791225222272625</v>
      </c>
      <c r="CB121" s="6">
        <f t="shared" ca="1" si="75"/>
        <v>-0.54580496294467518</v>
      </c>
      <c r="CC121" s="6">
        <f t="shared" ca="1" si="76"/>
        <v>-0.57734949138893032</v>
      </c>
      <c r="CD121" s="6">
        <f t="shared" ca="1" si="77"/>
        <v>-59.624621656206912</v>
      </c>
      <c r="CE121" s="9">
        <f t="shared" ca="1" si="78"/>
        <v>34.573120902395253</v>
      </c>
      <c r="CF121">
        <f t="shared" ca="1" si="79"/>
        <v>68.923118012590365</v>
      </c>
      <c r="CG121" s="6">
        <f t="shared" ca="1" si="80"/>
        <v>-0.86508886097281801</v>
      </c>
      <c r="CH121" s="6">
        <f t="shared" ca="1" si="81"/>
        <v>0.50161864261683131</v>
      </c>
      <c r="CI121" s="6">
        <f t="shared" ca="1" si="82"/>
        <v>2.6161238198698911</v>
      </c>
      <c r="CJ121" s="1">
        <f t="shared" ca="1" si="83"/>
        <v>0.28049017059303777</v>
      </c>
      <c r="CK121" s="38"/>
    </row>
    <row r="122" spans="1:89" x14ac:dyDescent="0.25">
      <c r="BC122">
        <v>2.0943951023931966</v>
      </c>
      <c r="BD122">
        <v>-117.5719320529235</v>
      </c>
      <c r="BE122">
        <v>42.538645325475947</v>
      </c>
      <c r="BF122" s="6">
        <f t="shared" si="89"/>
        <v>2.7944360777654387</v>
      </c>
      <c r="BG122" s="6">
        <f t="shared" si="90"/>
        <v>0.70004097537224208</v>
      </c>
      <c r="BH122" s="6">
        <f t="shared" si="68"/>
        <v>0.10217791269749021</v>
      </c>
      <c r="BI122" s="6">
        <f t="shared" si="69"/>
        <v>0.10217791269749021</v>
      </c>
      <c r="BV122" s="38"/>
      <c r="BW122" s="6">
        <f t="shared" si="70"/>
        <v>1.8675022996339348</v>
      </c>
      <c r="BX122" s="9">
        <f t="shared" ca="1" si="71"/>
        <v>34.579589088933176</v>
      </c>
      <c r="BY122" s="9">
        <f t="shared" ca="1" si="72"/>
        <v>-21.641376574896537</v>
      </c>
      <c r="BZ122">
        <f t="shared" ca="1" si="73"/>
        <v>40.793347026395701</v>
      </c>
      <c r="CA122" s="6">
        <f t="shared" ca="1" si="74"/>
        <v>0.84767717310761836</v>
      </c>
      <c r="CB122" s="6">
        <f t="shared" ca="1" si="75"/>
        <v>-0.53051240342924766</v>
      </c>
      <c r="CC122" s="6">
        <f t="shared" ca="1" si="76"/>
        <v>-0.55920493053031783</v>
      </c>
      <c r="CD122" s="6">
        <f t="shared" ca="1" si="77"/>
        <v>-60.567577759768866</v>
      </c>
      <c r="CE122" s="9">
        <f t="shared" ca="1" si="78"/>
        <v>34.304039465175094</v>
      </c>
      <c r="CF122">
        <f t="shared" ca="1" si="79"/>
        <v>69.607460802085996</v>
      </c>
      <c r="CG122" s="6">
        <f t="shared" ca="1" si="80"/>
        <v>-0.87013054436764881</v>
      </c>
      <c r="CH122" s="6">
        <f t="shared" ca="1" si="81"/>
        <v>0.492821302054263</v>
      </c>
      <c r="CI122" s="6">
        <f t="shared" ca="1" si="82"/>
        <v>2.6262634773243936</v>
      </c>
      <c r="CJ122" s="1">
        <f t="shared" ca="1" si="83"/>
        <v>0.27035051313853531</v>
      </c>
      <c r="CK122" s="38"/>
    </row>
    <row r="123" spans="1:89" x14ac:dyDescent="0.25">
      <c r="A123" t="s">
        <v>128</v>
      </c>
      <c r="BC123">
        <v>2.1118483949131397</v>
      </c>
      <c r="BD123">
        <v>-118.05505816326192</v>
      </c>
      <c r="BE123">
        <v>42.250339192450113</v>
      </c>
      <c r="BF123" s="6">
        <f t="shared" si="89"/>
        <v>2.797909140823291</v>
      </c>
      <c r="BG123" s="6">
        <f t="shared" si="90"/>
        <v>0.68606074591015132</v>
      </c>
      <c r="BH123" s="6">
        <f t="shared" si="68"/>
        <v>9.8704849639637895E-2</v>
      </c>
      <c r="BI123" s="6">
        <f t="shared" si="69"/>
        <v>9.8704849639637895E-2</v>
      </c>
      <c r="BV123" s="38"/>
      <c r="BW123" s="6">
        <f t="shared" si="70"/>
        <v>1.8849555921538781</v>
      </c>
      <c r="BX123" s="9">
        <f t="shared" ca="1" si="71"/>
        <v>35.482101961376742</v>
      </c>
      <c r="BY123" s="9">
        <f t="shared" ca="1" si="72"/>
        <v>-21.36667638145774</v>
      </c>
      <c r="BZ123">
        <f t="shared" ca="1" si="73"/>
        <v>41.418768924093811</v>
      </c>
      <c r="CA123" s="6">
        <f t="shared" ca="1" si="74"/>
        <v>0.85666722800001815</v>
      </c>
      <c r="CB123" s="6">
        <f t="shared" ca="1" si="75"/>
        <v>-0.5158694219187302</v>
      </c>
      <c r="CC123" s="6">
        <f t="shared" ca="1" si="76"/>
        <v>-0.5420222282236048</v>
      </c>
      <c r="CD123" s="6">
        <f t="shared" ca="1" si="77"/>
        <v>-61.470090632212433</v>
      </c>
      <c r="CE123" s="9">
        <f t="shared" ca="1" si="78"/>
        <v>34.029339271736298</v>
      </c>
      <c r="CF123">
        <f t="shared" ca="1" si="79"/>
        <v>70.260714297559957</v>
      </c>
      <c r="CG123" s="6">
        <f t="shared" ca="1" si="80"/>
        <v>-0.87488564906814781</v>
      </c>
      <c r="CH123" s="6">
        <f t="shared" ca="1" si="81"/>
        <v>0.48432953766480685</v>
      </c>
      <c r="CI123" s="6">
        <f t="shared" ca="1" si="82"/>
        <v>2.6359959914313351</v>
      </c>
      <c r="CJ123" s="1">
        <f t="shared" ca="1" si="83"/>
        <v>0.26061799903159377</v>
      </c>
      <c r="CK123" s="38"/>
    </row>
    <row r="124" spans="1:89" x14ac:dyDescent="0.25">
      <c r="BC124">
        <v>2.1293016874330828</v>
      </c>
      <c r="BD124">
        <v>-118.51417629459593</v>
      </c>
      <c r="BE124">
        <v>41.964389923623905</v>
      </c>
      <c r="BF124" s="6">
        <f t="shared" si="89"/>
        <v>2.801281048498657</v>
      </c>
      <c r="BG124" s="6">
        <f t="shared" si="90"/>
        <v>0.67197936106557421</v>
      </c>
      <c r="BH124" s="6">
        <f t="shared" si="68"/>
        <v>9.5332941964271889E-2</v>
      </c>
      <c r="BI124" s="6">
        <f t="shared" si="69"/>
        <v>9.5332941964271889E-2</v>
      </c>
      <c r="BV124" s="38"/>
      <c r="BW124" s="6">
        <f t="shared" si="70"/>
        <v>1.9024088846738214</v>
      </c>
      <c r="BX124" s="9">
        <f t="shared" ca="1" si="71"/>
        <v>36.345468346956764</v>
      </c>
      <c r="BY124" s="9">
        <f t="shared" ca="1" si="72"/>
        <v>-21.0868578038496</v>
      </c>
      <c r="BZ124">
        <f t="shared" ca="1" si="73"/>
        <v>42.019622099673967</v>
      </c>
      <c r="CA124" s="6">
        <f t="shared" ca="1" si="74"/>
        <v>0.86496418889114124</v>
      </c>
      <c r="CB124" s="6">
        <f t="shared" ca="1" si="75"/>
        <v>-0.50183358988402738</v>
      </c>
      <c r="CC124" s="6">
        <f t="shared" ca="1" si="76"/>
        <v>-0.52571732004938976</v>
      </c>
      <c r="CD124" s="6">
        <f t="shared" ca="1" si="77"/>
        <v>-62.333457017792455</v>
      </c>
      <c r="CE124" s="9">
        <f t="shared" ca="1" si="78"/>
        <v>33.749520694128158</v>
      </c>
      <c r="CF124">
        <f t="shared" ca="1" si="79"/>
        <v>70.883637116561417</v>
      </c>
      <c r="CG124" s="6">
        <f t="shared" ca="1" si="80"/>
        <v>-0.87937723787072319</v>
      </c>
      <c r="CH124" s="6">
        <f t="shared" ca="1" si="81"/>
        <v>0.47612569087884521</v>
      </c>
      <c r="CI124" s="6">
        <f t="shared" ca="1" si="82"/>
        <v>2.6453489647424666</v>
      </c>
      <c r="CJ124" s="1">
        <f t="shared" ca="1" si="83"/>
        <v>0.25126502572046228</v>
      </c>
      <c r="CK124" s="38"/>
    </row>
    <row r="125" spans="1:89" x14ac:dyDescent="0.25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-118.95044143614814</v>
      </c>
      <c r="BE125">
        <v>41.681015632913585</v>
      </c>
      <c r="BF125" s="6">
        <f t="shared" si="89"/>
        <v>2.8045556838073202</v>
      </c>
      <c r="BG125" s="6">
        <f t="shared" si="90"/>
        <v>0.65780070385429434</v>
      </c>
      <c r="BH125" s="6">
        <f t="shared" si="68"/>
        <v>9.2058306655608671E-2</v>
      </c>
      <c r="BI125" s="6">
        <f t="shared" si="69"/>
        <v>9.2058306655608671E-2</v>
      </c>
      <c r="BV125" s="38"/>
      <c r="BW125" s="6">
        <f t="shared" si="70"/>
        <v>1.9198621771937647</v>
      </c>
      <c r="BX125" s="9">
        <f t="shared" ca="1" si="71"/>
        <v>37.170843795763304</v>
      </c>
      <c r="BY125" s="9">
        <f t="shared" ca="1" si="72"/>
        <v>-20.802602571199859</v>
      </c>
      <c r="BZ125">
        <f t="shared" ca="1" si="73"/>
        <v>42.59600805503171</v>
      </c>
      <c r="CA125" s="6">
        <f t="shared" ca="1" si="74"/>
        <v>0.87263679140403505</v>
      </c>
      <c r="CB125" s="6">
        <f t="shared" ca="1" si="75"/>
        <v>-0.488369767991499</v>
      </c>
      <c r="CC125" s="6">
        <f t="shared" ca="1" si="76"/>
        <v>-0.51022060636024413</v>
      </c>
      <c r="CD125" s="6">
        <f t="shared" ca="1" si="77"/>
        <v>-63.158832466598994</v>
      </c>
      <c r="CE125" s="9">
        <f t="shared" ca="1" si="78"/>
        <v>33.465265461478417</v>
      </c>
      <c r="CF125">
        <f t="shared" ca="1" si="79"/>
        <v>71.477004070897792</v>
      </c>
      <c r="CG125" s="6">
        <f t="shared" ca="1" si="80"/>
        <v>-0.88362450675677406</v>
      </c>
      <c r="CH125" s="6">
        <f t="shared" ca="1" si="81"/>
        <v>0.46819625271764798</v>
      </c>
      <c r="CI125" s="6">
        <f t="shared" ca="1" si="82"/>
        <v>2.654344287313418</v>
      </c>
      <c r="CJ125" s="1">
        <f t="shared" ca="1" si="83"/>
        <v>0.24226970314951091</v>
      </c>
      <c r="CK125" s="38"/>
    </row>
    <row r="126" spans="1:89" x14ac:dyDescent="0.25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-119.3649894256335</v>
      </c>
      <c r="BE126">
        <v>41.400391168715949</v>
      </c>
      <c r="BF126" s="6">
        <f t="shared" si="89"/>
        <v>2.8077369576906528</v>
      </c>
      <c r="BG126" s="6">
        <f t="shared" si="90"/>
        <v>0.6435286852176838</v>
      </c>
      <c r="BH126" s="6">
        <f t="shared" si="68"/>
        <v>8.8877032772276099E-2</v>
      </c>
      <c r="BI126" s="6">
        <f t="shared" si="69"/>
        <v>8.8877032772276099E-2</v>
      </c>
      <c r="BV126" s="38"/>
      <c r="BW126" s="6">
        <f t="shared" si="70"/>
        <v>1.937315469713708</v>
      </c>
      <c r="BX126" s="9">
        <f t="shared" ca="1" si="71"/>
        <v>37.959332897811805</v>
      </c>
      <c r="BY126" s="9">
        <f t="shared" ca="1" si="72"/>
        <v>-20.514677990407488</v>
      </c>
      <c r="BZ126">
        <f t="shared" ca="1" si="73"/>
        <v>43.148151375198069</v>
      </c>
      <c r="CA126" s="6">
        <f t="shared" ca="1" si="74"/>
        <v>0.87974413011888986</v>
      </c>
      <c r="CB126" s="6">
        <f t="shared" ca="1" si="75"/>
        <v>-0.47544743718034471</v>
      </c>
      <c r="CC126" s="6">
        <f t="shared" ca="1" si="76"/>
        <v>-0.49547256108180349</v>
      </c>
      <c r="CD126" s="6">
        <f t="shared" ca="1" si="77"/>
        <v>-63.947321568647496</v>
      </c>
      <c r="CE126" s="9">
        <f t="shared" ca="1" si="78"/>
        <v>33.177340880686046</v>
      </c>
      <c r="CF126">
        <f t="shared" ca="1" si="79"/>
        <v>72.04162604853704</v>
      </c>
      <c r="CG126" s="6">
        <f t="shared" ca="1" si="80"/>
        <v>-0.8876440618589575</v>
      </c>
      <c r="CH126" s="6">
        <f t="shared" ca="1" si="81"/>
        <v>0.46053015042072032</v>
      </c>
      <c r="CI126" s="6">
        <f t="shared" ca="1" si="82"/>
        <v>2.6630002919042166</v>
      </c>
      <c r="CJ126" s="1">
        <f t="shared" ca="1" si="83"/>
        <v>0.23361369855871228</v>
      </c>
      <c r="CK126" s="38"/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-119.75893594604648</v>
      </c>
      <c r="BE127">
        <v>41.122651605728862</v>
      </c>
      <c r="BF127" s="6">
        <f t="shared" si="89"/>
        <v>2.8108287974672597</v>
      </c>
      <c r="BG127" s="6">
        <f t="shared" si="90"/>
        <v>0.62916723247434758</v>
      </c>
      <c r="BH127" s="6">
        <f t="shared" si="68"/>
        <v>8.5785192995669224E-2</v>
      </c>
      <c r="BI127" s="6">
        <f t="shared" si="69"/>
        <v>8.5785192995669224E-2</v>
      </c>
      <c r="BV127" s="38"/>
      <c r="BW127" s="6">
        <f t="shared" si="70"/>
        <v>1.9547687622336514</v>
      </c>
      <c r="BX127" s="9">
        <f t="shared" ca="1" si="71"/>
        <v>38.712036258456692</v>
      </c>
      <c r="BY127" s="9">
        <f t="shared" ca="1" si="72"/>
        <v>-20.223874707113108</v>
      </c>
      <c r="BZ127">
        <f t="shared" ca="1" si="73"/>
        <v>43.67638789374729</v>
      </c>
      <c r="CA127" s="6">
        <f t="shared" ca="1" si="74"/>
        <v>0.88633786183583885</v>
      </c>
      <c r="CB127" s="6">
        <f t="shared" ca="1" si="75"/>
        <v>-0.46303908547364919</v>
      </c>
      <c r="CC127" s="6">
        <f t="shared" ca="1" si="76"/>
        <v>-0.48142095125190976</v>
      </c>
      <c r="CD127" s="6">
        <f t="shared" ca="1" si="77"/>
        <v>-64.700024929292383</v>
      </c>
      <c r="CE127" s="9">
        <f t="shared" ca="1" si="78"/>
        <v>32.886537597391666</v>
      </c>
      <c r="CF127">
        <f t="shared" ca="1" si="79"/>
        <v>72.578354769143886</v>
      </c>
      <c r="CG127" s="6">
        <f t="shared" ca="1" si="80"/>
        <v>-0.89145069676888145</v>
      </c>
      <c r="CH127" s="6">
        <f t="shared" ca="1" si="81"/>
        <v>0.45311770571262822</v>
      </c>
      <c r="CI127" s="6">
        <f t="shared" ca="1" si="82"/>
        <v>2.6713330710119161</v>
      </c>
      <c r="CJ127" s="1">
        <f t="shared" ca="1" si="83"/>
        <v>0.22528091945101281</v>
      </c>
      <c r="CK127" s="38"/>
    </row>
    <row r="128" spans="1:89" x14ac:dyDescent="0.25">
      <c r="BC128">
        <v>2.1991148575128552</v>
      </c>
      <c r="BD128">
        <v>-120.13337628846126</v>
      </c>
      <c r="BE128">
        <v>40.847895419865466</v>
      </c>
      <c r="BF128" s="6">
        <f t="shared" si="89"/>
        <v>2.8138351388237042</v>
      </c>
      <c r="BG128" s="6">
        <f t="shared" si="90"/>
        <v>0.61472028131084899</v>
      </c>
      <c r="BH128" s="6">
        <f t="shared" si="68"/>
        <v>8.2778851639224715E-2</v>
      </c>
      <c r="BI128" s="6">
        <f t="shared" si="69"/>
        <v>8.2778851639224715E-2</v>
      </c>
      <c r="BV128" s="38"/>
      <c r="BW128" s="6">
        <f t="shared" si="70"/>
        <v>1.9722220547535947</v>
      </c>
      <c r="BX128" s="9">
        <f t="shared" ca="1" si="71"/>
        <v>39.430072041503777</v>
      </c>
      <c r="BY128" s="9">
        <f t="shared" ca="1" si="72"/>
        <v>-19.93096728628753</v>
      </c>
      <c r="BZ128">
        <f t="shared" ca="1" si="73"/>
        <v>44.181150258512297</v>
      </c>
      <c r="CA128" s="6">
        <f t="shared" ca="1" si="74"/>
        <v>0.89246368215383576</v>
      </c>
      <c r="CB128" s="6">
        <f t="shared" ca="1" si="75"/>
        <v>-0.4511192481333704</v>
      </c>
      <c r="CC128" s="6">
        <f t="shared" ca="1" si="76"/>
        <v>-0.46801905268826721</v>
      </c>
      <c r="CD128" s="6">
        <f t="shared" ca="1" si="77"/>
        <v>-65.418060712339468</v>
      </c>
      <c r="CE128" s="9">
        <f t="shared" ca="1" si="78"/>
        <v>32.593630176566087</v>
      </c>
      <c r="CF128">
        <f t="shared" ca="1" si="79"/>
        <v>73.088079708322425</v>
      </c>
      <c r="CG128" s="6">
        <f t="shared" ca="1" si="80"/>
        <v>-0.89505786680136867</v>
      </c>
      <c r="CH128" s="6">
        <f t="shared" ca="1" si="81"/>
        <v>0.44595001410133783</v>
      </c>
      <c r="CI128" s="6">
        <f t="shared" ca="1" si="82"/>
        <v>2.6793572734121396</v>
      </c>
      <c r="CJ128" s="1">
        <f t="shared" ca="1" si="83"/>
        <v>0.21725671705078933</v>
      </c>
      <c r="CK128" s="38"/>
    </row>
    <row r="129" spans="1:89" x14ac:dyDescent="0.25">
      <c r="A129" s="14" t="s">
        <v>131</v>
      </c>
      <c r="BC129">
        <v>2.2165681500327983</v>
      </c>
      <c r="BD129">
        <v>-120.48938578678438</v>
      </c>
      <c r="BE129">
        <v>40.576187300189218</v>
      </c>
      <c r="BF129" s="6">
        <f t="shared" si="89"/>
        <v>2.8167599213034373</v>
      </c>
      <c r="BG129" s="6">
        <f t="shared" si="90"/>
        <v>0.60019177127063905</v>
      </c>
      <c r="BH129" s="6">
        <f t="shared" si="68"/>
        <v>7.9854069159491559E-2</v>
      </c>
      <c r="BI129" s="6">
        <f t="shared" si="69"/>
        <v>7.9854069159491559E-2</v>
      </c>
      <c r="BV129" s="38"/>
      <c r="BW129" s="6">
        <f t="shared" si="70"/>
        <v>1.989675347273538</v>
      </c>
      <c r="BX129" s="9">
        <f t="shared" ca="1" si="71"/>
        <v>40.114583093938023</v>
      </c>
      <c r="BY129" s="9">
        <f t="shared" ca="1" si="72"/>
        <v>-19.636690065788041</v>
      </c>
      <c r="BZ129">
        <f t="shared" ca="1" si="73"/>
        <v>44.662953032018351</v>
      </c>
      <c r="CA129" s="6">
        <f t="shared" ca="1" si="74"/>
        <v>0.89816235539061529</v>
      </c>
      <c r="CB129" s="6">
        <f t="shared" ca="1" si="75"/>
        <v>-0.43966394366513845</v>
      </c>
      <c r="CC129" s="6">
        <f t="shared" ca="1" si="76"/>
        <v>-0.45522447921829867</v>
      </c>
      <c r="CD129" s="6">
        <f t="shared" ca="1" si="77"/>
        <v>-66.102571764773714</v>
      </c>
      <c r="CE129" s="9">
        <f t="shared" ca="1" si="78"/>
        <v>32.299352956066599</v>
      </c>
      <c r="CF129">
        <f t="shared" ca="1" si="79"/>
        <v>73.571721437639525</v>
      </c>
      <c r="CG129" s="6">
        <f t="shared" ca="1" si="80"/>
        <v>-0.89847798139130441</v>
      </c>
      <c r="CH129" s="6">
        <f t="shared" ca="1" si="81"/>
        <v>0.43901858383786774</v>
      </c>
      <c r="CI129" s="6">
        <f t="shared" ca="1" si="82"/>
        <v>2.6870865817080127</v>
      </c>
      <c r="CJ129" s="1">
        <f t="shared" ca="1" si="83"/>
        <v>0.20952740875491616</v>
      </c>
      <c r="CK129" s="38"/>
    </row>
    <row r="130" spans="1:89" x14ac:dyDescent="0.25">
      <c r="A130" s="8" t="s">
        <v>133</v>
      </c>
      <c r="B130" s="1">
        <f>U10</f>
        <v>850</v>
      </c>
      <c r="BC130">
        <v>2.2340214425527414</v>
      </c>
      <c r="BD130">
        <v>-120.8280208691058</v>
      </c>
      <c r="BE130">
        <v>40.307560578915179</v>
      </c>
      <c r="BF130" s="6">
        <f t="shared" ref="BF130:BF155" si="100">IF(BC130&lt;&gt;"",IF(AND(BD130=0,BE130=0),0,MOD(ATAN2(BD130,BE130),2*PI())),NA())</f>
        <v>2.8196070871907954</v>
      </c>
      <c r="BG130" s="6">
        <f t="shared" ref="BG130:BG155" si="101">ABS(BC130-BF130)</f>
        <v>0.58558564463805407</v>
      </c>
      <c r="BH130" s="6">
        <f t="shared" si="68"/>
        <v>7.7006903272133442E-2</v>
      </c>
      <c r="BI130" s="6">
        <f t="shared" si="69"/>
        <v>7.7006903272133442E-2</v>
      </c>
      <c r="BV130" s="38"/>
      <c r="BW130" s="6">
        <f t="shared" si="70"/>
        <v>2.0071286397934811</v>
      </c>
      <c r="BX130" s="9">
        <f t="shared" ca="1" si="71"/>
        <v>40.766736175515831</v>
      </c>
      <c r="BY130" s="9">
        <f t="shared" ca="1" si="72"/>
        <v>-19.341723214457712</v>
      </c>
      <c r="BZ130">
        <f t="shared" ca="1" si="73"/>
        <v>45.122378431425837</v>
      </c>
      <c r="CA130" s="6">
        <f t="shared" ca="1" si="74"/>
        <v>0.90347046393998409</v>
      </c>
      <c r="CB130" s="6">
        <f t="shared" ca="1" si="75"/>
        <v>-0.42865034793881823</v>
      </c>
      <c r="CC130" s="6">
        <f t="shared" ca="1" si="76"/>
        <v>-0.44299839361670762</v>
      </c>
      <c r="CD130" s="6">
        <f t="shared" ca="1" si="77"/>
        <v>-66.754724846351522</v>
      </c>
      <c r="CE130" s="9">
        <f t="shared" ca="1" si="78"/>
        <v>32.00438610473627</v>
      </c>
      <c r="CF130">
        <f t="shared" ca="1" si="79"/>
        <v>74.030223687715122</v>
      </c>
      <c r="CG130" s="6">
        <f t="shared" ca="1" si="80"/>
        <v>-0.90172258735764266</v>
      </c>
      <c r="CH130" s="6">
        <f t="shared" ca="1" si="81"/>
        <v>0.43231513442052732</v>
      </c>
      <c r="CI130" s="6">
        <f t="shared" ca="1" si="82"/>
        <v>2.694533994568959</v>
      </c>
      <c r="CJ130" s="1">
        <f t="shared" ca="1" si="83"/>
        <v>0.20207999589396985</v>
      </c>
      <c r="CK130" s="38"/>
    </row>
    <row r="131" spans="1:89" x14ac:dyDescent="0.25">
      <c r="A131" s="8" t="s">
        <v>132</v>
      </c>
      <c r="B131">
        <f ca="1">(U10-B127)/(D127-F127)</f>
        <v>5.561922016228537E-2</v>
      </c>
      <c r="BC131">
        <v>2.2514747350726845</v>
      </c>
      <c r="BD131">
        <v>-121.15032066831611</v>
      </c>
      <c r="BE131">
        <v>40.04201926464966</v>
      </c>
      <c r="BF131" s="6">
        <f t="shared" si="100"/>
        <v>2.8223805836819258</v>
      </c>
      <c r="BG131" s="6">
        <f t="shared" si="101"/>
        <v>0.57090584860924132</v>
      </c>
      <c r="BH131" s="6">
        <f t="shared" ref="BH131:BH155" si="102">ATAN2(COS($U$13-BF131),SIN($U$13-BF131))</f>
        <v>7.4233406781003083E-2</v>
      </c>
      <c r="BI131" s="6">
        <f t="shared" ref="BI131:BI155" si="103">ABS(BH131)</f>
        <v>7.4233406781003083E-2</v>
      </c>
      <c r="BV131" s="38"/>
      <c r="BW131" s="6">
        <f t="shared" si="70"/>
        <v>2.0245819323134242</v>
      </c>
      <c r="BX131" s="9">
        <f t="shared" ca="1" si="71"/>
        <v>41.387717193348649</v>
      </c>
      <c r="BY131" s="9">
        <f t="shared" ca="1" si="72"/>
        <v>-19.046685587889709</v>
      </c>
      <c r="BZ131">
        <f t="shared" ca="1" si="73"/>
        <v>45.560063283105009</v>
      </c>
      <c r="CA131" s="6">
        <f t="shared" ca="1" si="74"/>
        <v>0.90842097685795831</v>
      </c>
      <c r="CB131" s="6">
        <f t="shared" ca="1" si="75"/>
        <v>-0.4180566095691261</v>
      </c>
      <c r="CC131" s="6">
        <f t="shared" ca="1" si="76"/>
        <v>-0.43130495832760929</v>
      </c>
      <c r="CD131" s="6">
        <f t="shared" ca="1" si="77"/>
        <v>-67.37570586418434</v>
      </c>
      <c r="CE131" s="9">
        <f t="shared" ca="1" si="78"/>
        <v>31.709348478168266</v>
      </c>
      <c r="CF131">
        <f t="shared" ca="1" si="79"/>
        <v>74.464545399854529</v>
      </c>
      <c r="CG131" s="6">
        <f t="shared" ca="1" si="80"/>
        <v>-0.90480248690695642</v>
      </c>
      <c r="CH131" s="6">
        <f t="shared" ca="1" si="81"/>
        <v>0.42583149212685872</v>
      </c>
      <c r="CI131" s="6">
        <f t="shared" ca="1" si="82"/>
        <v>2.7017119901003972</v>
      </c>
      <c r="CJ131" s="1">
        <f t="shared" ca="1" si="83"/>
        <v>0.19490200036253172</v>
      </c>
      <c r="CK131" s="38"/>
    </row>
    <row r="132" spans="1:89" x14ac:dyDescent="0.25">
      <c r="A132" s="8" t="s">
        <v>77</v>
      </c>
      <c r="B132">
        <f ca="1">(B125+(B131*(D125-F125)))/12</f>
        <v>-73.987988670835691</v>
      </c>
      <c r="BC132">
        <v>2.2689280275926276</v>
      </c>
      <c r="BD132">
        <v>-121.45730914382126</v>
      </c>
      <c r="BE132">
        <v>39.779539667943958</v>
      </c>
      <c r="BF132" s="6">
        <f t="shared" si="100"/>
        <v>2.8250843682537576</v>
      </c>
      <c r="BG132" s="6">
        <f t="shared" si="101"/>
        <v>0.55615634066113007</v>
      </c>
      <c r="BH132" s="6">
        <f t="shared" si="102"/>
        <v>7.1529622209171251E-2</v>
      </c>
      <c r="BI132" s="6">
        <f t="shared" si="103"/>
        <v>7.1529622209171251E-2</v>
      </c>
      <c r="BV132" s="38"/>
      <c r="BW132" s="6">
        <f t="shared" si="70"/>
        <v>2.0420352248333673</v>
      </c>
      <c r="BX132" s="9">
        <f t="shared" ca="1" si="71"/>
        <v>41.978724756139229</v>
      </c>
      <c r="BY132" s="9">
        <f t="shared" ca="1" si="72"/>
        <v>-18.752132071402908</v>
      </c>
      <c r="BZ132">
        <f t="shared" ca="1" si="73"/>
        <v>45.976687455438046</v>
      </c>
      <c r="CA132" s="6">
        <f t="shared" ca="1" si="74"/>
        <v>0.91304369843578315</v>
      </c>
      <c r="CB132" s="6">
        <f t="shared" ca="1" si="75"/>
        <v>-0.40786174709907114</v>
      </c>
      <c r="CC132" s="6">
        <f t="shared" ca="1" si="76"/>
        <v>-0.42011093831548463</v>
      </c>
      <c r="CD132" s="6">
        <f t="shared" ca="1" si="77"/>
        <v>-67.96671342697492</v>
      </c>
      <c r="CE132" s="9">
        <f t="shared" ca="1" si="78"/>
        <v>31.414794961681466</v>
      </c>
      <c r="CF132">
        <f t="shared" ca="1" si="79"/>
        <v>74.875653429863434</v>
      </c>
      <c r="CG132" s="6">
        <f t="shared" ca="1" si="80"/>
        <v>-0.90772781690165594</v>
      </c>
      <c r="CH132" s="6">
        <f t="shared" ca="1" si="81"/>
        <v>0.41955954335821499</v>
      </c>
      <c r="CI132" s="6">
        <f t="shared" ca="1" si="82"/>
        <v>2.7086326178245055</v>
      </c>
      <c r="CJ132" s="1">
        <f t="shared" ca="1" si="83"/>
        <v>0.18798137263842341</v>
      </c>
      <c r="CK132" s="38"/>
    </row>
    <row r="133" spans="1:89" x14ac:dyDescent="0.25">
      <c r="A133" s="8" t="s">
        <v>125</v>
      </c>
      <c r="B133">
        <f ca="1">(B126+(B131*(D126-F126)))/12</f>
        <v>24.662662890278558</v>
      </c>
      <c r="BC133">
        <v>2.2863813201125707</v>
      </c>
      <c r="BD133">
        <v>-121.74999669733926</v>
      </c>
      <c r="BE133">
        <v>39.520071839444562</v>
      </c>
      <c r="BF133" s="6">
        <f t="shared" si="100"/>
        <v>2.8277224131070189</v>
      </c>
      <c r="BG133" s="6">
        <f t="shared" si="101"/>
        <v>0.54134109299444821</v>
      </c>
      <c r="BH133" s="6">
        <f t="shared" si="102"/>
        <v>6.8891577355910005E-2</v>
      </c>
      <c r="BI133" s="6">
        <f t="shared" si="103"/>
        <v>6.8891577355910005E-2</v>
      </c>
      <c r="BV133" s="38"/>
      <c r="BW133" s="6">
        <f t="shared" si="70"/>
        <v>2.0594885173533104</v>
      </c>
      <c r="BX133" s="9">
        <f t="shared" ca="1" si="71"/>
        <v>42.540963360446199</v>
      </c>
      <c r="BY133" s="9">
        <f t="shared" ca="1" si="72"/>
        <v>-18.458553816244528</v>
      </c>
      <c r="BZ133">
        <f t="shared" ca="1" si="73"/>
        <v>46.372963811061524</v>
      </c>
      <c r="CA133" s="6">
        <f t="shared" ca="1" si="74"/>
        <v>0.91736563429009765</v>
      </c>
      <c r="CB133" s="6">
        <f t="shared" ca="1" si="75"/>
        <v>-0.39804559163935815</v>
      </c>
      <c r="CC133" s="6">
        <f t="shared" ca="1" si="76"/>
        <v>-0.40938540148373864</v>
      </c>
      <c r="CD133" s="6">
        <f t="shared" ca="1" si="77"/>
        <v>-68.528952031281889</v>
      </c>
      <c r="CE133" s="9">
        <f t="shared" ca="1" si="78"/>
        <v>31.121216706523086</v>
      </c>
      <c r="CF133">
        <f t="shared" ca="1" si="79"/>
        <v>75.264516179937715</v>
      </c>
      <c r="CG133" s="6">
        <f t="shared" ca="1" si="80"/>
        <v>-0.91050810540583482</v>
      </c>
      <c r="CH133" s="6">
        <f t="shared" ca="1" si="81"/>
        <v>0.41349122117679493</v>
      </c>
      <c r="CI133" s="6">
        <f t="shared" ca="1" si="82"/>
        <v>2.7153075488122043</v>
      </c>
      <c r="CJ133" s="1">
        <f t="shared" ca="1" si="83"/>
        <v>0.18130644165072463</v>
      </c>
      <c r="CK133" s="38"/>
    </row>
    <row r="134" spans="1:89" x14ac:dyDescent="0.25">
      <c r="BC134">
        <v>2.3038346126325138</v>
      </c>
      <c r="BD134">
        <v>-122.02935748524308</v>
      </c>
      <c r="BE134">
        <v>39.263546417759486</v>
      </c>
      <c r="BF134" s="6">
        <f t="shared" si="100"/>
        <v>2.8302986104004031</v>
      </c>
      <c r="BG134" s="6">
        <f t="shared" si="101"/>
        <v>0.52646399776788932</v>
      </c>
      <c r="BH134" s="6">
        <f t="shared" si="102"/>
        <v>6.6315380062525797E-2</v>
      </c>
      <c r="BI134" s="6">
        <f t="shared" si="103"/>
        <v>6.6315380062525797E-2</v>
      </c>
      <c r="BV134" s="38"/>
      <c r="BW134" s="6">
        <f t="shared" si="70"/>
        <v>2.0769418098732535</v>
      </c>
      <c r="BX134" s="9">
        <f t="shared" ca="1" si="71"/>
        <v>43.075636974249619</v>
      </c>
      <c r="BY134" s="9">
        <f t="shared" ca="1" si="72"/>
        <v>-18.166380296707477</v>
      </c>
      <c r="BZ134">
        <f t="shared" ca="1" si="73"/>
        <v>46.749629665078018</v>
      </c>
      <c r="CA134" s="6">
        <f t="shared" ca="1" si="74"/>
        <v>0.92141129850333614</v>
      </c>
      <c r="CB134" s="6">
        <f t="shared" ca="1" si="75"/>
        <v>-0.38858875304156187</v>
      </c>
      <c r="CC134" s="6">
        <f t="shared" ca="1" si="76"/>
        <v>-0.39909948256546263</v>
      </c>
      <c r="CD134" s="6">
        <f t="shared" ca="1" si="77"/>
        <v>-69.06362564508531</v>
      </c>
      <c r="CE134" s="9">
        <f t="shared" ca="1" si="78"/>
        <v>30.829043186986034</v>
      </c>
      <c r="CF134">
        <f t="shared" ca="1" si="79"/>
        <v>75.632098285513251</v>
      </c>
      <c r="CG134" s="6">
        <f t="shared" ca="1" si="80"/>
        <v>-0.91315231509733108</v>
      </c>
      <c r="CH134" s="6">
        <f t="shared" ca="1" si="81"/>
        <v>0.40761850967833191</v>
      </c>
      <c r="CI134" s="6">
        <f t="shared" ca="1" si="82"/>
        <v>2.7217481022530317</v>
      </c>
      <c r="CJ134" s="1">
        <f t="shared" ca="1" si="83"/>
        <v>0.17486588820989724</v>
      </c>
      <c r="CK134" s="38"/>
    </row>
    <row r="135" spans="1:89" x14ac:dyDescent="0.25">
      <c r="A135" s="8"/>
      <c r="BC135">
        <v>2.3212879051524569</v>
      </c>
      <c r="BD135">
        <v>-122.29628900545578</v>
      </c>
      <c r="BE135">
        <v>39.009886306223294</v>
      </c>
      <c r="BF135" s="6">
        <f t="shared" si="100"/>
        <v>2.8328166021108929</v>
      </c>
      <c r="BG135" s="6">
        <f t="shared" si="101"/>
        <v>0.51152869695843606</v>
      </c>
      <c r="BH135" s="6">
        <f t="shared" si="102"/>
        <v>6.3797388352035966E-2</v>
      </c>
      <c r="BI135" s="6">
        <f t="shared" si="103"/>
        <v>6.3797388352035966E-2</v>
      </c>
      <c r="BV135" s="38"/>
      <c r="BW135" s="6">
        <f t="shared" si="70"/>
        <v>2.0943951023931966</v>
      </c>
      <c r="BX135" s="9">
        <f t="shared" ca="1" si="71"/>
        <v>43.58394338208781</v>
      </c>
      <c r="BY135" s="9">
        <f t="shared" ca="1" si="72"/>
        <v>-17.87598243519739</v>
      </c>
      <c r="BZ135">
        <f t="shared" ca="1" si="73"/>
        <v>47.107439632785407</v>
      </c>
      <c r="CA135" s="6">
        <f t="shared" ca="1" si="74"/>
        <v>0.92520297689358288</v>
      </c>
      <c r="CB135" s="6">
        <f t="shared" ca="1" si="75"/>
        <v>-0.37947259656957083</v>
      </c>
      <c r="CC135" s="6">
        <f t="shared" ca="1" si="76"/>
        <v>-0.38922618900514877</v>
      </c>
      <c r="CD135" s="6">
        <f t="shared" ca="1" si="77"/>
        <v>-69.571932052923501</v>
      </c>
      <c r="CE135" s="9">
        <f t="shared" ca="1" si="78"/>
        <v>30.538645325475947</v>
      </c>
      <c r="CF135">
        <f t="shared" ca="1" si="79"/>
        <v>75.979356327174941</v>
      </c>
      <c r="CG135" s="6">
        <f t="shared" ca="1" si="80"/>
        <v>-0.91566887923266405</v>
      </c>
      <c r="CH135" s="6">
        <f t="shared" ca="1" si="81"/>
        <v>0.40193345668754277</v>
      </c>
      <c r="CI135" s="6">
        <f t="shared" ca="1" si="82"/>
        <v>2.7279652597273123</v>
      </c>
      <c r="CJ135" s="1">
        <f t="shared" ca="1" si="83"/>
        <v>0.16864873073561659</v>
      </c>
      <c r="CK135" s="38"/>
    </row>
    <row r="136" spans="1:89" x14ac:dyDescent="0.25">
      <c r="A136" s="51" t="s">
        <v>159</v>
      </c>
      <c r="BC136">
        <v>2.3387411976724</v>
      </c>
      <c r="BD136">
        <v>-122.55161190766442</v>
      </c>
      <c r="BE136">
        <v>38.759009709136862</v>
      </c>
      <c r="BF136" s="6">
        <f t="shared" si="100"/>
        <v>2.83527977285092</v>
      </c>
      <c r="BG136" s="6">
        <f t="shared" si="101"/>
        <v>0.49653857517852007</v>
      </c>
      <c r="BH136" s="6">
        <f t="shared" si="102"/>
        <v>6.1334217612008857E-2</v>
      </c>
      <c r="BI136" s="6">
        <f t="shared" si="103"/>
        <v>6.1334217612008857E-2</v>
      </c>
      <c r="BV136" s="38"/>
      <c r="BW136" s="6">
        <f t="shared" si="70"/>
        <v>2.1118483949131397</v>
      </c>
      <c r="BX136" s="9">
        <f t="shared" ca="1" si="71"/>
        <v>44.067069492426228</v>
      </c>
      <c r="BY136" s="9">
        <f t="shared" ca="1" si="72"/>
        <v>-17.587676302171555</v>
      </c>
      <c r="BZ136">
        <f t="shared" ca="1" si="73"/>
        <v>47.44715978180664</v>
      </c>
      <c r="CA136" s="6">
        <f t="shared" ca="1" si="74"/>
        <v>0.92876095629486999</v>
      </c>
      <c r="CB136" s="6">
        <f t="shared" ca="1" si="75"/>
        <v>-0.37067922259311831</v>
      </c>
      <c r="CC136" s="6">
        <f t="shared" ca="1" si="76"/>
        <v>-0.37974023528095707</v>
      </c>
      <c r="CD136" s="6">
        <f t="shared" ca="1" si="77"/>
        <v>-70.055058163261918</v>
      </c>
      <c r="CE136" s="9">
        <f t="shared" ca="1" si="78"/>
        <v>30.250339192450113</v>
      </c>
      <c r="CF136">
        <f t="shared" ca="1" si="79"/>
        <v>76.307235538422518</v>
      </c>
      <c r="CG136" s="6">
        <f t="shared" ca="1" si="80"/>
        <v>-0.91806573346491527</v>
      </c>
      <c r="CH136" s="6">
        <f t="shared" ca="1" si="81"/>
        <v>0.3964281890046763</v>
      </c>
      <c r="CI136" s="6">
        <f t="shared" ca="1" si="82"/>
        <v>2.7339696740025539</v>
      </c>
      <c r="CJ136" s="1">
        <f t="shared" ca="1" si="83"/>
        <v>0.16264431646037503</v>
      </c>
      <c r="CK136" s="38"/>
    </row>
    <row r="137" spans="1:89" x14ac:dyDescent="0.25">
      <c r="A137" t="s">
        <v>160</v>
      </c>
      <c r="BC137">
        <v>2.3561944901923431</v>
      </c>
      <c r="BD137">
        <v>-122.79607791412785</v>
      </c>
      <c r="BE137">
        <v>38.510831028854376</v>
      </c>
      <c r="BF137" s="6">
        <f t="shared" si="100"/>
        <v>2.8376912762100912</v>
      </c>
      <c r="BG137" s="6">
        <f t="shared" si="101"/>
        <v>0.48149678601774815</v>
      </c>
      <c r="BH137" s="6">
        <f t="shared" si="102"/>
        <v>5.8922714252837682E-2</v>
      </c>
      <c r="BI137" s="6">
        <f t="shared" si="103"/>
        <v>5.8922714252837682E-2</v>
      </c>
      <c r="BV137" s="38"/>
      <c r="BW137" s="6">
        <f t="shared" si="70"/>
        <v>2.1293016874330828</v>
      </c>
      <c r="BX137" s="9">
        <f t="shared" ca="1" si="71"/>
        <v>44.526187623760237</v>
      </c>
      <c r="BY137" s="9">
        <f t="shared" ca="1" si="72"/>
        <v>-17.301727033345347</v>
      </c>
      <c r="BZ137">
        <f t="shared" ca="1" si="73"/>
        <v>47.769562931250405</v>
      </c>
      <c r="CA137" s="6">
        <f t="shared" ca="1" si="74"/>
        <v>0.93210372654742502</v>
      </c>
      <c r="CB137" s="6">
        <f t="shared" ca="1" si="75"/>
        <v>-0.36219144517285751</v>
      </c>
      <c r="CC137" s="6">
        <f t="shared" ca="1" si="76"/>
        <v>-0.37061789700694436</v>
      </c>
      <c r="CD137" s="6">
        <f t="shared" ca="1" si="77"/>
        <v>-70.514176294595927</v>
      </c>
      <c r="CE137" s="9">
        <f t="shared" ca="1" si="78"/>
        <v>29.964389923623905</v>
      </c>
      <c r="CF137">
        <f t="shared" ca="1" si="79"/>
        <v>76.616667390329155</v>
      </c>
      <c r="CG137" s="6">
        <f t="shared" ca="1" si="80"/>
        <v>-0.92035034538054694</v>
      </c>
      <c r="CH137" s="6">
        <f t="shared" ca="1" si="81"/>
        <v>0.39109492678620633</v>
      </c>
      <c r="CI137" s="6">
        <f t="shared" ca="1" si="82"/>
        <v>2.7397716764095104</v>
      </c>
      <c r="CJ137" s="1">
        <f t="shared" ca="1" si="83"/>
        <v>0.15684231405341853</v>
      </c>
      <c r="CK137" s="38"/>
    </row>
    <row r="138" spans="1:89" ht="18" x14ac:dyDescent="0.35">
      <c r="A138" t="s">
        <v>161</v>
      </c>
      <c r="B138" t="s">
        <v>162</v>
      </c>
      <c r="BC138">
        <v>2.3736477827122862</v>
      </c>
      <c r="BD138">
        <v>-123.03037678447224</v>
      </c>
      <c r="BE138">
        <v>38.265261632624437</v>
      </c>
      <c r="BF138" s="6">
        <f t="shared" si="100"/>
        <v>2.8400540577563089</v>
      </c>
      <c r="BG138" s="6">
        <f t="shared" si="101"/>
        <v>0.46640627504402277</v>
      </c>
      <c r="BH138" s="6">
        <f t="shared" si="102"/>
        <v>5.6559932706619964E-2</v>
      </c>
      <c r="BI138" s="6">
        <f t="shared" si="103"/>
        <v>5.6559932706619964E-2</v>
      </c>
      <c r="BV138" s="38"/>
      <c r="BW138" s="6">
        <f t="shared" si="70"/>
        <v>2.1467549799530259</v>
      </c>
      <c r="BX138" s="9">
        <f t="shared" ca="1" si="71"/>
        <v>44.962452765312449</v>
      </c>
      <c r="BY138" s="9">
        <f t="shared" ca="1" si="72"/>
        <v>-17.018352742635027</v>
      </c>
      <c r="BZ138">
        <f t="shared" ca="1" si="73"/>
        <v>48.075424998076784</v>
      </c>
      <c r="CA138" s="6">
        <f t="shared" ca="1" si="74"/>
        <v>0.93524815988857368</v>
      </c>
      <c r="CB138" s="6">
        <f t="shared" ca="1" si="75"/>
        <v>-0.35399276747560382</v>
      </c>
      <c r="CC138" s="6">
        <f t="shared" ca="1" si="76"/>
        <v>-0.36183687927167002</v>
      </c>
      <c r="CD138" s="6">
        <f t="shared" ca="1" si="77"/>
        <v>-70.950441436148139</v>
      </c>
      <c r="CE138" s="9">
        <f t="shared" ca="1" si="78"/>
        <v>29.681015632913585</v>
      </c>
      <c r="CF138">
        <f t="shared" ca="1" si="79"/>
        <v>76.908567981633539</v>
      </c>
      <c r="CG138" s="6">
        <f t="shared" ca="1" si="80"/>
        <v>-0.9225297427601532</v>
      </c>
      <c r="CH138" s="6">
        <f t="shared" ca="1" si="81"/>
        <v>0.38592599513752068</v>
      </c>
      <c r="CI138" s="6">
        <f t="shared" ca="1" si="82"/>
        <v>2.7453812851164523</v>
      </c>
      <c r="CJ138" s="1">
        <f t="shared" ca="1" si="83"/>
        <v>0.15123270534647659</v>
      </c>
      <c r="CK138" s="38"/>
    </row>
    <row r="139" spans="1:89" ht="18" x14ac:dyDescent="0.35">
      <c r="A139" t="s">
        <v>163</v>
      </c>
      <c r="B139" t="s">
        <v>164</v>
      </c>
      <c r="BC139">
        <v>2.3911010752322293</v>
      </c>
      <c r="BD139">
        <v>-123.25514245715283</v>
      </c>
      <c r="BE139">
        <v>38.0222105117751</v>
      </c>
      <c r="BF139" s="6">
        <f t="shared" si="100"/>
        <v>2.8423708751683958</v>
      </c>
      <c r="BG139" s="6">
        <f t="shared" si="101"/>
        <v>0.45126979993616656</v>
      </c>
      <c r="BH139" s="6">
        <f t="shared" si="102"/>
        <v>5.4243115294533073E-2</v>
      </c>
      <c r="BI139" s="6">
        <f t="shared" si="103"/>
        <v>5.4243115294533073E-2</v>
      </c>
      <c r="BV139" s="38"/>
      <c r="BW139" s="6">
        <f t="shared" si="70"/>
        <v>2.164208272472969</v>
      </c>
      <c r="BX139" s="9">
        <f t="shared" ca="1" si="71"/>
        <v>45.377000754797805</v>
      </c>
      <c r="BY139" s="9">
        <f t="shared" ca="1" si="72"/>
        <v>-16.737728278437391</v>
      </c>
      <c r="BZ139">
        <f t="shared" ca="1" si="73"/>
        <v>48.36552228006768</v>
      </c>
      <c r="CA139" s="6">
        <f t="shared" ca="1" si="74"/>
        <v>0.93820967117930831</v>
      </c>
      <c r="CB139" s="6">
        <f t="shared" ca="1" si="75"/>
        <v>-0.34606735313463816</v>
      </c>
      <c r="CC139" s="6">
        <f t="shared" ca="1" si="76"/>
        <v>-0.3533761955751466</v>
      </c>
      <c r="CD139" s="6">
        <f t="shared" ca="1" si="77"/>
        <v>-71.364989425633496</v>
      </c>
      <c r="CE139" s="9">
        <f t="shared" ca="1" si="78"/>
        <v>29.400391168715949</v>
      </c>
      <c r="CF139">
        <f t="shared" ca="1" si="79"/>
        <v>77.183837146090966</v>
      </c>
      <c r="CG139" s="6">
        <f t="shared" ca="1" si="80"/>
        <v>-0.92461054107165275</v>
      </c>
      <c r="CH139" s="6">
        <f t="shared" ca="1" si="81"/>
        <v>0.38091383190845873</v>
      </c>
      <c r="CI139" s="6">
        <f t="shared" ca="1" si="82"/>
        <v>2.7508082155684446</v>
      </c>
      <c r="CJ139" s="1">
        <f t="shared" ca="1" si="83"/>
        <v>0.14580577489448432</v>
      </c>
      <c r="CK139" s="38"/>
    </row>
    <row r="140" spans="1:89" ht="18" x14ac:dyDescent="0.35">
      <c r="A140" t="s">
        <v>165</v>
      </c>
      <c r="BC140">
        <v>2.4085543677521724</v>
      </c>
      <c r="BD140">
        <v>-123.47095846411723</v>
      </c>
      <c r="BE140">
        <v>37.781584841882498</v>
      </c>
      <c r="BF140" s="6">
        <f t="shared" si="100"/>
        <v>2.8446443159344961</v>
      </c>
      <c r="BG140" s="6">
        <f t="shared" si="101"/>
        <v>0.43608994818232372</v>
      </c>
      <c r="BH140" s="6">
        <f t="shared" si="102"/>
        <v>5.1969674528432819E-2</v>
      </c>
      <c r="BI140" s="6">
        <f t="shared" si="103"/>
        <v>5.1969674528432819E-2</v>
      </c>
      <c r="BV140" s="38"/>
      <c r="BW140" s="6">
        <f t="shared" si="70"/>
        <v>2.1816615649929121</v>
      </c>
      <c r="BX140" s="9">
        <f t="shared" ca="1" si="71"/>
        <v>45.770947275210787</v>
      </c>
      <c r="BY140" s="9">
        <f t="shared" ca="1" si="72"/>
        <v>-16.459988715450304</v>
      </c>
      <c r="BZ140">
        <f t="shared" ca="1" si="73"/>
        <v>48.640629549614971</v>
      </c>
      <c r="CA140" s="6">
        <f t="shared" ca="1" si="74"/>
        <v>0.9410023615858627</v>
      </c>
      <c r="CB140" s="6">
        <f t="shared" ca="1" si="75"/>
        <v>-0.33839999333603604</v>
      </c>
      <c r="CC140" s="6">
        <f t="shared" ca="1" si="76"/>
        <v>-0.34521605492176866</v>
      </c>
      <c r="CD140" s="6">
        <f t="shared" ca="1" si="77"/>
        <v>-71.758935946046478</v>
      </c>
      <c r="CE140" s="9">
        <f t="shared" ca="1" si="78"/>
        <v>29.122651605728862</v>
      </c>
      <c r="CF140">
        <f t="shared" ca="1" si="79"/>
        <v>77.443358170068166</v>
      </c>
      <c r="CG140" s="6">
        <f t="shared" ca="1" si="80"/>
        <v>-0.9265989704173403</v>
      </c>
      <c r="CH140" s="6">
        <f t="shared" ca="1" si="81"/>
        <v>0.37605099125188451</v>
      </c>
      <c r="CI140" s="6">
        <f t="shared" ca="1" si="82"/>
        <v>2.7560618937084893</v>
      </c>
      <c r="CJ140" s="1">
        <f t="shared" ca="1" si="83"/>
        <v>0.14055209675443961</v>
      </c>
      <c r="CK140" s="38"/>
    </row>
    <row r="141" spans="1:89" ht="18.75" x14ac:dyDescent="0.35">
      <c r="A141" t="s">
        <v>166</v>
      </c>
      <c r="B141" t="s">
        <v>167</v>
      </c>
      <c r="BC141">
        <v>2.4260076602721155</v>
      </c>
      <c r="BD141">
        <v>-123.6783627380444</v>
      </c>
      <c r="BE141">
        <v>37.543290461223819</v>
      </c>
      <c r="BF141" s="6">
        <f t="shared" si="100"/>
        <v>2.8468768129916477</v>
      </c>
      <c r="BG141" s="6">
        <f t="shared" si="101"/>
        <v>0.42086915271953229</v>
      </c>
      <c r="BH141" s="6">
        <f t="shared" si="102"/>
        <v>4.9737177471281147E-2</v>
      </c>
      <c r="BI141" s="6">
        <f t="shared" si="103"/>
        <v>4.9737177471281147E-2</v>
      </c>
      <c r="BV141" s="38"/>
      <c r="BW141" s="6">
        <f t="shared" si="70"/>
        <v>2.1991148575128552</v>
      </c>
      <c r="BX141" s="9">
        <f t="shared" ca="1" si="71"/>
        <v>46.145387617625573</v>
      </c>
      <c r="BY141" s="9">
        <f t="shared" ca="1" si="72"/>
        <v>-16.185232529586909</v>
      </c>
      <c r="BZ141">
        <f t="shared" ca="1" si="73"/>
        <v>48.90151889683704</v>
      </c>
      <c r="CA141" s="6">
        <f t="shared" ca="1" si="74"/>
        <v>0.94363914779363356</v>
      </c>
      <c r="CB141" s="6">
        <f t="shared" ca="1" si="75"/>
        <v>-0.33097606975626626</v>
      </c>
      <c r="CC141" s="6">
        <f t="shared" ca="1" si="76"/>
        <v>-0.33733775536822436</v>
      </c>
      <c r="CD141" s="6">
        <f t="shared" ca="1" si="77"/>
        <v>-72.133376288461264</v>
      </c>
      <c r="CE141" s="9">
        <f t="shared" ca="1" si="78"/>
        <v>28.847895419865466</v>
      </c>
      <c r="CF141">
        <f t="shared" ca="1" si="79"/>
        <v>77.687998075174008</v>
      </c>
      <c r="CG141" s="6">
        <f t="shared" ca="1" si="80"/>
        <v>-0.92850090201400393</v>
      </c>
      <c r="CH141" s="6">
        <f t="shared" ca="1" si="81"/>
        <v>0.37133014280984677</v>
      </c>
      <c r="CI141" s="6">
        <f t="shared" ca="1" si="82"/>
        <v>2.7611514722498134</v>
      </c>
      <c r="CJ141" s="1">
        <f t="shared" ca="1" si="83"/>
        <v>0.1354625182131155</v>
      </c>
      <c r="CK141" s="38"/>
    </row>
    <row r="142" spans="1:89" x14ac:dyDescent="0.25">
      <c r="BC142">
        <v>2.4434609527920585</v>
      </c>
      <c r="BD142">
        <v>-123.8778518693356</v>
      </c>
      <c r="BE142">
        <v>37.307232272117702</v>
      </c>
      <c r="BF142" s="6">
        <f t="shared" si="100"/>
        <v>2.8490706585940888</v>
      </c>
      <c r="BG142" s="6">
        <f t="shared" si="101"/>
        <v>0.40560970580203026</v>
      </c>
      <c r="BH142" s="6">
        <f t="shared" si="102"/>
        <v>4.7543331868840084E-2</v>
      </c>
      <c r="BI142" s="6">
        <f t="shared" si="103"/>
        <v>4.7543331868840084E-2</v>
      </c>
      <c r="BV142" s="38"/>
      <c r="BW142" s="6">
        <f t="shared" si="70"/>
        <v>2.2165681500327983</v>
      </c>
      <c r="BX142" s="9">
        <f t="shared" ca="1" si="71"/>
        <v>46.501397115948691</v>
      </c>
      <c r="BY142" s="9">
        <f t="shared" ca="1" si="72"/>
        <v>-15.913524409910661</v>
      </c>
      <c r="BZ142">
        <f t="shared" ca="1" si="73"/>
        <v>49.148959224789124</v>
      </c>
      <c r="CA142" s="6">
        <f t="shared" ca="1" si="74"/>
        <v>0.94613187846498514</v>
      </c>
      <c r="CB142" s="6">
        <f t="shared" ca="1" si="75"/>
        <v>-0.32378151360495955</v>
      </c>
      <c r="CC142" s="6">
        <f t="shared" ca="1" si="76"/>
        <v>-0.32972358275976493</v>
      </c>
      <c r="CD142" s="6">
        <f t="shared" ca="1" si="77"/>
        <v>-72.489385786784382</v>
      </c>
      <c r="CE142" s="9">
        <f t="shared" ca="1" si="78"/>
        <v>28.576187300189218</v>
      </c>
      <c r="CF142">
        <f t="shared" ca="1" si="79"/>
        <v>77.918608383111888</v>
      </c>
      <c r="CG142" s="6">
        <f t="shared" ca="1" si="80"/>
        <v>-0.93032187420964985</v>
      </c>
      <c r="CH142" s="6">
        <f t="shared" ca="1" si="81"/>
        <v>0.3667440665737407</v>
      </c>
      <c r="CI142" s="6">
        <f t="shared" ca="1" si="82"/>
        <v>2.7660858500609549</v>
      </c>
      <c r="CJ142" s="1">
        <f t="shared" ca="1" si="83"/>
        <v>0.130528140401974</v>
      </c>
      <c r="CK142" s="38"/>
    </row>
    <row r="143" spans="1:89" x14ac:dyDescent="0.25">
      <c r="A143" t="s">
        <v>168</v>
      </c>
      <c r="B143" s="3">
        <f>B2*1000</f>
        <v>5000</v>
      </c>
      <c r="C143" t="s">
        <v>169</v>
      </c>
      <c r="BC143">
        <v>2.4609142453120016</v>
      </c>
      <c r="BD143">
        <v>-124.06988489823149</v>
      </c>
      <c r="BE143">
        <v>37.073314578282485</v>
      </c>
      <c r="BF143" s="6">
        <f t="shared" si="100"/>
        <v>2.8512280166681045</v>
      </c>
      <c r="BG143" s="6">
        <f t="shared" si="101"/>
        <v>0.3903137713561029</v>
      </c>
      <c r="BH143" s="6">
        <f t="shared" si="102"/>
        <v>4.5385973794824341E-2</v>
      </c>
      <c r="BI143" s="6">
        <f t="shared" si="103"/>
        <v>4.5385973794824341E-2</v>
      </c>
      <c r="BV143" s="38"/>
      <c r="BW143" s="6">
        <f t="shared" ref="BW143:BW206" si="104">BC130</f>
        <v>2.2340214425527414</v>
      </c>
      <c r="BX143" s="9">
        <f t="shared" ca="1" si="71"/>
        <v>46.840032198270109</v>
      </c>
      <c r="BY143" s="9">
        <f t="shared" ca="1" si="72"/>
        <v>-15.644897688636622</v>
      </c>
      <c r="BZ143">
        <f t="shared" ca="1" si="73"/>
        <v>49.38371634479212</v>
      </c>
      <c r="CA143" s="6">
        <f t="shared" ca="1" si="74"/>
        <v>0.94849143938940794</v>
      </c>
      <c r="CB143" s="6">
        <f t="shared" ca="1" si="75"/>
        <v>-0.31680276104385352</v>
      </c>
      <c r="CC143" s="6">
        <f t="shared" ca="1" si="76"/>
        <v>-0.32235671364814655</v>
      </c>
      <c r="CD143" s="6">
        <f t="shared" ca="1" si="77"/>
        <v>-72.828020869105799</v>
      </c>
      <c r="CE143" s="9">
        <f t="shared" ca="1" si="78"/>
        <v>28.307560578915179</v>
      </c>
      <c r="CF143">
        <f t="shared" ca="1" si="79"/>
        <v>78.136026323584332</v>
      </c>
      <c r="CG143" s="6">
        <f t="shared" ca="1" si="80"/>
        <v>-0.93206711802189024</v>
      </c>
      <c r="CH143" s="6">
        <f t="shared" ca="1" si="81"/>
        <v>0.36228564352230075</v>
      </c>
      <c r="CI143" s="6">
        <f t="shared" ca="1" si="82"/>
        <v>2.7708736946553572</v>
      </c>
      <c r="CJ143" s="1">
        <f t="shared" ca="1" si="83"/>
        <v>0.12574029580757173</v>
      </c>
      <c r="CK143" s="38"/>
    </row>
    <row r="144" spans="1:89" x14ac:dyDescent="0.25">
      <c r="A144" t="s">
        <v>2</v>
      </c>
      <c r="B144" s="3">
        <f>B3*1000</f>
        <v>4074280.688047891</v>
      </c>
      <c r="C144" t="s">
        <v>169</v>
      </c>
      <c r="BC144">
        <v>2.4783675378319447</v>
      </c>
      <c r="BD144">
        <v>-124.25488670141458</v>
      </c>
      <c r="BE144">
        <v>36.841441366197344</v>
      </c>
      <c r="BF144" s="6">
        <f t="shared" si="100"/>
        <v>2.8533509338630636</v>
      </c>
      <c r="BG144" s="6">
        <f t="shared" si="101"/>
        <v>0.37498339603111885</v>
      </c>
      <c r="BH144" s="6">
        <f t="shared" si="102"/>
        <v>4.3263056599865291E-2</v>
      </c>
      <c r="BI144" s="6">
        <f t="shared" si="103"/>
        <v>4.3263056599865291E-2</v>
      </c>
      <c r="BV144" s="38"/>
      <c r="BW144" s="6">
        <f t="shared" si="104"/>
        <v>2.2514747350726845</v>
      </c>
      <c r="BX144" s="9">
        <f t="shared" ref="BX144:BX207" ca="1" si="105">$BW$5-BD131</f>
        <v>47.162331997480422</v>
      </c>
      <c r="BY144" s="9">
        <f t="shared" ref="BY144:BY207" ca="1" si="106">$BX$5-BE131</f>
        <v>-15.379356374371103</v>
      </c>
      <c r="BZ144">
        <f t="shared" ref="BZ144:BZ207" ca="1" si="107">SQRT(POWER(BX144,2)+POWER(BY144,2))</f>
        <v>49.606553618755598</v>
      </c>
      <c r="CA144" s="6">
        <f t="shared" ref="CA144:CA207" ca="1" si="108">BX144/BZ144</f>
        <v>0.9507278485810583</v>
      </c>
      <c r="CB144" s="6">
        <f t="shared" ref="CB144:CB207" ca="1" si="109">BY144/BZ144</f>
        <v>-0.31002670519236325</v>
      </c>
      <c r="CC144" s="6">
        <f t="shared" ref="CC144:CC207" ca="1" si="110">ATAN2(CA144,CB144)</f>
        <v>-0.31522112152016141</v>
      </c>
      <c r="CD144" s="6">
        <f t="shared" ref="CD144:CD207" ca="1" si="111">$BW$9-BX144</f>
        <v>-73.150320668316112</v>
      </c>
      <c r="CE144" s="9">
        <f t="shared" ref="CE144:CE207" ca="1" si="112">$BX$9-BY144</f>
        <v>28.04201926464966</v>
      </c>
      <c r="CF144">
        <f t="shared" ref="CF144:CF207" ca="1" si="113">SQRT(POWER(CD144,2)+POWER(CE144,2))</f>
        <v>78.341076443437117</v>
      </c>
      <c r="CG144" s="6">
        <f t="shared" ref="CG144:CG207" ca="1" si="114">CD144/CF144</f>
        <v>-0.93374158218429926</v>
      </c>
      <c r="CH144" s="6">
        <f t="shared" ref="CH144:CH207" ca="1" si="115">CE144/CF144</f>
        <v>0.35794784215016784</v>
      </c>
      <c r="CI144" s="6">
        <f t="shared" ref="CI144:CI207" ca="1" si="116">ATAN2(CG144,CH144)</f>
        <v>2.7755234677604319</v>
      </c>
      <c r="CJ144" s="1">
        <f t="shared" ref="CJ144:CJ207" ca="1" si="117">ATAN2(COS($U$13-CI144),SIN($U$13-CI144))</f>
        <v>0.12109052270249698</v>
      </c>
      <c r="CK144" s="38"/>
    </row>
    <row r="145" spans="1:89" ht="18" x14ac:dyDescent="0.35">
      <c r="A145" t="s">
        <v>161</v>
      </c>
      <c r="B145" s="1">
        <f>(2*0.85*B143)/B144</f>
        <v>2.0862578331765852E-3</v>
      </c>
      <c r="C145" t="s">
        <v>170</v>
      </c>
      <c r="BC145">
        <v>2.4958208303518878</v>
      </c>
      <c r="BD145">
        <v>-124.43325101286604</v>
      </c>
      <c r="BE145">
        <v>36.611516535380645</v>
      </c>
      <c r="BF145" s="6">
        <f t="shared" si="100"/>
        <v>2.8554413494662216</v>
      </c>
      <c r="BG145" s="6">
        <f t="shared" si="101"/>
        <v>0.35962051911433379</v>
      </c>
      <c r="BH145" s="6">
        <f t="shared" si="102"/>
        <v>4.1172640996707255E-2</v>
      </c>
      <c r="BI145" s="6">
        <f t="shared" si="103"/>
        <v>4.1172640996707255E-2</v>
      </c>
      <c r="BV145" s="38"/>
      <c r="BW145" s="6">
        <f t="shared" si="104"/>
        <v>2.2689280275926276</v>
      </c>
      <c r="BX145" s="9">
        <f t="shared" ca="1" si="105"/>
        <v>47.469320472985572</v>
      </c>
      <c r="BY145" s="9">
        <f t="shared" ca="1" si="106"/>
        <v>-15.1168767776654</v>
      </c>
      <c r="BZ145">
        <f t="shared" ca="1" si="107"/>
        <v>49.818233104739136</v>
      </c>
      <c r="CA145" s="6">
        <f t="shared" ca="1" si="108"/>
        <v>0.95285034242753752</v>
      </c>
      <c r="CB145" s="6">
        <f t="shared" ca="1" si="109"/>
        <v>-0.30344064483144734</v>
      </c>
      <c r="CC145" s="6">
        <f t="shared" ca="1" si="110"/>
        <v>-0.30830148552845377</v>
      </c>
      <c r="CD145" s="6">
        <f t="shared" ca="1" si="111"/>
        <v>-73.457309143821263</v>
      </c>
      <c r="CE145" s="9">
        <f t="shared" ca="1" si="112"/>
        <v>27.779539667943958</v>
      </c>
      <c r="CF145">
        <f t="shared" ca="1" si="113"/>
        <v>78.534572583122895</v>
      </c>
      <c r="CG145" s="6">
        <f t="shared" ca="1" si="114"/>
        <v>-0.93534995770266993</v>
      </c>
      <c r="CH145" s="6">
        <f t="shared" ca="1" si="115"/>
        <v>0.35372370096674838</v>
      </c>
      <c r="CI145" s="6">
        <f t="shared" ca="1" si="116"/>
        <v>2.7800434539693208</v>
      </c>
      <c r="CJ145" s="1">
        <f t="shared" ca="1" si="117"/>
        <v>0.11657053649360805</v>
      </c>
      <c r="CK145" s="38"/>
    </row>
    <row r="146" spans="1:89" ht="18" x14ac:dyDescent="0.35">
      <c r="A146" t="s">
        <v>171</v>
      </c>
      <c r="B146" s="1">
        <v>3.0000000000000001E-3</v>
      </c>
      <c r="C146" t="s">
        <v>170</v>
      </c>
      <c r="BC146">
        <v>2.5132741228718309</v>
      </c>
      <c r="BD146">
        <v>-124.60534312793295</v>
      </c>
      <c r="BE146">
        <v>36.383444085222592</v>
      </c>
      <c r="BF146" s="6">
        <f t="shared" si="100"/>
        <v>2.8575011043315932</v>
      </c>
      <c r="BG146" s="6">
        <f t="shared" si="101"/>
        <v>0.34422698145976227</v>
      </c>
      <c r="BH146" s="6">
        <f t="shared" si="102"/>
        <v>3.9112886131335685E-2</v>
      </c>
      <c r="BI146" s="6">
        <f t="shared" si="103"/>
        <v>3.9112886131335685E-2</v>
      </c>
      <c r="BV146" s="38"/>
      <c r="BW146" s="6">
        <f t="shared" si="104"/>
        <v>2.2863813201125707</v>
      </c>
      <c r="BX146" s="9">
        <f t="shared" ca="1" si="105"/>
        <v>47.762008026503565</v>
      </c>
      <c r="BY146" s="9">
        <f t="shared" ca="1" si="106"/>
        <v>-14.857408949166004</v>
      </c>
      <c r="BZ146">
        <f t="shared" ca="1" si="107"/>
        <v>50.019516305203801</v>
      </c>
      <c r="CA146" s="6">
        <f t="shared" ca="1" si="108"/>
        <v>0.95486745083807667</v>
      </c>
      <c r="CB146" s="6">
        <f t="shared" ca="1" si="109"/>
        <v>-0.29703223954647295</v>
      </c>
      <c r="CC146" s="6">
        <f t="shared" ca="1" si="110"/>
        <v>-0.30158311114086478</v>
      </c>
      <c r="CD146" s="6">
        <f t="shared" ca="1" si="111"/>
        <v>-73.749996697339256</v>
      </c>
      <c r="CE146" s="9">
        <f t="shared" ca="1" si="112"/>
        <v>27.520071839444562</v>
      </c>
      <c r="CF146">
        <f t="shared" ca="1" si="113"/>
        <v>78.717319357977004</v>
      </c>
      <c r="CG146" s="6">
        <f t="shared" ca="1" si="114"/>
        <v>-0.93689669946650223</v>
      </c>
      <c r="CH146" s="6">
        <f t="shared" ca="1" si="115"/>
        <v>0.34960631362830763</v>
      </c>
      <c r="CI146" s="6">
        <f t="shared" ca="1" si="116"/>
        <v>2.7844417854444936</v>
      </c>
      <c r="CJ146" s="1">
        <f t="shared" ca="1" si="117"/>
        <v>0.11217220501843526</v>
      </c>
      <c r="CK146" s="38"/>
    </row>
    <row r="147" spans="1:89" ht="18" x14ac:dyDescent="0.35">
      <c r="A147" t="s">
        <v>172</v>
      </c>
      <c r="B147" s="1">
        <f>B146/B145</f>
        <v>1.4379814193110203</v>
      </c>
      <c r="C147" t="s">
        <v>173</v>
      </c>
      <c r="BC147">
        <v>2.530727415391774</v>
      </c>
      <c r="BD147">
        <v>-124.77150233790292</v>
      </c>
      <c r="BE147">
        <v>36.157128265698603</v>
      </c>
      <c r="BF147" s="6">
        <f t="shared" si="100"/>
        <v>2.8595319489558055</v>
      </c>
      <c r="BG147" s="6">
        <f t="shared" si="101"/>
        <v>0.3288045335640315</v>
      </c>
      <c r="BH147" s="6">
        <f t="shared" si="102"/>
        <v>3.708204150712336E-2</v>
      </c>
      <c r="BI147" s="6">
        <f t="shared" si="103"/>
        <v>3.708204150712336E-2</v>
      </c>
      <c r="BV147" s="38"/>
      <c r="BW147" s="6">
        <f t="shared" si="104"/>
        <v>2.3038346126325138</v>
      </c>
      <c r="BX147" s="9">
        <f t="shared" ca="1" si="105"/>
        <v>48.041368814407392</v>
      </c>
      <c r="BY147" s="9">
        <f t="shared" ca="1" si="106"/>
        <v>-14.600883527480928</v>
      </c>
      <c r="BZ147">
        <f t="shared" ca="1" si="107"/>
        <v>50.211143358272366</v>
      </c>
      <c r="CA147" s="6">
        <f t="shared" ca="1" si="108"/>
        <v>0.95678699191566008</v>
      </c>
      <c r="CB147" s="6">
        <f t="shared" ca="1" si="109"/>
        <v>-0.29078970425546802</v>
      </c>
      <c r="CC147" s="6">
        <f t="shared" ca="1" si="110"/>
        <v>-0.29505210536673943</v>
      </c>
      <c r="CD147" s="6">
        <f t="shared" ca="1" si="111"/>
        <v>-74.029357485243082</v>
      </c>
      <c r="CE147" s="9">
        <f t="shared" ca="1" si="112"/>
        <v>27.263546417759486</v>
      </c>
      <c r="CF147">
        <f t="shared" ca="1" si="113"/>
        <v>78.89009274269641</v>
      </c>
      <c r="CG147" s="6">
        <f t="shared" ca="1" si="114"/>
        <v>-0.93838598626944403</v>
      </c>
      <c r="CH147" s="6">
        <f t="shared" ca="1" si="115"/>
        <v>0.34558897663716492</v>
      </c>
      <c r="CI147" s="6">
        <f t="shared" ca="1" si="116"/>
        <v>2.7887262923896885</v>
      </c>
      <c r="CJ147" s="1">
        <f t="shared" ca="1" si="117"/>
        <v>0.10788769807324039</v>
      </c>
      <c r="CK147" s="38"/>
    </row>
    <row r="148" spans="1:89" ht="18" x14ac:dyDescent="0.35">
      <c r="A148" t="s">
        <v>174</v>
      </c>
      <c r="B148" s="6">
        <f>G38</f>
        <v>13.413457258228714</v>
      </c>
      <c r="C148" t="s">
        <v>4</v>
      </c>
      <c r="BC148">
        <v>2.5481807079117171</v>
      </c>
      <c r="BD148">
        <v>-124.93204410916658</v>
      </c>
      <c r="BE148">
        <v>35.932473693287335</v>
      </c>
      <c r="BF148" s="6">
        <f t="shared" si="100"/>
        <v>2.8615355507934348</v>
      </c>
      <c r="BG148" s="6">
        <f t="shared" si="101"/>
        <v>0.31335484288171767</v>
      </c>
      <c r="BH148" s="6">
        <f t="shared" si="102"/>
        <v>3.5078439669494088E-2</v>
      </c>
      <c r="BI148" s="6">
        <f t="shared" si="103"/>
        <v>3.5078439669494088E-2</v>
      </c>
      <c r="BV148" s="38"/>
      <c r="BW148" s="6">
        <f t="shared" si="104"/>
        <v>2.3212879051524569</v>
      </c>
      <c r="BX148" s="9">
        <f t="shared" ca="1" si="105"/>
        <v>48.308300334620085</v>
      </c>
      <c r="BY148" s="9">
        <f t="shared" ca="1" si="106"/>
        <v>-14.347223415944736</v>
      </c>
      <c r="BZ148">
        <f t="shared" ca="1" si="107"/>
        <v>50.393796254766201</v>
      </c>
      <c r="CA148" s="6">
        <f t="shared" ca="1" si="108"/>
        <v>0.95861601873367752</v>
      </c>
      <c r="CB148" s="6">
        <f t="shared" ca="1" si="109"/>
        <v>-0.28470217531166425</v>
      </c>
      <c r="CC148" s="6">
        <f t="shared" ca="1" si="110"/>
        <v>-0.28869573188972564</v>
      </c>
      <c r="CD148" s="6">
        <f t="shared" ca="1" si="111"/>
        <v>-74.296289005455776</v>
      </c>
      <c r="CE148" s="9">
        <f t="shared" ca="1" si="112"/>
        <v>27.009886306223294</v>
      </c>
      <c r="CF148">
        <f t="shared" ca="1" si="113"/>
        <v>79.05360534635544</v>
      </c>
      <c r="CG148" s="6">
        <f t="shared" ca="1" si="114"/>
        <v>-0.93982163975878696</v>
      </c>
      <c r="CH148" s="6">
        <f t="shared" ca="1" si="115"/>
        <v>0.34166545836696005</v>
      </c>
      <c r="CI148" s="6">
        <f t="shared" ca="1" si="116"/>
        <v>2.7929042251258855</v>
      </c>
      <c r="CJ148" s="1">
        <f t="shared" ca="1" si="117"/>
        <v>0.10370976533704335</v>
      </c>
      <c r="CK148" s="38"/>
    </row>
    <row r="149" spans="1:89" x14ac:dyDescent="0.25">
      <c r="B149" s="1"/>
      <c r="BC149">
        <v>2.5656340004316602</v>
      </c>
      <c r="BD149">
        <v>-125.0872620502292</v>
      </c>
      <c r="BE149">
        <v>35.709385439272339</v>
      </c>
      <c r="BF149" s="6">
        <f t="shared" si="100"/>
        <v>2.8635135009141717</v>
      </c>
      <c r="BG149" s="6">
        <f t="shared" si="101"/>
        <v>0.29787950048251144</v>
      </c>
      <c r="BH149" s="6">
        <f t="shared" si="102"/>
        <v>3.3100489548757217E-2</v>
      </c>
      <c r="BI149" s="6">
        <f t="shared" si="103"/>
        <v>3.3100489548757217E-2</v>
      </c>
      <c r="BV149" s="38"/>
      <c r="BW149" s="6">
        <f t="shared" si="104"/>
        <v>2.3387411976724</v>
      </c>
      <c r="BX149" s="9">
        <f t="shared" ca="1" si="105"/>
        <v>48.563623236828732</v>
      </c>
      <c r="BY149" s="9">
        <f t="shared" ca="1" si="106"/>
        <v>-14.096346818858304</v>
      </c>
      <c r="BZ149">
        <f t="shared" ca="1" si="107"/>
        <v>50.568097606358378</v>
      </c>
      <c r="CA149" s="6">
        <f t="shared" ca="1" si="108"/>
        <v>0.96036089027644955</v>
      </c>
      <c r="CB149" s="6">
        <f t="shared" ca="1" si="109"/>
        <v>-0.27875968221287889</v>
      </c>
      <c r="CC149" s="6">
        <f t="shared" ca="1" si="110"/>
        <v>-0.28250235449604227</v>
      </c>
      <c r="CD149" s="6">
        <f t="shared" ca="1" si="111"/>
        <v>-74.551611907664423</v>
      </c>
      <c r="CE149" s="9">
        <f t="shared" ca="1" si="112"/>
        <v>26.759009709136862</v>
      </c>
      <c r="CF149">
        <f t="shared" ca="1" si="113"/>
        <v>79.208506100321657</v>
      </c>
      <c r="CG149" s="6">
        <f t="shared" ca="1" si="114"/>
        <v>-0.94120714526847615</v>
      </c>
      <c r="CH149" s="6">
        <f t="shared" ca="1" si="115"/>
        <v>0.33783000117746442</v>
      </c>
      <c r="CI149" s="6">
        <f t="shared" ca="1" si="116"/>
        <v>2.7969822614691866</v>
      </c>
      <c r="CJ149" s="1">
        <f t="shared" ca="1" si="117"/>
        <v>9.96317289937423E-2</v>
      </c>
      <c r="CK149" s="38"/>
    </row>
    <row r="150" spans="1:89" x14ac:dyDescent="0.25">
      <c r="A150" t="s">
        <v>175</v>
      </c>
      <c r="B150" s="50">
        <f>B28</f>
        <v>33.920721861075791</v>
      </c>
      <c r="C150" t="s">
        <v>4</v>
      </c>
      <c r="D150" t="s">
        <v>176</v>
      </c>
      <c r="BC150">
        <v>2.5830872929516033</v>
      </c>
      <c r="BD150">
        <v>-125.23742968708368</v>
      </c>
      <c r="BE150">
        <v>35.487769093267694</v>
      </c>
      <c r="BF150" s="6">
        <f t="shared" si="100"/>
        <v>2.8654673200774829</v>
      </c>
      <c r="BG150" s="6">
        <f t="shared" si="101"/>
        <v>0.28238002712587962</v>
      </c>
      <c r="BH150" s="6">
        <f t="shared" si="102"/>
        <v>3.114667038544594E-2</v>
      </c>
      <c r="BI150" s="6">
        <f t="shared" si="103"/>
        <v>3.114667038544594E-2</v>
      </c>
      <c r="BV150" s="38"/>
      <c r="BW150" s="6">
        <f t="shared" si="104"/>
        <v>2.3561944901923431</v>
      </c>
      <c r="BX150" s="9">
        <f t="shared" ca="1" si="105"/>
        <v>48.808089243292159</v>
      </c>
      <c r="BY150" s="9">
        <f t="shared" ca="1" si="106"/>
        <v>-13.848168138575819</v>
      </c>
      <c r="BZ150">
        <f t="shared" ca="1" si="107"/>
        <v>50.734616746117617</v>
      </c>
      <c r="CA150" s="6">
        <f t="shared" ca="1" si="108"/>
        <v>0.96202735673620943</v>
      </c>
      <c r="CB150" s="6">
        <f t="shared" ca="1" si="109"/>
        <v>-0.27295304521316854</v>
      </c>
      <c r="CC150" s="6">
        <f t="shared" ca="1" si="110"/>
        <v>-0.27646130701289329</v>
      </c>
      <c r="CD150" s="6">
        <f t="shared" ca="1" si="111"/>
        <v>-74.796077914127849</v>
      </c>
      <c r="CE150" s="9">
        <f t="shared" ca="1" si="112"/>
        <v>26.510831028854376</v>
      </c>
      <c r="CF150">
        <f t="shared" ca="1" si="113"/>
        <v>79.35538691970919</v>
      </c>
      <c r="CG150" s="6">
        <f t="shared" ca="1" si="114"/>
        <v>-0.94254568993287891</v>
      </c>
      <c r="CH150" s="6">
        <f t="shared" ca="1" si="115"/>
        <v>0.33407727008725585</v>
      </c>
      <c r="CI150" s="6">
        <f t="shared" ca="1" si="116"/>
        <v>2.8009665698727306</v>
      </c>
      <c r="CJ150" s="1">
        <f t="shared" ca="1" si="117"/>
        <v>9.5647420590198262E-2</v>
      </c>
      <c r="CK150" s="38"/>
    </row>
    <row r="151" spans="1:89" ht="18" x14ac:dyDescent="0.35">
      <c r="A151" t="s">
        <v>177</v>
      </c>
      <c r="B151" s="1">
        <f>(((B145/B146)*B150)-B150)*-1</f>
        <v>10.331597964517925</v>
      </c>
      <c r="C151" t="s">
        <v>4</v>
      </c>
      <c r="D151" t="s">
        <v>178</v>
      </c>
      <c r="BC151">
        <v>2.6005405854715464</v>
      </c>
      <c r="BD151">
        <v>-125.38280206044217</v>
      </c>
      <c r="BE151">
        <v>35.26753080394554</v>
      </c>
      <c r="BF151" s="6">
        <f t="shared" si="100"/>
        <v>2.8673984642850079</v>
      </c>
      <c r="BG151" s="6">
        <f t="shared" si="101"/>
        <v>0.26685787881346146</v>
      </c>
      <c r="BH151" s="6">
        <f t="shared" si="102"/>
        <v>2.9215526177920999E-2</v>
      </c>
      <c r="BI151" s="6">
        <f t="shared" si="103"/>
        <v>2.9215526177920999E-2</v>
      </c>
      <c r="BV151" s="38"/>
      <c r="BW151" s="6">
        <f t="shared" si="104"/>
        <v>2.3736477827122862</v>
      </c>
      <c r="BX151" s="9">
        <f t="shared" ca="1" si="105"/>
        <v>49.042388113636548</v>
      </c>
      <c r="BY151" s="9">
        <f t="shared" ca="1" si="106"/>
        <v>-13.602598742345879</v>
      </c>
      <c r="BZ151">
        <f t="shared" ca="1" si="107"/>
        <v>50.89387511708879</v>
      </c>
      <c r="CA151" s="6">
        <f t="shared" ca="1" si="108"/>
        <v>0.96362063216462446</v>
      </c>
      <c r="CB151" s="6">
        <f t="shared" ca="1" si="109"/>
        <v>-0.26727378709228006</v>
      </c>
      <c r="CC151" s="6">
        <f t="shared" ca="1" si="110"/>
        <v>-0.27056278175047066</v>
      </c>
      <c r="CD151" s="6">
        <f t="shared" ca="1" si="111"/>
        <v>-75.030376784472239</v>
      </c>
      <c r="CE151" s="9">
        <f t="shared" ca="1" si="112"/>
        <v>26.265261632624437</v>
      </c>
      <c r="CF151">
        <f t="shared" ca="1" si="113"/>
        <v>79.494788565352408</v>
      </c>
      <c r="CG151" s="6">
        <f t="shared" ca="1" si="114"/>
        <v>-0.94384019554678111</v>
      </c>
      <c r="CH151" s="6">
        <f t="shared" ca="1" si="115"/>
        <v>0.33040230820957339</v>
      </c>
      <c r="CI151" s="6">
        <f t="shared" ca="1" si="116"/>
        <v>2.8048628641111497</v>
      </c>
      <c r="CJ151" s="1">
        <f t="shared" ca="1" si="117"/>
        <v>9.1751126351779178E-2</v>
      </c>
      <c r="CK151" s="38"/>
    </row>
    <row r="152" spans="1:89" x14ac:dyDescent="0.25">
      <c r="A152" t="s">
        <v>179</v>
      </c>
      <c r="B152" s="1">
        <f>B148-B151</f>
        <v>3.0818592937107887</v>
      </c>
      <c r="C152" t="s">
        <v>4</v>
      </c>
      <c r="D152" t="s">
        <v>180</v>
      </c>
      <c r="BC152">
        <v>2.6179938779914895</v>
      </c>
      <c r="BD152">
        <v>-125.52361717778763</v>
      </c>
      <c r="BE152">
        <v>35.048577302155458</v>
      </c>
      <c r="BF152" s="6">
        <f t="shared" si="100"/>
        <v>2.8693083298817257</v>
      </c>
      <c r="BG152" s="6">
        <f t="shared" si="101"/>
        <v>0.25131445189023616</v>
      </c>
      <c r="BH152" s="6">
        <f t="shared" si="102"/>
        <v>2.7305660581203206E-2</v>
      </c>
      <c r="BI152" s="6">
        <f t="shared" si="103"/>
        <v>2.7305660581203206E-2</v>
      </c>
      <c r="BV152" s="38"/>
      <c r="BW152" s="6">
        <f t="shared" si="104"/>
        <v>2.3911010752322293</v>
      </c>
      <c r="BX152" s="9">
        <f t="shared" ca="1" si="105"/>
        <v>49.267153786317138</v>
      </c>
      <c r="BY152" s="9">
        <f t="shared" ca="1" si="106"/>
        <v>-13.359547621496542</v>
      </c>
      <c r="BZ152">
        <f t="shared" ca="1" si="107"/>
        <v>51.046351043494354</v>
      </c>
      <c r="CA152" s="6">
        <f t="shared" ca="1" si="108"/>
        <v>0.96514545661331907</v>
      </c>
      <c r="CB152" s="6">
        <f t="shared" ca="1" si="109"/>
        <v>-0.26171405689925725</v>
      </c>
      <c r="CC152" s="6">
        <f t="shared" ca="1" si="110"/>
        <v>-0.26479773348789076</v>
      </c>
      <c r="CD152" s="6">
        <f t="shared" ca="1" si="111"/>
        <v>-75.255142457152829</v>
      </c>
      <c r="CE152" s="9">
        <f t="shared" ca="1" si="112"/>
        <v>26.0222105117751</v>
      </c>
      <c r="CF152">
        <f t="shared" ca="1" si="113"/>
        <v>79.62720581663973</v>
      </c>
      <c r="CG152" s="6">
        <f t="shared" ca="1" si="114"/>
        <v>-0.9450933469955658</v>
      </c>
      <c r="CH152" s="6">
        <f t="shared" ca="1" si="115"/>
        <v>0.32680049795665728</v>
      </c>
      <c r="CI152" s="6">
        <f t="shared" ca="1" si="116"/>
        <v>2.808676450779573</v>
      </c>
      <c r="CJ152" s="1">
        <f t="shared" ca="1" si="117"/>
        <v>8.7937539683355936E-2</v>
      </c>
      <c r="CK152" s="38"/>
    </row>
    <row r="153" spans="1:89" x14ac:dyDescent="0.25">
      <c r="A153" t="s">
        <v>181</v>
      </c>
      <c r="B153" s="1">
        <f>B148-B150</f>
        <v>-20.507264602847076</v>
      </c>
      <c r="C153" t="s">
        <v>4</v>
      </c>
      <c r="D153" t="s">
        <v>182</v>
      </c>
      <c r="BC153">
        <v>2.6354471705114326</v>
      </c>
      <c r="BD153">
        <v>-125.66009732433778</v>
      </c>
      <c r="BE153">
        <v>34.830815906825855</v>
      </c>
      <c r="BF153" s="6">
        <f t="shared" si="100"/>
        <v>2.8711982582459075</v>
      </c>
      <c r="BG153" s="6">
        <f t="shared" si="101"/>
        <v>0.23575108773447484</v>
      </c>
      <c r="BH153" s="6">
        <f t="shared" si="102"/>
        <v>2.5415732217021425E-2</v>
      </c>
      <c r="BI153" s="6">
        <f t="shared" si="103"/>
        <v>2.5415732217021425E-2</v>
      </c>
      <c r="BV153" s="38"/>
      <c r="BW153" s="6">
        <f t="shared" si="104"/>
        <v>2.4085543677521724</v>
      </c>
      <c r="BX153" s="9">
        <f t="shared" ca="1" si="105"/>
        <v>49.482969793281541</v>
      </c>
      <c r="BY153" s="9">
        <f t="shared" ca="1" si="106"/>
        <v>-13.118921951603941</v>
      </c>
      <c r="BZ153">
        <f t="shared" ca="1" si="107"/>
        <v>51.19248394769577</v>
      </c>
      <c r="CA153" s="6">
        <f t="shared" ca="1" si="108"/>
        <v>0.96660614952458901</v>
      </c>
      <c r="CB153" s="6">
        <f t="shared" ca="1" si="109"/>
        <v>-0.25626656375978485</v>
      </c>
      <c r="CC153" s="6">
        <f t="shared" ca="1" si="110"/>
        <v>-0.25915779646672954</v>
      </c>
      <c r="CD153" s="6">
        <f t="shared" ca="1" si="111"/>
        <v>-75.470958464117231</v>
      </c>
      <c r="CE153" s="9">
        <f t="shared" ca="1" si="112"/>
        <v>25.781584841882498</v>
      </c>
      <c r="CF153">
        <f t="shared" ca="1" si="113"/>
        <v>79.753092030664831</v>
      </c>
      <c r="CG153" s="6">
        <f t="shared" ca="1" si="114"/>
        <v>-0.94630761695231658</v>
      </c>
      <c r="CH153" s="6">
        <f t="shared" ca="1" si="115"/>
        <v>0.3232675271319832</v>
      </c>
      <c r="CI153" s="6">
        <f t="shared" ca="1" si="116"/>
        <v>2.8124122707173509</v>
      </c>
      <c r="CJ153" s="1">
        <f t="shared" ca="1" si="117"/>
        <v>8.4201719745577996E-2</v>
      </c>
      <c r="CK153" s="38"/>
    </row>
    <row r="154" spans="1:89" x14ac:dyDescent="0.25">
      <c r="BC154">
        <v>2.6529004630313757</v>
      </c>
      <c r="BD154">
        <v>-125.7924502529886</v>
      </c>
      <c r="BE154">
        <v>34.614154516728846</v>
      </c>
      <c r="BF154" s="6">
        <f t="shared" si="100"/>
        <v>2.8730695401171684</v>
      </c>
      <c r="BG154" s="6">
        <f t="shared" si="101"/>
        <v>0.2201690770857927</v>
      </c>
      <c r="BH154" s="6">
        <f t="shared" si="102"/>
        <v>2.354445034576047E-2</v>
      </c>
      <c r="BI154" s="6">
        <f t="shared" si="103"/>
        <v>2.354445034576047E-2</v>
      </c>
      <c r="BV154" s="38"/>
      <c r="BW154" s="6">
        <f t="shared" si="104"/>
        <v>2.4260076602721155</v>
      </c>
      <c r="BX154" s="9">
        <f t="shared" ca="1" si="105"/>
        <v>49.690374067208708</v>
      </c>
      <c r="BY154" s="9">
        <f t="shared" ca="1" si="106"/>
        <v>-12.880627570945261</v>
      </c>
      <c r="BZ154">
        <f t="shared" ca="1" si="107"/>
        <v>51.332678106256282</v>
      </c>
      <c r="CA154" s="6">
        <f t="shared" ca="1" si="108"/>
        <v>0.96800665580611089</v>
      </c>
      <c r="CB154" s="6">
        <f t="shared" ca="1" si="109"/>
        <v>-0.25092451915878916</v>
      </c>
      <c r="CC154" s="6">
        <f t="shared" ca="1" si="110"/>
        <v>-0.25363521229996894</v>
      </c>
      <c r="CD154" s="6">
        <f t="shared" ca="1" si="111"/>
        <v>-75.678362738044399</v>
      </c>
      <c r="CE154" s="9">
        <f t="shared" ca="1" si="112"/>
        <v>25.543290461223819</v>
      </c>
      <c r="CF154">
        <f t="shared" ca="1" si="113"/>
        <v>79.872863190807649</v>
      </c>
      <c r="CG154" s="6">
        <f t="shared" ca="1" si="114"/>
        <v>-0.94748528742805871</v>
      </c>
      <c r="CH154" s="6">
        <f t="shared" ca="1" si="115"/>
        <v>0.31979935914158547</v>
      </c>
      <c r="CI154" s="6">
        <f t="shared" ca="1" si="116"/>
        <v>2.8160749353151746</v>
      </c>
      <c r="CJ154" s="1">
        <f t="shared" ca="1" si="117"/>
        <v>8.0539055147754265E-2</v>
      </c>
      <c r="CK154" s="38"/>
    </row>
    <row r="155" spans="1:89" x14ac:dyDescent="0.25">
      <c r="A155" t="s">
        <v>183</v>
      </c>
      <c r="BC155">
        <v>2.6703537555513188</v>
      </c>
      <c r="BD155">
        <v>-125.9208702641958</v>
      </c>
      <c r="BE155">
        <v>34.398501589680436</v>
      </c>
      <c r="BF155" s="6">
        <f t="shared" si="100"/>
        <v>2.8749234195998903</v>
      </c>
      <c r="BG155" s="6">
        <f t="shared" si="101"/>
        <v>0.20456966404857146</v>
      </c>
      <c r="BH155" s="6">
        <f t="shared" si="102"/>
        <v>2.1690570863038609E-2</v>
      </c>
      <c r="BI155" s="6">
        <f t="shared" si="103"/>
        <v>2.1690570863038609E-2</v>
      </c>
      <c r="BV155" s="38"/>
      <c r="BW155" s="6">
        <f t="shared" si="104"/>
        <v>2.4434609527920585</v>
      </c>
      <c r="BX155" s="9">
        <f t="shared" ca="1" si="105"/>
        <v>49.88986319849991</v>
      </c>
      <c r="BY155" s="9">
        <f t="shared" ca="1" si="106"/>
        <v>-12.644569381839144</v>
      </c>
      <c r="BZ155">
        <f t="shared" ca="1" si="107"/>
        <v>51.467305979788563</v>
      </c>
      <c r="CA155" s="6">
        <f t="shared" ca="1" si="108"/>
        <v>0.96935058575033783</v>
      </c>
      <c r="CB155" s="6">
        <f t="shared" ca="1" si="109"/>
        <v>-0.2456815864192449</v>
      </c>
      <c r="CC155" s="6">
        <f t="shared" ca="1" si="110"/>
        <v>-0.24822276711127744</v>
      </c>
      <c r="CD155" s="6">
        <f t="shared" ca="1" si="111"/>
        <v>-75.877851869335601</v>
      </c>
      <c r="CE155" s="9">
        <f t="shared" ca="1" si="112"/>
        <v>25.307232272117702</v>
      </c>
      <c r="CF155">
        <f t="shared" ca="1" si="113"/>
        <v>79.986901487554519</v>
      </c>
      <c r="CG155" s="6">
        <f t="shared" ca="1" si="114"/>
        <v>-0.94862846863922756</v>
      </c>
      <c r="CH155" s="6">
        <f t="shared" ca="1" si="115"/>
        <v>0.31639220674219209</v>
      </c>
      <c r="CI155" s="6">
        <f t="shared" ca="1" si="116"/>
        <v>2.8196687584403768</v>
      </c>
      <c r="CJ155" s="1">
        <f t="shared" ca="1" si="117"/>
        <v>7.6945232022552101E-2</v>
      </c>
      <c r="CK155" s="38"/>
    </row>
    <row r="156" spans="1:89" x14ac:dyDescent="0.25">
      <c r="B156" t="str">
        <f>B48</f>
        <v>xi (in)</v>
      </c>
      <c r="C156" t="str">
        <f t="shared" ref="C156:E156" si="118">C48</f>
        <v>yi (in)</v>
      </c>
      <c r="D156" t="str">
        <f t="shared" si="118"/>
        <v>xj (in)</v>
      </c>
      <c r="E156" t="str">
        <f t="shared" si="118"/>
        <v>yj (in)</v>
      </c>
      <c r="F156" s="1" t="s">
        <v>189</v>
      </c>
      <c r="G156" s="1" t="s">
        <v>190</v>
      </c>
      <c r="H156" s="1" t="s">
        <v>184</v>
      </c>
      <c r="I156" s="1" t="s">
        <v>185</v>
      </c>
      <c r="J156" s="1" t="s">
        <v>186</v>
      </c>
      <c r="K156" s="1" t="s">
        <v>187</v>
      </c>
      <c r="M156" s="1" t="s">
        <v>99</v>
      </c>
      <c r="N156" s="1" t="s">
        <v>100</v>
      </c>
      <c r="O156" s="1" t="s">
        <v>101</v>
      </c>
      <c r="P156" t="s">
        <v>191</v>
      </c>
      <c r="AB156" t="s">
        <v>192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-126.04553919233783</v>
      </c>
      <c r="BE156">
        <v>34.183766111460493</v>
      </c>
      <c r="BF156" s="6">
        <f t="shared" ref="BF156:BF157" si="119">IF(BC156&lt;&gt;"",IF(AND(BD156=0,BE156=0),0,MOD(ATAN2(BD156,BE156),2*PI())),NA())</f>
        <v>2.8767610978819023</v>
      </c>
      <c r="BG156" s="6">
        <f t="shared" ref="BG156:BG157" si="120">ABS(BC156-BF156)</f>
        <v>0.18895404981064035</v>
      </c>
      <c r="BH156" s="6">
        <f t="shared" ref="BH156:BH157" si="121">ATAN2(COS($U$13-BF156),SIN($U$13-BF156))</f>
        <v>1.9852892581026623E-2</v>
      </c>
      <c r="BI156" s="6">
        <f t="shared" ref="BI156:BI157" si="122">ABS(BH156)</f>
        <v>1.9852892581026623E-2</v>
      </c>
      <c r="BV156" s="38"/>
      <c r="BW156" s="6">
        <f t="shared" si="104"/>
        <v>2.4609142453120016</v>
      </c>
      <c r="BX156" s="9">
        <f t="shared" ca="1" si="105"/>
        <v>50.081896227395802</v>
      </c>
      <c r="BY156" s="9">
        <f t="shared" ca="1" si="106"/>
        <v>-12.410651688003927</v>
      </c>
      <c r="BZ156">
        <f t="shared" ca="1" si="107"/>
        <v>51.596711184460162</v>
      </c>
      <c r="CA156" s="6">
        <f t="shared" ca="1" si="108"/>
        <v>0.97064124975623267</v>
      </c>
      <c r="CB156" s="6">
        <f t="shared" ca="1" si="109"/>
        <v>-0.240531836295445</v>
      </c>
      <c r="CC156" s="6">
        <f t="shared" ca="1" si="110"/>
        <v>-0.24291373649195219</v>
      </c>
      <c r="CD156" s="6">
        <f t="shared" ca="1" si="111"/>
        <v>-76.069884898231493</v>
      </c>
      <c r="CE156" s="9">
        <f t="shared" ca="1" si="112"/>
        <v>25.073314578282485</v>
      </c>
      <c r="CF156">
        <f t="shared" ca="1" si="113"/>
        <v>80.095558505897827</v>
      </c>
      <c r="CG156" s="6">
        <f t="shared" ca="1" si="114"/>
        <v>-0.94973911559191004</v>
      </c>
      <c r="CH156" s="6">
        <f t="shared" ca="1" si="115"/>
        <v>0.31304250879824019</v>
      </c>
      <c r="CI156" s="6">
        <f t="shared" ca="1" si="116"/>
        <v>2.8231977846367156</v>
      </c>
      <c r="CJ156" s="1">
        <f t="shared" ca="1" si="117"/>
        <v>7.3416205826213346E-2</v>
      </c>
      <c r="CK156" s="38"/>
    </row>
    <row r="157" spans="1:89" x14ac:dyDescent="0.25">
      <c r="A157" s="1" t="s">
        <v>43</v>
      </c>
      <c r="B157" s="1">
        <f t="shared" ref="B157:E157" si="123">B49</f>
        <v>-0.2813616563632495</v>
      </c>
      <c r="C157" s="1">
        <f t="shared" si="123"/>
        <v>13.413457258228714</v>
      </c>
      <c r="D157" s="1">
        <f t="shared" si="123"/>
        <v>-10.899582800400921</v>
      </c>
      <c r="E157" s="1">
        <f t="shared" si="123"/>
        <v>7.8229850298466284</v>
      </c>
      <c r="F157" s="6">
        <f>IF(E157-C157=0,0,MIN(MAX(($B$152-C157)/(E157-C157),0),1))</f>
        <v>1</v>
      </c>
      <c r="G157" s="6">
        <f>IF(E157-C157=0,0,MIN(MAX(($B$153-C157)/(E157-C157),0),1))</f>
        <v>1</v>
      </c>
      <c r="H157" s="1">
        <f>IF(AND(F157=0,G157=0),0,IF(C157&gt;E157,B157+(F157*(D157-B157)),B157+(G157*(D157-B157))))</f>
        <v>-10.899582800400921</v>
      </c>
      <c r="I157" s="1">
        <f>IF(AND(F157=0,G157=0),0,IF(C157&gt;E157,C157+(F157*(E157-C157)),C157+(G157*(E157-C157))))</f>
        <v>7.8229850298466284</v>
      </c>
      <c r="J157">
        <f>IF(AND(F157=0,G157=0),0,IF(C157&gt;E157,B157+(G157*(D157-B157)),B157+(F157*(D157-B157))))</f>
        <v>-10.899582800400921</v>
      </c>
      <c r="K157">
        <f>IF(AND(F157=0,G157=0),0,IF(C157&gt;E157,C157+(G157*(E157-C157)),C157+(F157*(E157-C157))))</f>
        <v>7.8229850298466284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9">
        <f>((1/(1200*$B$150*$B$150))*17*$B$143*$B$147*(I157-K157))*Z157</f>
        <v>0</v>
      </c>
      <c r="O157" s="9">
        <f>((1/(1200*$B$150*$B$150))*17*$B$143*$B$147*(I157-K157))*AW157</f>
        <v>0</v>
      </c>
      <c r="P157">
        <f t="shared" ref="P157:P164" si="124">((2*I157*I157)*((5*$B$150*($B$147-1))+(3*$B$147*K157)-(5*$B$147*$B$148)))</f>
        <v>1418.5508731677869</v>
      </c>
      <c r="Q157">
        <f>(I157)*((20*K157)*(($B$150*($B$147-1))-($B$147*$B$148))+((10*($B$150-$B$148))*(($B$150*($B$147-2))-($B$147*$B$148)))+(9*$B$147*K157*K157))</f>
        <v>-60756.203090790441</v>
      </c>
      <c r="R157">
        <f t="shared" ref="R157:R164" si="125">(2*K157)*((15*K157)*(($B$150*($B$147-1))-($B$147*$B$148))+((10*($B$150-$B$148))*(($B$150*($B$147-2))-($B$147*$B$148)))+(6*$B$147*K157*K157))</f>
        <v>-122930.95705474868</v>
      </c>
      <c r="S157">
        <f t="shared" ref="S157:S164" si="126">3*$B$147*I157*I157*I157</f>
        <v>2065.3422371957654</v>
      </c>
      <c r="T157" s="54">
        <f>J157*(SUM(P157:S157))</f>
        <v>1964140.4299526541</v>
      </c>
      <c r="U157" s="55">
        <f t="shared" ref="U157:U164" si="127">(I157*I157)*((30*$B$150*($B$147-1))+(9*$B$147*K157)-(30*$B$147*$B$148))</f>
        <v>-1940.3740920839264</v>
      </c>
      <c r="V157" s="55">
        <f t="shared" ref="V157:V164" si="128">I157*(((20*K157)*(($B$150*($B$147-1))-($B$147*$B$148)))+(20*($B$150-$B$148)*(($B$150*($B$147-2))-($B$147*$B$148)))+(6*$B$147*K157*K157))</f>
        <v>-124349.50792791646</v>
      </c>
      <c r="W157" s="55">
        <f t="shared" ref="W157:W164" si="129">K157*(((10*K157)*(($B$150*($B$147-1))-($B$147*$B$148)))+(10*($B$150-$B$148)*(($B$150*($B$147-2))-($B$147*$B$148)))+(3*$B$147*K157*K157))</f>
        <v>-62174.753963958232</v>
      </c>
      <c r="X157" s="55">
        <f t="shared" ref="X157:X164" si="130">12*$B$147*I157*I157*I157</f>
        <v>8261.3689487830616</v>
      </c>
      <c r="Y157" s="54">
        <f t="shared" ref="Y157:Y164" si="131">H157*SUM(U157:X157)</f>
        <v>1964140.4299526541</v>
      </c>
      <c r="Z157" s="54">
        <f t="shared" ref="Z157:Z164" si="132">T157+Y157</f>
        <v>3928280.8599053081</v>
      </c>
      <c r="AB157">
        <f>(3*I157)*(((5*$B$150)*($B$147-1))+($B$147*K157)-(5*$B$147*$B$148))</f>
        <v>-256.0222417655728</v>
      </c>
      <c r="AC157">
        <f>(10*($B$150-$B$148))*(($B$150*($B$147-2))-($B$147*$B$148))</f>
        <v>-7865.0236917475631</v>
      </c>
      <c r="AD157">
        <f>(5*K157)*(($B$150*($B$147-1))-($B$147*$B$148))</f>
        <v>-173.34390842346511</v>
      </c>
      <c r="AE157">
        <f>6*$B$147*I157*I157</f>
        <v>528.0189670096446</v>
      </c>
      <c r="AF157">
        <f>$B$147*K157*K157</f>
        <v>88.003161168274104</v>
      </c>
      <c r="AG157">
        <f>SUM(AB157:AF157)</f>
        <v>-7678.3677137586828</v>
      </c>
      <c r="AH157" s="52">
        <f>AG157*H157*H157</f>
        <v>-912197.03502801899</v>
      </c>
      <c r="AI157">
        <f>(2*I157)*(((5*$B$150)*($B$147-1))+(2*$B$147*K157)-(5*$B$147*$B$148))</f>
        <v>5.3248278261663433</v>
      </c>
      <c r="AJ157">
        <f>(10*($B$150-$B$148))*(($B$150*($B$147-2))-($B$147*$B$148))</f>
        <v>-7865.0236917475631</v>
      </c>
      <c r="AK157">
        <f>(10*K157)*(($B$150*($B$147-1))-($B$147*$B$148))</f>
        <v>-346.68781684693022</v>
      </c>
      <c r="AL157">
        <f>3*$B$147*I157*I157</f>
        <v>264.0094835048223</v>
      </c>
      <c r="AM157">
        <f>3*$B$147*K157*K157</f>
        <v>264.0094835048223</v>
      </c>
      <c r="AN157">
        <f>SUM(AI157:AM157)</f>
        <v>-7678.3677137586819</v>
      </c>
      <c r="AO157" s="52">
        <f>(H157*J157)*AN157</f>
        <v>-912197.03502801887</v>
      </c>
      <c r="AP157">
        <f>(I157)*(((5*$B$150)*($B$147-1))+(3*$B$147*K157)-(5*$B$147*$B$148))</f>
        <v>90.665575081357275</v>
      </c>
      <c r="AQ157">
        <f>(10*($B$150-$B$148))*(($B$150*($B$147-2))-($B$147*$B$148))</f>
        <v>-7865.0236917475631</v>
      </c>
      <c r="AR157">
        <f>(15*K157)*(($B$150*($B$147-1))-($B$147*$B$148))</f>
        <v>-520.03172527039521</v>
      </c>
      <c r="AS157">
        <f>$B$147*I157*I157</f>
        <v>88.003161168274104</v>
      </c>
      <c r="AT157">
        <f>6*$B$147*K157*K157</f>
        <v>528.0189670096446</v>
      </c>
      <c r="AU157">
        <f>SUM(AP157:AT157)</f>
        <v>-7678.3677137586837</v>
      </c>
      <c r="AV157" s="52">
        <f>(J157*J157)*AU157</f>
        <v>-912197.03502801911</v>
      </c>
      <c r="AW157" s="52">
        <f>AH157+AO157+AV157</f>
        <v>-2736591.105084057</v>
      </c>
      <c r="BA157"/>
      <c r="BC157">
        <v>2.705260340591205</v>
      </c>
      <c r="BD157">
        <v>-126.16662729468212</v>
      </c>
      <c r="BE157">
        <v>33.96985755399399</v>
      </c>
      <c r="BF157" s="6">
        <f t="shared" si="119"/>
        <v>2.8785837366842517</v>
      </c>
      <c r="BG157" s="6">
        <f t="shared" si="120"/>
        <v>0.1733233960930467</v>
      </c>
      <c r="BH157" s="6">
        <f t="shared" si="121"/>
        <v>1.8030253778677174E-2</v>
      </c>
      <c r="BI157" s="6">
        <f t="shared" si="122"/>
        <v>1.8030253778677174E-2</v>
      </c>
      <c r="BV157" s="38"/>
      <c r="BW157" s="6">
        <f t="shared" si="104"/>
        <v>2.4783675378319447</v>
      </c>
      <c r="BX157" s="9">
        <f t="shared" ca="1" si="105"/>
        <v>50.266898030578886</v>
      </c>
      <c r="BY157" s="9">
        <f t="shared" ca="1" si="106"/>
        <v>-12.178778475918786</v>
      </c>
      <c r="BZ157">
        <f t="shared" ca="1" si="107"/>
        <v>51.721211149605907</v>
      </c>
      <c r="CA157" s="6">
        <f t="shared" ca="1" si="108"/>
        <v>0.97188168863988211</v>
      </c>
      <c r="CB157" s="6">
        <f t="shared" ca="1" si="109"/>
        <v>-0.23546970778953971</v>
      </c>
      <c r="CC157" s="6">
        <f t="shared" ca="1" si="110"/>
        <v>-0.23770183711417453</v>
      </c>
      <c r="CD157" s="6">
        <f t="shared" ca="1" si="111"/>
        <v>-76.254886701414577</v>
      </c>
      <c r="CE157" s="9">
        <f t="shared" ca="1" si="112"/>
        <v>24.841441366197344</v>
      </c>
      <c r="CF157">
        <f t="shared" ca="1" si="113"/>
        <v>80.199158069120614</v>
      </c>
      <c r="CG157" s="6">
        <f t="shared" ca="1" si="114"/>
        <v>-0.95081904270981721</v>
      </c>
      <c r="CH157" s="6">
        <f t="shared" ca="1" si="115"/>
        <v>0.30974690962201185</v>
      </c>
      <c r="CI157" s="6">
        <f t="shared" ca="1" si="116"/>
        <v>2.826665814129794</v>
      </c>
      <c r="CJ157" s="1">
        <f t="shared" ca="1" si="117"/>
        <v>6.9948176333134882E-2</v>
      </c>
      <c r="CK157" s="38"/>
    </row>
    <row r="158" spans="1:89" x14ac:dyDescent="0.25">
      <c r="A158" s="1" t="s">
        <v>44</v>
      </c>
      <c r="B158" s="1">
        <f t="shared" ref="B158:E158" si="133">B50</f>
        <v>-10.899582800400921</v>
      </c>
      <c r="C158" s="1">
        <f t="shared" si="133"/>
        <v>7.8229850298466284</v>
      </c>
      <c r="D158" s="1">
        <f t="shared" si="133"/>
        <v>-3.4456198292248073</v>
      </c>
      <c r="E158" s="1">
        <f t="shared" si="133"/>
        <v>-6.3346431622035997</v>
      </c>
      <c r="F158" s="6">
        <f t="shared" ref="F158:F164" si="134">IF(E158-C158=0,0,MIN(MAX(($B$152-C158)/(E158-C158),0),1))</f>
        <v>0.33488135666665336</v>
      </c>
      <c r="G158" s="6">
        <f t="shared" ref="G158:G164" si="135">IF(E158-C158=0,0,MIN(MAX(($B$153-C158)/(E158-C158),0),1))</f>
        <v>1</v>
      </c>
      <c r="H158" s="1">
        <f t="shared" ref="H158:H164" si="136">IF(AND(F158=0,G158=0),0,IF(C158&gt;E158,B158+(F158*(D158-B158)),B158+(G158*(D158-B158))))</f>
        <v>-8.403389568070466</v>
      </c>
      <c r="I158" s="1">
        <f t="shared" ref="I158:I164" si="137">IF(AND(F158=0,G158=0),0,IF(C158&gt;E158,C158+(F158*(E158-C158)),C158+(G158*(E158-C158))))</f>
        <v>3.0818592937107887</v>
      </c>
      <c r="J158">
        <f t="shared" ref="J158:J164" si="138">IF(AND(F158=0,G158=0),0,IF(C158&gt;E158,B158+(G158*(D158-B158)),B158+(F158*(D158-B158))))</f>
        <v>-3.4456198292248068</v>
      </c>
      <c r="K158">
        <f t="shared" ref="K158:K164" si="139">IF(AND(F158=0,G158=0),0,IF(C158&gt;E158,C158+(G158*(E158-C158)),C158+(F158*(E158-C158))))</f>
        <v>-6.3346431622036006</v>
      </c>
      <c r="M158" s="9">
        <f t="shared" ref="M158:M164" si="140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227140.19243791254</v>
      </c>
      <c r="N158" s="9">
        <f t="shared" ref="N158:N164" si="141">((1/(1200*$B$150*$B$150))*17*$B$143*$B$147*(I158-K158))*Z158</f>
        <v>-194000.57559119596</v>
      </c>
      <c r="O158" s="9">
        <f t="shared" ref="O158:O164" si="142">((1/(1200*$B$150*$B$150))*17*$B$143*$B$147*(I158-K158))*AW158</f>
        <v>-719025.28767594555</v>
      </c>
      <c r="P158">
        <f t="shared" si="124"/>
        <v>-940.01388627114613</v>
      </c>
      <c r="Q158">
        <f t="shared" ref="Q158:Q164" si="143">(I158)*((20*K158)*(($B$150*($B$147-1))-($B$147*$B$148))+((10*($B$150-$B$148))*(($B$150*($B$147-2))-($B$147*$B$148)))+(9*$B$147*K158*K158))</f>
        <v>-20908.0682213826</v>
      </c>
      <c r="R158">
        <f t="shared" si="125"/>
        <v>89922.944391707337</v>
      </c>
      <c r="S158">
        <f t="shared" si="126"/>
        <v>126.27371241203609</v>
      </c>
      <c r="T158" s="54">
        <f t="shared" ref="T158:T164" si="144">J158*(SUM(P158:S158))</f>
        <v>-234995.18656507967</v>
      </c>
      <c r="U158" s="55">
        <f t="shared" si="127"/>
        <v>-2041.3893914668995</v>
      </c>
      <c r="V158" s="55">
        <f t="shared" si="128"/>
        <v>-45680.461169851689</v>
      </c>
      <c r="W158" s="55">
        <f t="shared" si="129"/>
        <v>46947.214882008077</v>
      </c>
      <c r="X158" s="55">
        <f t="shared" si="130"/>
        <v>505.09484964814436</v>
      </c>
      <c r="Y158" s="54">
        <f t="shared" si="131"/>
        <v>2265.056596153825</v>
      </c>
      <c r="Z158" s="54">
        <f t="shared" si="132"/>
        <v>-232730.12996892584</v>
      </c>
      <c r="AB158">
        <f t="shared" ref="AB158:AB164" si="145">(3*I158)*(((5*$B$150)*($B$147-1))+($B$147*K158)-(5*$B$147*$B$148))</f>
        <v>-289.08500776154108</v>
      </c>
      <c r="AC158">
        <f t="shared" ref="AC158:AC164" si="146">(10*($B$150-$B$148))*(($B$150*($B$147-2))-($B$147*$B$148))</f>
        <v>-7865.0236917475631</v>
      </c>
      <c r="AD158">
        <f t="shared" ref="AD158:AD164" si="147">(5*K158)*(($B$150*($B$147-1))-($B$147*$B$148))</f>
        <v>140.36480959824596</v>
      </c>
      <c r="AE158">
        <f t="shared" ref="AE158:AE164" si="148">6*$B$147*I158*I158</f>
        <v>81.94644880103732</v>
      </c>
      <c r="AF158">
        <f t="shared" ref="AF158:AF164" si="149">$B$147*K158*K158</f>
        <v>57.702892740759815</v>
      </c>
      <c r="AG158">
        <f t="shared" ref="AG158:AG164" si="150">SUM(AB158:AF158)</f>
        <v>-7874.0945483690612</v>
      </c>
      <c r="AH158" s="52">
        <f t="shared" ref="AH158:AH164" si="151">AG158*H158*H158</f>
        <v>-556044.59009475703</v>
      </c>
      <c r="AI158">
        <f t="shared" ref="AI158:AI164" si="152">(2*I158)*(((5*$B$150)*($B$147-1))+(2*$B$147*K158)-(5*$B$147*$B$148))</f>
        <v>-248.86926234699226</v>
      </c>
      <c r="AJ158">
        <f t="shared" ref="AJ158:AJ164" si="153">(10*($B$150-$B$148))*(($B$150*($B$147-2))-($B$147*$B$148))</f>
        <v>-7865.0236917475631</v>
      </c>
      <c r="AK158">
        <f t="shared" ref="AK158:AK164" si="154">(10*K158)*(($B$150*($B$147-1))-($B$147*$B$148))</f>
        <v>280.72961919649191</v>
      </c>
      <c r="AL158">
        <f t="shared" ref="AL158:AL164" si="155">3*$B$147*I158*I158</f>
        <v>40.97322440051866</v>
      </c>
      <c r="AM158">
        <f t="shared" ref="AM158:AM164" si="156">3*$B$147*K158*K158</f>
        <v>173.10867822227948</v>
      </c>
      <c r="AN158">
        <f t="shared" ref="AN158:AN164" si="157">SUM(AI158:AM158)</f>
        <v>-7619.0814322752658</v>
      </c>
      <c r="AO158" s="52">
        <f t="shared" ref="AO158:AO164" si="158">(H158*J158)*AN158</f>
        <v>-220609.63222724342</v>
      </c>
      <c r="AP158">
        <f t="shared" ref="AP158:AP164" si="159">(I158)*(((5*$B$150)*($B$147-1))+(3*$B$147*K158)-(5*$B$147*$B$148))</f>
        <v>-152.50759309314529</v>
      </c>
      <c r="AQ158">
        <f t="shared" ref="AQ158:AQ164" si="160">(10*($B$150-$B$148))*(($B$150*($B$147-2))-($B$147*$B$148))</f>
        <v>-7865.0236917475631</v>
      </c>
      <c r="AR158">
        <f t="shared" ref="AR158:AR164" si="161">(15*K158)*(($B$150*($B$147-1))-($B$147*$B$148))</f>
        <v>421.09442879473778</v>
      </c>
      <c r="AS158">
        <f t="shared" ref="AS158:AS164" si="162">$B$147*I158*I158</f>
        <v>13.657741466839555</v>
      </c>
      <c r="AT158">
        <f t="shared" ref="AT158:AT164" si="163">6*$B$147*K158*K158</f>
        <v>346.21735644455896</v>
      </c>
      <c r="AU158">
        <f t="shared" ref="AU158:AU164" si="164">SUM(AP158:AT158)</f>
        <v>-7236.5617581345714</v>
      </c>
      <c r="AV158" s="52">
        <f t="shared" ref="AV158:AV164" si="165">(J158*J158)*AU158</f>
        <v>-85914.603269469721</v>
      </c>
      <c r="AW158" s="52">
        <f t="shared" ref="AW158:AW164" si="166">AH158+AO158+AV158</f>
        <v>-862568.82559147011</v>
      </c>
      <c r="BC158">
        <v>2.7227136331111481</v>
      </c>
      <c r="BD158">
        <v>-126.28429406817028</v>
      </c>
      <c r="BE158">
        <v>33.756685826201185</v>
      </c>
      <c r="BF158" s="6">
        <f t="shared" ref="BF158:BF194" si="167">IF(BC158&lt;&gt;"",IF(AND(BD158=0,BE158=0),0,MOD(ATAN2(BD158,BE158),2*PI())),NA())</f>
        <v>2.8803924614857896</v>
      </c>
      <c r="BG158" s="6">
        <f t="shared" ref="BG158:BG194" si="168">ABS(BC158-BF158)</f>
        <v>0.15767882837464153</v>
      </c>
      <c r="BH158" s="6">
        <f t="shared" ref="BH158:BH194" si="169">ATAN2(COS($U$13-BF158),SIN($U$13-BF158))</f>
        <v>1.6221528977139243E-2</v>
      </c>
      <c r="BI158" s="6">
        <f t="shared" ref="BI158:BI194" si="170">ABS(BH158)</f>
        <v>1.6221528977139243E-2</v>
      </c>
      <c r="BV158" s="38"/>
      <c r="BW158" s="6">
        <f t="shared" si="104"/>
        <v>2.4958208303518878</v>
      </c>
      <c r="BX158" s="9">
        <f t="shared" ca="1" si="105"/>
        <v>50.445262342030347</v>
      </c>
      <c r="BY158" s="9">
        <f t="shared" ca="1" si="106"/>
        <v>-11.948853645102087</v>
      </c>
      <c r="BZ158">
        <f t="shared" ca="1" si="107"/>
        <v>51.841099488613615</v>
      </c>
      <c r="CA158" s="6">
        <f t="shared" ca="1" si="108"/>
        <v>0.97307470018281828</v>
      </c>
      <c r="CB158" s="6">
        <f t="shared" ca="1" si="109"/>
        <v>-0.230489973456804</v>
      </c>
      <c r="CC158" s="6">
        <f t="shared" ca="1" si="110"/>
        <v>-0.23258118404433961</v>
      </c>
      <c r="CD158" s="6">
        <f t="shared" ca="1" si="111"/>
        <v>-76.433251012866037</v>
      </c>
      <c r="CE158" s="9">
        <f t="shared" ca="1" si="112"/>
        <v>24.611516535380645</v>
      </c>
      <c r="CF158">
        <f t="shared" ca="1" si="113"/>
        <v>80.297998770623806</v>
      </c>
      <c r="CG158" s="6">
        <f t="shared" ca="1" si="114"/>
        <v>-0.95186993677392062</v>
      </c>
      <c r="CH158" s="6">
        <f t="shared" ca="1" si="115"/>
        <v>0.30650224055626796</v>
      </c>
      <c r="CI158" s="6">
        <f t="shared" ca="1" si="116"/>
        <v>2.8300764250656765</v>
      </c>
      <c r="CJ158" s="1">
        <f t="shared" ca="1" si="117"/>
        <v>6.6537565397252432E-2</v>
      </c>
      <c r="CK158" s="38"/>
    </row>
    <row r="159" spans="1:89" x14ac:dyDescent="0.25">
      <c r="A159" s="1" t="s">
        <v>45</v>
      </c>
      <c r="B159" s="1">
        <f t="shared" ref="B159:E159" si="171">B51</f>
        <v>-3.4456198292248073</v>
      </c>
      <c r="C159" s="1">
        <f t="shared" si="171"/>
        <v>-6.3346431622035997</v>
      </c>
      <c r="D159" s="1">
        <f t="shared" si="171"/>
        <v>-3.4456198292248073</v>
      </c>
      <c r="E159" s="1">
        <f t="shared" si="171"/>
        <v>-6.3346431622035997</v>
      </c>
      <c r="F159" s="6">
        <f t="shared" si="134"/>
        <v>0</v>
      </c>
      <c r="G159" s="6">
        <f t="shared" si="135"/>
        <v>0</v>
      </c>
      <c r="H159" s="1">
        <f t="shared" si="136"/>
        <v>0</v>
      </c>
      <c r="I159" s="1">
        <f t="shared" si="137"/>
        <v>0</v>
      </c>
      <c r="J159">
        <f t="shared" si="138"/>
        <v>0</v>
      </c>
      <c r="K159">
        <f t="shared" si="139"/>
        <v>0</v>
      </c>
      <c r="M159" s="9">
        <f t="shared" si="140"/>
        <v>0</v>
      </c>
      <c r="N159" s="9">
        <f t="shared" si="141"/>
        <v>0</v>
      </c>
      <c r="O159" s="9">
        <f t="shared" si="142"/>
        <v>0</v>
      </c>
      <c r="P159">
        <f t="shared" si="124"/>
        <v>0</v>
      </c>
      <c r="Q159">
        <f t="shared" si="143"/>
        <v>0</v>
      </c>
      <c r="R159">
        <f t="shared" si="125"/>
        <v>0</v>
      </c>
      <c r="S159">
        <f t="shared" si="126"/>
        <v>0</v>
      </c>
      <c r="T159" s="54">
        <f t="shared" si="144"/>
        <v>0</v>
      </c>
      <c r="U159" s="55">
        <f t="shared" si="127"/>
        <v>0</v>
      </c>
      <c r="V159" s="55">
        <f t="shared" si="128"/>
        <v>0</v>
      </c>
      <c r="W159" s="55">
        <f t="shared" si="129"/>
        <v>0</v>
      </c>
      <c r="X159" s="55">
        <f t="shared" si="130"/>
        <v>0</v>
      </c>
      <c r="Y159" s="54">
        <f t="shared" si="131"/>
        <v>0</v>
      </c>
      <c r="Z159" s="54">
        <f t="shared" si="132"/>
        <v>0</v>
      </c>
      <c r="AB159">
        <f t="shared" si="145"/>
        <v>0</v>
      </c>
      <c r="AC159">
        <f t="shared" si="146"/>
        <v>-7865.0236917475631</v>
      </c>
      <c r="AD159">
        <f t="shared" si="147"/>
        <v>0</v>
      </c>
      <c r="AE159">
        <f t="shared" si="148"/>
        <v>0</v>
      </c>
      <c r="AF159">
        <f t="shared" si="149"/>
        <v>0</v>
      </c>
      <c r="AG159">
        <f t="shared" si="150"/>
        <v>-7865.0236917475631</v>
      </c>
      <c r="AH159" s="52">
        <f t="shared" si="151"/>
        <v>0</v>
      </c>
      <c r="AI159">
        <f t="shared" si="152"/>
        <v>0</v>
      </c>
      <c r="AJ159">
        <f t="shared" si="153"/>
        <v>-7865.0236917475631</v>
      </c>
      <c r="AK159">
        <f t="shared" si="154"/>
        <v>0</v>
      </c>
      <c r="AL159">
        <f t="shared" si="155"/>
        <v>0</v>
      </c>
      <c r="AM159">
        <f t="shared" si="156"/>
        <v>0</v>
      </c>
      <c r="AN159">
        <f t="shared" si="157"/>
        <v>-7865.0236917475631</v>
      </c>
      <c r="AO159" s="52">
        <f t="shared" si="158"/>
        <v>0</v>
      </c>
      <c r="AP159">
        <f t="shared" si="159"/>
        <v>0</v>
      </c>
      <c r="AQ159">
        <f t="shared" si="160"/>
        <v>-7865.0236917475631</v>
      </c>
      <c r="AR159">
        <f t="shared" si="161"/>
        <v>0</v>
      </c>
      <c r="AS159">
        <f t="shared" si="162"/>
        <v>0</v>
      </c>
      <c r="AT159">
        <f t="shared" si="163"/>
        <v>0</v>
      </c>
      <c r="AU159">
        <f t="shared" si="164"/>
        <v>-7865.0236917475631</v>
      </c>
      <c r="AV159" s="52">
        <f t="shared" si="165"/>
        <v>0</v>
      </c>
      <c r="AW159" s="52">
        <f t="shared" si="166"/>
        <v>0</v>
      </c>
      <c r="BC159">
        <v>2.7401669256310912</v>
      </c>
      <c r="BD159">
        <v>-126.3986889922754</v>
      </c>
      <c r="BE159">
        <v>33.544161217205819</v>
      </c>
      <c r="BF159" s="6">
        <f t="shared" si="167"/>
        <v>2.8821883645366966</v>
      </c>
      <c r="BG159" s="6">
        <f t="shared" si="168"/>
        <v>0.14202143890560537</v>
      </c>
      <c r="BH159" s="6">
        <f t="shared" si="169"/>
        <v>1.4425625926232311E-2</v>
      </c>
      <c r="BI159" s="6">
        <f t="shared" si="170"/>
        <v>1.4425625926232311E-2</v>
      </c>
      <c r="BV159" s="38"/>
      <c r="BW159" s="6">
        <f t="shared" si="104"/>
        <v>2.5132741228718309</v>
      </c>
      <c r="BX159" s="9">
        <f t="shared" ca="1" si="105"/>
        <v>50.617354457097264</v>
      </c>
      <c r="BY159" s="9">
        <f t="shared" ca="1" si="106"/>
        <v>-11.720781194944035</v>
      </c>
      <c r="BZ159">
        <f t="shared" ca="1" si="107"/>
        <v>51.956648121825353</v>
      </c>
      <c r="CA159" s="6">
        <f t="shared" ca="1" si="108"/>
        <v>0.97422286246049239</v>
      </c>
      <c r="CB159" s="6">
        <f t="shared" ca="1" si="109"/>
        <v>-0.22558770857314991</v>
      </c>
      <c r="CC159" s="6">
        <f t="shared" ca="1" si="110"/>
        <v>-0.22754625294655331</v>
      </c>
      <c r="CD159" s="6">
        <f t="shared" ca="1" si="111"/>
        <v>-76.605343127932954</v>
      </c>
      <c r="CE159" s="9">
        <f t="shared" ca="1" si="112"/>
        <v>24.383444085222592</v>
      </c>
      <c r="CF159">
        <f t="shared" ca="1" si="113"/>
        <v>80.392356236184057</v>
      </c>
      <c r="CG159" s="6">
        <f t="shared" ca="1" si="114"/>
        <v>-0.95289336840525896</v>
      </c>
      <c r="CH159" s="6">
        <f t="shared" ca="1" si="115"/>
        <v>0.30330550349322599</v>
      </c>
      <c r="CI159" s="6">
        <f t="shared" ca="1" si="116"/>
        <v>2.8334329933626394</v>
      </c>
      <c r="CJ159" s="1">
        <f t="shared" ca="1" si="117"/>
        <v>6.318099710028946E-2</v>
      </c>
      <c r="CK159" s="38"/>
    </row>
    <row r="160" spans="1:89" x14ac:dyDescent="0.25">
      <c r="A160" s="1" t="s">
        <v>46</v>
      </c>
      <c r="B160" s="1">
        <f t="shared" ref="B160:E160" si="172">B52</f>
        <v>-3.4456198292248073</v>
      </c>
      <c r="C160" s="1">
        <f t="shared" si="172"/>
        <v>-6.3346431622035997</v>
      </c>
      <c r="D160" s="1">
        <f t="shared" si="172"/>
        <v>0.2813616563632495</v>
      </c>
      <c r="E160" s="1">
        <f t="shared" si="172"/>
        <v>-13.413457258228714</v>
      </c>
      <c r="F160" s="6">
        <f t="shared" si="134"/>
        <v>0</v>
      </c>
      <c r="G160" s="6">
        <f t="shared" si="135"/>
        <v>1</v>
      </c>
      <c r="H160" s="1">
        <f t="shared" si="136"/>
        <v>-3.4456198292248073</v>
      </c>
      <c r="I160" s="1">
        <f t="shared" si="137"/>
        <v>-6.3346431622035997</v>
      </c>
      <c r="J160">
        <f t="shared" si="138"/>
        <v>0.2813616563632495</v>
      </c>
      <c r="K160">
        <f t="shared" si="139"/>
        <v>-13.413457258228714</v>
      </c>
      <c r="M160" s="9">
        <f t="shared" si="140"/>
        <v>35962.843617638267</v>
      </c>
      <c r="N160" s="9">
        <f t="shared" si="141"/>
        <v>-300545.9905103874</v>
      </c>
      <c r="O160" s="9">
        <f t="shared" si="142"/>
        <v>-42809.935620927536</v>
      </c>
      <c r="P160">
        <f t="shared" si="124"/>
        <v>-6422.2936753971026</v>
      </c>
      <c r="Q160">
        <f t="shared" si="143"/>
        <v>27540.758451255762</v>
      </c>
      <c r="R160">
        <f t="shared" si="125"/>
        <v>145429.48893886441</v>
      </c>
      <c r="S160">
        <f t="shared" si="126"/>
        <v>-1096.5817048188655</v>
      </c>
      <c r="T160" s="54">
        <f t="shared" si="144"/>
        <v>46551.672076278817</v>
      </c>
      <c r="U160" s="55">
        <f t="shared" si="127"/>
        <v>-12300.923457102266</v>
      </c>
      <c r="V160" s="55">
        <f t="shared" si="128"/>
        <v>82279.627201360548</v>
      </c>
      <c r="W160" s="55">
        <f t="shared" si="129"/>
        <v>87112.583489589961</v>
      </c>
      <c r="X160" s="55">
        <f t="shared" si="130"/>
        <v>-4386.3268192754622</v>
      </c>
      <c r="Y160" s="54">
        <f t="shared" si="131"/>
        <v>-526163.23962544126</v>
      </c>
      <c r="Z160" s="54">
        <f t="shared" si="132"/>
        <v>-479611.56754916243</v>
      </c>
      <c r="AB160">
        <f t="shared" si="145"/>
        <v>787.64796573544766</v>
      </c>
      <c r="AC160">
        <f t="shared" si="146"/>
        <v>-7865.0236917475631</v>
      </c>
      <c r="AD160">
        <f t="shared" si="147"/>
        <v>297.21916860910147</v>
      </c>
      <c r="AE160">
        <f t="shared" si="148"/>
        <v>346.21735644455885</v>
      </c>
      <c r="AF160">
        <f t="shared" si="149"/>
        <v>258.7228185660689</v>
      </c>
      <c r="AG160">
        <f t="shared" si="150"/>
        <v>-6175.2163823923865</v>
      </c>
      <c r="AH160" s="52">
        <f t="shared" si="151"/>
        <v>-73313.996802417125</v>
      </c>
      <c r="AI160">
        <f t="shared" si="152"/>
        <v>769.46766845077173</v>
      </c>
      <c r="AJ160">
        <f t="shared" si="153"/>
        <v>-7865.0236917475631</v>
      </c>
      <c r="AK160">
        <f t="shared" si="154"/>
        <v>594.43833721820295</v>
      </c>
      <c r="AL160">
        <f t="shared" si="155"/>
        <v>173.10867822227942</v>
      </c>
      <c r="AM160">
        <f t="shared" si="156"/>
        <v>776.16845569820669</v>
      </c>
      <c r="AN160">
        <f t="shared" si="157"/>
        <v>-5551.8405521581026</v>
      </c>
      <c r="AO160" s="52">
        <f t="shared" si="158"/>
        <v>5382.3167794899982</v>
      </c>
      <c r="AP160">
        <f t="shared" si="159"/>
        <v>506.9183465389558</v>
      </c>
      <c r="AQ160">
        <f t="shared" si="160"/>
        <v>-7865.0236917475631</v>
      </c>
      <c r="AR160">
        <f t="shared" si="161"/>
        <v>891.65750582730436</v>
      </c>
      <c r="AS160">
        <f t="shared" si="162"/>
        <v>57.7028927407598</v>
      </c>
      <c r="AT160">
        <f t="shared" si="163"/>
        <v>1552.3369113964134</v>
      </c>
      <c r="AU160">
        <f t="shared" si="164"/>
        <v>-4856.4080352441288</v>
      </c>
      <c r="AV160" s="52">
        <f t="shared" si="165"/>
        <v>-384.45453925446628</v>
      </c>
      <c r="AW160" s="52">
        <f t="shared" si="166"/>
        <v>-68316.1345621816</v>
      </c>
      <c r="BC160">
        <v>2.7576202181510343</v>
      </c>
      <c r="BD160">
        <v>-126.50995220424016</v>
      </c>
      <c r="BE160">
        <v>33.332194332784098</v>
      </c>
      <c r="BF160" s="6">
        <f t="shared" si="167"/>
        <v>2.8839725076810723</v>
      </c>
      <c r="BG160" s="6">
        <f t="shared" si="168"/>
        <v>0.12635228953003796</v>
      </c>
      <c r="BH160" s="6">
        <f t="shared" si="169"/>
        <v>1.2641482781856617E-2</v>
      </c>
      <c r="BI160" s="6">
        <f t="shared" si="170"/>
        <v>1.2641482781856617E-2</v>
      </c>
      <c r="BV160" s="38"/>
      <c r="BW160" s="6">
        <f t="shared" si="104"/>
        <v>2.530727415391774</v>
      </c>
      <c r="BX160" s="9">
        <f t="shared" ca="1" si="105"/>
        <v>50.783513667067226</v>
      </c>
      <c r="BY160" s="9">
        <f t="shared" ca="1" si="106"/>
        <v>-11.494465375420045</v>
      </c>
      <c r="BZ160">
        <f t="shared" ca="1" si="107"/>
        <v>52.068109190174496</v>
      </c>
      <c r="CA160" s="6">
        <f t="shared" ca="1" si="108"/>
        <v>0.97532855440524269</v>
      </c>
      <c r="CB160" s="6">
        <f t="shared" ca="1" si="109"/>
        <v>-0.22075826363191822</v>
      </c>
      <c r="CC160" s="6">
        <f t="shared" ca="1" si="110"/>
        <v>-0.22259184649103694</v>
      </c>
      <c r="CD160" s="6">
        <f t="shared" ca="1" si="111"/>
        <v>-76.771502337902916</v>
      </c>
      <c r="CE160" s="9">
        <f t="shared" ca="1" si="112"/>
        <v>24.157128265698603</v>
      </c>
      <c r="CF160">
        <f t="shared" ca="1" si="113"/>
        <v>80.482485158350116</v>
      </c>
      <c r="CG160" s="6">
        <f t="shared" ca="1" si="114"/>
        <v>-0.953890802288898</v>
      </c>
      <c r="CH160" s="6">
        <f t="shared" ca="1" si="115"/>
        <v>0.30015385606159162</v>
      </c>
      <c r="CI160" s="6">
        <f t="shared" ca="1" si="116"/>
        <v>2.8367387105067543</v>
      </c>
      <c r="CJ160" s="1">
        <f t="shared" ca="1" si="117"/>
        <v>5.9875279956174587E-2</v>
      </c>
      <c r="CK160" s="38"/>
    </row>
    <row r="161" spans="1:89" x14ac:dyDescent="0.25">
      <c r="A161" s="1" t="s">
        <v>47</v>
      </c>
      <c r="B161" s="1">
        <f t="shared" ref="B161:E161" si="173">B53</f>
        <v>0.2813616563632495</v>
      </c>
      <c r="C161" s="1">
        <f t="shared" si="173"/>
        <v>-13.413457258228714</v>
      </c>
      <c r="D161" s="1">
        <f t="shared" si="173"/>
        <v>10.899582800400921</v>
      </c>
      <c r="E161" s="1">
        <f t="shared" si="173"/>
        <v>-7.8229850298466284</v>
      </c>
      <c r="F161" s="6">
        <f t="shared" si="134"/>
        <v>1</v>
      </c>
      <c r="G161" s="6">
        <f t="shared" si="135"/>
        <v>0</v>
      </c>
      <c r="H161" s="1">
        <f>IF(AND(F161=0,G161=0),0,IF(C161&gt;E161,B161+(F161*(D161-B161)),B161+(G161*(D161-B161))))</f>
        <v>0.2813616563632495</v>
      </c>
      <c r="I161" s="1">
        <f t="shared" si="137"/>
        <v>-13.413457258228714</v>
      </c>
      <c r="J161">
        <f t="shared" si="138"/>
        <v>10.899582800400921</v>
      </c>
      <c r="K161">
        <f t="shared" si="139"/>
        <v>-7.8229850298466284</v>
      </c>
      <c r="M161" s="9">
        <f t="shared" si="140"/>
        <v>93189.452273665229</v>
      </c>
      <c r="N161" s="9">
        <f t="shared" si="141"/>
        <v>-895573.89915634796</v>
      </c>
      <c r="O161" s="9">
        <f t="shared" si="142"/>
        <v>349691.33693998674</v>
      </c>
      <c r="P161">
        <f t="shared" si="124"/>
        <v>-20117.3816480614</v>
      </c>
      <c r="Q161">
        <f t="shared" si="143"/>
        <v>85572.754929485382</v>
      </c>
      <c r="R161">
        <f t="shared" si="125"/>
        <v>106658.15544740621</v>
      </c>
      <c r="S161">
        <f t="shared" si="126"/>
        <v>-10411.102405693282</v>
      </c>
      <c r="T161" s="54">
        <f t="shared" si="144"/>
        <v>1762488.9847347601</v>
      </c>
      <c r="U161" s="55">
        <f t="shared" si="127"/>
        <v>-42136.282315485449</v>
      </c>
      <c r="V161" s="55">
        <f t="shared" si="128"/>
        <v>194611.1939764565</v>
      </c>
      <c r="W161" s="55">
        <f t="shared" si="129"/>
        <v>56750.486761510743</v>
      </c>
      <c r="X161" s="55">
        <f t="shared" si="130"/>
        <v>-41644.409622773128</v>
      </c>
      <c r="Y161" s="54">
        <f t="shared" si="131"/>
        <v>47150.864583677198</v>
      </c>
      <c r="Z161" s="54">
        <f t="shared" si="132"/>
        <v>1809639.8493184373</v>
      </c>
      <c r="AB161">
        <f t="shared" si="145"/>
        <v>1344.3338064015875</v>
      </c>
      <c r="AC161">
        <f t="shared" si="146"/>
        <v>-7865.0236917475631</v>
      </c>
      <c r="AD161">
        <f t="shared" si="147"/>
        <v>173.34390842346511</v>
      </c>
      <c r="AE161">
        <f t="shared" si="148"/>
        <v>1552.3369113964134</v>
      </c>
      <c r="AF161">
        <f t="shared" si="149"/>
        <v>88.003161168274104</v>
      </c>
      <c r="AG161">
        <f t="shared" si="150"/>
        <v>-4707.0059043578221</v>
      </c>
      <c r="AH161" s="52">
        <f t="shared" si="151"/>
        <v>-372.62721194245159</v>
      </c>
      <c r="AI161">
        <f t="shared" si="152"/>
        <v>1198.006737983914</v>
      </c>
      <c r="AJ161">
        <f t="shared" si="153"/>
        <v>-7865.0236917475631</v>
      </c>
      <c r="AK161">
        <f t="shared" si="154"/>
        <v>346.68781684693022</v>
      </c>
      <c r="AL161">
        <f t="shared" si="155"/>
        <v>776.16845569820669</v>
      </c>
      <c r="AM161">
        <f t="shared" si="156"/>
        <v>264.0094835048223</v>
      </c>
      <c r="AN161">
        <f t="shared" si="157"/>
        <v>-5280.1511977136906</v>
      </c>
      <c r="AO161" s="52">
        <f t="shared" si="158"/>
        <v>-16192.769941413599</v>
      </c>
      <c r="AP161">
        <f t="shared" si="159"/>
        <v>749.89546918338488</v>
      </c>
      <c r="AQ161">
        <f t="shared" si="160"/>
        <v>-7865.0236917475631</v>
      </c>
      <c r="AR161">
        <f t="shared" si="161"/>
        <v>520.03172527039521</v>
      </c>
      <c r="AS161">
        <f t="shared" si="162"/>
        <v>258.7228185660689</v>
      </c>
      <c r="AT161">
        <f t="shared" si="163"/>
        <v>528.0189670096446</v>
      </c>
      <c r="AU161">
        <f t="shared" si="164"/>
        <v>-5808.3547117180697</v>
      </c>
      <c r="AV161" s="52">
        <f t="shared" si="165"/>
        <v>-690037.79760719661</v>
      </c>
      <c r="AW161" s="52">
        <f t="shared" si="166"/>
        <v>-706603.19476055261</v>
      </c>
      <c r="BC161">
        <v>2.7750735106709774</v>
      </c>
      <c r="BD161">
        <v>-126.61821511918572</v>
      </c>
      <c r="BE161">
        <v>33.120696026514324</v>
      </c>
      <c r="BF161" s="6">
        <f t="shared" si="167"/>
        <v>2.8857459250147408</v>
      </c>
      <c r="BG161" s="6">
        <f t="shared" si="168"/>
        <v>0.1106724143437634</v>
      </c>
      <c r="BH161" s="6">
        <f t="shared" si="169"/>
        <v>1.086806544818808E-2</v>
      </c>
      <c r="BI161" s="6">
        <f t="shared" si="170"/>
        <v>1.086806544818808E-2</v>
      </c>
      <c r="BV161" s="38"/>
      <c r="BW161" s="6">
        <f t="shared" si="104"/>
        <v>2.5481807079117171</v>
      </c>
      <c r="BX161" s="9">
        <f t="shared" ca="1" si="105"/>
        <v>50.944055438330892</v>
      </c>
      <c r="BY161" s="9">
        <f t="shared" ca="1" si="106"/>
        <v>-11.269810803008777</v>
      </c>
      <c r="BZ161">
        <f t="shared" ca="1" si="107"/>
        <v>52.175716765937629</v>
      </c>
      <c r="CA161" s="6">
        <f t="shared" ca="1" si="108"/>
        <v>0.97639397397965766</v>
      </c>
      <c r="CB161" s="6">
        <f t="shared" ca="1" si="109"/>
        <v>-0.21599723974211227</v>
      </c>
      <c r="CC161" s="6">
        <f t="shared" ca="1" si="110"/>
        <v>-0.2177130644132925</v>
      </c>
      <c r="CD161" s="6">
        <f t="shared" ca="1" si="111"/>
        <v>-76.932044109166583</v>
      </c>
      <c r="CE161" s="9">
        <f t="shared" ca="1" si="112"/>
        <v>23.932473693287335</v>
      </c>
      <c r="CF161">
        <f t="shared" ca="1" si="113"/>
        <v>80.568621112034947</v>
      </c>
      <c r="CG161" s="6">
        <f t="shared" ca="1" si="114"/>
        <v>-0.95486360629392542</v>
      </c>
      <c r="CH161" s="6">
        <f t="shared" ca="1" si="115"/>
        <v>0.29704459829352126</v>
      </c>
      <c r="CI161" s="6">
        <f t="shared" ca="1" si="116"/>
        <v>2.8399965995300791</v>
      </c>
      <c r="CJ161" s="1">
        <f t="shared" ca="1" si="117"/>
        <v>5.6617390932849787E-2</v>
      </c>
      <c r="CK161" s="38"/>
    </row>
    <row r="162" spans="1:89" x14ac:dyDescent="0.25">
      <c r="A162" s="1" t="s">
        <v>48</v>
      </c>
      <c r="B162" s="1">
        <f t="shared" ref="B162:E162" si="174">B54</f>
        <v>10.899582800400921</v>
      </c>
      <c r="C162" s="1">
        <f t="shared" si="174"/>
        <v>-7.8229850298466284</v>
      </c>
      <c r="D162" s="1">
        <f t="shared" si="174"/>
        <v>7.172601314812864</v>
      </c>
      <c r="E162" s="1">
        <f t="shared" si="174"/>
        <v>-0.74417093382151434</v>
      </c>
      <c r="F162" s="6">
        <f t="shared" si="134"/>
        <v>1</v>
      </c>
      <c r="G162" s="6">
        <f t="shared" si="135"/>
        <v>0</v>
      </c>
      <c r="H162" s="1">
        <f t="shared" si="136"/>
        <v>10.899582800400921</v>
      </c>
      <c r="I162" s="1">
        <f t="shared" si="137"/>
        <v>-7.8229850298466284</v>
      </c>
      <c r="J162">
        <f t="shared" si="138"/>
        <v>7.172601314812864</v>
      </c>
      <c r="K162">
        <f t="shared" si="139"/>
        <v>-0.74417093382151389</v>
      </c>
      <c r="M162" s="9">
        <f t="shared" si="140"/>
        <v>241555.85447227905</v>
      </c>
      <c r="N162" s="9">
        <f t="shared" si="141"/>
        <v>-1063472.5865128774</v>
      </c>
      <c r="O162" s="9">
        <f t="shared" si="142"/>
        <v>1098928.6795771038</v>
      </c>
      <c r="P162">
        <f t="shared" si="124"/>
        <v>-3105.069968978783</v>
      </c>
      <c r="Q162">
        <f t="shared" si="143"/>
        <v>60955.904784677397</v>
      </c>
      <c r="R162">
        <f t="shared" si="125"/>
        <v>11625.10643069266</v>
      </c>
      <c r="S162">
        <f t="shared" si="126"/>
        <v>-2065.3422371957654</v>
      </c>
      <c r="T162" s="54">
        <f t="shared" si="144"/>
        <v>483509.35108567838</v>
      </c>
      <c r="U162" s="55">
        <f t="shared" si="127"/>
        <v>-8725.8053553037844</v>
      </c>
      <c r="V162" s="55">
        <f t="shared" si="128"/>
        <v>122502.55665875359</v>
      </c>
      <c r="W162" s="55">
        <f t="shared" si="129"/>
        <v>5826.6020985888836</v>
      </c>
      <c r="X162" s="55">
        <f t="shared" si="130"/>
        <v>-8261.3689487830616</v>
      </c>
      <c r="Y162" s="54">
        <f t="shared" si="131"/>
        <v>1213581.1787092118</v>
      </c>
      <c r="Z162" s="54">
        <f t="shared" si="132"/>
        <v>1697090.5297948902</v>
      </c>
      <c r="AB162">
        <f t="shared" si="145"/>
        <v>545.14594741551548</v>
      </c>
      <c r="AC162">
        <f t="shared" si="146"/>
        <v>-7865.0236917475631</v>
      </c>
      <c r="AD162">
        <f t="shared" si="147"/>
        <v>16.489549412609581</v>
      </c>
      <c r="AE162">
        <f t="shared" si="148"/>
        <v>528.0189670096446</v>
      </c>
      <c r="AF162">
        <f t="shared" si="149"/>
        <v>0.79634027482821201</v>
      </c>
      <c r="AG162">
        <f t="shared" si="150"/>
        <v>-6774.5728876349658</v>
      </c>
      <c r="AH162" s="52">
        <f t="shared" si="151"/>
        <v>-804825.39154884219</v>
      </c>
      <c r="AI162">
        <f t="shared" si="152"/>
        <v>380.17344637375714</v>
      </c>
      <c r="AJ162">
        <f t="shared" si="153"/>
        <v>-7865.0236917475631</v>
      </c>
      <c r="AK162">
        <f t="shared" si="154"/>
        <v>32.979098825219161</v>
      </c>
      <c r="AL162">
        <f t="shared" si="155"/>
        <v>264.0094835048223</v>
      </c>
      <c r="AM162">
        <f t="shared" si="156"/>
        <v>2.389020824484636</v>
      </c>
      <c r="AN162">
        <f t="shared" si="157"/>
        <v>-7185.4726422192798</v>
      </c>
      <c r="AO162" s="52">
        <f t="shared" si="158"/>
        <v>-561748.48082608858</v>
      </c>
      <c r="AP162">
        <f t="shared" si="159"/>
        <v>198.45813056858543</v>
      </c>
      <c r="AQ162">
        <f t="shared" si="160"/>
        <v>-7865.0236917475631</v>
      </c>
      <c r="AR162">
        <f t="shared" si="161"/>
        <v>49.468648237828738</v>
      </c>
      <c r="AS162">
        <f t="shared" si="162"/>
        <v>88.003161168274104</v>
      </c>
      <c r="AT162">
        <f t="shared" si="163"/>
        <v>4.7780416489692721</v>
      </c>
      <c r="AU162">
        <f t="shared" si="164"/>
        <v>-7524.3157101239058</v>
      </c>
      <c r="AV162" s="52">
        <f t="shared" si="165"/>
        <v>-387097.52327953832</v>
      </c>
      <c r="AW162" s="52">
        <f t="shared" si="166"/>
        <v>-1753671.3956544693</v>
      </c>
      <c r="BC162">
        <v>2.7925268031909205</v>
      </c>
      <c r="BD162">
        <v>-126.72360099268433</v>
      </c>
      <c r="BE162">
        <v>32.909577325375608</v>
      </c>
      <c r="BF162" s="6">
        <f t="shared" si="167"/>
        <v>2.8875096253862655</v>
      </c>
      <c r="BG162" s="6">
        <f t="shared" si="168"/>
        <v>9.498282219534504E-2</v>
      </c>
      <c r="BH162" s="6">
        <f t="shared" si="169"/>
        <v>9.1043650766633455E-3</v>
      </c>
      <c r="BI162" s="6">
        <f t="shared" si="170"/>
        <v>9.1043650766633455E-3</v>
      </c>
      <c r="BV162" s="38"/>
      <c r="BW162" s="6">
        <f t="shared" si="104"/>
        <v>2.5656340004316602</v>
      </c>
      <c r="BX162" s="9">
        <f t="shared" ca="1" si="105"/>
        <v>51.099273379393509</v>
      </c>
      <c r="BY162" s="9">
        <f t="shared" ca="1" si="106"/>
        <v>-11.046722548993781</v>
      </c>
      <c r="BZ162">
        <f t="shared" ca="1" si="107"/>
        <v>52.27968839785143</v>
      </c>
      <c r="CA162" s="6">
        <f t="shared" ca="1" si="108"/>
        <v>0.97742115428319132</v>
      </c>
      <c r="CB162" s="6">
        <f t="shared" ca="1" si="109"/>
        <v>-0.21130046653927215</v>
      </c>
      <c r="CC162" s="6">
        <f t="shared" ca="1" si="110"/>
        <v>-0.21290527672877119</v>
      </c>
      <c r="CD162" s="6">
        <f t="shared" ca="1" si="111"/>
        <v>-77.087262050229199</v>
      </c>
      <c r="CE162" s="9">
        <f t="shared" ca="1" si="112"/>
        <v>23.709385439272339</v>
      </c>
      <c r="CF162">
        <f t="shared" ca="1" si="113"/>
        <v>80.650982190601283</v>
      </c>
      <c r="CG162" s="6">
        <f t="shared" ca="1" si="114"/>
        <v>-0.95581305963577734</v>
      </c>
      <c r="CH162" s="6">
        <f t="shared" ca="1" si="115"/>
        <v>0.29397516056581052</v>
      </c>
      <c r="CI162" s="6">
        <f t="shared" ca="1" si="116"/>
        <v>2.843209529422384</v>
      </c>
      <c r="CJ162" s="1">
        <f t="shared" ca="1" si="117"/>
        <v>5.3404461040544859E-2</v>
      </c>
      <c r="CK162" s="38"/>
    </row>
    <row r="163" spans="1:89" x14ac:dyDescent="0.25">
      <c r="A163" s="1" t="s">
        <v>93</v>
      </c>
      <c r="B163" s="1">
        <f t="shared" ref="B163:E163" si="175">B55</f>
        <v>7.172601314812864</v>
      </c>
      <c r="C163" s="1">
        <f t="shared" si="175"/>
        <v>-0.74417093382151434</v>
      </c>
      <c r="D163" s="1">
        <f t="shared" si="175"/>
        <v>7.172601314812864</v>
      </c>
      <c r="E163" s="1">
        <f t="shared" si="175"/>
        <v>-0.74417093382151434</v>
      </c>
      <c r="F163" s="6">
        <f t="shared" si="134"/>
        <v>0</v>
      </c>
      <c r="G163" s="6">
        <f t="shared" si="135"/>
        <v>0</v>
      </c>
      <c r="H163" s="1">
        <f t="shared" si="136"/>
        <v>0</v>
      </c>
      <c r="I163" s="1">
        <f t="shared" si="137"/>
        <v>0</v>
      </c>
      <c r="J163">
        <f t="shared" si="138"/>
        <v>0</v>
      </c>
      <c r="K163">
        <f t="shared" si="139"/>
        <v>0</v>
      </c>
      <c r="M163" s="9">
        <f t="shared" si="140"/>
        <v>0</v>
      </c>
      <c r="N163" s="9">
        <f t="shared" si="141"/>
        <v>0</v>
      </c>
      <c r="O163" s="9">
        <f t="shared" si="142"/>
        <v>0</v>
      </c>
      <c r="P163">
        <f t="shared" si="124"/>
        <v>0</v>
      </c>
      <c r="Q163">
        <f t="shared" si="143"/>
        <v>0</v>
      </c>
      <c r="R163">
        <f t="shared" si="125"/>
        <v>0</v>
      </c>
      <c r="S163">
        <f t="shared" si="126"/>
        <v>0</v>
      </c>
      <c r="T163" s="54">
        <f t="shared" si="144"/>
        <v>0</v>
      </c>
      <c r="U163" s="55">
        <f t="shared" si="127"/>
        <v>0</v>
      </c>
      <c r="V163" s="55">
        <f t="shared" si="128"/>
        <v>0</v>
      </c>
      <c r="W163" s="55">
        <f t="shared" si="129"/>
        <v>0</v>
      </c>
      <c r="X163" s="55">
        <f t="shared" si="130"/>
        <v>0</v>
      </c>
      <c r="Y163" s="54">
        <f t="shared" si="131"/>
        <v>0</v>
      </c>
      <c r="Z163" s="54">
        <f t="shared" si="132"/>
        <v>0</v>
      </c>
      <c r="AB163">
        <f t="shared" si="145"/>
        <v>0</v>
      </c>
      <c r="AC163">
        <f t="shared" si="146"/>
        <v>-7865.0236917475631</v>
      </c>
      <c r="AD163">
        <f t="shared" si="147"/>
        <v>0</v>
      </c>
      <c r="AE163">
        <f t="shared" si="148"/>
        <v>0</v>
      </c>
      <c r="AF163">
        <f t="shared" si="149"/>
        <v>0</v>
      </c>
      <c r="AG163">
        <f t="shared" si="150"/>
        <v>-7865.0236917475631</v>
      </c>
      <c r="AH163" s="52">
        <f t="shared" si="151"/>
        <v>0</v>
      </c>
      <c r="AI163">
        <f t="shared" si="152"/>
        <v>0</v>
      </c>
      <c r="AJ163">
        <f t="shared" si="153"/>
        <v>-7865.0236917475631</v>
      </c>
      <c r="AK163">
        <f t="shared" si="154"/>
        <v>0</v>
      </c>
      <c r="AL163">
        <f t="shared" si="155"/>
        <v>0</v>
      </c>
      <c r="AM163">
        <f t="shared" si="156"/>
        <v>0</v>
      </c>
      <c r="AN163">
        <f t="shared" si="157"/>
        <v>-7865.0236917475631</v>
      </c>
      <c r="AO163" s="52">
        <f t="shared" si="158"/>
        <v>0</v>
      </c>
      <c r="AP163">
        <f t="shared" si="159"/>
        <v>0</v>
      </c>
      <c r="AQ163">
        <f t="shared" si="160"/>
        <v>-7865.0236917475631</v>
      </c>
      <c r="AR163">
        <f t="shared" si="161"/>
        <v>0</v>
      </c>
      <c r="AS163">
        <f t="shared" si="162"/>
        <v>0</v>
      </c>
      <c r="AT163">
        <f t="shared" si="163"/>
        <v>0</v>
      </c>
      <c r="AU163">
        <f t="shared" si="164"/>
        <v>-7865.0236917475631</v>
      </c>
      <c r="AV163" s="52">
        <f t="shared" si="165"/>
        <v>0</v>
      </c>
      <c r="AW163" s="52">
        <f t="shared" si="166"/>
        <v>0</v>
      </c>
      <c r="BC163">
        <v>2.8099800957108636</v>
      </c>
      <c r="BD163">
        <v>-126.82622543849564</v>
      </c>
      <c r="BE163">
        <v>32.698749351166668</v>
      </c>
      <c r="BF163" s="6">
        <f t="shared" si="167"/>
        <v>2.8892645947655446</v>
      </c>
      <c r="BG163" s="6">
        <f t="shared" si="168"/>
        <v>7.9284499054681046E-2</v>
      </c>
      <c r="BH163" s="6">
        <f t="shared" si="169"/>
        <v>7.3493956973842423E-3</v>
      </c>
      <c r="BI163" s="6">
        <f t="shared" si="170"/>
        <v>7.3493956973842423E-3</v>
      </c>
      <c r="BV163" s="38"/>
      <c r="BW163" s="6">
        <f t="shared" si="104"/>
        <v>2.5830872929516033</v>
      </c>
      <c r="BX163" s="9">
        <f t="shared" ca="1" si="105"/>
        <v>51.249441016247985</v>
      </c>
      <c r="BY163" s="9">
        <f t="shared" ca="1" si="106"/>
        <v>-10.825106202989137</v>
      </c>
      <c r="BZ163">
        <f t="shared" ca="1" si="107"/>
        <v>52.380226505656452</v>
      </c>
      <c r="CA163" s="6">
        <f t="shared" ca="1" si="108"/>
        <v>0.9784119778617919</v>
      </c>
      <c r="CB163" s="6">
        <f t="shared" ca="1" si="109"/>
        <v>-0.20666398229148841</v>
      </c>
      <c r="CC163" s="6">
        <f t="shared" ca="1" si="110"/>
        <v>-0.2081640996964603</v>
      </c>
      <c r="CD163" s="6">
        <f t="shared" ca="1" si="111"/>
        <v>-77.237429687083676</v>
      </c>
      <c r="CE163" s="9">
        <f t="shared" ca="1" si="112"/>
        <v>23.487769093267694</v>
      </c>
      <c r="CF163">
        <f t="shared" ca="1" si="113"/>
        <v>80.729770479333439</v>
      </c>
      <c r="CG163" s="6">
        <f t="shared" ca="1" si="114"/>
        <v>-0.95674036019780595</v>
      </c>
      <c r="CH163" s="6">
        <f t="shared" ca="1" si="115"/>
        <v>0.2909430926634492</v>
      </c>
      <c r="CI163" s="6">
        <f t="shared" ca="1" si="116"/>
        <v>2.8463802281654562</v>
      </c>
      <c r="CJ163" s="1">
        <f t="shared" ca="1" si="117"/>
        <v>5.0233762297472673E-2</v>
      </c>
      <c r="CK163" s="38"/>
    </row>
    <row r="164" spans="1:89" ht="15.75" thickBot="1" x14ac:dyDescent="0.3">
      <c r="A164" s="1" t="s">
        <v>94</v>
      </c>
      <c r="B164" s="1">
        <f t="shared" ref="B164:E164" si="176">B56</f>
        <v>7.172601314812864</v>
      </c>
      <c r="C164" s="1">
        <f t="shared" si="176"/>
        <v>-0.74417093382151434</v>
      </c>
      <c r="D164" s="1">
        <f t="shared" si="176"/>
        <v>-0.2813616563632495</v>
      </c>
      <c r="E164" s="1">
        <f t="shared" si="176"/>
        <v>13.413457258228714</v>
      </c>
      <c r="F164" s="6">
        <f t="shared" si="134"/>
        <v>0.27024514103857383</v>
      </c>
      <c r="G164" s="6">
        <f t="shared" si="135"/>
        <v>0</v>
      </c>
      <c r="H164" s="1">
        <f t="shared" si="136"/>
        <v>7.172601314812864</v>
      </c>
      <c r="I164" s="1">
        <f t="shared" si="137"/>
        <v>-0.74417093382151434</v>
      </c>
      <c r="J164">
        <f t="shared" si="138"/>
        <v>5.1582040403710678</v>
      </c>
      <c r="K164">
        <f t="shared" si="139"/>
        <v>3.0818592937107887</v>
      </c>
      <c r="M164" s="53">
        <f t="shared" si="140"/>
        <v>99302.388914209223</v>
      </c>
      <c r="N164" s="53">
        <f t="shared" si="141"/>
        <v>106576.2204514388</v>
      </c>
      <c r="O164" s="53">
        <f t="shared" si="142"/>
        <v>308618.57707981241</v>
      </c>
      <c r="P164">
        <f t="shared" si="124"/>
        <v>-9.81683470774216</v>
      </c>
      <c r="Q164">
        <f t="shared" si="143"/>
        <v>5964.7226616500975</v>
      </c>
      <c r="R164">
        <f t="shared" si="125"/>
        <v>-49235.43499380775</v>
      </c>
      <c r="S164">
        <f t="shared" si="126"/>
        <v>-1.7778398578757777</v>
      </c>
      <c r="T164" s="54">
        <f t="shared" si="144"/>
        <v>-223258.97087866094</v>
      </c>
      <c r="U164" s="55">
        <f t="shared" si="127"/>
        <v>-51.538382215646216</v>
      </c>
      <c r="V164" s="55">
        <f t="shared" si="128"/>
        <v>11848.135769530028</v>
      </c>
      <c r="W164" s="55">
        <f t="shared" si="129"/>
        <v>-24533.535021962518</v>
      </c>
      <c r="X164" s="55">
        <f t="shared" si="130"/>
        <v>-7.1113594315031108</v>
      </c>
      <c r="Y164" s="54">
        <f t="shared" si="131"/>
        <v>-91407.98257097516</v>
      </c>
      <c r="Z164" s="54">
        <f t="shared" si="132"/>
        <v>-314666.95344963612</v>
      </c>
      <c r="AB164">
        <f t="shared" si="145"/>
        <v>39.574918590263017</v>
      </c>
      <c r="AC164">
        <f t="shared" si="146"/>
        <v>-7865.0236917475631</v>
      </c>
      <c r="AD164">
        <f t="shared" si="147"/>
        <v>-68.288707334197895</v>
      </c>
      <c r="AE164">
        <f t="shared" si="148"/>
        <v>4.7780416489692774</v>
      </c>
      <c r="AF164">
        <f t="shared" si="149"/>
        <v>13.657741466839555</v>
      </c>
      <c r="AG164">
        <f t="shared" si="150"/>
        <v>-7875.3016973756885</v>
      </c>
      <c r="AH164" s="52">
        <f t="shared" si="151"/>
        <v>-405154.42195381678</v>
      </c>
      <c r="AI164">
        <f t="shared" si="152"/>
        <v>19.787459295131519</v>
      </c>
      <c r="AJ164">
        <f t="shared" si="153"/>
        <v>-7865.0236917475631</v>
      </c>
      <c r="AK164">
        <f t="shared" si="154"/>
        <v>-136.57741466839579</v>
      </c>
      <c r="AL164">
        <f t="shared" si="155"/>
        <v>2.3890208244846387</v>
      </c>
      <c r="AM164">
        <f t="shared" si="156"/>
        <v>40.97322440051866</v>
      </c>
      <c r="AN164">
        <f t="shared" si="157"/>
        <v>-7938.4514018958243</v>
      </c>
      <c r="AO164" s="52">
        <f t="shared" si="158"/>
        <v>-293704.76955968764</v>
      </c>
      <c r="AP164">
        <f t="shared" si="159"/>
        <v>6.5958197650438466</v>
      </c>
      <c r="AQ164">
        <f t="shared" si="160"/>
        <v>-7865.0236917475631</v>
      </c>
      <c r="AR164">
        <f t="shared" si="161"/>
        <v>-204.86612200259367</v>
      </c>
      <c r="AS164">
        <f t="shared" si="162"/>
        <v>0.79634027482821301</v>
      </c>
      <c r="AT164">
        <f t="shared" si="163"/>
        <v>81.94644880103732</v>
      </c>
      <c r="AU164">
        <f t="shared" si="164"/>
        <v>-7980.5512049092476</v>
      </c>
      <c r="AV164" s="52">
        <f t="shared" si="165"/>
        <v>-212339.07594537182</v>
      </c>
      <c r="AW164" s="52">
        <f t="shared" si="166"/>
        <v>-911198.26745887613</v>
      </c>
      <c r="BC164">
        <v>2.8274333882308067</v>
      </c>
      <c r="BD164">
        <v>-126.92619689861947</v>
      </c>
      <c r="BE164">
        <v>32.488123237447603</v>
      </c>
      <c r="BF164" s="6">
        <f t="shared" si="167"/>
        <v>2.8910117984852657</v>
      </c>
      <c r="BG164" s="6">
        <f t="shared" si="168"/>
        <v>6.3578410254458984E-2</v>
      </c>
      <c r="BH164" s="6">
        <f t="shared" si="169"/>
        <v>5.6021919776632068E-3</v>
      </c>
      <c r="BI164" s="6">
        <f t="shared" si="170"/>
        <v>5.6021919776632068E-3</v>
      </c>
      <c r="BV164" s="38"/>
      <c r="BW164" s="6">
        <f t="shared" si="104"/>
        <v>2.6005405854715464</v>
      </c>
      <c r="BX164" s="9">
        <f t="shared" ca="1" si="105"/>
        <v>51.394813389606483</v>
      </c>
      <c r="BY164" s="9">
        <f t="shared" ca="1" si="106"/>
        <v>-10.604867913666983</v>
      </c>
      <c r="BZ164">
        <f t="shared" ca="1" si="107"/>
        <v>52.477519632875158</v>
      </c>
      <c r="CA164" s="6">
        <f t="shared" ca="1" si="108"/>
        <v>0.97936818944867965</v>
      </c>
      <c r="CB164" s="6">
        <f t="shared" ca="1" si="109"/>
        <v>-0.2020840159340046</v>
      </c>
      <c r="CC164" s="6">
        <f t="shared" ca="1" si="110"/>
        <v>-0.2034853741897347</v>
      </c>
      <c r="CD164" s="6">
        <f t="shared" ca="1" si="111"/>
        <v>-77.382802060442174</v>
      </c>
      <c r="CE164" s="9">
        <f t="shared" ca="1" si="112"/>
        <v>23.26753080394554</v>
      </c>
      <c r="CF164">
        <f t="shared" ca="1" si="113"/>
        <v>80.805173376697411</v>
      </c>
      <c r="CG164" s="6">
        <f t="shared" ca="1" si="114"/>
        <v>-0.95764663110985693</v>
      </c>
      <c r="CH164" s="6">
        <f t="shared" ca="1" si="115"/>
        <v>0.28794605384332272</v>
      </c>
      <c r="CI164" s="6">
        <f t="shared" ca="1" si="116"/>
        <v>2.8495112945436327</v>
      </c>
      <c r="CJ164" s="1">
        <f t="shared" ca="1" si="117"/>
        <v>4.7102695919296167E-2</v>
      </c>
      <c r="CK164" s="38"/>
    </row>
    <row r="165" spans="1:89" ht="15.75" thickTop="1" x14ac:dyDescent="0.25">
      <c r="M165" s="9">
        <f>SUM(M157:M164)</f>
        <v>697150.73171570431</v>
      </c>
      <c r="N165" s="9">
        <f t="shared" ref="N165:O165" si="177">SUM(N157:N164)</f>
        <v>-2347016.8313193698</v>
      </c>
      <c r="O165" s="9">
        <f t="shared" si="177"/>
        <v>995403.37030002999</v>
      </c>
      <c r="AA165" s="52"/>
      <c r="AC165" s="52"/>
      <c r="BC165">
        <v>2.8448866807507498</v>
      </c>
      <c r="BD165">
        <v>-127.02361707243811</v>
      </c>
      <c r="BE165">
        <v>32.277610042721768</v>
      </c>
      <c r="BF165" s="6">
        <f t="shared" si="167"/>
        <v>2.8927521833708689</v>
      </c>
      <c r="BG165" s="6">
        <f t="shared" si="168"/>
        <v>4.7865502620119127E-2</v>
      </c>
      <c r="BH165" s="6">
        <f t="shared" si="169"/>
        <v>3.8618070920599656E-3</v>
      </c>
      <c r="BI165" s="6">
        <f t="shared" si="170"/>
        <v>3.8618070920599656E-3</v>
      </c>
      <c r="BV165" s="38"/>
      <c r="BW165" s="6">
        <f t="shared" si="104"/>
        <v>2.6179938779914895</v>
      </c>
      <c r="BX165" s="9">
        <f t="shared" ca="1" si="105"/>
        <v>51.535628506951937</v>
      </c>
      <c r="BY165" s="9">
        <f t="shared" ca="1" si="106"/>
        <v>-10.3859144118769</v>
      </c>
      <c r="BZ165">
        <f t="shared" ca="1" si="107"/>
        <v>52.57174358700108</v>
      </c>
      <c r="CA165" s="6">
        <f t="shared" ca="1" si="108"/>
        <v>0.98029140733492182</v>
      </c>
      <c r="CB165" s="6">
        <f t="shared" ca="1" si="109"/>
        <v>-0.1975569707839199</v>
      </c>
      <c r="CC165" s="6">
        <f t="shared" ca="1" si="110"/>
        <v>-0.19886514616190579</v>
      </c>
      <c r="CD165" s="6">
        <f t="shared" ca="1" si="111"/>
        <v>-77.523617177787628</v>
      </c>
      <c r="CE165" s="9">
        <f t="shared" ca="1" si="112"/>
        <v>23.048577302155458</v>
      </c>
      <c r="CF165">
        <f t="shared" ca="1" si="113"/>
        <v>80.877364793751809</v>
      </c>
      <c r="CG165" s="6">
        <f t="shared" ca="1" si="114"/>
        <v>-0.95853292667835199</v>
      </c>
      <c r="CH165" s="6">
        <f t="shared" ca="1" si="115"/>
        <v>0.2849818037584736</v>
      </c>
      <c r="CI165" s="6">
        <f t="shared" ca="1" si="116"/>
        <v>2.8526052088986229</v>
      </c>
      <c r="CJ165" s="1">
        <f t="shared" ca="1" si="117"/>
        <v>4.4008781564305988E-2</v>
      </c>
      <c r="CK165" s="38"/>
    </row>
    <row r="166" spans="1:89" x14ac:dyDescent="0.25">
      <c r="A166" t="s">
        <v>188</v>
      </c>
      <c r="M166" s="9"/>
      <c r="BC166">
        <v>2.8623399732706929</v>
      </c>
      <c r="BD166">
        <v>-127.11858131277839</v>
      </c>
      <c r="BE166">
        <v>32.067120660505786</v>
      </c>
      <c r="BF166" s="6">
        <f t="shared" si="167"/>
        <v>2.894486679775961</v>
      </c>
      <c r="BG166" s="6">
        <f t="shared" si="168"/>
        <v>3.2146706505268074E-2</v>
      </c>
      <c r="BH166" s="6">
        <f t="shared" si="169"/>
        <v>2.1273106869679204E-3</v>
      </c>
      <c r="BI166" s="6">
        <f t="shared" si="170"/>
        <v>2.1273106869679204E-3</v>
      </c>
      <c r="BV166" s="38"/>
      <c r="BW166" s="6">
        <f t="shared" si="104"/>
        <v>2.6354471705114326</v>
      </c>
      <c r="BX166" s="9">
        <f t="shared" ca="1" si="105"/>
        <v>51.672108653502093</v>
      </c>
      <c r="BY166" s="9">
        <f t="shared" ca="1" si="106"/>
        <v>-10.168153016547297</v>
      </c>
      <c r="BZ166">
        <f t="shared" ca="1" si="107"/>
        <v>52.663062467608604</v>
      </c>
      <c r="CA166" s="6">
        <f t="shared" ca="1" si="108"/>
        <v>0.98118313353470443</v>
      </c>
      <c r="CB166" s="6">
        <f t="shared" ca="1" si="109"/>
        <v>-0.19307940974381063</v>
      </c>
      <c r="CC166" s="6">
        <f t="shared" ca="1" si="110"/>
        <v>-0.19429964896132965</v>
      </c>
      <c r="CD166" s="6">
        <f t="shared" ca="1" si="111"/>
        <v>-77.660097324337784</v>
      </c>
      <c r="CE166" s="9">
        <f t="shared" ca="1" si="112"/>
        <v>22.830815906825855</v>
      </c>
      <c r="CF166">
        <f t="shared" ca="1" si="113"/>
        <v>80.946506233419299</v>
      </c>
      <c r="CG166" s="6">
        <f t="shared" ca="1" si="114"/>
        <v>-0.95940023773719463</v>
      </c>
      <c r="CH166" s="6">
        <f t="shared" ca="1" si="115"/>
        <v>0.28204819416159066</v>
      </c>
      <c r="CI166" s="6">
        <f t="shared" ca="1" si="116"/>
        <v>2.8556643429326041</v>
      </c>
      <c r="CJ166" s="1">
        <f t="shared" ca="1" si="117"/>
        <v>4.0949647530324824E-2</v>
      </c>
      <c r="CK166" s="38"/>
    </row>
    <row r="167" spans="1:89" x14ac:dyDescent="0.25">
      <c r="B167" t="str">
        <f t="shared" ref="B167:E167" si="178">B156</f>
        <v>xi (in)</v>
      </c>
      <c r="C167" t="str">
        <f t="shared" si="178"/>
        <v>yi (in)</v>
      </c>
      <c r="D167" t="str">
        <f t="shared" si="178"/>
        <v>xj (in)</v>
      </c>
      <c r="E167" t="str">
        <f t="shared" si="178"/>
        <v>yj (in)</v>
      </c>
      <c r="F167" s="1" t="s">
        <v>189</v>
      </c>
      <c r="G167" s="1" t="s">
        <v>190</v>
      </c>
      <c r="H167" s="1" t="s">
        <v>184</v>
      </c>
      <c r="I167" s="1" t="s">
        <v>185</v>
      </c>
      <c r="J167" s="1" t="s">
        <v>186</v>
      </c>
      <c r="K167" s="1" t="s">
        <v>187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-127.21117898180705</v>
      </c>
      <c r="BE167">
        <v>31.856565725692697</v>
      </c>
      <c r="BF167" s="6">
        <f t="shared" si="167"/>
        <v>2.8962162035204573</v>
      </c>
      <c r="BG167" s="6">
        <f t="shared" si="168"/>
        <v>1.6422937729821285E-2</v>
      </c>
      <c r="BH167" s="6">
        <f t="shared" si="169"/>
        <v>3.9778694247161184E-4</v>
      </c>
      <c r="BI167" s="6">
        <f t="shared" si="170"/>
        <v>3.9778694247161184E-4</v>
      </c>
      <c r="BV167" s="38"/>
      <c r="BW167" s="6">
        <f t="shared" si="104"/>
        <v>2.6529004630313757</v>
      </c>
      <c r="BX167" s="9">
        <f t="shared" ca="1" si="105"/>
        <v>51.804461582152911</v>
      </c>
      <c r="BY167" s="9">
        <f t="shared" ca="1" si="106"/>
        <v>-9.951491626450288</v>
      </c>
      <c r="BZ167">
        <f t="shared" ca="1" si="107"/>
        <v>52.751629599549503</v>
      </c>
      <c r="CA167" s="6">
        <f t="shared" ca="1" si="108"/>
        <v>0.98204476289004194</v>
      </c>
      <c r="CB167" s="6">
        <f t="shared" ca="1" si="109"/>
        <v>-0.18864804181395892</v>
      </c>
      <c r="CC167" s="6">
        <f t="shared" ca="1" si="110"/>
        <v>-0.18978528726936494</v>
      </c>
      <c r="CD167" s="6">
        <f t="shared" ca="1" si="111"/>
        <v>-77.792450252988601</v>
      </c>
      <c r="CE167" s="9">
        <f t="shared" ca="1" si="112"/>
        <v>22.614154516728846</v>
      </c>
      <c r="CF167">
        <f t="shared" ca="1" si="113"/>
        <v>81.012747767682797</v>
      </c>
      <c r="CG167" s="6">
        <f t="shared" ca="1" si="114"/>
        <v>-0.96024949648752911</v>
      </c>
      <c r="CH167" s="6">
        <f t="shared" ca="1" si="115"/>
        <v>0.27914316129084527</v>
      </c>
      <c r="CI167" s="6">
        <f t="shared" ca="1" si="116"/>
        <v>2.8586909686772195</v>
      </c>
      <c r="CJ167" s="1">
        <f t="shared" ca="1" si="117"/>
        <v>3.7923021785709388E-2</v>
      </c>
      <c r="CK167" s="38"/>
    </row>
    <row r="168" spans="1:89" x14ac:dyDescent="0.25">
      <c r="A168" s="1" t="str">
        <f t="shared" ref="A168:E175" si="179">A157</f>
        <v>Segment 1</v>
      </c>
      <c r="B168" s="1">
        <f t="shared" si="179"/>
        <v>-0.2813616563632495</v>
      </c>
      <c r="C168" s="1">
        <f t="shared" si="179"/>
        <v>13.413457258228714</v>
      </c>
      <c r="D168" s="1">
        <f t="shared" si="179"/>
        <v>-10.899582800400921</v>
      </c>
      <c r="E168" s="1">
        <f t="shared" si="179"/>
        <v>7.8229850298466284</v>
      </c>
      <c r="F168" s="6">
        <f>IF(E168-C168=0,0,MIN(MAX(($B$148-C168)/(E168-C168),0),1))</f>
        <v>0</v>
      </c>
      <c r="G168" s="6">
        <f>IF(E168-C168=0,0,MIN(MAX(($B$152-C168)/(E168-C168),0),1))</f>
        <v>1</v>
      </c>
      <c r="H168" s="1">
        <f>IF(AND(F168=0,G168=0),0,IF(C168&gt;E168,B168+(F168*(D168-B168)),B168+(G168*(D168-B168))))</f>
        <v>-0.2813616563632495</v>
      </c>
      <c r="I168" s="1">
        <f>IF(AND(F168=0,G168=0),0,IF(C168&gt;E168,C168+(F168*(E168-C168)),C168+(G168*(E168-C168))))</f>
        <v>13.413457258228714</v>
      </c>
      <c r="J168">
        <f>IF(AND(F168=0,G168=0),0,IF(C168&gt;E168,B168+(G168*(D168-B168)),B168+(F168*(D168-B168))))</f>
        <v>-10.899582800400921</v>
      </c>
      <c r="K168">
        <f>IF(AND(F168=0,G168=0),0,IF(C168&gt;E168,C168+(G168*(E168-C168)),C168+(F168*(E168-C168))))</f>
        <v>7.8229850298466284</v>
      </c>
      <c r="L168" s="6">
        <f>0.85*$B$143</f>
        <v>4250</v>
      </c>
      <c r="M168" s="6">
        <f>L168</f>
        <v>4250</v>
      </c>
      <c r="N168" s="10">
        <f t="shared" ref="N168" si="180">(1/6)*(K168-I168)*((L168*((2*H168)+J168))+(M168*(H168+(2*J168))))</f>
        <v>132826.8638793233</v>
      </c>
      <c r="O168" s="10">
        <f t="shared" ref="O168" si="181">((1/12)*(K168-I168)*(L168*H168*((3*I168)+K168)+L168*J168*(I168+K168)+M168*H168*(I168+K168)+M168*J168*(I168+(3*K168))))</f>
        <v>1292852.9299946737</v>
      </c>
      <c r="P168" s="10">
        <f>((1/24)*(K168-I168)*(H168*H168*((3*L168)+M168)+2*H168*J168*(L168+M168)+J168*J168*(L168+(3*M168))))</f>
        <v>-482899.28476978024</v>
      </c>
      <c r="BC168">
        <v>2.8972465583105791</v>
      </c>
      <c r="BD168">
        <v>-127.30149378118827</v>
      </c>
      <c r="BE168">
        <v>31.64585551838605</v>
      </c>
      <c r="BF168" s="6">
        <f t="shared" si="167"/>
        <v>2.897941657755605</v>
      </c>
      <c r="BG168" s="6">
        <f t="shared" si="168"/>
        <v>6.9509944502588183E-4</v>
      </c>
      <c r="BH168" s="6">
        <f t="shared" si="169"/>
        <v>-1.3276672926760824E-3</v>
      </c>
      <c r="BI168" s="6">
        <f t="shared" si="170"/>
        <v>1.3276672926760824E-3</v>
      </c>
      <c r="BV168" s="38"/>
      <c r="BW168" s="6">
        <f t="shared" si="104"/>
        <v>2.6703537555513188</v>
      </c>
      <c r="BX168" s="9">
        <f t="shared" ca="1" si="105"/>
        <v>51.932881593360108</v>
      </c>
      <c r="BY168" s="9">
        <f t="shared" ca="1" si="106"/>
        <v>-9.735838699401878</v>
      </c>
      <c r="BZ168">
        <f t="shared" ca="1" si="107"/>
        <v>52.837588379587615</v>
      </c>
      <c r="CA168" s="6">
        <f t="shared" ca="1" si="108"/>
        <v>0.98287759123811536</v>
      </c>
      <c r="CB168" s="6">
        <f t="shared" ca="1" si="109"/>
        <v>-0.18425970976304168</v>
      </c>
      <c r="CC168" s="6">
        <f t="shared" ca="1" si="110"/>
        <v>-0.18531862247144759</v>
      </c>
      <c r="CD168" s="6">
        <f t="shared" ca="1" si="111"/>
        <v>-77.920870264195798</v>
      </c>
      <c r="CE168" s="9">
        <f t="shared" ca="1" si="112"/>
        <v>22.398501589680436</v>
      </c>
      <c r="CF168">
        <f t="shared" ca="1" si="113"/>
        <v>81.076228921876663</v>
      </c>
      <c r="CG168" s="6">
        <f t="shared" ca="1" si="114"/>
        <v>-0.96108158088209428</v>
      </c>
      <c r="CH168" s="6">
        <f t="shared" ca="1" si="115"/>
        <v>0.27626471886430681</v>
      </c>
      <c r="CI168" s="6">
        <f t="shared" ca="1" si="116"/>
        <v>2.8616872667196906</v>
      </c>
      <c r="CJ168" s="1">
        <f t="shared" ca="1" si="117"/>
        <v>3.4926723743238249E-2</v>
      </c>
      <c r="CK168" s="38"/>
    </row>
    <row r="169" spans="1:89" x14ac:dyDescent="0.25">
      <c r="A169" s="1" t="str">
        <f t="shared" si="179"/>
        <v>Segment 2</v>
      </c>
      <c r="B169" s="1">
        <f t="shared" si="179"/>
        <v>-10.899582800400921</v>
      </c>
      <c r="C169" s="1">
        <f t="shared" si="179"/>
        <v>7.8229850298466284</v>
      </c>
      <c r="D169" s="1">
        <f t="shared" si="179"/>
        <v>-3.4456198292248073</v>
      </c>
      <c r="E169" s="1">
        <f t="shared" si="179"/>
        <v>-6.3346431622035997</v>
      </c>
      <c r="F169" s="6">
        <f t="shared" ref="F169:F175" si="182">IF(E169-C169=0,0,MIN(MAX(($B$148-C169)/(E169-C169),0),1))</f>
        <v>0</v>
      </c>
      <c r="G169" s="6">
        <f t="shared" ref="G169:G175" si="183">IF(E169-C169=0,0,MIN(MAX(($B$152-C169)/(E169-C169),0),1))</f>
        <v>0.33488135666665336</v>
      </c>
      <c r="H169" s="1">
        <f t="shared" ref="H169:H175" si="184">IF(AND(F169=0,G169=0),0,IF(C169&gt;E169,B169+(F169*(D169-B169)),B169+(G169*(D169-B169))))</f>
        <v>-10.899582800400921</v>
      </c>
      <c r="I169" s="1">
        <f t="shared" ref="I169:I175" si="185">IF(AND(F169=0,G169=0),0,IF(C169&gt;E169,C169+(F169*(E169-C169)),C169+(G169*(E169-C169))))</f>
        <v>7.8229850298466284</v>
      </c>
      <c r="J169">
        <f t="shared" ref="J169:J175" si="186">IF(AND(F169=0,G169=0),0,IF(C169&gt;E169,B169+(G169*(D169-B169)),B169+(F169*(D169-B169))))</f>
        <v>-8.403389568070466</v>
      </c>
      <c r="K169">
        <f t="shared" ref="K169:K175" si="187">IF(AND(F169=0,G169=0),0,IF(C169&gt;E169,C169+(G169*(E169-C169)),C169+(F169*(E169-C169))))</f>
        <v>3.0818592937107887</v>
      </c>
      <c r="L169" s="6">
        <f t="shared" ref="L169:L175" si="188">0.85*$B$143</f>
        <v>4250</v>
      </c>
      <c r="M169" s="6">
        <f t="shared" ref="M169:M175" si="189">L169</f>
        <v>4250</v>
      </c>
      <c r="N169" s="10">
        <f t="shared" ref="N169:N175" si="190">(1/6)*(K169-I169)*((L169*((2*H169)+J169))+(M169*(H169+(2*J169))))</f>
        <v>194475.36554516718</v>
      </c>
      <c r="O169" s="10">
        <f t="shared" ref="O169:O175" si="191">((1/12)*(K169-I169)*(L169*H169*((3*I169)+K169)+L169*J169*(I169+K169)+M169*H169*(I169+K169)+M169*J169*(I169+(3*K169))))</f>
        <v>1080234.1249010474</v>
      </c>
      <c r="P169" s="10">
        <f t="shared" ref="P169:P175" si="192">((1/24)*(K169-I169)*(H169*H169*((3*L169)+M169)+2*H169*J169*(L169+M169)+J169*J169*(L169+(3*M169))))</f>
        <v>-943719.52339283784</v>
      </c>
      <c r="BC169">
        <v>2.9146998508305222</v>
      </c>
      <c r="BD169">
        <v>-127.38960404977917</v>
      </c>
      <c r="BE169">
        <v>31.434899864632808</v>
      </c>
      <c r="BF169" s="6">
        <f t="shared" si="167"/>
        <v>2.8996639347525326</v>
      </c>
      <c r="BG169" s="6">
        <f t="shared" si="168"/>
        <v>1.5035916077989597E-2</v>
      </c>
      <c r="BH169" s="6">
        <f t="shared" si="169"/>
        <v>-3.049944289603701E-3</v>
      </c>
      <c r="BI169" s="6">
        <f t="shared" si="170"/>
        <v>3.049944289603701E-3</v>
      </c>
      <c r="BV169" s="38"/>
      <c r="BW169" s="6">
        <f t="shared" si="104"/>
        <v>2.6878070480712619</v>
      </c>
      <c r="BX169" s="9">
        <f t="shared" ca="1" si="105"/>
        <v>52.057550521502137</v>
      </c>
      <c r="BY169" s="9">
        <f t="shared" ca="1" si="106"/>
        <v>-9.5211032211819351</v>
      </c>
      <c r="BZ169">
        <f t="shared" ca="1" si="107"/>
        <v>52.921073050790916</v>
      </c>
      <c r="CA169" s="6">
        <f t="shared" ca="1" si="108"/>
        <v>0.98368282274888841</v>
      </c>
      <c r="CB169" s="6">
        <f t="shared" ca="1" si="109"/>
        <v>-0.17991137881962582</v>
      </c>
      <c r="CC169" s="6">
        <f t="shared" ca="1" si="110"/>
        <v>-0.18089635928949063</v>
      </c>
      <c r="CD169" s="6">
        <f t="shared" ca="1" si="111"/>
        <v>-78.045539192337827</v>
      </c>
      <c r="CE169" s="9">
        <f t="shared" ca="1" si="112"/>
        <v>22.183766111460493</v>
      </c>
      <c r="CF169">
        <f t="shared" ca="1" si="113"/>
        <v>81.137079481028422</v>
      </c>
      <c r="CG169" s="6">
        <f t="shared" ca="1" si="114"/>
        <v>-0.961897318606181</v>
      </c>
      <c r="CH169" s="6">
        <f t="shared" ca="1" si="115"/>
        <v>0.27341095160625706</v>
      </c>
      <c r="CI169" s="6">
        <f t="shared" ca="1" si="116"/>
        <v>2.8646553337783627</v>
      </c>
      <c r="CJ169" s="1">
        <f t="shared" ca="1" si="117"/>
        <v>3.1958656684566211E-2</v>
      </c>
      <c r="CK169" s="38"/>
    </row>
    <row r="170" spans="1:89" x14ac:dyDescent="0.25">
      <c r="A170" s="1" t="str">
        <f t="shared" si="179"/>
        <v>Segment 3</v>
      </c>
      <c r="B170" s="1">
        <f t="shared" si="179"/>
        <v>-3.4456198292248073</v>
      </c>
      <c r="C170" s="1">
        <f t="shared" si="179"/>
        <v>-6.3346431622035997</v>
      </c>
      <c r="D170" s="1">
        <f t="shared" si="179"/>
        <v>-3.4456198292248073</v>
      </c>
      <c r="E170" s="1">
        <f t="shared" si="179"/>
        <v>-6.3346431622035997</v>
      </c>
      <c r="F170" s="6">
        <f t="shared" si="182"/>
        <v>0</v>
      </c>
      <c r="G170" s="6">
        <f t="shared" si="183"/>
        <v>0</v>
      </c>
      <c r="H170" s="1">
        <f t="shared" si="184"/>
        <v>0</v>
      </c>
      <c r="I170" s="1">
        <f t="shared" si="185"/>
        <v>0</v>
      </c>
      <c r="J170">
        <f t="shared" si="186"/>
        <v>0</v>
      </c>
      <c r="K170">
        <f t="shared" si="187"/>
        <v>0</v>
      </c>
      <c r="L170" s="6">
        <f t="shared" si="188"/>
        <v>4250</v>
      </c>
      <c r="M170" s="6">
        <f t="shared" si="189"/>
        <v>4250</v>
      </c>
      <c r="N170" s="10">
        <f t="shared" si="190"/>
        <v>0</v>
      </c>
      <c r="O170" s="10">
        <f t="shared" si="191"/>
        <v>0</v>
      </c>
      <c r="P170" s="10">
        <f t="shared" si="192"/>
        <v>0</v>
      </c>
      <c r="BC170">
        <v>2.9321531433504653</v>
      </c>
      <c r="BD170">
        <v>-127.47558303366094</v>
      </c>
      <c r="BE170">
        <v>31.223608034459161</v>
      </c>
      <c r="BF170" s="6">
        <f t="shared" si="167"/>
        <v>2.9013839176251031</v>
      </c>
      <c r="BG170" s="6">
        <f t="shared" si="168"/>
        <v>3.0769225725362226E-2</v>
      </c>
      <c r="BH170" s="6">
        <f t="shared" si="169"/>
        <v>-4.7699271621741701E-3</v>
      </c>
      <c r="BI170" s="6">
        <f t="shared" si="170"/>
        <v>4.7699271621741701E-3</v>
      </c>
      <c r="BV170" s="38"/>
      <c r="BW170" s="6">
        <f t="shared" si="104"/>
        <v>2.705260340591205</v>
      </c>
      <c r="BX170" s="9">
        <f t="shared" ca="1" si="105"/>
        <v>52.178638623846425</v>
      </c>
      <c r="BY170" s="9">
        <f t="shared" ca="1" si="106"/>
        <v>-9.3071946637154319</v>
      </c>
      <c r="BZ170">
        <f t="shared" ca="1" si="107"/>
        <v>53.002209398724609</v>
      </c>
      <c r="CA170" s="6">
        <f t="shared" ca="1" si="108"/>
        <v>0.98446157652254396</v>
      </c>
      <c r="CB170" s="6">
        <f t="shared" ca="1" si="109"/>
        <v>-0.17560012628340341</v>
      </c>
      <c r="CC170" s="6">
        <f t="shared" ca="1" si="110"/>
        <v>-0.17651533354545673</v>
      </c>
      <c r="CD170" s="6">
        <f t="shared" ca="1" si="111"/>
        <v>-78.166627294682115</v>
      </c>
      <c r="CE170" s="9">
        <f t="shared" ca="1" si="112"/>
        <v>21.96985755399399</v>
      </c>
      <c r="CF170">
        <f t="shared" ca="1" si="113"/>
        <v>81.195420213017741</v>
      </c>
      <c r="CG170" s="6">
        <f t="shared" ca="1" si="114"/>
        <v>-0.96269749069110633</v>
      </c>
      <c r="CH170" s="6">
        <f t="shared" ca="1" si="115"/>
        <v>0.27058000927091264</v>
      </c>
      <c r="CI170" s="6">
        <f t="shared" ca="1" si="116"/>
        <v>2.8675971896744352</v>
      </c>
      <c r="CJ170" s="1">
        <f t="shared" ca="1" si="117"/>
        <v>2.9016800788493669E-2</v>
      </c>
      <c r="CK170" s="38"/>
    </row>
    <row r="171" spans="1:89" x14ac:dyDescent="0.25">
      <c r="A171" s="1" t="str">
        <f t="shared" si="179"/>
        <v>Segment 4</v>
      </c>
      <c r="B171" s="1">
        <f t="shared" si="179"/>
        <v>-3.4456198292248073</v>
      </c>
      <c r="C171" s="1">
        <f t="shared" si="179"/>
        <v>-6.3346431622035997</v>
      </c>
      <c r="D171" s="1">
        <f t="shared" si="179"/>
        <v>0.2813616563632495</v>
      </c>
      <c r="E171" s="1">
        <f t="shared" si="179"/>
        <v>-13.413457258228714</v>
      </c>
      <c r="F171" s="6">
        <f t="shared" si="182"/>
        <v>0</v>
      </c>
      <c r="G171" s="6">
        <f t="shared" si="183"/>
        <v>0</v>
      </c>
      <c r="H171" s="1">
        <f t="shared" si="184"/>
        <v>0</v>
      </c>
      <c r="I171" s="1">
        <f t="shared" si="185"/>
        <v>0</v>
      </c>
      <c r="J171">
        <f t="shared" si="186"/>
        <v>0</v>
      </c>
      <c r="K171">
        <f t="shared" si="187"/>
        <v>0</v>
      </c>
      <c r="L171" s="6">
        <f t="shared" si="188"/>
        <v>4250</v>
      </c>
      <c r="M171" s="6">
        <f t="shared" si="189"/>
        <v>4250</v>
      </c>
      <c r="N171" s="10">
        <f t="shared" si="190"/>
        <v>0</v>
      </c>
      <c r="O171" s="10">
        <f t="shared" si="191"/>
        <v>0</v>
      </c>
      <c r="P171" s="10">
        <f t="shared" si="192"/>
        <v>0</v>
      </c>
      <c r="BC171">
        <v>2.9496064358704084</v>
      </c>
      <c r="BD171">
        <v>-127.55949913827907</v>
      </c>
      <c r="BE171">
        <v>31.011888637756829</v>
      </c>
      <c r="BF171" s="6">
        <f t="shared" si="167"/>
        <v>2.9031024820050089</v>
      </c>
      <c r="BG171" s="6">
        <f t="shared" si="168"/>
        <v>4.6503953865399517E-2</v>
      </c>
      <c r="BH171" s="6">
        <f t="shared" si="169"/>
        <v>-6.4884915420799771E-3</v>
      </c>
      <c r="BI171" s="6">
        <f t="shared" si="170"/>
        <v>6.4884915420799771E-3</v>
      </c>
      <c r="BV171" s="38"/>
      <c r="BW171" s="6">
        <f t="shared" si="104"/>
        <v>2.7227136331111481</v>
      </c>
      <c r="BX171" s="9">
        <f t="shared" ca="1" si="105"/>
        <v>52.296305397334592</v>
      </c>
      <c r="BY171" s="9">
        <f t="shared" ca="1" si="106"/>
        <v>-9.0940229359226272</v>
      </c>
      <c r="BZ171">
        <f t="shared" ca="1" si="107"/>
        <v>53.081115393050794</v>
      </c>
      <c r="CA171" s="6">
        <f t="shared" ca="1" si="108"/>
        <v>0.98521489252995342</v>
      </c>
      <c r="CB171" s="6">
        <f t="shared" ca="1" si="109"/>
        <v>-0.17132313193842921</v>
      </c>
      <c r="CC171" s="6">
        <f t="shared" ca="1" si="110"/>
        <v>-0.17217250091269395</v>
      </c>
      <c r="CD171" s="6">
        <f t="shared" ca="1" si="111"/>
        <v>-78.284294068170283</v>
      </c>
      <c r="CE171" s="9">
        <f t="shared" ca="1" si="112"/>
        <v>21.756685826201185</v>
      </c>
      <c r="CF171">
        <f t="shared" ca="1" si="113"/>
        <v>81.25136353250808</v>
      </c>
      <c r="CG171" s="6">
        <f t="shared" ca="1" si="114"/>
        <v>-0.96348283480620367</v>
      </c>
      <c r="CH171" s="6">
        <f t="shared" ca="1" si="115"/>
        <v>0.26777010108262972</v>
      </c>
      <c r="CI171" s="6">
        <f t="shared" ca="1" si="116"/>
        <v>2.8705147837935763</v>
      </c>
      <c r="CJ171" s="1">
        <f t="shared" ca="1" si="117"/>
        <v>2.6099206669352615E-2</v>
      </c>
      <c r="CK171" s="38"/>
    </row>
    <row r="172" spans="1:89" x14ac:dyDescent="0.25">
      <c r="A172" s="1" t="str">
        <f t="shared" si="179"/>
        <v>Segment 5</v>
      </c>
      <c r="B172" s="1">
        <f t="shared" si="179"/>
        <v>0.2813616563632495</v>
      </c>
      <c r="C172" s="1">
        <f t="shared" si="179"/>
        <v>-13.413457258228714</v>
      </c>
      <c r="D172" s="1">
        <f t="shared" si="179"/>
        <v>10.899582800400921</v>
      </c>
      <c r="E172" s="1">
        <f t="shared" si="179"/>
        <v>-7.8229850298466284</v>
      </c>
      <c r="F172" s="6">
        <f t="shared" si="182"/>
        <v>1</v>
      </c>
      <c r="G172" s="6">
        <f t="shared" si="183"/>
        <v>1</v>
      </c>
      <c r="H172" s="1">
        <f t="shared" si="184"/>
        <v>10.899582800400921</v>
      </c>
      <c r="I172" s="1">
        <f t="shared" si="185"/>
        <v>-7.8229850298466284</v>
      </c>
      <c r="J172">
        <f t="shared" si="186"/>
        <v>10.899582800400921</v>
      </c>
      <c r="K172">
        <f t="shared" si="187"/>
        <v>-7.8229850298466284</v>
      </c>
      <c r="L172" s="6">
        <f t="shared" si="188"/>
        <v>4250</v>
      </c>
      <c r="M172" s="6">
        <f t="shared" si="189"/>
        <v>4250</v>
      </c>
      <c r="N172" s="10">
        <f t="shared" si="190"/>
        <v>0</v>
      </c>
      <c r="O172" s="10">
        <f t="shared" si="191"/>
        <v>0</v>
      </c>
      <c r="P172" s="10">
        <f t="shared" si="192"/>
        <v>0</v>
      </c>
      <c r="BC172">
        <v>2.9670597283903515</v>
      </c>
      <c r="BD172">
        <v>-127.64141614401615</v>
      </c>
      <c r="BE172">
        <v>30.799649516939382</v>
      </c>
      <c r="BF172" s="6">
        <f t="shared" si="167"/>
        <v>2.9048204976470591</v>
      </c>
      <c r="BG172" s="6">
        <f t="shared" si="168"/>
        <v>6.2239230743292406E-2</v>
      </c>
      <c r="BH172" s="6">
        <f t="shared" si="169"/>
        <v>-8.2065071841301851E-3</v>
      </c>
      <c r="BI172" s="6">
        <f t="shared" si="170"/>
        <v>8.2065071841301851E-3</v>
      </c>
      <c r="BV172" s="38"/>
      <c r="BW172" s="6">
        <f t="shared" si="104"/>
        <v>2.7401669256310912</v>
      </c>
      <c r="BX172" s="9">
        <f t="shared" ca="1" si="105"/>
        <v>52.410700321439705</v>
      </c>
      <c r="BY172" s="9">
        <f t="shared" ca="1" si="106"/>
        <v>-8.8814983269272609</v>
      </c>
      <c r="BZ172">
        <f t="shared" ca="1" si="107"/>
        <v>53.157901771185173</v>
      </c>
      <c r="CA172" s="6">
        <f t="shared" ca="1" si="108"/>
        <v>0.98594373696385251</v>
      </c>
      <c r="CB172" s="6">
        <f t="shared" ca="1" si="109"/>
        <v>-0.167077669189373</v>
      </c>
      <c r="CC172" s="6">
        <f t="shared" ca="1" si="110"/>
        <v>-0.16786492655422847</v>
      </c>
      <c r="CD172" s="6">
        <f t="shared" ca="1" si="111"/>
        <v>-78.398688992275396</v>
      </c>
      <c r="CE172" s="9">
        <f t="shared" ca="1" si="112"/>
        <v>21.544161217205819</v>
      </c>
      <c r="CF172">
        <f t="shared" ca="1" si="113"/>
        <v>81.30501410282443</v>
      </c>
      <c r="CG172" s="6">
        <f t="shared" ca="1" si="114"/>
        <v>-0.96425404825742389</v>
      </c>
      <c r="CH172" s="6">
        <f t="shared" ca="1" si="115"/>
        <v>0.26497949056326897</v>
      </c>
      <c r="CI172" s="6">
        <f t="shared" ca="1" si="116"/>
        <v>2.8734100010761532</v>
      </c>
      <c r="CJ172" s="1">
        <f t="shared" ca="1" si="117"/>
        <v>2.3203989386775703E-2</v>
      </c>
      <c r="CK172" s="38"/>
    </row>
    <row r="173" spans="1:89" x14ac:dyDescent="0.25">
      <c r="A173" s="1" t="str">
        <f t="shared" si="179"/>
        <v>Segment 6</v>
      </c>
      <c r="B173" s="1">
        <f t="shared" si="179"/>
        <v>10.899582800400921</v>
      </c>
      <c r="C173" s="1">
        <f t="shared" si="179"/>
        <v>-7.8229850298466284</v>
      </c>
      <c r="D173" s="1">
        <f t="shared" si="179"/>
        <v>7.172601314812864</v>
      </c>
      <c r="E173" s="1">
        <f t="shared" si="179"/>
        <v>-0.74417093382151434</v>
      </c>
      <c r="F173" s="6">
        <f t="shared" si="182"/>
        <v>1</v>
      </c>
      <c r="G173" s="6">
        <f t="shared" si="183"/>
        <v>1</v>
      </c>
      <c r="H173" s="1">
        <f t="shared" si="184"/>
        <v>7.172601314812864</v>
      </c>
      <c r="I173" s="1">
        <f t="shared" si="185"/>
        <v>-0.74417093382151389</v>
      </c>
      <c r="J173">
        <f t="shared" si="186"/>
        <v>7.172601314812864</v>
      </c>
      <c r="K173">
        <f t="shared" si="187"/>
        <v>-0.74417093382151389</v>
      </c>
      <c r="L173" s="6">
        <f t="shared" si="188"/>
        <v>4250</v>
      </c>
      <c r="M173" s="6">
        <f t="shared" si="189"/>
        <v>4250</v>
      </c>
      <c r="N173" s="10">
        <f t="shared" si="190"/>
        <v>0</v>
      </c>
      <c r="O173" s="10">
        <f t="shared" si="191"/>
        <v>0</v>
      </c>
      <c r="P173" s="10">
        <f t="shared" si="192"/>
        <v>0</v>
      </c>
      <c r="BC173">
        <v>2.9845130209102946</v>
      </c>
      <c r="BD173">
        <v>-127.72139341641711</v>
      </c>
      <c r="BE173">
        <v>30.586797638140304</v>
      </c>
      <c r="BF173" s="6">
        <f t="shared" si="167"/>
        <v>2.9065388300117907</v>
      </c>
      <c r="BG173" s="6">
        <f t="shared" si="168"/>
        <v>7.7974190898503881E-2</v>
      </c>
      <c r="BH173" s="6">
        <f t="shared" si="169"/>
        <v>-9.924839548861808E-3</v>
      </c>
      <c r="BI173" s="6">
        <f t="shared" si="170"/>
        <v>9.924839548861808E-3</v>
      </c>
      <c r="BV173" s="38"/>
      <c r="BW173" s="6">
        <f t="shared" si="104"/>
        <v>2.7576202181510343</v>
      </c>
      <c r="BX173" s="9">
        <f t="shared" ca="1" si="105"/>
        <v>52.521963533404474</v>
      </c>
      <c r="BY173" s="9">
        <f t="shared" ca="1" si="106"/>
        <v>-8.6695314425055408</v>
      </c>
      <c r="BZ173">
        <f t="shared" ca="1" si="107"/>
        <v>53.232672568985883</v>
      </c>
      <c r="CA173" s="6">
        <f t="shared" ca="1" si="108"/>
        <v>0.98664900706121073</v>
      </c>
      <c r="CB173" s="6">
        <f t="shared" ca="1" si="109"/>
        <v>-0.16286109684368044</v>
      </c>
      <c r="CC173" s="6">
        <f t="shared" ca="1" si="110"/>
        <v>-0.16358977555177154</v>
      </c>
      <c r="CD173" s="6">
        <f t="shared" ca="1" si="111"/>
        <v>-78.509952204240165</v>
      </c>
      <c r="CE173" s="9">
        <f t="shared" ca="1" si="112"/>
        <v>21.332194332784098</v>
      </c>
      <c r="CF173">
        <f t="shared" ca="1" si="113"/>
        <v>81.356469381136137</v>
      </c>
      <c r="CG173" s="6">
        <f t="shared" ca="1" si="114"/>
        <v>-0.96501179072114474</v>
      </c>
      <c r="CH173" s="6">
        <f t="shared" ca="1" si="115"/>
        <v>0.26220649070755186</v>
      </c>
      <c r="CI173" s="6">
        <f t="shared" ca="1" si="116"/>
        <v>2.8762846675840925</v>
      </c>
      <c r="CJ173" s="1">
        <f t="shared" ca="1" si="117"/>
        <v>2.0329322878836379E-2</v>
      </c>
      <c r="CK173" s="38"/>
    </row>
    <row r="174" spans="1:89" x14ac:dyDescent="0.25">
      <c r="A174" s="1" t="str">
        <f t="shared" si="179"/>
        <v>Segment 7</v>
      </c>
      <c r="B174" s="1">
        <f t="shared" si="179"/>
        <v>7.172601314812864</v>
      </c>
      <c r="C174" s="1">
        <f t="shared" si="179"/>
        <v>-0.74417093382151434</v>
      </c>
      <c r="D174" s="1">
        <f t="shared" si="179"/>
        <v>7.172601314812864</v>
      </c>
      <c r="E174" s="1">
        <f t="shared" si="179"/>
        <v>-0.74417093382151434</v>
      </c>
      <c r="F174" s="6">
        <f t="shared" si="182"/>
        <v>0</v>
      </c>
      <c r="G174" s="6">
        <f t="shared" si="183"/>
        <v>0</v>
      </c>
      <c r="H174" s="1">
        <f t="shared" si="184"/>
        <v>0</v>
      </c>
      <c r="I174" s="1">
        <f t="shared" si="185"/>
        <v>0</v>
      </c>
      <c r="J174">
        <f t="shared" si="186"/>
        <v>0</v>
      </c>
      <c r="K174">
        <f t="shared" si="187"/>
        <v>0</v>
      </c>
      <c r="L174" s="6">
        <f t="shared" si="188"/>
        <v>4250</v>
      </c>
      <c r="M174" s="6">
        <f t="shared" si="189"/>
        <v>4250</v>
      </c>
      <c r="N174" s="10">
        <f t="shared" si="190"/>
        <v>0</v>
      </c>
      <c r="O174" s="10">
        <f t="shared" si="191"/>
        <v>0</v>
      </c>
      <c r="P174" s="10">
        <f t="shared" si="192"/>
        <v>0</v>
      </c>
      <c r="BC174">
        <v>3.0019663134302377</v>
      </c>
      <c r="BD174">
        <v>-127.79948608182291</v>
      </c>
      <c r="BE174">
        <v>30.373238979360899</v>
      </c>
      <c r="BF174" s="6">
        <f t="shared" si="167"/>
        <v>2.908258341787584</v>
      </c>
      <c r="BG174" s="6">
        <f t="shared" si="168"/>
        <v>9.3707971642653654E-2</v>
      </c>
      <c r="BH174" s="6">
        <f t="shared" si="169"/>
        <v>-1.1644351324655135E-2</v>
      </c>
      <c r="BI174" s="6">
        <f t="shared" si="170"/>
        <v>1.1644351324655135E-2</v>
      </c>
      <c r="BV174" s="38"/>
      <c r="BW174" s="6">
        <f t="shared" si="104"/>
        <v>2.7750735106709774</v>
      </c>
      <c r="BX174" s="9">
        <f t="shared" ca="1" si="105"/>
        <v>52.63022644835003</v>
      </c>
      <c r="BY174" s="9">
        <f t="shared" ca="1" si="106"/>
        <v>-8.4580331362357661</v>
      </c>
      <c r="BZ174">
        <f t="shared" ca="1" si="107"/>
        <v>53.305525609811454</v>
      </c>
      <c r="CA174" s="6">
        <f t="shared" ca="1" si="108"/>
        <v>0.98733153545085528</v>
      </c>
      <c r="CB174" s="6">
        <f t="shared" ca="1" si="109"/>
        <v>-0.15867085146382975</v>
      </c>
      <c r="CC174" s="6">
        <f t="shared" ca="1" si="110"/>
        <v>-0.15934430403282951</v>
      </c>
      <c r="CD174" s="6">
        <f t="shared" ca="1" si="111"/>
        <v>-78.61821511918572</v>
      </c>
      <c r="CE174" s="9">
        <f t="shared" ca="1" si="112"/>
        <v>21.120696026514324</v>
      </c>
      <c r="CF174">
        <f t="shared" ca="1" si="113"/>
        <v>81.405820118533171</v>
      </c>
      <c r="CG174" s="6">
        <f t="shared" ca="1" si="114"/>
        <v>-0.96575668674194937</v>
      </c>
      <c r="CH174" s="6">
        <f t="shared" ca="1" si="115"/>
        <v>0.25944945945831582</v>
      </c>
      <c r="CI174" s="6">
        <f t="shared" ca="1" si="116"/>
        <v>2.8791405557006975</v>
      </c>
      <c r="CJ174" s="1">
        <f t="shared" ca="1" si="117"/>
        <v>1.7473434762231402E-2</v>
      </c>
      <c r="CK174" s="38"/>
    </row>
    <row r="175" spans="1:89" ht="15.75" thickBot="1" x14ac:dyDescent="0.3">
      <c r="A175" s="1" t="str">
        <f t="shared" si="179"/>
        <v>Segment 8</v>
      </c>
      <c r="B175" s="1">
        <f t="shared" si="179"/>
        <v>7.172601314812864</v>
      </c>
      <c r="C175" s="1">
        <f t="shared" si="179"/>
        <v>-0.74417093382151434</v>
      </c>
      <c r="D175" s="1">
        <f t="shared" si="179"/>
        <v>-0.2813616563632495</v>
      </c>
      <c r="E175" s="1">
        <f t="shared" si="179"/>
        <v>13.413457258228714</v>
      </c>
      <c r="F175" s="6">
        <f t="shared" si="182"/>
        <v>1</v>
      </c>
      <c r="G175" s="6">
        <f t="shared" si="183"/>
        <v>0.27024514103857383</v>
      </c>
      <c r="H175" s="1">
        <f t="shared" si="184"/>
        <v>5.1582040403710678</v>
      </c>
      <c r="I175" s="1">
        <f t="shared" si="185"/>
        <v>3.0818592937107887</v>
      </c>
      <c r="J175">
        <f t="shared" si="186"/>
        <v>-0.2813616563632495</v>
      </c>
      <c r="K175">
        <f t="shared" si="187"/>
        <v>13.413457258228714</v>
      </c>
      <c r="L175" s="6">
        <f t="shared" si="188"/>
        <v>4250</v>
      </c>
      <c r="M175" s="6">
        <f t="shared" si="189"/>
        <v>4250</v>
      </c>
      <c r="N175" s="11">
        <f t="shared" si="190"/>
        <v>107069.3465517661</v>
      </c>
      <c r="O175" s="11">
        <f t="shared" si="191"/>
        <v>677431.7083197179</v>
      </c>
      <c r="P175" s="11">
        <f t="shared" si="192"/>
        <v>184674.52064428531</v>
      </c>
      <c r="BC175">
        <v>3.0194196059501808</v>
      </c>
      <c r="BD175">
        <v>-127.87574519545535</v>
      </c>
      <c r="BE175">
        <v>30.15887841696005</v>
      </c>
      <c r="BF175" s="6">
        <f t="shared" si="167"/>
        <v>2.9099798943936688</v>
      </c>
      <c r="BG175" s="6">
        <f t="shared" si="168"/>
        <v>0.109439711556512</v>
      </c>
      <c r="BH175" s="6">
        <f t="shared" si="169"/>
        <v>-1.3365903930739886E-2</v>
      </c>
      <c r="BI175" s="6">
        <f t="shared" si="170"/>
        <v>1.3365903930739886E-2</v>
      </c>
      <c r="BV175" s="38"/>
      <c r="BW175" s="6">
        <f t="shared" si="104"/>
        <v>2.7925268031909205</v>
      </c>
      <c r="BX175" s="9">
        <f t="shared" ca="1" si="105"/>
        <v>52.735612321848635</v>
      </c>
      <c r="BY175" s="9">
        <f t="shared" ca="1" si="106"/>
        <v>-8.2469144350970502</v>
      </c>
      <c r="BZ175">
        <f t="shared" ca="1" si="107"/>
        <v>53.376552948463484</v>
      </c>
      <c r="CA175" s="6">
        <f t="shared" ca="1" si="108"/>
        <v>0.9879920940710859</v>
      </c>
      <c r="CB175" s="6">
        <f t="shared" ca="1" si="109"/>
        <v>-0.15450444023726431</v>
      </c>
      <c r="CC175" s="6">
        <f t="shared" ca="1" si="110"/>
        <v>-0.15512585092900982</v>
      </c>
      <c r="CD175" s="6">
        <f t="shared" ca="1" si="111"/>
        <v>-78.723600992684325</v>
      </c>
      <c r="CE175" s="9">
        <f t="shared" ca="1" si="112"/>
        <v>20.909577325375608</v>
      </c>
      <c r="CF175">
        <f t="shared" ca="1" si="113"/>
        <v>81.453150811869946</v>
      </c>
      <c r="CG175" s="6">
        <f t="shared" ca="1" si="114"/>
        <v>-0.96648932801273724</v>
      </c>
      <c r="CH175" s="6">
        <f t="shared" ca="1" si="115"/>
        <v>0.25670679546417879</v>
      </c>
      <c r="CI175" s="6">
        <f t="shared" ca="1" si="116"/>
        <v>2.8819793889872174</v>
      </c>
      <c r="CJ175" s="1">
        <f t="shared" ca="1" si="117"/>
        <v>1.4634601475711495E-2</v>
      </c>
      <c r="CK175" s="38"/>
    </row>
    <row r="176" spans="1:89" ht="15.75" thickTop="1" x14ac:dyDescent="0.25">
      <c r="M176" s="9"/>
      <c r="N176" s="9">
        <f>SUM(N168:N175)</f>
        <v>434371.57597625657</v>
      </c>
      <c r="O176" s="9">
        <f t="shared" ref="O176:P176" si="193">SUM(O168:O175)</f>
        <v>3050518.7632154394</v>
      </c>
      <c r="P176" s="9">
        <f t="shared" si="193"/>
        <v>-1241944.2875183327</v>
      </c>
      <c r="BC176">
        <v>3.0368728984701239</v>
      </c>
      <c r="BD176">
        <v>-127.95021788386303</v>
      </c>
      <c r="BE176">
        <v>29.943619609661511</v>
      </c>
      <c r="BF176" s="6">
        <f t="shared" si="167"/>
        <v>2.9117043494406296</v>
      </c>
      <c r="BG176" s="6">
        <f t="shared" si="168"/>
        <v>0.12516854902949426</v>
      </c>
      <c r="BH176" s="6">
        <f t="shared" si="169"/>
        <v>-1.5090358977700724E-2</v>
      </c>
      <c r="BI176" s="6">
        <f t="shared" si="170"/>
        <v>1.5090358977700724E-2</v>
      </c>
      <c r="BV176" s="38"/>
      <c r="BW176" s="6">
        <f t="shared" si="104"/>
        <v>2.8099800957108636</v>
      </c>
      <c r="BX176" s="9">
        <f t="shared" ca="1" si="105"/>
        <v>52.83823676765995</v>
      </c>
      <c r="BY176" s="9">
        <f t="shared" ca="1" si="106"/>
        <v>-8.0360864608881108</v>
      </c>
      <c r="BZ176">
        <f t="shared" ca="1" si="107"/>
        <v>53.445841281826233</v>
      </c>
      <c r="CA176" s="6">
        <f t="shared" ca="1" si="108"/>
        <v>0.98863139769917152</v>
      </c>
      <c r="CB176" s="6">
        <f t="shared" ca="1" si="109"/>
        <v>-0.15035943430121865</v>
      </c>
      <c r="CC176" s="6">
        <f t="shared" ca="1" si="110"/>
        <v>-0.15093183028979371</v>
      </c>
      <c r="CD176" s="6">
        <f t="shared" ca="1" si="111"/>
        <v>-78.826225438495641</v>
      </c>
      <c r="CE176" s="9">
        <f t="shared" ca="1" si="112"/>
        <v>20.698749351166668</v>
      </c>
      <c r="CF176">
        <f t="shared" ca="1" si="113"/>
        <v>81.49854011933563</v>
      </c>
      <c r="CG176" s="6">
        <f t="shared" ca="1" si="114"/>
        <v>-0.96721027546104499</v>
      </c>
      <c r="CH176" s="6">
        <f t="shared" ca="1" si="115"/>
        <v>0.25397693407585181</v>
      </c>
      <c r="CI176" s="6">
        <f t="shared" ca="1" si="116"/>
        <v>2.8848028467465348</v>
      </c>
      <c r="CJ176" s="1">
        <f t="shared" ca="1" si="117"/>
        <v>1.1811143716394133E-2</v>
      </c>
      <c r="CK176" s="38"/>
    </row>
    <row r="177" spans="1:89" x14ac:dyDescent="0.25">
      <c r="BC177">
        <v>3.054326190990067</v>
      </c>
      <c r="BD177">
        <v>-128.02294747203183</v>
      </c>
      <c r="BE177">
        <v>29.727364880645911</v>
      </c>
      <c r="BF177" s="6">
        <f t="shared" si="167"/>
        <v>2.9134325701653898</v>
      </c>
      <c r="BG177" s="6">
        <f t="shared" si="168"/>
        <v>0.14089362082467716</v>
      </c>
      <c r="BH177" s="6">
        <f t="shared" si="169"/>
        <v>-1.6818579702460923E-2</v>
      </c>
      <c r="BI177" s="6">
        <f t="shared" si="170"/>
        <v>1.6818579702460923E-2</v>
      </c>
      <c r="BV177" s="38"/>
      <c r="BW177" s="6">
        <f t="shared" si="104"/>
        <v>2.8274333882308067</v>
      </c>
      <c r="BX177" s="9">
        <f t="shared" ca="1" si="105"/>
        <v>52.938208227783775</v>
      </c>
      <c r="BY177" s="9">
        <f t="shared" ca="1" si="106"/>
        <v>-7.8254603471690451</v>
      </c>
      <c r="BZ177">
        <f t="shared" ca="1" si="107"/>
        <v>53.513472322521821</v>
      </c>
      <c r="CA177" s="6">
        <f t="shared" ca="1" si="108"/>
        <v>0.9892501071268377</v>
      </c>
      <c r="CB177" s="6">
        <f t="shared" ca="1" si="109"/>
        <v>-0.14623346248222432</v>
      </c>
      <c r="CC177" s="6">
        <f t="shared" ca="1" si="110"/>
        <v>-0.14675972410037685</v>
      </c>
      <c r="CD177" s="6">
        <f t="shared" ca="1" si="111"/>
        <v>-78.926196898619466</v>
      </c>
      <c r="CE177" s="9">
        <f t="shared" ca="1" si="112"/>
        <v>20.488123237447603</v>
      </c>
      <c r="CF177">
        <f t="shared" ca="1" si="113"/>
        <v>81.542061236348999</v>
      </c>
      <c r="CG177" s="6">
        <f t="shared" ca="1" si="114"/>
        <v>-0.96792006115534079</v>
      </c>
      <c r="CH177" s="6">
        <f t="shared" ca="1" si="115"/>
        <v>0.25125834356900723</v>
      </c>
      <c r="CI177" s="6">
        <f t="shared" ca="1" si="116"/>
        <v>2.8876125683109199</v>
      </c>
      <c r="CJ177" s="1">
        <f t="shared" ca="1" si="117"/>
        <v>9.0014221520089439E-3</v>
      </c>
      <c r="CK177" s="38"/>
    </row>
    <row r="178" spans="1:89" x14ac:dyDescent="0.25">
      <c r="A178" t="s">
        <v>193</v>
      </c>
      <c r="B178">
        <f>(N176+M165)/1000</f>
        <v>1131.5223076919608</v>
      </c>
      <c r="C178" t="s">
        <v>68</v>
      </c>
      <c r="BC178">
        <v>3.0717794835100101</v>
      </c>
      <c r="BD178">
        <v>-128.09397359992352</v>
      </c>
      <c r="BE178">
        <v>29.510015097863178</v>
      </c>
      <c r="BF178" s="6">
        <f t="shared" si="167"/>
        <v>2.9151654228502459</v>
      </c>
      <c r="BG178" s="6">
        <f t="shared" si="168"/>
        <v>0.15661406065976413</v>
      </c>
      <c r="BH178" s="6">
        <f t="shared" si="169"/>
        <v>-1.8551432387317046E-2</v>
      </c>
      <c r="BI178" s="6">
        <f t="shared" si="170"/>
        <v>1.8551432387317046E-2</v>
      </c>
      <c r="BV178" s="38"/>
      <c r="BW178" s="6">
        <f t="shared" si="104"/>
        <v>2.8448866807507498</v>
      </c>
      <c r="BX178" s="9">
        <f t="shared" ca="1" si="105"/>
        <v>53.035628401602423</v>
      </c>
      <c r="BY178" s="9">
        <f t="shared" ca="1" si="106"/>
        <v>-7.6149471524432109</v>
      </c>
      <c r="BZ178">
        <f t="shared" ca="1" si="107"/>
        <v>53.579523141657027</v>
      </c>
      <c r="CA178" s="6">
        <f t="shared" ca="1" si="108"/>
        <v>0.98984883201336782</v>
      </c>
      <c r="CB178" s="6">
        <f t="shared" ca="1" si="109"/>
        <v>-0.14212420540418619</v>
      </c>
      <c r="CC178" s="6">
        <f t="shared" ca="1" si="110"/>
        <v>-0.14260707554744356</v>
      </c>
      <c r="CD178" s="6">
        <f t="shared" ca="1" si="111"/>
        <v>-79.023617072438114</v>
      </c>
      <c r="CE178" s="9">
        <f t="shared" ca="1" si="112"/>
        <v>20.277610042721768</v>
      </c>
      <c r="CF178">
        <f t="shared" ca="1" si="113"/>
        <v>81.583782237991542</v>
      </c>
      <c r="CG178" s="6">
        <f t="shared" ca="1" si="114"/>
        <v>-0.96861919004827379</v>
      </c>
      <c r="CH178" s="6">
        <f t="shared" ca="1" si="115"/>
        <v>0.2485495215650714</v>
      </c>
      <c r="CI178" s="6">
        <f t="shared" ca="1" si="116"/>
        <v>2.8904101570874294</v>
      </c>
      <c r="CJ178" s="1">
        <f t="shared" ca="1" si="117"/>
        <v>6.2038333754994568E-3</v>
      </c>
      <c r="CK178" s="38"/>
    </row>
    <row r="179" spans="1:89" x14ac:dyDescent="0.25">
      <c r="A179" t="s">
        <v>100</v>
      </c>
      <c r="B179">
        <f>(N165+O176)/1000</f>
        <v>703.50193189606955</v>
      </c>
      <c r="C179" t="s">
        <v>69</v>
      </c>
      <c r="BC179">
        <v>3.0892327760299532</v>
      </c>
      <c r="BD179">
        <v>-128.16333231141547</v>
      </c>
      <c r="BE179">
        <v>29.291469552278528</v>
      </c>
      <c r="BF179" s="6">
        <f t="shared" si="167"/>
        <v>2.9169037782011795</v>
      </c>
      <c r="BG179" s="6">
        <f t="shared" si="168"/>
        <v>0.17232899782877364</v>
      </c>
      <c r="BH179" s="6">
        <f t="shared" si="169"/>
        <v>-2.0289787738250631E-2</v>
      </c>
      <c r="BI179" s="6">
        <f t="shared" si="170"/>
        <v>2.0289787738250631E-2</v>
      </c>
      <c r="BV179" s="38"/>
      <c r="BW179" s="6">
        <f t="shared" si="104"/>
        <v>2.8623399732706929</v>
      </c>
      <c r="BX179" s="9">
        <f t="shared" ca="1" si="105"/>
        <v>53.130592641942698</v>
      </c>
      <c r="BY179" s="9">
        <f t="shared" ca="1" si="106"/>
        <v>-7.4044577702272285</v>
      </c>
      <c r="BZ179">
        <f t="shared" ca="1" si="107"/>
        <v>53.644066487871086</v>
      </c>
      <c r="CA179" s="6">
        <f t="shared" ca="1" si="108"/>
        <v>0.99042813344427416</v>
      </c>
      <c r="CB179" s="6">
        <f t="shared" ca="1" si="109"/>
        <v>-0.13802938992146271</v>
      </c>
      <c r="CC179" s="6">
        <f t="shared" ca="1" si="110"/>
        <v>-0.13847148268041654</v>
      </c>
      <c r="CD179" s="6">
        <f t="shared" ca="1" si="111"/>
        <v>-79.118581312778389</v>
      </c>
      <c r="CE179" s="9">
        <f t="shared" ca="1" si="112"/>
        <v>20.067120660505786</v>
      </c>
      <c r="CF179">
        <f t="shared" ca="1" si="113"/>
        <v>81.62376639527254</v>
      </c>
      <c r="CG179" s="6">
        <f t="shared" ca="1" si="114"/>
        <v>-0.96930814157285394</v>
      </c>
      <c r="CH179" s="6">
        <f t="shared" ca="1" si="115"/>
        <v>0.24584899162001947</v>
      </c>
      <c r="CI179" s="6">
        <f t="shared" ca="1" si="116"/>
        <v>2.8931971843953703</v>
      </c>
      <c r="CJ179" s="1">
        <f t="shared" ca="1" si="117"/>
        <v>3.4168060675585639E-3</v>
      </c>
      <c r="CK179" s="38"/>
    </row>
    <row r="180" spans="1:89" x14ac:dyDescent="0.25">
      <c r="A180" t="s">
        <v>101</v>
      </c>
      <c r="B180">
        <f>-1*(O165+P176)/1000</f>
        <v>246.54091721830272</v>
      </c>
      <c r="C180" t="s">
        <v>69</v>
      </c>
      <c r="BC180">
        <v>3.1066860685498963</v>
      </c>
      <c r="BD180">
        <v>-128.23105614649501</v>
      </c>
      <c r="BE180">
        <v>29.07162583490836</v>
      </c>
      <c r="BF180" s="6">
        <f t="shared" si="167"/>
        <v>2.9186485127344626</v>
      </c>
      <c r="BG180" s="6">
        <f t="shared" si="168"/>
        <v>0.18803755581543369</v>
      </c>
      <c r="BH180" s="6">
        <f t="shared" si="169"/>
        <v>-2.2034522271533685E-2</v>
      </c>
      <c r="BI180" s="6">
        <f t="shared" si="170"/>
        <v>2.2034522271533685E-2</v>
      </c>
      <c r="BV180" s="38"/>
      <c r="BW180" s="6">
        <f t="shared" si="104"/>
        <v>2.879793265790636</v>
      </c>
      <c r="BX180" s="9">
        <f t="shared" ca="1" si="105"/>
        <v>53.223190310971361</v>
      </c>
      <c r="BY180" s="9">
        <f t="shared" ca="1" si="106"/>
        <v>-7.1939028354141392</v>
      </c>
      <c r="BZ180">
        <f t="shared" ca="1" si="107"/>
        <v>53.707171075036669</v>
      </c>
      <c r="CA180" s="6">
        <f t="shared" ca="1" si="108"/>
        <v>0.9909885262176793</v>
      </c>
      <c r="CB180" s="6">
        <f t="shared" ca="1" si="109"/>
        <v>-0.13394678385430539</v>
      </c>
      <c r="CC180" s="6">
        <f t="shared" ca="1" si="110"/>
        <v>-0.13435059243780206</v>
      </c>
      <c r="CD180" s="6">
        <f t="shared" ca="1" si="111"/>
        <v>-79.211178981807052</v>
      </c>
      <c r="CE180" s="9">
        <f t="shared" ca="1" si="112"/>
        <v>19.856565725692697</v>
      </c>
      <c r="CF180">
        <f t="shared" ca="1" si="113"/>
        <v>81.662072457822333</v>
      </c>
      <c r="CG180" s="6">
        <f t="shared" ca="1" si="114"/>
        <v>-0.96998737109836219</v>
      </c>
      <c r="CH180" s="6">
        <f t="shared" ca="1" si="115"/>
        <v>0.24315529998272356</v>
      </c>
      <c r="CI180" s="6">
        <f t="shared" ca="1" si="116"/>
        <v>2.8959751930973474</v>
      </c>
      <c r="CJ180" s="1">
        <f t="shared" ca="1" si="117"/>
        <v>6.3879736558147826E-4</v>
      </c>
      <c r="CK180" s="38"/>
    </row>
    <row r="181" spans="1:89" x14ac:dyDescent="0.25">
      <c r="BC181">
        <v>3.1241393610698394</v>
      </c>
      <c r="BD181">
        <v>-128.29717419953818</v>
      </c>
      <c r="BE181">
        <v>28.850379712103745</v>
      </c>
      <c r="BF181" s="6">
        <f t="shared" si="167"/>
        <v>2.9204005101141743</v>
      </c>
      <c r="BG181" s="6">
        <f t="shared" si="168"/>
        <v>0.20373885095566502</v>
      </c>
      <c r="BH181" s="6">
        <f t="shared" si="169"/>
        <v>-2.3786519651245452E-2</v>
      </c>
      <c r="BI181" s="6">
        <f t="shared" si="170"/>
        <v>2.3786519651245452E-2</v>
      </c>
      <c r="BV181" s="38"/>
      <c r="BW181" s="6">
        <f t="shared" si="104"/>
        <v>2.8972465583105791</v>
      </c>
      <c r="BX181" s="9">
        <f t="shared" ca="1" si="105"/>
        <v>53.31350511035258</v>
      </c>
      <c r="BY181" s="9">
        <f t="shared" ca="1" si="106"/>
        <v>-6.9831926281074921</v>
      </c>
      <c r="BZ181">
        <f t="shared" ca="1" si="107"/>
        <v>53.768901852584321</v>
      </c>
      <c r="CA181" s="6">
        <f t="shared" ca="1" si="108"/>
        <v>0.99153048088130424</v>
      </c>
      <c r="CB181" s="6">
        <f t="shared" ca="1" si="109"/>
        <v>-0.12987419098223327</v>
      </c>
      <c r="CC181" s="6">
        <f t="shared" ca="1" si="110"/>
        <v>-0.13024209498704251</v>
      </c>
      <c r="CD181" s="6">
        <f t="shared" ca="1" si="111"/>
        <v>-79.30149378118827</v>
      </c>
      <c r="CE181" s="9">
        <f t="shared" ca="1" si="112"/>
        <v>19.64585551838605</v>
      </c>
      <c r="CF181">
        <f t="shared" ca="1" si="113"/>
        <v>81.698754916933353</v>
      </c>
      <c r="CG181" s="6">
        <f t="shared" ca="1" si="114"/>
        <v>-0.9706573112627912</v>
      </c>
      <c r="CH181" s="6">
        <f t="shared" ca="1" si="115"/>
        <v>0.24046701248214661</v>
      </c>
      <c r="CI181" s="6">
        <f t="shared" ca="1" si="116"/>
        <v>2.8987457010687105</v>
      </c>
      <c r="CJ181" s="1">
        <f t="shared" ca="1" si="117"/>
        <v>-2.1317106057816564E-3</v>
      </c>
      <c r="CK181" s="38"/>
    </row>
    <row r="182" spans="1:89" x14ac:dyDescent="0.25">
      <c r="A182" t="s">
        <v>54</v>
      </c>
      <c r="BC182">
        <v>3.1415926535897825</v>
      </c>
      <c r="BD182">
        <v>-128.36171217961632</v>
      </c>
      <c r="BE182">
        <v>28.627625000000151</v>
      </c>
      <c r="BF182" s="6">
        <f t="shared" si="167"/>
        <v>2.9221606624973466</v>
      </c>
      <c r="BG182" s="6">
        <f t="shared" si="168"/>
        <v>0.21943199109243583</v>
      </c>
      <c r="BH182" s="6">
        <f t="shared" si="169"/>
        <v>-2.5546672034417739E-2</v>
      </c>
      <c r="BI182" s="6">
        <f t="shared" si="170"/>
        <v>2.5546672034417739E-2</v>
      </c>
      <c r="BV182" s="38"/>
      <c r="BW182" s="6">
        <f t="shared" si="104"/>
        <v>2.9146998508305222</v>
      </c>
      <c r="BX182" s="9">
        <f t="shared" ca="1" si="105"/>
        <v>53.401615378943475</v>
      </c>
      <c r="BY182" s="9">
        <f t="shared" ca="1" si="106"/>
        <v>-6.7722369743542501</v>
      </c>
      <c r="BZ182">
        <f t="shared" ca="1" si="107"/>
        <v>53.829320251303777</v>
      </c>
      <c r="CA182" s="6">
        <f t="shared" ca="1" si="108"/>
        <v>0.99205442553679768</v>
      </c>
      <c r="CB182" s="6">
        <f t="shared" ca="1" si="109"/>
        <v>-0.1258094462783082</v>
      </c>
      <c r="CC182" s="6">
        <f t="shared" ca="1" si="110"/>
        <v>-0.12614371835466359</v>
      </c>
      <c r="CD182" s="6">
        <f t="shared" ca="1" si="111"/>
        <v>-79.389604049779166</v>
      </c>
      <c r="CE182" s="9">
        <f t="shared" ca="1" si="112"/>
        <v>19.434899864632808</v>
      </c>
      <c r="CF182">
        <f t="shared" ca="1" si="113"/>
        <v>81.733864241995903</v>
      </c>
      <c r="CG182" s="6">
        <f t="shared" ca="1" si="114"/>
        <v>-0.97131837318646896</v>
      </c>
      <c r="CH182" s="6">
        <f t="shared" ca="1" si="115"/>
        <v>0.23778271154646949</v>
      </c>
      <c r="CI182" s="6">
        <f t="shared" ca="1" si="116"/>
        <v>2.901510204504683</v>
      </c>
      <c r="CJ182" s="1">
        <f t="shared" ca="1" si="117"/>
        <v>-4.8962140417541109E-3</v>
      </c>
      <c r="CK182" s="38"/>
    </row>
    <row r="183" spans="1:89" x14ac:dyDescent="0.25">
      <c r="BC183">
        <v>3.1590459461097256</v>
      </c>
      <c r="BD183">
        <v>-128.29717419953937</v>
      </c>
      <c r="BE183">
        <v>28.404870287896511</v>
      </c>
      <c r="BF183" s="6">
        <f t="shared" si="167"/>
        <v>2.92370829535467</v>
      </c>
      <c r="BG183" s="6">
        <f t="shared" si="168"/>
        <v>0.23533765075505553</v>
      </c>
      <c r="BH183" s="6">
        <f t="shared" si="169"/>
        <v>-2.7094304891741139E-2</v>
      </c>
      <c r="BI183" s="6">
        <f t="shared" si="170"/>
        <v>2.7094304891741139E-2</v>
      </c>
      <c r="BV183" s="38"/>
      <c r="BW183" s="6">
        <f t="shared" si="104"/>
        <v>2.9321531433504653</v>
      </c>
      <c r="BX183" s="9">
        <f t="shared" ca="1" si="105"/>
        <v>53.487594362825249</v>
      </c>
      <c r="BY183" s="9">
        <f t="shared" ca="1" si="106"/>
        <v>-6.5609451441806037</v>
      </c>
      <c r="BZ183">
        <f t="shared" ca="1" si="107"/>
        <v>53.888484409074657</v>
      </c>
      <c r="CA183" s="6">
        <f t="shared" ca="1" si="108"/>
        <v>0.99256074742785116</v>
      </c>
      <c r="CB183" s="6">
        <f t="shared" ca="1" si="109"/>
        <v>-0.12175041135645226</v>
      </c>
      <c r="CC183" s="6">
        <f t="shared" ca="1" si="110"/>
        <v>-0.12205322331315628</v>
      </c>
      <c r="CD183" s="6">
        <f t="shared" ca="1" si="111"/>
        <v>-79.475583033660939</v>
      </c>
      <c r="CE183" s="9">
        <f t="shared" ca="1" si="112"/>
        <v>19.223608034459161</v>
      </c>
      <c r="CF183">
        <f t="shared" ca="1" si="113"/>
        <v>81.767447094811871</v>
      </c>
      <c r="CG183" s="6">
        <f t="shared" ca="1" si="114"/>
        <v>-0.97197094757656499</v>
      </c>
      <c r="CH183" s="6">
        <f t="shared" ca="1" si="115"/>
        <v>0.23510099333502238</v>
      </c>
      <c r="CI183" s="6">
        <f t="shared" ca="1" si="116"/>
        <v>2.9042701810871385</v>
      </c>
      <c r="CJ183" s="1">
        <f t="shared" ca="1" si="117"/>
        <v>-7.6561906242096356E-3</v>
      </c>
      <c r="CK183" s="38"/>
    </row>
    <row r="184" spans="1:89" x14ac:dyDescent="0.25">
      <c r="A184">
        <f>A14</f>
        <v>0</v>
      </c>
      <c r="B184" t="str">
        <f t="shared" ref="B184:E184" si="194">B14</f>
        <v>Bar #</v>
      </c>
      <c r="C184" t="str">
        <f t="shared" si="194"/>
        <v>As (in^2)</v>
      </c>
      <c r="D184" t="str">
        <f t="shared" si="194"/>
        <v>x</v>
      </c>
      <c r="E184" t="str">
        <f t="shared" si="194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194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-128.2310561464962</v>
      </c>
      <c r="BE184">
        <v>28.183624165091885</v>
      </c>
      <c r="BF184" s="6">
        <f t="shared" si="167"/>
        <v>2.9252447431133906</v>
      </c>
      <c r="BG184" s="6">
        <f t="shared" si="168"/>
        <v>0.2512544955162781</v>
      </c>
      <c r="BH184" s="6">
        <f t="shared" si="169"/>
        <v>-2.8630752650461666E-2</v>
      </c>
      <c r="BI184" s="6">
        <f t="shared" si="170"/>
        <v>2.8630752650461666E-2</v>
      </c>
      <c r="BV184" s="38"/>
      <c r="BW184" s="6">
        <f t="shared" si="104"/>
        <v>2.9496064358704084</v>
      </c>
      <c r="BX184" s="9">
        <f t="shared" ca="1" si="105"/>
        <v>53.571510467443375</v>
      </c>
      <c r="BY184" s="9">
        <f t="shared" ca="1" si="106"/>
        <v>-6.3492257474782718</v>
      </c>
      <c r="BZ184">
        <f t="shared" ca="1" si="107"/>
        <v>53.946449385996075</v>
      </c>
      <c r="CA184" s="6">
        <f t="shared" ca="1" si="108"/>
        <v>0.99304979432714935</v>
      </c>
      <c r="CB184" s="6">
        <f t="shared" ca="1" si="109"/>
        <v>-0.11769497009985727</v>
      </c>
      <c r="CC184" s="6">
        <f t="shared" ca="1" si="110"/>
        <v>-0.11796839848745044</v>
      </c>
      <c r="CD184" s="6">
        <f t="shared" ca="1" si="111"/>
        <v>-79.559499138279065</v>
      </c>
      <c r="CE184" s="9">
        <f t="shared" ca="1" si="112"/>
        <v>19.011888637756829</v>
      </c>
      <c r="CF184">
        <f t="shared" ca="1" si="113"/>
        <v>81.799546531189861</v>
      </c>
      <c r="CG184" s="6">
        <f t="shared" ca="1" si="114"/>
        <v>-0.97261540573386096</v>
      </c>
      <c r="CH184" s="6">
        <f t="shared" ca="1" si="115"/>
        <v>0.23242046495340493</v>
      </c>
      <c r="CI184" s="6">
        <f t="shared" ca="1" si="116"/>
        <v>2.9070270930435145</v>
      </c>
      <c r="CJ184" s="1">
        <f t="shared" ca="1" si="117"/>
        <v>-1.0413102580585587E-2</v>
      </c>
      <c r="CK184" s="38"/>
    </row>
    <row r="185" spans="1:89" x14ac:dyDescent="0.25">
      <c r="A185">
        <f t="shared" ref="A185:E194" si="195">A15</f>
        <v>1</v>
      </c>
      <c r="B185">
        <f t="shared" si="195"/>
        <v>8</v>
      </c>
      <c r="C185">
        <f t="shared" ca="1" si="195"/>
        <v>0.79</v>
      </c>
      <c r="D185">
        <f t="shared" si="195"/>
        <v>2</v>
      </c>
      <c r="E185">
        <f t="shared" si="195"/>
        <v>2</v>
      </c>
      <c r="F185" s="1">
        <f t="shared" ref="F185:F194" si="196">D185-$I$2</f>
        <v>-4</v>
      </c>
      <c r="G185" s="1">
        <f t="shared" ref="G185:G194" si="197">E185-$I$3</f>
        <v>-10</v>
      </c>
      <c r="H185" s="6">
        <f t="shared" ref="H185:H194" si="198">F185*COS($B$27)+G185*SIN($B$27)</f>
        <v>-1.1193198089725134</v>
      </c>
      <c r="I185" s="6">
        <f t="shared" ref="I185:I194" si="199">-1*F185*SIN($B$27)+G185*COS($B$27)</f>
        <v>10.71200836282542</v>
      </c>
      <c r="J185" s="6">
        <f t="shared" ref="J185:J194" si="200">$G$38-I185</f>
        <v>2.7014488954032938</v>
      </c>
      <c r="K185">
        <f t="shared" ref="K185:K194" ca="1" si="201">IF($B$28=0,-1,IF(C185=0,0,(($B$28-J185)/$B$28)*$B$30)*IF($B$28&lt;0,-1,1))</f>
        <v>2.761079769487168E-3</v>
      </c>
      <c r="L185">
        <f ca="1">IF(K185&lt;0,0,IF(K185&lt;=$B$145,0.85*$B$143*((2*K185/$B$145)-POWER(K185/$B$145,2)),0.85*$B$143))/1000</f>
        <v>4.25</v>
      </c>
      <c r="M185">
        <f ca="1">IF(K185&gt;0,MIN((K185*B$13),B$12)-L185,MAX(K185*B$13,-1*B$12))</f>
        <v>55.75</v>
      </c>
      <c r="N185" s="6">
        <f t="shared" ref="N185:N194" ca="1" si="202">M185*C185</f>
        <v>44.042500000000004</v>
      </c>
      <c r="O185" s="6">
        <f t="shared" ref="O185:O194" ca="1" si="203">N185*I185</f>
        <v>471.78362831973863</v>
      </c>
      <c r="P185" s="6">
        <f t="shared" ref="P185:P194" ca="1" si="204">N185*H185*-1</f>
        <v>49.297642686671928</v>
      </c>
      <c r="BC185">
        <v>3.1939525311496118</v>
      </c>
      <c r="BD185">
        <v>-128.16333231141675</v>
      </c>
      <c r="BE185">
        <v>27.963780447721714</v>
      </c>
      <c r="BF185" s="6">
        <f t="shared" si="167"/>
        <v>2.9267707616759226</v>
      </c>
      <c r="BG185" s="6">
        <f t="shared" si="168"/>
        <v>0.2671817694736891</v>
      </c>
      <c r="BH185" s="6">
        <f t="shared" si="169"/>
        <v>-3.015677121299376E-2</v>
      </c>
      <c r="BI185" s="6">
        <f t="shared" si="170"/>
        <v>3.015677121299376E-2</v>
      </c>
      <c r="BV185" s="38"/>
      <c r="BW185" s="6">
        <f t="shared" si="104"/>
        <v>2.9670597283903515</v>
      </c>
      <c r="BX185" s="9">
        <f t="shared" ca="1" si="105"/>
        <v>53.653427473180457</v>
      </c>
      <c r="BY185" s="9">
        <f t="shared" ca="1" si="106"/>
        <v>-6.1369866266608248</v>
      </c>
      <c r="BZ185">
        <f t="shared" ca="1" si="107"/>
        <v>54.003267350000677</v>
      </c>
      <c r="CA185" s="6">
        <f t="shared" ca="1" si="108"/>
        <v>0.99352187573109474</v>
      </c>
      <c r="CB185" s="6">
        <f t="shared" ca="1" si="109"/>
        <v>-0.11364102447517462</v>
      </c>
      <c r="CC185" s="6">
        <f t="shared" ca="1" si="110"/>
        <v>-0.11388705568120115</v>
      </c>
      <c r="CD185" s="6">
        <f t="shared" ca="1" si="111"/>
        <v>-79.641416144016148</v>
      </c>
      <c r="CE185" s="9">
        <f t="shared" ca="1" si="112"/>
        <v>18.799649516939382</v>
      </c>
      <c r="CF185">
        <f t="shared" ca="1" si="113"/>
        <v>81.830202171228407</v>
      </c>
      <c r="CG185" s="6">
        <f t="shared" ca="1" si="114"/>
        <v>-0.97325210045757604</v>
      </c>
      <c r="CH185" s="6">
        <f t="shared" ca="1" si="115"/>
        <v>0.22973974178386378</v>
      </c>
      <c r="CI185" s="6">
        <f t="shared" ca="1" si="116"/>
        <v>2.9097823900666495</v>
      </c>
      <c r="CJ185" s="1">
        <f t="shared" ca="1" si="117"/>
        <v>-1.3168399603720626E-2</v>
      </c>
      <c r="CK185" s="38"/>
    </row>
    <row r="186" spans="1:89" x14ac:dyDescent="0.25">
      <c r="A186">
        <f t="shared" si="195"/>
        <v>2</v>
      </c>
      <c r="B186">
        <f t="shared" si="195"/>
        <v>8</v>
      </c>
      <c r="C186">
        <f t="shared" ca="1" si="195"/>
        <v>0.79</v>
      </c>
      <c r="D186">
        <f t="shared" si="195"/>
        <v>2</v>
      </c>
      <c r="E186">
        <f t="shared" si="195"/>
        <v>4</v>
      </c>
      <c r="F186" s="1">
        <f t="shared" si="196"/>
        <v>-4</v>
      </c>
      <c r="G186" s="1">
        <f t="shared" si="197"/>
        <v>-8</v>
      </c>
      <c r="H186" s="6">
        <f t="shared" si="198"/>
        <v>-0.18757443757549952</v>
      </c>
      <c r="I186" s="6">
        <f t="shared" si="199"/>
        <v>8.9423048388191422</v>
      </c>
      <c r="J186" s="6">
        <f t="shared" si="200"/>
        <v>4.471152419409572</v>
      </c>
      <c r="K186">
        <f t="shared" ca="1" si="201"/>
        <v>2.6045645103555206E-3</v>
      </c>
      <c r="L186">
        <f t="shared" ref="L186:L194" ca="1" si="205">IF(K186&lt;0,0,IF(K186&lt;=$B$145,0.85*$B$143*((2*K186/$B$145)-POWER(K186/$B$145,2)),0.85*$B$143))/1000</f>
        <v>4.25</v>
      </c>
      <c r="M186">
        <f t="shared" ref="M186:M194" ca="1" si="206">IF(K186&gt;0,MIN((K186*B$13),B$12)-L186,MAX(K186*B$13,-1*B$12))</f>
        <v>55.75</v>
      </c>
      <c r="N186" s="6">
        <f t="shared" ca="1" si="202"/>
        <v>44.042500000000004</v>
      </c>
      <c r="O186" s="6">
        <f t="shared" ca="1" si="203"/>
        <v>393.84146086369208</v>
      </c>
      <c r="P186" s="6">
        <f t="shared" ca="1" si="204"/>
        <v>8.2612471669189382</v>
      </c>
      <c r="BC186">
        <v>3.2114058236695548</v>
      </c>
      <c r="BD186">
        <v>-128.09397359992471</v>
      </c>
      <c r="BE186">
        <v>27.745234902137085</v>
      </c>
      <c r="BF186" s="6">
        <f t="shared" si="167"/>
        <v>2.9282870914872516</v>
      </c>
      <c r="BG186" s="6">
        <f t="shared" si="168"/>
        <v>0.28311873218230321</v>
      </c>
      <c r="BH186" s="6">
        <f t="shared" si="169"/>
        <v>-3.1673101024322747E-2</v>
      </c>
      <c r="BI186" s="6">
        <f t="shared" si="170"/>
        <v>3.1673101024322747E-2</v>
      </c>
      <c r="BV186" s="38"/>
      <c r="BW186" s="6">
        <f t="shared" si="104"/>
        <v>2.9845130209102946</v>
      </c>
      <c r="BX186" s="9">
        <f t="shared" ca="1" si="105"/>
        <v>53.733404745581424</v>
      </c>
      <c r="BY186" s="9">
        <f t="shared" ca="1" si="106"/>
        <v>-5.9241347478617463</v>
      </c>
      <c r="BZ186">
        <f t="shared" ca="1" si="107"/>
        <v>54.058987763953695</v>
      </c>
      <c r="CA186" s="6">
        <f t="shared" ca="1" si="108"/>
        <v>0.99397726387712038</v>
      </c>
      <c r="CB186" s="6">
        <f t="shared" ca="1" si="109"/>
        <v>-0.10958649047831293</v>
      </c>
      <c r="CC186" s="6">
        <f t="shared" ca="1" si="110"/>
        <v>-0.10980702536418052</v>
      </c>
      <c r="CD186" s="6">
        <f t="shared" ca="1" si="111"/>
        <v>-79.721393416417115</v>
      </c>
      <c r="CE186" s="9">
        <f t="shared" ca="1" si="112"/>
        <v>18.586797638140304</v>
      </c>
      <c r="CF186">
        <f t="shared" ca="1" si="113"/>
        <v>81.859450368887352</v>
      </c>
      <c r="CG186" s="6">
        <f t="shared" ca="1" si="114"/>
        <v>-0.97388136686924476</v>
      </c>
      <c r="CH186" s="6">
        <f t="shared" ca="1" si="115"/>
        <v>0.22705744485678422</v>
      </c>
      <c r="CI186" s="6">
        <f t="shared" ca="1" si="116"/>
        <v>2.9125375121734591</v>
      </c>
      <c r="CJ186" s="1">
        <f t="shared" ca="1" si="117"/>
        <v>-1.5923521710530242E-2</v>
      </c>
      <c r="CK186" s="38"/>
    </row>
    <row r="187" spans="1:89" x14ac:dyDescent="0.25">
      <c r="A187">
        <f t="shared" si="195"/>
        <v>3</v>
      </c>
      <c r="B187">
        <f t="shared" si="195"/>
        <v>8</v>
      </c>
      <c r="C187">
        <f t="shared" ca="1" si="195"/>
        <v>0.79</v>
      </c>
      <c r="D187">
        <f t="shared" si="195"/>
        <v>4</v>
      </c>
      <c r="E187">
        <f t="shared" si="195"/>
        <v>2</v>
      </c>
      <c r="F187" s="1">
        <f t="shared" si="196"/>
        <v>-2</v>
      </c>
      <c r="G187" s="1">
        <f t="shared" si="197"/>
        <v>-10</v>
      </c>
      <c r="H187" s="6">
        <f t="shared" si="198"/>
        <v>-2.889023332978792</v>
      </c>
      <c r="I187" s="6">
        <f t="shared" si="199"/>
        <v>9.7802629914284065</v>
      </c>
      <c r="J187" s="6">
        <f t="shared" si="200"/>
        <v>3.6331942668003077</v>
      </c>
      <c r="K187">
        <f t="shared" ca="1" si="201"/>
        <v>2.6786747981059843E-3</v>
      </c>
      <c r="L187">
        <f t="shared" ca="1" si="205"/>
        <v>4.25</v>
      </c>
      <c r="M187">
        <f t="shared" ca="1" si="206"/>
        <v>55.75</v>
      </c>
      <c r="N187" s="6">
        <f t="shared" ca="1" si="202"/>
        <v>44.042500000000004</v>
      </c>
      <c r="O187" s="6">
        <f t="shared" ca="1" si="203"/>
        <v>430.74723279998562</v>
      </c>
      <c r="P187" s="6">
        <f t="shared" ca="1" si="204"/>
        <v>127.23981014271845</v>
      </c>
      <c r="BC187">
        <v>3.2288591161894979</v>
      </c>
      <c r="BD187">
        <v>-128.02294747203302</v>
      </c>
      <c r="BE187">
        <v>27.527885119354352</v>
      </c>
      <c r="BF187" s="6">
        <f t="shared" si="167"/>
        <v>2.9297944584714237</v>
      </c>
      <c r="BG187" s="6">
        <f t="shared" si="168"/>
        <v>0.29906465771807422</v>
      </c>
      <c r="BH187" s="6">
        <f t="shared" si="169"/>
        <v>-3.3180468008494834E-2</v>
      </c>
      <c r="BI187" s="6">
        <f t="shared" si="170"/>
        <v>3.3180468008494834E-2</v>
      </c>
      <c r="BV187" s="38"/>
      <c r="BW187" s="6">
        <f t="shared" si="104"/>
        <v>3.0019663134302377</v>
      </c>
      <c r="BX187" s="9">
        <f t="shared" ca="1" si="105"/>
        <v>53.811497410987215</v>
      </c>
      <c r="BY187" s="9">
        <f t="shared" ca="1" si="106"/>
        <v>-5.7105760890823412</v>
      </c>
      <c r="BZ187">
        <f t="shared" ca="1" si="107"/>
        <v>54.113657544855371</v>
      </c>
      <c r="CA187" s="6">
        <f t="shared" ca="1" si="108"/>
        <v>0.99441619458788766</v>
      </c>
      <c r="CB187" s="6">
        <f t="shared" ca="1" si="109"/>
        <v>-0.10552929423313856</v>
      </c>
      <c r="CC187" s="6">
        <f t="shared" ca="1" si="110"/>
        <v>-0.10572615233842293</v>
      </c>
      <c r="CD187" s="6">
        <f t="shared" ca="1" si="111"/>
        <v>-79.799486081822906</v>
      </c>
      <c r="CE187" s="9">
        <f t="shared" ca="1" si="112"/>
        <v>18.373238979360899</v>
      </c>
      <c r="CF187">
        <f t="shared" ca="1" si="113"/>
        <v>81.88732435191514</v>
      </c>
      <c r="CG187" s="6">
        <f t="shared" ca="1" si="114"/>
        <v>-0.97450352314456334</v>
      </c>
      <c r="CH187" s="6">
        <f t="shared" ca="1" si="115"/>
        <v>0.22437219831974148</v>
      </c>
      <c r="CI187" s="6">
        <f t="shared" ca="1" si="116"/>
        <v>2.9152938924458369</v>
      </c>
      <c r="CJ187" s="1">
        <f t="shared" ca="1" si="117"/>
        <v>-1.8679901982908031E-2</v>
      </c>
      <c r="CK187" s="38"/>
    </row>
    <row r="188" spans="1:89" x14ac:dyDescent="0.25">
      <c r="A188">
        <f t="shared" si="195"/>
        <v>4</v>
      </c>
      <c r="B188">
        <f t="shared" si="195"/>
        <v>8</v>
      </c>
      <c r="C188">
        <f t="shared" ca="1" si="195"/>
        <v>0.79</v>
      </c>
      <c r="D188">
        <f t="shared" si="195"/>
        <v>4</v>
      </c>
      <c r="E188">
        <f t="shared" si="195"/>
        <v>4</v>
      </c>
      <c r="F188" s="1">
        <f t="shared" si="196"/>
        <v>-2</v>
      </c>
      <c r="G188" s="1">
        <f t="shared" si="197"/>
        <v>-8</v>
      </c>
      <c r="H188" s="6">
        <f t="shared" si="198"/>
        <v>-1.9572779615817779</v>
      </c>
      <c r="I188" s="6">
        <f t="shared" si="199"/>
        <v>8.0105594674221283</v>
      </c>
      <c r="J188" s="6">
        <f t="shared" si="200"/>
        <v>5.4028977908065858</v>
      </c>
      <c r="K188">
        <f t="shared" ca="1" si="201"/>
        <v>2.5221595389743369E-3</v>
      </c>
      <c r="L188">
        <f t="shared" ca="1" si="205"/>
        <v>4.25</v>
      </c>
      <c r="M188">
        <f t="shared" ca="1" si="206"/>
        <v>55.75</v>
      </c>
      <c r="N188" s="6">
        <f t="shared" ca="1" si="202"/>
        <v>44.042500000000004</v>
      </c>
      <c r="O188" s="6">
        <f t="shared" ca="1" si="203"/>
        <v>352.80506534393913</v>
      </c>
      <c r="P188" s="6">
        <f t="shared" ca="1" si="204"/>
        <v>86.203414622965468</v>
      </c>
      <c r="BC188">
        <v>3.246312408709441</v>
      </c>
      <c r="BD188">
        <v>-127.95021788386418</v>
      </c>
      <c r="BE188">
        <v>27.311630390338728</v>
      </c>
      <c r="BF188" s="6">
        <f t="shared" si="167"/>
        <v>2.9312935749788034</v>
      </c>
      <c r="BG188" s="6">
        <f t="shared" si="168"/>
        <v>0.31501883373063766</v>
      </c>
      <c r="BH188" s="6">
        <f t="shared" si="169"/>
        <v>-3.4679584515874495E-2</v>
      </c>
      <c r="BI188" s="6">
        <f t="shared" si="170"/>
        <v>3.4679584515874495E-2</v>
      </c>
      <c r="BV188" s="38"/>
      <c r="BW188" s="6">
        <f t="shared" si="104"/>
        <v>3.0194196059501808</v>
      </c>
      <c r="BX188" s="9">
        <f t="shared" ca="1" si="105"/>
        <v>53.887756524619661</v>
      </c>
      <c r="BY188" s="9">
        <f t="shared" ca="1" si="106"/>
        <v>-5.4962155266814925</v>
      </c>
      <c r="BZ188">
        <f t="shared" ca="1" si="107"/>
        <v>54.167321222047001</v>
      </c>
      <c r="CA188" s="6">
        <f t="shared" ca="1" si="108"/>
        <v>0.99483886795358911</v>
      </c>
      <c r="CB188" s="6">
        <f t="shared" ca="1" si="109"/>
        <v>-0.10146736819697928</v>
      </c>
      <c r="CC188" s="6">
        <f t="shared" ca="1" si="110"/>
        <v>-0.10164229153316715</v>
      </c>
      <c r="CD188" s="6">
        <f t="shared" ca="1" si="111"/>
        <v>-79.875745195455352</v>
      </c>
      <c r="CE188" s="9">
        <f t="shared" ca="1" si="112"/>
        <v>18.15887841696005</v>
      </c>
      <c r="CF188">
        <f t="shared" ca="1" si="113"/>
        <v>81.913854358656849</v>
      </c>
      <c r="CG188" s="6">
        <f t="shared" ca="1" si="114"/>
        <v>-0.97511887117070928</v>
      </c>
      <c r="CH188" s="6">
        <f t="shared" ca="1" si="115"/>
        <v>0.22168262693941929</v>
      </c>
      <c r="CI188" s="6">
        <f t="shared" ca="1" si="116"/>
        <v>2.9180529597216109</v>
      </c>
      <c r="CJ188" s="1">
        <f t="shared" ca="1" si="117"/>
        <v>-2.143896925868205E-2</v>
      </c>
      <c r="CK188" s="38"/>
    </row>
    <row r="189" spans="1:89" x14ac:dyDescent="0.25">
      <c r="A189">
        <f t="shared" si="195"/>
        <v>5</v>
      </c>
      <c r="B189">
        <f t="shared" si="195"/>
        <v>0</v>
      </c>
      <c r="C189">
        <f t="shared" ca="1" si="195"/>
        <v>0</v>
      </c>
      <c r="D189">
        <f t="shared" si="195"/>
        <v>2</v>
      </c>
      <c r="E189">
        <f t="shared" si="195"/>
        <v>8.66</v>
      </c>
      <c r="F189" s="1">
        <f t="shared" si="196"/>
        <v>-4</v>
      </c>
      <c r="G189" s="1">
        <f t="shared" si="197"/>
        <v>-3.34</v>
      </c>
      <c r="H189" s="6">
        <f t="shared" si="198"/>
        <v>1.9833922777795434</v>
      </c>
      <c r="I189" s="6">
        <f t="shared" si="199"/>
        <v>4.8188956278845128</v>
      </c>
      <c r="J189" s="6">
        <f t="shared" si="200"/>
        <v>8.5945616303442023</v>
      </c>
      <c r="K189">
        <f t="shared" ca="1" si="201"/>
        <v>0</v>
      </c>
      <c r="L189">
        <f t="shared" ca="1" si="205"/>
        <v>0</v>
      </c>
      <c r="M189">
        <f t="shared" ca="1" si="206"/>
        <v>0</v>
      </c>
      <c r="N189" s="6">
        <f t="shared" ca="1" si="202"/>
        <v>0</v>
      </c>
      <c r="O189" s="6">
        <f t="shared" ca="1" si="203"/>
        <v>0</v>
      </c>
      <c r="P189" s="6">
        <f t="shared" ca="1" si="204"/>
        <v>0</v>
      </c>
      <c r="BC189">
        <v>3.2637657012293841</v>
      </c>
      <c r="BD189">
        <v>-127.87574519545643</v>
      </c>
      <c r="BE189">
        <v>27.096371583040199</v>
      </c>
      <c r="BF189" s="6">
        <f t="shared" si="167"/>
        <v>2.9327851406803158</v>
      </c>
      <c r="BG189" s="6">
        <f t="shared" si="168"/>
        <v>0.33098056054906833</v>
      </c>
      <c r="BH189" s="6">
        <f t="shared" si="169"/>
        <v>-3.6171150217386927E-2</v>
      </c>
      <c r="BI189" s="6">
        <f t="shared" si="170"/>
        <v>3.6171150217386927E-2</v>
      </c>
      <c r="BV189" s="38"/>
      <c r="BW189" s="6">
        <f t="shared" si="104"/>
        <v>3.0368728984701239</v>
      </c>
      <c r="BX189" s="9">
        <f t="shared" ca="1" si="105"/>
        <v>53.962229213027342</v>
      </c>
      <c r="BY189" s="9">
        <f t="shared" ca="1" si="106"/>
        <v>-5.280956719382953</v>
      </c>
      <c r="BZ189">
        <f t="shared" ca="1" si="107"/>
        <v>54.220021076271237</v>
      </c>
      <c r="CA189" s="6">
        <f t="shared" ca="1" si="108"/>
        <v>0.99524544885585231</v>
      </c>
      <c r="CB189" s="6">
        <f t="shared" ca="1" si="109"/>
        <v>-9.7398647484002954E-2</v>
      </c>
      <c r="CC189" s="6">
        <f t="shared" ca="1" si="110"/>
        <v>-9.7553303936425709E-2</v>
      </c>
      <c r="CD189" s="6">
        <f t="shared" ca="1" si="111"/>
        <v>-79.950217883863033</v>
      </c>
      <c r="CE189" s="9">
        <f t="shared" ca="1" si="112"/>
        <v>17.943619609661511</v>
      </c>
      <c r="CF189">
        <f t="shared" ca="1" si="113"/>
        <v>81.939067753870631</v>
      </c>
      <c r="CG189" s="6">
        <f t="shared" ca="1" si="114"/>
        <v>-0.97572769712267504</v>
      </c>
      <c r="CH189" s="6">
        <f t="shared" ca="1" si="115"/>
        <v>0.21898735367066574</v>
      </c>
      <c r="CI189" s="6">
        <f t="shared" ca="1" si="116"/>
        <v>2.9208161412015414</v>
      </c>
      <c r="CJ189" s="1">
        <f t="shared" ca="1" si="117"/>
        <v>-2.4202150738612538E-2</v>
      </c>
      <c r="CK189" s="38"/>
    </row>
    <row r="190" spans="1:89" x14ac:dyDescent="0.25">
      <c r="A190">
        <f t="shared" si="195"/>
        <v>6</v>
      </c>
      <c r="B190">
        <f t="shared" si="195"/>
        <v>0</v>
      </c>
      <c r="C190">
        <f t="shared" ca="1" si="195"/>
        <v>0</v>
      </c>
      <c r="D190">
        <f t="shared" si="195"/>
        <v>10</v>
      </c>
      <c r="E190">
        <f t="shared" si="195"/>
        <v>8.66</v>
      </c>
      <c r="F190" s="1">
        <f t="shared" si="196"/>
        <v>4</v>
      </c>
      <c r="G190" s="1">
        <f t="shared" si="197"/>
        <v>-3.34</v>
      </c>
      <c r="H190" s="6">
        <f t="shared" si="198"/>
        <v>-5.0954218182455699</v>
      </c>
      <c r="I190" s="6">
        <f t="shared" si="199"/>
        <v>1.0919141422964564</v>
      </c>
      <c r="J190" s="6">
        <f t="shared" si="200"/>
        <v>12.321543115932258</v>
      </c>
      <c r="K190">
        <f t="shared" ca="1" si="201"/>
        <v>0</v>
      </c>
      <c r="L190">
        <f t="shared" ca="1" si="205"/>
        <v>0</v>
      </c>
      <c r="M190">
        <f t="shared" ca="1" si="206"/>
        <v>0</v>
      </c>
      <c r="N190" s="6">
        <f t="shared" ca="1" si="202"/>
        <v>0</v>
      </c>
      <c r="O190" s="6">
        <f t="shared" ca="1" si="203"/>
        <v>0</v>
      </c>
      <c r="P190" s="6">
        <f t="shared" ca="1" si="204"/>
        <v>0</v>
      </c>
      <c r="BC190">
        <v>3.2812189937493272</v>
      </c>
      <c r="BD190">
        <v>-127.79948608182394</v>
      </c>
      <c r="BE190">
        <v>26.882011020639329</v>
      </c>
      <c r="BF190" s="6">
        <f t="shared" si="167"/>
        <v>2.9342698434738526</v>
      </c>
      <c r="BG190" s="6">
        <f t="shared" si="168"/>
        <v>0.34694915027547468</v>
      </c>
      <c r="BH190" s="6">
        <f t="shared" si="169"/>
        <v>-3.7655853010923668E-2</v>
      </c>
      <c r="BI190" s="6">
        <f t="shared" si="170"/>
        <v>3.7655853010923668E-2</v>
      </c>
      <c r="BV190" s="38"/>
      <c r="BW190" s="6">
        <f t="shared" si="104"/>
        <v>3.054326190990067</v>
      </c>
      <c r="BX190" s="9">
        <f t="shared" ca="1" si="105"/>
        <v>54.03495880119614</v>
      </c>
      <c r="BY190" s="9">
        <f t="shared" ca="1" si="106"/>
        <v>-5.0647019903673538</v>
      </c>
      <c r="BZ190">
        <f t="shared" ca="1" si="107"/>
        <v>54.271797269836156</v>
      </c>
      <c r="CA190" s="6">
        <f t="shared" ca="1" si="108"/>
        <v>0.99563606733968157</v>
      </c>
      <c r="CB190" s="6">
        <f t="shared" ca="1" si="109"/>
        <v>-9.3321066283947735E-2</v>
      </c>
      <c r="CC190" s="6">
        <f t="shared" ca="1" si="110"/>
        <v>-9.3457052637378649E-2</v>
      </c>
      <c r="CD190" s="6">
        <f t="shared" ca="1" si="111"/>
        <v>-80.022947472031831</v>
      </c>
      <c r="CE190" s="9">
        <f t="shared" ca="1" si="112"/>
        <v>17.727364880645911</v>
      </c>
      <c r="CF190">
        <f t="shared" ca="1" si="113"/>
        <v>81.962989133651803</v>
      </c>
      <c r="CG190" s="6">
        <f t="shared" ca="1" si="114"/>
        <v>-0.9763302719663326</v>
      </c>
      <c r="CH190" s="6">
        <f t="shared" ca="1" si="115"/>
        <v>0.21628499726552228</v>
      </c>
      <c r="CI190" s="6">
        <f t="shared" ca="1" si="116"/>
        <v>2.9235848650013647</v>
      </c>
      <c r="CJ190" s="1">
        <f t="shared" ca="1" si="117"/>
        <v>-2.6970874538435833E-2</v>
      </c>
      <c r="CK190" s="38"/>
    </row>
    <row r="191" spans="1:89" x14ac:dyDescent="0.25">
      <c r="A191">
        <f t="shared" si="195"/>
        <v>7</v>
      </c>
      <c r="B191">
        <f t="shared" si="195"/>
        <v>0</v>
      </c>
      <c r="C191">
        <f t="shared" ca="1" si="195"/>
        <v>0</v>
      </c>
      <c r="D191">
        <f t="shared" si="195"/>
        <v>2</v>
      </c>
      <c r="E191">
        <f t="shared" si="195"/>
        <v>15.33</v>
      </c>
      <c r="F191" s="1">
        <f t="shared" si="196"/>
        <v>-4</v>
      </c>
      <c r="G191" s="1">
        <f t="shared" si="197"/>
        <v>3.33</v>
      </c>
      <c r="H191" s="6">
        <f t="shared" si="198"/>
        <v>5.0907630913885855</v>
      </c>
      <c r="I191" s="6">
        <f t="shared" si="199"/>
        <v>-1.0830656246764256</v>
      </c>
      <c r="J191" s="6">
        <f t="shared" si="200"/>
        <v>14.49652288290514</v>
      </c>
      <c r="K191">
        <f t="shared" ca="1" si="201"/>
        <v>0</v>
      </c>
      <c r="L191">
        <f t="shared" ca="1" si="205"/>
        <v>0</v>
      </c>
      <c r="M191">
        <f t="shared" ca="1" si="206"/>
        <v>0</v>
      </c>
      <c r="N191" s="6">
        <f t="shared" ca="1" si="202"/>
        <v>0</v>
      </c>
      <c r="O191" s="6">
        <f t="shared" ca="1" si="203"/>
        <v>0</v>
      </c>
      <c r="P191" s="6">
        <f t="shared" ca="1" si="204"/>
        <v>0</v>
      </c>
      <c r="BC191">
        <v>3.2986722862692703</v>
      </c>
      <c r="BD191">
        <v>-127.72139341641839</v>
      </c>
      <c r="BE191">
        <v>26.66845236185992</v>
      </c>
      <c r="BF191" s="6">
        <f t="shared" si="167"/>
        <v>2.9357483603481178</v>
      </c>
      <c r="BG191" s="6">
        <f t="shared" si="168"/>
        <v>0.36292392592115252</v>
      </c>
      <c r="BH191" s="6">
        <f t="shared" si="169"/>
        <v>-3.9134369885188924E-2</v>
      </c>
      <c r="BI191" s="6">
        <f t="shared" si="170"/>
        <v>3.9134369885188924E-2</v>
      </c>
      <c r="BV191" s="38"/>
      <c r="BW191" s="6">
        <f t="shared" si="104"/>
        <v>3.0717794835100101</v>
      </c>
      <c r="BX191" s="9">
        <f t="shared" ca="1" si="105"/>
        <v>54.105984929087825</v>
      </c>
      <c r="BY191" s="9">
        <f t="shared" ca="1" si="106"/>
        <v>-4.8473522075846205</v>
      </c>
      <c r="BZ191">
        <f t="shared" ca="1" si="107"/>
        <v>54.322687972623875</v>
      </c>
      <c r="CA191" s="6">
        <f t="shared" ca="1" si="108"/>
        <v>0.99601081883788112</v>
      </c>
      <c r="CB191" s="6">
        <f t="shared" ca="1" si="109"/>
        <v>-8.9232554361585753E-2</v>
      </c>
      <c r="CC191" s="6">
        <f t="shared" ca="1" si="110"/>
        <v>-8.9351398961914963E-2</v>
      </c>
      <c r="CD191" s="6">
        <f t="shared" ca="1" si="111"/>
        <v>-80.093973599923515</v>
      </c>
      <c r="CE191" s="9">
        <f t="shared" ca="1" si="112"/>
        <v>17.510015097863178</v>
      </c>
      <c r="CF191">
        <f t="shared" ca="1" si="113"/>
        <v>81.985640424117207</v>
      </c>
      <c r="CG191" s="6">
        <f t="shared" ca="1" si="114"/>
        <v>-0.9769268518925025</v>
      </c>
      <c r="CH191" s="6">
        <f t="shared" ca="1" si="115"/>
        <v>0.21357416990686048</v>
      </c>
      <c r="CI191" s="6">
        <f t="shared" ca="1" si="116"/>
        <v>2.9263605626656259</v>
      </c>
      <c r="CJ191" s="1">
        <f t="shared" ca="1" si="117"/>
        <v>-2.9746572202697052E-2</v>
      </c>
      <c r="CK191" s="38"/>
    </row>
    <row r="192" spans="1:89" x14ac:dyDescent="0.25">
      <c r="A192">
        <f t="shared" si="195"/>
        <v>8</v>
      </c>
      <c r="B192">
        <f t="shared" si="195"/>
        <v>0</v>
      </c>
      <c r="C192">
        <f t="shared" ca="1" si="195"/>
        <v>0</v>
      </c>
      <c r="D192">
        <f t="shared" si="195"/>
        <v>10</v>
      </c>
      <c r="E192">
        <f t="shared" si="195"/>
        <v>15.33</v>
      </c>
      <c r="F192" s="1">
        <f t="shared" si="196"/>
        <v>4</v>
      </c>
      <c r="G192" s="1">
        <f t="shared" si="197"/>
        <v>3.33</v>
      </c>
      <c r="H192" s="6">
        <f t="shared" si="198"/>
        <v>-1.9880510046365283</v>
      </c>
      <c r="I192" s="6">
        <f t="shared" si="199"/>
        <v>-4.810047110264482</v>
      </c>
      <c r="J192" s="6">
        <f t="shared" si="200"/>
        <v>18.223504368493195</v>
      </c>
      <c r="K192">
        <f t="shared" ca="1" si="201"/>
        <v>0</v>
      </c>
      <c r="L192">
        <f t="shared" ca="1" si="205"/>
        <v>0</v>
      </c>
      <c r="M192">
        <f t="shared" ca="1" si="206"/>
        <v>0</v>
      </c>
      <c r="N192" s="6">
        <f t="shared" ca="1" si="202"/>
        <v>0</v>
      </c>
      <c r="O192" s="6">
        <f t="shared" ca="1" si="203"/>
        <v>0</v>
      </c>
      <c r="P192" s="6">
        <f t="shared" ca="1" si="204"/>
        <v>0</v>
      </c>
      <c r="BC192">
        <v>3.3161255787892134</v>
      </c>
      <c r="BD192">
        <v>-127.64141614401717</v>
      </c>
      <c r="BE192">
        <v>26.455600483060827</v>
      </c>
      <c r="BF192" s="6">
        <f t="shared" si="167"/>
        <v>2.9372213582347206</v>
      </c>
      <c r="BG192" s="6">
        <f t="shared" si="168"/>
        <v>0.3789042205544928</v>
      </c>
      <c r="BH192" s="6">
        <f t="shared" si="169"/>
        <v>-4.0607367771791747E-2</v>
      </c>
      <c r="BI192" s="6">
        <f t="shared" si="170"/>
        <v>4.0607367771791747E-2</v>
      </c>
      <c r="BV192" s="38"/>
      <c r="BW192" s="6">
        <f t="shared" si="104"/>
        <v>3.0892327760299532</v>
      </c>
      <c r="BX192" s="9">
        <f t="shared" ca="1" si="105"/>
        <v>54.175343640579783</v>
      </c>
      <c r="BY192" s="9">
        <f t="shared" ca="1" si="106"/>
        <v>-4.6288066619999704</v>
      </c>
      <c r="BZ192">
        <f t="shared" ca="1" si="107"/>
        <v>54.372729466977134</v>
      </c>
      <c r="CA192" s="6">
        <f t="shared" ca="1" si="108"/>
        <v>0.99636976424887347</v>
      </c>
      <c r="CB192" s="6">
        <f t="shared" ca="1" si="109"/>
        <v>-8.5131033651919957E-2</v>
      </c>
      <c r="CC192" s="6">
        <f t="shared" ca="1" si="110"/>
        <v>-8.5234198713502102E-2</v>
      </c>
      <c r="CD192" s="6">
        <f t="shared" ca="1" si="111"/>
        <v>-80.163332311415473</v>
      </c>
      <c r="CE192" s="9">
        <f t="shared" ca="1" si="112"/>
        <v>17.291469552278528</v>
      </c>
      <c r="CF192">
        <f t="shared" ca="1" si="113"/>
        <v>82.007040957150764</v>
      </c>
      <c r="CG192" s="6">
        <f t="shared" ca="1" si="114"/>
        <v>-0.97751767867470496</v>
      </c>
      <c r="CH192" s="6">
        <f t="shared" ca="1" si="115"/>
        <v>0.21085347490239817</v>
      </c>
      <c r="CI192" s="6">
        <f t="shared" ca="1" si="116"/>
        <v>2.9291446716075877</v>
      </c>
      <c r="CJ192" s="1">
        <f t="shared" ca="1" si="117"/>
        <v>-3.2530681144658839E-2</v>
      </c>
      <c r="CK192" s="38"/>
    </row>
    <row r="193" spans="1:89" x14ac:dyDescent="0.25">
      <c r="A193">
        <f t="shared" si="195"/>
        <v>9</v>
      </c>
      <c r="B193">
        <f t="shared" si="195"/>
        <v>0</v>
      </c>
      <c r="C193">
        <f t="shared" ca="1" si="195"/>
        <v>0</v>
      </c>
      <c r="D193">
        <f t="shared" si="195"/>
        <v>8</v>
      </c>
      <c r="E193">
        <f t="shared" si="195"/>
        <v>2</v>
      </c>
      <c r="F193" s="1">
        <f t="shared" si="196"/>
        <v>2</v>
      </c>
      <c r="G193" s="1">
        <f t="shared" si="197"/>
        <v>-10</v>
      </c>
      <c r="H193" s="6">
        <f t="shared" si="198"/>
        <v>-6.4284303809913483</v>
      </c>
      <c r="I193" s="6">
        <f t="shared" si="199"/>
        <v>7.9167722486343788</v>
      </c>
      <c r="J193" s="6">
        <f t="shared" si="200"/>
        <v>5.4966850095943354</v>
      </c>
      <c r="K193">
        <f t="shared" ca="1" si="201"/>
        <v>0</v>
      </c>
      <c r="L193">
        <f t="shared" ca="1" si="205"/>
        <v>0</v>
      </c>
      <c r="M193">
        <f t="shared" ca="1" si="206"/>
        <v>0</v>
      </c>
      <c r="N193" s="6">
        <f t="shared" ca="1" si="202"/>
        <v>0</v>
      </c>
      <c r="O193" s="6">
        <f t="shared" ca="1" si="203"/>
        <v>0</v>
      </c>
      <c r="P193" s="6">
        <f t="shared" ca="1" si="204"/>
        <v>0</v>
      </c>
      <c r="BC193">
        <v>3.3335788713091565</v>
      </c>
      <c r="BD193">
        <v>-127.55949913828015</v>
      </c>
      <c r="BE193">
        <v>26.24336136224337</v>
      </c>
      <c r="BF193" s="6">
        <f t="shared" si="167"/>
        <v>2.9386894948411575</v>
      </c>
      <c r="BG193" s="6">
        <f t="shared" si="168"/>
        <v>0.39488937646799904</v>
      </c>
      <c r="BH193" s="6">
        <f t="shared" si="169"/>
        <v>-4.2075504378228601E-2</v>
      </c>
      <c r="BI193" s="6">
        <f t="shared" si="170"/>
        <v>4.2075504378228601E-2</v>
      </c>
      <c r="BV193" s="38"/>
      <c r="BW193" s="6">
        <f t="shared" si="104"/>
        <v>3.1066860685498963</v>
      </c>
      <c r="BX193" s="9">
        <f t="shared" ca="1" si="105"/>
        <v>54.243067475659316</v>
      </c>
      <c r="BY193" s="9">
        <f t="shared" ca="1" si="106"/>
        <v>-4.4089629446298026</v>
      </c>
      <c r="BZ193">
        <f t="shared" ca="1" si="107"/>
        <v>54.421956262303247</v>
      </c>
      <c r="CA193" s="6">
        <f t="shared" ca="1" si="108"/>
        <v>0.99671292987371274</v>
      </c>
      <c r="CB193" s="6">
        <f t="shared" ca="1" si="109"/>
        <v>-8.1014414905988652E-2</v>
      </c>
      <c r="CC193" s="6">
        <f t="shared" ca="1" si="110"/>
        <v>-8.1103298471257509E-2</v>
      </c>
      <c r="CD193" s="6">
        <f t="shared" ca="1" si="111"/>
        <v>-80.231056146495007</v>
      </c>
      <c r="CE193" s="9">
        <f t="shared" ca="1" si="112"/>
        <v>17.07162583490836</v>
      </c>
      <c r="CF193">
        <f t="shared" ca="1" si="113"/>
        <v>82.027207553525457</v>
      </c>
      <c r="CG193" s="6">
        <f t="shared" ca="1" si="114"/>
        <v>-0.9781029799672456</v>
      </c>
      <c r="CH193" s="6">
        <f t="shared" ca="1" si="115"/>
        <v>0.20812150436510424</v>
      </c>
      <c r="CI193" s="6">
        <f t="shared" ca="1" si="116"/>
        <v>2.9319386375518706</v>
      </c>
      <c r="CJ193" s="1">
        <f t="shared" ca="1" si="117"/>
        <v>-3.5324647088941674E-2</v>
      </c>
      <c r="CK193" s="38"/>
    </row>
    <row r="194" spans="1:89" ht="15.75" thickBot="1" x14ac:dyDescent="0.3">
      <c r="A194">
        <f t="shared" si="195"/>
        <v>10</v>
      </c>
      <c r="B194">
        <f t="shared" si="195"/>
        <v>0</v>
      </c>
      <c r="C194">
        <f t="shared" ca="1" si="195"/>
        <v>0</v>
      </c>
      <c r="D194">
        <f t="shared" si="195"/>
        <v>10</v>
      </c>
      <c r="E194">
        <f t="shared" si="195"/>
        <v>2</v>
      </c>
      <c r="F194" s="1">
        <f t="shared" si="196"/>
        <v>4</v>
      </c>
      <c r="G194" s="1">
        <f t="shared" si="197"/>
        <v>-10</v>
      </c>
      <c r="H194" s="6">
        <f t="shared" si="198"/>
        <v>-8.1981339049976274</v>
      </c>
      <c r="I194" s="6">
        <f t="shared" si="199"/>
        <v>6.9850268772373649</v>
      </c>
      <c r="J194" s="6">
        <f t="shared" si="200"/>
        <v>6.4284303809913492</v>
      </c>
      <c r="K194" s="12">
        <f t="shared" ca="1" si="201"/>
        <v>0</v>
      </c>
      <c r="L194">
        <f t="shared" ca="1" si="205"/>
        <v>0</v>
      </c>
      <c r="M194">
        <f t="shared" ca="1" si="206"/>
        <v>0</v>
      </c>
      <c r="N194" s="11">
        <f t="shared" ca="1" si="202"/>
        <v>0</v>
      </c>
      <c r="O194" s="11">
        <f t="shared" ca="1" si="203"/>
        <v>0</v>
      </c>
      <c r="P194" s="11">
        <f t="shared" ca="1" si="204"/>
        <v>0</v>
      </c>
      <c r="BC194">
        <v>3.3510321638290996</v>
      </c>
      <c r="BD194">
        <v>-127.47558303366193</v>
      </c>
      <c r="BE194">
        <v>26.031641965541056</v>
      </c>
      <c r="BF194" s="6">
        <f t="shared" si="167"/>
        <v>2.9401534194459558</v>
      </c>
      <c r="BG194" s="6">
        <f t="shared" si="168"/>
        <v>0.41087874438314387</v>
      </c>
      <c r="BH194" s="6">
        <f t="shared" si="169"/>
        <v>-4.353942898302688E-2</v>
      </c>
      <c r="BI194" s="6">
        <f t="shared" si="170"/>
        <v>4.353942898302688E-2</v>
      </c>
      <c r="BV194" s="38"/>
      <c r="BW194" s="6">
        <f t="shared" si="104"/>
        <v>3.1241393610698394</v>
      </c>
      <c r="BX194" s="9">
        <f t="shared" ca="1" si="105"/>
        <v>54.309185528702486</v>
      </c>
      <c r="BY194" s="9">
        <f t="shared" ca="1" si="106"/>
        <v>-4.1877168218251875</v>
      </c>
      <c r="BZ194">
        <f t="shared" ca="1" si="107"/>
        <v>54.470401182392855</v>
      </c>
      <c r="CA194" s="6">
        <f t="shared" ca="1" si="108"/>
        <v>0.99704030720922099</v>
      </c>
      <c r="CB194" s="6">
        <f t="shared" ca="1" si="109"/>
        <v>-7.6880594431509991E-2</v>
      </c>
      <c r="CC194" s="6">
        <f t="shared" ca="1" si="110"/>
        <v>-7.6956531986882237E-2</v>
      </c>
      <c r="CD194" s="6">
        <f t="shared" ca="1" si="111"/>
        <v>-80.297174199538176</v>
      </c>
      <c r="CE194" s="9">
        <f t="shared" ca="1" si="112"/>
        <v>16.850379712103745</v>
      </c>
      <c r="CF194">
        <f t="shared" ca="1" si="113"/>
        <v>82.046154577000479</v>
      </c>
      <c r="CG194" s="6">
        <f t="shared" ca="1" si="114"/>
        <v>-0.97868296952514844</v>
      </c>
      <c r="CH194" s="6">
        <f t="shared" ca="1" si="115"/>
        <v>0.20537683696424347</v>
      </c>
      <c r="CI194" s="6">
        <f t="shared" ca="1" si="116"/>
        <v>2.9347439168943774</v>
      </c>
      <c r="CJ194" s="1">
        <f t="shared" ca="1" si="117"/>
        <v>-3.8129926431448524E-2</v>
      </c>
      <c r="CK194" s="38"/>
    </row>
    <row r="195" spans="1:89" ht="15.75" thickTop="1" x14ac:dyDescent="0.25">
      <c r="K195" s="13">
        <f ca="1">MIN(K185:K194)</f>
        <v>0</v>
      </c>
      <c r="N195" s="9">
        <f ca="1">SUM(N185:N194)</f>
        <v>176.17000000000002</v>
      </c>
      <c r="O195" s="9">
        <f ca="1">SUM(O185:O194)</f>
        <v>1649.1773873273553</v>
      </c>
      <c r="P195" s="9">
        <f ca="1">SUM(P185:P194)</f>
        <v>271.00211461927478</v>
      </c>
      <c r="BC195">
        <v>3.3684854563490427</v>
      </c>
      <c r="BD195">
        <v>-127.38960404978027</v>
      </c>
      <c r="BE195">
        <v>25.820350135367399</v>
      </c>
      <c r="BF195" s="6">
        <f t="shared" ref="BF195:BF258" si="207">IF(BC195&lt;&gt;"",IF(AND(BD195=0,BE195=0),0,MOD(ATAN2(BD195,BE195),2*PI())),NA())</f>
        <v>2.9416137736919628</v>
      </c>
      <c r="BG195" s="6">
        <f t="shared" ref="BG195:BG258" si="208">ABS(BC195-BF195)</f>
        <v>0.42687168265707998</v>
      </c>
      <c r="BH195" s="6">
        <f t="shared" ref="BH195:BH258" si="209">ATAN2(COS($U$13-BF195),SIN($U$13-BF195))</f>
        <v>-4.499978322903387E-2</v>
      </c>
      <c r="BI195" s="6">
        <f t="shared" ref="BI195:BI258" si="210">ABS(BH195)</f>
        <v>4.499978322903387E-2</v>
      </c>
      <c r="BV195" s="38"/>
      <c r="BW195" s="6">
        <f t="shared" si="104"/>
        <v>3.1415926535897825</v>
      </c>
      <c r="BX195" s="9">
        <f t="shared" ca="1" si="105"/>
        <v>54.373723508780628</v>
      </c>
      <c r="BY195" s="9">
        <f t="shared" ca="1" si="106"/>
        <v>-3.9649621097215935</v>
      </c>
      <c r="BZ195">
        <f t="shared" ca="1" si="107"/>
        <v>54.518095461423187</v>
      </c>
      <c r="CA195" s="6">
        <f t="shared" ca="1" si="108"/>
        <v>0.99735185260195458</v>
      </c>
      <c r="CB195" s="6">
        <f t="shared" ca="1" si="109"/>
        <v>-7.2727450879629257E-2</v>
      </c>
      <c r="CC195" s="6">
        <f t="shared" ca="1" si="110"/>
        <v>-7.2791716628791844E-2</v>
      </c>
      <c r="CD195" s="6">
        <f t="shared" ca="1" si="111"/>
        <v>-80.361712179616319</v>
      </c>
      <c r="CE195" s="9">
        <f t="shared" ca="1" si="112"/>
        <v>16.627625000000151</v>
      </c>
      <c r="CF195">
        <f t="shared" ca="1" si="113"/>
        <v>82.063893994741221</v>
      </c>
      <c r="CG195" s="6">
        <f t="shared" ca="1" si="114"/>
        <v>-0.97925784736422594</v>
      </c>
      <c r="CH195" s="6">
        <f t="shared" ca="1" si="115"/>
        <v>0.2026180356621351</v>
      </c>
      <c r="CI195" s="6">
        <f t="shared" ca="1" si="116"/>
        <v>2.9375619790672118</v>
      </c>
      <c r="CJ195" s="1">
        <f t="shared" ca="1" si="117"/>
        <v>-4.0947988604282948E-2</v>
      </c>
      <c r="CK195" s="38"/>
    </row>
    <row r="196" spans="1:89" x14ac:dyDescent="0.25">
      <c r="A196" t="s">
        <v>195</v>
      </c>
      <c r="B196" s="9">
        <f ca="1">N195</f>
        <v>176.17000000000002</v>
      </c>
      <c r="C196" t="s">
        <v>68</v>
      </c>
      <c r="BC196">
        <v>3.3859387488689858</v>
      </c>
      <c r="BD196">
        <v>-127.30149378118935</v>
      </c>
      <c r="BE196">
        <v>25.609394481614196</v>
      </c>
      <c r="BF196" s="6">
        <f t="shared" si="207"/>
        <v>2.9430711923271851</v>
      </c>
      <c r="BG196" s="6">
        <f t="shared" si="208"/>
        <v>0.44286755654180077</v>
      </c>
      <c r="BH196" s="6">
        <f t="shared" si="209"/>
        <v>-4.645720186425617E-2</v>
      </c>
      <c r="BI196" s="6">
        <f t="shared" si="210"/>
        <v>4.645720186425617E-2</v>
      </c>
      <c r="BV196" s="38"/>
      <c r="BW196" s="6">
        <f t="shared" si="104"/>
        <v>3.1590459461097256</v>
      </c>
      <c r="BX196" s="9">
        <f t="shared" ca="1" si="105"/>
        <v>54.309185528703679</v>
      </c>
      <c r="BY196" s="9">
        <f t="shared" ca="1" si="106"/>
        <v>-3.7422073976179533</v>
      </c>
      <c r="BZ196">
        <f t="shared" ca="1" si="107"/>
        <v>54.437962388373279</v>
      </c>
      <c r="CA196" s="6">
        <f t="shared" ca="1" si="108"/>
        <v>0.9976344291002136</v>
      </c>
      <c r="CB196" s="6">
        <f t="shared" ca="1" si="109"/>
        <v>-6.874260595795563E-2</v>
      </c>
      <c r="CC196" s="6">
        <f t="shared" ca="1" si="110"/>
        <v>-6.8796862469887893E-2</v>
      </c>
      <c r="CD196" s="6">
        <f t="shared" ca="1" si="111"/>
        <v>-80.29717419953937</v>
      </c>
      <c r="CE196" s="9">
        <f t="shared" ca="1" si="112"/>
        <v>16.404870287896511</v>
      </c>
      <c r="CF196">
        <f t="shared" ca="1" si="113"/>
        <v>81.955817082095407</v>
      </c>
      <c r="CG196" s="6">
        <f t="shared" ca="1" si="114"/>
        <v>-0.97976174307560659</v>
      </c>
      <c r="CH196" s="6">
        <f t="shared" ca="1" si="115"/>
        <v>0.20016724708465417</v>
      </c>
      <c r="CI196" s="6">
        <f t="shared" ca="1" si="116"/>
        <v>2.9400640339837523</v>
      </c>
      <c r="CJ196" s="1">
        <f t="shared" ca="1" si="117"/>
        <v>-4.3450043520823385E-2</v>
      </c>
      <c r="CK196" s="38"/>
    </row>
    <row r="197" spans="1:89" x14ac:dyDescent="0.25">
      <c r="A197" t="s">
        <v>100</v>
      </c>
      <c r="B197" s="9">
        <f ca="1">O195</f>
        <v>1649.1773873273553</v>
      </c>
      <c r="C197" t="s">
        <v>69</v>
      </c>
      <c r="BC197">
        <v>3.4033920413889289</v>
      </c>
      <c r="BD197">
        <v>-127.21117898180805</v>
      </c>
      <c r="BE197">
        <v>25.398684274307524</v>
      </c>
      <c r="BF197" s="6">
        <f t="shared" si="207"/>
        <v>2.9445263039521579</v>
      </c>
      <c r="BG197" s="6">
        <f t="shared" si="208"/>
        <v>0.45886573743677106</v>
      </c>
      <c r="BH197" s="6">
        <f t="shared" si="209"/>
        <v>-4.7912313489228975E-2</v>
      </c>
      <c r="BI197" s="6">
        <f t="shared" si="210"/>
        <v>4.7912313489228975E-2</v>
      </c>
      <c r="BV197" s="38"/>
      <c r="BW197" s="6">
        <f t="shared" si="104"/>
        <v>3.1764992386296687</v>
      </c>
      <c r="BX197" s="9">
        <f t="shared" ca="1" si="105"/>
        <v>54.24306747566051</v>
      </c>
      <c r="BY197" s="9">
        <f t="shared" ca="1" si="106"/>
        <v>-3.5209612748133274</v>
      </c>
      <c r="BZ197">
        <f t="shared" ca="1" si="107"/>
        <v>54.35722157604998</v>
      </c>
      <c r="CA197" s="6">
        <f t="shared" ca="1" si="108"/>
        <v>0.99789992760704738</v>
      </c>
      <c r="CB197" s="6">
        <f t="shared" ca="1" si="109"/>
        <v>-6.4774489437198865E-2</v>
      </c>
      <c r="CC197" s="6">
        <f t="shared" ca="1" si="110"/>
        <v>-6.4819871267217111E-2</v>
      </c>
      <c r="CD197" s="6">
        <f t="shared" ca="1" si="111"/>
        <v>-80.231056146496201</v>
      </c>
      <c r="CE197" s="9">
        <f t="shared" ca="1" si="112"/>
        <v>16.183624165091885</v>
      </c>
      <c r="CF197">
        <f t="shared" ca="1" si="113"/>
        <v>81.847003986090854</v>
      </c>
      <c r="CG197" s="6">
        <f t="shared" ca="1" si="114"/>
        <v>-0.98025648147280664</v>
      </c>
      <c r="CH197" s="6">
        <f t="shared" ca="1" si="115"/>
        <v>0.19773019630434052</v>
      </c>
      <c r="CI197" s="6">
        <f t="shared" ca="1" si="116"/>
        <v>2.9425507960902468</v>
      </c>
      <c r="CJ197" s="1">
        <f t="shared" ca="1" si="117"/>
        <v>-4.5936805627317945E-2</v>
      </c>
      <c r="CK197" s="38"/>
    </row>
    <row r="198" spans="1:89" x14ac:dyDescent="0.25">
      <c r="A198" t="s">
        <v>101</v>
      </c>
      <c r="B198" s="9">
        <f ca="1">P195</f>
        <v>271.00211461927478</v>
      </c>
      <c r="C198" t="s">
        <v>69</v>
      </c>
      <c r="BC198">
        <v>3.420845333908872</v>
      </c>
      <c r="BD198">
        <v>-127.11858131277944</v>
      </c>
      <c r="BE198">
        <v>25.188129339494413</v>
      </c>
      <c r="BF198" s="6">
        <f t="shared" si="207"/>
        <v>2.9459797317146093</v>
      </c>
      <c r="BG198" s="6">
        <f t="shared" si="208"/>
        <v>0.47486560219426277</v>
      </c>
      <c r="BH198" s="6">
        <f t="shared" si="209"/>
        <v>-4.9365741251680362E-2</v>
      </c>
      <c r="BI198" s="6">
        <f t="shared" si="210"/>
        <v>4.9365741251680362E-2</v>
      </c>
      <c r="BV198" s="38"/>
      <c r="BW198" s="6">
        <f t="shared" si="104"/>
        <v>3.1939525311496118</v>
      </c>
      <c r="BX198" s="9">
        <f t="shared" ca="1" si="105"/>
        <v>54.175343640581062</v>
      </c>
      <c r="BY198" s="9">
        <f t="shared" ca="1" si="106"/>
        <v>-3.3011175574431562</v>
      </c>
      <c r="BZ198">
        <f t="shared" ca="1" si="107"/>
        <v>54.275825518393603</v>
      </c>
      <c r="CA198" s="6">
        <f t="shared" ca="1" si="108"/>
        <v>0.998148680801207</v>
      </c>
      <c r="CB198" s="6">
        <f t="shared" ca="1" si="109"/>
        <v>-6.0821139538899067E-2</v>
      </c>
      <c r="CC198" s="6">
        <f t="shared" ca="1" si="110"/>
        <v>-6.0858700469720278E-2</v>
      </c>
      <c r="CD198" s="6">
        <f t="shared" ca="1" si="111"/>
        <v>-80.163332311416752</v>
      </c>
      <c r="CE198" s="9">
        <f t="shared" ca="1" si="112"/>
        <v>15.963780447721714</v>
      </c>
      <c r="CF198">
        <f t="shared" ca="1" si="113"/>
        <v>81.737397398337166</v>
      </c>
      <c r="CG198" s="6">
        <f t="shared" ca="1" si="114"/>
        <v>-0.98074241244494975</v>
      </c>
      <c r="CH198" s="6">
        <f t="shared" ca="1" si="115"/>
        <v>0.19530571018702969</v>
      </c>
      <c r="CI198" s="6">
        <f t="shared" ca="1" si="116"/>
        <v>2.9450235000672875</v>
      </c>
      <c r="CJ198" s="1">
        <f t="shared" ca="1" si="117"/>
        <v>-4.8409509604358636E-2</v>
      </c>
      <c r="CK198" s="38"/>
    </row>
    <row r="199" spans="1:89" x14ac:dyDescent="0.25">
      <c r="BC199">
        <v>3.4382986264288151</v>
      </c>
      <c r="BD199">
        <v>-127.02361707243922</v>
      </c>
      <c r="BE199">
        <v>24.977639957278413</v>
      </c>
      <c r="BF199" s="6">
        <f t="shared" si="207"/>
        <v>2.9474320939905199</v>
      </c>
      <c r="BG199" s="6">
        <f t="shared" si="208"/>
        <v>0.49086653243829526</v>
      </c>
      <c r="BH199" s="6">
        <f t="shared" si="209"/>
        <v>-5.0818103527590974E-2</v>
      </c>
      <c r="BI199" s="6">
        <f t="shared" si="210"/>
        <v>5.0818103527590974E-2</v>
      </c>
      <c r="BV199" s="38"/>
      <c r="BW199" s="6">
        <f t="shared" si="104"/>
        <v>3.2114058236695548</v>
      </c>
      <c r="BX199" s="9">
        <f t="shared" ca="1" si="105"/>
        <v>54.105984929089018</v>
      </c>
      <c r="BY199" s="9">
        <f t="shared" ca="1" si="106"/>
        <v>-3.0825720118585274</v>
      </c>
      <c r="BZ199">
        <f t="shared" ca="1" si="107"/>
        <v>54.193725239690814</v>
      </c>
      <c r="CA199" s="6">
        <f t="shared" ca="1" si="108"/>
        <v>0.99838098764730177</v>
      </c>
      <c r="CB199" s="6">
        <f t="shared" ca="1" si="109"/>
        <v>-5.6880607454548808E-2</v>
      </c>
      <c r="CC199" s="6">
        <f t="shared" ca="1" si="110"/>
        <v>-5.6911324149785607E-2</v>
      </c>
      <c r="CD199" s="6">
        <f t="shared" ca="1" si="111"/>
        <v>-80.093973599924709</v>
      </c>
      <c r="CE199" s="9">
        <f t="shared" ca="1" si="112"/>
        <v>15.745234902137085</v>
      </c>
      <c r="CF199">
        <f t="shared" ca="1" si="113"/>
        <v>81.626938134104435</v>
      </c>
      <c r="CG199" s="6">
        <f t="shared" ca="1" si="114"/>
        <v>-0.98121986969961772</v>
      </c>
      <c r="CH199" s="6">
        <f t="shared" ca="1" si="115"/>
        <v>0.19289263155098782</v>
      </c>
      <c r="CI199" s="6">
        <f t="shared" ca="1" si="116"/>
        <v>2.9474833612391604</v>
      </c>
      <c r="CJ199" s="1">
        <f t="shared" ca="1" si="117"/>
        <v>-5.0869370776231555E-2</v>
      </c>
      <c r="CK199" s="38"/>
    </row>
    <row r="200" spans="1:89" x14ac:dyDescent="0.25">
      <c r="A200" t="s">
        <v>99</v>
      </c>
      <c r="B200" s="9">
        <f ca="1">B178+B196</f>
        <v>1307.6923076919609</v>
      </c>
      <c r="C200" t="s">
        <v>68</v>
      </c>
      <c r="BC200">
        <v>3.4557519189487582</v>
      </c>
      <c r="BD200">
        <v>-126.92619689862039</v>
      </c>
      <c r="BE200">
        <v>24.767126762552561</v>
      </c>
      <c r="BF200" s="6">
        <f t="shared" si="207"/>
        <v>2.9488840050349183</v>
      </c>
      <c r="BG200" s="6">
        <f t="shared" si="208"/>
        <v>0.5068679139138399</v>
      </c>
      <c r="BH200" s="6">
        <f t="shared" si="209"/>
        <v>-5.2270014571989432E-2</v>
      </c>
      <c r="BI200" s="6">
        <f t="shared" si="210"/>
        <v>5.2270014571989432E-2</v>
      </c>
      <c r="BV200" s="38"/>
      <c r="BW200" s="6">
        <f t="shared" si="104"/>
        <v>3.2288591161894979</v>
      </c>
      <c r="BX200" s="9">
        <f t="shared" ca="1" si="105"/>
        <v>54.034958801197334</v>
      </c>
      <c r="BY200" s="9">
        <f t="shared" ca="1" si="106"/>
        <v>-2.865222229075794</v>
      </c>
      <c r="BZ200">
        <f t="shared" ca="1" si="107"/>
        <v>54.110870174754012</v>
      </c>
      <c r="CA200" s="6">
        <f t="shared" ca="1" si="108"/>
        <v>0.99859711416002883</v>
      </c>
      <c r="CB200" s="6">
        <f t="shared" ca="1" si="109"/>
        <v>-5.2950954583106911E-2</v>
      </c>
      <c r="CC200" s="6">
        <f t="shared" ca="1" si="110"/>
        <v>-5.2975729867888725E-2</v>
      </c>
      <c r="CD200" s="6">
        <f t="shared" ca="1" si="111"/>
        <v>-80.022947472033024</v>
      </c>
      <c r="CE200" s="9">
        <f t="shared" ca="1" si="112"/>
        <v>15.527885119354352</v>
      </c>
      <c r="CF200">
        <f t="shared" ca="1" si="113"/>
        <v>81.515565006884557</v>
      </c>
      <c r="CG200" s="6">
        <f t="shared" ca="1" si="114"/>
        <v>-0.98168917145178991</v>
      </c>
      <c r="CH200" s="6">
        <f t="shared" ca="1" si="115"/>
        <v>0.19048981771816112</v>
      </c>
      <c r="CI200" s="6">
        <f t="shared" ca="1" si="116"/>
        <v>2.9499315772107568</v>
      </c>
      <c r="CJ200" s="1">
        <f t="shared" ca="1" si="117"/>
        <v>-5.3317586747827946E-2</v>
      </c>
      <c r="CK200" s="38"/>
    </row>
    <row r="201" spans="1:89" x14ac:dyDescent="0.25">
      <c r="A201" t="s">
        <v>100</v>
      </c>
      <c r="B201" s="9">
        <f ca="1">B197+B179</f>
        <v>2352.679319223425</v>
      </c>
      <c r="C201" t="s">
        <v>69</v>
      </c>
      <c r="BC201">
        <v>3.4732052114687013</v>
      </c>
      <c r="BD201">
        <v>-126.82622543849668</v>
      </c>
      <c r="BE201">
        <v>24.556500648833502</v>
      </c>
      <c r="BF201" s="6">
        <f t="shared" si="207"/>
        <v>2.9503360755949917</v>
      </c>
      <c r="BG201" s="6">
        <f t="shared" si="208"/>
        <v>0.52286913587370965</v>
      </c>
      <c r="BH201" s="6">
        <f t="shared" si="209"/>
        <v>-5.372208513206278E-2</v>
      </c>
      <c r="BI201" s="6">
        <f t="shared" si="210"/>
        <v>5.372208513206278E-2</v>
      </c>
      <c r="BV201" s="38"/>
      <c r="BW201" s="6">
        <f t="shared" si="104"/>
        <v>3.246312408709441</v>
      </c>
      <c r="BX201" s="9">
        <f t="shared" ca="1" si="105"/>
        <v>53.962229213028493</v>
      </c>
      <c r="BY201" s="9">
        <f t="shared" ca="1" si="106"/>
        <v>-2.64896750006017</v>
      </c>
      <c r="BZ201">
        <f t="shared" ca="1" si="107"/>
        <v>54.027208057198372</v>
      </c>
      <c r="CA201" s="6">
        <f t="shared" ca="1" si="108"/>
        <v>0.99879729405781836</v>
      </c>
      <c r="CB201" s="6">
        <f t="shared" ca="1" si="109"/>
        <v>-4.903024967079031E-2</v>
      </c>
      <c r="CC201" s="6">
        <f t="shared" ca="1" si="110"/>
        <v>-4.9049915456186866E-2</v>
      </c>
      <c r="CD201" s="6">
        <f t="shared" ca="1" si="111"/>
        <v>-79.950217883864184</v>
      </c>
      <c r="CE201" s="9">
        <f t="shared" ca="1" si="112"/>
        <v>15.311630390338728</v>
      </c>
      <c r="CF201">
        <f t="shared" ca="1" si="113"/>
        <v>81.403214708558664</v>
      </c>
      <c r="CG201" s="6">
        <f t="shared" ca="1" si="114"/>
        <v>-0.98215062107932072</v>
      </c>
      <c r="CH201" s="6">
        <f t="shared" ca="1" si="115"/>
        <v>0.18809613901806849</v>
      </c>
      <c r="CI201" s="6">
        <f t="shared" ca="1" si="116"/>
        <v>2.9523693295404523</v>
      </c>
      <c r="CJ201" s="1">
        <f t="shared" ca="1" si="117"/>
        <v>-5.5755339077523391E-2</v>
      </c>
      <c r="CK201" s="38"/>
    </row>
    <row r="202" spans="1:89" x14ac:dyDescent="0.25">
      <c r="A202" t="s">
        <v>101</v>
      </c>
      <c r="B202" s="9">
        <f ca="1">B198+B180</f>
        <v>517.54303183757747</v>
      </c>
      <c r="C202" t="s">
        <v>69</v>
      </c>
      <c r="BC202">
        <v>3.4906585039886444</v>
      </c>
      <c r="BD202">
        <v>-126.72360099268531</v>
      </c>
      <c r="BE202">
        <v>24.345672674624556</v>
      </c>
      <c r="BF202" s="6">
        <f t="shared" si="207"/>
        <v>2.9517889135027815</v>
      </c>
      <c r="BG202" s="6">
        <f t="shared" si="208"/>
        <v>0.53886959048586291</v>
      </c>
      <c r="BH202" s="6">
        <f t="shared" si="209"/>
        <v>-5.5174923039852608E-2</v>
      </c>
      <c r="BI202" s="6">
        <f t="shared" si="210"/>
        <v>5.5174923039852608E-2</v>
      </c>
      <c r="BV202" s="38"/>
      <c r="BW202" s="6">
        <f t="shared" si="104"/>
        <v>3.2637657012293841</v>
      </c>
      <c r="BX202" s="9">
        <f t="shared" ca="1" si="105"/>
        <v>53.887756524620741</v>
      </c>
      <c r="BY202" s="9">
        <f t="shared" ca="1" si="106"/>
        <v>-2.4337086927616411</v>
      </c>
      <c r="BZ202">
        <f t="shared" ca="1" si="107"/>
        <v>53.942684779847845</v>
      </c>
      <c r="CA202" s="6">
        <f t="shared" ca="1" si="108"/>
        <v>0.99898172930303197</v>
      </c>
      <c r="CB202" s="6">
        <f t="shared" ca="1" si="109"/>
        <v>-4.5116565901273741E-2</v>
      </c>
      <c r="CC202" s="6">
        <f t="shared" ca="1" si="110"/>
        <v>-4.5131885767031844E-2</v>
      </c>
      <c r="CD202" s="6">
        <f t="shared" ca="1" si="111"/>
        <v>-79.875745195456432</v>
      </c>
      <c r="CE202" s="9">
        <f t="shared" ca="1" si="112"/>
        <v>15.096371583040199</v>
      </c>
      <c r="CF202">
        <f t="shared" ca="1" si="113"/>
        <v>81.289821659926801</v>
      </c>
      <c r="CG202" s="6">
        <f t="shared" ca="1" si="114"/>
        <v>-0.98260450772808794</v>
      </c>
      <c r="CH202" s="6">
        <f t="shared" ca="1" si="115"/>
        <v>0.18571047733620766</v>
      </c>
      <c r="CI202" s="6">
        <f t="shared" ca="1" si="116"/>
        <v>2.9547977853560896</v>
      </c>
      <c r="CJ202" s="1">
        <f t="shared" ca="1" si="117"/>
        <v>-5.8183794893160723E-2</v>
      </c>
      <c r="CK202" s="38"/>
    </row>
    <row r="203" spans="1:89" x14ac:dyDescent="0.25">
      <c r="BC203">
        <v>3.5081117965085875</v>
      </c>
      <c r="BD203">
        <v>-126.61821511918669</v>
      </c>
      <c r="BE203">
        <v>24.134553973485822</v>
      </c>
      <c r="BF203" s="6">
        <f t="shared" si="207"/>
        <v>2.9532431242203683</v>
      </c>
      <c r="BG203" s="6">
        <f t="shared" si="208"/>
        <v>0.55486867228821923</v>
      </c>
      <c r="BH203" s="6">
        <f t="shared" si="209"/>
        <v>-5.6629133757439387E-2</v>
      </c>
      <c r="BI203" s="6">
        <f t="shared" si="210"/>
        <v>5.6629133757439387E-2</v>
      </c>
      <c r="BV203" s="38"/>
      <c r="BW203" s="6">
        <f t="shared" si="104"/>
        <v>3.2812189937493272</v>
      </c>
      <c r="BX203" s="9">
        <f t="shared" ca="1" si="105"/>
        <v>53.811497410988252</v>
      </c>
      <c r="BY203" s="9">
        <f t="shared" ca="1" si="106"/>
        <v>-2.2193481303607712</v>
      </c>
      <c r="BZ203">
        <f t="shared" ca="1" si="107"/>
        <v>53.857244264226253</v>
      </c>
      <c r="CA203" s="6">
        <f t="shared" ca="1" si="108"/>
        <v>0.99915059053126509</v>
      </c>
      <c r="CB203" s="6">
        <f t="shared" ca="1" si="109"/>
        <v>-4.1207977880794298E-2</v>
      </c>
      <c r="CC203" s="6">
        <f t="shared" ca="1" si="110"/>
        <v>-4.1219649328625672E-2</v>
      </c>
      <c r="CD203" s="6">
        <f t="shared" ca="1" si="111"/>
        <v>-79.799486081823943</v>
      </c>
      <c r="CE203" s="9">
        <f t="shared" ca="1" si="112"/>
        <v>14.882011020639329</v>
      </c>
      <c r="CF203">
        <f t="shared" ca="1" si="113"/>
        <v>81.175317867820169</v>
      </c>
      <c r="CG203" s="6">
        <f t="shared" ca="1" si="114"/>
        <v>-0.98305110688649811</v>
      </c>
      <c r="CH203" s="6">
        <f t="shared" ca="1" si="115"/>
        <v>0.18333172461205616</v>
      </c>
      <c r="CI203" s="6">
        <f t="shared" ca="1" si="116"/>
        <v>2.9572180990114969</v>
      </c>
      <c r="CJ203" s="1">
        <f t="shared" ca="1" si="117"/>
        <v>-6.0604108548568007E-2</v>
      </c>
      <c r="CK203" s="38"/>
    </row>
    <row r="204" spans="1:89" x14ac:dyDescent="0.25">
      <c r="A204" s="8" t="s">
        <v>64</v>
      </c>
      <c r="B204">
        <f ca="1">((B201*COS(-1*B27))+(B202*SIN(-1*B27)))</f>
        <v>-2322.881603249914</v>
      </c>
      <c r="C204" t="s">
        <v>69</v>
      </c>
      <c r="BC204">
        <v>3.5255650890285306</v>
      </c>
      <c r="BD204">
        <v>-126.50995220424099</v>
      </c>
      <c r="BE204">
        <v>23.923055667216133</v>
      </c>
      <c r="BF204" s="6">
        <f t="shared" si="207"/>
        <v>2.9546993113561286</v>
      </c>
      <c r="BG204" s="6">
        <f t="shared" si="208"/>
        <v>0.57086577767240199</v>
      </c>
      <c r="BH204" s="6">
        <f t="shared" si="209"/>
        <v>-5.8085320893199739E-2</v>
      </c>
      <c r="BI204" s="6">
        <f t="shared" si="210"/>
        <v>5.8085320893199739E-2</v>
      </c>
      <c r="BV204" s="38"/>
      <c r="BW204" s="6">
        <f t="shared" si="104"/>
        <v>3.2986722862692703</v>
      </c>
      <c r="BX204" s="9">
        <f t="shared" ca="1" si="105"/>
        <v>53.733404745582703</v>
      </c>
      <c r="BY204" s="9">
        <f t="shared" ca="1" si="106"/>
        <v>-2.0057894715813624</v>
      </c>
      <c r="BZ204">
        <f t="shared" ca="1" si="107"/>
        <v>53.770828308265031</v>
      </c>
      <c r="CA204" s="6">
        <f t="shared" ca="1" si="108"/>
        <v>0.99930401736666985</v>
      </c>
      <c r="CB204" s="6">
        <f t="shared" ca="1" si="109"/>
        <v>-3.7302558556142895E-2</v>
      </c>
      <c r="CC204" s="6">
        <f t="shared" ca="1" si="110"/>
        <v>-3.731121494371361E-2</v>
      </c>
      <c r="CD204" s="6">
        <f t="shared" ca="1" si="111"/>
        <v>-79.721393416418394</v>
      </c>
      <c r="CE204" s="9">
        <f t="shared" ca="1" si="112"/>
        <v>14.66845236185992</v>
      </c>
      <c r="CF204">
        <f t="shared" ca="1" si="113"/>
        <v>81.059632758528537</v>
      </c>
      <c r="CG204" s="6">
        <f t="shared" ca="1" si="114"/>
        <v>-0.98349068091516434</v>
      </c>
      <c r="CH204" s="6">
        <f t="shared" ca="1" si="115"/>
        <v>0.18095878136477994</v>
      </c>
      <c r="CI204" s="6">
        <f t="shared" ca="1" si="116"/>
        <v>2.9596314137046393</v>
      </c>
      <c r="CJ204" s="1">
        <f t="shared" ca="1" si="117"/>
        <v>-6.3017423241710446E-2</v>
      </c>
      <c r="CK204" s="38"/>
    </row>
    <row r="205" spans="1:89" x14ac:dyDescent="0.25">
      <c r="A205" s="8" t="s">
        <v>65</v>
      </c>
      <c r="B205">
        <f ca="1">(-1*(B201)*SIN(-1*B27))+((B202)*COS(-1*B27))</f>
        <v>638.10016940002492</v>
      </c>
      <c r="C205" t="s">
        <v>69</v>
      </c>
      <c r="BC205">
        <v>3.5430183815484737</v>
      </c>
      <c r="BD205">
        <v>-126.39868899227629</v>
      </c>
      <c r="BE205">
        <v>23.711088782794373</v>
      </c>
      <c r="BF205" s="6">
        <f t="shared" si="207"/>
        <v>2.956158077139468</v>
      </c>
      <c r="BG205" s="6">
        <f t="shared" si="208"/>
        <v>0.58686030440900572</v>
      </c>
      <c r="BH205" s="6">
        <f t="shared" si="209"/>
        <v>-5.9544086676539106E-2</v>
      </c>
      <c r="BI205" s="6">
        <f t="shared" si="210"/>
        <v>5.9544086676539106E-2</v>
      </c>
      <c r="BV205" s="38"/>
      <c r="BW205" s="6">
        <f t="shared" si="104"/>
        <v>3.3161255787892134</v>
      </c>
      <c r="BX205" s="9">
        <f t="shared" ca="1" si="105"/>
        <v>53.65342747318148</v>
      </c>
      <c r="BY205" s="9">
        <f t="shared" ca="1" si="106"/>
        <v>-1.7929375927822697</v>
      </c>
      <c r="BZ205">
        <f t="shared" ca="1" si="107"/>
        <v>53.683376429128941</v>
      </c>
      <c r="CA205" s="6">
        <f t="shared" ca="1" si="108"/>
        <v>0.99944211862331356</v>
      </c>
      <c r="CB205" s="6">
        <f t="shared" ca="1" si="109"/>
        <v>-3.3398376034511318E-2</v>
      </c>
      <c r="CC205" s="6">
        <f t="shared" ca="1" si="110"/>
        <v>-3.3404588198127312E-2</v>
      </c>
      <c r="CD205" s="6">
        <f t="shared" ca="1" si="111"/>
        <v>-79.641416144017171</v>
      </c>
      <c r="CE205" s="9">
        <f t="shared" ca="1" si="112"/>
        <v>14.455600483060827</v>
      </c>
      <c r="CF205">
        <f t="shared" ca="1" si="113"/>
        <v>80.942693004065461</v>
      </c>
      <c r="CG205" s="6">
        <f t="shared" ca="1" si="114"/>
        <v>-0.98392347954147097</v>
      </c>
      <c r="CH205" s="6">
        <f t="shared" ca="1" si="115"/>
        <v>0.17859055520100839</v>
      </c>
      <c r="CI205" s="6">
        <f t="shared" ca="1" si="116"/>
        <v>2.9620388631045214</v>
      </c>
      <c r="CJ205" s="1">
        <f t="shared" ca="1" si="117"/>
        <v>-6.5424872641592469E-2</v>
      </c>
      <c r="CK205" s="38"/>
    </row>
    <row r="206" spans="1:89" x14ac:dyDescent="0.25">
      <c r="BC206">
        <v>3.5604716740684168</v>
      </c>
      <c r="BD206">
        <v>-126.28429406817112</v>
      </c>
      <c r="BE206">
        <v>23.498564173799025</v>
      </c>
      <c r="BF206" s="6">
        <f t="shared" si="207"/>
        <v>2.957620022843074</v>
      </c>
      <c r="BG206" s="6">
        <f t="shared" si="208"/>
        <v>0.60285165122534279</v>
      </c>
      <c r="BH206" s="6">
        <f t="shared" si="209"/>
        <v>-6.1006032380145125E-2</v>
      </c>
      <c r="BI206" s="6">
        <f t="shared" si="210"/>
        <v>6.1006032380145125E-2</v>
      </c>
      <c r="BV206" s="38"/>
      <c r="BW206" s="6">
        <f t="shared" si="104"/>
        <v>3.3335788713091565</v>
      </c>
      <c r="BX206" s="9">
        <f t="shared" ca="1" si="105"/>
        <v>53.571510467444455</v>
      </c>
      <c r="BY206" s="9">
        <f t="shared" ca="1" si="106"/>
        <v>-1.5806984719648121</v>
      </c>
      <c r="BZ206">
        <f t="shared" ca="1" si="107"/>
        <v>53.594825696356011</v>
      </c>
      <c r="CA206" s="6">
        <f t="shared" ca="1" si="108"/>
        <v>0.99956497239036379</v>
      </c>
      <c r="CB206" s="6">
        <f t="shared" ca="1" si="109"/>
        <v>-2.9493490302969414E-2</v>
      </c>
      <c r="CC206" s="6">
        <f t="shared" ca="1" si="110"/>
        <v>-2.9497767874852188E-2</v>
      </c>
      <c r="CD206" s="6">
        <f t="shared" ca="1" si="111"/>
        <v>-79.559499138280145</v>
      </c>
      <c r="CE206" s="9">
        <f t="shared" ca="1" si="112"/>
        <v>14.24336136224337</v>
      </c>
      <c r="CF206">
        <f t="shared" ca="1" si="113"/>
        <v>80.824422336503261</v>
      </c>
      <c r="CG206" s="6">
        <f t="shared" ca="1" si="114"/>
        <v>-0.98434974031788625</v>
      </c>
      <c r="CH206" s="6">
        <f t="shared" ca="1" si="115"/>
        <v>0.17622595931391577</v>
      </c>
      <c r="CI206" s="6">
        <f t="shared" ca="1" si="116"/>
        <v>2.964441572977992</v>
      </c>
      <c r="CJ206" s="1">
        <f t="shared" ca="1" si="117"/>
        <v>-6.7827582515063156E-2</v>
      </c>
      <c r="CK206" s="38"/>
    </row>
    <row r="207" spans="1:89" x14ac:dyDescent="0.25">
      <c r="BC207">
        <v>3.5779249665883599</v>
      </c>
      <c r="BD207">
        <v>-126.16662729468285</v>
      </c>
      <c r="BE207">
        <v>23.285392446006206</v>
      </c>
      <c r="BF207" s="6">
        <f t="shared" si="207"/>
        <v>2.9590857491638216</v>
      </c>
      <c r="BG207" s="6">
        <f t="shared" si="208"/>
        <v>0.61883921742453829</v>
      </c>
      <c r="BH207" s="6">
        <f t="shared" si="209"/>
        <v>-6.2471758700892721E-2</v>
      </c>
      <c r="BI207" s="6">
        <f t="shared" si="210"/>
        <v>6.2471758700892721E-2</v>
      </c>
      <c r="BV207" s="38"/>
      <c r="BW207" s="6">
        <f t="shared" ref="BW207:BW270" si="211">BC194</f>
        <v>3.3510321638290996</v>
      </c>
      <c r="BX207" s="9">
        <f t="shared" ca="1" si="105"/>
        <v>53.487594362826243</v>
      </c>
      <c r="BY207" s="9">
        <f t="shared" ca="1" si="106"/>
        <v>-1.368979075262498</v>
      </c>
      <c r="BZ207">
        <f t="shared" ca="1" si="107"/>
        <v>53.505110544982038</v>
      </c>
      <c r="CA207" s="6">
        <f t="shared" ca="1" si="108"/>
        <v>0.99967262599820128</v>
      </c>
      <c r="CB207" s="6">
        <f t="shared" ca="1" si="109"/>
        <v>-2.5585949852614354E-2</v>
      </c>
      <c r="CC207" s="6">
        <f t="shared" ca="1" si="110"/>
        <v>-2.5588742276548931E-2</v>
      </c>
      <c r="CD207" s="6">
        <f t="shared" ca="1" si="111"/>
        <v>-79.475583033661934</v>
      </c>
      <c r="CE207" s="9">
        <f t="shared" ca="1" si="112"/>
        <v>14.031641965541056</v>
      </c>
      <c r="CF207">
        <f t="shared" ca="1" si="113"/>
        <v>80.704741340206439</v>
      </c>
      <c r="CG207" s="6">
        <f t="shared" ca="1" si="114"/>
        <v>-0.9847696890401636</v>
      </c>
      <c r="CH207" s="6">
        <f t="shared" ca="1" si="115"/>
        <v>0.17386391099862936</v>
      </c>
      <c r="CI207" s="6">
        <f t="shared" ca="1" si="116"/>
        <v>2.9668406627915873</v>
      </c>
      <c r="CJ207" s="1">
        <f t="shared" ca="1" si="117"/>
        <v>-7.0226672328658424E-2</v>
      </c>
      <c r="CK207" s="38"/>
    </row>
    <row r="208" spans="1:89" x14ac:dyDescent="0.25">
      <c r="BC208">
        <v>3.595378259108303</v>
      </c>
      <c r="BD208">
        <v>-126.04553919233869</v>
      </c>
      <c r="BE208">
        <v>23.071483888539721</v>
      </c>
      <c r="BF208" s="6">
        <f t="shared" si="207"/>
        <v>2.960555856538766</v>
      </c>
      <c r="BG208" s="6">
        <f t="shared" si="208"/>
        <v>0.63482240256953704</v>
      </c>
      <c r="BH208" s="6">
        <f t="shared" si="209"/>
        <v>-6.3941866075837073E-2</v>
      </c>
      <c r="BI208" s="6">
        <f t="shared" si="210"/>
        <v>6.3941866075837073E-2</v>
      </c>
      <c r="BV208" s="38"/>
      <c r="BW208" s="6">
        <f t="shared" si="211"/>
        <v>3.3684854563490427</v>
      </c>
      <c r="BX208" s="9">
        <f t="shared" ref="BX208:BX271" ca="1" si="212">$BW$5-BD195</f>
        <v>53.401615378944584</v>
      </c>
      <c r="BY208" s="9">
        <f t="shared" ref="BY208:BY271" ca="1" si="213">$BX$5-BE195</f>
        <v>-1.1576872450888409</v>
      </c>
      <c r="BZ208">
        <f t="shared" ref="BZ208:BZ271" ca="1" si="214">SQRT(POWER(BX208,2)+POWER(BY208,2))</f>
        <v>53.414162586697664</v>
      </c>
      <c r="CA208" s="6">
        <f t="shared" ref="CA208:CA271" ca="1" si="215">BX208/BZ208</f>
        <v>0.99976509586324203</v>
      </c>
      <c r="CB208" s="6">
        <f t="shared" ref="CB208:CB271" ca="1" si="216">BY208/BZ208</f>
        <v>-2.1673788168255454E-2</v>
      </c>
      <c r="CC208" s="6">
        <f t="shared" ref="CC208:CC271" ca="1" si="217">ATAN2(CA208,CB208)</f>
        <v>-2.1675485415232638E-2</v>
      </c>
      <c r="CD208" s="6">
        <f t="shared" ref="CD208:CD271" ca="1" si="218">$BW$9-BX208</f>
        <v>-79.389604049780274</v>
      </c>
      <c r="CE208" s="9">
        <f t="shared" ref="CE208:CE271" ca="1" si="219">$BX$9-BY208</f>
        <v>13.820350135367399</v>
      </c>
      <c r="CF208">
        <f t="shared" ref="CF208:CF271" ca="1" si="220">SQRT(POWER(CD208,2)+POWER(CE208,2))</f>
        <v>80.583567239512533</v>
      </c>
      <c r="CG208" s="6">
        <f t="shared" ref="CG208:CG271" ca="1" si="221">CD208/CF208</f>
        <v>-0.98518354013562681</v>
      </c>
      <c r="CH208" s="6">
        <f t="shared" ref="CH208:CH271" ca="1" si="222">CE208/CF208</f>
        <v>0.17150333013044958</v>
      </c>
      <c r="CI208" s="6">
        <f t="shared" ref="CI208:CI271" ca="1" si="223">ATAN2(CG208,CH208)</f>
        <v>2.9692372473433042</v>
      </c>
      <c r="CJ208" s="1">
        <f t="shared" ref="CJ208:CJ271" ca="1" si="224">ATAN2(COS($U$13-CI208),SIN($U$13-CI208))</f>
        <v>-7.2623256880375311E-2</v>
      </c>
      <c r="CK208" s="38"/>
    </row>
    <row r="209" spans="55:89" x14ac:dyDescent="0.25">
      <c r="BC209">
        <v>3.6128315516282461</v>
      </c>
      <c r="BD209">
        <v>-125.92087026419676</v>
      </c>
      <c r="BE209">
        <v>22.856748410319717</v>
      </c>
      <c r="BF209" s="6">
        <f t="shared" si="207"/>
        <v>2.9620309454073528</v>
      </c>
      <c r="BG209" s="6">
        <f t="shared" si="208"/>
        <v>0.65080060622089331</v>
      </c>
      <c r="BH209" s="6">
        <f t="shared" si="209"/>
        <v>-6.5416954944423886E-2</v>
      </c>
      <c r="BI209" s="6">
        <f t="shared" si="210"/>
        <v>6.5416954944423886E-2</v>
      </c>
      <c r="BV209" s="38"/>
      <c r="BW209" s="6">
        <f t="shared" si="211"/>
        <v>3.3859387488689858</v>
      </c>
      <c r="BX209" s="9">
        <f t="shared" ca="1" si="212"/>
        <v>53.31350511035366</v>
      </c>
      <c r="BY209" s="9">
        <f t="shared" ca="1" si="213"/>
        <v>-0.946731591335638</v>
      </c>
      <c r="BZ209">
        <f t="shared" ca="1" si="214"/>
        <v>53.321910392049332</v>
      </c>
      <c r="CA209" s="6">
        <f t="shared" ca="1" si="215"/>
        <v>0.99984236720639086</v>
      </c>
      <c r="CB209" s="6">
        <f t="shared" ca="1" si="216"/>
        <v>-1.7755020110397288E-2</v>
      </c>
      <c r="CC209" s="6">
        <f t="shared" ca="1" si="217"/>
        <v>-1.7755953093698588E-2</v>
      </c>
      <c r="CD209" s="6">
        <f t="shared" ca="1" si="218"/>
        <v>-79.30149378118935</v>
      </c>
      <c r="CE209" s="9">
        <f t="shared" ca="1" si="219"/>
        <v>13.609394481614196</v>
      </c>
      <c r="CF209">
        <f t="shared" ca="1" si="220"/>
        <v>80.460813655370174</v>
      </c>
      <c r="CG209" s="6">
        <f t="shared" ca="1" si="221"/>
        <v>-0.98559149700938364</v>
      </c>
      <c r="CH209" s="6">
        <f t="shared" ca="1" si="222"/>
        <v>0.16914313767576308</v>
      </c>
      <c r="CI209" s="6">
        <f t="shared" ca="1" si="223"/>
        <v>2.9716324383537898</v>
      </c>
      <c r="CJ209" s="1">
        <f t="shared" ca="1" si="224"/>
        <v>-7.5018447890860873E-2</v>
      </c>
      <c r="CK209" s="38"/>
    </row>
    <row r="210" spans="55:89" x14ac:dyDescent="0.25">
      <c r="BC210">
        <v>3.6302848441481892</v>
      </c>
      <c r="BD210">
        <v>-125.79245025298951</v>
      </c>
      <c r="BE210">
        <v>22.641095483271314</v>
      </c>
      <c r="BF210" s="6">
        <f t="shared" si="207"/>
        <v>2.9635116163972066</v>
      </c>
      <c r="BG210" s="6">
        <f t="shared" si="208"/>
        <v>0.66677322775098258</v>
      </c>
      <c r="BH210" s="6">
        <f t="shared" si="209"/>
        <v>-6.6897625934277713E-2</v>
      </c>
      <c r="BI210" s="6">
        <f t="shared" si="210"/>
        <v>6.6897625934277713E-2</v>
      </c>
      <c r="BV210" s="38"/>
      <c r="BW210" s="6">
        <f t="shared" si="211"/>
        <v>3.4033920413889289</v>
      </c>
      <c r="BX210" s="9">
        <f t="shared" ca="1" si="212"/>
        <v>53.223190310972356</v>
      </c>
      <c r="BY210" s="9">
        <f t="shared" ca="1" si="213"/>
        <v>-0.736021384028966</v>
      </c>
      <c r="BZ210">
        <f t="shared" ca="1" si="214"/>
        <v>53.228279272917788</v>
      </c>
      <c r="CA210" s="6">
        <f t="shared" ca="1" si="215"/>
        <v>0.99990439364159533</v>
      </c>
      <c r="CB210" s="6">
        <f t="shared" ca="1" si="216"/>
        <v>-1.3827638129257525E-2</v>
      </c>
      <c r="CC210" s="6">
        <f t="shared" ca="1" si="217"/>
        <v>-1.3828078816152849E-2</v>
      </c>
      <c r="CD210" s="6">
        <f t="shared" ca="1" si="218"/>
        <v>-79.211178981808047</v>
      </c>
      <c r="CE210" s="9">
        <f t="shared" ca="1" si="219"/>
        <v>13.398684274307524</v>
      </c>
      <c r="CF210">
        <f t="shared" ca="1" si="220"/>
        <v>80.33639035935461</v>
      </c>
      <c r="CG210" s="6">
        <f t="shared" ca="1" si="221"/>
        <v>-0.98599375236411102</v>
      </c>
      <c r="CH210" s="6">
        <f t="shared" ca="1" si="222"/>
        <v>0.16678225414875564</v>
      </c>
      <c r="CI210" s="6">
        <f t="shared" ca="1" si="223"/>
        <v>2.9740273461056481</v>
      </c>
      <c r="CJ210" s="1">
        <f t="shared" ca="1" si="224"/>
        <v>-7.7413355642719242E-2</v>
      </c>
      <c r="CK210" s="38"/>
    </row>
    <row r="211" spans="55:89" x14ac:dyDescent="0.25">
      <c r="BC211">
        <v>3.6477381366681323</v>
      </c>
      <c r="BD211">
        <v>-125.66009732433868</v>
      </c>
      <c r="BE211">
        <v>22.424434093174277</v>
      </c>
      <c r="BF211" s="6">
        <f t="shared" si="207"/>
        <v>2.9649984704249519</v>
      </c>
      <c r="BG211" s="6">
        <f t="shared" si="208"/>
        <v>0.68273966624318039</v>
      </c>
      <c r="BH211" s="6">
        <f t="shared" si="209"/>
        <v>-6.8384479962023015E-2</v>
      </c>
      <c r="BI211" s="6">
        <f t="shared" si="210"/>
        <v>6.8384479962023015E-2</v>
      </c>
      <c r="BV211" s="38"/>
      <c r="BW211" s="6">
        <f t="shared" si="211"/>
        <v>3.420845333908872</v>
      </c>
      <c r="BX211" s="9">
        <f t="shared" ca="1" si="212"/>
        <v>53.13059264194375</v>
      </c>
      <c r="BY211" s="9">
        <f t="shared" ca="1" si="213"/>
        <v>-0.52546644921585539</v>
      </c>
      <c r="BZ211">
        <f t="shared" ca="1" si="214"/>
        <v>53.13319103416827</v>
      </c>
      <c r="CA211" s="6">
        <f t="shared" ca="1" si="215"/>
        <v>0.99995109662766446</v>
      </c>
      <c r="CB211" s="6">
        <f t="shared" ca="1" si="216"/>
        <v>-9.889608340631087E-3</v>
      </c>
      <c r="CC211" s="6">
        <f t="shared" ca="1" si="217"/>
        <v>-9.8897695555176506E-3</v>
      </c>
      <c r="CD211" s="6">
        <f t="shared" ca="1" si="218"/>
        <v>-79.11858131277944</v>
      </c>
      <c r="CE211" s="9">
        <f t="shared" ca="1" si="219"/>
        <v>13.188129339494413</v>
      </c>
      <c r="CF211">
        <f t="shared" ca="1" si="220"/>
        <v>80.210202994520131</v>
      </c>
      <c r="CG211" s="6">
        <f t="shared" ca="1" si="221"/>
        <v>-0.98639048847918676</v>
      </c>
      <c r="CH211" s="6">
        <f t="shared" ca="1" si="222"/>
        <v>0.16441959809521253</v>
      </c>
      <c r="CI211" s="6">
        <f t="shared" ca="1" si="223"/>
        <v>2.9764230810487389</v>
      </c>
      <c r="CJ211" s="1">
        <f t="shared" ca="1" si="224"/>
        <v>-7.9809090585809983E-2</v>
      </c>
      <c r="CK211" s="38"/>
    </row>
    <row r="212" spans="55:89" x14ac:dyDescent="0.25">
      <c r="BC212">
        <v>3.6651914291880754</v>
      </c>
      <c r="BD212">
        <v>-125.52361717778859</v>
      </c>
      <c r="BE212">
        <v>22.206672697844663</v>
      </c>
      <c r="BF212" s="6">
        <f t="shared" si="207"/>
        <v>2.9664921087244411</v>
      </c>
      <c r="BG212" s="6">
        <f t="shared" si="208"/>
        <v>0.69869932046363425</v>
      </c>
      <c r="BH212" s="6">
        <f t="shared" si="209"/>
        <v>-6.9878118261512245E-2</v>
      </c>
      <c r="BI212" s="6">
        <f t="shared" si="210"/>
        <v>6.9878118261512245E-2</v>
      </c>
      <c r="BV212" s="38"/>
      <c r="BW212" s="6">
        <f t="shared" si="211"/>
        <v>3.4382986264288151</v>
      </c>
      <c r="BX212" s="9">
        <f t="shared" ca="1" si="212"/>
        <v>53.035628401603532</v>
      </c>
      <c r="BY212" s="9">
        <f t="shared" ca="1" si="213"/>
        <v>-0.31497706699985528</v>
      </c>
      <c r="BZ212">
        <f t="shared" ca="1" si="214"/>
        <v>53.036563713213084</v>
      </c>
      <c r="CA212" s="6">
        <f t="shared" ca="1" si="215"/>
        <v>0.99998236477735225</v>
      </c>
      <c r="CB212" s="6">
        <f t="shared" ca="1" si="216"/>
        <v>-5.9388664149329969E-3</v>
      </c>
      <c r="CC212" s="6">
        <f t="shared" ca="1" si="217"/>
        <v>-5.9389013262564324E-3</v>
      </c>
      <c r="CD212" s="6">
        <f t="shared" ca="1" si="218"/>
        <v>-79.023617072439222</v>
      </c>
      <c r="CE212" s="9">
        <f t="shared" ca="1" si="219"/>
        <v>12.977639957278413</v>
      </c>
      <c r="CF212">
        <f t="shared" ca="1" si="220"/>
        <v>80.082152781204982</v>
      </c>
      <c r="CG212" s="6">
        <f t="shared" ca="1" si="221"/>
        <v>-0.9867818774595406</v>
      </c>
      <c r="CH212" s="6">
        <f t="shared" ca="1" si="222"/>
        <v>0.16205408454409359</v>
      </c>
      <c r="CI212" s="6">
        <f t="shared" ca="1" si="223"/>
        <v>2.9788207554320882</v>
      </c>
      <c r="CJ212" s="1">
        <f t="shared" ca="1" si="224"/>
        <v>-8.2206764969159352E-2</v>
      </c>
      <c r="CK212" s="38"/>
    </row>
    <row r="213" spans="55:89" x14ac:dyDescent="0.25">
      <c r="BC213">
        <v>3.6826447217080185</v>
      </c>
      <c r="BD213">
        <v>-125.3828020604431</v>
      </c>
      <c r="BE213">
        <v>21.987719196054638</v>
      </c>
      <c r="BF213" s="6">
        <f t="shared" si="207"/>
        <v>2.9679931327496702</v>
      </c>
      <c r="BG213" s="6">
        <f t="shared" si="208"/>
        <v>0.71465158895834824</v>
      </c>
      <c r="BH213" s="6">
        <f t="shared" si="209"/>
        <v>-7.1379142286741359E-2</v>
      </c>
      <c r="BI213" s="6">
        <f t="shared" si="210"/>
        <v>7.1379142286741359E-2</v>
      </c>
      <c r="BV213" s="38"/>
      <c r="BW213" s="6">
        <f t="shared" si="211"/>
        <v>3.4557519189487582</v>
      </c>
      <c r="BX213" s="9">
        <f t="shared" ca="1" si="212"/>
        <v>52.938208227784699</v>
      </c>
      <c r="BY213" s="9">
        <f t="shared" ca="1" si="213"/>
        <v>-0.10446387227400322</v>
      </c>
      <c r="BZ213">
        <f t="shared" ca="1" si="214"/>
        <v>52.93831129785783</v>
      </c>
      <c r="CA213" s="6">
        <f t="shared" ca="1" si="215"/>
        <v>0.99999805301547018</v>
      </c>
      <c r="CB213" s="6">
        <f t="shared" ca="1" si="216"/>
        <v>-1.9733132718615901E-3</v>
      </c>
      <c r="CC213" s="6">
        <f t="shared" ca="1" si="217"/>
        <v>-1.9733145525327248E-3</v>
      </c>
      <c r="CD213" s="6">
        <f t="shared" ca="1" si="218"/>
        <v>-78.92619689862039</v>
      </c>
      <c r="CE213" s="9">
        <f t="shared" ca="1" si="219"/>
        <v>12.767126762552561</v>
      </c>
      <c r="CF213">
        <f t="shared" ca="1" si="220"/>
        <v>79.952136198170976</v>
      </c>
      <c r="CG213" s="6">
        <f t="shared" ca="1" si="221"/>
        <v>-0.98716808145053592</v>
      </c>
      <c r="CH213" s="6">
        <f t="shared" ca="1" si="222"/>
        <v>0.15968462344655437</v>
      </c>
      <c r="CI213" s="6">
        <f t="shared" ca="1" si="223"/>
        <v>2.981221484942794</v>
      </c>
      <c r="CJ213" s="1">
        <f t="shared" ca="1" si="224"/>
        <v>-8.4607494479865153E-2</v>
      </c>
      <c r="CK213" s="38"/>
    </row>
    <row r="214" spans="55:89" x14ac:dyDescent="0.25">
      <c r="BC214">
        <v>3.7000980142279616</v>
      </c>
      <c r="BD214">
        <v>-125.23742968708456</v>
      </c>
      <c r="BE214">
        <v>21.767480906732526</v>
      </c>
      <c r="BF214" s="6">
        <f t="shared" si="207"/>
        <v>2.9695021439707987</v>
      </c>
      <c r="BG214" s="6">
        <f t="shared" si="208"/>
        <v>0.73059587025716288</v>
      </c>
      <c r="BH214" s="6">
        <f t="shared" si="209"/>
        <v>-7.2888153507869813E-2</v>
      </c>
      <c r="BI214" s="6">
        <f t="shared" si="210"/>
        <v>7.2888153507869813E-2</v>
      </c>
      <c r="BV214" s="38"/>
      <c r="BW214" s="6">
        <f t="shared" si="211"/>
        <v>3.4732052114687013</v>
      </c>
      <c r="BX214" s="9">
        <f t="shared" ca="1" si="212"/>
        <v>52.838236767660987</v>
      </c>
      <c r="BY214" s="9">
        <f t="shared" ca="1" si="213"/>
        <v>0.10616224144505537</v>
      </c>
      <c r="BZ214">
        <f t="shared" ca="1" si="214"/>
        <v>52.838343417795656</v>
      </c>
      <c r="CA214" s="6">
        <f t="shared" ca="1" si="215"/>
        <v>0.99999798157686692</v>
      </c>
      <c r="CB214" s="6">
        <f t="shared" ca="1" si="216"/>
        <v>2.0091894366487751E-3</v>
      </c>
      <c r="CC214" s="6">
        <f t="shared" ca="1" si="217"/>
        <v>2.0091907884480123E-3</v>
      </c>
      <c r="CD214" s="6">
        <f t="shared" ca="1" si="218"/>
        <v>-78.826225438496678</v>
      </c>
      <c r="CE214" s="9">
        <f t="shared" ca="1" si="219"/>
        <v>12.556500648833502</v>
      </c>
      <c r="CF214">
        <f t="shared" ca="1" si="220"/>
        <v>79.820044634320126</v>
      </c>
      <c r="CG214" s="6">
        <f t="shared" ca="1" si="221"/>
        <v>-0.98754925281767958</v>
      </c>
      <c r="CH214" s="6">
        <f t="shared" ca="1" si="222"/>
        <v>0.1573101181082853</v>
      </c>
      <c r="CI214" s="6">
        <f t="shared" ca="1" si="223"/>
        <v>2.983626390346354</v>
      </c>
      <c r="CJ214" s="1">
        <f t="shared" ca="1" si="224"/>
        <v>-8.7012399883425115E-2</v>
      </c>
      <c r="CK214" s="38"/>
    </row>
    <row r="215" spans="55:89" x14ac:dyDescent="0.25">
      <c r="BC215">
        <v>3.7175513067479047</v>
      </c>
      <c r="BD215">
        <v>-125.08726205023019</v>
      </c>
      <c r="BE215">
        <v>21.545864560727807</v>
      </c>
      <c r="BF215" s="6">
        <f t="shared" si="207"/>
        <v>2.9710197435332439</v>
      </c>
      <c r="BG215" s="6">
        <f t="shared" si="208"/>
        <v>0.74653156321466074</v>
      </c>
      <c r="BH215" s="6">
        <f t="shared" si="209"/>
        <v>-7.440575307031505E-2</v>
      </c>
      <c r="BI215" s="6">
        <f t="shared" si="210"/>
        <v>7.440575307031505E-2</v>
      </c>
      <c r="BV215" s="38"/>
      <c r="BW215" s="6">
        <f t="shared" si="211"/>
        <v>3.4906585039886444</v>
      </c>
      <c r="BX215" s="9">
        <f t="shared" ca="1" si="212"/>
        <v>52.735612321849615</v>
      </c>
      <c r="BY215" s="9">
        <f t="shared" ca="1" si="213"/>
        <v>0.31699021565400187</v>
      </c>
      <c r="BZ215">
        <f t="shared" ca="1" si="214"/>
        <v>52.736565016667868</v>
      </c>
      <c r="CA215" s="6">
        <f t="shared" ca="1" si="215"/>
        <v>0.99998193483367848</v>
      </c>
      <c r="CB215" s="6">
        <f t="shared" ca="1" si="216"/>
        <v>6.0108240943226822E-3</v>
      </c>
      <c r="CC215" s="6">
        <f t="shared" ca="1" si="217"/>
        <v>6.0108602900965664E-3</v>
      </c>
      <c r="CD215" s="6">
        <f t="shared" ca="1" si="218"/>
        <v>-78.723600992685306</v>
      </c>
      <c r="CE215" s="9">
        <f t="shared" ca="1" si="219"/>
        <v>12.345672674624556</v>
      </c>
      <c r="CF215">
        <f t="shared" ca="1" si="220"/>
        <v>79.68576401744852</v>
      </c>
      <c r="CG215" s="6">
        <f t="shared" ca="1" si="221"/>
        <v>-0.98792553429552943</v>
      </c>
      <c r="CH215" s="6">
        <f t="shared" ca="1" si="222"/>
        <v>0.15492946358550652</v>
      </c>
      <c r="CI215" s="6">
        <f t="shared" ca="1" si="223"/>
        <v>2.9860365991587896</v>
      </c>
      <c r="CJ215" s="1">
        <f t="shared" ca="1" si="224"/>
        <v>-8.9422608695860703E-2</v>
      </c>
      <c r="CK215" s="38"/>
    </row>
    <row r="216" spans="55:89" x14ac:dyDescent="0.25">
      <c r="BC216">
        <v>3.7350045992678478</v>
      </c>
      <c r="BD216">
        <v>-124.93204410916748</v>
      </c>
      <c r="BE216">
        <v>21.322776306712804</v>
      </c>
      <c r="BF216" s="6">
        <f t="shared" si="207"/>
        <v>2.9725465317642858</v>
      </c>
      <c r="BG216" s="6">
        <f t="shared" si="208"/>
        <v>0.76245806750356193</v>
      </c>
      <c r="BH216" s="6">
        <f t="shared" si="209"/>
        <v>-7.5932541301356946E-2</v>
      </c>
      <c r="BI216" s="6">
        <f t="shared" si="210"/>
        <v>7.5932541301356946E-2</v>
      </c>
      <c r="BV216" s="38"/>
      <c r="BW216" s="6">
        <f t="shared" si="211"/>
        <v>3.5081117965085875</v>
      </c>
      <c r="BX216" s="9">
        <f t="shared" ca="1" si="212"/>
        <v>52.630226448350996</v>
      </c>
      <c r="BY216" s="9">
        <f t="shared" ca="1" si="213"/>
        <v>0.52810891679273553</v>
      </c>
      <c r="BZ216">
        <f t="shared" ca="1" si="214"/>
        <v>52.632875990512822</v>
      </c>
      <c r="CA216" s="6">
        <f t="shared" ca="1" si="215"/>
        <v>0.99994965993949669</v>
      </c>
      <c r="CB216" s="6">
        <f t="shared" ca="1" si="216"/>
        <v>1.0033822147357636E-2</v>
      </c>
      <c r="CC216" s="6">
        <f t="shared" ca="1" si="217"/>
        <v>1.0033990518485959E-2</v>
      </c>
      <c r="CD216" s="6">
        <f t="shared" ca="1" si="218"/>
        <v>-78.618215119186686</v>
      </c>
      <c r="CE216" s="9">
        <f t="shared" ca="1" si="219"/>
        <v>12.134553973485822</v>
      </c>
      <c r="CF216">
        <f t="shared" ca="1" si="220"/>
        <v>79.549174405911685</v>
      </c>
      <c r="CG216" s="6">
        <f t="shared" ca="1" si="221"/>
        <v>-0.98829705909988907</v>
      </c>
      <c r="CH216" s="6">
        <f t="shared" ca="1" si="222"/>
        <v>0.15254154507710446</v>
      </c>
      <c r="CI216" s="6">
        <f t="shared" ca="1" si="223"/>
        <v>2.9884532473179846</v>
      </c>
      <c r="CJ216" s="1">
        <f t="shared" ca="1" si="224"/>
        <v>-9.1839256855055673E-2</v>
      </c>
      <c r="CK216" s="38"/>
    </row>
    <row r="217" spans="55:89" x14ac:dyDescent="0.25">
      <c r="BC217">
        <v>3.7524578917877909</v>
      </c>
      <c r="BD217">
        <v>-124.77150233790381</v>
      </c>
      <c r="BE217">
        <v>21.098121734301554</v>
      </c>
      <c r="BF217" s="6">
        <f t="shared" si="207"/>
        <v>2.9740831074890477</v>
      </c>
      <c r="BG217" s="6">
        <f t="shared" si="208"/>
        <v>0.77837478429874318</v>
      </c>
      <c r="BH217" s="6">
        <f t="shared" si="209"/>
        <v>-7.7469117026118806E-2</v>
      </c>
      <c r="BI217" s="6">
        <f t="shared" si="210"/>
        <v>7.7469117026118806E-2</v>
      </c>
      <c r="BV217" s="38"/>
      <c r="BW217" s="6">
        <f t="shared" si="211"/>
        <v>3.5255650890285306</v>
      </c>
      <c r="BX217" s="9">
        <f t="shared" ca="1" si="212"/>
        <v>52.521963533405298</v>
      </c>
      <c r="BY217" s="9">
        <f t="shared" ca="1" si="213"/>
        <v>0.73960722306242488</v>
      </c>
      <c r="BZ217">
        <f t="shared" ca="1" si="214"/>
        <v>52.527170799965631</v>
      </c>
      <c r="CA217" s="6">
        <f t="shared" ca="1" si="215"/>
        <v>0.99990086527636979</v>
      </c>
      <c r="CB217" s="6">
        <f t="shared" ca="1" si="216"/>
        <v>1.4080469437027223E-2</v>
      </c>
      <c r="CC217" s="6">
        <f t="shared" ca="1" si="217"/>
        <v>1.4080934743293886E-2</v>
      </c>
      <c r="CD217" s="6">
        <f t="shared" ca="1" si="218"/>
        <v>-78.509952204240989</v>
      </c>
      <c r="CE217" s="9">
        <f t="shared" ca="1" si="219"/>
        <v>11.923055667216133</v>
      </c>
      <c r="CF217">
        <f t="shared" ca="1" si="220"/>
        <v>79.41014955001495</v>
      </c>
      <c r="CG217" s="6">
        <f t="shared" ca="1" si="221"/>
        <v>-0.98866395100783699</v>
      </c>
      <c r="CH217" s="6">
        <f t="shared" ca="1" si="222"/>
        <v>0.15014523627998744</v>
      </c>
      <c r="CI217" s="6">
        <f t="shared" ca="1" si="223"/>
        <v>2.9908774808878844</v>
      </c>
      <c r="CJ217" s="1">
        <f t="shared" ca="1" si="224"/>
        <v>-9.4263490424955521E-2</v>
      </c>
      <c r="CK217" s="38"/>
    </row>
    <row r="218" spans="55:89" x14ac:dyDescent="0.25">
      <c r="BC218">
        <v>3.769911184307734</v>
      </c>
      <c r="BD218">
        <v>-124.60534312793388</v>
      </c>
      <c r="BE218">
        <v>20.871805914777617</v>
      </c>
      <c r="BF218" s="6">
        <f t="shared" si="207"/>
        <v>2.9756300671613558</v>
      </c>
      <c r="BG218" s="6">
        <f t="shared" si="208"/>
        <v>0.79428111714637817</v>
      </c>
      <c r="BH218" s="6">
        <f t="shared" si="209"/>
        <v>-7.9016076698426918E-2</v>
      </c>
      <c r="BI218" s="6">
        <f t="shared" si="210"/>
        <v>7.9016076698426918E-2</v>
      </c>
      <c r="BV218" s="38"/>
      <c r="BW218" s="6">
        <f t="shared" si="211"/>
        <v>3.5430183815484737</v>
      </c>
      <c r="BX218" s="9">
        <f t="shared" ca="1" si="212"/>
        <v>52.410700321440601</v>
      </c>
      <c r="BY218" s="9">
        <f t="shared" ca="1" si="213"/>
        <v>0.95157410748418414</v>
      </c>
      <c r="BZ218">
        <f t="shared" ca="1" si="214"/>
        <v>52.419338048719084</v>
      </c>
      <c r="CA218" s="6">
        <f t="shared" ca="1" si="215"/>
        <v>0.99983521868836922</v>
      </c>
      <c r="CB218" s="6">
        <f t="shared" ca="1" si="216"/>
        <v>1.8153111864933912E-2</v>
      </c>
      <c r="CC218" s="6">
        <f t="shared" ca="1" si="217"/>
        <v>1.8154109028520885E-2</v>
      </c>
      <c r="CD218" s="6">
        <f t="shared" ca="1" si="218"/>
        <v>-78.398688992276291</v>
      </c>
      <c r="CE218" s="9">
        <f t="shared" ca="1" si="219"/>
        <v>11.711088782794373</v>
      </c>
      <c r="CF218">
        <f t="shared" ca="1" si="220"/>
        <v>79.268556415429671</v>
      </c>
      <c r="CG218" s="6">
        <f t="shared" ca="1" si="221"/>
        <v>-0.98902632440289961</v>
      </c>
      <c r="CH218" s="6">
        <f t="shared" ca="1" si="222"/>
        <v>0.14773939771804401</v>
      </c>
      <c r="CI218" s="6">
        <f t="shared" ca="1" si="223"/>
        <v>2.9933104577853293</v>
      </c>
      <c r="CJ218" s="1">
        <f t="shared" ca="1" si="224"/>
        <v>-9.6696467322400448E-2</v>
      </c>
      <c r="CK218" s="38"/>
    </row>
    <row r="219" spans="55:89" x14ac:dyDescent="0.25">
      <c r="BC219">
        <v>3.7873644768276771</v>
      </c>
      <c r="BD219">
        <v>-124.43325101286696</v>
      </c>
      <c r="BE219">
        <v>20.643733464619547</v>
      </c>
      <c r="BF219" s="6">
        <f t="shared" si="207"/>
        <v>2.9771880037408627</v>
      </c>
      <c r="BG219" s="6">
        <f t="shared" si="208"/>
        <v>0.8101764730868144</v>
      </c>
      <c r="BH219" s="6">
        <f t="shared" si="209"/>
        <v>-8.0574013277933787E-2</v>
      </c>
      <c r="BI219" s="6">
        <f t="shared" si="210"/>
        <v>8.0574013277933787E-2</v>
      </c>
      <c r="BV219" s="38"/>
      <c r="BW219" s="6">
        <f t="shared" si="211"/>
        <v>3.5604716740684168</v>
      </c>
      <c r="BX219" s="9">
        <f t="shared" ca="1" si="212"/>
        <v>52.296305397335431</v>
      </c>
      <c r="BY219" s="9">
        <f t="shared" ca="1" si="213"/>
        <v>1.1640987164795327</v>
      </c>
      <c r="BZ219">
        <f t="shared" ca="1" si="214"/>
        <v>52.309260021845887</v>
      </c>
      <c r="CA219" s="6">
        <f t="shared" ca="1" si="215"/>
        <v>0.99975234548328451</v>
      </c>
      <c r="CB219" s="6">
        <f t="shared" ca="1" si="216"/>
        <v>2.2254161423682361E-2</v>
      </c>
      <c r="CC219" s="6">
        <f t="shared" ca="1" si="217"/>
        <v>2.2255998720220327E-2</v>
      </c>
      <c r="CD219" s="6">
        <f t="shared" ca="1" si="218"/>
        <v>-78.284294068171121</v>
      </c>
      <c r="CE219" s="9">
        <f t="shared" ca="1" si="219"/>
        <v>11.498564173799025</v>
      </c>
      <c r="CF219">
        <f t="shared" ca="1" si="220"/>
        <v>79.124254661961061</v>
      </c>
      <c r="CG219" s="6">
        <f t="shared" ca="1" si="221"/>
        <v>-0.98938428428326475</v>
      </c>
      <c r="CH219" s="6">
        <f t="shared" ca="1" si="222"/>
        <v>0.14532287505169958</v>
      </c>
      <c r="CI219" s="6">
        <f t="shared" ca="1" si="223"/>
        <v>2.9957533495227406</v>
      </c>
      <c r="CJ219" s="1">
        <f t="shared" ca="1" si="224"/>
        <v>-9.9139359059811749E-2</v>
      </c>
      <c r="CK219" s="38"/>
    </row>
    <row r="220" spans="55:89" x14ac:dyDescent="0.25">
      <c r="BC220">
        <v>3.8048177693476202</v>
      </c>
      <c r="BD220">
        <v>-124.25488670141551</v>
      </c>
      <c r="BE220">
        <v>20.413808633802702</v>
      </c>
      <c r="BF220" s="6">
        <f t="shared" si="207"/>
        <v>2.978757505300651</v>
      </c>
      <c r="BG220" s="6">
        <f t="shared" si="208"/>
        <v>0.82606026404696919</v>
      </c>
      <c r="BH220" s="6">
        <f t="shared" si="209"/>
        <v>-8.2143514837722087E-2</v>
      </c>
      <c r="BI220" s="6">
        <f t="shared" si="210"/>
        <v>8.2143514837722087E-2</v>
      </c>
      <c r="BV220" s="38"/>
      <c r="BW220" s="6">
        <f t="shared" si="211"/>
        <v>3.5779249665883599</v>
      </c>
      <c r="BX220" s="9">
        <f t="shared" ca="1" si="212"/>
        <v>52.178638623847164</v>
      </c>
      <c r="BY220" s="9">
        <f t="shared" ca="1" si="213"/>
        <v>1.3772704442723516</v>
      </c>
      <c r="BZ220">
        <f t="shared" ca="1" si="214"/>
        <v>52.196812187284969</v>
      </c>
      <c r="CA220" s="6">
        <f t="shared" ca="1" si="215"/>
        <v>0.99965182618102044</v>
      </c>
      <c r="CB220" s="6">
        <f t="shared" ca="1" si="216"/>
        <v>2.6386102648005231E-2</v>
      </c>
      <c r="CC220" s="6">
        <f t="shared" ca="1" si="217"/>
        <v>2.6389165391265259E-2</v>
      </c>
      <c r="CD220" s="6">
        <f t="shared" ca="1" si="218"/>
        <v>-78.166627294682854</v>
      </c>
      <c r="CE220" s="9">
        <f t="shared" ca="1" si="219"/>
        <v>11.285392446006206</v>
      </c>
      <c r="CF220">
        <f t="shared" ca="1" si="220"/>
        <v>78.977096080358848</v>
      </c>
      <c r="CG220" s="6">
        <f t="shared" ca="1" si="221"/>
        <v>-0.98973792623558421</v>
      </c>
      <c r="CH220" s="6">
        <f t="shared" ca="1" si="222"/>
        <v>0.14289449734291787</v>
      </c>
      <c r="CI220" s="6">
        <f t="shared" ca="1" si="223"/>
        <v>2.9982073429923881</v>
      </c>
      <c r="CJ220" s="1">
        <f t="shared" ca="1" si="224"/>
        <v>-0.10159335252945924</v>
      </c>
      <c r="CK220" s="38"/>
    </row>
    <row r="221" spans="55:89" x14ac:dyDescent="0.25">
      <c r="BC221">
        <v>3.8222710618675633</v>
      </c>
      <c r="BD221">
        <v>-124.06988489823237</v>
      </c>
      <c r="BE221">
        <v>20.181935421717693</v>
      </c>
      <c r="BF221" s="6">
        <f t="shared" si="207"/>
        <v>2.9803391533352928</v>
      </c>
      <c r="BG221" s="6">
        <f t="shared" si="208"/>
        <v>0.84193190853227051</v>
      </c>
      <c r="BH221" s="6">
        <f t="shared" si="209"/>
        <v>-8.3725162872363881E-2</v>
      </c>
      <c r="BI221" s="6">
        <f t="shared" si="210"/>
        <v>8.3725162872363881E-2</v>
      </c>
      <c r="BV221" s="38"/>
      <c r="BW221" s="6">
        <f t="shared" si="211"/>
        <v>3.595378259108303</v>
      </c>
      <c r="BX221" s="9">
        <f t="shared" ca="1" si="212"/>
        <v>52.057550521503003</v>
      </c>
      <c r="BY221" s="9">
        <f t="shared" ca="1" si="213"/>
        <v>1.591179001738837</v>
      </c>
      <c r="BZ221">
        <f t="shared" ca="1" si="214"/>
        <v>52.081862648281046</v>
      </c>
      <c r="CA221" s="6">
        <f t="shared" ca="1" si="215"/>
        <v>0.99953319398458873</v>
      </c>
      <c r="CB221" s="6">
        <f t="shared" ca="1" si="216"/>
        <v>3.0551499520752135E-2</v>
      </c>
      <c r="CC221" s="6">
        <f t="shared" ca="1" si="217"/>
        <v>3.0556254283170031E-2</v>
      </c>
      <c r="CD221" s="6">
        <f t="shared" ca="1" si="218"/>
        <v>-78.045539192338694</v>
      </c>
      <c r="CE221" s="9">
        <f t="shared" ca="1" si="219"/>
        <v>11.071483888539721</v>
      </c>
      <c r="CF221">
        <f t="shared" ca="1" si="220"/>
        <v>78.826923974724963</v>
      </c>
      <c r="CG221" s="6">
        <f t="shared" ca="1" si="221"/>
        <v>-0.99008733636952762</v>
      </c>
      <c r="CH221" s="6">
        <f t="shared" ca="1" si="222"/>
        <v>0.14045307529810092</v>
      </c>
      <c r="CI221" s="6">
        <f t="shared" ca="1" si="223"/>
        <v>3.0006736422698119</v>
      </c>
      <c r="CJ221" s="1">
        <f t="shared" ca="1" si="224"/>
        <v>-0.10405965180688304</v>
      </c>
      <c r="CK221" s="38"/>
    </row>
    <row r="222" spans="55:89" x14ac:dyDescent="0.25">
      <c r="BC222">
        <v>3.8397243543875064</v>
      </c>
      <c r="BD222">
        <v>-123.87785186933652</v>
      </c>
      <c r="BE222">
        <v>19.948017727882494</v>
      </c>
      <c r="BF222" s="6">
        <f t="shared" si="207"/>
        <v>2.98193352067833</v>
      </c>
      <c r="BG222" s="6">
        <f t="shared" si="208"/>
        <v>0.85779083370917641</v>
      </c>
      <c r="BH222" s="6">
        <f t="shared" si="209"/>
        <v>-8.5319530215401063E-2</v>
      </c>
      <c r="BI222" s="6">
        <f t="shared" si="210"/>
        <v>8.5319530215401063E-2</v>
      </c>
      <c r="BV222" s="38"/>
      <c r="BW222" s="6">
        <f t="shared" si="211"/>
        <v>3.6128315516282461</v>
      </c>
      <c r="BX222" s="9">
        <f t="shared" ca="1" si="212"/>
        <v>51.932881593361074</v>
      </c>
      <c r="BY222" s="9">
        <f t="shared" ca="1" si="213"/>
        <v>1.8059144799588402</v>
      </c>
      <c r="BZ222">
        <f t="shared" ca="1" si="214"/>
        <v>51.964271549777223</v>
      </c>
      <c r="CA222" s="6">
        <f t="shared" ca="1" si="215"/>
        <v>0.99939593194554688</v>
      </c>
      <c r="CB222" s="6">
        <f t="shared" ca="1" si="216"/>
        <v>3.4753002901790557E-2</v>
      </c>
      <c r="CC222" s="6">
        <f t="shared" ca="1" si="217"/>
        <v>3.4760002319352667E-2</v>
      </c>
      <c r="CD222" s="6">
        <f t="shared" ca="1" si="218"/>
        <v>-77.920870264196765</v>
      </c>
      <c r="CE222" s="9">
        <f t="shared" ca="1" si="219"/>
        <v>10.856748410319717</v>
      </c>
      <c r="CF222">
        <f t="shared" ca="1" si="220"/>
        <v>78.673572492767633</v>
      </c>
      <c r="CG222" s="6">
        <f t="shared" ca="1" si="221"/>
        <v>-0.99043259121555638</v>
      </c>
      <c r="CH222" s="6">
        <f t="shared" ca="1" si="222"/>
        <v>0.13799739946114389</v>
      </c>
      <c r="CI222" s="6">
        <f t="shared" ca="1" si="223"/>
        <v>3.0031534704647345</v>
      </c>
      <c r="CJ222" s="1">
        <f t="shared" ca="1" si="224"/>
        <v>-0.10653948000180558</v>
      </c>
      <c r="CK222" s="38"/>
    </row>
    <row r="223" spans="55:89" x14ac:dyDescent="0.25">
      <c r="BC223">
        <v>3.8571776469074495</v>
      </c>
      <c r="BD223">
        <v>-123.67836273804529</v>
      </c>
      <c r="BE223">
        <v>19.711959538776295</v>
      </c>
      <c r="BF223" s="6">
        <f t="shared" si="207"/>
        <v>2.9835411690242073</v>
      </c>
      <c r="BG223" s="6">
        <f t="shared" si="208"/>
        <v>0.87363647788324217</v>
      </c>
      <c r="BH223" s="6">
        <f t="shared" si="209"/>
        <v>-8.6927178561278406E-2</v>
      </c>
      <c r="BI223" s="6">
        <f t="shared" si="210"/>
        <v>8.6927178561278406E-2</v>
      </c>
      <c r="BV223" s="38"/>
      <c r="BW223" s="6">
        <f t="shared" si="211"/>
        <v>3.6302848441481892</v>
      </c>
      <c r="BX223" s="9">
        <f t="shared" ca="1" si="212"/>
        <v>51.80446158215382</v>
      </c>
      <c r="BY223" s="9">
        <f t="shared" ca="1" si="213"/>
        <v>2.0215674070072431</v>
      </c>
      <c r="BZ223">
        <f t="shared" ca="1" si="214"/>
        <v>51.843890426914577</v>
      </c>
      <c r="CA223" s="6">
        <f t="shared" ca="1" si="215"/>
        <v>0.99923946979217659</v>
      </c>
      <c r="CB223" s="6">
        <f t="shared" ca="1" si="216"/>
        <v>3.8993358530010187E-2</v>
      </c>
      <c r="CC223" s="6">
        <f t="shared" ca="1" si="217"/>
        <v>3.9003246747212908E-2</v>
      </c>
      <c r="CD223" s="6">
        <f t="shared" ca="1" si="218"/>
        <v>-77.792450252989511</v>
      </c>
      <c r="CE223" s="9">
        <f t="shared" ca="1" si="219"/>
        <v>10.641095483271314</v>
      </c>
      <c r="CF223">
        <f t="shared" ca="1" si="220"/>
        <v>78.516865891653779</v>
      </c>
      <c r="CG223" s="6">
        <f t="shared" ca="1" si="221"/>
        <v>-0.99077375758141062</v>
      </c>
      <c r="CH223" s="6">
        <f t="shared" ca="1" si="222"/>
        <v>0.13552623837475977</v>
      </c>
      <c r="CI223" s="6">
        <f t="shared" ca="1" si="223"/>
        <v>3.0056480716014349</v>
      </c>
      <c r="CJ223" s="1">
        <f t="shared" ca="1" si="224"/>
        <v>-0.10903408113850599</v>
      </c>
      <c r="CK223" s="38"/>
    </row>
    <row r="224" spans="55:89" x14ac:dyDescent="0.25">
      <c r="BC224">
        <v>3.8746309394273926</v>
      </c>
      <c r="BD224">
        <v>-123.47095846411811</v>
      </c>
      <c r="BE224">
        <v>19.473665158117623</v>
      </c>
      <c r="BF224" s="6">
        <f t="shared" si="207"/>
        <v>2.9851626459625211</v>
      </c>
      <c r="BG224" s="6">
        <f t="shared" si="208"/>
        <v>0.88946829346487144</v>
      </c>
      <c r="BH224" s="6">
        <f t="shared" si="209"/>
        <v>-8.8548655499592233E-2</v>
      </c>
      <c r="BI224" s="6">
        <f t="shared" si="210"/>
        <v>8.8548655499592233E-2</v>
      </c>
      <c r="BV224" s="38"/>
      <c r="BW224" s="6">
        <f t="shared" si="211"/>
        <v>3.6477381366681323</v>
      </c>
      <c r="BX224" s="9">
        <f t="shared" ca="1" si="212"/>
        <v>51.672108653502988</v>
      </c>
      <c r="BY224" s="9">
        <f t="shared" ca="1" si="213"/>
        <v>2.2382287971042807</v>
      </c>
      <c r="BZ224">
        <f t="shared" ca="1" si="214"/>
        <v>51.720561490065101</v>
      </c>
      <c r="CA224" s="6">
        <f t="shared" ca="1" si="215"/>
        <v>0.99906318038385145</v>
      </c>
      <c r="CB224" s="6">
        <f t="shared" ca="1" si="216"/>
        <v>4.3275415668761009E-2</v>
      </c>
      <c r="CC224" s="6">
        <f t="shared" ca="1" si="217"/>
        <v>4.3288934487539642E-2</v>
      </c>
      <c r="CD224" s="6">
        <f t="shared" ca="1" si="218"/>
        <v>-77.660097324338679</v>
      </c>
      <c r="CE224" s="9">
        <f t="shared" ca="1" si="219"/>
        <v>10.424434093174277</v>
      </c>
      <c r="CF224">
        <f t="shared" ca="1" si="220"/>
        <v>78.356617733211849</v>
      </c>
      <c r="CG224" s="6">
        <f t="shared" ca="1" si="221"/>
        <v>-0.99111089236591765</v>
      </c>
      <c r="CH224" s="6">
        <f t="shared" ca="1" si="222"/>
        <v>0.13303833670650933</v>
      </c>
      <c r="CI224" s="6">
        <f t="shared" ca="1" si="223"/>
        <v>3.0081587125325107</v>
      </c>
      <c r="CJ224" s="1">
        <f t="shared" ca="1" si="224"/>
        <v>-0.11154472206958176</v>
      </c>
      <c r="CK224" s="38"/>
    </row>
    <row r="225" spans="55:89" x14ac:dyDescent="0.25">
      <c r="BC225">
        <v>3.8920842319473357</v>
      </c>
      <c r="BD225">
        <v>-123.2551990782711</v>
      </c>
      <c r="BE225">
        <v>19.233048783247238</v>
      </c>
      <c r="BF225" s="6">
        <f t="shared" si="207"/>
        <v>2.986798477790209</v>
      </c>
      <c r="BG225" s="6">
        <f t="shared" si="208"/>
        <v>0.90528575415712664</v>
      </c>
      <c r="BH225" s="6">
        <f t="shared" si="209"/>
        <v>-9.0184487327280127E-2</v>
      </c>
      <c r="BI225" s="6">
        <f t="shared" si="210"/>
        <v>9.0184487327280127E-2</v>
      </c>
      <c r="BV225" s="38"/>
      <c r="BW225" s="6">
        <f t="shared" si="211"/>
        <v>3.6651914291880754</v>
      </c>
      <c r="BX225" s="9">
        <f t="shared" ca="1" si="212"/>
        <v>51.535628506952904</v>
      </c>
      <c r="BY225" s="9">
        <f t="shared" ca="1" si="213"/>
        <v>2.4559901924338945</v>
      </c>
      <c r="BZ225">
        <f t="shared" ca="1" si="214"/>
        <v>51.594116849036077</v>
      </c>
      <c r="CA225" s="6">
        <f t="shared" ca="1" si="215"/>
        <v>0.99886637574872517</v>
      </c>
      <c r="CB225" s="6">
        <f t="shared" ca="1" si="216"/>
        <v>4.7602136492036484E-2</v>
      </c>
      <c r="CC225" s="6">
        <f t="shared" ca="1" si="217"/>
        <v>4.7620132297940286E-2</v>
      </c>
      <c r="CD225" s="6">
        <f t="shared" ca="1" si="218"/>
        <v>-77.523617177788594</v>
      </c>
      <c r="CE225" s="9">
        <f t="shared" ca="1" si="219"/>
        <v>10.206672697844663</v>
      </c>
      <c r="CF225">
        <f t="shared" ca="1" si="220"/>
        <v>78.192630010054316</v>
      </c>
      <c r="CG225" s="6">
        <f t="shared" ca="1" si="221"/>
        <v>-0.99144404233263805</v>
      </c>
      <c r="CH225" s="6">
        <f t="shared" ca="1" si="222"/>
        <v>0.1305324133045819</v>
      </c>
      <c r="CI225" s="6">
        <f t="shared" ca="1" si="223"/>
        <v>3.0106866849216032</v>
      </c>
      <c r="CJ225" s="1">
        <f t="shared" ca="1" si="224"/>
        <v>-0.1140726944586743</v>
      </c>
      <c r="CK225" s="38"/>
    </row>
    <row r="226" spans="55:89" x14ac:dyDescent="0.25">
      <c r="BC226">
        <v>3.9095375244672788</v>
      </c>
      <c r="BD226">
        <v>-122.92451215365722</v>
      </c>
      <c r="BE226">
        <v>18.972861508759816</v>
      </c>
      <c r="BF226" s="6">
        <f t="shared" si="207"/>
        <v>2.9884554323941139</v>
      </c>
      <c r="BG226" s="6">
        <f t="shared" si="208"/>
        <v>0.92108209207316483</v>
      </c>
      <c r="BH226" s="6">
        <f t="shared" si="209"/>
        <v>-9.1841441931185042E-2</v>
      </c>
      <c r="BI226" s="6">
        <f t="shared" si="210"/>
        <v>9.1841441931185042E-2</v>
      </c>
      <c r="BV226" s="38"/>
      <c r="BW226" s="6">
        <f t="shared" si="211"/>
        <v>3.6826447217080185</v>
      </c>
      <c r="BX226" s="9">
        <f t="shared" ca="1" si="212"/>
        <v>51.394813389607407</v>
      </c>
      <c r="BY226" s="9">
        <f t="shared" ca="1" si="213"/>
        <v>2.67494369422392</v>
      </c>
      <c r="BZ226">
        <f t="shared" ca="1" si="214"/>
        <v>51.464377652118145</v>
      </c>
      <c r="CA226" s="6">
        <f t="shared" ca="1" si="215"/>
        <v>0.99864830265740379</v>
      </c>
      <c r="CB226" s="6">
        <f t="shared" ca="1" si="216"/>
        <v>5.1976606271344386E-2</v>
      </c>
      <c r="CC226" s="6">
        <f t="shared" ca="1" si="217"/>
        <v>5.2000037820970568E-2</v>
      </c>
      <c r="CD226" s="6">
        <f t="shared" ca="1" si="218"/>
        <v>-77.382802060443098</v>
      </c>
      <c r="CE226" s="9">
        <f t="shared" ca="1" si="219"/>
        <v>9.9877191960546376</v>
      </c>
      <c r="CF226">
        <f t="shared" ca="1" si="220"/>
        <v>78.024692177957064</v>
      </c>
      <c r="CG226" s="6">
        <f t="shared" ca="1" si="221"/>
        <v>-0.99177324383350396</v>
      </c>
      <c r="CH226" s="6">
        <f t="shared" ca="1" si="222"/>
        <v>0.12800715923716635</v>
      </c>
      <c r="CI226" s="6">
        <f t="shared" ca="1" si="223"/>
        <v>3.0132333072410846</v>
      </c>
      <c r="CJ226" s="1">
        <f t="shared" ca="1" si="224"/>
        <v>-0.11661931677815575</v>
      </c>
      <c r="CK226" s="38"/>
    </row>
    <row r="227" spans="55:89" x14ac:dyDescent="0.25">
      <c r="BC227">
        <v>3.9269908169872219</v>
      </c>
      <c r="BD227">
        <v>-122.45009157353456</v>
      </c>
      <c r="BE227">
        <v>18.689287615040598</v>
      </c>
      <c r="BF227" s="6">
        <f t="shared" si="207"/>
        <v>2.9901337301799287</v>
      </c>
      <c r="BG227" s="6">
        <f t="shared" si="208"/>
        <v>0.93685708680729318</v>
      </c>
      <c r="BH227" s="6">
        <f t="shared" si="209"/>
        <v>-9.3519739716999783E-2</v>
      </c>
      <c r="BI227" s="6">
        <f t="shared" si="210"/>
        <v>9.3519739716999783E-2</v>
      </c>
      <c r="BV227" s="38"/>
      <c r="BW227" s="6">
        <f t="shared" si="211"/>
        <v>3.7000980142279616</v>
      </c>
      <c r="BX227" s="9">
        <f t="shared" ca="1" si="212"/>
        <v>51.249441016248866</v>
      </c>
      <c r="BY227" s="9">
        <f t="shared" ca="1" si="213"/>
        <v>2.8951819835460313</v>
      </c>
      <c r="BZ227">
        <f t="shared" ca="1" si="214"/>
        <v>51.331153145003682</v>
      </c>
      <c r="CA227" s="6">
        <f t="shared" ca="1" si="215"/>
        <v>0.99840813767569203</v>
      </c>
      <c r="CB227" s="6">
        <f t="shared" ca="1" si="216"/>
        <v>5.6402044492698755E-2</v>
      </c>
      <c r="CC227" s="6">
        <f t="shared" ca="1" si="217"/>
        <v>5.6431991658819881E-2</v>
      </c>
      <c r="CD227" s="6">
        <f t="shared" ca="1" si="218"/>
        <v>-77.237429687084557</v>
      </c>
      <c r="CE227" s="9">
        <f t="shared" ca="1" si="219"/>
        <v>9.7674809067325263</v>
      </c>
      <c r="CF227">
        <f t="shared" ca="1" si="220"/>
        <v>77.85258009809769</v>
      </c>
      <c r="CG227" s="6">
        <f t="shared" ca="1" si="221"/>
        <v>-0.99209852248649932</v>
      </c>
      <c r="CH227" s="6">
        <f t="shared" ca="1" si="222"/>
        <v>0.12546123576668966</v>
      </c>
      <c r="CI227" s="6">
        <f t="shared" ca="1" si="223"/>
        <v>3.0157999268342306</v>
      </c>
      <c r="CJ227" s="1">
        <f t="shared" ca="1" si="224"/>
        <v>-0.11918593637130169</v>
      </c>
      <c r="CK227" s="38"/>
    </row>
    <row r="228" spans="55:89" x14ac:dyDescent="0.25">
      <c r="BC228">
        <v>3.944444109507165</v>
      </c>
      <c r="BD228">
        <v>-121.96522946985272</v>
      </c>
      <c r="BE228">
        <v>18.404253622600873</v>
      </c>
      <c r="BF228" s="6">
        <f t="shared" si="207"/>
        <v>2.9918250277873373</v>
      </c>
      <c r="BG228" s="6">
        <f t="shared" si="208"/>
        <v>0.95261908171982768</v>
      </c>
      <c r="BH228" s="6">
        <f t="shared" si="209"/>
        <v>-9.5211037324408387E-2</v>
      </c>
      <c r="BI228" s="6">
        <f t="shared" si="210"/>
        <v>9.5211037324408387E-2</v>
      </c>
      <c r="BV228" s="38"/>
      <c r="BW228" s="6">
        <f t="shared" si="211"/>
        <v>3.7175513067479047</v>
      </c>
      <c r="BX228" s="9">
        <f t="shared" ca="1" si="212"/>
        <v>51.099273379394504</v>
      </c>
      <c r="BY228" s="9">
        <f t="shared" ca="1" si="213"/>
        <v>3.1167983295507504</v>
      </c>
      <c r="BZ228">
        <f t="shared" ca="1" si="214"/>
        <v>51.194239634251687</v>
      </c>
      <c r="CA228" s="6">
        <f t="shared" ca="1" si="215"/>
        <v>0.99814498163200283</v>
      </c>
      <c r="CB228" s="6">
        <f t="shared" ca="1" si="216"/>
        <v>6.0881817013362684E-2</v>
      </c>
      <c r="CC228" s="6">
        <f t="shared" ca="1" si="217"/>
        <v>6.0919490598534271E-2</v>
      </c>
      <c r="CD228" s="6">
        <f t="shared" ca="1" si="218"/>
        <v>-77.087262050230194</v>
      </c>
      <c r="CE228" s="9">
        <f t="shared" ca="1" si="219"/>
        <v>9.5458645607278072</v>
      </c>
      <c r="CF228">
        <f t="shared" ca="1" si="220"/>
        <v>77.676054872866843</v>
      </c>
      <c r="CG228" s="6">
        <f t="shared" ca="1" si="221"/>
        <v>-0.9924198928022242</v>
      </c>
      <c r="CH228" s="6">
        <f t="shared" ca="1" si="222"/>
        <v>0.12289327227485507</v>
      </c>
      <c r="CI228" s="6">
        <f t="shared" ca="1" si="223"/>
        <v>3.0183879220261716</v>
      </c>
      <c r="CJ228" s="1">
        <f t="shared" ca="1" si="224"/>
        <v>-0.12177393156324266</v>
      </c>
      <c r="CK228" s="38"/>
    </row>
    <row r="229" spans="55:89" x14ac:dyDescent="0.25">
      <c r="BC229">
        <v>3.9618974020271081</v>
      </c>
      <c r="BD229">
        <v>-121.46926545138665</v>
      </c>
      <c r="BE229">
        <v>18.117707082632403</v>
      </c>
      <c r="BF229" s="6">
        <f t="shared" si="207"/>
        <v>2.9935295459600924</v>
      </c>
      <c r="BG229" s="6">
        <f t="shared" si="208"/>
        <v>0.9683678560670157</v>
      </c>
      <c r="BH229" s="6">
        <f t="shared" si="209"/>
        <v>-9.6915555497163464E-2</v>
      </c>
      <c r="BI229" s="6">
        <f t="shared" si="210"/>
        <v>9.6915555497163464E-2</v>
      </c>
      <c r="BV229" s="38"/>
      <c r="BW229" s="6">
        <f t="shared" si="211"/>
        <v>3.7350045992678478</v>
      </c>
      <c r="BX229" s="9">
        <f t="shared" ca="1" si="212"/>
        <v>50.944055438331787</v>
      </c>
      <c r="BY229" s="9">
        <f t="shared" ca="1" si="213"/>
        <v>3.3398865835657539</v>
      </c>
      <c r="BZ229">
        <f t="shared" ca="1" si="214"/>
        <v>51.053419345768653</v>
      </c>
      <c r="CA229" s="6">
        <f t="shared" ca="1" si="215"/>
        <v>0.99785785342415212</v>
      </c>
      <c r="CB229" s="6">
        <f t="shared" ca="1" si="216"/>
        <v>6.5419449399574184E-2</v>
      </c>
      <c r="CC229" s="6">
        <f t="shared" ca="1" si="217"/>
        <v>6.5466202145696512E-2</v>
      </c>
      <c r="CD229" s="6">
        <f t="shared" ca="1" si="218"/>
        <v>-76.932044109167478</v>
      </c>
      <c r="CE229" s="9">
        <f t="shared" ca="1" si="219"/>
        <v>9.3227763067128038</v>
      </c>
      <c r="CF229">
        <f t="shared" ca="1" si="220"/>
        <v>77.494861564363717</v>
      </c>
      <c r="CG229" s="6">
        <f t="shared" ca="1" si="221"/>
        <v>-0.9927373577572135</v>
      </c>
      <c r="CH229" s="6">
        <f t="shared" ca="1" si="222"/>
        <v>0.12030186413030403</v>
      </c>
      <c r="CI229" s="6">
        <f t="shared" ca="1" si="223"/>
        <v>3.0209987042922726</v>
      </c>
      <c r="CJ229" s="1">
        <f t="shared" ca="1" si="224"/>
        <v>-0.12438471382934368</v>
      </c>
      <c r="CK229" s="38"/>
    </row>
    <row r="230" spans="55:89" x14ac:dyDescent="0.25">
      <c r="BC230">
        <v>3.9793506945470511</v>
      </c>
      <c r="BD230">
        <v>-120.96149271299653</v>
      </c>
      <c r="BE230">
        <v>17.829602743943564</v>
      </c>
      <c r="BF230" s="6">
        <f t="shared" si="207"/>
        <v>2.9952474393432187</v>
      </c>
      <c r="BG230" s="6">
        <f t="shared" si="208"/>
        <v>0.98410325520383246</v>
      </c>
      <c r="BH230" s="6">
        <f t="shared" si="209"/>
        <v>-9.8633448880289798E-2</v>
      </c>
      <c r="BI230" s="6">
        <f t="shared" si="210"/>
        <v>9.8633448880289798E-2</v>
      </c>
      <c r="BV230" s="38"/>
      <c r="BW230" s="6">
        <f t="shared" si="211"/>
        <v>3.7524578917877909</v>
      </c>
      <c r="BX230" s="9">
        <f t="shared" ca="1" si="212"/>
        <v>50.783513667068121</v>
      </c>
      <c r="BY230" s="9">
        <f t="shared" ca="1" si="213"/>
        <v>3.5645411559770039</v>
      </c>
      <c r="BZ230">
        <f t="shared" ca="1" si="214"/>
        <v>50.908459159809077</v>
      </c>
      <c r="CA230" s="6">
        <f t="shared" ca="1" si="215"/>
        <v>0.99754568307894109</v>
      </c>
      <c r="CB230" s="6">
        <f t="shared" ca="1" si="216"/>
        <v>7.0018641593283928E-2</v>
      </c>
      <c r="CC230" s="6">
        <f t="shared" ca="1" si="217"/>
        <v>7.0075980534024168E-2</v>
      </c>
      <c r="CD230" s="6">
        <f t="shared" ca="1" si="218"/>
        <v>-76.771502337903812</v>
      </c>
      <c r="CE230" s="9">
        <f t="shared" ca="1" si="219"/>
        <v>9.0981217343015537</v>
      </c>
      <c r="CF230">
        <f t="shared" ca="1" si="220"/>
        <v>77.308727775788299</v>
      </c>
      <c r="CG230" s="6">
        <f t="shared" ca="1" si="221"/>
        <v>-0.99305090830827591</v>
      </c>
      <c r="CH230" s="6">
        <f t="shared" ca="1" si="222"/>
        <v>0.11768557051783385</v>
      </c>
      <c r="CI230" s="6">
        <f t="shared" ca="1" si="223"/>
        <v>3.0236337204653134</v>
      </c>
      <c r="CJ230" s="1">
        <f t="shared" ca="1" si="224"/>
        <v>-0.12701973000238453</v>
      </c>
      <c r="CK230" s="38"/>
    </row>
    <row r="231" spans="55:89" x14ac:dyDescent="0.25">
      <c r="BC231">
        <v>3.9968039870669942</v>
      </c>
      <c r="BD231">
        <v>-120.44115322056993</v>
      </c>
      <c r="BE231">
        <v>17.539903528948003</v>
      </c>
      <c r="BF231" s="6">
        <f t="shared" si="207"/>
        <v>2.9969787854560574</v>
      </c>
      <c r="BG231" s="6">
        <f t="shared" si="208"/>
        <v>0.9998252016109368</v>
      </c>
      <c r="BH231" s="6">
        <f t="shared" si="209"/>
        <v>-0.10036479499312856</v>
      </c>
      <c r="BI231" s="6">
        <f t="shared" si="210"/>
        <v>0.10036479499312856</v>
      </c>
      <c r="BV231" s="38"/>
      <c r="BW231" s="6">
        <f t="shared" si="211"/>
        <v>3.769911184307734</v>
      </c>
      <c r="BX231" s="9">
        <f t="shared" ca="1" si="212"/>
        <v>50.617354457098187</v>
      </c>
      <c r="BY231" s="9">
        <f t="shared" ca="1" si="213"/>
        <v>3.7908569755009403</v>
      </c>
      <c r="BZ231">
        <f t="shared" ca="1" si="214"/>
        <v>50.759109220357892</v>
      </c>
      <c r="CA231" s="6">
        <f t="shared" ca="1" si="215"/>
        <v>0.99720730396106216</v>
      </c>
      <c r="CB231" s="6">
        <f t="shared" ca="1" si="216"/>
        <v>7.4683284118401083E-2</v>
      </c>
      <c r="CC231" s="6">
        <f t="shared" ca="1" si="217"/>
        <v>7.4752884444208523E-2</v>
      </c>
      <c r="CD231" s="6">
        <f t="shared" ca="1" si="218"/>
        <v>-76.605343127933878</v>
      </c>
      <c r="CE231" s="9">
        <f t="shared" ca="1" si="219"/>
        <v>8.8718059147776174</v>
      </c>
      <c r="CF231">
        <f t="shared" ca="1" si="220"/>
        <v>77.117362091412133</v>
      </c>
      <c r="CG231" s="6">
        <f t="shared" ca="1" si="221"/>
        <v>-0.99336052284994747</v>
      </c>
      <c r="CH231" s="6">
        <f t="shared" ca="1" si="222"/>
        <v>0.11504291218184175</v>
      </c>
      <c r="CI231" s="6">
        <f t="shared" ca="1" si="223"/>
        <v>3.0262944550296438</v>
      </c>
      <c r="CJ231" s="1">
        <f t="shared" ca="1" si="224"/>
        <v>-0.12968046456671489</v>
      </c>
      <c r="CK231" s="38"/>
    </row>
    <row r="232" spans="55:89" x14ac:dyDescent="0.25">
      <c r="BC232">
        <v>4.0142572795869373</v>
      </c>
      <c r="BD232">
        <v>-119.90743225821447</v>
      </c>
      <c r="BE232">
        <v>17.248581642801572</v>
      </c>
      <c r="BF232" s="6">
        <f t="shared" si="207"/>
        <v>2.9987235719149985</v>
      </c>
      <c r="BG232" s="6">
        <f t="shared" si="208"/>
        <v>1.0155337076719388</v>
      </c>
      <c r="BH232" s="6">
        <f t="shared" si="209"/>
        <v>-0.10210958145206961</v>
      </c>
      <c r="BI232" s="6">
        <f t="shared" si="210"/>
        <v>0.10210958145206961</v>
      </c>
      <c r="BV232" s="38"/>
      <c r="BW232" s="6">
        <f t="shared" si="211"/>
        <v>3.7873644768276771</v>
      </c>
      <c r="BX232" s="9">
        <f t="shared" ca="1" si="212"/>
        <v>50.44526234203127</v>
      </c>
      <c r="BY232" s="9">
        <f t="shared" ca="1" si="213"/>
        <v>4.0189294256590102</v>
      </c>
      <c r="BZ232">
        <f t="shared" ca="1" si="214"/>
        <v>50.60510138795086</v>
      </c>
      <c r="CA232" s="6">
        <f t="shared" ca="1" si="215"/>
        <v>0.99684144401383123</v>
      </c>
      <c r="CB232" s="6">
        <f t="shared" ca="1" si="216"/>
        <v>7.9417476013908792E-2</v>
      </c>
      <c r="CC232" s="6">
        <f t="shared" ca="1" si="217"/>
        <v>7.950119664607401E-2</v>
      </c>
      <c r="CD232" s="6">
        <f t="shared" ca="1" si="218"/>
        <v>-76.433251012866961</v>
      </c>
      <c r="CE232" s="9">
        <f t="shared" ca="1" si="219"/>
        <v>8.6437334646195474</v>
      </c>
      <c r="CF232">
        <f t="shared" ca="1" si="220"/>
        <v>76.920452342685252</v>
      </c>
      <c r="CG232" s="6">
        <f t="shared" ca="1" si="221"/>
        <v>-0.99366616660484808</v>
      </c>
      <c r="CH232" s="6">
        <f t="shared" ca="1" si="222"/>
        <v>0.11237236913416986</v>
      </c>
      <c r="CI232" s="6">
        <f t="shared" ca="1" si="223"/>
        <v>3.0289824324522976</v>
      </c>
      <c r="CJ232" s="1">
        <f t="shared" ca="1" si="224"/>
        <v>-0.1323684419893687</v>
      </c>
      <c r="CK232" s="38"/>
    </row>
    <row r="233" spans="55:89" x14ac:dyDescent="0.25">
      <c r="BC233">
        <v>4.0317105721068804</v>
      </c>
      <c r="BD233">
        <v>-119.35945591188879</v>
      </c>
      <c r="BE233">
        <v>16.955620634531801</v>
      </c>
      <c r="BF233" s="6">
        <f t="shared" si="207"/>
        <v>3.0004816793259921</v>
      </c>
      <c r="BG233" s="6">
        <f t="shared" si="208"/>
        <v>1.0312288927808884</v>
      </c>
      <c r="BH233" s="6">
        <f t="shared" si="209"/>
        <v>-0.10386768886306319</v>
      </c>
      <c r="BI233" s="6">
        <f t="shared" si="210"/>
        <v>0.10386768886306319</v>
      </c>
      <c r="BV233" s="38"/>
      <c r="BW233" s="6">
        <f t="shared" si="211"/>
        <v>3.8048177693476202</v>
      </c>
      <c r="BX233" s="9">
        <f t="shared" ca="1" si="212"/>
        <v>50.266898030579824</v>
      </c>
      <c r="BY233" s="9">
        <f t="shared" ca="1" si="213"/>
        <v>4.2488542564758554</v>
      </c>
      <c r="BZ233">
        <f t="shared" ca="1" si="214"/>
        <v>50.446147524954597</v>
      </c>
      <c r="CA233" s="6">
        <f t="shared" ca="1" si="215"/>
        <v>0.99644671589072087</v>
      </c>
      <c r="CB233" s="6">
        <f t="shared" ca="1" si="216"/>
        <v>8.4225544762839236E-2</v>
      </c>
      <c r="CC233" s="6">
        <f t="shared" ca="1" si="217"/>
        <v>8.43254458646676E-2</v>
      </c>
      <c r="CD233" s="6">
        <f t="shared" ca="1" si="218"/>
        <v>-76.254886701415515</v>
      </c>
      <c r="CE233" s="9">
        <f t="shared" ca="1" si="219"/>
        <v>8.4138086338027023</v>
      </c>
      <c r="CF233">
        <f t="shared" ca="1" si="220"/>
        <v>76.717663686871802</v>
      </c>
      <c r="CG233" s="6">
        <f t="shared" ca="1" si="221"/>
        <v>-0.99396779094648735</v>
      </c>
      <c r="CH233" s="6">
        <f t="shared" ca="1" si="222"/>
        <v>0.10967237829535863</v>
      </c>
      <c r="CI233" s="6">
        <f t="shared" ca="1" si="223"/>
        <v>3.0316992195828951</v>
      </c>
      <c r="CJ233" s="1">
        <f t="shared" ca="1" si="224"/>
        <v>-0.1350852291199662</v>
      </c>
      <c r="CK233" s="38"/>
    </row>
    <row r="234" spans="55:89" x14ac:dyDescent="0.25">
      <c r="BC234">
        <v>4.0491638646268235</v>
      </c>
      <c r="BD234">
        <v>-118.79636312343585</v>
      </c>
      <c r="BE234">
        <v>16.661029683928959</v>
      </c>
      <c r="BF234" s="6">
        <f t="shared" si="207"/>
        <v>3.0022528492121845</v>
      </c>
      <c r="BG234" s="6">
        <f t="shared" si="208"/>
        <v>1.046911015414639</v>
      </c>
      <c r="BH234" s="6">
        <f t="shared" si="209"/>
        <v>-0.1056388587492556</v>
      </c>
      <c r="BI234" s="6">
        <f t="shared" si="210"/>
        <v>0.1056388587492556</v>
      </c>
      <c r="BV234" s="38"/>
      <c r="BW234" s="6">
        <f t="shared" si="211"/>
        <v>3.8222710618675633</v>
      </c>
      <c r="BX234" s="9">
        <f t="shared" ca="1" si="212"/>
        <v>50.081896227396683</v>
      </c>
      <c r="BY234" s="9">
        <f t="shared" ca="1" si="213"/>
        <v>4.4807274685608647</v>
      </c>
      <c r="BZ234">
        <f t="shared" ca="1" si="214"/>
        <v>50.281937595713693</v>
      </c>
      <c r="CA234" s="6">
        <f t="shared" ca="1" si="215"/>
        <v>0.99602160581150589</v>
      </c>
      <c r="CB234" s="6">
        <f t="shared" ca="1" si="216"/>
        <v>8.911206852424132E-2</v>
      </c>
      <c r="CC234" s="6">
        <f t="shared" ca="1" si="217"/>
        <v>8.9230431214897793E-2</v>
      </c>
      <c r="CD234" s="6">
        <f t="shared" ca="1" si="218"/>
        <v>-76.069884898232374</v>
      </c>
      <c r="CE234" s="9">
        <f t="shared" ca="1" si="219"/>
        <v>8.1819354217176929</v>
      </c>
      <c r="CF234">
        <f t="shared" ca="1" si="220"/>
        <v>76.50863647769107</v>
      </c>
      <c r="CG234" s="6">
        <f t="shared" ca="1" si="221"/>
        <v>-0.99426533265186823</v>
      </c>
      <c r="CH234" s="6">
        <f t="shared" ca="1" si="222"/>
        <v>0.10694133104964483</v>
      </c>
      <c r="CI234" s="6">
        <f t="shared" ca="1" si="223"/>
        <v>3.034446428142759</v>
      </c>
      <c r="CJ234" s="1">
        <f t="shared" ca="1" si="224"/>
        <v>-0.13783243767983008</v>
      </c>
      <c r="CK234" s="38"/>
    </row>
    <row r="235" spans="55:89" x14ac:dyDescent="0.25">
      <c r="BC235">
        <v>4.0666171571467666</v>
      </c>
      <c r="BD235">
        <v>-118.08979365504237</v>
      </c>
      <c r="BE235">
        <v>16.34956030126915</v>
      </c>
      <c r="BF235" s="6">
        <f t="shared" si="207"/>
        <v>3.0040170028289457</v>
      </c>
      <c r="BG235" s="6">
        <f t="shared" si="208"/>
        <v>1.062600154317821</v>
      </c>
      <c r="BH235" s="6">
        <f t="shared" si="209"/>
        <v>-0.10740301236601679</v>
      </c>
      <c r="BI235" s="6">
        <f t="shared" si="210"/>
        <v>0.10740301236601679</v>
      </c>
      <c r="BV235" s="38"/>
      <c r="BW235" s="6">
        <f t="shared" si="211"/>
        <v>3.8397243543875064</v>
      </c>
      <c r="BX235" s="9">
        <f t="shared" ca="1" si="212"/>
        <v>49.889863198500834</v>
      </c>
      <c r="BY235" s="9">
        <f t="shared" ca="1" si="213"/>
        <v>4.7146451623960637</v>
      </c>
      <c r="BZ235">
        <f t="shared" ca="1" si="214"/>
        <v>50.112137541442316</v>
      </c>
      <c r="CA235" s="6">
        <f t="shared" ca="1" si="215"/>
        <v>0.99556446095005102</v>
      </c>
      <c r="CB235" s="6">
        <f t="shared" ca="1" si="216"/>
        <v>9.408190098650436E-2</v>
      </c>
      <c r="CC235" s="6">
        <f t="shared" ca="1" si="217"/>
        <v>9.4221249567542201E-2</v>
      </c>
      <c r="CD235" s="6">
        <f t="shared" ca="1" si="218"/>
        <v>-75.877851869336524</v>
      </c>
      <c r="CE235" s="9">
        <f t="shared" ca="1" si="219"/>
        <v>7.9480177278824939</v>
      </c>
      <c r="CF235">
        <f t="shared" ca="1" si="220"/>
        <v>76.292983885202119</v>
      </c>
      <c r="CG235" s="6">
        <f t="shared" ca="1" si="221"/>
        <v>-0.99455871307261701</v>
      </c>
      <c r="CH235" s="6">
        <f t="shared" ca="1" si="222"/>
        <v>0.10417757076904816</v>
      </c>
      <c r="CI235" s="6">
        <f t="shared" ca="1" si="223"/>
        <v>3.0372257172482926</v>
      </c>
      <c r="CJ235" s="1">
        <f t="shared" ca="1" si="224"/>
        <v>-0.14061172678536371</v>
      </c>
      <c r="CK235" s="38"/>
    </row>
    <row r="236" spans="55:89" x14ac:dyDescent="0.25">
      <c r="BC236">
        <v>4.0840704496667097</v>
      </c>
      <c r="BD236">
        <v>-117.20124967644087</v>
      </c>
      <c r="BE236">
        <v>16.01788934179395</v>
      </c>
      <c r="BF236" s="6">
        <f t="shared" si="207"/>
        <v>3.0057642268186489</v>
      </c>
      <c r="BG236" s="6">
        <f t="shared" si="208"/>
        <v>1.0783062228480609</v>
      </c>
      <c r="BH236" s="6">
        <f t="shared" si="209"/>
        <v>-0.10915023635571997</v>
      </c>
      <c r="BI236" s="6">
        <f t="shared" si="210"/>
        <v>0.10915023635571997</v>
      </c>
      <c r="BV236" s="38"/>
      <c r="BW236" s="6">
        <f t="shared" si="211"/>
        <v>3.8571776469074495</v>
      </c>
      <c r="BX236" s="9">
        <f t="shared" ca="1" si="212"/>
        <v>49.690374067209603</v>
      </c>
      <c r="BY236" s="9">
        <f t="shared" ca="1" si="213"/>
        <v>4.9507033515022627</v>
      </c>
      <c r="BZ236">
        <f t="shared" ca="1" si="214"/>
        <v>49.936386919898325</v>
      </c>
      <c r="CA236" s="6">
        <f t="shared" ca="1" si="215"/>
        <v>0.99507347511778643</v>
      </c>
      <c r="CB236" s="6">
        <f t="shared" ca="1" si="216"/>
        <v>9.9140199298831111E-2</v>
      </c>
      <c r="CC236" s="6">
        <f t="shared" ca="1" si="217"/>
        <v>9.9303326356833838E-2</v>
      </c>
      <c r="CD236" s="6">
        <f t="shared" ca="1" si="218"/>
        <v>-75.678362738045294</v>
      </c>
      <c r="CE236" s="9">
        <f t="shared" ca="1" si="219"/>
        <v>7.7119595387762949</v>
      </c>
      <c r="CF236">
        <f t="shared" ca="1" si="220"/>
        <v>76.070289250395817</v>
      </c>
      <c r="CG236" s="6">
        <f t="shared" ca="1" si="221"/>
        <v>-0.9948478372277455</v>
      </c>
      <c r="CH236" s="6">
        <f t="shared" ca="1" si="222"/>
        <v>0.10137939022936168</v>
      </c>
      <c r="CI236" s="6">
        <f t="shared" ca="1" si="223"/>
        <v>3.040038796047094</v>
      </c>
      <c r="CJ236" s="1">
        <f t="shared" ca="1" si="224"/>
        <v>-0.14342480558416515</v>
      </c>
      <c r="CK236" s="38"/>
    </row>
    <row r="237" spans="55:89" x14ac:dyDescent="0.25">
      <c r="BC237">
        <v>4.1015237421866528</v>
      </c>
      <c r="BD237">
        <v>-116.29500236435409</v>
      </c>
      <c r="BE237">
        <v>15.686391883948257</v>
      </c>
      <c r="BF237" s="6">
        <f t="shared" si="207"/>
        <v>3.0075173715694561</v>
      </c>
      <c r="BG237" s="6">
        <f t="shared" si="208"/>
        <v>1.0940063706171967</v>
      </c>
      <c r="BH237" s="6">
        <f t="shared" si="209"/>
        <v>-0.1109033811065272</v>
      </c>
      <c r="BI237" s="6">
        <f t="shared" si="210"/>
        <v>0.1109033811065272</v>
      </c>
      <c r="BV237" s="38"/>
      <c r="BW237" s="6">
        <f t="shared" si="211"/>
        <v>3.8746309394273926</v>
      </c>
      <c r="BX237" s="9">
        <f t="shared" ca="1" si="212"/>
        <v>49.482969793282422</v>
      </c>
      <c r="BY237" s="9">
        <f t="shared" ca="1" si="213"/>
        <v>5.1889977321609351</v>
      </c>
      <c r="BZ237">
        <f t="shared" ca="1" si="214"/>
        <v>49.754296267028757</v>
      </c>
      <c r="CA237" s="6">
        <f t="shared" ca="1" si="215"/>
        <v>0.99454667246643103</v>
      </c>
      <c r="CB237" s="6">
        <f t="shared" ca="1" si="216"/>
        <v>0.1042924555562368</v>
      </c>
      <c r="CC237" s="6">
        <f t="shared" ca="1" si="217"/>
        <v>0.10448245036895823</v>
      </c>
      <c r="CD237" s="6">
        <f t="shared" ca="1" si="218"/>
        <v>-75.470958464118112</v>
      </c>
      <c r="CE237" s="9">
        <f t="shared" ca="1" si="219"/>
        <v>7.4736651581176226</v>
      </c>
      <c r="CF237">
        <f t="shared" ca="1" si="220"/>
        <v>75.840103127489897</v>
      </c>
      <c r="CG237" s="6">
        <f t="shared" ca="1" si="221"/>
        <v>-0.99513259280843491</v>
      </c>
      <c r="CH237" s="6">
        <f t="shared" ca="1" si="222"/>
        <v>9.8545028947997701E-2</v>
      </c>
      <c r="CI237" s="6">
        <f t="shared" ca="1" si="223"/>
        <v>3.0428874264375421</v>
      </c>
      <c r="CJ237" s="1">
        <f t="shared" ca="1" si="224"/>
        <v>-0.14627343597461318</v>
      </c>
      <c r="CK237" s="38"/>
    </row>
    <row r="238" spans="55:89" x14ac:dyDescent="0.25">
      <c r="BC238">
        <v>4.1189770347065959</v>
      </c>
      <c r="BD238">
        <v>-115.37035522546351</v>
      </c>
      <c r="BE238">
        <v>15.355256589700444</v>
      </c>
      <c r="BF238" s="6">
        <f t="shared" si="207"/>
        <v>3.00927496537741</v>
      </c>
      <c r="BG238" s="6">
        <f t="shared" si="208"/>
        <v>1.1097020693291859</v>
      </c>
      <c r="BH238" s="6">
        <f t="shared" si="209"/>
        <v>-0.11266097491448113</v>
      </c>
      <c r="BI238" s="6">
        <f t="shared" si="210"/>
        <v>0.11266097491448113</v>
      </c>
      <c r="BV238" s="38"/>
      <c r="BW238" s="6">
        <f t="shared" si="211"/>
        <v>3.8920842319473357</v>
      </c>
      <c r="BX238" s="9">
        <f t="shared" ca="1" si="212"/>
        <v>49.267210407435414</v>
      </c>
      <c r="BY238" s="9">
        <f t="shared" ca="1" si="213"/>
        <v>5.4296141070313197</v>
      </c>
      <c r="BZ238">
        <f t="shared" ca="1" si="214"/>
        <v>49.565499399095998</v>
      </c>
      <c r="CA238" s="6">
        <f t="shared" ca="1" si="215"/>
        <v>0.99398192300537935</v>
      </c>
      <c r="CB238" s="6">
        <f t="shared" ca="1" si="216"/>
        <v>0.10954422275285998</v>
      </c>
      <c r="CC238" s="6">
        <f t="shared" ca="1" si="217"/>
        <v>0.10976450162855708</v>
      </c>
      <c r="CD238" s="6">
        <f t="shared" ca="1" si="218"/>
        <v>-75.255199078271104</v>
      </c>
      <c r="CE238" s="9">
        <f t="shared" ca="1" si="219"/>
        <v>7.2330487832472379</v>
      </c>
      <c r="CF238">
        <f t="shared" ca="1" si="220"/>
        <v>75.601997215755162</v>
      </c>
      <c r="CG238" s="6">
        <f t="shared" ca="1" si="221"/>
        <v>-0.99541284423354115</v>
      </c>
      <c r="CH238" s="6">
        <f t="shared" ca="1" si="222"/>
        <v>9.5672720954783172E-2</v>
      </c>
      <c r="CI238" s="6">
        <f t="shared" ca="1" si="223"/>
        <v>3.0457733751290057</v>
      </c>
      <c r="CJ238" s="1">
        <f t="shared" ca="1" si="224"/>
        <v>-0.14915938466607681</v>
      </c>
      <c r="CK238" s="38"/>
    </row>
    <row r="239" spans="55:89" x14ac:dyDescent="0.25">
      <c r="BC239">
        <v>4.136430327226539</v>
      </c>
      <c r="BD239">
        <v>-114.31601937588539</v>
      </c>
      <c r="BE239">
        <v>15.028844834482483</v>
      </c>
      <c r="BF239" s="6">
        <f t="shared" si="207"/>
        <v>3.0108747792207979</v>
      </c>
      <c r="BG239" s="6">
        <f t="shared" si="208"/>
        <v>1.1255555480057411</v>
      </c>
      <c r="BH239" s="6">
        <f t="shared" si="209"/>
        <v>-0.11426078875786905</v>
      </c>
      <c r="BI239" s="6">
        <f t="shared" si="210"/>
        <v>0.11426078875786905</v>
      </c>
      <c r="BV239" s="38"/>
      <c r="BW239" s="6">
        <f t="shared" si="211"/>
        <v>3.9095375244672788</v>
      </c>
      <c r="BX239" s="9">
        <f t="shared" ca="1" si="212"/>
        <v>48.936523482821528</v>
      </c>
      <c r="BY239" s="9">
        <f t="shared" ca="1" si="213"/>
        <v>5.6898013815187412</v>
      </c>
      <c r="BZ239">
        <f t="shared" ca="1" si="214"/>
        <v>49.266186886604849</v>
      </c>
      <c r="CA239" s="6">
        <f t="shared" ca="1" si="215"/>
        <v>0.99330852609839482</v>
      </c>
      <c r="CB239" s="6">
        <f t="shared" ca="1" si="216"/>
        <v>0.11549100389309326</v>
      </c>
      <c r="CC239" s="6">
        <f t="shared" ca="1" si="217"/>
        <v>0.11574929704974463</v>
      </c>
      <c r="CD239" s="6">
        <f t="shared" ca="1" si="218"/>
        <v>-74.924512153657219</v>
      </c>
      <c r="CE239" s="9">
        <f t="shared" ca="1" si="219"/>
        <v>6.9728615087598165</v>
      </c>
      <c r="CF239">
        <f t="shared" ca="1" si="220"/>
        <v>75.248277847960566</v>
      </c>
      <c r="CG239" s="6">
        <f t="shared" ca="1" si="221"/>
        <v>-0.9956973673874967</v>
      </c>
      <c r="CH239" s="6">
        <f t="shared" ca="1" si="222"/>
        <v>9.2664732113185502E-2</v>
      </c>
      <c r="CI239" s="6">
        <f t="shared" ca="1" si="223"/>
        <v>3.0487947915586182</v>
      </c>
      <c r="CJ239" s="1">
        <f t="shared" ca="1" si="224"/>
        <v>-0.15218080109568932</v>
      </c>
      <c r="CK239" s="38"/>
    </row>
    <row r="240" spans="55:89" x14ac:dyDescent="0.25">
      <c r="BC240">
        <v>4.1538836197464821</v>
      </c>
      <c r="BD240">
        <v>-113.20299590471758</v>
      </c>
      <c r="BE240">
        <v>14.705972248840174</v>
      </c>
      <c r="BF240" s="6">
        <f t="shared" si="207"/>
        <v>3.0124081437374581</v>
      </c>
      <c r="BG240" s="6">
        <f t="shared" si="208"/>
        <v>1.141475476009024</v>
      </c>
      <c r="BH240" s="6">
        <f t="shared" si="209"/>
        <v>-0.11579415327452924</v>
      </c>
      <c r="BI240" s="6">
        <f t="shared" si="210"/>
        <v>0.11579415327452924</v>
      </c>
      <c r="BV240" s="38"/>
      <c r="BW240" s="6">
        <f t="shared" si="211"/>
        <v>3.9269908169872219</v>
      </c>
      <c r="BX240" s="9">
        <f t="shared" ca="1" si="212"/>
        <v>48.462102902698874</v>
      </c>
      <c r="BY240" s="9">
        <f t="shared" ca="1" si="213"/>
        <v>5.9733752752379594</v>
      </c>
      <c r="BZ240">
        <f t="shared" ca="1" si="214"/>
        <v>48.828850385101212</v>
      </c>
      <c r="CA240" s="6">
        <f t="shared" ca="1" si="215"/>
        <v>0.99248912314113702</v>
      </c>
      <c r="CB240" s="6">
        <f t="shared" ca="1" si="216"/>
        <v>0.12233290827302729</v>
      </c>
      <c r="CC240" s="6">
        <f t="shared" ca="1" si="217"/>
        <v>0.12264010720810731</v>
      </c>
      <c r="CD240" s="6">
        <f t="shared" ca="1" si="218"/>
        <v>-74.450091573534564</v>
      </c>
      <c r="CE240" s="9">
        <f t="shared" ca="1" si="219"/>
        <v>6.6892876150405982</v>
      </c>
      <c r="CF240">
        <f t="shared" ca="1" si="220"/>
        <v>74.750001365246931</v>
      </c>
      <c r="CG240" s="6">
        <f t="shared" ca="1" si="221"/>
        <v>-0.99598782894669213</v>
      </c>
      <c r="CH240" s="6">
        <f t="shared" ca="1" si="222"/>
        <v>8.9488795891187883E-2</v>
      </c>
      <c r="CI240" s="6">
        <f t="shared" ca="1" si="223"/>
        <v>3.0519839838426055</v>
      </c>
      <c r="CJ240" s="1">
        <f t="shared" ca="1" si="224"/>
        <v>-0.15536999337967661</v>
      </c>
      <c r="CK240" s="38"/>
    </row>
    <row r="241" spans="55:89" x14ac:dyDescent="0.25">
      <c r="BC241">
        <v>4.1713369122664252</v>
      </c>
      <c r="BD241">
        <v>-112.07085810005103</v>
      </c>
      <c r="BE241">
        <v>14.385678210969063</v>
      </c>
      <c r="BF241" s="6">
        <f t="shared" si="207"/>
        <v>3.0139284234449719</v>
      </c>
      <c r="BG241" s="6">
        <f t="shared" si="208"/>
        <v>1.1574084888214533</v>
      </c>
      <c r="BH241" s="6">
        <f t="shared" si="209"/>
        <v>-0.11731443298204303</v>
      </c>
      <c r="BI241" s="6">
        <f t="shared" si="210"/>
        <v>0.11731443298204303</v>
      </c>
      <c r="BV241" s="38"/>
      <c r="BW241" s="6">
        <f t="shared" si="211"/>
        <v>3.944444109507165</v>
      </c>
      <c r="BX241" s="9">
        <f t="shared" ca="1" si="212"/>
        <v>47.977240799017025</v>
      </c>
      <c r="BY241" s="9">
        <f t="shared" ca="1" si="213"/>
        <v>6.2584092676776848</v>
      </c>
      <c r="BZ241">
        <f t="shared" ca="1" si="214"/>
        <v>48.383709254754514</v>
      </c>
      <c r="CA241" s="6">
        <f t="shared" ca="1" si="215"/>
        <v>0.99159906377584006</v>
      </c>
      <c r="CB241" s="6">
        <f t="shared" ca="1" si="216"/>
        <v>0.12934951379451526</v>
      </c>
      <c r="CC241" s="6">
        <f t="shared" ca="1" si="217"/>
        <v>0.12971295439016164</v>
      </c>
      <c r="CD241" s="6">
        <f t="shared" ca="1" si="218"/>
        <v>-73.965229469852716</v>
      </c>
      <c r="CE241" s="9">
        <f t="shared" ca="1" si="219"/>
        <v>6.4042536226008728</v>
      </c>
      <c r="CF241">
        <f t="shared" ca="1" si="220"/>
        <v>74.241966804433218</v>
      </c>
      <c r="CG241" s="6">
        <f t="shared" ca="1" si="221"/>
        <v>-0.99627249456753375</v>
      </c>
      <c r="CH241" s="6">
        <f t="shared" ca="1" si="222"/>
        <v>8.6261906819775344E-2</v>
      </c>
      <c r="CI241" s="6">
        <f t="shared" ca="1" si="223"/>
        <v>3.0552234061324035</v>
      </c>
      <c r="CJ241" s="1">
        <f t="shared" ca="1" si="224"/>
        <v>-0.15860941566947462</v>
      </c>
      <c r="CK241" s="38"/>
    </row>
    <row r="242" spans="55:89" x14ac:dyDescent="0.25">
      <c r="BC242">
        <v>4.1887902047863683</v>
      </c>
      <c r="BD242">
        <v>-110.91908642365834</v>
      </c>
      <c r="BE242">
        <v>14.068364791999429</v>
      </c>
      <c r="BF242" s="6">
        <f t="shared" si="207"/>
        <v>3.0154318102316773</v>
      </c>
      <c r="BG242" s="6">
        <f t="shared" si="208"/>
        <v>1.173358394554691</v>
      </c>
      <c r="BH242" s="6">
        <f t="shared" si="209"/>
        <v>-0.11881781976874839</v>
      </c>
      <c r="BI242" s="6">
        <f t="shared" si="210"/>
        <v>0.11881781976874839</v>
      </c>
      <c r="BV242" s="38"/>
      <c r="BW242" s="6">
        <f t="shared" si="211"/>
        <v>3.9618974020271081</v>
      </c>
      <c r="BX242" s="9">
        <f t="shared" ca="1" si="212"/>
        <v>47.481276780550957</v>
      </c>
      <c r="BY242" s="9">
        <f t="shared" ca="1" si="213"/>
        <v>6.5449558076461543</v>
      </c>
      <c r="BZ242">
        <f t="shared" ca="1" si="214"/>
        <v>47.930241927569369</v>
      </c>
      <c r="CA242" s="6">
        <f t="shared" ca="1" si="215"/>
        <v>0.9906329463619884</v>
      </c>
      <c r="CB242" s="6">
        <f t="shared" ca="1" si="216"/>
        <v>0.13655169564002367</v>
      </c>
      <c r="CC242" s="6">
        <f t="shared" ca="1" si="217"/>
        <v>0.1369796619360211</v>
      </c>
      <c r="CD242" s="6">
        <f t="shared" ca="1" si="218"/>
        <v>-73.469265451386647</v>
      </c>
      <c r="CE242" s="9">
        <f t="shared" ca="1" si="219"/>
        <v>6.1177070826324034</v>
      </c>
      <c r="CF242">
        <f t="shared" ca="1" si="220"/>
        <v>73.723532918025612</v>
      </c>
      <c r="CG242" s="6">
        <f t="shared" ca="1" si="221"/>
        <v>-0.99655106779918312</v>
      </c>
      <c r="CH242" s="6">
        <f t="shared" ca="1" si="222"/>
        <v>8.2981740571694801E-2</v>
      </c>
      <c r="CI242" s="6">
        <f t="shared" ca="1" si="223"/>
        <v>3.0585153817470361</v>
      </c>
      <c r="CJ242" s="1">
        <f t="shared" ca="1" si="224"/>
        <v>-0.16190139128410719</v>
      </c>
      <c r="CK242" s="38"/>
    </row>
    <row r="243" spans="55:89" x14ac:dyDescent="0.25">
      <c r="BC243">
        <v>4.2062434973063114</v>
      </c>
      <c r="BD243">
        <v>-109.74721188579785</v>
      </c>
      <c r="BE243">
        <v>13.754481766413996</v>
      </c>
      <c r="BF243" s="6">
        <f t="shared" si="207"/>
        <v>3.0169139719058777</v>
      </c>
      <c r="BG243" s="6">
        <f t="shared" si="208"/>
        <v>1.1893295254004337</v>
      </c>
      <c r="BH243" s="6">
        <f t="shared" si="209"/>
        <v>-0.12029998144294884</v>
      </c>
      <c r="BI243" s="6">
        <f t="shared" si="210"/>
        <v>0.12029998144294884</v>
      </c>
      <c r="BV243" s="38"/>
      <c r="BW243" s="6">
        <f t="shared" si="211"/>
        <v>3.9793506945470511</v>
      </c>
      <c r="BX243" s="9">
        <f t="shared" ca="1" si="212"/>
        <v>46.97350404216084</v>
      </c>
      <c r="BY243" s="9">
        <f t="shared" ca="1" si="213"/>
        <v>6.8330601463349936</v>
      </c>
      <c r="BZ243">
        <f t="shared" ca="1" si="214"/>
        <v>47.467892232142901</v>
      </c>
      <c r="CA243" s="6">
        <f t="shared" ca="1" si="215"/>
        <v>0.98958478738503397</v>
      </c>
      <c r="CB243" s="6">
        <f t="shared" ca="1" si="216"/>
        <v>0.14395120206555084</v>
      </c>
      <c r="CC243" s="6">
        <f t="shared" ca="1" si="217"/>
        <v>0.14445305424018501</v>
      </c>
      <c r="CD243" s="6">
        <f t="shared" ca="1" si="218"/>
        <v>-72.961492712996531</v>
      </c>
      <c r="CE243" s="9">
        <f t="shared" ca="1" si="219"/>
        <v>5.829602743943564</v>
      </c>
      <c r="CF243">
        <f t="shared" ca="1" si="220"/>
        <v>73.194014011125532</v>
      </c>
      <c r="CG243" s="6">
        <f t="shared" ca="1" si="221"/>
        <v>-0.99682321974999677</v>
      </c>
      <c r="CH243" s="6">
        <f t="shared" ca="1" si="222"/>
        <v>7.9645894854973531E-2</v>
      </c>
      <c r="CI243" s="6">
        <f t="shared" ca="1" si="223"/>
        <v>3.0618623122493109</v>
      </c>
      <c r="CJ243" s="1">
        <f t="shared" ca="1" si="224"/>
        <v>-0.16524832178638205</v>
      </c>
      <c r="CK243" s="38"/>
    </row>
    <row r="244" spans="55:89" x14ac:dyDescent="0.25">
      <c r="BC244">
        <v>4.2236967898262545</v>
      </c>
      <c r="BD244">
        <v>-108.55482362955169</v>
      </c>
      <c r="BE244">
        <v>13.444528039880701</v>
      </c>
      <c r="BF244" s="6">
        <f t="shared" si="207"/>
        <v>3.0183700073830373</v>
      </c>
      <c r="BG244" s="6">
        <f t="shared" si="208"/>
        <v>1.2053267824432172</v>
      </c>
      <c r="BH244" s="6">
        <f t="shared" si="209"/>
        <v>-0.1217560169201084</v>
      </c>
      <c r="BI244" s="6">
        <f t="shared" si="210"/>
        <v>0.1217560169201084</v>
      </c>
      <c r="BV244" s="38"/>
      <c r="BW244" s="6">
        <f t="shared" si="211"/>
        <v>3.9968039870669942</v>
      </c>
      <c r="BX244" s="9">
        <f t="shared" ca="1" si="212"/>
        <v>46.45316454973424</v>
      </c>
      <c r="BY244" s="9">
        <f t="shared" ca="1" si="213"/>
        <v>7.1227593613305551</v>
      </c>
      <c r="BZ244">
        <f t="shared" ca="1" si="214"/>
        <v>46.996065767297033</v>
      </c>
      <c r="CA244" s="6">
        <f t="shared" ca="1" si="215"/>
        <v>0.98844794327569907</v>
      </c>
      <c r="CB244" s="6">
        <f t="shared" ca="1" si="216"/>
        <v>0.15156075822600115</v>
      </c>
      <c r="CC244" s="6">
        <f t="shared" ca="1" si="217"/>
        <v>0.15214708124309506</v>
      </c>
      <c r="CD244" s="6">
        <f t="shared" ca="1" si="218"/>
        <v>-72.44115322056993</v>
      </c>
      <c r="CE244" s="9">
        <f t="shared" ca="1" si="219"/>
        <v>5.5399035289480025</v>
      </c>
      <c r="CF244">
        <f t="shared" ca="1" si="220"/>
        <v>72.652675181552269</v>
      </c>
      <c r="CG244" s="6">
        <f t="shared" ca="1" si="221"/>
        <v>-0.99708858675260392</v>
      </c>
      <c r="CH244" s="6">
        <f t="shared" ca="1" si="222"/>
        <v>7.6251886322207682E-2</v>
      </c>
      <c r="CI244" s="6">
        <f t="shared" ca="1" si="223"/>
        <v>3.0652666807311344</v>
      </c>
      <c r="CJ244" s="1">
        <f t="shared" ca="1" si="224"/>
        <v>-0.16865269026820551</v>
      </c>
      <c r="CK244" s="38"/>
    </row>
    <row r="245" spans="55:89" x14ac:dyDescent="0.25">
      <c r="BC245">
        <v>4.2411500823461976</v>
      </c>
      <c r="BD245">
        <v>-107.34157712713332</v>
      </c>
      <c r="BE245">
        <v>13.139052305458286</v>
      </c>
      <c r="BF245" s="6">
        <f t="shared" si="207"/>
        <v>3.019794404381368</v>
      </c>
      <c r="BG245" s="6">
        <f t="shared" si="208"/>
        <v>1.2213556779648296</v>
      </c>
      <c r="BH245" s="6">
        <f t="shared" si="209"/>
        <v>-0.12318041391843916</v>
      </c>
      <c r="BI245" s="6">
        <f t="shared" si="210"/>
        <v>0.12318041391843916</v>
      </c>
      <c r="BV245" s="38"/>
      <c r="BW245" s="6">
        <f t="shared" si="211"/>
        <v>4.0142572795869373</v>
      </c>
      <c r="BX245" s="9">
        <f t="shared" ca="1" si="212"/>
        <v>45.91944358737878</v>
      </c>
      <c r="BY245" s="9">
        <f t="shared" ca="1" si="213"/>
        <v>7.4140812474769859</v>
      </c>
      <c r="BZ245">
        <f t="shared" ca="1" si="214"/>
        <v>46.514125812688903</v>
      </c>
      <c r="CA245" s="6">
        <f t="shared" ca="1" si="215"/>
        <v>0.98721501877290152</v>
      </c>
      <c r="CB245" s="6">
        <f t="shared" ca="1" si="216"/>
        <v>0.15939418656029969</v>
      </c>
      <c r="CC245" s="6">
        <f t="shared" ca="1" si="217"/>
        <v>0.16007696345032066</v>
      </c>
      <c r="CD245" s="6">
        <f t="shared" ca="1" si="218"/>
        <v>-71.90743225821447</v>
      </c>
      <c r="CE245" s="9">
        <f t="shared" ca="1" si="219"/>
        <v>5.2485816428015717</v>
      </c>
      <c r="CF245">
        <f t="shared" ca="1" si="220"/>
        <v>72.098726918239379</v>
      </c>
      <c r="CG245" s="6">
        <f t="shared" ca="1" si="221"/>
        <v>-0.99734676785289378</v>
      </c>
      <c r="CH245" s="6">
        <f t="shared" ca="1" si="222"/>
        <v>7.2797147288793482E-2</v>
      </c>
      <c r="CI245" s="6">
        <f t="shared" ca="1" si="223"/>
        <v>3.0687310553173073</v>
      </c>
      <c r="CJ245" s="1">
        <f t="shared" ca="1" si="224"/>
        <v>-0.17211706485437839</v>
      </c>
      <c r="CK245" s="38"/>
    </row>
    <row r="246" spans="55:89" x14ac:dyDescent="0.25">
      <c r="BC246">
        <v>4.2586033748661407</v>
      </c>
      <c r="BD246">
        <v>-106.1072026919302</v>
      </c>
      <c r="BE246">
        <v>12.838652498380171</v>
      </c>
      <c r="BF246" s="6">
        <f t="shared" si="207"/>
        <v>3.0211810033447626</v>
      </c>
      <c r="BG246" s="6">
        <f t="shared" si="208"/>
        <v>1.2374223715213781</v>
      </c>
      <c r="BH246" s="6">
        <f t="shared" si="209"/>
        <v>-0.12456701288183368</v>
      </c>
      <c r="BI246" s="6">
        <f t="shared" si="210"/>
        <v>0.12456701288183368</v>
      </c>
      <c r="BV246" s="38"/>
      <c r="BW246" s="6">
        <f t="shared" si="211"/>
        <v>4.0317105721068804</v>
      </c>
      <c r="BX246" s="9">
        <f t="shared" ca="1" si="212"/>
        <v>45.371467241053097</v>
      </c>
      <c r="BY246" s="9">
        <f t="shared" ca="1" si="213"/>
        <v>7.7070422557467566</v>
      </c>
      <c r="BZ246">
        <f t="shared" ca="1" si="214"/>
        <v>46.021392199039575</v>
      </c>
      <c r="CA246" s="6">
        <f t="shared" ca="1" si="215"/>
        <v>0.98587776408033045</v>
      </c>
      <c r="CB246" s="6">
        <f t="shared" ca="1" si="216"/>
        <v>0.16746651692791675</v>
      </c>
      <c r="CC246" s="6">
        <f t="shared" ca="1" si="217"/>
        <v>0.16825933115251207</v>
      </c>
      <c r="CD246" s="6">
        <f t="shared" ca="1" si="218"/>
        <v>-71.359455911888787</v>
      </c>
      <c r="CE246" s="9">
        <f t="shared" ca="1" si="219"/>
        <v>4.955620634531801</v>
      </c>
      <c r="CF246">
        <f t="shared" ca="1" si="220"/>
        <v>71.531322676951788</v>
      </c>
      <c r="CG246" s="6">
        <f t="shared" ca="1" si="221"/>
        <v>-0.99759732158401182</v>
      </c>
      <c r="CH246" s="6">
        <f t="shared" ca="1" si="222"/>
        <v>6.9279029788282653E-2</v>
      </c>
      <c r="CI246" s="6">
        <f t="shared" ca="1" si="223"/>
        <v>3.072258085344906</v>
      </c>
      <c r="CJ246" s="1">
        <f t="shared" ca="1" si="224"/>
        <v>-0.1756440948819771</v>
      </c>
      <c r="CK246" s="38"/>
    </row>
    <row r="247" spans="55:89" x14ac:dyDescent="0.25">
      <c r="BC247">
        <v>4.2760566673860838</v>
      </c>
      <c r="BD247">
        <v>-104.85157122127016</v>
      </c>
      <c r="BE247">
        <v>12.543969556277716</v>
      </c>
      <c r="BF247" s="6">
        <f t="shared" si="207"/>
        <v>3.022523074331946</v>
      </c>
      <c r="BG247" s="6">
        <f t="shared" si="208"/>
        <v>1.2535335930541378</v>
      </c>
      <c r="BH247" s="6">
        <f t="shared" si="209"/>
        <v>-0.12590908386901711</v>
      </c>
      <c r="BI247" s="6">
        <f t="shared" si="210"/>
        <v>0.12590908386901711</v>
      </c>
      <c r="BV247" s="38"/>
      <c r="BW247" s="6">
        <f t="shared" si="211"/>
        <v>4.0491638646268235</v>
      </c>
      <c r="BX247" s="9">
        <f t="shared" ca="1" si="212"/>
        <v>44.808374452600162</v>
      </c>
      <c r="BY247" s="9">
        <f t="shared" ca="1" si="213"/>
        <v>8.0016332063495987</v>
      </c>
      <c r="BZ247">
        <f t="shared" ca="1" si="214"/>
        <v>45.51721163530766</v>
      </c>
      <c r="CA247" s="6">
        <f t="shared" ca="1" si="215"/>
        <v>0.98442705171865907</v>
      </c>
      <c r="CB247" s="6">
        <f t="shared" ca="1" si="216"/>
        <v>0.1757935716814151</v>
      </c>
      <c r="CC247" s="6">
        <f t="shared" ca="1" si="217"/>
        <v>0.17671183566814103</v>
      </c>
      <c r="CD247" s="6">
        <f t="shared" ca="1" si="218"/>
        <v>-70.796363123435853</v>
      </c>
      <c r="CE247" s="9">
        <f t="shared" ca="1" si="219"/>
        <v>4.6610296839289589</v>
      </c>
      <c r="CF247">
        <f t="shared" ca="1" si="220"/>
        <v>70.949631635547306</v>
      </c>
      <c r="CG247" s="6">
        <f t="shared" ca="1" si="221"/>
        <v>-0.99783975605541186</v>
      </c>
      <c r="CH247" s="6">
        <f t="shared" ca="1" si="222"/>
        <v>6.5694910269184281E-2</v>
      </c>
      <c r="CI247" s="6">
        <f t="shared" ca="1" si="223"/>
        <v>3.0758503967286406</v>
      </c>
      <c r="CJ247" s="1">
        <f t="shared" ca="1" si="224"/>
        <v>-0.17923640626571169</v>
      </c>
      <c r="CK247" s="38"/>
    </row>
    <row r="248" spans="55:89" x14ac:dyDescent="0.25">
      <c r="BC248">
        <v>4.2935099599060269</v>
      </c>
      <c r="BD248">
        <v>-103.48041055796502</v>
      </c>
      <c r="BE248">
        <v>12.262555545714683</v>
      </c>
      <c r="BF248" s="6">
        <f t="shared" si="207"/>
        <v>3.0236414862675107</v>
      </c>
      <c r="BG248" s="6">
        <f t="shared" si="208"/>
        <v>1.2698684736385162</v>
      </c>
      <c r="BH248" s="6">
        <f t="shared" si="209"/>
        <v>-0.12702749580458181</v>
      </c>
      <c r="BI248" s="6">
        <f t="shared" si="210"/>
        <v>0.12702749580458181</v>
      </c>
      <c r="BV248" s="38"/>
      <c r="BW248" s="6">
        <f t="shared" si="211"/>
        <v>4.0666171571467666</v>
      </c>
      <c r="BX248" s="9">
        <f t="shared" ca="1" si="212"/>
        <v>44.10180498420668</v>
      </c>
      <c r="BY248" s="9">
        <f t="shared" ca="1" si="213"/>
        <v>8.3131025890094072</v>
      </c>
      <c r="BZ248">
        <f t="shared" ca="1" si="214"/>
        <v>44.878467860661111</v>
      </c>
      <c r="CA248" s="6">
        <f t="shared" ca="1" si="215"/>
        <v>0.98269408664159796</v>
      </c>
      <c r="CB248" s="6">
        <f t="shared" ca="1" si="216"/>
        <v>0.18523588226808388</v>
      </c>
      <c r="CC248" s="6">
        <f t="shared" ca="1" si="217"/>
        <v>0.18631189321885544</v>
      </c>
      <c r="CD248" s="6">
        <f t="shared" ca="1" si="218"/>
        <v>-70.089793655042371</v>
      </c>
      <c r="CE248" s="9">
        <f t="shared" ca="1" si="219"/>
        <v>4.3495603012691504</v>
      </c>
      <c r="CF248">
        <f t="shared" ca="1" si="220"/>
        <v>70.224624238373778</v>
      </c>
      <c r="CG248" s="6">
        <f t="shared" ca="1" si="221"/>
        <v>-0.99808000989975065</v>
      </c>
      <c r="CH248" s="6">
        <f t="shared" ca="1" si="222"/>
        <v>6.1937822358504868E-2</v>
      </c>
      <c r="CI248" s="6">
        <f t="shared" ca="1" si="223"/>
        <v>3.0796151607609321</v>
      </c>
      <c r="CJ248" s="1">
        <f t="shared" ca="1" si="224"/>
        <v>-0.18300117029800322</v>
      </c>
      <c r="CK248" s="38"/>
    </row>
    <row r="249" spans="55:89" x14ac:dyDescent="0.25">
      <c r="BC249">
        <v>4.31096325242597</v>
      </c>
      <c r="BD249">
        <v>-101.98808731247706</v>
      </c>
      <c r="BE249">
        <v>11.997081718120471</v>
      </c>
      <c r="BF249" s="6">
        <f t="shared" si="207"/>
        <v>3.0244985782341161</v>
      </c>
      <c r="BG249" s="6">
        <f t="shared" si="208"/>
        <v>1.286464674191854</v>
      </c>
      <c r="BH249" s="6">
        <f t="shared" si="209"/>
        <v>-0.12788458777118716</v>
      </c>
      <c r="BI249" s="6">
        <f t="shared" si="210"/>
        <v>0.12788458777118716</v>
      </c>
      <c r="BV249" s="38"/>
      <c r="BW249" s="6">
        <f t="shared" si="211"/>
        <v>4.0840704496667097</v>
      </c>
      <c r="BX249" s="9">
        <f t="shared" ca="1" si="212"/>
        <v>43.213261005605176</v>
      </c>
      <c r="BY249" s="9">
        <f t="shared" ca="1" si="213"/>
        <v>8.6447735484846078</v>
      </c>
      <c r="BZ249">
        <f t="shared" ca="1" si="214"/>
        <v>44.069468302251344</v>
      </c>
      <c r="CA249" s="6">
        <f t="shared" ca="1" si="215"/>
        <v>0.98057141759065813</v>
      </c>
      <c r="CB249" s="6">
        <f t="shared" ca="1" si="216"/>
        <v>0.19616241995919381</v>
      </c>
      <c r="CC249" s="6">
        <f t="shared" ca="1" si="217"/>
        <v>0.19744276151380041</v>
      </c>
      <c r="CD249" s="6">
        <f t="shared" ca="1" si="218"/>
        <v>-69.201249676440867</v>
      </c>
      <c r="CE249" s="9">
        <f t="shared" ca="1" si="219"/>
        <v>4.0178893417939499</v>
      </c>
      <c r="CF249">
        <f t="shared" ca="1" si="220"/>
        <v>69.317792748644337</v>
      </c>
      <c r="CG249" s="6">
        <f t="shared" ca="1" si="221"/>
        <v>-0.99831871345606649</v>
      </c>
      <c r="CH249" s="6">
        <f t="shared" ca="1" si="222"/>
        <v>5.796331912014796E-2</v>
      </c>
      <c r="CI249" s="6">
        <f t="shared" ca="1" si="223"/>
        <v>3.0835968282915553</v>
      </c>
      <c r="CJ249" s="1">
        <f t="shared" ca="1" si="224"/>
        <v>-0.18698283782862646</v>
      </c>
      <c r="CK249" s="38"/>
    </row>
    <row r="250" spans="55:89" x14ac:dyDescent="0.25">
      <c r="BC250">
        <v>4.3284165449459131</v>
      </c>
      <c r="BD250">
        <v>-100.47772071952154</v>
      </c>
      <c r="BE250">
        <v>11.741353783753608</v>
      </c>
      <c r="BF250" s="6">
        <f t="shared" si="207"/>
        <v>3.0252649345181548</v>
      </c>
      <c r="BG250" s="6">
        <f t="shared" si="208"/>
        <v>1.3031516104277583</v>
      </c>
      <c r="BH250" s="6">
        <f t="shared" si="209"/>
        <v>-0.12865094405522592</v>
      </c>
      <c r="BI250" s="6">
        <f t="shared" si="210"/>
        <v>0.12865094405522592</v>
      </c>
      <c r="BV250" s="38"/>
      <c r="BW250" s="6">
        <f t="shared" si="211"/>
        <v>4.1015237421866528</v>
      </c>
      <c r="BX250" s="9">
        <f t="shared" ca="1" si="212"/>
        <v>42.3070136935184</v>
      </c>
      <c r="BY250" s="9">
        <f t="shared" ca="1" si="213"/>
        <v>8.9762710063303004</v>
      </c>
      <c r="BZ250">
        <f t="shared" ca="1" si="214"/>
        <v>43.248778582089912</v>
      </c>
      <c r="CA250" s="6">
        <f t="shared" ca="1" si="215"/>
        <v>0.97822447432165138</v>
      </c>
      <c r="CB250" s="6">
        <f t="shared" ca="1" si="216"/>
        <v>0.20754969968209769</v>
      </c>
      <c r="CC250" s="6">
        <f t="shared" ca="1" si="217"/>
        <v>0.20906944655241044</v>
      </c>
      <c r="CD250" s="6">
        <f t="shared" ca="1" si="218"/>
        <v>-68.29500236435409</v>
      </c>
      <c r="CE250" s="9">
        <f t="shared" ca="1" si="219"/>
        <v>3.6863918839482572</v>
      </c>
      <c r="CF250">
        <f t="shared" ca="1" si="220"/>
        <v>68.394421066847045</v>
      </c>
      <c r="CG250" s="6">
        <f t="shared" ca="1" si="221"/>
        <v>-0.99854639163630343</v>
      </c>
      <c r="CH250" s="6">
        <f t="shared" ca="1" si="222"/>
        <v>5.3899014370562E-2</v>
      </c>
      <c r="CI250" s="6">
        <f t="shared" ca="1" si="223"/>
        <v>3.0876675080054179</v>
      </c>
      <c r="CJ250" s="1">
        <f t="shared" ca="1" si="224"/>
        <v>-0.191053517542489</v>
      </c>
      <c r="CK250" s="38"/>
    </row>
    <row r="251" spans="55:89" x14ac:dyDescent="0.25">
      <c r="BC251">
        <v>4.3458698374658562</v>
      </c>
      <c r="BD251">
        <v>-98.949830691057457</v>
      </c>
      <c r="BE251">
        <v>11.496117677661029</v>
      </c>
      <c r="BF251" s="6">
        <f t="shared" si="207"/>
        <v>3.0259299252286254</v>
      </c>
      <c r="BG251" s="6">
        <f t="shared" si="208"/>
        <v>1.3199399122372308</v>
      </c>
      <c r="BH251" s="6">
        <f t="shared" si="209"/>
        <v>-0.12931593476569647</v>
      </c>
      <c r="BI251" s="6">
        <f t="shared" si="210"/>
        <v>0.12931593476569647</v>
      </c>
      <c r="BV251" s="38"/>
      <c r="BW251" s="6">
        <f t="shared" si="211"/>
        <v>4.1189770347065959</v>
      </c>
      <c r="BX251" s="9">
        <f t="shared" ca="1" si="212"/>
        <v>41.382366554627822</v>
      </c>
      <c r="BY251" s="9">
        <f t="shared" ca="1" si="213"/>
        <v>9.3074063005781138</v>
      </c>
      <c r="BZ251">
        <f t="shared" ca="1" si="214"/>
        <v>42.416129876564888</v>
      </c>
      <c r="CA251" s="6">
        <f t="shared" ca="1" si="215"/>
        <v>0.9756280611893301</v>
      </c>
      <c r="CB251" s="6">
        <f t="shared" ca="1" si="216"/>
        <v>0.219430823313291</v>
      </c>
      <c r="CC251" s="6">
        <f t="shared" ca="1" si="217"/>
        <v>0.22123103702641822</v>
      </c>
      <c r="CD251" s="6">
        <f t="shared" ca="1" si="218"/>
        <v>-67.370355225463513</v>
      </c>
      <c r="CE251" s="9">
        <f t="shared" ca="1" si="219"/>
        <v>3.3552565897004438</v>
      </c>
      <c r="CF251">
        <f t="shared" ca="1" si="220"/>
        <v>67.453854671085082</v>
      </c>
      <c r="CG251" s="6">
        <f t="shared" ca="1" si="221"/>
        <v>-0.99876212492186367</v>
      </c>
      <c r="CH251" s="6">
        <f t="shared" ca="1" si="222"/>
        <v>4.9741510045069603E-2</v>
      </c>
      <c r="CI251" s="6">
        <f t="shared" ca="1" si="223"/>
        <v>3.091830608784699</v>
      </c>
      <c r="CJ251" s="1">
        <f t="shared" ca="1" si="224"/>
        <v>-0.19521661832177006</v>
      </c>
      <c r="CK251" s="38"/>
    </row>
    <row r="252" spans="55:89" x14ac:dyDescent="0.25">
      <c r="BC252">
        <v>4.3633231299857993</v>
      </c>
      <c r="BD252">
        <v>-97.405014310931008</v>
      </c>
      <c r="BE252">
        <v>11.262067597235422</v>
      </c>
      <c r="BF252" s="6">
        <f t="shared" si="207"/>
        <v>3.0264827509287708</v>
      </c>
      <c r="BG252" s="6">
        <f t="shared" si="208"/>
        <v>1.3368403790570285</v>
      </c>
      <c r="BH252" s="6">
        <f t="shared" si="209"/>
        <v>-0.12986876046584198</v>
      </c>
      <c r="BI252" s="6">
        <f t="shared" si="210"/>
        <v>0.12986876046584198</v>
      </c>
      <c r="BV252" s="38"/>
      <c r="BW252" s="6">
        <f t="shared" si="211"/>
        <v>4.136430327226539</v>
      </c>
      <c r="BX252" s="9">
        <f t="shared" ca="1" si="212"/>
        <v>40.328030705049699</v>
      </c>
      <c r="BY252" s="9">
        <f t="shared" ca="1" si="213"/>
        <v>9.6338180557960751</v>
      </c>
      <c r="BZ252">
        <f t="shared" ca="1" si="214"/>
        <v>41.462760531344429</v>
      </c>
      <c r="CA252" s="6">
        <f t="shared" ca="1" si="215"/>
        <v>0.97263255480934718</v>
      </c>
      <c r="CB252" s="6">
        <f t="shared" ca="1" si="216"/>
        <v>0.23234868909688824</v>
      </c>
      <c r="CC252" s="6">
        <f t="shared" ca="1" si="217"/>
        <v>0.23449176444630576</v>
      </c>
      <c r="CD252" s="6">
        <f t="shared" ca="1" si="218"/>
        <v>-66.316019375885389</v>
      </c>
      <c r="CE252" s="9">
        <f t="shared" ca="1" si="219"/>
        <v>3.0288448344824825</v>
      </c>
      <c r="CF252">
        <f t="shared" ca="1" si="220"/>
        <v>66.385151403715099</v>
      </c>
      <c r="CG252" s="6">
        <f t="shared" ca="1" si="221"/>
        <v>-0.99895862212606412</v>
      </c>
      <c r="CH252" s="6">
        <f t="shared" ca="1" si="222"/>
        <v>4.5625335943919834E-2</v>
      </c>
      <c r="CI252" s="6">
        <f t="shared" ca="1" si="223"/>
        <v>3.095951473307252</v>
      </c>
      <c r="CJ252" s="1">
        <f t="shared" ca="1" si="224"/>
        <v>-0.19933748284432307</v>
      </c>
      <c r="CK252" s="38"/>
    </row>
    <row r="253" spans="55:89" x14ac:dyDescent="0.25">
      <c r="BC253">
        <v>4.3807764225057424</v>
      </c>
      <c r="BD253">
        <v>-95.843894427482013</v>
      </c>
      <c r="BE253">
        <v>11.039792829062284</v>
      </c>
      <c r="BF253" s="6">
        <f t="shared" si="207"/>
        <v>3.0269129027409751</v>
      </c>
      <c r="BG253" s="6">
        <f t="shared" si="208"/>
        <v>1.3538635197647673</v>
      </c>
      <c r="BH253" s="6">
        <f t="shared" si="209"/>
        <v>-0.13029891227804624</v>
      </c>
      <c r="BI253" s="6">
        <f t="shared" si="210"/>
        <v>0.13029891227804624</v>
      </c>
      <c r="BV253" s="38"/>
      <c r="BW253" s="6">
        <f t="shared" si="211"/>
        <v>4.1538836197464821</v>
      </c>
      <c r="BX253" s="9">
        <f t="shared" ca="1" si="212"/>
        <v>39.215007233881892</v>
      </c>
      <c r="BY253" s="9">
        <f t="shared" ca="1" si="213"/>
        <v>9.9566906414383833</v>
      </c>
      <c r="BZ253">
        <f t="shared" ca="1" si="214"/>
        <v>40.459269406190664</v>
      </c>
      <c r="CA253" s="6">
        <f t="shared" ca="1" si="215"/>
        <v>0.96924654867548377</v>
      </c>
      <c r="CB253" s="6">
        <f t="shared" ca="1" si="216"/>
        <v>0.24609170624111448</v>
      </c>
      <c r="CC253" s="6">
        <f t="shared" ca="1" si="217"/>
        <v>0.24864587700705545</v>
      </c>
      <c r="CD253" s="6">
        <f t="shared" ca="1" si="218"/>
        <v>-65.202995904717582</v>
      </c>
      <c r="CE253" s="9">
        <f t="shared" ca="1" si="219"/>
        <v>2.7059722488401743</v>
      </c>
      <c r="CF253">
        <f t="shared" ca="1" si="220"/>
        <v>65.259121667105745</v>
      </c>
      <c r="CG253" s="6">
        <f t="shared" ca="1" si="221"/>
        <v>-0.999139955289707</v>
      </c>
      <c r="CH253" s="6">
        <f t="shared" ca="1" si="222"/>
        <v>4.146504242952654E-2</v>
      </c>
      <c r="CI253" s="6">
        <f t="shared" ca="1" si="223"/>
        <v>3.1001157198058595</v>
      </c>
      <c r="CJ253" s="1">
        <f t="shared" ca="1" si="224"/>
        <v>-0.20350172934293065</v>
      </c>
      <c r="CK253" s="38"/>
    </row>
    <row r="254" spans="55:89" x14ac:dyDescent="0.25">
      <c r="BC254">
        <v>4.3982297150256855</v>
      </c>
      <c r="BD254">
        <v>-94.267028689888548</v>
      </c>
      <c r="BE254">
        <v>10.829700994252523</v>
      </c>
      <c r="BF254" s="6">
        <f t="shared" si="207"/>
        <v>3.0272108715437622</v>
      </c>
      <c r="BG254" s="6">
        <f t="shared" si="208"/>
        <v>1.3710188434819233</v>
      </c>
      <c r="BH254" s="6">
        <f t="shared" si="209"/>
        <v>-0.13059688108083337</v>
      </c>
      <c r="BI254" s="6">
        <f t="shared" si="210"/>
        <v>0.13059688108083337</v>
      </c>
      <c r="BV254" s="38"/>
      <c r="BW254" s="6">
        <f t="shared" si="211"/>
        <v>4.1713369122664252</v>
      </c>
      <c r="BX254" s="9">
        <f t="shared" ca="1" si="212"/>
        <v>38.082869429215336</v>
      </c>
      <c r="BY254" s="9">
        <f t="shared" ca="1" si="213"/>
        <v>10.276984679309495</v>
      </c>
      <c r="BZ254">
        <f t="shared" ca="1" si="214"/>
        <v>39.445169007895331</v>
      </c>
      <c r="CA254" s="6">
        <f t="shared" ca="1" si="215"/>
        <v>0.96546346199182675</v>
      </c>
      <c r="CB254" s="6">
        <f t="shared" ca="1" si="216"/>
        <v>0.26053848767265914</v>
      </c>
      <c r="CC254" s="6">
        <f t="shared" ca="1" si="217"/>
        <v>0.26357991141115678</v>
      </c>
      <c r="CD254" s="6">
        <f t="shared" ca="1" si="218"/>
        <v>-64.070858100051026</v>
      </c>
      <c r="CE254" s="9">
        <f t="shared" ca="1" si="219"/>
        <v>2.3856782109690631</v>
      </c>
      <c r="CF254">
        <f t="shared" ca="1" si="220"/>
        <v>64.115258076398376</v>
      </c>
      <c r="CG254" s="6">
        <f t="shared" ca="1" si="221"/>
        <v>-0.99930749750247527</v>
      </c>
      <c r="CH254" s="6">
        <f t="shared" ca="1" si="222"/>
        <v>3.7209211700065838E-2</v>
      </c>
      <c r="CI254" s="6">
        <f t="shared" ca="1" si="223"/>
        <v>3.1043748503524715</v>
      </c>
      <c r="CJ254" s="1">
        <f t="shared" ca="1" si="224"/>
        <v>-0.20776085988954263</v>
      </c>
      <c r="CK254" s="38"/>
    </row>
    <row r="255" spans="55:89" x14ac:dyDescent="0.25">
      <c r="BC255">
        <v>4.4156830075456286</v>
      </c>
      <c r="BD255">
        <v>-92.674778064188914</v>
      </c>
      <c r="BE255">
        <v>10.631925335471175</v>
      </c>
      <c r="BF255" s="6">
        <f t="shared" si="207"/>
        <v>3.0273690542840419</v>
      </c>
      <c r="BG255" s="6">
        <f t="shared" si="208"/>
        <v>1.3883139532615867</v>
      </c>
      <c r="BH255" s="6">
        <f t="shared" si="209"/>
        <v>-0.13075506382111302</v>
      </c>
      <c r="BI255" s="6">
        <f t="shared" si="210"/>
        <v>0.13075506382111302</v>
      </c>
      <c r="BV255" s="38"/>
      <c r="BW255" s="6">
        <f t="shared" si="211"/>
        <v>4.1887902047863683</v>
      </c>
      <c r="BX255" s="9">
        <f t="shared" ca="1" si="212"/>
        <v>36.931097752822652</v>
      </c>
      <c r="BY255" s="9">
        <f t="shared" ca="1" si="213"/>
        <v>10.594298098279129</v>
      </c>
      <c r="BZ255">
        <f t="shared" ca="1" si="214"/>
        <v>38.420634214231072</v>
      </c>
      <c r="CA255" s="6">
        <f t="shared" ca="1" si="215"/>
        <v>0.96123082057670217</v>
      </c>
      <c r="CB255" s="6">
        <f t="shared" ca="1" si="216"/>
        <v>0.27574500824754689</v>
      </c>
      <c r="CC255" s="6">
        <f t="shared" ca="1" si="217"/>
        <v>0.27936467288032291</v>
      </c>
      <c r="CD255" s="6">
        <f t="shared" ca="1" si="218"/>
        <v>-62.919086423658342</v>
      </c>
      <c r="CE255" s="9">
        <f t="shared" ca="1" si="219"/>
        <v>2.0683647919994286</v>
      </c>
      <c r="CF255">
        <f t="shared" ca="1" si="220"/>
        <v>62.953074343518523</v>
      </c>
      <c r="CG255" s="6">
        <f t="shared" ca="1" si="221"/>
        <v>-0.99946010706840593</v>
      </c>
      <c r="CH255" s="6">
        <f t="shared" ca="1" si="222"/>
        <v>3.2855659768304575E-2</v>
      </c>
      <c r="CI255" s="6">
        <f t="shared" ca="1" si="223"/>
        <v>3.108731079698114</v>
      </c>
      <c r="CJ255" s="1">
        <f t="shared" ca="1" si="224"/>
        <v>-0.21211708923518513</v>
      </c>
      <c r="CK255" s="38"/>
    </row>
    <row r="256" spans="55:89" x14ac:dyDescent="0.25">
      <c r="BC256">
        <v>4.4331363000655717</v>
      </c>
      <c r="BD256">
        <v>-91.067380649103796</v>
      </c>
      <c r="BE256">
        <v>10.446413698928126</v>
      </c>
      <c r="BF256" s="6">
        <f t="shared" si="207"/>
        <v>3.0273810439768289</v>
      </c>
      <c r="BG256" s="6">
        <f t="shared" si="208"/>
        <v>1.4057552560887427</v>
      </c>
      <c r="BH256" s="6">
        <f t="shared" si="209"/>
        <v>-0.13076705351390006</v>
      </c>
      <c r="BI256" s="6">
        <f t="shared" si="210"/>
        <v>0.13076705351390006</v>
      </c>
      <c r="BV256" s="38"/>
      <c r="BW256" s="6">
        <f t="shared" si="211"/>
        <v>4.2062434973063114</v>
      </c>
      <c r="BX256" s="9">
        <f t="shared" ca="1" si="212"/>
        <v>35.759223214962162</v>
      </c>
      <c r="BY256" s="9">
        <f t="shared" ca="1" si="213"/>
        <v>10.908181123864562</v>
      </c>
      <c r="BZ256">
        <f t="shared" ca="1" si="214"/>
        <v>37.385966088473943</v>
      </c>
      <c r="CA256" s="6">
        <f t="shared" ca="1" si="215"/>
        <v>0.95648787382778633</v>
      </c>
      <c r="CB256" s="6">
        <f t="shared" ca="1" si="216"/>
        <v>0.29177208094744256</v>
      </c>
      <c r="CC256" s="6">
        <f t="shared" ca="1" si="217"/>
        <v>0.29607901124757685</v>
      </c>
      <c r="CD256" s="6">
        <f t="shared" ca="1" si="218"/>
        <v>-61.747211885797853</v>
      </c>
      <c r="CE256" s="9">
        <f t="shared" ca="1" si="219"/>
        <v>1.7544817664139956</v>
      </c>
      <c r="CF256">
        <f t="shared" ca="1" si="220"/>
        <v>61.772132729397441</v>
      </c>
      <c r="CG256" s="6">
        <f t="shared" ca="1" si="221"/>
        <v>-0.99959656818538611</v>
      </c>
      <c r="CH256" s="6">
        <f t="shared" ca="1" si="222"/>
        <v>2.8402480032537963E-2</v>
      </c>
      <c r="CI256" s="6">
        <f t="shared" ca="1" si="223"/>
        <v>3.1131863534527677</v>
      </c>
      <c r="CJ256" s="1">
        <f t="shared" ca="1" si="224"/>
        <v>-0.21657236298983884</v>
      </c>
      <c r="CK256" s="38"/>
    </row>
    <row r="257" spans="55:89" x14ac:dyDescent="0.25">
      <c r="BC257">
        <v>4.4505895925855148</v>
      </c>
      <c r="BD257">
        <v>-89.445166162898275</v>
      </c>
      <c r="BE257">
        <v>10.273108987165926</v>
      </c>
      <c r="BF257" s="6">
        <f t="shared" si="207"/>
        <v>3.0272400118624336</v>
      </c>
      <c r="BG257" s="6">
        <f t="shared" si="208"/>
        <v>1.4233495807230812</v>
      </c>
      <c r="BH257" s="6">
        <f t="shared" si="209"/>
        <v>-0.13062602139950477</v>
      </c>
      <c r="BI257" s="6">
        <f t="shared" si="210"/>
        <v>0.13062602139950477</v>
      </c>
      <c r="BV257" s="38"/>
      <c r="BW257" s="6">
        <f t="shared" si="211"/>
        <v>4.2236967898262545</v>
      </c>
      <c r="BX257" s="9">
        <f t="shared" ca="1" si="212"/>
        <v>34.566834958716001</v>
      </c>
      <c r="BY257" s="9">
        <f t="shared" ca="1" si="213"/>
        <v>11.218134850397856</v>
      </c>
      <c r="BZ257">
        <f t="shared" ca="1" si="214"/>
        <v>36.341610153993201</v>
      </c>
      <c r="CA257" s="6">
        <f t="shared" ca="1" si="215"/>
        <v>0.95116410121189443</v>
      </c>
      <c r="CB257" s="6">
        <f t="shared" ca="1" si="216"/>
        <v>0.30868568571569499</v>
      </c>
      <c r="CC257" s="6">
        <f t="shared" ca="1" si="217"/>
        <v>0.31381092652503639</v>
      </c>
      <c r="CD257" s="6">
        <f t="shared" ca="1" si="218"/>
        <v>-60.554823629551692</v>
      </c>
      <c r="CE257" s="9">
        <f t="shared" ca="1" si="219"/>
        <v>1.4445280398807014</v>
      </c>
      <c r="CF257">
        <f t="shared" ca="1" si="220"/>
        <v>60.572050700501414</v>
      </c>
      <c r="CG257" s="6">
        <f t="shared" ca="1" si="221"/>
        <v>-0.99971559373092878</v>
      </c>
      <c r="CH257" s="6">
        <f t="shared" ca="1" si="222"/>
        <v>2.3848095337289672E-2</v>
      </c>
      <c r="CI257" s="6">
        <f t="shared" ca="1" si="223"/>
        <v>3.1177422971459992</v>
      </c>
      <c r="CJ257" s="1">
        <f t="shared" ca="1" si="224"/>
        <v>-0.22112830668307024</v>
      </c>
      <c r="CK257" s="38"/>
    </row>
    <row r="258" spans="55:89" x14ac:dyDescent="0.25">
      <c r="BC258">
        <v>4.4680428851054579</v>
      </c>
      <c r="BD258">
        <v>-87.808594327678492</v>
      </c>
      <c r="BE258">
        <v>10.111967546699431</v>
      </c>
      <c r="BF258" s="6">
        <f t="shared" si="207"/>
        <v>3.0269385068061423</v>
      </c>
      <c r="BG258" s="6">
        <f t="shared" si="208"/>
        <v>1.4411043782993156</v>
      </c>
      <c r="BH258" s="6">
        <f t="shared" si="209"/>
        <v>-0.1303245163432134</v>
      </c>
      <c r="BI258" s="6">
        <f t="shared" si="210"/>
        <v>0.1303245163432134</v>
      </c>
      <c r="BV258" s="38"/>
      <c r="BW258" s="6">
        <f t="shared" si="211"/>
        <v>4.2411500823461976</v>
      </c>
      <c r="BX258" s="9">
        <f t="shared" ca="1" si="212"/>
        <v>33.353588456297629</v>
      </c>
      <c r="BY258" s="9">
        <f t="shared" ca="1" si="213"/>
        <v>11.523610584820272</v>
      </c>
      <c r="BZ258">
        <f t="shared" ca="1" si="214"/>
        <v>35.288177394456802</v>
      </c>
      <c r="CA258" s="6">
        <f t="shared" ca="1" si="215"/>
        <v>0.94517741971952718</v>
      </c>
      <c r="CB258" s="6">
        <f t="shared" ca="1" si="216"/>
        <v>0.32655726182759565</v>
      </c>
      <c r="CC258" s="6">
        <f t="shared" ca="1" si="217"/>
        <v>0.33265884695199927</v>
      </c>
      <c r="CD258" s="6">
        <f t="shared" ca="1" si="218"/>
        <v>-59.34157712713332</v>
      </c>
      <c r="CE258" s="9">
        <f t="shared" ca="1" si="219"/>
        <v>1.1390523054582857</v>
      </c>
      <c r="CF258">
        <f t="shared" ca="1" si="220"/>
        <v>59.35250808592744</v>
      </c>
      <c r="CG258" s="6">
        <f t="shared" ca="1" si="221"/>
        <v>-0.99981582987565931</v>
      </c>
      <c r="CH258" s="6">
        <f t="shared" ca="1" si="222"/>
        <v>1.9191308711153803E-2</v>
      </c>
      <c r="CI258" s="6">
        <f t="shared" ca="1" si="223"/>
        <v>3.122400166636603</v>
      </c>
      <c r="CJ258" s="1">
        <f t="shared" ca="1" si="224"/>
        <v>-0.22578617617367414</v>
      </c>
      <c r="CK258" s="38"/>
    </row>
    <row r="259" spans="55:89" x14ac:dyDescent="0.25">
      <c r="BC259">
        <v>4.485496177625401</v>
      </c>
      <c r="BD259">
        <v>-86.158270254998527</v>
      </c>
      <c r="BE259">
        <v>9.9629564134421198</v>
      </c>
      <c r="BF259" s="6">
        <f t="shared" ref="BF259:BF322" si="225">IF(BC259&lt;&gt;"",IF(AND(BD259=0,BE259=0),0,MOD(ATAN2(BD259,BE259),2*PI())),NA())</f>
        <v>3.0264684468476117</v>
      </c>
      <c r="BG259" s="6">
        <f t="shared" ref="BG259:BG322" si="226">ABS(BC259-BF259)</f>
        <v>1.4590277307777892</v>
      </c>
      <c r="BH259" s="6">
        <f t="shared" ref="BH259:BH322" si="227">ATAN2(COS($U$13-BF259),SIN($U$13-BF259))</f>
        <v>-0.12985445638468288</v>
      </c>
      <c r="BI259" s="6">
        <f t="shared" ref="BI259:BI322" si="228">ABS(BH259)</f>
        <v>0.12985445638468288</v>
      </c>
      <c r="BV259" s="38"/>
      <c r="BW259" s="6">
        <f t="shared" si="211"/>
        <v>4.2586033748661407</v>
      </c>
      <c r="BX259" s="9">
        <f t="shared" ca="1" si="212"/>
        <v>32.119214021094507</v>
      </c>
      <c r="BY259" s="9">
        <f t="shared" ca="1" si="213"/>
        <v>11.824010391898387</v>
      </c>
      <c r="BZ259">
        <f t="shared" ca="1" si="214"/>
        <v>34.226468282319097</v>
      </c>
      <c r="CA259" s="6">
        <f t="shared" ca="1" si="215"/>
        <v>0.93843202740514231</v>
      </c>
      <c r="CB259" s="6">
        <f t="shared" ca="1" si="216"/>
        <v>0.34546393435534511</v>
      </c>
      <c r="CC259" s="6">
        <f t="shared" ca="1" si="217"/>
        <v>0.3527331119657901</v>
      </c>
      <c r="CD259" s="6">
        <f t="shared" ca="1" si="218"/>
        <v>-58.107202691930198</v>
      </c>
      <c r="CE259" s="9">
        <f t="shared" ca="1" si="219"/>
        <v>0.83865249838017064</v>
      </c>
      <c r="CF259">
        <f t="shared" ca="1" si="220"/>
        <v>58.113254449343131</v>
      </c>
      <c r="CG259" s="6">
        <f t="shared" ca="1" si="221"/>
        <v>-0.99989586269999375</v>
      </c>
      <c r="CH259" s="6">
        <f t="shared" ca="1" si="222"/>
        <v>1.4431346279379646E-2</v>
      </c>
      <c r="CI259" s="6">
        <f t="shared" ca="1" si="223"/>
        <v>3.1271608063423999</v>
      </c>
      <c r="CJ259" s="1">
        <f t="shared" ca="1" si="224"/>
        <v>-0.23054681587947101</v>
      </c>
      <c r="CK259" s="38"/>
    </row>
    <row r="260" spans="55:89" x14ac:dyDescent="0.25">
      <c r="BC260">
        <v>4.5029494701453441</v>
      </c>
      <c r="BD260">
        <v>-84.494961275527317</v>
      </c>
      <c r="BE260">
        <v>9.8260502893972319</v>
      </c>
      <c r="BF260" s="6">
        <f t="shared" si="225"/>
        <v>3.0258211189291875</v>
      </c>
      <c r="BG260" s="6">
        <f t="shared" si="226"/>
        <v>1.4771283512161566</v>
      </c>
      <c r="BH260" s="6">
        <f t="shared" si="227"/>
        <v>-0.12920712846625859</v>
      </c>
      <c r="BI260" s="6">
        <f t="shared" si="228"/>
        <v>0.12920712846625859</v>
      </c>
      <c r="BV260" s="38"/>
      <c r="BW260" s="6">
        <f t="shared" si="211"/>
        <v>4.2760566673860838</v>
      </c>
      <c r="BX260" s="9">
        <f t="shared" ca="1" si="212"/>
        <v>30.863582550434472</v>
      </c>
      <c r="BY260" s="9">
        <f t="shared" ca="1" si="213"/>
        <v>12.118693334000842</v>
      </c>
      <c r="BZ260">
        <f t="shared" ca="1" si="214"/>
        <v>33.157555036085512</v>
      </c>
      <c r="CA260" s="6">
        <f t="shared" ca="1" si="215"/>
        <v>0.93081599402746973</v>
      </c>
      <c r="CB260" s="6">
        <f t="shared" ca="1" si="216"/>
        <v>0.36548814654192729</v>
      </c>
      <c r="CC260" s="6">
        <f t="shared" ca="1" si="217"/>
        <v>0.37415717772990048</v>
      </c>
      <c r="CD260" s="6">
        <f t="shared" ca="1" si="218"/>
        <v>-56.851571221270163</v>
      </c>
      <c r="CE260" s="9">
        <f t="shared" ca="1" si="219"/>
        <v>0.54396955627771604</v>
      </c>
      <c r="CF260">
        <f t="shared" ca="1" si="220"/>
        <v>56.854173577718207</v>
      </c>
      <c r="CG260" s="6">
        <f t="shared" ca="1" si="221"/>
        <v>-0.99995422752131846</v>
      </c>
      <c r="CH260" s="6">
        <f t="shared" ca="1" si="222"/>
        <v>9.5678034178814254E-3</v>
      </c>
      <c r="CI260" s="6">
        <f t="shared" ca="1" si="223"/>
        <v>3.1320247041885461</v>
      </c>
      <c r="CJ260" s="1">
        <f t="shared" ca="1" si="224"/>
        <v>-0.23541071372561717</v>
      </c>
      <c r="CK260" s="38"/>
    </row>
    <row r="261" spans="55:89" x14ac:dyDescent="0.25">
      <c r="BC261">
        <v>4.5204027626652872</v>
      </c>
      <c r="BD261">
        <v>-82.819615237491305</v>
      </c>
      <c r="BE261">
        <v>9.7012282070198133</v>
      </c>
      <c r="BF261" s="6">
        <f t="shared" si="225"/>
        <v>3.0249871899165282</v>
      </c>
      <c r="BG261" s="6">
        <f t="shared" si="226"/>
        <v>1.495415572748759</v>
      </c>
      <c r="BH261" s="6">
        <f t="shared" si="227"/>
        <v>-0.12837319945359926</v>
      </c>
      <c r="BI261" s="6">
        <f t="shared" si="228"/>
        <v>0.12837319945359926</v>
      </c>
      <c r="BV261" s="38"/>
      <c r="BW261" s="6">
        <f t="shared" si="211"/>
        <v>4.2935099599060269</v>
      </c>
      <c r="BX261" s="9">
        <f t="shared" ca="1" si="212"/>
        <v>29.492421887129325</v>
      </c>
      <c r="BY261" s="9">
        <f t="shared" ca="1" si="213"/>
        <v>12.400107344563875</v>
      </c>
      <c r="BZ261">
        <f t="shared" ca="1" si="214"/>
        <v>31.993211950742484</v>
      </c>
      <c r="CA261" s="6">
        <f t="shared" ca="1" si="215"/>
        <v>0.92183372937161057</v>
      </c>
      <c r="CB261" s="6">
        <f t="shared" ca="1" si="216"/>
        <v>0.38758557170362817</v>
      </c>
      <c r="CC261" s="6">
        <f t="shared" ca="1" si="217"/>
        <v>0.39801098784694866</v>
      </c>
      <c r="CD261" s="6">
        <f t="shared" ca="1" si="218"/>
        <v>-55.480410557965016</v>
      </c>
      <c r="CE261" s="9">
        <f t="shared" ca="1" si="219"/>
        <v>0.26255554571468309</v>
      </c>
      <c r="CF261">
        <f t="shared" ca="1" si="220"/>
        <v>55.481031813539133</v>
      </c>
      <c r="CG261" s="6">
        <f t="shared" ca="1" si="221"/>
        <v>-0.99998880237887056</v>
      </c>
      <c r="CH261" s="6">
        <f t="shared" ca="1" si="222"/>
        <v>4.7323479238288281E-3</v>
      </c>
      <c r="CI261" s="6">
        <f t="shared" ca="1" si="223"/>
        <v>3.1368602880022056</v>
      </c>
      <c r="CJ261" s="1">
        <f t="shared" ca="1" si="224"/>
        <v>-0.24024629753927673</v>
      </c>
      <c r="CK261" s="38"/>
    </row>
    <row r="262" spans="55:89" x14ac:dyDescent="0.25">
      <c r="BC262">
        <v>4.5378560551852303</v>
      </c>
      <c r="BD262">
        <v>-81.133380266885382</v>
      </c>
      <c r="BE262">
        <v>9.5884698223477667</v>
      </c>
      <c r="BF262" s="6">
        <f t="shared" si="225"/>
        <v>3.0239567329867265</v>
      </c>
      <c r="BG262" s="6">
        <f t="shared" si="226"/>
        <v>1.5138993221985038</v>
      </c>
      <c r="BH262" s="6">
        <f t="shared" si="227"/>
        <v>-0.1273427425237976</v>
      </c>
      <c r="BI262" s="6">
        <f t="shared" si="228"/>
        <v>0.1273427425237976</v>
      </c>
      <c r="BV262" s="38"/>
      <c r="BW262" s="6">
        <f t="shared" si="211"/>
        <v>4.31096325242597</v>
      </c>
      <c r="BX262" s="9">
        <f t="shared" ca="1" si="212"/>
        <v>28.000098641641372</v>
      </c>
      <c r="BY262" s="9">
        <f t="shared" ca="1" si="213"/>
        <v>12.665581172158086</v>
      </c>
      <c r="BZ262">
        <f t="shared" ca="1" si="214"/>
        <v>30.731457342114002</v>
      </c>
      <c r="CA262" s="6">
        <f t="shared" ca="1" si="215"/>
        <v>0.91112173203938462</v>
      </c>
      <c r="CB262" s="6">
        <f t="shared" ca="1" si="216"/>
        <v>0.41213734289136145</v>
      </c>
      <c r="CC262" s="6">
        <f t="shared" ca="1" si="217"/>
        <v>0.42479865785152549</v>
      </c>
      <c r="CD262" s="6">
        <f t="shared" ca="1" si="218"/>
        <v>-53.988087312477063</v>
      </c>
      <c r="CE262" s="9">
        <f t="shared" ca="1" si="219"/>
        <v>-2.9182818795288057E-3</v>
      </c>
      <c r="CF262">
        <f t="shared" ca="1" si="220"/>
        <v>53.98808739134973</v>
      </c>
      <c r="CG262" s="6">
        <f t="shared" ca="1" si="221"/>
        <v>-0.99999999853907273</v>
      </c>
      <c r="CH262" s="6">
        <f t="shared" ca="1" si="222"/>
        <v>-5.4054181589629511E-5</v>
      </c>
      <c r="CI262" s="6">
        <f t="shared" ca="1" si="223"/>
        <v>-3.141538599408177</v>
      </c>
      <c r="CJ262" s="1">
        <f t="shared" ca="1" si="224"/>
        <v>-0.24503271730848056</v>
      </c>
      <c r="CK262" s="38"/>
    </row>
    <row r="263" spans="55:89" x14ac:dyDescent="0.25">
      <c r="BC263">
        <v>4.5553093477051734</v>
      </c>
      <c r="BD263">
        <v>-79.437625935761943</v>
      </c>
      <c r="BE263">
        <v>9.487751280326771</v>
      </c>
      <c r="BF263" s="6">
        <f t="shared" si="225"/>
        <v>3.0227192743924003</v>
      </c>
      <c r="BG263" s="6">
        <f t="shared" si="226"/>
        <v>1.5325900733127731</v>
      </c>
      <c r="BH263" s="6">
        <f t="shared" si="227"/>
        <v>-0.1261052839294714</v>
      </c>
      <c r="BI263" s="6">
        <f t="shared" si="228"/>
        <v>0.1261052839294714</v>
      </c>
      <c r="BV263" s="38"/>
      <c r="BW263" s="6">
        <f t="shared" si="211"/>
        <v>4.3284165449459131</v>
      </c>
      <c r="BX263" s="9">
        <f t="shared" ca="1" si="212"/>
        <v>26.489732048685852</v>
      </c>
      <c r="BY263" s="9">
        <f t="shared" ca="1" si="213"/>
        <v>12.92130910652495</v>
      </c>
      <c r="BZ263">
        <f t="shared" ca="1" si="214"/>
        <v>29.47314257145883</v>
      </c>
      <c r="CA263" s="6">
        <f t="shared" ca="1" si="215"/>
        <v>0.89877528276668905</v>
      </c>
      <c r="CB263" s="6">
        <f t="shared" ca="1" si="216"/>
        <v>0.43840961564233305</v>
      </c>
      <c r="CC263" s="6">
        <f t="shared" ca="1" si="217"/>
        <v>0.45382840648606304</v>
      </c>
      <c r="CD263" s="6">
        <f t="shared" ca="1" si="218"/>
        <v>-52.477720719521542</v>
      </c>
      <c r="CE263" s="9">
        <f t="shared" ca="1" si="219"/>
        <v>-0.25864621624639206</v>
      </c>
      <c r="CF263">
        <f t="shared" ca="1" si="220"/>
        <v>52.478358108664935</v>
      </c>
      <c r="CG263" s="6">
        <f t="shared" ca="1" si="221"/>
        <v>-0.99998785424761061</v>
      </c>
      <c r="CH263" s="6">
        <f t="shared" ca="1" si="222"/>
        <v>-4.9286263055491027E-3</v>
      </c>
      <c r="CI263" s="6">
        <f t="shared" ca="1" si="223"/>
        <v>-3.136664007330189</v>
      </c>
      <c r="CJ263" s="1">
        <f t="shared" ca="1" si="224"/>
        <v>-0.24990730938646902</v>
      </c>
      <c r="CK263" s="38"/>
    </row>
    <row r="264" spans="55:89" x14ac:dyDescent="0.25">
      <c r="BC264">
        <v>4.5727626402251165</v>
      </c>
      <c r="BD264">
        <v>-77.733965726978639</v>
      </c>
      <c r="BE264">
        <v>9.3990406055563067</v>
      </c>
      <c r="BF264" s="6">
        <f t="shared" si="225"/>
        <v>3.0212638666295071</v>
      </c>
      <c r="BG264" s="6">
        <f t="shared" si="226"/>
        <v>1.5514987735956094</v>
      </c>
      <c r="BH264" s="6">
        <f t="shared" si="227"/>
        <v>-0.12464987616657817</v>
      </c>
      <c r="BI264" s="6">
        <f t="shared" si="228"/>
        <v>0.12464987616657817</v>
      </c>
      <c r="BV264" s="38"/>
      <c r="BW264" s="6">
        <f t="shared" si="211"/>
        <v>4.3458698374658562</v>
      </c>
      <c r="BX264" s="9">
        <f t="shared" ca="1" si="212"/>
        <v>24.961842020221766</v>
      </c>
      <c r="BY264" s="9">
        <f t="shared" ca="1" si="213"/>
        <v>13.166545212617528</v>
      </c>
      <c r="BZ264">
        <f t="shared" ca="1" si="214"/>
        <v>28.221471787956251</v>
      </c>
      <c r="CA264" s="6">
        <f t="shared" ca="1" si="215"/>
        <v>0.88449823622857404</v>
      </c>
      <c r="CB264" s="6">
        <f t="shared" ca="1" si="216"/>
        <v>0.4665435350624223</v>
      </c>
      <c r="CC264" s="6">
        <f t="shared" ca="1" si="217"/>
        <v>0.48537890649995985</v>
      </c>
      <c r="CD264" s="6">
        <f t="shared" ca="1" si="218"/>
        <v>-50.949830691057457</v>
      </c>
      <c r="CE264" s="9">
        <f t="shared" ca="1" si="219"/>
        <v>-0.50388232233897057</v>
      </c>
      <c r="CF264">
        <f t="shared" ca="1" si="220"/>
        <v>50.952322271337017</v>
      </c>
      <c r="CG264" s="6">
        <f t="shared" ca="1" si="221"/>
        <v>-0.99995109976997143</v>
      </c>
      <c r="CH264" s="6">
        <f t="shared" ca="1" si="222"/>
        <v>-9.8892906128132882E-3</v>
      </c>
      <c r="CI264" s="6">
        <f t="shared" ca="1" si="223"/>
        <v>-3.1317032017776314</v>
      </c>
      <c r="CJ264" s="1">
        <f t="shared" ca="1" si="224"/>
        <v>-0.25486811493902573</v>
      </c>
      <c r="CK264" s="38"/>
    </row>
    <row r="265" spans="55:89" x14ac:dyDescent="0.25">
      <c r="BC265">
        <v>4.5902159327450596</v>
      </c>
      <c r="BD265">
        <v>-76.02428060068145</v>
      </c>
      <c r="BE265">
        <v>9.3222925524865232</v>
      </c>
      <c r="BF265" s="6">
        <f t="shared" si="225"/>
        <v>3.0195791955861302</v>
      </c>
      <c r="BG265" s="6">
        <f t="shared" si="226"/>
        <v>1.5706367371589294</v>
      </c>
      <c r="BH265" s="6">
        <f t="shared" si="227"/>
        <v>-0.1229652051232013</v>
      </c>
      <c r="BI265" s="6">
        <f t="shared" si="228"/>
        <v>0.1229652051232013</v>
      </c>
      <c r="BV265" s="38"/>
      <c r="BW265" s="6">
        <f t="shared" si="211"/>
        <v>4.3633231299857993</v>
      </c>
      <c r="BX265" s="9">
        <f t="shared" ca="1" si="212"/>
        <v>23.417025640095318</v>
      </c>
      <c r="BY265" s="9">
        <f t="shared" ca="1" si="213"/>
        <v>13.400595293043136</v>
      </c>
      <c r="BZ265">
        <f t="shared" ca="1" si="214"/>
        <v>26.980234321384447</v>
      </c>
      <c r="CA265" s="6">
        <f t="shared" ca="1" si="215"/>
        <v>0.86793262657229997</v>
      </c>
      <c r="CB265" s="6">
        <f t="shared" ca="1" si="216"/>
        <v>0.4966819462506249</v>
      </c>
      <c r="CC265" s="6">
        <f t="shared" ca="1" si="217"/>
        <v>0.5197716360236101</v>
      </c>
      <c r="CD265" s="6">
        <f t="shared" ca="1" si="218"/>
        <v>-49.405014310931008</v>
      </c>
      <c r="CE265" s="9">
        <f t="shared" ca="1" si="219"/>
        <v>-0.73793240276457794</v>
      </c>
      <c r="CF265">
        <f t="shared" ca="1" si="220"/>
        <v>49.410525025487708</v>
      </c>
      <c r="CG265" s="6">
        <f t="shared" ca="1" si="221"/>
        <v>-0.99988847083584198</v>
      </c>
      <c r="CH265" s="6">
        <f t="shared" ca="1" si="222"/>
        <v>-1.4934720940203046E-2</v>
      </c>
      <c r="CI265" s="6">
        <f t="shared" ca="1" si="223"/>
        <v>-3.1266573774058384</v>
      </c>
      <c r="CJ265" s="1">
        <f t="shared" ca="1" si="224"/>
        <v>-0.25991393931081874</v>
      </c>
      <c r="CK265" s="38"/>
    </row>
    <row r="266" spans="55:89" x14ac:dyDescent="0.25">
      <c r="BC266">
        <v>4.6076692252650027</v>
      </c>
      <c r="BD266">
        <v>-74.310743371810986</v>
      </c>
      <c r="BE266">
        <v>9.2574428809686857</v>
      </c>
      <c r="BF266" s="6">
        <f t="shared" si="225"/>
        <v>3.0176537303637065</v>
      </c>
      <c r="BG266" s="6">
        <f t="shared" si="226"/>
        <v>1.5900154949012961</v>
      </c>
      <c r="BH266" s="6">
        <f t="shared" si="227"/>
        <v>-0.12103973990077767</v>
      </c>
      <c r="BI266" s="6">
        <f t="shared" si="228"/>
        <v>0.12103973990077767</v>
      </c>
      <c r="BV266" s="38"/>
      <c r="BW266" s="6">
        <f t="shared" si="211"/>
        <v>4.3807764225057424</v>
      </c>
      <c r="BX266" s="9">
        <f t="shared" ca="1" si="212"/>
        <v>21.855905756646322</v>
      </c>
      <c r="BY266" s="9">
        <f t="shared" ca="1" si="213"/>
        <v>13.622870061216274</v>
      </c>
      <c r="BZ266">
        <f t="shared" ca="1" si="214"/>
        <v>25.753896892474128</v>
      </c>
      <c r="CA266" s="6">
        <f t="shared" ca="1" si="215"/>
        <v>0.84864460892646942</v>
      </c>
      <c r="CB266" s="6">
        <f t="shared" ca="1" si="216"/>
        <v>0.52896344650650462</v>
      </c>
      <c r="CC266" s="6">
        <f t="shared" ca="1" si="217"/>
        <v>0.55737867738820601</v>
      </c>
      <c r="CD266" s="6">
        <f t="shared" ca="1" si="218"/>
        <v>-47.843894427482013</v>
      </c>
      <c r="CE266" s="9">
        <f t="shared" ca="1" si="219"/>
        <v>-0.96020717093771601</v>
      </c>
      <c r="CF266">
        <f t="shared" ca="1" si="220"/>
        <v>47.853528937782265</v>
      </c>
      <c r="CG266" s="6">
        <f t="shared" ca="1" si="221"/>
        <v>-0.99979866667069051</v>
      </c>
      <c r="CH266" s="6">
        <f t="shared" ca="1" si="222"/>
        <v>-2.0065545681827328E-2</v>
      </c>
      <c r="CI266" s="6">
        <f t="shared" ca="1" si="223"/>
        <v>-3.1215257611784697</v>
      </c>
      <c r="CJ266" s="1">
        <f t="shared" ca="1" si="224"/>
        <v>-0.26504555553818787</v>
      </c>
      <c r="CK266" s="38"/>
    </row>
    <row r="267" spans="55:89" x14ac:dyDescent="0.25">
      <c r="BC267">
        <v>4.6251225177849458</v>
      </c>
      <c r="BD267">
        <v>-72.59584346960834</v>
      </c>
      <c r="BE267">
        <v>9.2044019995583319</v>
      </c>
      <c r="BF267" s="6">
        <f t="shared" si="225"/>
        <v>3.0154759263684996</v>
      </c>
      <c r="BG267" s="6">
        <f t="shared" si="226"/>
        <v>1.6096465914164462</v>
      </c>
      <c r="BH267" s="6">
        <f t="shared" si="227"/>
        <v>-0.11886193590557072</v>
      </c>
      <c r="BI267" s="6">
        <f t="shared" si="228"/>
        <v>0.11886193590557072</v>
      </c>
      <c r="BV267" s="38"/>
      <c r="BW267" s="6">
        <f t="shared" si="211"/>
        <v>4.3982297150256855</v>
      </c>
      <c r="BX267" s="9">
        <f t="shared" ca="1" si="212"/>
        <v>20.279040019052857</v>
      </c>
      <c r="BY267" s="9">
        <f t="shared" ca="1" si="213"/>
        <v>13.832961896026035</v>
      </c>
      <c r="BZ267">
        <f t="shared" ca="1" si="214"/>
        <v>24.547714739080202</v>
      </c>
      <c r="CA267" s="6">
        <f t="shared" ca="1" si="215"/>
        <v>0.82610704232962373</v>
      </c>
      <c r="CB267" s="6">
        <f t="shared" ca="1" si="216"/>
        <v>0.56351322487888555</v>
      </c>
      <c r="CC267" s="6">
        <f t="shared" ca="1" si="217"/>
        <v>0.59863240986879362</v>
      </c>
      <c r="CD267" s="6">
        <f t="shared" ca="1" si="218"/>
        <v>-46.267028689888548</v>
      </c>
      <c r="CE267" s="9">
        <f t="shared" ca="1" si="219"/>
        <v>-1.1702990057474771</v>
      </c>
      <c r="CF267">
        <f t="shared" ca="1" si="220"/>
        <v>46.281827357547407</v>
      </c>
      <c r="CG267" s="6">
        <f t="shared" ca="1" si="221"/>
        <v>-0.99968024884703599</v>
      </c>
      <c r="CH267" s="6">
        <f t="shared" ca="1" si="222"/>
        <v>-2.5286361247286202E-2</v>
      </c>
      <c r="CI267" s="6">
        <f t="shared" ca="1" si="223"/>
        <v>-3.1163035968833657</v>
      </c>
      <c r="CJ267" s="1">
        <f t="shared" ca="1" si="224"/>
        <v>-0.27026771983329234</v>
      </c>
      <c r="CK267" s="38"/>
    </row>
    <row r="268" spans="55:89" x14ac:dyDescent="0.25">
      <c r="BC268">
        <v>4.6425758103048889</v>
      </c>
      <c r="BD268">
        <v>-70.882411498820872</v>
      </c>
      <c r="BE268">
        <v>9.1630479655816526</v>
      </c>
      <c r="BF268" s="6">
        <f t="shared" si="225"/>
        <v>3.0130344933633966</v>
      </c>
      <c r="BG268" s="6">
        <f t="shared" si="226"/>
        <v>1.6295413169414923</v>
      </c>
      <c r="BH268" s="6">
        <f t="shared" si="227"/>
        <v>-0.11642050290046768</v>
      </c>
      <c r="BI268" s="6">
        <f t="shared" si="228"/>
        <v>0.11642050290046768</v>
      </c>
      <c r="BV268" s="38"/>
      <c r="BW268" s="6">
        <f t="shared" si="211"/>
        <v>4.4156830075456286</v>
      </c>
      <c r="BX268" s="9">
        <f t="shared" ca="1" si="212"/>
        <v>18.686789393353223</v>
      </c>
      <c r="BY268" s="9">
        <f t="shared" ca="1" si="213"/>
        <v>14.030737554807382</v>
      </c>
      <c r="BZ268">
        <f t="shared" ca="1" si="214"/>
        <v>23.367877399614642</v>
      </c>
      <c r="CA268" s="6">
        <f t="shared" ca="1" si="215"/>
        <v>0.79967851053777717</v>
      </c>
      <c r="CB268" s="6">
        <f t="shared" ca="1" si="216"/>
        <v>0.6004284135382687</v>
      </c>
      <c r="CC268" s="6">
        <f t="shared" ca="1" si="217"/>
        <v>0.6440367333268443</v>
      </c>
      <c r="CD268" s="6">
        <f t="shared" ca="1" si="218"/>
        <v>-44.674778064188914</v>
      </c>
      <c r="CE268" s="9">
        <f t="shared" ca="1" si="219"/>
        <v>-1.3680746645288249</v>
      </c>
      <c r="CF268">
        <f t="shared" ca="1" si="220"/>
        <v>44.695720414512401</v>
      </c>
      <c r="CG268" s="6">
        <f t="shared" ca="1" si="221"/>
        <v>-0.9995314461847965</v>
      </c>
      <c r="CH268" s="6">
        <f t="shared" ca="1" si="222"/>
        <v>-3.0608627668178724E-2</v>
      </c>
      <c r="CI268" s="6">
        <f t="shared" ca="1" si="223"/>
        <v>-3.1109792444290236</v>
      </c>
      <c r="CJ268" s="1">
        <f t="shared" ca="1" si="224"/>
        <v>-0.27559207228763355</v>
      </c>
      <c r="CK268" s="38"/>
    </row>
    <row r="269" spans="55:89" x14ac:dyDescent="0.25">
      <c r="BC269">
        <v>4.660029102824832</v>
      </c>
      <c r="BD269">
        <v>-69.173642809511875</v>
      </c>
      <c r="BE269">
        <v>9.1332188174191611</v>
      </c>
      <c r="BF269" s="6">
        <f t="shared" si="225"/>
        <v>3.0103187418753792</v>
      </c>
      <c r="BG269" s="6">
        <f t="shared" si="226"/>
        <v>1.6497103609494528</v>
      </c>
      <c r="BH269" s="6">
        <f t="shared" si="227"/>
        <v>-0.11370475141245028</v>
      </c>
      <c r="BI269" s="6">
        <f t="shared" si="228"/>
        <v>0.11370475141245028</v>
      </c>
      <c r="BV269" s="38"/>
      <c r="BW269" s="6">
        <f t="shared" si="211"/>
        <v>4.4331363000655717</v>
      </c>
      <c r="BX269" s="9">
        <f t="shared" ca="1" si="212"/>
        <v>17.079391978268106</v>
      </c>
      <c r="BY269" s="9">
        <f t="shared" ca="1" si="213"/>
        <v>14.216249191350432</v>
      </c>
      <c r="BZ269">
        <f t="shared" ca="1" si="214"/>
        <v>22.221776963553133</v>
      </c>
      <c r="CA269" s="6">
        <f t="shared" ca="1" si="215"/>
        <v>0.76858803894399319</v>
      </c>
      <c r="CB269" s="6">
        <f t="shared" ca="1" si="216"/>
        <v>0.63974403193169915</v>
      </c>
      <c r="CC269" s="6">
        <f t="shared" ca="1" si="217"/>
        <v>0.69416518269002658</v>
      </c>
      <c r="CD269" s="6">
        <f t="shared" ca="1" si="218"/>
        <v>-43.067380649103796</v>
      </c>
      <c r="CE269" s="9">
        <f t="shared" ca="1" si="219"/>
        <v>-1.5535863010718742</v>
      </c>
      <c r="CF269">
        <f t="shared" ca="1" si="220"/>
        <v>43.095393099143187</v>
      </c>
      <c r="CG269" s="6">
        <f t="shared" ca="1" si="221"/>
        <v>-0.99934998968509359</v>
      </c>
      <c r="CH269" s="6">
        <f t="shared" ca="1" si="222"/>
        <v>-3.6049939201105982E-2</v>
      </c>
      <c r="CI269" s="6">
        <f t="shared" ca="1" si="223"/>
        <v>-3.1055349014131326</v>
      </c>
      <c r="CJ269" s="1">
        <f t="shared" ca="1" si="224"/>
        <v>-0.28103641530352541</v>
      </c>
      <c r="CK269" s="38"/>
    </row>
    <row r="270" spans="55:89" x14ac:dyDescent="0.25">
      <c r="BC270">
        <v>4.6774823953447751</v>
      </c>
      <c r="BD270">
        <v>-67.473119047956246</v>
      </c>
      <c r="BE270">
        <v>9.1147042669657026</v>
      </c>
      <c r="BF270" s="6">
        <f t="shared" si="225"/>
        <v>3.0073190218604604</v>
      </c>
      <c r="BG270" s="6">
        <f t="shared" si="226"/>
        <v>1.6701633734843147</v>
      </c>
      <c r="BH270" s="6">
        <f t="shared" si="227"/>
        <v>-0.11070503139753152</v>
      </c>
      <c r="BI270" s="6">
        <f t="shared" si="228"/>
        <v>0.11070503139753152</v>
      </c>
      <c r="BV270" s="38"/>
      <c r="BW270" s="6">
        <f t="shared" si="211"/>
        <v>4.4505895925855148</v>
      </c>
      <c r="BX270" s="9">
        <f t="shared" ca="1" si="212"/>
        <v>15.457177492062584</v>
      </c>
      <c r="BY270" s="9">
        <f t="shared" ca="1" si="213"/>
        <v>14.389553903112631</v>
      </c>
      <c r="BZ270">
        <f t="shared" ca="1" si="214"/>
        <v>21.118323739153876</v>
      </c>
      <c r="CA270" s="6">
        <f t="shared" ca="1" si="215"/>
        <v>0.73193202656537593</v>
      </c>
      <c r="CB270" s="6">
        <f t="shared" ca="1" si="216"/>
        <v>0.68137765481992563</v>
      </c>
      <c r="CC270" s="6">
        <f t="shared" ca="1" si="217"/>
        <v>0.74964320651412919</v>
      </c>
      <c r="CD270" s="6">
        <f t="shared" ca="1" si="218"/>
        <v>-41.445166162898275</v>
      </c>
      <c r="CE270" s="9">
        <f t="shared" ca="1" si="219"/>
        <v>-1.7268910128340735</v>
      </c>
      <c r="CF270">
        <f t="shared" ca="1" si="220"/>
        <v>41.481127646683561</v>
      </c>
      <c r="CG270" s="6">
        <f t="shared" ca="1" si="221"/>
        <v>-0.99913306397811585</v>
      </c>
      <c r="CH270" s="6">
        <f t="shared" ca="1" si="222"/>
        <v>-4.1630763453272213E-2</v>
      </c>
      <c r="CI270" s="6">
        <f t="shared" ca="1" si="223"/>
        <v>-3.0999498555603155</v>
      </c>
      <c r="CJ270" s="1">
        <f t="shared" ca="1" si="224"/>
        <v>-0.28662146115634202</v>
      </c>
      <c r="CK270" s="38"/>
    </row>
    <row r="271" spans="55:89" x14ac:dyDescent="0.25">
      <c r="BC271">
        <v>4.6949356878647182</v>
      </c>
      <c r="BD271">
        <v>-65.784826366986181</v>
      </c>
      <c r="BE271">
        <v>9.1072368098342675</v>
      </c>
      <c r="BF271" s="6">
        <f t="shared" si="225"/>
        <v>3.0040272675359874</v>
      </c>
      <c r="BG271" s="6">
        <f t="shared" si="226"/>
        <v>1.6909084203287308</v>
      </c>
      <c r="BH271" s="6">
        <f t="shared" si="227"/>
        <v>-0.10741327707305848</v>
      </c>
      <c r="BI271" s="6">
        <f t="shared" si="228"/>
        <v>0.10741327707305848</v>
      </c>
      <c r="BV271" s="38"/>
      <c r="BW271" s="6">
        <f t="shared" ref="BW271:BW334" si="229">BC258</f>
        <v>4.4680428851054579</v>
      </c>
      <c r="BX271" s="9">
        <f t="shared" ca="1" si="212"/>
        <v>13.820605656842801</v>
      </c>
      <c r="BY271" s="9">
        <f t="shared" ca="1" si="213"/>
        <v>14.550695343579127</v>
      </c>
      <c r="BZ271">
        <f t="shared" ca="1" si="214"/>
        <v>20.068180677470753</v>
      </c>
      <c r="CA271" s="6">
        <f t="shared" ca="1" si="215"/>
        <v>0.68868254073266844</v>
      </c>
      <c r="CB271" s="6">
        <f t="shared" ca="1" si="216"/>
        <v>0.72506300284181968</v>
      </c>
      <c r="CC271" s="6">
        <f t="shared" ca="1" si="217"/>
        <v>0.81112587302326533</v>
      </c>
      <c r="CD271" s="6">
        <f t="shared" ca="1" si="218"/>
        <v>-39.808594327678492</v>
      </c>
      <c r="CE271" s="9">
        <f t="shared" ca="1" si="219"/>
        <v>-1.8880324533005695</v>
      </c>
      <c r="CF271">
        <f t="shared" ca="1" si="220"/>
        <v>39.853341753112652</v>
      </c>
      <c r="CG271" s="6">
        <f t="shared" ca="1" si="221"/>
        <v>-0.99887719765857108</v>
      </c>
      <c r="CH271" s="6">
        <f t="shared" ca="1" si="222"/>
        <v>-4.737450788936938E-2</v>
      </c>
      <c r="CI271" s="6">
        <f t="shared" ca="1" si="223"/>
        <v>-3.0942004069972175</v>
      </c>
      <c r="CJ271" s="1">
        <f t="shared" ca="1" si="224"/>
        <v>-0.29237090971943958</v>
      </c>
      <c r="CK271" s="38"/>
    </row>
    <row r="272" spans="55:89" x14ac:dyDescent="0.25">
      <c r="BC272">
        <v>4.7123889803846613</v>
      </c>
      <c r="BD272">
        <v>-64.113168623315389</v>
      </c>
      <c r="BE272">
        <v>9.1104823537370514</v>
      </c>
      <c r="BF272" s="6">
        <f t="shared" si="225"/>
        <v>3.0004376608089225</v>
      </c>
      <c r="BG272" s="6">
        <f t="shared" si="226"/>
        <v>1.7119513195757388</v>
      </c>
      <c r="BH272" s="6">
        <f t="shared" si="227"/>
        <v>-0.1038236703459936</v>
      </c>
      <c r="BI272" s="6">
        <f t="shared" si="228"/>
        <v>0.1038236703459936</v>
      </c>
      <c r="BV272" s="38"/>
      <c r="BW272" s="6">
        <f t="shared" si="229"/>
        <v>4.485496177625401</v>
      </c>
      <c r="BX272" s="9">
        <f t="shared" ref="BX272:BX335" ca="1" si="230">$BW$5-BD259</f>
        <v>12.170281584162836</v>
      </c>
      <c r="BY272" s="9">
        <f t="shared" ref="BY272:BY335" ca="1" si="231">$BX$5-BE259</f>
        <v>14.699706476836438</v>
      </c>
      <c r="BZ272">
        <f t="shared" ref="BZ272:BZ335" ca="1" si="232">SQRT(POWER(BX272,2)+POWER(BY272,2))</f>
        <v>19.083949390599425</v>
      </c>
      <c r="CA272" s="6">
        <f t="shared" ref="CA272:CA335" ca="1" si="233">BX272/BZ272</f>
        <v>0.63772342585218778</v>
      </c>
      <c r="CB272" s="6">
        <f t="shared" ref="CB272:CB335" ca="1" si="234">BY272/BZ272</f>
        <v>0.77026542965353784</v>
      </c>
      <c r="CC272" s="6">
        <f t="shared" ref="CC272:CC335" ca="1" si="235">ATAN2(CA272,CB272)</f>
        <v>0.87925726148314753</v>
      </c>
      <c r="CD272" s="6">
        <f t="shared" ref="CD272:CD335" ca="1" si="236">$BW$9-BX272</f>
        <v>-38.158270254998527</v>
      </c>
      <c r="CE272" s="9">
        <f t="shared" ref="CE272:CE335" ca="1" si="237">$BX$9-BY272</f>
        <v>-2.0370435865578802</v>
      </c>
      <c r="CF272">
        <f t="shared" ref="CF272:CF335" ca="1" si="238">SQRT(POWER(CD272,2)+POWER(CE272,2))</f>
        <v>38.212604405183399</v>
      </c>
      <c r="CG272" s="6">
        <f t="shared" ref="CG272:CG335" ca="1" si="239">CD272/CF272</f>
        <v>-0.99857810921211376</v>
      </c>
      <c r="CH272" s="6">
        <f t="shared" ref="CH272:CH335" ca="1" si="240">CE272/CF272</f>
        <v>-5.3308158872352671E-2</v>
      </c>
      <c r="CI272" s="6">
        <f t="shared" ref="CI272:CI335" ca="1" si="241">ATAN2(CG272,CH272)</f>
        <v>-3.0882592142117358</v>
      </c>
      <c r="CJ272" s="1">
        <f t="shared" ref="CJ272:CJ335" ca="1" si="242">ATAN2(COS($U$13-CI272),SIN($U$13-CI272))</f>
        <v>-0.29831210250492141</v>
      </c>
      <c r="CK272" s="38"/>
    </row>
    <row r="273" spans="55:89" x14ac:dyDescent="0.25">
      <c r="BC273">
        <v>4.7298422729046044</v>
      </c>
      <c r="BD273">
        <v>-62.353481602013161</v>
      </c>
      <c r="BE273">
        <v>9.2850031676938425</v>
      </c>
      <c r="BF273" s="6">
        <f t="shared" si="225"/>
        <v>2.9937697344865679</v>
      </c>
      <c r="BG273" s="6">
        <f t="shared" si="226"/>
        <v>1.7360725384180364</v>
      </c>
      <c r="BH273" s="6">
        <f t="shared" si="227"/>
        <v>-9.7155744023639024E-2</v>
      </c>
      <c r="BI273" s="6">
        <f t="shared" si="228"/>
        <v>9.7155744023639024E-2</v>
      </c>
      <c r="BV273" s="38"/>
      <c r="BW273" s="6">
        <f t="shared" si="229"/>
        <v>4.5029494701453441</v>
      </c>
      <c r="BX273" s="9">
        <f t="shared" ca="1" si="230"/>
        <v>10.506972604691626</v>
      </c>
      <c r="BY273" s="9">
        <f t="shared" ca="1" si="231"/>
        <v>14.836612600881326</v>
      </c>
      <c r="BZ273">
        <f t="shared" ca="1" si="232"/>
        <v>18.18025155998593</v>
      </c>
      <c r="CA273" s="6">
        <f t="shared" ca="1" si="233"/>
        <v>0.57793329041810892</v>
      </c>
      <c r="CB273" s="6">
        <f t="shared" ca="1" si="234"/>
        <v>0.81608401027498256</v>
      </c>
      <c r="CC273" s="6">
        <f t="shared" ca="1" si="235"/>
        <v>0.95460238544669829</v>
      </c>
      <c r="CD273" s="6">
        <f t="shared" ca="1" si="236"/>
        <v>-36.494961275527317</v>
      </c>
      <c r="CE273" s="9">
        <f t="shared" ca="1" si="237"/>
        <v>-2.1739497106027681</v>
      </c>
      <c r="CF273">
        <f t="shared" ca="1" si="238"/>
        <v>36.559653387942127</v>
      </c>
      <c r="CG273" s="6">
        <f t="shared" ca="1" si="239"/>
        <v>-0.99823050531337509</v>
      </c>
      <c r="CH273" s="6">
        <f t="shared" ca="1" si="240"/>
        <v>-5.9463083184474783E-2</v>
      </c>
      <c r="CI273" s="6">
        <f t="shared" ca="1" si="241"/>
        <v>-3.0820944723584902</v>
      </c>
      <c r="CJ273" s="1">
        <f t="shared" ca="1" si="242"/>
        <v>-0.30447684435816691</v>
      </c>
      <c r="CK273" s="38"/>
    </row>
    <row r="274" spans="55:89" x14ac:dyDescent="0.25">
      <c r="BC274">
        <v>4.7472955654245474</v>
      </c>
      <c r="BD274">
        <v>-60.735649897507543</v>
      </c>
      <c r="BE274">
        <v>9.4535633717926881</v>
      </c>
      <c r="BF274" s="6">
        <f t="shared" si="225"/>
        <v>2.9871807099480745</v>
      </c>
      <c r="BG274" s="6">
        <f t="shared" si="226"/>
        <v>1.760114855476473</v>
      </c>
      <c r="BH274" s="6">
        <f t="shared" si="227"/>
        <v>-9.0566719485145594E-2</v>
      </c>
      <c r="BI274" s="6">
        <f t="shared" si="228"/>
        <v>9.0566719485145594E-2</v>
      </c>
      <c r="BV274" s="38"/>
      <c r="BW274" s="6">
        <f t="shared" si="229"/>
        <v>4.5204027626652872</v>
      </c>
      <c r="BX274" s="9">
        <f t="shared" ca="1" si="230"/>
        <v>8.8316265666556149</v>
      </c>
      <c r="BY274" s="9">
        <f t="shared" ca="1" si="231"/>
        <v>14.961434683258744</v>
      </c>
      <c r="BZ274">
        <f t="shared" ca="1" si="232"/>
        <v>17.373605140968149</v>
      </c>
      <c r="CA274" s="6">
        <f t="shared" ca="1" si="233"/>
        <v>0.50833586322449764</v>
      </c>
      <c r="CB274" s="6">
        <f t="shared" ca="1" si="234"/>
        <v>0.86115889948359992</v>
      </c>
      <c r="CC274" s="6">
        <f t="shared" ca="1" si="235"/>
        <v>1.0375450798448695</v>
      </c>
      <c r="CD274" s="6">
        <f t="shared" ca="1" si="236"/>
        <v>-34.819615237491305</v>
      </c>
      <c r="CE274" s="9">
        <f t="shared" ca="1" si="237"/>
        <v>-2.2987717929801867</v>
      </c>
      <c r="CF274">
        <f t="shared" ca="1" si="238"/>
        <v>34.89541455611522</v>
      </c>
      <c r="CG274" s="6">
        <f t="shared" ca="1" si="239"/>
        <v>-0.99782781435360157</v>
      </c>
      <c r="CH274" s="6">
        <f t="shared" ca="1" si="240"/>
        <v>-6.5876041944810199E-2</v>
      </c>
      <c r="CI274" s="6">
        <f t="shared" ca="1" si="241"/>
        <v>-3.0756688718315943</v>
      </c>
      <c r="CJ274" s="1">
        <f t="shared" ca="1" si="242"/>
        <v>-0.3109024448850628</v>
      </c>
      <c r="CK274" s="38"/>
    </row>
    <row r="275" spans="55:89" x14ac:dyDescent="0.25">
      <c r="BC275">
        <v>4.7647488579444905</v>
      </c>
      <c r="BD275">
        <v>-59.247734704366124</v>
      </c>
      <c r="BE275">
        <v>9.6165618806964446</v>
      </c>
      <c r="BF275" s="6">
        <f t="shared" si="225"/>
        <v>2.9806848459147268</v>
      </c>
      <c r="BG275" s="6">
        <f t="shared" si="226"/>
        <v>1.7840640120297637</v>
      </c>
      <c r="BH275" s="6">
        <f t="shared" si="227"/>
        <v>-8.4070855451797932E-2</v>
      </c>
      <c r="BI275" s="6">
        <f t="shared" si="228"/>
        <v>8.4070855451797932E-2</v>
      </c>
      <c r="BV275" s="38"/>
      <c r="BW275" s="6">
        <f t="shared" si="229"/>
        <v>4.5378560551852303</v>
      </c>
      <c r="BX275" s="9">
        <f t="shared" ca="1" si="230"/>
        <v>7.1453915960496914</v>
      </c>
      <c r="BY275" s="9">
        <f t="shared" ca="1" si="231"/>
        <v>15.074193067930791</v>
      </c>
      <c r="BZ275">
        <f t="shared" ca="1" si="232"/>
        <v>16.681963844528326</v>
      </c>
      <c r="CA275" s="6">
        <f t="shared" ca="1" si="233"/>
        <v>0.42833036102001715</v>
      </c>
      <c r="CB275" s="6">
        <f t="shared" ca="1" si="234"/>
        <v>0.90362221189414205</v>
      </c>
      <c r="CC275" s="6">
        <f t="shared" ca="1" si="235"/>
        <v>1.1281520787289245</v>
      </c>
      <c r="CD275" s="6">
        <f t="shared" ca="1" si="236"/>
        <v>-33.133380266885382</v>
      </c>
      <c r="CE275" s="9">
        <f t="shared" ca="1" si="237"/>
        <v>-2.4115301776522333</v>
      </c>
      <c r="CF275">
        <f t="shared" ca="1" si="238"/>
        <v>33.221022947943027</v>
      </c>
      <c r="CG275" s="6">
        <f t="shared" ca="1" si="239"/>
        <v>-0.99736183075412876</v>
      </c>
      <c r="CH275" s="6">
        <f t="shared" ca="1" si="240"/>
        <v>-7.2590485290927806E-2</v>
      </c>
      <c r="CI275" s="6">
        <f t="shared" ca="1" si="241"/>
        <v>-3.068938265530639</v>
      </c>
      <c r="CJ275" s="1">
        <f t="shared" ca="1" si="242"/>
        <v>-0.3176330511860182</v>
      </c>
      <c r="CK275" s="38"/>
    </row>
    <row r="276" spans="55:89" x14ac:dyDescent="0.25">
      <c r="BC276">
        <v>4.7822021504644336</v>
      </c>
      <c r="BD276">
        <v>-57.878853546604333</v>
      </c>
      <c r="BE276">
        <v>9.7743640972880002</v>
      </c>
      <c r="BF276" s="6">
        <f t="shared" si="225"/>
        <v>2.9742948786819396</v>
      </c>
      <c r="BG276" s="6">
        <f t="shared" si="226"/>
        <v>1.807907271782494</v>
      </c>
      <c r="BH276" s="6">
        <f t="shared" si="227"/>
        <v>-7.7680888219010744E-2</v>
      </c>
      <c r="BI276" s="6">
        <f t="shared" si="228"/>
        <v>7.7680888219010744E-2</v>
      </c>
      <c r="BV276" s="38"/>
      <c r="BW276" s="6">
        <f t="shared" si="229"/>
        <v>4.5553093477051734</v>
      </c>
      <c r="BX276" s="9">
        <f t="shared" ca="1" si="230"/>
        <v>5.4496372649262526</v>
      </c>
      <c r="BY276" s="9">
        <f t="shared" ca="1" si="231"/>
        <v>15.174911609951787</v>
      </c>
      <c r="BZ276">
        <f t="shared" ca="1" si="232"/>
        <v>16.123786425313455</v>
      </c>
      <c r="CA276" s="6">
        <f t="shared" ca="1" si="233"/>
        <v>0.33798743801087705</v>
      </c>
      <c r="CB276" s="6">
        <f t="shared" ca="1" si="234"/>
        <v>0.94115062117965131</v>
      </c>
      <c r="CC276" s="6">
        <f t="shared" ca="1" si="235"/>
        <v>1.2260186584679793</v>
      </c>
      <c r="CD276" s="6">
        <f t="shared" ca="1" si="236"/>
        <v>-31.437625935761943</v>
      </c>
      <c r="CE276" s="9">
        <f t="shared" ca="1" si="237"/>
        <v>-2.512248719673229</v>
      </c>
      <c r="CF276">
        <f t="shared" ca="1" si="238"/>
        <v>31.537845806370349</v>
      </c>
      <c r="CG276" s="6">
        <f t="shared" ca="1" si="239"/>
        <v>-0.99682223474540033</v>
      </c>
      <c r="CH276" s="6">
        <f t="shared" ca="1" si="240"/>
        <v>-7.9658221905751669E-2</v>
      </c>
      <c r="CI276" s="6">
        <f t="shared" ca="1" si="241"/>
        <v>-3.0618499459072912</v>
      </c>
      <c r="CJ276" s="1">
        <f t="shared" ca="1" si="242"/>
        <v>-0.32472137080936592</v>
      </c>
      <c r="CK276" s="38"/>
    </row>
    <row r="277" spans="55:89" x14ac:dyDescent="0.25">
      <c r="BC277">
        <v>4.7996554429843767</v>
      </c>
      <c r="BD277">
        <v>-56.619083908735462</v>
      </c>
      <c r="BE277">
        <v>9.9273069118659372</v>
      </c>
      <c r="BF277" s="6">
        <f t="shared" si="225"/>
        <v>2.9680219629872187</v>
      </c>
      <c r="BG277" s="6">
        <f t="shared" si="226"/>
        <v>1.8316334799971581</v>
      </c>
      <c r="BH277" s="6">
        <f t="shared" si="227"/>
        <v>-7.1407972524289764E-2</v>
      </c>
      <c r="BI277" s="6">
        <f t="shared" si="228"/>
        <v>7.1407972524289764E-2</v>
      </c>
      <c r="BV277" s="38"/>
      <c r="BW277" s="6">
        <f t="shared" si="229"/>
        <v>4.5727626402251165</v>
      </c>
      <c r="BX277" s="9">
        <f t="shared" ca="1" si="230"/>
        <v>3.745977056142948</v>
      </c>
      <c r="BY277" s="9">
        <f t="shared" ca="1" si="231"/>
        <v>15.263622284722251</v>
      </c>
      <c r="BZ277">
        <f t="shared" ca="1" si="232"/>
        <v>15.716567989094155</v>
      </c>
      <c r="CA277" s="6">
        <f t="shared" ca="1" si="233"/>
        <v>0.23834574181477214</v>
      </c>
      <c r="CB277" s="6">
        <f t="shared" ca="1" si="234"/>
        <v>0.97118036808759989</v>
      </c>
      <c r="CC277" s="6">
        <f t="shared" ca="1" si="235"/>
        <v>1.33013418080644</v>
      </c>
      <c r="CD277" s="6">
        <f t="shared" ca="1" si="236"/>
        <v>-29.733965726978639</v>
      </c>
      <c r="CE277" s="9">
        <f t="shared" ca="1" si="237"/>
        <v>-2.6009593944436933</v>
      </c>
      <c r="CF277">
        <f t="shared" ca="1" si="238"/>
        <v>29.847507561347317</v>
      </c>
      <c r="CG277" s="6">
        <f t="shared" ca="1" si="239"/>
        <v>-0.99619593582025867</v>
      </c>
      <c r="CH277" s="6">
        <f t="shared" ca="1" si="240"/>
        <v>-8.7141594288829324E-2</v>
      </c>
      <c r="CI277" s="6">
        <f t="shared" ca="1" si="241"/>
        <v>-3.0543403934848965</v>
      </c>
      <c r="CJ277" s="1">
        <f t="shared" ca="1" si="242"/>
        <v>-0.33223092323176062</v>
      </c>
      <c r="CK277" s="38"/>
    </row>
    <row r="278" spans="55:89" x14ac:dyDescent="0.25">
      <c r="BC278">
        <v>4.8171087355043198</v>
      </c>
      <c r="BD278">
        <v>-55.459375393332365</v>
      </c>
      <c r="BE278">
        <v>10.075702872054983</v>
      </c>
      <c r="BF278" s="6">
        <f t="shared" si="225"/>
        <v>2.9618756478857238</v>
      </c>
      <c r="BG278" s="6">
        <f t="shared" si="226"/>
        <v>1.8552330876185961</v>
      </c>
      <c r="BH278" s="6">
        <f t="shared" si="227"/>
        <v>-6.5261657422794883E-2</v>
      </c>
      <c r="BI278" s="6">
        <f t="shared" si="228"/>
        <v>6.5261657422794883E-2</v>
      </c>
      <c r="BV278" s="38"/>
      <c r="BW278" s="6">
        <f t="shared" si="229"/>
        <v>4.5902159327450596</v>
      </c>
      <c r="BX278" s="9">
        <f t="shared" ca="1" si="230"/>
        <v>2.0362919298457598</v>
      </c>
      <c r="BY278" s="9">
        <f t="shared" ca="1" si="231"/>
        <v>15.340370337792034</v>
      </c>
      <c r="BZ278">
        <f t="shared" ca="1" si="232"/>
        <v>15.474929625822687</v>
      </c>
      <c r="CA278" s="6">
        <f t="shared" ca="1" si="233"/>
        <v>0.13158650663249818</v>
      </c>
      <c r="CB278" s="6">
        <f t="shared" ca="1" si="234"/>
        <v>0.99130469144065658</v>
      </c>
      <c r="CC278" s="6">
        <f t="shared" ca="1" si="235"/>
        <v>1.4388270935681127</v>
      </c>
      <c r="CD278" s="6">
        <f t="shared" ca="1" si="236"/>
        <v>-28.02428060068145</v>
      </c>
      <c r="CE278" s="9">
        <f t="shared" ca="1" si="237"/>
        <v>-2.6777074475134768</v>
      </c>
      <c r="CF278">
        <f t="shared" ca="1" si="238"/>
        <v>28.151916815026997</v>
      </c>
      <c r="CG278" s="6">
        <f t="shared" ca="1" si="239"/>
        <v>-0.99546616256419829</v>
      </c>
      <c r="CH278" s="6">
        <f t="shared" ca="1" si="240"/>
        <v>-9.511634554433479E-2</v>
      </c>
      <c r="CI278" s="6">
        <f t="shared" ca="1" si="241"/>
        <v>-3.0463322994976534</v>
      </c>
      <c r="CJ278" s="1">
        <f t="shared" ca="1" si="242"/>
        <v>-0.34023901721900374</v>
      </c>
      <c r="CK278" s="38"/>
    </row>
    <row r="279" spans="55:89" x14ac:dyDescent="0.25">
      <c r="BC279">
        <v>4.8345620280242629</v>
      </c>
      <c r="BD279">
        <v>-54.391469690671116</v>
      </c>
      <c r="BE279">
        <v>10.219843670861957</v>
      </c>
      <c r="BF279" s="6">
        <f t="shared" si="225"/>
        <v>2.9558638834489241</v>
      </c>
      <c r="BG279" s="6">
        <f t="shared" si="226"/>
        <v>1.8786981445753388</v>
      </c>
      <c r="BH279" s="6">
        <f t="shared" si="227"/>
        <v>-5.9249892985995249E-2</v>
      </c>
      <c r="BI279" s="6">
        <f t="shared" si="228"/>
        <v>5.9249892985995249E-2</v>
      </c>
      <c r="BV279" s="38"/>
      <c r="BW279" s="6">
        <f t="shared" si="229"/>
        <v>4.6076692252650027</v>
      </c>
      <c r="BX279" s="9">
        <f t="shared" ca="1" si="230"/>
        <v>0.32275470097529535</v>
      </c>
      <c r="BY279" s="9">
        <f t="shared" ca="1" si="231"/>
        <v>15.405220009309872</v>
      </c>
      <c r="BZ279">
        <f t="shared" ca="1" si="232"/>
        <v>15.408600654577395</v>
      </c>
      <c r="CA279" s="6">
        <f t="shared" ca="1" si="233"/>
        <v>2.0946399235768073E-2</v>
      </c>
      <c r="CB279" s="6">
        <f t="shared" ca="1" si="234"/>
        <v>0.99978060011137226</v>
      </c>
      <c r="CC279" s="6">
        <f t="shared" ca="1" si="235"/>
        <v>1.5498483955454585</v>
      </c>
      <c r="CD279" s="6">
        <f t="shared" ca="1" si="236"/>
        <v>-26.310743371810986</v>
      </c>
      <c r="CE279" s="9">
        <f t="shared" ca="1" si="237"/>
        <v>-2.7425571190313143</v>
      </c>
      <c r="CF279">
        <f t="shared" ca="1" si="238"/>
        <v>26.45329537748454</v>
      </c>
      <c r="CG279" s="6">
        <f t="shared" ca="1" si="239"/>
        <v>-0.99461118156965478</v>
      </c>
      <c r="CH279" s="6">
        <f t="shared" ca="1" si="240"/>
        <v>-0.10367544307412128</v>
      </c>
      <c r="CI279" s="6">
        <f t="shared" ca="1" si="241"/>
        <v>-3.0377305787843678</v>
      </c>
      <c r="CJ279" s="1">
        <f t="shared" ca="1" si="242"/>
        <v>-0.34884073793228981</v>
      </c>
      <c r="CK279" s="38"/>
    </row>
    <row r="280" spans="55:89" x14ac:dyDescent="0.25">
      <c r="BC280">
        <v>4.852015320544206</v>
      </c>
      <c r="BD280">
        <v>-53.407827716854378</v>
      </c>
      <c r="BE280">
        <v>10.360003082881645</v>
      </c>
      <c r="BF280" s="6">
        <f t="shared" si="225"/>
        <v>2.9499930536297514</v>
      </c>
      <c r="BG280" s="6">
        <f t="shared" si="226"/>
        <v>1.9020222669144546</v>
      </c>
      <c r="BH280" s="6">
        <f t="shared" si="227"/>
        <v>-5.3379063166822505E-2</v>
      </c>
      <c r="BI280" s="6">
        <f t="shared" si="228"/>
        <v>5.3379063166822505E-2</v>
      </c>
      <c r="BV280" s="38"/>
      <c r="BW280" s="6">
        <f t="shared" si="229"/>
        <v>4.6251225177849458</v>
      </c>
      <c r="BX280" s="9">
        <f t="shared" ca="1" si="230"/>
        <v>-1.3921452012273505</v>
      </c>
      <c r="BY280" s="9">
        <f t="shared" ca="1" si="231"/>
        <v>15.458260890720226</v>
      </c>
      <c r="BZ280">
        <f t="shared" ca="1" si="232"/>
        <v>15.520821435312978</v>
      </c>
      <c r="CA280" s="6">
        <f t="shared" ca="1" si="233"/>
        <v>-8.9695330046123803E-2</v>
      </c>
      <c r="CB280" s="6">
        <f t="shared" ca="1" si="234"/>
        <v>0.99596925041284123</v>
      </c>
      <c r="CC280" s="6">
        <f t="shared" ca="1" si="235"/>
        <v>1.660612364618772</v>
      </c>
      <c r="CD280" s="6">
        <f t="shared" ca="1" si="236"/>
        <v>-24.59584346960834</v>
      </c>
      <c r="CE280" s="9">
        <f t="shared" ca="1" si="237"/>
        <v>-2.7955980004416681</v>
      </c>
      <c r="CF280">
        <f t="shared" ca="1" si="238"/>
        <v>24.75420942307689</v>
      </c>
      <c r="CG280" s="6">
        <f t="shared" ca="1" si="239"/>
        <v>-0.99360246369569316</v>
      </c>
      <c r="CH280" s="6">
        <f t="shared" ca="1" si="240"/>
        <v>-0.11293424696631583</v>
      </c>
      <c r="CI280" s="6">
        <f t="shared" ca="1" si="241"/>
        <v>-3.0284169549837698</v>
      </c>
      <c r="CJ280" s="1">
        <f t="shared" ca="1" si="242"/>
        <v>-0.35815436173288817</v>
      </c>
      <c r="CK280" s="38"/>
    </row>
    <row r="281" spans="55:89" x14ac:dyDescent="0.25">
      <c r="BC281">
        <v>4.8694686130641491</v>
      </c>
      <c r="BD281">
        <v>-52.501563321673721</v>
      </c>
      <c r="BE281">
        <v>10.496439451654807</v>
      </c>
      <c r="BF281" s="6">
        <f t="shared" si="225"/>
        <v>2.9442680305950613</v>
      </c>
      <c r="BG281" s="6">
        <f t="shared" si="226"/>
        <v>1.9252005824690879</v>
      </c>
      <c r="BH281" s="6">
        <f t="shared" si="227"/>
        <v>-4.7654040132132369E-2</v>
      </c>
      <c r="BI281" s="6">
        <f t="shared" si="228"/>
        <v>4.7654040132132369E-2</v>
      </c>
      <c r="BV281" s="38"/>
      <c r="BW281" s="6">
        <f t="shared" si="229"/>
        <v>4.6425758103048889</v>
      </c>
      <c r="BX281" s="9">
        <f t="shared" ca="1" si="230"/>
        <v>-3.1055771720148186</v>
      </c>
      <c r="BY281" s="9">
        <f t="shared" ca="1" si="231"/>
        <v>15.499614924696905</v>
      </c>
      <c r="BZ281">
        <f t="shared" ca="1" si="232"/>
        <v>15.807677640476687</v>
      </c>
      <c r="CA281" s="6">
        <f t="shared" ca="1" si="233"/>
        <v>-0.19646005204855435</v>
      </c>
      <c r="CB281" s="6">
        <f t="shared" ca="1" si="234"/>
        <v>0.98051182958140759</v>
      </c>
      <c r="CC281" s="6">
        <f t="shared" ca="1" si="235"/>
        <v>1.7685426267612379</v>
      </c>
      <c r="CD281" s="6">
        <f t="shared" ca="1" si="236"/>
        <v>-22.882411498820872</v>
      </c>
      <c r="CE281" s="9">
        <f t="shared" ca="1" si="237"/>
        <v>-2.8369520344183474</v>
      </c>
      <c r="CF281">
        <f t="shared" ca="1" si="238"/>
        <v>23.057602929336777</v>
      </c>
      <c r="CG281" s="6">
        <f t="shared" ca="1" si="239"/>
        <v>-0.99240201025870711</v>
      </c>
      <c r="CH281" s="6">
        <f t="shared" ca="1" si="240"/>
        <v>-0.12303759602039208</v>
      </c>
      <c r="CI281" s="6">
        <f t="shared" ca="1" si="241"/>
        <v>-3.0182424946252948</v>
      </c>
      <c r="CJ281" s="1">
        <f t="shared" ca="1" si="242"/>
        <v>-0.36832882209136236</v>
      </c>
      <c r="CK281" s="38"/>
    </row>
    <row r="282" spans="55:89" x14ac:dyDescent="0.25">
      <c r="BC282">
        <v>4.8869219055840922</v>
      </c>
      <c r="BD282">
        <v>-51.666383012571423</v>
      </c>
      <c r="BE282">
        <v>10.629397814266285</v>
      </c>
      <c r="BF282" s="6">
        <f t="shared" si="225"/>
        <v>2.9386922458972347</v>
      </c>
      <c r="BG282" s="6">
        <f t="shared" si="226"/>
        <v>1.9482296596868576</v>
      </c>
      <c r="BH282" s="6">
        <f t="shared" si="227"/>
        <v>-4.2078255434305767E-2</v>
      </c>
      <c r="BI282" s="6">
        <f t="shared" si="228"/>
        <v>4.2078255434305767E-2</v>
      </c>
      <c r="BV282" s="38"/>
      <c r="BW282" s="6">
        <f t="shared" si="229"/>
        <v>4.660029102824832</v>
      </c>
      <c r="BX282" s="9">
        <f t="shared" ca="1" si="230"/>
        <v>-4.8143458613238153</v>
      </c>
      <c r="BY282" s="9">
        <f t="shared" ca="1" si="231"/>
        <v>15.529444072859397</v>
      </c>
      <c r="BZ282">
        <f t="shared" ca="1" si="232"/>
        <v>16.258584172200038</v>
      </c>
      <c r="CA282" s="6">
        <f t="shared" ca="1" si="233"/>
        <v>-0.29611101497728753</v>
      </c>
      <c r="CB282" s="6">
        <f t="shared" ca="1" si="234"/>
        <v>0.9551535304908424</v>
      </c>
      <c r="CC282" s="6">
        <f t="shared" ca="1" si="235"/>
        <v>1.8714148155501877</v>
      </c>
      <c r="CD282" s="6">
        <f t="shared" ca="1" si="236"/>
        <v>-21.173642809511875</v>
      </c>
      <c r="CE282" s="9">
        <f t="shared" ca="1" si="237"/>
        <v>-2.8667811825808389</v>
      </c>
      <c r="CF282">
        <f t="shared" ca="1" si="238"/>
        <v>21.366833742358587</v>
      </c>
      <c r="CG282" s="6">
        <f t="shared" ca="1" si="239"/>
        <v>-0.99095837337547488</v>
      </c>
      <c r="CH282" s="6">
        <f t="shared" ca="1" si="240"/>
        <v>-0.13416967704005675</v>
      </c>
      <c r="CI282" s="6">
        <f t="shared" ca="1" si="241"/>
        <v>-3.0070171376842056</v>
      </c>
      <c r="CJ282" s="1">
        <f t="shared" ca="1" si="242"/>
        <v>-0.37955417903245192</v>
      </c>
      <c r="CK282" s="38"/>
    </row>
    <row r="283" spans="55:89" x14ac:dyDescent="0.25">
      <c r="BC283">
        <v>4.9043751981040353</v>
      </c>
      <c r="BD283">
        <v>-50.896531181351804</v>
      </c>
      <c r="BE283">
        <v>10.759111734583657</v>
      </c>
      <c r="BF283" s="6">
        <f t="shared" si="225"/>
        <v>2.9332677740977324</v>
      </c>
      <c r="BG283" s="6">
        <f t="shared" si="226"/>
        <v>1.9711074240063029</v>
      </c>
      <c r="BH283" s="6">
        <f t="shared" si="227"/>
        <v>-3.6653783634803531E-2</v>
      </c>
      <c r="BI283" s="6">
        <f t="shared" si="228"/>
        <v>3.6653783634803531E-2</v>
      </c>
      <c r="BV283" s="38"/>
      <c r="BW283" s="6">
        <f t="shared" si="229"/>
        <v>4.6774823953447751</v>
      </c>
      <c r="BX283" s="9">
        <f t="shared" ca="1" si="230"/>
        <v>-6.5148696228794449</v>
      </c>
      <c r="BY283" s="9">
        <f t="shared" ca="1" si="231"/>
        <v>15.547958623312855</v>
      </c>
      <c r="BZ283">
        <f t="shared" ca="1" si="232"/>
        <v>16.857714659922497</v>
      </c>
      <c r="CA283" s="6">
        <f t="shared" ca="1" si="233"/>
        <v>-0.38646220761868066</v>
      </c>
      <c r="CB283" s="6">
        <f t="shared" ca="1" si="234"/>
        <v>0.92230524344302411</v>
      </c>
      <c r="CC283" s="6">
        <f t="shared" ca="1" si="235"/>
        <v>1.9675890073856575</v>
      </c>
      <c r="CD283" s="6">
        <f t="shared" ca="1" si="236"/>
        <v>-19.473119047956246</v>
      </c>
      <c r="CE283" s="9">
        <f t="shared" ca="1" si="237"/>
        <v>-2.8852957330342974</v>
      </c>
      <c r="CF283">
        <f t="shared" ca="1" si="238"/>
        <v>19.685713015355635</v>
      </c>
      <c r="CG283" s="6">
        <f t="shared" ca="1" si="239"/>
        <v>-0.98920059602445909</v>
      </c>
      <c r="CH283" s="6">
        <f t="shared" ca="1" si="240"/>
        <v>-0.14656800750796542</v>
      </c>
      <c r="CI283" s="6">
        <f t="shared" ca="1" si="241"/>
        <v>-2.9944947406004845</v>
      </c>
      <c r="CJ283" s="1">
        <f t="shared" ca="1" si="242"/>
        <v>-0.39207657611617308</v>
      </c>
      <c r="CK283" s="38"/>
    </row>
    <row r="284" spans="55:89" x14ac:dyDescent="0.25">
      <c r="BC284">
        <v>4.9218284906239784</v>
      </c>
      <c r="BD284">
        <v>-50.186740349777267</v>
      </c>
      <c r="BE284">
        <v>10.885804899517842</v>
      </c>
      <c r="BF284" s="6">
        <f t="shared" si="225"/>
        <v>2.9279954248721709</v>
      </c>
      <c r="BG284" s="6">
        <f t="shared" si="226"/>
        <v>1.9938330657518075</v>
      </c>
      <c r="BH284" s="6">
        <f t="shared" si="227"/>
        <v>-3.1381434409242015E-2</v>
      </c>
      <c r="BI284" s="6">
        <f t="shared" si="228"/>
        <v>3.1381434409242015E-2</v>
      </c>
      <c r="BV284" s="38"/>
      <c r="BW284" s="6">
        <f t="shared" si="229"/>
        <v>4.6949356878647182</v>
      </c>
      <c r="BX284" s="9">
        <f t="shared" ca="1" si="230"/>
        <v>-8.2031623038495098</v>
      </c>
      <c r="BY284" s="9">
        <f t="shared" ca="1" si="231"/>
        <v>15.55542608044429</v>
      </c>
      <c r="BZ284">
        <f t="shared" ca="1" si="232"/>
        <v>17.585879344731783</v>
      </c>
      <c r="CA284" s="6">
        <f t="shared" ca="1" si="233"/>
        <v>-0.46646301518649613</v>
      </c>
      <c r="CB284" s="6">
        <f t="shared" ca="1" si="234"/>
        <v>0.88454070311270749</v>
      </c>
      <c r="CC284" s="6">
        <f t="shared" ca="1" si="235"/>
        <v>2.0560842009562457</v>
      </c>
      <c r="CD284" s="6">
        <f t="shared" ca="1" si="236"/>
        <v>-17.784826366986181</v>
      </c>
      <c r="CE284" s="9">
        <f t="shared" ca="1" si="237"/>
        <v>-2.8927631901657325</v>
      </c>
      <c r="CF284">
        <f t="shared" ca="1" si="238"/>
        <v>18.018549547014729</v>
      </c>
      <c r="CG284" s="6">
        <f t="shared" ca="1" si="239"/>
        <v>-0.98702874615857905</v>
      </c>
      <c r="CH284" s="6">
        <f t="shared" ca="1" si="240"/>
        <v>-0.16054362103996317</v>
      </c>
      <c r="CI284" s="6">
        <f t="shared" ca="1" si="241"/>
        <v>-2.9803512601230735</v>
      </c>
      <c r="CJ284" s="1">
        <f t="shared" ca="1" si="242"/>
        <v>-0.40622005659358457</v>
      </c>
      <c r="CK284" s="38"/>
    </row>
    <row r="285" spans="55:89" x14ac:dyDescent="0.25">
      <c r="BC285">
        <v>4.9392817831439215</v>
      </c>
      <c r="BD285">
        <v>-49.532186002450381</v>
      </c>
      <c r="BE285">
        <v>11.009692533806431</v>
      </c>
      <c r="BF285" s="6">
        <f t="shared" si="225"/>
        <v>2.9228748399162763</v>
      </c>
      <c r="BG285" s="6">
        <f t="shared" si="226"/>
        <v>2.0164069432276452</v>
      </c>
      <c r="BH285" s="6">
        <f t="shared" si="227"/>
        <v>-2.6260849453347394E-2</v>
      </c>
      <c r="BI285" s="6">
        <f t="shared" si="228"/>
        <v>2.6260849453347394E-2</v>
      </c>
      <c r="BV285" s="38"/>
      <c r="BW285" s="6">
        <f t="shared" si="229"/>
        <v>4.7123889803846613</v>
      </c>
      <c r="BX285" s="9">
        <f t="shared" ca="1" si="230"/>
        <v>-9.8748200475203021</v>
      </c>
      <c r="BY285" s="9">
        <f t="shared" ca="1" si="231"/>
        <v>15.552180536541506</v>
      </c>
      <c r="BZ285">
        <f t="shared" ca="1" si="232"/>
        <v>18.422334010979426</v>
      </c>
      <c r="CA285" s="6">
        <f t="shared" ca="1" si="233"/>
        <v>-0.53602437354762222</v>
      </c>
      <c r="CB285" s="6">
        <f t="shared" ca="1" si="234"/>
        <v>0.84420250589706203</v>
      </c>
      <c r="CC285" s="6">
        <f t="shared" ca="1" si="235"/>
        <v>2.1365170287311166</v>
      </c>
      <c r="CD285" s="6">
        <f t="shared" ca="1" si="236"/>
        <v>-16.113168623315389</v>
      </c>
      <c r="CE285" s="9">
        <f t="shared" ca="1" si="237"/>
        <v>-2.8895176462629486</v>
      </c>
      <c r="CF285">
        <f t="shared" ca="1" si="238"/>
        <v>16.370202054692559</v>
      </c>
      <c r="CG285" s="6">
        <f t="shared" ca="1" si="239"/>
        <v>-0.98429870135271236</v>
      </c>
      <c r="CH285" s="6">
        <f t="shared" ca="1" si="240"/>
        <v>-0.176510811327137</v>
      </c>
      <c r="CI285" s="6">
        <f t="shared" ca="1" si="241"/>
        <v>-2.9641521845781091</v>
      </c>
      <c r="CJ285" s="1">
        <f t="shared" ca="1" si="242"/>
        <v>-0.42241913213854893</v>
      </c>
      <c r="CK285" s="38"/>
    </row>
    <row r="286" spans="55:89" x14ac:dyDescent="0.25">
      <c r="BC286">
        <v>4.9567350756638646</v>
      </c>
      <c r="BD286">
        <v>-48.928445576432182</v>
      </c>
      <c r="BE286">
        <v>11.130982660470622</v>
      </c>
      <c r="BF286" s="6">
        <f t="shared" si="225"/>
        <v>2.9179045916926567</v>
      </c>
      <c r="BG286" s="6">
        <f t="shared" si="226"/>
        <v>2.0388304839712079</v>
      </c>
      <c r="BH286" s="6">
        <f t="shared" si="227"/>
        <v>-2.1290601229727809E-2</v>
      </c>
      <c r="BI286" s="6">
        <f t="shared" si="228"/>
        <v>2.1290601229727809E-2</v>
      </c>
      <c r="BV286" s="38"/>
      <c r="BW286" s="6">
        <f t="shared" si="229"/>
        <v>4.7298422729046044</v>
      </c>
      <c r="BX286" s="9">
        <f t="shared" ca="1" si="230"/>
        <v>-11.634507068822529</v>
      </c>
      <c r="BY286" s="9">
        <f t="shared" ca="1" si="231"/>
        <v>15.377659722584715</v>
      </c>
      <c r="BZ286">
        <f t="shared" ca="1" si="232"/>
        <v>19.283002185294841</v>
      </c>
      <c r="CA286" s="6">
        <f t="shared" ca="1" si="233"/>
        <v>-0.60335558524672939</v>
      </c>
      <c r="CB286" s="6">
        <f t="shared" ca="1" si="234"/>
        <v>0.79747228024024563</v>
      </c>
      <c r="CC286" s="6">
        <f t="shared" ca="1" si="235"/>
        <v>2.2184985479992201</v>
      </c>
      <c r="CD286" s="6">
        <f t="shared" ca="1" si="236"/>
        <v>-14.353481602013161</v>
      </c>
      <c r="CE286" s="9">
        <f t="shared" ca="1" si="237"/>
        <v>-2.7149968323061575</v>
      </c>
      <c r="CF286">
        <f t="shared" ca="1" si="238"/>
        <v>14.607999243522803</v>
      </c>
      <c r="CG286" s="6">
        <f t="shared" ca="1" si="239"/>
        <v>-0.98257683086734171</v>
      </c>
      <c r="CH286" s="6">
        <f t="shared" ca="1" si="240"/>
        <v>-0.18585685740023494</v>
      </c>
      <c r="CI286" s="6">
        <f t="shared" ca="1" si="241"/>
        <v>-2.9546488117617637</v>
      </c>
      <c r="CJ286" s="1">
        <f t="shared" ca="1" si="242"/>
        <v>-0.43192250495489432</v>
      </c>
      <c r="CK286" s="38"/>
    </row>
    <row r="287" spans="55:89" x14ac:dyDescent="0.25">
      <c r="BC287">
        <v>4.9741883681838077</v>
      </c>
      <c r="BD287">
        <v>-48.371461247023682</v>
      </c>
      <c r="BE287">
        <v>11.249877251638175</v>
      </c>
      <c r="BF287" s="6">
        <f t="shared" si="225"/>
        <v>2.9130822812351544</v>
      </c>
      <c r="BG287" s="6">
        <f t="shared" si="226"/>
        <v>2.0611060869486533</v>
      </c>
      <c r="BH287" s="6">
        <f t="shared" si="227"/>
        <v>-1.6468290772225558E-2</v>
      </c>
      <c r="BI287" s="6">
        <f t="shared" si="228"/>
        <v>1.6468290772225558E-2</v>
      </c>
      <c r="BV287" s="38"/>
      <c r="BW287" s="6">
        <f t="shared" si="229"/>
        <v>4.7472955654245474</v>
      </c>
      <c r="BX287" s="9">
        <f t="shared" ca="1" si="230"/>
        <v>-13.252338773328148</v>
      </c>
      <c r="BY287" s="9">
        <f t="shared" ca="1" si="231"/>
        <v>15.209099518485869</v>
      </c>
      <c r="BZ287">
        <f t="shared" ca="1" si="232"/>
        <v>20.172783425354659</v>
      </c>
      <c r="CA287" s="6">
        <f t="shared" ca="1" si="233"/>
        <v>-0.65694150846192201</v>
      </c>
      <c r="CB287" s="6">
        <f t="shared" ca="1" si="234"/>
        <v>0.75394154578440264</v>
      </c>
      <c r="CC287" s="6">
        <f t="shared" ca="1" si="235"/>
        <v>2.2875512120187276</v>
      </c>
      <c r="CD287" s="6">
        <f t="shared" ca="1" si="236"/>
        <v>-12.735649897507543</v>
      </c>
      <c r="CE287" s="9">
        <f t="shared" ca="1" si="237"/>
        <v>-2.5464366282073119</v>
      </c>
      <c r="CF287">
        <f t="shared" ca="1" si="238"/>
        <v>12.987729509554768</v>
      </c>
      <c r="CG287" s="6">
        <f t="shared" ca="1" si="239"/>
        <v>-0.98059094071355768</v>
      </c>
      <c r="CH287" s="6">
        <f t="shared" ca="1" si="240"/>
        <v>-0.19606480303843393</v>
      </c>
      <c r="CI287" s="6">
        <f t="shared" ca="1" si="241"/>
        <v>-2.9442494421415608</v>
      </c>
      <c r="CJ287" s="1">
        <f t="shared" ca="1" si="242"/>
        <v>-0.44232187457509675</v>
      </c>
      <c r="CK287" s="38"/>
    </row>
    <row r="288" spans="55:89" x14ac:dyDescent="0.25">
      <c r="BC288">
        <v>4.9916416607037508</v>
      </c>
      <c r="BD288">
        <v>-47.857506143943056</v>
      </c>
      <c r="BE288">
        <v>11.366573287503122</v>
      </c>
      <c r="BF288" s="6">
        <f t="shared" si="225"/>
        <v>2.9084046329583368</v>
      </c>
      <c r="BG288" s="6">
        <f t="shared" si="226"/>
        <v>2.083237027745414</v>
      </c>
      <c r="BH288" s="6">
        <f t="shared" si="227"/>
        <v>-1.1790642495407956E-2</v>
      </c>
      <c r="BI288" s="6">
        <f t="shared" si="228"/>
        <v>1.1790642495407956E-2</v>
      </c>
      <c r="BV288" s="38"/>
      <c r="BW288" s="6">
        <f t="shared" si="229"/>
        <v>4.7647488579444905</v>
      </c>
      <c r="BX288" s="9">
        <f t="shared" ca="1" si="230"/>
        <v>-14.740253966469567</v>
      </c>
      <c r="BY288" s="9">
        <f t="shared" ca="1" si="231"/>
        <v>15.046101009582113</v>
      </c>
      <c r="BZ288">
        <f t="shared" ca="1" si="232"/>
        <v>21.063243876159476</v>
      </c>
      <c r="CA288" s="6">
        <f t="shared" ca="1" si="233"/>
        <v>-0.69980930065351366</v>
      </c>
      <c r="CB288" s="6">
        <f t="shared" ca="1" si="234"/>
        <v>0.71432971569075876</v>
      </c>
      <c r="CC288" s="6">
        <f t="shared" ca="1" si="235"/>
        <v>2.3459268258435158</v>
      </c>
      <c r="CD288" s="6">
        <f t="shared" ca="1" si="236"/>
        <v>-11.247734704366124</v>
      </c>
      <c r="CE288" s="9">
        <f t="shared" ca="1" si="237"/>
        <v>-2.3834381193035554</v>
      </c>
      <c r="CF288">
        <f t="shared" ca="1" si="238"/>
        <v>11.4974916067963</v>
      </c>
      <c r="CG288" s="6">
        <f t="shared" ca="1" si="239"/>
        <v>-0.97827727029758893</v>
      </c>
      <c r="CH288" s="6">
        <f t="shared" ca="1" si="240"/>
        <v>-0.20730070530294431</v>
      </c>
      <c r="CI288" s="6">
        <f t="shared" ca="1" si="241"/>
        <v>-2.9327777372247374</v>
      </c>
      <c r="CJ288" s="1">
        <f t="shared" ca="1" si="242"/>
        <v>-0.45379357949192062</v>
      </c>
      <c r="CK288" s="38"/>
    </row>
    <row r="289" spans="55:89" x14ac:dyDescent="0.25">
      <c r="BC289">
        <v>5.0090949532236939</v>
      </c>
      <c r="BD289">
        <v>-47.38315368311553</v>
      </c>
      <c r="BE289">
        <v>11.481263750883693</v>
      </c>
      <c r="BF289" s="6">
        <f t="shared" si="225"/>
        <v>2.9038675846826507</v>
      </c>
      <c r="BG289" s="6">
        <f t="shared" si="226"/>
        <v>2.1052273685410432</v>
      </c>
      <c r="BH289" s="6">
        <f t="shared" si="227"/>
        <v>-7.2535942197218262E-3</v>
      </c>
      <c r="BI289" s="6">
        <f t="shared" si="228"/>
        <v>7.2535942197218262E-3</v>
      </c>
      <c r="BV289" s="38"/>
      <c r="BW289" s="6">
        <f t="shared" si="229"/>
        <v>4.7822021504644336</v>
      </c>
      <c r="BX289" s="9">
        <f t="shared" ca="1" si="230"/>
        <v>-16.109135124231358</v>
      </c>
      <c r="BY289" s="9">
        <f t="shared" ca="1" si="231"/>
        <v>14.888298792990557</v>
      </c>
      <c r="BZ289">
        <f t="shared" ca="1" si="232"/>
        <v>21.935488948279875</v>
      </c>
      <c r="CA289" s="6">
        <f t="shared" ca="1" si="233"/>
        <v>-0.73438687244282264</v>
      </c>
      <c r="CB289" s="6">
        <f t="shared" ca="1" si="234"/>
        <v>0.67873111140100939</v>
      </c>
      <c r="CC289" s="6">
        <f t="shared" ca="1" si="235"/>
        <v>2.3955592219300916</v>
      </c>
      <c r="CD289" s="6">
        <f t="shared" ca="1" si="236"/>
        <v>-9.8788535466043328</v>
      </c>
      <c r="CE289" s="9">
        <f t="shared" ca="1" si="237"/>
        <v>-2.2256359027119998</v>
      </c>
      <c r="CF289">
        <f t="shared" ca="1" si="238"/>
        <v>10.126460515239154</v>
      </c>
      <c r="CG289" s="6">
        <f t="shared" ca="1" si="239"/>
        <v>-0.97554851783975249</v>
      </c>
      <c r="CH289" s="6">
        <f t="shared" ca="1" si="240"/>
        <v>-0.21978418810429121</v>
      </c>
      <c r="CI289" s="6">
        <f t="shared" ca="1" si="241"/>
        <v>-2.9199994096868318</v>
      </c>
      <c r="CJ289" s="1">
        <f t="shared" ca="1" si="242"/>
        <v>-0.46657190702982582</v>
      </c>
      <c r="CK289" s="38"/>
    </row>
    <row r="290" spans="55:89" x14ac:dyDescent="0.25">
      <c r="BC290">
        <v>5.026548245743637</v>
      </c>
      <c r="BD290">
        <v>-46.945249718080291</v>
      </c>
      <c r="BE290">
        <v>11.594138576541761</v>
      </c>
      <c r="BF290" s="6">
        <f t="shared" si="225"/>
        <v>2.8994663715414952</v>
      </c>
      <c r="BG290" s="6">
        <f t="shared" si="226"/>
        <v>2.1270818742021418</v>
      </c>
      <c r="BH290" s="6">
        <f t="shared" si="227"/>
        <v>-2.852381078566335E-3</v>
      </c>
      <c r="BI290" s="6">
        <f t="shared" si="228"/>
        <v>2.852381078566335E-3</v>
      </c>
      <c r="BV290" s="38"/>
      <c r="BW290" s="6">
        <f t="shared" si="229"/>
        <v>4.7996554429843767</v>
      </c>
      <c r="BX290" s="9">
        <f t="shared" ca="1" si="230"/>
        <v>-17.368904762100229</v>
      </c>
      <c r="BY290" s="9">
        <f t="shared" ca="1" si="231"/>
        <v>14.73535597841262</v>
      </c>
      <c r="BZ290">
        <f t="shared" ca="1" si="232"/>
        <v>22.777391607588623</v>
      </c>
      <c r="CA290" s="6">
        <f t="shared" ca="1" si="233"/>
        <v>-0.76255021037235549</v>
      </c>
      <c r="CB290" s="6">
        <f t="shared" ca="1" si="234"/>
        <v>0.6469290352589504</v>
      </c>
      <c r="CC290" s="6">
        <f t="shared" ca="1" si="235"/>
        <v>2.4380423607148671</v>
      </c>
      <c r="CD290" s="6">
        <f t="shared" ca="1" si="236"/>
        <v>-8.6190839087354618</v>
      </c>
      <c r="CE290" s="9">
        <f t="shared" ca="1" si="237"/>
        <v>-2.0726930881340628</v>
      </c>
      <c r="CF290">
        <f t="shared" ca="1" si="238"/>
        <v>8.8647991552782113</v>
      </c>
      <c r="CG290" s="6">
        <f t="shared" ca="1" si="239"/>
        <v>-0.97228191612254999</v>
      </c>
      <c r="CH290" s="6">
        <f t="shared" ca="1" si="240"/>
        <v>-0.23381162413588982</v>
      </c>
      <c r="CI290" s="6">
        <f t="shared" ca="1" si="241"/>
        <v>-2.9055965198923293</v>
      </c>
      <c r="CJ290" s="1">
        <f t="shared" ca="1" si="242"/>
        <v>-0.48097479682432837</v>
      </c>
      <c r="CK290" s="38"/>
    </row>
    <row r="291" spans="55:89" x14ac:dyDescent="0.25">
      <c r="BC291">
        <v>5.0440015382635801</v>
      </c>
      <c r="BD291">
        <v>-46.540887231351157</v>
      </c>
      <c r="BE291">
        <v>11.705385567740395</v>
      </c>
      <c r="BF291" s="6">
        <f t="shared" si="225"/>
        <v>2.8951956028210293</v>
      </c>
      <c r="BG291" s="6">
        <f t="shared" si="226"/>
        <v>2.1488059354425508</v>
      </c>
      <c r="BH291" s="6">
        <f t="shared" si="227"/>
        <v>1.41838764189961E-3</v>
      </c>
      <c r="BI291" s="6">
        <f t="shared" si="228"/>
        <v>1.41838764189961E-3</v>
      </c>
      <c r="BV291" s="38"/>
      <c r="BW291" s="6">
        <f t="shared" si="229"/>
        <v>4.8171087355043198</v>
      </c>
      <c r="BX291" s="9">
        <f t="shared" ca="1" si="230"/>
        <v>-18.528613277503325</v>
      </c>
      <c r="BY291" s="9">
        <f t="shared" ca="1" si="231"/>
        <v>14.586960018223575</v>
      </c>
      <c r="BZ291">
        <f t="shared" ca="1" si="232"/>
        <v>23.581537535973467</v>
      </c>
      <c r="CA291" s="6">
        <f t="shared" ca="1" si="233"/>
        <v>-0.78572541121366912</v>
      </c>
      <c r="CB291" s="6">
        <f t="shared" ca="1" si="234"/>
        <v>0.6185754425881379</v>
      </c>
      <c r="CC291" s="6">
        <f t="shared" ca="1" si="235"/>
        <v>2.4746642945597443</v>
      </c>
      <c r="CD291" s="6">
        <f t="shared" ca="1" si="236"/>
        <v>-7.4593753933323654</v>
      </c>
      <c r="CE291" s="9">
        <f t="shared" ca="1" si="237"/>
        <v>-1.9242971279450174</v>
      </c>
      <c r="CF291">
        <f t="shared" ca="1" si="238"/>
        <v>7.7035836268109552</v>
      </c>
      <c r="CG291" s="6">
        <f t="shared" ca="1" si="239"/>
        <v>-0.96829939865536518</v>
      </c>
      <c r="CH291" s="6">
        <f t="shared" ca="1" si="240"/>
        <v>-0.24979246298409</v>
      </c>
      <c r="CI291" s="6">
        <f t="shared" ca="1" si="241"/>
        <v>-2.8891267358268187</v>
      </c>
      <c r="CJ291" s="1">
        <f t="shared" ca="1" si="242"/>
        <v>-0.49744458088983939</v>
      </c>
      <c r="CK291" s="38"/>
    </row>
    <row r="292" spans="55:89" x14ac:dyDescent="0.25">
      <c r="BC292">
        <v>5.0614548307835232</v>
      </c>
      <c r="BD292">
        <v>-46.16738333593149</v>
      </c>
      <c r="BE292">
        <v>11.815191304218262</v>
      </c>
      <c r="BF292" s="6">
        <f t="shared" si="225"/>
        <v>2.8910493309343308</v>
      </c>
      <c r="BG292" s="6">
        <f t="shared" si="226"/>
        <v>2.1704054998491924</v>
      </c>
      <c r="BH292" s="6">
        <f t="shared" si="227"/>
        <v>5.5646595285980807E-3</v>
      </c>
      <c r="BI292" s="6">
        <f t="shared" si="228"/>
        <v>5.5646595285980807E-3</v>
      </c>
      <c r="BV292" s="38"/>
      <c r="BW292" s="6">
        <f t="shared" si="229"/>
        <v>4.8345620280242629</v>
      </c>
      <c r="BX292" s="9">
        <f t="shared" ca="1" si="230"/>
        <v>-19.596518980164575</v>
      </c>
      <c r="BY292" s="9">
        <f t="shared" ca="1" si="231"/>
        <v>14.442819219416601</v>
      </c>
      <c r="BZ292">
        <f t="shared" ca="1" si="232"/>
        <v>24.343758607591802</v>
      </c>
      <c r="CA292" s="6">
        <f t="shared" ca="1" si="233"/>
        <v>-0.80499150916051387</v>
      </c>
      <c r="CB292" s="6">
        <f t="shared" ca="1" si="234"/>
        <v>0.59328633068652303</v>
      </c>
      <c r="CC292" s="6">
        <f t="shared" ca="1" si="235"/>
        <v>2.5064574833304349</v>
      </c>
      <c r="CD292" s="6">
        <f t="shared" ca="1" si="236"/>
        <v>-6.3914696906711157</v>
      </c>
      <c r="CE292" s="9">
        <f t="shared" ca="1" si="237"/>
        <v>-1.7801563291380429</v>
      </c>
      <c r="CF292">
        <f t="shared" ca="1" si="238"/>
        <v>6.6347450111468307</v>
      </c>
      <c r="CG292" s="6">
        <f t="shared" ca="1" si="239"/>
        <v>-0.9633331318585725</v>
      </c>
      <c r="CH292" s="6">
        <f t="shared" ca="1" si="240"/>
        <v>-0.2683081755436354</v>
      </c>
      <c r="CI292" s="6">
        <f t="shared" ca="1" si="241"/>
        <v>-2.8699562722840937</v>
      </c>
      <c r="CJ292" s="1">
        <f t="shared" ca="1" si="242"/>
        <v>-0.51661504443256434</v>
      </c>
      <c r="CK292" s="38"/>
    </row>
    <row r="293" spans="55:89" x14ac:dyDescent="0.25">
      <c r="BC293">
        <v>5.0789081233034663</v>
      </c>
      <c r="BD293">
        <v>-45.822258333908721</v>
      </c>
      <c r="BE293">
        <v>11.923742041711245</v>
      </c>
      <c r="BF293" s="6">
        <f t="shared" si="225"/>
        <v>2.8870211122066634</v>
      </c>
      <c r="BG293" s="6">
        <f t="shared" si="226"/>
        <v>2.191887011096803</v>
      </c>
      <c r="BH293" s="6">
        <f t="shared" si="227"/>
        <v>9.5928782562655357E-3</v>
      </c>
      <c r="BI293" s="6">
        <f t="shared" si="228"/>
        <v>9.5928782562655357E-3</v>
      </c>
      <c r="BV293" s="38"/>
      <c r="BW293" s="6">
        <f t="shared" si="229"/>
        <v>4.852015320544206</v>
      </c>
      <c r="BX293" s="9">
        <f t="shared" ca="1" si="230"/>
        <v>-20.580160953981313</v>
      </c>
      <c r="BY293" s="9">
        <f t="shared" ca="1" si="231"/>
        <v>14.302659807396912</v>
      </c>
      <c r="BZ293">
        <f t="shared" ca="1" si="232"/>
        <v>25.06210490876423</v>
      </c>
      <c r="CA293" s="6">
        <f t="shared" ca="1" si="233"/>
        <v>-0.82116649933838637</v>
      </c>
      <c r="CB293" s="6">
        <f t="shared" ca="1" si="234"/>
        <v>0.57068868953602003</v>
      </c>
      <c r="CC293" s="6">
        <f t="shared" ca="1" si="235"/>
        <v>2.5342483703220644</v>
      </c>
      <c r="CD293" s="6">
        <f t="shared" ca="1" si="236"/>
        <v>-5.4078277168543778</v>
      </c>
      <c r="CE293" s="9">
        <f t="shared" ca="1" si="237"/>
        <v>-1.6399969171183546</v>
      </c>
      <c r="CF293">
        <f t="shared" ca="1" si="238"/>
        <v>5.6510344631170089</v>
      </c>
      <c r="CG293" s="6">
        <f t="shared" ca="1" si="239"/>
        <v>-0.95696243796600688</v>
      </c>
      <c r="CH293" s="6">
        <f t="shared" ca="1" si="240"/>
        <v>-0.29021180596618795</v>
      </c>
      <c r="CI293" s="6">
        <f t="shared" ca="1" si="241"/>
        <v>-2.8471444917306949</v>
      </c>
      <c r="CJ293" s="1">
        <f t="shared" ca="1" si="242"/>
        <v>-0.53942682498596306</v>
      </c>
      <c r="CK293" s="38"/>
    </row>
    <row r="294" spans="55:89" x14ac:dyDescent="0.25">
      <c r="BC294">
        <v>5.0963614158234094</v>
      </c>
      <c r="BD294">
        <v>-45.503216657042884</v>
      </c>
      <c r="BE294">
        <v>12.03122463127478</v>
      </c>
      <c r="BF294" s="6">
        <f t="shared" si="225"/>
        <v>2.8831040590473029</v>
      </c>
      <c r="BG294" s="6">
        <f t="shared" si="226"/>
        <v>2.2132573567761065</v>
      </c>
      <c r="BH294" s="6">
        <f t="shared" si="227"/>
        <v>1.3509931415625955E-2</v>
      </c>
      <c r="BI294" s="6">
        <f t="shared" si="228"/>
        <v>1.3509931415625955E-2</v>
      </c>
      <c r="BV294" s="38"/>
      <c r="BW294" s="6">
        <f t="shared" si="229"/>
        <v>4.8694686130641491</v>
      </c>
      <c r="BX294" s="9">
        <f t="shared" ca="1" si="230"/>
        <v>-21.486425349161969</v>
      </c>
      <c r="BY294" s="9">
        <f t="shared" ca="1" si="231"/>
        <v>14.166223438623751</v>
      </c>
      <c r="BZ294">
        <f t="shared" ca="1" si="232"/>
        <v>25.736129483629099</v>
      </c>
      <c r="CA294" s="6">
        <f t="shared" ca="1" si="233"/>
        <v>-0.83487399932571871</v>
      </c>
      <c r="CB294" s="6">
        <f t="shared" ca="1" si="234"/>
        <v>0.55044110061829488</v>
      </c>
      <c r="CC294" s="6">
        <f t="shared" ca="1" si="235"/>
        <v>2.5587001637467055</v>
      </c>
      <c r="CD294" s="6">
        <f t="shared" ca="1" si="236"/>
        <v>-4.5015633216737214</v>
      </c>
      <c r="CE294" s="9">
        <f t="shared" ca="1" si="237"/>
        <v>-1.5035605483451935</v>
      </c>
      <c r="CF294">
        <f t="shared" ca="1" si="238"/>
        <v>4.746026407593857</v>
      </c>
      <c r="CG294" s="6">
        <f t="shared" ca="1" si="239"/>
        <v>-0.94849099753659538</v>
      </c>
      <c r="CH294" s="6">
        <f t="shared" ca="1" si="240"/>
        <v>-0.31680408392575071</v>
      </c>
      <c r="CI294" s="6">
        <f t="shared" ca="1" si="241"/>
        <v>-2.8192345452193006</v>
      </c>
      <c r="CJ294" s="1">
        <f t="shared" ca="1" si="242"/>
        <v>-0.56733677149735695</v>
      </c>
      <c r="CK294" s="38"/>
    </row>
    <row r="295" spans="55:89" x14ac:dyDescent="0.25">
      <c r="BC295">
        <v>5.1138147083433525</v>
      </c>
      <c r="BD295">
        <v>-45.208129468815848</v>
      </c>
      <c r="BE295">
        <v>12.137827455013133</v>
      </c>
      <c r="BF295" s="6">
        <f t="shared" si="225"/>
        <v>2.8792908835344697</v>
      </c>
      <c r="BG295" s="6">
        <f t="shared" si="226"/>
        <v>2.2345238248088828</v>
      </c>
      <c r="BH295" s="6">
        <f t="shared" si="227"/>
        <v>1.7323106928459175E-2</v>
      </c>
      <c r="BI295" s="6">
        <f t="shared" si="228"/>
        <v>1.7323106928459175E-2</v>
      </c>
      <c r="BV295" s="38"/>
      <c r="BW295" s="6">
        <f t="shared" si="229"/>
        <v>4.8869219055840922</v>
      </c>
      <c r="BX295" s="9">
        <f t="shared" ca="1" si="230"/>
        <v>-22.321605658264268</v>
      </c>
      <c r="BY295" s="9">
        <f t="shared" ca="1" si="231"/>
        <v>14.033265076012272</v>
      </c>
      <c r="BZ295">
        <f t="shared" ca="1" si="232"/>
        <v>26.366391635122945</v>
      </c>
      <c r="CA295" s="6">
        <f t="shared" ca="1" si="233"/>
        <v>-0.84659311623549671</v>
      </c>
      <c r="CB295" s="6">
        <f t="shared" ca="1" si="234"/>
        <v>0.53224063687647016</v>
      </c>
      <c r="CC295" s="6">
        <f t="shared" ca="1" si="235"/>
        <v>2.580347631984647</v>
      </c>
      <c r="CD295" s="6">
        <f t="shared" ca="1" si="236"/>
        <v>-3.6663830125714227</v>
      </c>
      <c r="CE295" s="9">
        <f t="shared" ca="1" si="237"/>
        <v>-1.3706021857337145</v>
      </c>
      <c r="CF295">
        <f t="shared" ca="1" si="238"/>
        <v>3.9141940098071708</v>
      </c>
      <c r="CG295" s="6">
        <f t="shared" ca="1" si="239"/>
        <v>-0.93668913788768582</v>
      </c>
      <c r="CH295" s="6">
        <f t="shared" ca="1" si="240"/>
        <v>-0.35016204672012052</v>
      </c>
      <c r="CI295" s="6">
        <f t="shared" ca="1" si="241"/>
        <v>-2.7838485560717743</v>
      </c>
      <c r="CJ295" s="1">
        <f t="shared" ca="1" si="242"/>
        <v>-0.60272276064488339</v>
      </c>
      <c r="CK295" s="38"/>
    </row>
    <row r="296" spans="55:89" x14ac:dyDescent="0.25">
      <c r="BC296">
        <v>5.1312680008632956</v>
      </c>
      <c r="BD296">
        <v>-44.935020622017646</v>
      </c>
      <c r="BE296">
        <v>12.243737833511652</v>
      </c>
      <c r="BF296" s="6">
        <f t="shared" si="225"/>
        <v>2.8755740166004458</v>
      </c>
      <c r="BG296" s="6">
        <f t="shared" si="226"/>
        <v>2.2556939842628498</v>
      </c>
      <c r="BH296" s="6">
        <f t="shared" si="227"/>
        <v>2.103997386248313E-2</v>
      </c>
      <c r="BI296" s="6">
        <f t="shared" si="228"/>
        <v>2.103997386248313E-2</v>
      </c>
      <c r="BV296" s="38"/>
      <c r="BW296" s="6">
        <f t="shared" si="229"/>
        <v>4.9043751981040353</v>
      </c>
      <c r="BX296" s="9">
        <f t="shared" ca="1" si="230"/>
        <v>-23.091457489483886</v>
      </c>
      <c r="BY296" s="9">
        <f t="shared" ca="1" si="231"/>
        <v>13.903551155694901</v>
      </c>
      <c r="BZ296">
        <f t="shared" ca="1" si="232"/>
        <v>26.954111814854269</v>
      </c>
      <c r="CA296" s="6">
        <f t="shared" ca="1" si="233"/>
        <v>-0.85669517319277078</v>
      </c>
      <c r="CB296" s="6">
        <f t="shared" ca="1" si="234"/>
        <v>0.51582301250352192</v>
      </c>
      <c r="CC296" s="6">
        <f t="shared" ca="1" si="235"/>
        <v>2.599624598861725</v>
      </c>
      <c r="CD296" s="6">
        <f t="shared" ca="1" si="236"/>
        <v>-2.8965311813518042</v>
      </c>
      <c r="CE296" s="9">
        <f t="shared" ca="1" si="237"/>
        <v>-1.2408882654163431</v>
      </c>
      <c r="CF296">
        <f t="shared" ca="1" si="238"/>
        <v>3.1511421059341735</v>
      </c>
      <c r="CG296" s="6">
        <f t="shared" ca="1" si="239"/>
        <v>-0.91920043082065683</v>
      </c>
      <c r="CH296" s="6">
        <f t="shared" ca="1" si="240"/>
        <v>-0.39379000492536498</v>
      </c>
      <c r="CI296" s="6">
        <f t="shared" ca="1" si="241"/>
        <v>-2.7368415303697797</v>
      </c>
      <c r="CJ296" s="1">
        <f t="shared" ca="1" si="242"/>
        <v>-0.64972978634687828</v>
      </c>
      <c r="CK296" s="38"/>
    </row>
    <row r="297" spans="55:89" x14ac:dyDescent="0.25">
      <c r="BC297">
        <v>5.1487212933832387</v>
      </c>
      <c r="BD297">
        <v>-44.682068597368676</v>
      </c>
      <c r="BE297">
        <v>12.349108779058231</v>
      </c>
      <c r="BF297" s="6">
        <f t="shared" si="225"/>
        <v>2.8719464437846369</v>
      </c>
      <c r="BG297" s="6">
        <f t="shared" si="226"/>
        <v>2.2767748495986018</v>
      </c>
      <c r="BH297" s="6">
        <f t="shared" si="227"/>
        <v>2.4667546678291966E-2</v>
      </c>
      <c r="BI297" s="6">
        <f t="shared" si="228"/>
        <v>2.4667546678291966E-2</v>
      </c>
      <c r="BV297" s="38"/>
      <c r="BW297" s="6">
        <f t="shared" si="229"/>
        <v>4.9218284906239784</v>
      </c>
      <c r="BX297" s="9">
        <f t="shared" ca="1" si="230"/>
        <v>-23.801248321058424</v>
      </c>
      <c r="BY297" s="9">
        <f t="shared" ca="1" si="231"/>
        <v>13.776857990760716</v>
      </c>
      <c r="BZ297">
        <f t="shared" ca="1" si="232"/>
        <v>27.500931579462428</v>
      </c>
      <c r="CA297" s="6">
        <f t="shared" ca="1" si="233"/>
        <v>-0.86547062059647062</v>
      </c>
      <c r="CB297" s="6">
        <f t="shared" ca="1" si="234"/>
        <v>0.50095968389118906</v>
      </c>
      <c r="CC297" s="6">
        <f t="shared" ca="1" si="235"/>
        <v>2.6168853755411208</v>
      </c>
      <c r="CD297" s="6">
        <f t="shared" ca="1" si="236"/>
        <v>-2.1867403497772671</v>
      </c>
      <c r="CE297" s="9">
        <f t="shared" ca="1" si="237"/>
        <v>-1.1141951004821582</v>
      </c>
      <c r="CF297">
        <f t="shared" ca="1" si="238"/>
        <v>2.4542339088364113</v>
      </c>
      <c r="CG297" s="6">
        <f t="shared" ca="1" si="239"/>
        <v>-0.89100730859595734</v>
      </c>
      <c r="CH297" s="6">
        <f t="shared" ca="1" si="240"/>
        <v>-0.45398896024968322</v>
      </c>
      <c r="CI297" s="6">
        <f t="shared" ca="1" si="241"/>
        <v>-2.6703554833604302</v>
      </c>
      <c r="CJ297" s="1">
        <f t="shared" ca="1" si="242"/>
        <v>-0.71621583335622696</v>
      </c>
      <c r="CK297" s="38"/>
    </row>
    <row r="298" spans="55:89" x14ac:dyDescent="0.25">
      <c r="BC298">
        <v>5.1661745859031818</v>
      </c>
      <c r="BD298">
        <v>-44.447599036297063</v>
      </c>
      <c r="BE298">
        <v>12.454039518911866</v>
      </c>
      <c r="BF298" s="6">
        <f t="shared" si="225"/>
        <v>2.8684022077742863</v>
      </c>
      <c r="BG298" s="6">
        <f t="shared" si="226"/>
        <v>2.2977723781288955</v>
      </c>
      <c r="BH298" s="6">
        <f t="shared" si="227"/>
        <v>2.8211782688642547E-2</v>
      </c>
      <c r="BI298" s="6">
        <f t="shared" si="228"/>
        <v>2.8211782688642547E-2</v>
      </c>
      <c r="BV298" s="38"/>
      <c r="BW298" s="6">
        <f t="shared" si="229"/>
        <v>4.9392817831439215</v>
      </c>
      <c r="BX298" s="9">
        <f t="shared" ca="1" si="230"/>
        <v>-24.45580266838531</v>
      </c>
      <c r="BY298" s="9">
        <f t="shared" ca="1" si="231"/>
        <v>13.652970356472126</v>
      </c>
      <c r="BZ298">
        <f t="shared" ca="1" si="232"/>
        <v>28.008746557275796</v>
      </c>
      <c r="CA298" s="6">
        <f t="shared" ca="1" si="233"/>
        <v>-0.87314877223709453</v>
      </c>
      <c r="CB298" s="6">
        <f t="shared" ca="1" si="234"/>
        <v>0.48745381477720973</v>
      </c>
      <c r="CC298" s="6">
        <f t="shared" ca="1" si="235"/>
        <v>2.6324213778567689</v>
      </c>
      <c r="CD298" s="6">
        <f t="shared" ca="1" si="236"/>
        <v>-1.5321860024503806</v>
      </c>
      <c r="CE298" s="9">
        <f t="shared" ca="1" si="237"/>
        <v>-0.99030746619356869</v>
      </c>
      <c r="CF298">
        <f t="shared" ca="1" si="238"/>
        <v>1.8243636763824267</v>
      </c>
      <c r="CG298" s="6">
        <f t="shared" ca="1" si="239"/>
        <v>-0.83984680372971909</v>
      </c>
      <c r="CH298" s="6">
        <f t="shared" ca="1" si="240"/>
        <v>-0.5428234945771736</v>
      </c>
      <c r="CI298" s="6">
        <f t="shared" ca="1" si="241"/>
        <v>-2.5677972663715614</v>
      </c>
      <c r="CJ298" s="1">
        <f t="shared" ca="1" si="242"/>
        <v>-0.81877405034509665</v>
      </c>
      <c r="CK298" s="38"/>
    </row>
    <row r="299" spans="55:89" x14ac:dyDescent="0.25">
      <c r="BC299">
        <v>5.1836278784231249</v>
      </c>
      <c r="BD299">
        <v>-44.230060534937188</v>
      </c>
      <c r="BE299">
        <v>12.55859186514323</v>
      </c>
      <c r="BF299" s="6">
        <f t="shared" si="225"/>
        <v>2.8649360545136351</v>
      </c>
      <c r="BG299" s="6">
        <f t="shared" si="226"/>
        <v>2.3186918239094898</v>
      </c>
      <c r="BH299" s="6">
        <f t="shared" si="227"/>
        <v>3.1677935949293801E-2</v>
      </c>
      <c r="BI299" s="6">
        <f t="shared" si="228"/>
        <v>3.1677935949293801E-2</v>
      </c>
      <c r="BV299" s="38"/>
      <c r="BW299" s="6">
        <f t="shared" si="229"/>
        <v>4.9567350756638646</v>
      </c>
      <c r="BX299" s="9">
        <f t="shared" ca="1" si="230"/>
        <v>-25.059543094403509</v>
      </c>
      <c r="BY299" s="9">
        <f t="shared" ca="1" si="231"/>
        <v>13.531680229807936</v>
      </c>
      <c r="BZ299">
        <f t="shared" ca="1" si="232"/>
        <v>28.479590410363024</v>
      </c>
      <c r="CA299" s="6">
        <f t="shared" ca="1" si="233"/>
        <v>-0.87991234190239465</v>
      </c>
      <c r="CB299" s="6">
        <f t="shared" ca="1" si="234"/>
        <v>0.4751360547967744</v>
      </c>
      <c r="CC299" s="6">
        <f t="shared" ca="1" si="235"/>
        <v>2.646474005200917</v>
      </c>
      <c r="CD299" s="6">
        <f t="shared" ca="1" si="236"/>
        <v>-0.92844557643218195</v>
      </c>
      <c r="CE299" s="9">
        <f t="shared" ca="1" si="237"/>
        <v>-0.86901733952937832</v>
      </c>
      <c r="CF299">
        <f t="shared" ca="1" si="238"/>
        <v>1.2716927006156815</v>
      </c>
      <c r="CG299" s="6">
        <f t="shared" ca="1" si="239"/>
        <v>-0.7300864241673175</v>
      </c>
      <c r="CH299" s="6">
        <f t="shared" ca="1" si="240"/>
        <v>-0.68335482236286282</v>
      </c>
      <c r="CI299" s="6">
        <f t="shared" ca="1" si="241"/>
        <v>-2.3892447392976948</v>
      </c>
      <c r="CJ299" s="1">
        <f t="shared" ca="1" si="242"/>
        <v>-0.9973265774189628</v>
      </c>
      <c r="CK299" s="38"/>
    </row>
    <row r="300" spans="55:89" x14ac:dyDescent="0.25">
      <c r="BC300">
        <v>5.201081170943068</v>
      </c>
      <c r="BD300">
        <v>-44.028004842355088</v>
      </c>
      <c r="BE300">
        <v>12.662804811556358</v>
      </c>
      <c r="BF300" s="6">
        <f t="shared" si="225"/>
        <v>2.8615431129448483</v>
      </c>
      <c r="BG300" s="6">
        <f t="shared" si="226"/>
        <v>2.3395380579982197</v>
      </c>
      <c r="BH300" s="6">
        <f t="shared" si="227"/>
        <v>3.5070877518080579E-2</v>
      </c>
      <c r="BI300" s="6">
        <f t="shared" si="228"/>
        <v>3.5070877518080579E-2</v>
      </c>
      <c r="BV300" s="38"/>
      <c r="BW300" s="6">
        <f t="shared" si="229"/>
        <v>4.9741883681838077</v>
      </c>
      <c r="BX300" s="9">
        <f t="shared" ca="1" si="230"/>
        <v>-25.616527423812009</v>
      </c>
      <c r="BY300" s="9">
        <f t="shared" ca="1" si="231"/>
        <v>13.412785638640383</v>
      </c>
      <c r="BZ300">
        <f t="shared" ca="1" si="232"/>
        <v>28.915554565718267</v>
      </c>
      <c r="CA300" s="6">
        <f t="shared" ca="1" si="233"/>
        <v>-0.8859082182080118</v>
      </c>
      <c r="CB300" s="6">
        <f t="shared" ca="1" si="234"/>
        <v>0.46386057055057583</v>
      </c>
      <c r="CC300" s="6">
        <f t="shared" ca="1" si="235"/>
        <v>2.6592446470859716</v>
      </c>
      <c r="CD300" s="6">
        <f t="shared" ca="1" si="236"/>
        <v>-0.37146124702368155</v>
      </c>
      <c r="CE300" s="9">
        <f t="shared" ca="1" si="237"/>
        <v>-0.75012274836182513</v>
      </c>
      <c r="CF300">
        <f t="shared" ca="1" si="238"/>
        <v>0.83705889616578744</v>
      </c>
      <c r="CG300" s="6">
        <f t="shared" ca="1" si="239"/>
        <v>-0.44376954683259245</v>
      </c>
      <c r="CH300" s="6">
        <f t="shared" ca="1" si="240"/>
        <v>-0.89614094276737277</v>
      </c>
      <c r="CI300" s="6">
        <f t="shared" ca="1" si="241"/>
        <v>-2.0305970624428218</v>
      </c>
      <c r="CJ300" s="1">
        <f t="shared" ca="1" si="242"/>
        <v>-1.3559742542738358</v>
      </c>
      <c r="CK300" s="38"/>
    </row>
    <row r="301" spans="55:89" x14ac:dyDescent="0.25">
      <c r="BC301">
        <v>5.2185344634630111</v>
      </c>
      <c r="BD301">
        <v>-43.840071503777246</v>
      </c>
      <c r="BE301">
        <v>12.766705168761929</v>
      </c>
      <c r="BF301" s="6">
        <f t="shared" si="225"/>
        <v>2.8582186621305774</v>
      </c>
      <c r="BG301" s="6">
        <f t="shared" si="226"/>
        <v>2.3603158013324337</v>
      </c>
      <c r="BH301" s="6">
        <f t="shared" si="227"/>
        <v>3.8395328332351486E-2</v>
      </c>
      <c r="BI301" s="6">
        <f t="shared" si="228"/>
        <v>3.8395328332351486E-2</v>
      </c>
      <c r="BV301" s="38"/>
      <c r="BW301" s="6">
        <f t="shared" si="229"/>
        <v>4.9916416607037508</v>
      </c>
      <c r="BX301" s="9">
        <f t="shared" ca="1" si="230"/>
        <v>-26.130482526892635</v>
      </c>
      <c r="BY301" s="9">
        <f t="shared" ca="1" si="231"/>
        <v>13.296089602775435</v>
      </c>
      <c r="BZ301">
        <f t="shared" ca="1" si="232"/>
        <v>29.318733189093869</v>
      </c>
      <c r="CA301" s="6">
        <f t="shared" ca="1" si="233"/>
        <v>-0.89125551088315047</v>
      </c>
      <c r="CB301" s="6">
        <f t="shared" ca="1" si="234"/>
        <v>0.45350150420964919</v>
      </c>
      <c r="CC301" s="6">
        <f t="shared" ca="1" si="235"/>
        <v>2.6709024913802932</v>
      </c>
      <c r="CD301" s="6">
        <f t="shared" ca="1" si="236"/>
        <v>0.14249385605694442</v>
      </c>
      <c r="CE301" s="9">
        <f t="shared" ca="1" si="237"/>
        <v>-0.63342671249687754</v>
      </c>
      <c r="CF301">
        <f t="shared" ca="1" si="238"/>
        <v>0.64925642015969243</v>
      </c>
      <c r="CG301" s="6">
        <f t="shared" ca="1" si="239"/>
        <v>0.21947238661405358</v>
      </c>
      <c r="CH301" s="6">
        <f t="shared" ca="1" si="240"/>
        <v>-0.97561871215856233</v>
      </c>
      <c r="CI301" s="6">
        <f t="shared" ca="1" si="241"/>
        <v>-1.3495226879804074</v>
      </c>
      <c r="CJ301" s="1">
        <f t="shared" ca="1" si="242"/>
        <v>-2.0370486287362501</v>
      </c>
      <c r="CK301" s="38"/>
    </row>
    <row r="302" spans="55:89" x14ac:dyDescent="0.25">
      <c r="BC302">
        <v>5.2359877559829542</v>
      </c>
      <c r="BD302">
        <v>-43.664975572637445</v>
      </c>
      <c r="BE302">
        <v>12.870315336795983</v>
      </c>
      <c r="BF302" s="6">
        <f t="shared" si="225"/>
        <v>2.8549579611251339</v>
      </c>
      <c r="BG302" s="6">
        <f t="shared" si="226"/>
        <v>2.3810297948578203</v>
      </c>
      <c r="BH302" s="6">
        <f t="shared" si="227"/>
        <v>4.1656029337794998E-2</v>
      </c>
      <c r="BI302" s="6">
        <f t="shared" si="228"/>
        <v>4.1656029337794998E-2</v>
      </c>
      <c r="BV302" s="38"/>
      <c r="BW302" s="6">
        <f t="shared" si="229"/>
        <v>5.0090949532236939</v>
      </c>
      <c r="BX302" s="9">
        <f t="shared" ca="1" si="230"/>
        <v>-26.60483498772016</v>
      </c>
      <c r="BY302" s="9">
        <f t="shared" ca="1" si="231"/>
        <v>13.181399139394864</v>
      </c>
      <c r="BZ302">
        <f t="shared" ca="1" si="232"/>
        <v>29.691186032152007</v>
      </c>
      <c r="CA302" s="6">
        <f t="shared" ca="1" si="233"/>
        <v>-0.89605160800617067</v>
      </c>
      <c r="CB302" s="6">
        <f t="shared" ca="1" si="234"/>
        <v>0.44394990234209519</v>
      </c>
      <c r="CC302" s="6">
        <f t="shared" ca="1" si="235"/>
        <v>2.6815906499376951</v>
      </c>
      <c r="CD302" s="6">
        <f t="shared" ca="1" si="236"/>
        <v>0.61684631688446956</v>
      </c>
      <c r="CE302" s="9">
        <f t="shared" ca="1" si="237"/>
        <v>-0.51873624911630678</v>
      </c>
      <c r="CF302">
        <f t="shared" ca="1" si="238"/>
        <v>0.80596940066058986</v>
      </c>
      <c r="CG302" s="6">
        <f t="shared" ca="1" si="239"/>
        <v>0.7653470669964505</v>
      </c>
      <c r="CH302" s="6">
        <f t="shared" ca="1" si="240"/>
        <v>-0.64361779577629052</v>
      </c>
      <c r="CI302" s="6">
        <f t="shared" ca="1" si="241"/>
        <v>-0.69921592518181763</v>
      </c>
      <c r="CJ302" s="1">
        <f t="shared" ca="1" si="242"/>
        <v>-2.6873553915348398</v>
      </c>
      <c r="CK302" s="38"/>
    </row>
    <row r="303" spans="55:89" x14ac:dyDescent="0.25">
      <c r="BC303">
        <v>5.2534410485028973</v>
      </c>
      <c r="BD303">
        <v>-43.501498831324071</v>
      </c>
      <c r="BE303">
        <v>12.973658797819084</v>
      </c>
      <c r="BF303" s="6">
        <f t="shared" si="225"/>
        <v>2.8517561367463946</v>
      </c>
      <c r="BG303" s="6">
        <f t="shared" si="226"/>
        <v>2.4016849117565027</v>
      </c>
      <c r="BH303" s="6">
        <f t="shared" si="227"/>
        <v>4.4857853716534279E-2</v>
      </c>
      <c r="BI303" s="6">
        <f t="shared" si="228"/>
        <v>4.4857853716534279E-2</v>
      </c>
      <c r="BV303" s="38"/>
      <c r="BW303" s="6">
        <f t="shared" si="229"/>
        <v>5.026548245743637</v>
      </c>
      <c r="BX303" s="9">
        <f t="shared" ca="1" si="230"/>
        <v>-27.0427389527554</v>
      </c>
      <c r="BY303" s="9">
        <f t="shared" ca="1" si="231"/>
        <v>13.068524313736797</v>
      </c>
      <c r="BZ303">
        <f t="shared" ca="1" si="232"/>
        <v>30.034913980326362</v>
      </c>
      <c r="CA303" s="6">
        <f t="shared" ca="1" si="233"/>
        <v>-0.90037677385955184</v>
      </c>
      <c r="CB303" s="6">
        <f t="shared" ca="1" si="234"/>
        <v>0.43511109511740287</v>
      </c>
      <c r="CC303" s="6">
        <f t="shared" ca="1" si="235"/>
        <v>2.6914309931322897</v>
      </c>
      <c r="CD303" s="6">
        <f t="shared" ca="1" si="236"/>
        <v>1.0547502819197092</v>
      </c>
      <c r="CE303" s="9">
        <f t="shared" ca="1" si="237"/>
        <v>-0.40586142345823895</v>
      </c>
      <c r="CF303">
        <f t="shared" ca="1" si="238"/>
        <v>1.1301423150476466</v>
      </c>
      <c r="CG303" s="6">
        <f t="shared" ca="1" si="239"/>
        <v>0.93328978826462317</v>
      </c>
      <c r="CH303" s="6">
        <f t="shared" ca="1" si="240"/>
        <v>-0.35912417228721139</v>
      </c>
      <c r="CI303" s="6">
        <f t="shared" ca="1" si="241"/>
        <v>-0.36732929318482094</v>
      </c>
      <c r="CJ303" s="1">
        <f t="shared" ca="1" si="242"/>
        <v>-3.0192420235318362</v>
      </c>
      <c r="CK303" s="38"/>
    </row>
    <row r="304" spans="55:89" x14ac:dyDescent="0.25">
      <c r="BC304">
        <v>5.2708943410228404</v>
      </c>
      <c r="BD304">
        <v>-43.348514205681887</v>
      </c>
      <c r="BE304">
        <v>13.076758814654818</v>
      </c>
      <c r="BF304" s="6">
        <f t="shared" si="225"/>
        <v>2.8486084179925664</v>
      </c>
      <c r="BG304" s="6">
        <f t="shared" si="226"/>
        <v>2.422285923030274</v>
      </c>
      <c r="BH304" s="6">
        <f t="shared" si="227"/>
        <v>4.8005572470362523E-2</v>
      </c>
      <c r="BI304" s="6">
        <f t="shared" si="228"/>
        <v>4.8005572470362523E-2</v>
      </c>
      <c r="BV304" s="38"/>
      <c r="BW304" s="6">
        <f t="shared" si="229"/>
        <v>5.0440015382635801</v>
      </c>
      <c r="BX304" s="9">
        <f t="shared" ca="1" si="230"/>
        <v>-27.447101439484534</v>
      </c>
      <c r="BY304" s="9">
        <f t="shared" ca="1" si="231"/>
        <v>12.957277322538163</v>
      </c>
      <c r="BZ304">
        <f t="shared" ca="1" si="232"/>
        <v>30.351843651457415</v>
      </c>
      <c r="CA304" s="6">
        <f t="shared" ca="1" si="233"/>
        <v>-0.90429766819672575</v>
      </c>
      <c r="CB304" s="6">
        <f t="shared" ca="1" si="234"/>
        <v>0.42690247984049523</v>
      </c>
      <c r="CC304" s="6">
        <f t="shared" ca="1" si="235"/>
        <v>2.7005279897723882</v>
      </c>
      <c r="CD304" s="6">
        <f t="shared" ca="1" si="236"/>
        <v>1.4591127686488434</v>
      </c>
      <c r="CE304" s="9">
        <f t="shared" ca="1" si="237"/>
        <v>-0.29461443225960515</v>
      </c>
      <c r="CF304">
        <f t="shared" ca="1" si="238"/>
        <v>1.4885589458700461</v>
      </c>
      <c r="CG304" s="6">
        <f t="shared" ca="1" si="239"/>
        <v>0.98021833310471174</v>
      </c>
      <c r="CH304" s="6">
        <f t="shared" ca="1" si="240"/>
        <v>-0.19791922454733984</v>
      </c>
      <c r="CI304" s="6">
        <f t="shared" ca="1" si="241"/>
        <v>-0.19923469674543517</v>
      </c>
      <c r="CJ304" s="1">
        <f t="shared" ca="1" si="242"/>
        <v>3.0958486872083641</v>
      </c>
      <c r="CK304" s="38"/>
    </row>
    <row r="305" spans="55:89" x14ac:dyDescent="0.25">
      <c r="BC305">
        <v>5.2883476335427835</v>
      </c>
      <c r="BD305">
        <v>-43.20502860577654</v>
      </c>
      <c r="BE305">
        <v>13.179632141992682</v>
      </c>
      <c r="BF305" s="6">
        <f t="shared" si="225"/>
        <v>2.845510604485197</v>
      </c>
      <c r="BG305" s="6">
        <f t="shared" si="226"/>
        <v>2.4428370290575865</v>
      </c>
      <c r="BH305" s="6">
        <f t="shared" si="227"/>
        <v>5.1103385977731897E-2</v>
      </c>
      <c r="BI305" s="6">
        <f t="shared" si="228"/>
        <v>5.1103385977731897E-2</v>
      </c>
      <c r="BV305" s="38"/>
      <c r="BW305" s="6">
        <f t="shared" si="229"/>
        <v>5.0614548307835232</v>
      </c>
      <c r="BX305" s="9">
        <f t="shared" ca="1" si="230"/>
        <v>-27.820605334904201</v>
      </c>
      <c r="BY305" s="9">
        <f t="shared" ca="1" si="231"/>
        <v>12.847471586060296</v>
      </c>
      <c r="BZ305">
        <f t="shared" ca="1" si="232"/>
        <v>30.64381841995424</v>
      </c>
      <c r="CA305" s="6">
        <f t="shared" ca="1" si="233"/>
        <v>-0.90787006219787358</v>
      </c>
      <c r="CB305" s="6">
        <f t="shared" ca="1" si="234"/>
        <v>0.41925165493391803</v>
      </c>
      <c r="CC305" s="6">
        <f t="shared" ca="1" si="235"/>
        <v>2.7089717770897703</v>
      </c>
      <c r="CD305" s="6">
        <f t="shared" ca="1" si="236"/>
        <v>1.8326166640685102</v>
      </c>
      <c r="CE305" s="9">
        <f t="shared" ca="1" si="237"/>
        <v>-0.18480869578173831</v>
      </c>
      <c r="CF305">
        <f t="shared" ca="1" si="238"/>
        <v>1.841911531930386</v>
      </c>
      <c r="CG305" s="6">
        <f t="shared" ca="1" si="239"/>
        <v>0.9949536838763724</v>
      </c>
      <c r="CH305" s="6">
        <f t="shared" ca="1" si="240"/>
        <v>-0.10033527266537742</v>
      </c>
      <c r="CI305" s="6">
        <f t="shared" ca="1" si="241"/>
        <v>-0.10050438858101728</v>
      </c>
      <c r="CJ305" s="1">
        <f t="shared" ca="1" si="242"/>
        <v>2.997118379043946</v>
      </c>
      <c r="CK305" s="38"/>
    </row>
    <row r="306" spans="55:89" x14ac:dyDescent="0.25">
      <c r="BC306">
        <v>5.3058009260627266</v>
      </c>
      <c r="BD306">
        <v>-43.070171939606837</v>
      </c>
      <c r="BE306">
        <v>13.282290111375019</v>
      </c>
      <c r="BF306" s="6">
        <f t="shared" si="225"/>
        <v>2.8424590444109437</v>
      </c>
      <c r="BG306" s="6">
        <f t="shared" si="226"/>
        <v>2.4633418816517829</v>
      </c>
      <c r="BH306" s="6">
        <f t="shared" si="227"/>
        <v>5.4154946051985231E-2</v>
      </c>
      <c r="BI306" s="6">
        <f t="shared" si="228"/>
        <v>5.4154946051985231E-2</v>
      </c>
      <c r="BV306" s="38"/>
      <c r="BW306" s="6">
        <f t="shared" si="229"/>
        <v>5.0789081233034663</v>
      </c>
      <c r="BX306" s="9">
        <f t="shared" ca="1" si="230"/>
        <v>-28.16573033692697</v>
      </c>
      <c r="BY306" s="9">
        <f t="shared" ca="1" si="231"/>
        <v>12.738920848567313</v>
      </c>
      <c r="BZ306">
        <f t="shared" ca="1" si="232"/>
        <v>30.91259403218292</v>
      </c>
      <c r="CA306" s="6">
        <f t="shared" ca="1" si="233"/>
        <v>-0.91114095140653006</v>
      </c>
      <c r="CB306" s="6">
        <f t="shared" ca="1" si="234"/>
        <v>0.41209485154513065</v>
      </c>
      <c r="CC306" s="6">
        <f t="shared" ca="1" si="235"/>
        <v>2.7168406315461664</v>
      </c>
      <c r="CD306" s="6">
        <f t="shared" ca="1" si="236"/>
        <v>2.1777416660912792</v>
      </c>
      <c r="CE306" s="9">
        <f t="shared" ca="1" si="237"/>
        <v>-7.6257958288755034E-2</v>
      </c>
      <c r="CF306">
        <f t="shared" ca="1" si="238"/>
        <v>2.1790764191354994</v>
      </c>
      <c r="CG306" s="6">
        <f t="shared" ca="1" si="239"/>
        <v>0.99938746845567272</v>
      </c>
      <c r="CH306" s="6">
        <f t="shared" ca="1" si="240"/>
        <v>-3.4995541055420486E-2</v>
      </c>
      <c r="CI306" s="6">
        <f t="shared" ca="1" si="241"/>
        <v>-3.5002688097502378E-2</v>
      </c>
      <c r="CJ306" s="1">
        <f t="shared" ca="1" si="242"/>
        <v>2.9316166785604314</v>
      </c>
      <c r="CK306" s="38"/>
    </row>
    <row r="307" spans="55:89" x14ac:dyDescent="0.25">
      <c r="BC307">
        <v>5.3232542185826697</v>
      </c>
      <c r="BD307">
        <v>-42.943178349475595</v>
      </c>
      <c r="BE307">
        <v>13.384740775728735</v>
      </c>
      <c r="BF307" s="6">
        <f t="shared" si="225"/>
        <v>2.8394505284777791</v>
      </c>
      <c r="BG307" s="6">
        <f t="shared" si="226"/>
        <v>2.4838036901048905</v>
      </c>
      <c r="BH307" s="6">
        <f t="shared" si="227"/>
        <v>5.7163461985149759E-2</v>
      </c>
      <c r="BI307" s="6">
        <f t="shared" si="228"/>
        <v>5.7163461985149759E-2</v>
      </c>
      <c r="BV307" s="38"/>
      <c r="BW307" s="6">
        <f t="shared" si="229"/>
        <v>5.0963614158234094</v>
      </c>
      <c r="BX307" s="9">
        <f t="shared" ca="1" si="230"/>
        <v>-28.484772013792806</v>
      </c>
      <c r="BY307" s="9">
        <f t="shared" ca="1" si="231"/>
        <v>12.631438259003778</v>
      </c>
      <c r="BZ307">
        <f t="shared" ca="1" si="232"/>
        <v>31.159837438099355</v>
      </c>
      <c r="CA307" s="6">
        <f t="shared" ca="1" si="233"/>
        <v>-0.91415021244508399</v>
      </c>
      <c r="CB307" s="6">
        <f t="shared" ca="1" si="234"/>
        <v>0.40537561481496137</v>
      </c>
      <c r="CC307" s="6">
        <f t="shared" ca="1" si="235"/>
        <v>2.7242029707854023</v>
      </c>
      <c r="CD307" s="6">
        <f t="shared" ca="1" si="236"/>
        <v>2.4967833429571158</v>
      </c>
      <c r="CE307" s="9">
        <f t="shared" ca="1" si="237"/>
        <v>3.1224631274779924E-2</v>
      </c>
      <c r="CF307">
        <f t="shared" ca="1" si="238"/>
        <v>2.4969785820599975</v>
      </c>
      <c r="CG307" s="6">
        <f t="shared" ca="1" si="239"/>
        <v>0.99992180986081158</v>
      </c>
      <c r="CH307" s="6">
        <f t="shared" ca="1" si="240"/>
        <v>1.2504965600874208E-2</v>
      </c>
      <c r="CI307" s="6">
        <f t="shared" ca="1" si="241"/>
        <v>1.2505291532735052E-2</v>
      </c>
      <c r="CJ307" s="1">
        <f t="shared" ca="1" si="242"/>
        <v>2.8841086989301941</v>
      </c>
      <c r="CK307" s="38"/>
    </row>
    <row r="308" spans="55:89" x14ac:dyDescent="0.25">
      <c r="BC308">
        <v>5.3407075111026128</v>
      </c>
      <c r="BD308">
        <v>-42.823370812249017</v>
      </c>
      <c r="BE308">
        <v>13.486990469607161</v>
      </c>
      <c r="BF308" s="6">
        <f t="shared" si="225"/>
        <v>2.8364822060068704</v>
      </c>
      <c r="BG308" s="6">
        <f t="shared" si="226"/>
        <v>2.5042253050957424</v>
      </c>
      <c r="BH308" s="6">
        <f t="shared" si="227"/>
        <v>6.013178445605849E-2</v>
      </c>
      <c r="BI308" s="6">
        <f t="shared" si="228"/>
        <v>6.013178445605849E-2</v>
      </c>
      <c r="BV308" s="38"/>
      <c r="BW308" s="6">
        <f t="shared" si="229"/>
        <v>5.1138147083433525</v>
      </c>
      <c r="BX308" s="9">
        <f t="shared" ca="1" si="230"/>
        <v>-28.779859202019843</v>
      </c>
      <c r="BY308" s="9">
        <f t="shared" ca="1" si="231"/>
        <v>12.524835435265425</v>
      </c>
      <c r="BZ308">
        <f t="shared" ca="1" si="232"/>
        <v>31.387127908882754</v>
      </c>
      <c r="CA308" s="6">
        <f t="shared" ca="1" si="233"/>
        <v>-0.91693191188337309</v>
      </c>
      <c r="CB308" s="6">
        <f t="shared" ca="1" si="234"/>
        <v>0.39904369305867005</v>
      </c>
      <c r="CC308" s="6">
        <f t="shared" ca="1" si="235"/>
        <v>2.7311189866576404</v>
      </c>
      <c r="CD308" s="6">
        <f t="shared" ca="1" si="236"/>
        <v>2.7918705311841521</v>
      </c>
      <c r="CE308" s="9">
        <f t="shared" ca="1" si="237"/>
        <v>0.13782745501313265</v>
      </c>
      <c r="CF308">
        <f t="shared" ca="1" si="238"/>
        <v>2.7952705540340594</v>
      </c>
      <c r="CG308" s="6">
        <f t="shared" ca="1" si="239"/>
        <v>0.99878365160574512</v>
      </c>
      <c r="CH308" s="6">
        <f t="shared" ca="1" si="240"/>
        <v>4.9307375564853199E-2</v>
      </c>
      <c r="CI308" s="6">
        <f t="shared" ca="1" si="241"/>
        <v>4.9327376945681567E-2</v>
      </c>
      <c r="CJ308" s="1">
        <f t="shared" ca="1" si="242"/>
        <v>2.8472866135172472</v>
      </c>
      <c r="CK308" s="38"/>
    </row>
    <row r="309" spans="55:89" x14ac:dyDescent="0.25">
      <c r="BC309">
        <v>5.3581608036225559</v>
      </c>
      <c r="BD309">
        <v>-42.710148449949301</v>
      </c>
      <c r="BE309">
        <v>13.589044940195635</v>
      </c>
      <c r="BF309" s="6">
        <f t="shared" si="225"/>
        <v>2.8335515183791733</v>
      </c>
      <c r="BG309" s="6">
        <f t="shared" si="226"/>
        <v>2.5246092852433826</v>
      </c>
      <c r="BH309" s="6">
        <f t="shared" si="227"/>
        <v>6.3062472083755594E-2</v>
      </c>
      <c r="BI309" s="6">
        <f t="shared" si="228"/>
        <v>6.3062472083755594E-2</v>
      </c>
      <c r="BV309" s="38"/>
      <c r="BW309" s="6">
        <f t="shared" si="229"/>
        <v>5.1312680008632956</v>
      </c>
      <c r="BX309" s="9">
        <f t="shared" ca="1" si="230"/>
        <v>-29.052968048818045</v>
      </c>
      <c r="BY309" s="9">
        <f t="shared" ca="1" si="231"/>
        <v>12.418925056766906</v>
      </c>
      <c r="BZ309">
        <f t="shared" ca="1" si="232"/>
        <v>31.595959425395442</v>
      </c>
      <c r="CA309" s="6">
        <f t="shared" ca="1" si="233"/>
        <v>-0.91951529806898491</v>
      </c>
      <c r="CB309" s="6">
        <f t="shared" ca="1" si="234"/>
        <v>0.39305421587499317</v>
      </c>
      <c r="CC309" s="6">
        <f t="shared" ca="1" si="235"/>
        <v>2.7376418596425833</v>
      </c>
      <c r="CD309" s="6">
        <f t="shared" ca="1" si="236"/>
        <v>3.064979377982354</v>
      </c>
      <c r="CE309" s="9">
        <f t="shared" ca="1" si="237"/>
        <v>0.24373783351165201</v>
      </c>
      <c r="CF309">
        <f t="shared" ca="1" si="238"/>
        <v>3.074655544763031</v>
      </c>
      <c r="CG309" s="6">
        <f t="shared" ca="1" si="239"/>
        <v>0.99685292656695867</v>
      </c>
      <c r="CH309" s="6">
        <f t="shared" ca="1" si="240"/>
        <v>7.9273216125560278E-2</v>
      </c>
      <c r="CI309" s="6">
        <f t="shared" ca="1" si="241"/>
        <v>7.9356480494766707E-2</v>
      </c>
      <c r="CJ309" s="1">
        <f t="shared" ca="1" si="242"/>
        <v>2.817257509968162</v>
      </c>
      <c r="CK309" s="38"/>
    </row>
    <row r="310" spans="55:89" x14ac:dyDescent="0.25">
      <c r="BC310">
        <v>5.375614096142499</v>
      </c>
      <c r="BD310">
        <v>-42.60297597394527</v>
      </c>
      <c r="BE310">
        <v>13.690910147147584</v>
      </c>
      <c r="BF310" s="6">
        <f t="shared" si="225"/>
        <v>2.8306561460649173</v>
      </c>
      <c r="BG310" s="6">
        <f t="shared" si="226"/>
        <v>2.5449579500775816</v>
      </c>
      <c r="BH310" s="6">
        <f t="shared" si="227"/>
        <v>6.595784439801157E-2</v>
      </c>
      <c r="BI310" s="6">
        <f t="shared" si="228"/>
        <v>6.595784439801157E-2</v>
      </c>
      <c r="BV310" s="38"/>
      <c r="BW310" s="6">
        <f t="shared" si="229"/>
        <v>5.1487212933832387</v>
      </c>
      <c r="BX310" s="9">
        <f t="shared" ca="1" si="230"/>
        <v>-29.305920073467014</v>
      </c>
      <c r="BY310" s="9">
        <f t="shared" ca="1" si="231"/>
        <v>12.313554111220327</v>
      </c>
      <c r="BZ310">
        <f t="shared" ca="1" si="232"/>
        <v>31.78774238920386</v>
      </c>
      <c r="CA310" s="6">
        <f t="shared" ca="1" si="233"/>
        <v>-0.92192517841154542</v>
      </c>
      <c r="CB310" s="6">
        <f t="shared" ca="1" si="234"/>
        <v>0.38736799740148914</v>
      </c>
      <c r="CC310" s="6">
        <f t="shared" ca="1" si="235"/>
        <v>2.7438176774038165</v>
      </c>
      <c r="CD310" s="6">
        <f t="shared" ca="1" si="236"/>
        <v>3.3179314026313236</v>
      </c>
      <c r="CE310" s="9">
        <f t="shared" ca="1" si="237"/>
        <v>0.34910877905823057</v>
      </c>
      <c r="CF310">
        <f t="shared" ca="1" si="238"/>
        <v>3.3362472528550087</v>
      </c>
      <c r="CG310" s="6">
        <f t="shared" ca="1" si="239"/>
        <v>0.99451004411977828</v>
      </c>
      <c r="CH310" s="6">
        <f t="shared" ca="1" si="240"/>
        <v>0.10464115894272499</v>
      </c>
      <c r="CI310" s="6">
        <f t="shared" ca="1" si="241"/>
        <v>0.10483307222906722</v>
      </c>
      <c r="CJ310" s="1">
        <f t="shared" ca="1" si="242"/>
        <v>2.7917809182338615</v>
      </c>
      <c r="CK310" s="38"/>
    </row>
    <row r="311" spans="55:89" x14ac:dyDescent="0.25">
      <c r="BC311">
        <v>5.3930673886624421</v>
      </c>
      <c r="BD311">
        <v>-42.501374877251962</v>
      </c>
      <c r="BE311">
        <v>13.792592826078582</v>
      </c>
      <c r="BF311" s="6">
        <f t="shared" si="225"/>
        <v>2.8277939662757294</v>
      </c>
      <c r="BG311" s="6">
        <f t="shared" si="226"/>
        <v>2.5652734223867126</v>
      </c>
      <c r="BH311" s="6">
        <f t="shared" si="227"/>
        <v>6.8820024187199458E-2</v>
      </c>
      <c r="BI311" s="6">
        <f t="shared" si="228"/>
        <v>6.8820024187199458E-2</v>
      </c>
      <c r="BV311" s="38"/>
      <c r="BW311" s="6">
        <f t="shared" si="229"/>
        <v>5.1661745859031818</v>
      </c>
      <c r="BX311" s="9">
        <f t="shared" ca="1" si="230"/>
        <v>-29.540389634538627</v>
      </c>
      <c r="BY311" s="9">
        <f t="shared" ca="1" si="231"/>
        <v>12.208623371366691</v>
      </c>
      <c r="BZ311">
        <f t="shared" ca="1" si="232"/>
        <v>31.963809290887689</v>
      </c>
      <c r="CA311" s="6">
        <f t="shared" ca="1" si="233"/>
        <v>-0.92418238907964156</v>
      </c>
      <c r="CB311" s="6">
        <f t="shared" ca="1" si="234"/>
        <v>0.38195145203945235</v>
      </c>
      <c r="CC311" s="6">
        <f t="shared" ca="1" si="235"/>
        <v>2.7496857318060677</v>
      </c>
      <c r="CD311" s="6">
        <f t="shared" ca="1" si="236"/>
        <v>3.5524009637029366</v>
      </c>
      <c r="CE311" s="9">
        <f t="shared" ca="1" si="237"/>
        <v>0.45403951891186622</v>
      </c>
      <c r="CF311">
        <f t="shared" ca="1" si="238"/>
        <v>3.581299274237113</v>
      </c>
      <c r="CG311" s="6">
        <f t="shared" ca="1" si="239"/>
        <v>0.99193077474924729</v>
      </c>
      <c r="CH311" s="6">
        <f t="shared" ca="1" si="240"/>
        <v>0.12678066928896511</v>
      </c>
      <c r="CI311" s="6">
        <f t="shared" ca="1" si="241"/>
        <v>0.12712278103409821</v>
      </c>
      <c r="CJ311" s="1">
        <f t="shared" ca="1" si="242"/>
        <v>2.7694912094288306</v>
      </c>
      <c r="CK311" s="38"/>
    </row>
    <row r="312" spans="55:89" x14ac:dyDescent="0.25">
      <c r="BC312">
        <v>5.4105206811823852</v>
      </c>
      <c r="BD312">
        <v>-42.404916030430705</v>
      </c>
      <c r="BE312">
        <v>13.894100872160127</v>
      </c>
      <c r="BF312" s="6">
        <f t="shared" si="225"/>
        <v>2.824963018984405</v>
      </c>
      <c r="BG312" s="6">
        <f t="shared" si="226"/>
        <v>2.5855576621979801</v>
      </c>
      <c r="BH312" s="6">
        <f t="shared" si="227"/>
        <v>7.1650971478523839E-2</v>
      </c>
      <c r="BI312" s="6">
        <f t="shared" si="228"/>
        <v>7.1650971478523839E-2</v>
      </c>
      <c r="BV312" s="38"/>
      <c r="BW312" s="6">
        <f t="shared" si="229"/>
        <v>5.1836278784231249</v>
      </c>
      <c r="BX312" s="9">
        <f t="shared" ca="1" si="230"/>
        <v>-29.757928135898503</v>
      </c>
      <c r="BY312" s="9">
        <f t="shared" ca="1" si="231"/>
        <v>12.104071025135328</v>
      </c>
      <c r="BZ312">
        <f t="shared" ca="1" si="232"/>
        <v>32.125423301846475</v>
      </c>
      <c r="CA312" s="6">
        <f t="shared" ca="1" si="233"/>
        <v>-0.92630462348454423</v>
      </c>
      <c r="CB312" s="6">
        <f t="shared" ca="1" si="234"/>
        <v>0.37677545635451976</v>
      </c>
      <c r="CC312" s="6">
        <f t="shared" ca="1" si="235"/>
        <v>2.7552799155547389</v>
      </c>
      <c r="CD312" s="6">
        <f t="shared" ca="1" si="236"/>
        <v>3.7699394650628122</v>
      </c>
      <c r="CE312" s="9">
        <f t="shared" ca="1" si="237"/>
        <v>0.55859186514322978</v>
      </c>
      <c r="CF312">
        <f t="shared" ca="1" si="238"/>
        <v>3.8110980625066939</v>
      </c>
      <c r="CG312" s="6">
        <f t="shared" ca="1" si="239"/>
        <v>0.98920033104138749</v>
      </c>
      <c r="CH312" s="6">
        <f t="shared" ca="1" si="240"/>
        <v>0.14656979589127239</v>
      </c>
      <c r="CI312" s="6">
        <f t="shared" ca="1" si="241"/>
        <v>0.14709972089718268</v>
      </c>
      <c r="CJ312" s="1">
        <f t="shared" ca="1" si="242"/>
        <v>2.7495142695657462</v>
      </c>
      <c r="CK312" s="38"/>
    </row>
    <row r="313" spans="55:89" x14ac:dyDescent="0.25">
      <c r="BC313">
        <v>5.4279739737023283</v>
      </c>
      <c r="BD313">
        <v>-42.313213421479389</v>
      </c>
      <c r="BE313">
        <v>13.995443590415602</v>
      </c>
      <c r="BF313" s="6">
        <f t="shared" si="225"/>
        <v>2.8221614795428387</v>
      </c>
      <c r="BG313" s="6">
        <f t="shared" si="226"/>
        <v>2.6058124941594896</v>
      </c>
      <c r="BH313" s="6">
        <f t="shared" si="227"/>
        <v>7.4452510920090198E-2</v>
      </c>
      <c r="BI313" s="6">
        <f t="shared" si="228"/>
        <v>7.4452510920090198E-2</v>
      </c>
      <c r="BV313" s="38"/>
      <c r="BW313" s="6">
        <f t="shared" si="229"/>
        <v>5.201081170943068</v>
      </c>
      <c r="BX313" s="9">
        <f t="shared" ca="1" si="230"/>
        <v>-29.959983828480603</v>
      </c>
      <c r="BY313" s="9">
        <f t="shared" ca="1" si="231"/>
        <v>11.9998580787222</v>
      </c>
      <c r="BZ313">
        <f t="shared" ca="1" si="232"/>
        <v>32.273785413432584</v>
      </c>
      <c r="CA313" s="6">
        <f t="shared" ca="1" si="233"/>
        <v>-0.92830709024950753</v>
      </c>
      <c r="CB313" s="6">
        <f t="shared" ca="1" si="234"/>
        <v>0.37181439750565398</v>
      </c>
      <c r="CC313" s="6">
        <f t="shared" ca="1" si="235"/>
        <v>2.7606298731541119</v>
      </c>
      <c r="CD313" s="6">
        <f t="shared" ca="1" si="236"/>
        <v>3.971995157644912</v>
      </c>
      <c r="CE313" s="9">
        <f t="shared" ca="1" si="237"/>
        <v>0.66280481155635762</v>
      </c>
      <c r="CF313">
        <f t="shared" ca="1" si="238"/>
        <v>4.0269164072000416</v>
      </c>
      <c r="CG313" s="6">
        <f t="shared" ca="1" si="239"/>
        <v>0.98636146271699809</v>
      </c>
      <c r="CH313" s="6">
        <f t="shared" ca="1" si="240"/>
        <v>0.16459363555977388</v>
      </c>
      <c r="CI313" s="6">
        <f t="shared" ca="1" si="241"/>
        <v>0.16534601384580541</v>
      </c>
      <c r="CJ313" s="1">
        <f t="shared" ca="1" si="242"/>
        <v>2.7312679766171235</v>
      </c>
      <c r="CK313" s="38"/>
    </row>
    <row r="314" spans="55:89" x14ac:dyDescent="0.25">
      <c r="BC314">
        <v>5.4454272662222714</v>
      </c>
      <c r="BD314">
        <v>-42.225918838938789</v>
      </c>
      <c r="BE314">
        <v>14.096631849513244</v>
      </c>
      <c r="BF314" s="6">
        <f t="shared" si="225"/>
        <v>2.8193876365175257</v>
      </c>
      <c r="BG314" s="6">
        <f t="shared" si="226"/>
        <v>2.6260396297047457</v>
      </c>
      <c r="BH314" s="6">
        <f t="shared" si="227"/>
        <v>7.7226353945403226E-2</v>
      </c>
      <c r="BI314" s="6">
        <f t="shared" si="228"/>
        <v>7.7226353945403226E-2</v>
      </c>
      <c r="BV314" s="38"/>
      <c r="BW314" s="6">
        <f t="shared" si="229"/>
        <v>5.2185344634630111</v>
      </c>
      <c r="BX314" s="9">
        <f t="shared" ca="1" si="230"/>
        <v>-30.147917167058445</v>
      </c>
      <c r="BY314" s="9">
        <f t="shared" ca="1" si="231"/>
        <v>11.895957721516629</v>
      </c>
      <c r="BZ314">
        <f t="shared" ca="1" si="232"/>
        <v>32.410040413796594</v>
      </c>
      <c r="CA314" s="6">
        <f t="shared" ca="1" si="233"/>
        <v>-0.93020301061472332</v>
      </c>
      <c r="CB314" s="6">
        <f t="shared" ca="1" si="234"/>
        <v>0.36704544547413315</v>
      </c>
      <c r="CC314" s="6">
        <f t="shared" ca="1" si="235"/>
        <v>2.7657618781536564</v>
      </c>
      <c r="CD314" s="6">
        <f t="shared" ca="1" si="236"/>
        <v>4.1599284962227543</v>
      </c>
      <c r="CE314" s="9">
        <f t="shared" ca="1" si="237"/>
        <v>0.76670516876192885</v>
      </c>
      <c r="CF314">
        <f t="shared" ca="1" si="238"/>
        <v>4.2299931335041627</v>
      </c>
      <c r="CG314" s="6">
        <f t="shared" ca="1" si="239"/>
        <v>0.98343622907411998</v>
      </c>
      <c r="CH314" s="6">
        <f t="shared" ca="1" si="240"/>
        <v>0.18125447123995297</v>
      </c>
      <c r="CI314" s="6">
        <f t="shared" ca="1" si="241"/>
        <v>0.1822619016651556</v>
      </c>
      <c r="CJ314" s="1">
        <f t="shared" ca="1" si="242"/>
        <v>2.7143520887977735</v>
      </c>
      <c r="CK314" s="38"/>
    </row>
    <row r="315" spans="55:89" x14ac:dyDescent="0.25">
      <c r="BC315">
        <v>5.4628805587422145</v>
      </c>
      <c r="BD315">
        <v>-42.142717345367004</v>
      </c>
      <c r="BE315">
        <v>14.197678169040897</v>
      </c>
      <c r="BF315" s="6">
        <f t="shared" si="225"/>
        <v>2.8166398736711655</v>
      </c>
      <c r="BG315" s="6">
        <f t="shared" si="226"/>
        <v>2.6462406850710489</v>
      </c>
      <c r="BH315" s="6">
        <f t="shared" si="227"/>
        <v>7.9974116791763361E-2</v>
      </c>
      <c r="BI315" s="6">
        <f t="shared" si="228"/>
        <v>7.9974116791763361E-2</v>
      </c>
      <c r="BV315" s="38"/>
      <c r="BW315" s="6">
        <f t="shared" si="229"/>
        <v>5.2359877559829542</v>
      </c>
      <c r="BX315" s="9">
        <f t="shared" ca="1" si="230"/>
        <v>-30.323013098198246</v>
      </c>
      <c r="BY315" s="9">
        <f t="shared" ca="1" si="231"/>
        <v>11.792347553482575</v>
      </c>
      <c r="BZ315">
        <f t="shared" ca="1" si="232"/>
        <v>32.535282143783981</v>
      </c>
      <c r="CA315" s="6">
        <f t="shared" ca="1" si="233"/>
        <v>-0.93200399997120054</v>
      </c>
      <c r="CB315" s="6">
        <f t="shared" ca="1" si="234"/>
        <v>0.36244798804474354</v>
      </c>
      <c r="CC315" s="6">
        <f t="shared" ca="1" si="235"/>
        <v>2.7706995118997044</v>
      </c>
      <c r="CD315" s="6">
        <f t="shared" ca="1" si="236"/>
        <v>4.3350244273625549</v>
      </c>
      <c r="CE315" s="9">
        <f t="shared" ca="1" si="237"/>
        <v>0.87031533679598283</v>
      </c>
      <c r="CF315">
        <f t="shared" ca="1" si="238"/>
        <v>4.4215252539471441</v>
      </c>
      <c r="CG315" s="6">
        <f t="shared" ca="1" si="239"/>
        <v>0.98043642824218435</v>
      </c>
      <c r="CH315" s="6">
        <f t="shared" ca="1" si="240"/>
        <v>0.19683599817032432</v>
      </c>
      <c r="CI315" s="6">
        <f t="shared" ca="1" si="241"/>
        <v>0.19812973294644587</v>
      </c>
      <c r="CJ315" s="1">
        <f t="shared" ca="1" si="242"/>
        <v>2.6984842575164829</v>
      </c>
      <c r="CK315" s="38"/>
    </row>
    <row r="316" spans="55:89" x14ac:dyDescent="0.25">
      <c r="BC316">
        <v>5.4803338512621576</v>
      </c>
      <c r="BD316">
        <v>-42.06332337731196</v>
      </c>
      <c r="BE316">
        <v>14.298596750209564</v>
      </c>
      <c r="BF316" s="6">
        <f t="shared" si="225"/>
        <v>2.8139166552308028</v>
      </c>
      <c r="BG316" s="6">
        <f t="shared" si="226"/>
        <v>2.6664171960313547</v>
      </c>
      <c r="BH316" s="6">
        <f t="shared" si="227"/>
        <v>8.2697335232126065E-2</v>
      </c>
      <c r="BI316" s="6">
        <f t="shared" si="228"/>
        <v>8.2697335232126065E-2</v>
      </c>
      <c r="BV316" s="38"/>
      <c r="BW316" s="6">
        <f t="shared" si="229"/>
        <v>5.2534410485028973</v>
      </c>
      <c r="BX316" s="9">
        <f t="shared" ca="1" si="230"/>
        <v>-30.48648983951162</v>
      </c>
      <c r="BY316" s="9">
        <f t="shared" ca="1" si="231"/>
        <v>11.689004092459474</v>
      </c>
      <c r="BZ316">
        <f t="shared" ca="1" si="232"/>
        <v>32.650557107164033</v>
      </c>
      <c r="CA316" s="6">
        <f t="shared" ca="1" si="233"/>
        <v>-0.93372035703557466</v>
      </c>
      <c r="CB316" s="6">
        <f t="shared" ca="1" si="234"/>
        <v>0.35800320509369582</v>
      </c>
      <c r="CC316" s="6">
        <f t="shared" ca="1" si="235"/>
        <v>2.7754641755817278</v>
      </c>
      <c r="CD316" s="6">
        <f t="shared" ca="1" si="236"/>
        <v>4.4985011686759293</v>
      </c>
      <c r="CE316" s="9">
        <f t="shared" ca="1" si="237"/>
        <v>0.97365879781908404</v>
      </c>
      <c r="CF316">
        <f t="shared" ca="1" si="238"/>
        <v>4.6026649040690772</v>
      </c>
      <c r="CG316" s="6">
        <f t="shared" ca="1" si="239"/>
        <v>0.97736882054979501</v>
      </c>
      <c r="CH316" s="6">
        <f t="shared" ca="1" si="240"/>
        <v>0.21154240382746561</v>
      </c>
      <c r="CI316" s="6">
        <f t="shared" ca="1" si="241"/>
        <v>0.21315280949707158</v>
      </c>
      <c r="CJ316" s="1">
        <f t="shared" ca="1" si="242"/>
        <v>2.6834611809658573</v>
      </c>
      <c r="CK316" s="38"/>
    </row>
    <row r="317" spans="55:89" x14ac:dyDescent="0.25">
      <c r="BC317">
        <v>5.4977871437821006</v>
      </c>
      <c r="BD317">
        <v>-41.987477410409561</v>
      </c>
      <c r="BE317">
        <v>14.399403479280387</v>
      </c>
      <c r="BF317" s="6">
        <f t="shared" si="225"/>
        <v>2.8112165137932235</v>
      </c>
      <c r="BG317" s="6">
        <f t="shared" si="226"/>
        <v>2.6865706299888772</v>
      </c>
      <c r="BH317" s="6">
        <f t="shared" si="227"/>
        <v>8.539747666970543E-2</v>
      </c>
      <c r="BI317" s="6">
        <f t="shared" si="228"/>
        <v>8.539747666970543E-2</v>
      </c>
      <c r="BV317" s="38"/>
      <c r="BW317" s="6">
        <f t="shared" si="229"/>
        <v>5.2708943410228404</v>
      </c>
      <c r="BX317" s="9">
        <f t="shared" ca="1" si="230"/>
        <v>-30.639474465153803</v>
      </c>
      <c r="BY317" s="9">
        <f t="shared" ca="1" si="231"/>
        <v>11.585904075623739</v>
      </c>
      <c r="BZ317">
        <f t="shared" ca="1" si="232"/>
        <v>32.756840029990173</v>
      </c>
      <c r="CA317" s="6">
        <f t="shared" ca="1" si="233"/>
        <v>-0.93536111655160148</v>
      </c>
      <c r="CB317" s="6">
        <f t="shared" ca="1" si="234"/>
        <v>0.35369419226690946</v>
      </c>
      <c r="CC317" s="6">
        <f t="shared" ca="1" si="235"/>
        <v>2.7800750020798146</v>
      </c>
      <c r="CD317" s="6">
        <f t="shared" ca="1" si="236"/>
        <v>4.6514857943181127</v>
      </c>
      <c r="CE317" s="9">
        <f t="shared" ca="1" si="237"/>
        <v>1.0767588146548182</v>
      </c>
      <c r="CF317">
        <f t="shared" ca="1" si="238"/>
        <v>4.7744873693078356</v>
      </c>
      <c r="CG317" s="6">
        <f t="shared" ca="1" si="239"/>
        <v>0.97423774209134528</v>
      </c>
      <c r="CH317" s="6">
        <f t="shared" ca="1" si="240"/>
        <v>0.2255234397679258</v>
      </c>
      <c r="CI317" s="6">
        <f t="shared" ca="1" si="241"/>
        <v>0.22748028414528459</v>
      </c>
      <c r="CJ317" s="1">
        <f t="shared" ca="1" si="242"/>
        <v>2.6691337063176444</v>
      </c>
      <c r="CK317" s="38"/>
    </row>
    <row r="318" spans="55:89" x14ac:dyDescent="0.25">
      <c r="BC318">
        <v>5.5152404363020437</v>
      </c>
      <c r="BD318">
        <v>-41.914943057122045</v>
      </c>
      <c r="BE318">
        <v>14.500115900810002</v>
      </c>
      <c r="BF318" s="6">
        <f t="shared" si="225"/>
        <v>2.8085380403172677</v>
      </c>
      <c r="BG318" s="6">
        <f t="shared" si="226"/>
        <v>2.706702395984776</v>
      </c>
      <c r="BH318" s="6">
        <f t="shared" si="227"/>
        <v>8.8075950145661164E-2</v>
      </c>
      <c r="BI318" s="6">
        <f t="shared" si="228"/>
        <v>8.8075950145661164E-2</v>
      </c>
      <c r="BV318" s="38"/>
      <c r="BW318" s="6">
        <f t="shared" si="229"/>
        <v>5.2883476335427835</v>
      </c>
      <c r="BX318" s="9">
        <f t="shared" ca="1" si="230"/>
        <v>-30.78296006505915</v>
      </c>
      <c r="BY318" s="9">
        <f t="shared" ca="1" si="231"/>
        <v>11.483030748285875</v>
      </c>
      <c r="BZ318">
        <f t="shared" ca="1" si="232"/>
        <v>32.854993920758915</v>
      </c>
      <c r="CA318" s="6">
        <f t="shared" ca="1" si="233"/>
        <v>-0.93693397537381429</v>
      </c>
      <c r="CB318" s="6">
        <f t="shared" ca="1" si="234"/>
        <v>0.34950640307470887</v>
      </c>
      <c r="CC318" s="6">
        <f t="shared" ca="1" si="235"/>
        <v>2.7845484232051469</v>
      </c>
      <c r="CD318" s="6">
        <f t="shared" ca="1" si="236"/>
        <v>4.7949713942234595</v>
      </c>
      <c r="CE318" s="9">
        <f t="shared" ca="1" si="237"/>
        <v>1.1796321419926823</v>
      </c>
      <c r="CF318">
        <f t="shared" ca="1" si="238"/>
        <v>4.937943161058409</v>
      </c>
      <c r="CG318" s="6">
        <f t="shared" ca="1" si="239"/>
        <v>0.97104629150808119</v>
      </c>
      <c r="CH318" s="6">
        <f t="shared" ca="1" si="240"/>
        <v>0.23889139739304685</v>
      </c>
      <c r="CI318" s="6">
        <f t="shared" ca="1" si="241"/>
        <v>0.24122403258518599</v>
      </c>
      <c r="CJ318" s="1">
        <f t="shared" ca="1" si="242"/>
        <v>2.6553899578777429</v>
      </c>
      <c r="CK318" s="38"/>
    </row>
    <row r="319" spans="55:89" x14ac:dyDescent="0.25">
      <c r="BC319">
        <v>5.5326937288219868</v>
      </c>
      <c r="BD319">
        <v>-41.845504562847239</v>
      </c>
      <c r="BE319">
        <v>14.600753180542688</v>
      </c>
      <c r="BF319" s="6">
        <f t="shared" si="225"/>
        <v>2.8058798758067329</v>
      </c>
      <c r="BG319" s="6">
        <f t="shared" si="226"/>
        <v>2.7268138530152539</v>
      </c>
      <c r="BH319" s="6">
        <f t="shared" si="227"/>
        <v>9.0734114656195963E-2</v>
      </c>
      <c r="BI319" s="6">
        <f t="shared" si="228"/>
        <v>9.0734114656195963E-2</v>
      </c>
      <c r="BV319" s="38"/>
      <c r="BW319" s="6">
        <f t="shared" si="229"/>
        <v>5.3058009260627266</v>
      </c>
      <c r="BX319" s="9">
        <f t="shared" ca="1" si="230"/>
        <v>-30.917816731228854</v>
      </c>
      <c r="BY319" s="9">
        <f t="shared" ca="1" si="231"/>
        <v>11.380372778903538</v>
      </c>
      <c r="BZ319">
        <f t="shared" ca="1" si="232"/>
        <v>32.945777817691045</v>
      </c>
      <c r="CA319" s="6">
        <f t="shared" ca="1" si="233"/>
        <v>-0.93844549375388464</v>
      </c>
      <c r="CB319" s="6">
        <f t="shared" ca="1" si="234"/>
        <v>0.34542735162842531</v>
      </c>
      <c r="CC319" s="6">
        <f t="shared" ca="1" si="235"/>
        <v>2.7888985241644222</v>
      </c>
      <c r="CD319" s="6">
        <f t="shared" ca="1" si="236"/>
        <v>4.929828060393163</v>
      </c>
      <c r="CE319" s="9">
        <f t="shared" ca="1" si="237"/>
        <v>1.2822901113750191</v>
      </c>
      <c r="CF319">
        <f t="shared" ca="1" si="238"/>
        <v>5.0938661775482457</v>
      </c>
      <c r="CG319" s="6">
        <f t="shared" ca="1" si="239"/>
        <v>0.9677969323422555</v>
      </c>
      <c r="CH319" s="6">
        <f t="shared" ca="1" si="240"/>
        <v>0.25173219450225226</v>
      </c>
      <c r="CI319" s="6">
        <f t="shared" ca="1" si="241"/>
        <v>0.25446967226433825</v>
      </c>
      <c r="CJ319" s="1">
        <f t="shared" ca="1" si="242"/>
        <v>2.6421443181985906</v>
      </c>
      <c r="CK319" s="38"/>
    </row>
    <row r="320" spans="55:89" x14ac:dyDescent="0.25">
      <c r="BC320">
        <v>5.5501470213419299</v>
      </c>
      <c r="BD320">
        <v>-41.778964621486779</v>
      </c>
      <c r="BE320">
        <v>14.701336057945024</v>
      </c>
      <c r="BF320" s="6">
        <f t="shared" si="225"/>
        <v>2.8032407043396201</v>
      </c>
      <c r="BG320" s="6">
        <f t="shared" si="226"/>
        <v>2.7469063170023098</v>
      </c>
      <c r="BH320" s="6">
        <f t="shared" si="227"/>
        <v>9.3373286123308738E-2</v>
      </c>
      <c r="BI320" s="6">
        <f t="shared" si="228"/>
        <v>9.3373286123308738E-2</v>
      </c>
      <c r="BV320" s="38"/>
      <c r="BW320" s="6">
        <f t="shared" si="229"/>
        <v>5.3232542185826697</v>
      </c>
      <c r="BX320" s="9">
        <f t="shared" ca="1" si="230"/>
        <v>-31.044810321360096</v>
      </c>
      <c r="BY320" s="9">
        <f t="shared" ca="1" si="231"/>
        <v>11.277922114549822</v>
      </c>
      <c r="BZ320">
        <f t="shared" ca="1" si="232"/>
        <v>33.029861869391432</v>
      </c>
      <c r="CA320" s="6">
        <f t="shared" ca="1" si="233"/>
        <v>-0.93990130640325598</v>
      </c>
      <c r="CB320" s="6">
        <f t="shared" ca="1" si="234"/>
        <v>0.34144623913795419</v>
      </c>
      <c r="CC320" s="6">
        <f t="shared" ca="1" si="235"/>
        <v>2.7931374714438704</v>
      </c>
      <c r="CD320" s="6">
        <f t="shared" ca="1" si="236"/>
        <v>5.0568216505244052</v>
      </c>
      <c r="CE320" s="9">
        <f t="shared" ca="1" si="237"/>
        <v>1.3847407757287353</v>
      </c>
      <c r="CF320">
        <f t="shared" ca="1" si="238"/>
        <v>5.2429907706554459</v>
      </c>
      <c r="CG320" s="6">
        <f t="shared" ca="1" si="239"/>
        <v>0.96449180853549987</v>
      </c>
      <c r="CH320" s="6">
        <f t="shared" ca="1" si="240"/>
        <v>0.2641127624101508</v>
      </c>
      <c r="CI320" s="6">
        <f t="shared" ca="1" si="241"/>
        <v>0.26728390466490287</v>
      </c>
      <c r="CJ320" s="1">
        <f t="shared" ca="1" si="242"/>
        <v>2.629330085798026</v>
      </c>
      <c r="CK320" s="38"/>
    </row>
    <row r="321" spans="55:89" x14ac:dyDescent="0.25">
      <c r="BC321">
        <v>5.567600313861873</v>
      </c>
      <c r="BD321">
        <v>-41.715142461301625</v>
      </c>
      <c r="BE321">
        <v>14.801886792988704</v>
      </c>
      <c r="BF321" s="6">
        <f t="shared" si="225"/>
        <v>2.8006192471718707</v>
      </c>
      <c r="BG321" s="6">
        <f t="shared" si="226"/>
        <v>2.7669810666900023</v>
      </c>
      <c r="BH321" s="6">
        <f t="shared" si="227"/>
        <v>9.5994743291058171E-2</v>
      </c>
      <c r="BI321" s="6">
        <f t="shared" si="228"/>
        <v>9.5994743291058171E-2</v>
      </c>
      <c r="BV321" s="38"/>
      <c r="BW321" s="6">
        <f t="shared" si="229"/>
        <v>5.3407075111026128</v>
      </c>
      <c r="BX321" s="9">
        <f t="shared" ca="1" si="230"/>
        <v>-31.164617858586674</v>
      </c>
      <c r="BY321" s="9">
        <f t="shared" ca="1" si="231"/>
        <v>11.175672420671397</v>
      </c>
      <c r="BZ321">
        <f t="shared" ca="1" si="232"/>
        <v>33.107839861970682</v>
      </c>
      <c r="CA321" s="6">
        <f t="shared" ca="1" si="233"/>
        <v>-0.94130628843544428</v>
      </c>
      <c r="CB321" s="6">
        <f t="shared" ca="1" si="234"/>
        <v>0.33755365699676265</v>
      </c>
      <c r="CC321" s="6">
        <f t="shared" ca="1" si="235"/>
        <v>2.7972758521270475</v>
      </c>
      <c r="CD321" s="6">
        <f t="shared" ca="1" si="236"/>
        <v>5.1766291877509829</v>
      </c>
      <c r="CE321" s="9">
        <f t="shared" ca="1" si="237"/>
        <v>1.4869904696071607</v>
      </c>
      <c r="CF321">
        <f t="shared" ca="1" si="238"/>
        <v>5.3859660604368766</v>
      </c>
      <c r="CG321" s="6">
        <f t="shared" ca="1" si="239"/>
        <v>0.96113290163048049</v>
      </c>
      <c r="CH321" s="6">
        <f t="shared" ca="1" si="240"/>
        <v>0.27608611954130013</v>
      </c>
      <c r="CI321" s="6">
        <f t="shared" ca="1" si="241"/>
        <v>0.27971956023720818</v>
      </c>
      <c r="CJ321" s="1">
        <f t="shared" ca="1" si="242"/>
        <v>2.6168944302257202</v>
      </c>
      <c r="CK321" s="38"/>
    </row>
    <row r="322" spans="55:89" x14ac:dyDescent="0.25">
      <c r="BC322">
        <v>5.5850536063818161</v>
      </c>
      <c r="BD322">
        <v>-41.653872173274308</v>
      </c>
      <c r="BE322">
        <v>14.902429114238698</v>
      </c>
      <c r="BF322" s="6">
        <f t="shared" si="225"/>
        <v>2.7980142577187257</v>
      </c>
      <c r="BG322" s="6">
        <f t="shared" si="226"/>
        <v>2.7870393486630904</v>
      </c>
      <c r="BH322" s="6">
        <f t="shared" si="227"/>
        <v>9.8599732744203195E-2</v>
      </c>
      <c r="BI322" s="6">
        <f t="shared" si="228"/>
        <v>9.8599732744203195E-2</v>
      </c>
      <c r="BV322" s="38"/>
      <c r="BW322" s="6">
        <f t="shared" si="229"/>
        <v>5.3581608036225559</v>
      </c>
      <c r="BX322" s="9">
        <f t="shared" ca="1" si="230"/>
        <v>-31.277840220886389</v>
      </c>
      <c r="BY322" s="9">
        <f t="shared" ca="1" si="231"/>
        <v>11.073617950082923</v>
      </c>
      <c r="BZ322">
        <f t="shared" ca="1" si="232"/>
        <v>33.180239652354786</v>
      </c>
      <c r="CA322" s="6">
        <f t="shared" ca="1" si="233"/>
        <v>-0.94266468683165816</v>
      </c>
      <c r="CB322" s="6">
        <f t="shared" ca="1" si="234"/>
        <v>0.33374134925203996</v>
      </c>
      <c r="CC322" s="6">
        <f t="shared" ca="1" si="235"/>
        <v>2.8013229447747583</v>
      </c>
      <c r="CD322" s="6">
        <f t="shared" ca="1" si="236"/>
        <v>5.2898515500506988</v>
      </c>
      <c r="CE322" s="9">
        <f t="shared" ca="1" si="237"/>
        <v>1.5890449401956346</v>
      </c>
      <c r="CF322">
        <f t="shared" ca="1" si="238"/>
        <v>5.5233679257799881</v>
      </c>
      <c r="CG322" s="6">
        <f t="shared" ca="1" si="239"/>
        <v>0.957722103820141</v>
      </c>
      <c r="CH322" s="6">
        <f t="shared" ca="1" si="240"/>
        <v>0.28769492844734512</v>
      </c>
      <c r="CI322" s="6">
        <f t="shared" ca="1" si="241"/>
        <v>0.29181913758461198</v>
      </c>
      <c r="CJ322" s="1">
        <f t="shared" ca="1" si="242"/>
        <v>2.6047948528783169</v>
      </c>
      <c r="CK322" s="38"/>
    </row>
    <row r="323" spans="55:89" x14ac:dyDescent="0.25">
      <c r="BC323">
        <v>5.6025068989017592</v>
      </c>
      <c r="BD323">
        <v>-41.595001244796769</v>
      </c>
      <c r="BE323">
        <v>15.002988169565413</v>
      </c>
      <c r="BF323" s="6">
        <f t="shared" ref="BF323:BF362" si="243">IF(BC323&lt;&gt;"",IF(AND(BD323=0,BE323=0),0,MOD(ATAN2(BD323,BE323),2*PI())),NA())</f>
        <v>2.7954245172441898</v>
      </c>
      <c r="BG323" s="6">
        <f t="shared" ref="BG323:BG362" si="244">ABS(BC323-BF323)</f>
        <v>2.8070823816575694</v>
      </c>
      <c r="BH323" s="6">
        <f t="shared" ref="BH323:BH362" si="245">ATAN2(COS($U$13-BF323),SIN($U$13-BF323))</f>
        <v>0.10118947321873906</v>
      </c>
      <c r="BI323" s="6">
        <f t="shared" ref="BI323:BI362" si="246">ABS(BH323)</f>
        <v>0.10118947321873906</v>
      </c>
      <c r="BV323" s="38"/>
      <c r="BW323" s="6">
        <f t="shared" si="229"/>
        <v>5.375614096142499</v>
      </c>
      <c r="BX323" s="9">
        <f t="shared" ca="1" si="230"/>
        <v>-31.385012696890421</v>
      </c>
      <c r="BY323" s="9">
        <f t="shared" ca="1" si="231"/>
        <v>10.971752743130974</v>
      </c>
      <c r="BZ323">
        <f t="shared" ca="1" si="232"/>
        <v>33.247531942091207</v>
      </c>
      <c r="CA323" s="6">
        <f t="shared" ca="1" si="233"/>
        <v>-0.94398022540605953</v>
      </c>
      <c r="CB323" s="6">
        <f t="shared" ca="1" si="234"/>
        <v>0.33000202127005979</v>
      </c>
      <c r="CC323" s="6">
        <f t="shared" ca="1" si="235"/>
        <v>2.8052869372158495</v>
      </c>
      <c r="CD323" s="6">
        <f t="shared" ca="1" si="236"/>
        <v>5.39702402605473</v>
      </c>
      <c r="CE323" s="9">
        <f t="shared" ca="1" si="237"/>
        <v>1.6909101471475836</v>
      </c>
      <c r="CF323">
        <f t="shared" ca="1" si="238"/>
        <v>5.6557091035111302</v>
      </c>
      <c r="CG323" s="6">
        <f t="shared" ca="1" si="239"/>
        <v>0.95426124775480314</v>
      </c>
      <c r="CH323" s="6">
        <f t="shared" ca="1" si="240"/>
        <v>0.29897403070073864</v>
      </c>
      <c r="CI323" s="6">
        <f t="shared" ca="1" si="241"/>
        <v>0.30361732757278642</v>
      </c>
      <c r="CJ323" s="1">
        <f t="shared" ca="1" si="242"/>
        <v>2.5929966628901426</v>
      </c>
      <c r="CK323" s="38"/>
    </row>
    <row r="324" spans="55:89" x14ac:dyDescent="0.25">
      <c r="BC324">
        <v>5.6199601914217023</v>
      </c>
      <c r="BD324">
        <v>-41.538389257573385</v>
      </c>
      <c r="BE324">
        <v>15.10359047768263</v>
      </c>
      <c r="BF324" s="6">
        <f t="shared" si="243"/>
        <v>2.7928488310995729</v>
      </c>
      <c r="BG324" s="6">
        <f t="shared" si="244"/>
        <v>2.8271113603221294</v>
      </c>
      <c r="BH324" s="6">
        <f t="shared" si="245"/>
        <v>0.10376515936335597</v>
      </c>
      <c r="BI324" s="6">
        <f t="shared" si="246"/>
        <v>0.10376515936335597</v>
      </c>
      <c r="BV324" s="38"/>
      <c r="BW324" s="6">
        <f t="shared" si="229"/>
        <v>5.3930673886624421</v>
      </c>
      <c r="BX324" s="9">
        <f t="shared" ca="1" si="230"/>
        <v>-31.486613793583729</v>
      </c>
      <c r="BY324" s="9">
        <f t="shared" ca="1" si="231"/>
        <v>10.870070064199975</v>
      </c>
      <c r="BZ324">
        <f t="shared" ca="1" si="232"/>
        <v>33.310137666886241</v>
      </c>
      <c r="CA324" s="6">
        <f t="shared" ca="1" si="233"/>
        <v>-0.94525618922568166</v>
      </c>
      <c r="CB324" s="6">
        <f t="shared" ca="1" si="234"/>
        <v>0.32632918461354665</v>
      </c>
      <c r="CC324" s="6">
        <f t="shared" ca="1" si="235"/>
        <v>2.8091751028270524</v>
      </c>
      <c r="CD324" s="6">
        <f t="shared" ca="1" si="236"/>
        <v>5.4986251227480381</v>
      </c>
      <c r="CE324" s="9">
        <f t="shared" ca="1" si="237"/>
        <v>1.7925928260785824</v>
      </c>
      <c r="CF324">
        <f t="shared" ca="1" si="238"/>
        <v>5.783447698442882</v>
      </c>
      <c r="CG324" s="6">
        <f t="shared" ca="1" si="239"/>
        <v>0.9507521135236463</v>
      </c>
      <c r="CH324" s="6">
        <f t="shared" ca="1" si="240"/>
        <v>0.30995228444120188</v>
      </c>
      <c r="CI324" s="6">
        <f t="shared" ca="1" si="241"/>
        <v>0.31514284485923783</v>
      </c>
      <c r="CJ324" s="1">
        <f t="shared" ca="1" si="242"/>
        <v>2.581471145603691</v>
      </c>
      <c r="CK324" s="38"/>
    </row>
    <row r="325" spans="55:89" x14ac:dyDescent="0.25">
      <c r="BC325">
        <v>5.6374134839416454</v>
      </c>
      <c r="BD325">
        <v>-41.483906744405637</v>
      </c>
      <c r="BE325">
        <v>15.204263886946695</v>
      </c>
      <c r="BF325" s="6">
        <f t="shared" si="243"/>
        <v>2.7902860254300368</v>
      </c>
      <c r="BG325" s="6">
        <f t="shared" si="244"/>
        <v>2.8471274585116086</v>
      </c>
      <c r="BH325" s="6">
        <f t="shared" si="245"/>
        <v>0.10632796503289209</v>
      </c>
      <c r="BI325" s="6">
        <f t="shared" si="246"/>
        <v>0.10632796503289209</v>
      </c>
      <c r="BV325" s="38"/>
      <c r="BW325" s="6">
        <f t="shared" si="229"/>
        <v>5.4105206811823852</v>
      </c>
      <c r="BX325" s="9">
        <f t="shared" ca="1" si="230"/>
        <v>-31.583072640404986</v>
      </c>
      <c r="BY325" s="9">
        <f t="shared" ca="1" si="231"/>
        <v>10.768562018118431</v>
      </c>
      <c r="BZ325">
        <f t="shared" ca="1" si="232"/>
        <v>33.368434265742238</v>
      </c>
      <c r="CA325" s="6">
        <f t="shared" ca="1" si="233"/>
        <v>-0.94649549298241431</v>
      </c>
      <c r="CB325" s="6">
        <f t="shared" ca="1" si="234"/>
        <v>0.32271703048332701</v>
      </c>
      <c r="CC325" s="6">
        <f t="shared" ca="1" si="235"/>
        <v>2.8129939441415392</v>
      </c>
      <c r="CD325" s="6">
        <f t="shared" ca="1" si="236"/>
        <v>5.5950839695692949</v>
      </c>
      <c r="CE325" s="9">
        <f t="shared" ca="1" si="237"/>
        <v>1.8941008721601271</v>
      </c>
      <c r="CF325">
        <f t="shared" ca="1" si="238"/>
        <v>5.9069943914353811</v>
      </c>
      <c r="CG325" s="6">
        <f t="shared" ca="1" si="239"/>
        <v>0.94719642491648059</v>
      </c>
      <c r="CH325" s="6">
        <f t="shared" ca="1" si="240"/>
        <v>0.32065391409655064</v>
      </c>
      <c r="CI325" s="6">
        <f t="shared" ca="1" si="241"/>
        <v>0.32641977469016425</v>
      </c>
      <c r="CJ325" s="1">
        <f t="shared" ca="1" si="242"/>
        <v>2.5701942157727649</v>
      </c>
      <c r="CK325" s="38"/>
    </row>
    <row r="326" spans="55:89" x14ac:dyDescent="0.25">
      <c r="BC326">
        <v>5.6548667764615885</v>
      </c>
      <c r="BD326">
        <v>-41.431434171283612</v>
      </c>
      <c r="BE326">
        <v>15.30503753849119</v>
      </c>
      <c r="BF326" s="6">
        <f t="shared" si="243"/>
        <v>2.7877349442382604</v>
      </c>
      <c r="BG326" s="6">
        <f t="shared" si="244"/>
        <v>2.8671318322233281</v>
      </c>
      <c r="BH326" s="6">
        <f t="shared" si="245"/>
        <v>0.10887904622466849</v>
      </c>
      <c r="BI326" s="6">
        <f t="shared" si="246"/>
        <v>0.10887904622466849</v>
      </c>
      <c r="BV326" s="38"/>
      <c r="BW326" s="6">
        <f t="shared" si="229"/>
        <v>5.4279739737023283</v>
      </c>
      <c r="BX326" s="9">
        <f t="shared" ca="1" si="230"/>
        <v>-31.674775249356301</v>
      </c>
      <c r="BY326" s="9">
        <f t="shared" ca="1" si="231"/>
        <v>10.667219299862955</v>
      </c>
      <c r="BZ326">
        <f t="shared" ca="1" si="232"/>
        <v>33.422761027308965</v>
      </c>
      <c r="CA326" s="6">
        <f t="shared" ca="1" si="233"/>
        <v>-0.94770073673672783</v>
      </c>
      <c r="CB326" s="6">
        <f t="shared" ca="1" si="234"/>
        <v>0.31916032583744403</v>
      </c>
      <c r="CC326" s="6">
        <f t="shared" ca="1" si="235"/>
        <v>2.8167493105709807</v>
      </c>
      <c r="CD326" s="6">
        <f t="shared" ca="1" si="236"/>
        <v>5.6867865785206106</v>
      </c>
      <c r="CE326" s="9">
        <f t="shared" ca="1" si="237"/>
        <v>1.9954435904156025</v>
      </c>
      <c r="CF326">
        <f t="shared" ca="1" si="238"/>
        <v>6.0267185691861256</v>
      </c>
      <c r="CG326" s="6">
        <f t="shared" ca="1" si="239"/>
        <v>0.94359584129188545</v>
      </c>
      <c r="CH326" s="6">
        <f t="shared" ca="1" si="240"/>
        <v>0.3310995141897054</v>
      </c>
      <c r="CI326" s="6">
        <f t="shared" ca="1" si="241"/>
        <v>0.33746857578431133</v>
      </c>
      <c r="CJ326" s="1">
        <f t="shared" ca="1" si="242"/>
        <v>2.5591454146786177</v>
      </c>
      <c r="CK326" s="38"/>
    </row>
    <row r="327" spans="55:89" x14ac:dyDescent="0.25">
      <c r="BC327">
        <v>5.6723200689815316</v>
      </c>
      <c r="BD327">
        <v>-41.380861040594134</v>
      </c>
      <c r="BE327">
        <v>15.40594183773578</v>
      </c>
      <c r="BF327" s="6">
        <f t="shared" si="243"/>
        <v>2.7851944467587657</v>
      </c>
      <c r="BG327" s="6">
        <f t="shared" si="244"/>
        <v>2.8871256222227659</v>
      </c>
      <c r="BH327" s="6">
        <f t="shared" si="245"/>
        <v>0.11141954370416318</v>
      </c>
      <c r="BI327" s="6">
        <f t="shared" si="246"/>
        <v>0.11141954370416318</v>
      </c>
      <c r="BV327" s="38"/>
      <c r="BW327" s="6">
        <f t="shared" si="229"/>
        <v>5.4454272662222714</v>
      </c>
      <c r="BX327" s="9">
        <f t="shared" ca="1" si="230"/>
        <v>-31.762069831896902</v>
      </c>
      <c r="BY327" s="9">
        <f t="shared" ca="1" si="231"/>
        <v>10.566031040765314</v>
      </c>
      <c r="BZ327">
        <f t="shared" ca="1" si="232"/>
        <v>33.473423666555405</v>
      </c>
      <c r="CA327" s="6">
        <f t="shared" ca="1" si="233"/>
        <v>-0.94887425165390582</v>
      </c>
      <c r="CB327" s="6">
        <f t="shared" ca="1" si="234"/>
        <v>0.31565432762476114</v>
      </c>
      <c r="CC327" s="6">
        <f t="shared" ca="1" si="235"/>
        <v>2.8204464954863857</v>
      </c>
      <c r="CD327" s="6">
        <f t="shared" ca="1" si="236"/>
        <v>5.7740811610612113</v>
      </c>
      <c r="CE327" s="9">
        <f t="shared" ca="1" si="237"/>
        <v>2.0966318495132441</v>
      </c>
      <c r="CF327">
        <f t="shared" ca="1" si="238"/>
        <v>6.1429535540255644</v>
      </c>
      <c r="CG327" s="6">
        <f t="shared" ca="1" si="239"/>
        <v>0.93995194824114769</v>
      </c>
      <c r="CH327" s="6">
        <f t="shared" ca="1" si="240"/>
        <v>0.34130680479250758</v>
      </c>
      <c r="CI327" s="6">
        <f t="shared" ca="1" si="241"/>
        <v>0.3483068361568446</v>
      </c>
      <c r="CJ327" s="1">
        <f t="shared" ca="1" si="242"/>
        <v>2.5483071543060842</v>
      </c>
      <c r="CK327" s="38"/>
    </row>
    <row r="328" spans="55:89" x14ac:dyDescent="0.25">
      <c r="BC328">
        <v>5.6897733615014747</v>
      </c>
      <c r="BD328">
        <v>-41.332085078371129</v>
      </c>
      <c r="BE328">
        <v>15.507008428643198</v>
      </c>
      <c r="BF328" s="6">
        <f t="shared" si="243"/>
        <v>2.7826634050347856</v>
      </c>
      <c r="BG328" s="6">
        <f t="shared" si="244"/>
        <v>2.9071099564666891</v>
      </c>
      <c r="BH328" s="6">
        <f t="shared" si="245"/>
        <v>0.11395058542814329</v>
      </c>
      <c r="BI328" s="6">
        <f t="shared" si="246"/>
        <v>0.11395058542814329</v>
      </c>
      <c r="BV328" s="38"/>
      <c r="BW328" s="6">
        <f t="shared" si="229"/>
        <v>5.4628805587422145</v>
      </c>
      <c r="BX328" s="9">
        <f t="shared" ca="1" si="230"/>
        <v>-31.845271325468687</v>
      </c>
      <c r="BY328" s="9">
        <f t="shared" ca="1" si="231"/>
        <v>10.464984721237661</v>
      </c>
      <c r="BZ328">
        <f t="shared" ca="1" si="232"/>
        <v>33.520698247626882</v>
      </c>
      <c r="CA328" s="6">
        <f t="shared" ca="1" si="233"/>
        <v>-0.95001813775532529</v>
      </c>
      <c r="CB328" s="6">
        <f t="shared" ca="1" si="234"/>
        <v>0.3121947115758108</v>
      </c>
      <c r="CC328" s="6">
        <f t="shared" ca="1" si="235"/>
        <v>2.8240903167374931</v>
      </c>
      <c r="CD328" s="6">
        <f t="shared" ca="1" si="236"/>
        <v>5.8572826546329964</v>
      </c>
      <c r="CE328" s="9">
        <f t="shared" ca="1" si="237"/>
        <v>2.1976781690408966</v>
      </c>
      <c r="CF328">
        <f t="shared" ca="1" si="238"/>
        <v>6.2560010734448817</v>
      </c>
      <c r="CG328" s="6">
        <f t="shared" ca="1" si="239"/>
        <v>0.93626624833804095</v>
      </c>
      <c r="CH328" s="6">
        <f t="shared" ca="1" si="240"/>
        <v>0.35129120715299683</v>
      </c>
      <c r="CI328" s="6">
        <f t="shared" ca="1" si="241"/>
        <v>0.35894984999282858</v>
      </c>
      <c r="CJ328" s="1">
        <f t="shared" ca="1" si="242"/>
        <v>2.5376641404701004</v>
      </c>
      <c r="CK328" s="38"/>
    </row>
    <row r="329" spans="55:89" x14ac:dyDescent="0.25">
      <c r="BC329">
        <v>5.7072266540214178</v>
      </c>
      <c r="BD329">
        <v>-41.285011525804649</v>
      </c>
      <c r="BE329">
        <v>15.608270179545816</v>
      </c>
      <c r="BF329" s="6">
        <f t="shared" si="243"/>
        <v>2.7801407017222362</v>
      </c>
      <c r="BG329" s="6">
        <f t="shared" si="244"/>
        <v>2.9270859522991817</v>
      </c>
      <c r="BH329" s="6">
        <f t="shared" si="245"/>
        <v>0.11647328874069274</v>
      </c>
      <c r="BI329" s="6">
        <f t="shared" si="246"/>
        <v>0.11647328874069274</v>
      </c>
      <c r="BV329" s="38"/>
      <c r="BW329" s="6">
        <f t="shared" si="229"/>
        <v>5.4803338512621576</v>
      </c>
      <c r="BX329" s="9">
        <f t="shared" ca="1" si="230"/>
        <v>-31.924665293523731</v>
      </c>
      <c r="BY329" s="9">
        <f t="shared" ca="1" si="231"/>
        <v>10.364066140068994</v>
      </c>
      <c r="BZ329">
        <f t="shared" ca="1" si="232"/>
        <v>33.564834590077204</v>
      </c>
      <c r="CA329" s="6">
        <f t="shared" ca="1" si="233"/>
        <v>-0.95113429526512971</v>
      </c>
      <c r="CB329" s="6">
        <f t="shared" ca="1" si="234"/>
        <v>0.30877751273450132</v>
      </c>
      <c r="CC329" s="6">
        <f t="shared" ca="1" si="235"/>
        <v>2.8276851838316812</v>
      </c>
      <c r="CD329" s="6">
        <f t="shared" ca="1" si="236"/>
        <v>5.9366766226880401</v>
      </c>
      <c r="CE329" s="9">
        <f t="shared" ca="1" si="237"/>
        <v>2.2985967502095637</v>
      </c>
      <c r="CF329">
        <f t="shared" ca="1" si="238"/>
        <v>6.3661351181422976</v>
      </c>
      <c r="CG329" s="6">
        <f t="shared" ca="1" si="239"/>
        <v>0.93254015387917533</v>
      </c>
      <c r="CH329" s="6">
        <f t="shared" ca="1" si="240"/>
        <v>0.36106628394659607</v>
      </c>
      <c r="CI329" s="6">
        <f t="shared" ca="1" si="241"/>
        <v>0.36941105949602876</v>
      </c>
      <c r="CJ329" s="1">
        <f t="shared" ca="1" si="242"/>
        <v>2.5272029309669</v>
      </c>
      <c r="CK329" s="38"/>
    </row>
    <row r="330" spans="55:89" x14ac:dyDescent="0.25">
      <c r="BC330">
        <v>5.7246799465413609</v>
      </c>
      <c r="BD330">
        <v>-41.239552497407452</v>
      </c>
      <c r="BE330">
        <v>15.709761173477048</v>
      </c>
      <c r="BF330" s="6">
        <f t="shared" si="243"/>
        <v>2.7776252280229907</v>
      </c>
      <c r="BG330" s="6">
        <f t="shared" si="244"/>
        <v>2.9470547185183702</v>
      </c>
      <c r="BH330" s="6">
        <f t="shared" si="245"/>
        <v>0.11898876243993817</v>
      </c>
      <c r="BI330" s="6">
        <f t="shared" si="246"/>
        <v>0.11898876243993817</v>
      </c>
      <c r="BV330" s="38"/>
      <c r="BW330" s="6">
        <f t="shared" si="229"/>
        <v>5.4977871437821006</v>
      </c>
      <c r="BX330" s="9">
        <f t="shared" ca="1" si="230"/>
        <v>-32.00051126042613</v>
      </c>
      <c r="BY330" s="9">
        <f t="shared" ca="1" si="231"/>
        <v>10.26325941099817</v>
      </c>
      <c r="BZ330">
        <f t="shared" ca="1" si="232"/>
        <v>33.606059195717997</v>
      </c>
      <c r="CA330" s="6">
        <f t="shared" ca="1" si="233"/>
        <v>-0.95222445077712525</v>
      </c>
      <c r="CB330" s="6">
        <f t="shared" ca="1" si="234"/>
        <v>0.30539907554248102</v>
      </c>
      <c r="CC330" s="6">
        <f t="shared" ca="1" si="235"/>
        <v>2.8312351542731871</v>
      </c>
      <c r="CD330" s="6">
        <f t="shared" ca="1" si="236"/>
        <v>6.0125225895904393</v>
      </c>
      <c r="CE330" s="9">
        <f t="shared" ca="1" si="237"/>
        <v>2.3994034792803873</v>
      </c>
      <c r="CF330">
        <f t="shared" ca="1" si="238"/>
        <v>6.4736052510728639</v>
      </c>
      <c r="CG330" s="6">
        <f t="shared" ca="1" si="239"/>
        <v>0.92877498030853678</v>
      </c>
      <c r="CH330" s="6">
        <f t="shared" ca="1" si="240"/>
        <v>0.37064408258176335</v>
      </c>
      <c r="CI330" s="6">
        <f t="shared" ca="1" si="241"/>
        <v>0.37970240019991414</v>
      </c>
      <c r="CJ330" s="1">
        <f t="shared" ca="1" si="242"/>
        <v>2.5169115902630148</v>
      </c>
      <c r="CK330" s="38"/>
    </row>
    <row r="331" spans="55:89" x14ac:dyDescent="0.25">
      <c r="BC331">
        <v>5.742133239061304</v>
      </c>
      <c r="BD331">
        <v>-41.195626401596527</v>
      </c>
      <c r="BE331">
        <v>15.811516704470602</v>
      </c>
      <c r="BF331" s="6">
        <f t="shared" si="243"/>
        <v>2.7751158817206329</v>
      </c>
      <c r="BG331" s="6">
        <f t="shared" si="244"/>
        <v>2.9670173573406711</v>
      </c>
      <c r="BH331" s="6">
        <f t="shared" si="245"/>
        <v>0.12149810874229594</v>
      </c>
      <c r="BI331" s="6">
        <f t="shared" si="246"/>
        <v>0.12149810874229594</v>
      </c>
      <c r="BV331" s="38"/>
      <c r="BW331" s="6">
        <f t="shared" si="229"/>
        <v>5.5152404363020437</v>
      </c>
      <c r="BX331" s="9">
        <f t="shared" ca="1" si="230"/>
        <v>-32.073045613713646</v>
      </c>
      <c r="BY331" s="9">
        <f t="shared" ca="1" si="231"/>
        <v>10.162546989468556</v>
      </c>
      <c r="BZ331">
        <f t="shared" ca="1" si="232"/>
        <v>33.644577813557305</v>
      </c>
      <c r="CA331" s="6">
        <f t="shared" ca="1" si="233"/>
        <v>-0.95329017922137815</v>
      </c>
      <c r="CB331" s="6">
        <f t="shared" ca="1" si="234"/>
        <v>0.30205601169331631</v>
      </c>
      <c r="CC331" s="6">
        <f t="shared" ca="1" si="235"/>
        <v>2.8347439810925548</v>
      </c>
      <c r="CD331" s="6">
        <f t="shared" ca="1" si="236"/>
        <v>6.0850569428779551</v>
      </c>
      <c r="CE331" s="9">
        <f t="shared" ca="1" si="237"/>
        <v>2.5001159008100018</v>
      </c>
      <c r="CF331">
        <f t="shared" ca="1" si="238"/>
        <v>6.5786394881882844</v>
      </c>
      <c r="CG331" s="6">
        <f t="shared" ca="1" si="239"/>
        <v>0.92497194196512222</v>
      </c>
      <c r="CH331" s="6">
        <f t="shared" ca="1" si="240"/>
        <v>0.38003540174208844</v>
      </c>
      <c r="CI331" s="6">
        <f t="shared" ca="1" si="241"/>
        <v>0.38983456948790407</v>
      </c>
      <c r="CJ331" s="1">
        <f t="shared" ca="1" si="242"/>
        <v>2.5067794209750249</v>
      </c>
      <c r="CK331" s="38"/>
    </row>
    <row r="332" spans="55:89" x14ac:dyDescent="0.25">
      <c r="BC332">
        <v>5.7595865315812471</v>
      </c>
      <c r="BD332">
        <v>-41.153157435055427</v>
      </c>
      <c r="BE332">
        <v>15.913573284588439</v>
      </c>
      <c r="BF332" s="6">
        <f t="shared" si="243"/>
        <v>2.7726115653464425</v>
      </c>
      <c r="BG332" s="6">
        <f t="shared" si="244"/>
        <v>2.9869749662348046</v>
      </c>
      <c r="BH332" s="6">
        <f t="shared" si="245"/>
        <v>0.1240024251164864</v>
      </c>
      <c r="BI332" s="6">
        <f t="shared" si="246"/>
        <v>0.1240024251164864</v>
      </c>
      <c r="BV332" s="38"/>
      <c r="BW332" s="6">
        <f t="shared" si="229"/>
        <v>5.5326937288219868</v>
      </c>
      <c r="BX332" s="9">
        <f t="shared" ca="1" si="230"/>
        <v>-32.142484107988452</v>
      </c>
      <c r="BY332" s="9">
        <f t="shared" ca="1" si="231"/>
        <v>10.06190970973587</v>
      </c>
      <c r="BZ332">
        <f t="shared" ca="1" si="232"/>
        <v>33.680577661898361</v>
      </c>
      <c r="CA332" s="6">
        <f t="shared" ca="1" si="233"/>
        <v>-0.95433292239373024</v>
      </c>
      <c r="CB332" s="6">
        <f t="shared" ca="1" si="234"/>
        <v>0.29874516437164766</v>
      </c>
      <c r="CC332" s="6">
        <f t="shared" ca="1" si="235"/>
        <v>2.8382151531437723</v>
      </c>
      <c r="CD332" s="6">
        <f t="shared" ca="1" si="236"/>
        <v>6.1544954371527609</v>
      </c>
      <c r="CE332" s="9">
        <f t="shared" ca="1" si="237"/>
        <v>2.6007531805426876</v>
      </c>
      <c r="CF332">
        <f t="shared" ca="1" si="238"/>
        <v>6.681446788835264</v>
      </c>
      <c r="CG332" s="6">
        <f t="shared" ca="1" si="239"/>
        <v>0.92113214871919036</v>
      </c>
      <c r="CH332" s="6">
        <f t="shared" ca="1" si="240"/>
        <v>0.38925000269231524</v>
      </c>
      <c r="CI332" s="6">
        <f t="shared" ca="1" si="241"/>
        <v>0.39981723999295976</v>
      </c>
      <c r="CJ332" s="1">
        <f t="shared" ca="1" si="242"/>
        <v>2.4967967504699691</v>
      </c>
      <c r="CK332" s="38"/>
    </row>
    <row r="333" spans="55:89" x14ac:dyDescent="0.25">
      <c r="BC333">
        <v>5.7770398241011902</v>
      </c>
      <c r="BD333">
        <v>-41.112075110331588</v>
      </c>
      <c r="BE333">
        <v>16.01596865322303</v>
      </c>
      <c r="BF333" s="6">
        <f t="shared" si="243"/>
        <v>2.7701111843595299</v>
      </c>
      <c r="BG333" s="6">
        <f t="shared" si="244"/>
        <v>3.0069286397416604</v>
      </c>
      <c r="BH333" s="6">
        <f t="shared" si="245"/>
        <v>0.12650280610339903</v>
      </c>
      <c r="BI333" s="6">
        <f t="shared" si="246"/>
        <v>0.12650280610339903</v>
      </c>
      <c r="BV333" s="38"/>
      <c r="BW333" s="6">
        <f t="shared" si="229"/>
        <v>5.5501470213419299</v>
      </c>
      <c r="BX333" s="9">
        <f t="shared" ca="1" si="230"/>
        <v>-32.209024049348912</v>
      </c>
      <c r="BY333" s="9">
        <f t="shared" ca="1" si="231"/>
        <v>9.9613268323335333</v>
      </c>
      <c r="BZ333">
        <f t="shared" ca="1" si="232"/>
        <v>33.7142293768092</v>
      </c>
      <c r="CA333" s="6">
        <f t="shared" ca="1" si="233"/>
        <v>-0.95535400466558895</v>
      </c>
      <c r="CB333" s="6">
        <f t="shared" ca="1" si="234"/>
        <v>0.29546357773746329</v>
      </c>
      <c r="CC333" s="6">
        <f t="shared" ca="1" si="235"/>
        <v>2.8416519294631422</v>
      </c>
      <c r="CD333" s="6">
        <f t="shared" ca="1" si="236"/>
        <v>6.2210353785132213</v>
      </c>
      <c r="CE333" s="9">
        <f t="shared" ca="1" si="237"/>
        <v>2.7013360579450243</v>
      </c>
      <c r="CF333">
        <f t="shared" ca="1" si="238"/>
        <v>6.7822192296229336</v>
      </c>
      <c r="CG333" s="6">
        <f t="shared" ca="1" si="239"/>
        <v>0.91725660405393417</v>
      </c>
      <c r="CH333" s="6">
        <f t="shared" ca="1" si="240"/>
        <v>0.39829677668723906</v>
      </c>
      <c r="CI333" s="6">
        <f t="shared" ca="1" si="241"/>
        <v>0.40965922902279439</v>
      </c>
      <c r="CJ333" s="1">
        <f t="shared" ca="1" si="242"/>
        <v>2.4869547614401344</v>
      </c>
      <c r="CK333" s="38"/>
    </row>
    <row r="334" spans="55:89" x14ac:dyDescent="0.25">
      <c r="BC334">
        <v>5.7944931166211333</v>
      </c>
      <c r="BD334">
        <v>-41.072313846482238</v>
      </c>
      <c r="BE334">
        <v>16.118741797507369</v>
      </c>
      <c r="BF334" s="6">
        <f t="shared" si="243"/>
        <v>2.7676136454230535</v>
      </c>
      <c r="BG334" s="6">
        <f t="shared" si="244"/>
        <v>3.0268794711980798</v>
      </c>
      <c r="BH334" s="6">
        <f t="shared" si="245"/>
        <v>0.12900034503987531</v>
      </c>
      <c r="BI334" s="6">
        <f t="shared" si="246"/>
        <v>0.12900034503987531</v>
      </c>
      <c r="BV334" s="38"/>
      <c r="BW334" s="6">
        <f t="shared" si="229"/>
        <v>5.567600313861873</v>
      </c>
      <c r="BX334" s="9">
        <f t="shared" ca="1" si="230"/>
        <v>-32.272846209534066</v>
      </c>
      <c r="BY334" s="9">
        <f t="shared" ca="1" si="231"/>
        <v>9.8607760972898539</v>
      </c>
      <c r="BZ334">
        <f t="shared" ca="1" si="232"/>
        <v>33.745688727674832</v>
      </c>
      <c r="CA334" s="6">
        <f t="shared" ca="1" si="233"/>
        <v>-0.95635464636604417</v>
      </c>
      <c r="CB334" s="6">
        <f t="shared" ca="1" si="234"/>
        <v>0.2922084707431985</v>
      </c>
      <c r="CC334" s="6">
        <f t="shared" ca="1" si="235"/>
        <v>2.84505736872473</v>
      </c>
      <c r="CD334" s="6">
        <f t="shared" ca="1" si="236"/>
        <v>6.2848575386983754</v>
      </c>
      <c r="CE334" s="9">
        <f t="shared" ca="1" si="237"/>
        <v>2.8018867929887037</v>
      </c>
      <c r="CF334">
        <f t="shared" ca="1" si="238"/>
        <v>6.8811339096444213</v>
      </c>
      <c r="CG334" s="6">
        <f t="shared" ca="1" si="239"/>
        <v>0.91334620445180992</v>
      </c>
      <c r="CH334" s="6">
        <f t="shared" ca="1" si="240"/>
        <v>0.40718387838109804</v>
      </c>
      <c r="CI334" s="6">
        <f t="shared" ca="1" si="241"/>
        <v>0.41936863385379758</v>
      </c>
      <c r="CJ334" s="1">
        <f t="shared" ca="1" si="242"/>
        <v>2.4772453566091315</v>
      </c>
      <c r="CK334" s="38"/>
    </row>
    <row r="335" spans="55:89" x14ac:dyDescent="0.25">
      <c r="BC335">
        <v>5.8119464091410764</v>
      </c>
      <c r="BD335">
        <v>-41.033812591032529</v>
      </c>
      <c r="BE335">
        <v>16.221932977218945</v>
      </c>
      <c r="BF335" s="6">
        <f t="shared" si="243"/>
        <v>2.7651178546842718</v>
      </c>
      <c r="BG335" s="6">
        <f t="shared" si="244"/>
        <v>3.0468285544568046</v>
      </c>
      <c r="BH335" s="6">
        <f t="shared" si="245"/>
        <v>0.13149613577865704</v>
      </c>
      <c r="BI335" s="6">
        <f t="shared" si="246"/>
        <v>0.13149613577865704</v>
      </c>
      <c r="BV335" s="38"/>
      <c r="BW335" s="6">
        <f t="shared" ref="BW335:BW375" si="247">BC322</f>
        <v>5.5850536063818161</v>
      </c>
      <c r="BX335" s="9">
        <f t="shared" ca="1" si="230"/>
        <v>-32.334116497561382</v>
      </c>
      <c r="BY335" s="9">
        <f t="shared" ca="1" si="231"/>
        <v>9.7602337760398594</v>
      </c>
      <c r="BZ335">
        <f t="shared" ca="1" si="232"/>
        <v>33.775098120372952</v>
      </c>
      <c r="CA335" s="6">
        <f t="shared" ca="1" si="233"/>
        <v>-0.95733597523015401</v>
      </c>
      <c r="CB335" s="6">
        <f t="shared" ca="1" si="234"/>
        <v>0.28897721455182213</v>
      </c>
      <c r="CC335" s="6">
        <f t="shared" ca="1" si="235"/>
        <v>2.8484343546221695</v>
      </c>
      <c r="CD335" s="6">
        <f t="shared" ca="1" si="236"/>
        <v>6.3461278267256915</v>
      </c>
      <c r="CE335" s="9">
        <f t="shared" ca="1" si="237"/>
        <v>2.9024291142386982</v>
      </c>
      <c r="CF335">
        <f t="shared" ca="1" si="238"/>
        <v>6.9783546166931485</v>
      </c>
      <c r="CG335" s="6">
        <f t="shared" ca="1" si="239"/>
        <v>0.90940173942220037</v>
      </c>
      <c r="CH335" s="6">
        <f t="shared" ca="1" si="240"/>
        <v>0.41591883383164613</v>
      </c>
      <c r="CI335" s="6">
        <f t="shared" ca="1" si="241"/>
        <v>0.42895294156291297</v>
      </c>
      <c r="CJ335" s="1">
        <f t="shared" ca="1" si="242"/>
        <v>2.4676610489000161</v>
      </c>
      <c r="CK335" s="38"/>
    </row>
    <row r="336" spans="55:89" x14ac:dyDescent="0.25">
      <c r="BC336">
        <v>5.8293997016610195</v>
      </c>
      <c r="BD336">
        <v>-40.99651448144305</v>
      </c>
      <c r="BE336">
        <v>16.325583757296325</v>
      </c>
      <c r="BF336" s="6">
        <f t="shared" si="243"/>
        <v>2.7626227160807684</v>
      </c>
      <c r="BG336" s="6">
        <f t="shared" si="244"/>
        <v>3.0667769855802511</v>
      </c>
      <c r="BH336" s="6">
        <f t="shared" si="245"/>
        <v>0.13399127438216052</v>
      </c>
      <c r="BI336" s="6">
        <f t="shared" si="246"/>
        <v>0.13399127438216052</v>
      </c>
      <c r="BV336" s="38"/>
      <c r="BW336" s="6">
        <f t="shared" si="247"/>
        <v>5.6025068989017592</v>
      </c>
      <c r="BX336" s="9">
        <f t="shared" ref="BX336:BX375" ca="1" si="248">$BW$5-BD323</f>
        <v>-32.392987426038921</v>
      </c>
      <c r="BY336" s="9">
        <f t="shared" ref="BY336:BY375" ca="1" si="249">$BX$5-BE323</f>
        <v>9.659674720713145</v>
      </c>
      <c r="BZ336">
        <f t="shared" ref="BZ336:BZ375" ca="1" si="250">SQRT(POWER(BX336,2)+POWER(BY336,2))</f>
        <v>33.802587920061683</v>
      </c>
      <c r="CA336" s="6">
        <f t="shared" ref="CA336:CA375" ca="1" si="251">BX336/BZ336</f>
        <v>-0.9582990362348508</v>
      </c>
      <c r="CB336" s="6">
        <f t="shared" ref="CB336:CB375" ca="1" si="252">BY336/BZ336</f>
        <v>0.2857673129512126</v>
      </c>
      <c r="CC336" s="6">
        <f t="shared" ref="CC336:CC375" ca="1" si="253">ATAN2(CA336,CB336)</f>
        <v>2.851785617860946</v>
      </c>
      <c r="CD336" s="6">
        <f t="shared" ref="CD336:CD375" ca="1" si="254">$BW$9-BX336</f>
        <v>6.4049987552032306</v>
      </c>
      <c r="CE336" s="9">
        <f t="shared" ref="CE336:CE375" ca="1" si="255">$BX$9-BY336</f>
        <v>3.0029881695654126</v>
      </c>
      <c r="CF336">
        <f t="shared" ref="CF336:CF375" ca="1" si="256">SQRT(POWER(CD336,2)+POWER(CE336,2))</f>
        <v>7.0740332908959909</v>
      </c>
      <c r="CG336" s="6">
        <f t="shared" ref="CG336:CG375" ca="1" si="257">CD336/CF336</f>
        <v>0.90542389211628649</v>
      </c>
      <c r="CH336" s="6">
        <f t="shared" ref="CH336:CH375" ca="1" si="258">CE336/CF336</f>
        <v>0.42450862839875847</v>
      </c>
      <c r="CI336" s="6">
        <f t="shared" ref="CI336:CI375" ca="1" si="259">ATAN2(CG336,CH336)</f>
        <v>0.43841911867052979</v>
      </c>
      <c r="CJ336" s="1">
        <f t="shared" ref="CJ336:CJ375" ca="1" si="260">ATAN2(COS($U$13-CI336),SIN($U$13-CI336))</f>
        <v>2.4581948717923989</v>
      </c>
      <c r="CK336" s="38"/>
    </row>
    <row r="337" spans="55:89" x14ac:dyDescent="0.25">
      <c r="BC337">
        <v>5.8468529941809626</v>
      </c>
      <c r="BD337">
        <v>-40.960366542959022</v>
      </c>
      <c r="BE337">
        <v>16.429737048082412</v>
      </c>
      <c r="BF337" s="6">
        <f t="shared" si="243"/>
        <v>2.7601271296661518</v>
      </c>
      <c r="BG337" s="6">
        <f t="shared" si="244"/>
        <v>3.0867258645148108</v>
      </c>
      <c r="BH337" s="6">
        <f t="shared" si="245"/>
        <v>0.13648686079677708</v>
      </c>
      <c r="BI337" s="6">
        <f t="shared" si="246"/>
        <v>0.13648686079677708</v>
      </c>
      <c r="BV337" s="38"/>
      <c r="BW337" s="6">
        <f t="shared" si="247"/>
        <v>5.6199601914217023</v>
      </c>
      <c r="BX337" s="9">
        <f t="shared" ca="1" si="248"/>
        <v>-32.449599413262305</v>
      </c>
      <c r="BY337" s="9">
        <f t="shared" ca="1" si="249"/>
        <v>9.5590724125959277</v>
      </c>
      <c r="BZ337">
        <f t="shared" ca="1" si="250"/>
        <v>33.828277630858565</v>
      </c>
      <c r="CA337" s="6">
        <f t="shared" ca="1" si="251"/>
        <v>-0.95924480008587221</v>
      </c>
      <c r="CB337" s="6">
        <f t="shared" ca="1" si="252"/>
        <v>0.28257638526284373</v>
      </c>
      <c r="CC337" s="6">
        <f t="shared" ca="1" si="253"/>
        <v>2.855113755327813</v>
      </c>
      <c r="CD337" s="6">
        <f t="shared" ca="1" si="254"/>
        <v>6.4616107424266147</v>
      </c>
      <c r="CE337" s="9">
        <f t="shared" ca="1" si="255"/>
        <v>3.10359047768263</v>
      </c>
      <c r="CF337">
        <f t="shared" ca="1" si="256"/>
        <v>7.1683113241408067</v>
      </c>
      <c r="CG337" s="6">
        <f t="shared" ca="1" si="257"/>
        <v>0.90141324089339869</v>
      </c>
      <c r="CH337" s="6">
        <f t="shared" ca="1" si="258"/>
        <v>0.43295977774160443</v>
      </c>
      <c r="CI337" s="6">
        <f t="shared" ca="1" si="259"/>
        <v>0.44777368368343801</v>
      </c>
      <c r="CJ337" s="1">
        <f t="shared" ca="1" si="260"/>
        <v>2.4488403067794908</v>
      </c>
      <c r="CK337" s="38"/>
    </row>
    <row r="338" spans="55:89" x14ac:dyDescent="0.25">
      <c r="BC338">
        <v>5.8643062867009057</v>
      </c>
      <c r="BD338">
        <v>-40.925319407275829</v>
      </c>
      <c r="BE338">
        <v>16.53443715054005</v>
      </c>
      <c r="BF338" s="6">
        <f t="shared" si="243"/>
        <v>2.7576299899013894</v>
      </c>
      <c r="BG338" s="6">
        <f t="shared" si="244"/>
        <v>3.1066762967995163</v>
      </c>
      <c r="BH338" s="6">
        <f t="shared" si="245"/>
        <v>0.13898400056153948</v>
      </c>
      <c r="BI338" s="6">
        <f t="shared" si="246"/>
        <v>0.13898400056153948</v>
      </c>
      <c r="BV338" s="38"/>
      <c r="BW338" s="6">
        <f t="shared" si="247"/>
        <v>5.6374134839416454</v>
      </c>
      <c r="BX338" s="9">
        <f t="shared" ca="1" si="248"/>
        <v>-32.504081926430054</v>
      </c>
      <c r="BY338" s="9">
        <f t="shared" ca="1" si="249"/>
        <v>9.4583990033318628</v>
      </c>
      <c r="BZ338">
        <f t="shared" ca="1" si="250"/>
        <v>33.852276933558045</v>
      </c>
      <c r="CA338" s="6">
        <f t="shared" ca="1" si="251"/>
        <v>-0.96017417056542176</v>
      </c>
      <c r="CB338" s="6">
        <f t="shared" ca="1" si="252"/>
        <v>0.27940215134999302</v>
      </c>
      <c r="CC338" s="6">
        <f t="shared" ca="1" si="253"/>
        <v>2.8584212468840331</v>
      </c>
      <c r="CD338" s="6">
        <f t="shared" ca="1" si="254"/>
        <v>6.5160932555943631</v>
      </c>
      <c r="CE338" s="9">
        <f t="shared" ca="1" si="255"/>
        <v>3.2042638869466948</v>
      </c>
      <c r="CF338">
        <f t="shared" ca="1" si="256"/>
        <v>7.2613207044444117</v>
      </c>
      <c r="CG338" s="6">
        <f t="shared" ca="1" si="257"/>
        <v>0.89737026097829287</v>
      </c>
      <c r="CH338" s="6">
        <f t="shared" ca="1" si="258"/>
        <v>0.44127838686225113</v>
      </c>
      <c r="CI338" s="6">
        <f t="shared" ca="1" si="259"/>
        <v>0.4570227676451683</v>
      </c>
      <c r="CJ338" s="1">
        <f t="shared" ca="1" si="260"/>
        <v>2.4395912228177608</v>
      </c>
      <c r="CK338" s="38"/>
    </row>
    <row r="339" spans="55:89" x14ac:dyDescent="0.25">
      <c r="BC339">
        <v>5.8817595792208488</v>
      </c>
      <c r="BD339">
        <v>-40.891327065061347</v>
      </c>
      <c r="BE339">
        <v>16.639729810223894</v>
      </c>
      <c r="BF339" s="6">
        <f t="shared" si="243"/>
        <v>2.7551301839576015</v>
      </c>
      <c r="BG339" s="6">
        <f t="shared" si="244"/>
        <v>3.1266293952632473</v>
      </c>
      <c r="BH339" s="6">
        <f t="shared" si="245"/>
        <v>0.14148380650532744</v>
      </c>
      <c r="BI339" s="6">
        <f t="shared" si="246"/>
        <v>0.14148380650532744</v>
      </c>
      <c r="BV339" s="38"/>
      <c r="BW339" s="6">
        <f t="shared" si="247"/>
        <v>5.6548667764615885</v>
      </c>
      <c r="BX339" s="9">
        <f t="shared" ca="1" si="248"/>
        <v>-32.556554499552078</v>
      </c>
      <c r="BY339" s="9">
        <f t="shared" ca="1" si="249"/>
        <v>9.3576253517873678</v>
      </c>
      <c r="BZ339">
        <f t="shared" ca="1" si="250"/>
        <v>33.874686612671681</v>
      </c>
      <c r="CA339" s="6">
        <f t="shared" ca="1" si="251"/>
        <v>-0.96108799091807617</v>
      </c>
      <c r="CB339" s="6">
        <f t="shared" ca="1" si="252"/>
        <v>0.27624241838113162</v>
      </c>
      <c r="CC339" s="6">
        <f t="shared" ca="1" si="253"/>
        <v>2.8617104701701059</v>
      </c>
      <c r="CD339" s="6">
        <f t="shared" ca="1" si="254"/>
        <v>6.5685658287163875</v>
      </c>
      <c r="CE339" s="9">
        <f t="shared" ca="1" si="255"/>
        <v>3.3050375384911899</v>
      </c>
      <c r="CF339">
        <f t="shared" ca="1" si="256"/>
        <v>7.3531850362286209</v>
      </c>
      <c r="CG339" s="6">
        <f t="shared" ca="1" si="257"/>
        <v>0.89329532663104894</v>
      </c>
      <c r="CH339" s="6">
        <f t="shared" ca="1" si="258"/>
        <v>0.4494701985884354</v>
      </c>
      <c r="CI339" s="6">
        <f t="shared" ca="1" si="259"/>
        <v>0.46617216397811029</v>
      </c>
      <c r="CJ339" s="1">
        <f t="shared" ca="1" si="260"/>
        <v>2.4304418264848184</v>
      </c>
      <c r="CK339" s="38"/>
    </row>
    <row r="340" spans="55:89" x14ac:dyDescent="0.25">
      <c r="BC340">
        <v>5.8992128717407919</v>
      </c>
      <c r="BD340">
        <v>-40.858346641479486</v>
      </c>
      <c r="BE340">
        <v>16.745662278161891</v>
      </c>
      <c r="BF340" s="6">
        <f t="shared" si="243"/>
        <v>2.7526265899946267</v>
      </c>
      <c r="BG340" s="6">
        <f t="shared" si="244"/>
        <v>3.1465862817461652</v>
      </c>
      <c r="BH340" s="6">
        <f t="shared" si="245"/>
        <v>0.14398740046830216</v>
      </c>
      <c r="BI340" s="6">
        <f t="shared" si="246"/>
        <v>0.14398740046830216</v>
      </c>
      <c r="BV340" s="38"/>
      <c r="BW340" s="6">
        <f t="shared" si="247"/>
        <v>5.6723200689815316</v>
      </c>
      <c r="BX340" s="9">
        <f t="shared" ca="1" si="248"/>
        <v>-32.607127630241557</v>
      </c>
      <c r="BY340" s="9">
        <f t="shared" ca="1" si="249"/>
        <v>9.2567210525427779</v>
      </c>
      <c r="BZ340">
        <f t="shared" ca="1" si="250"/>
        <v>33.895599374246963</v>
      </c>
      <c r="CA340" s="6">
        <f t="shared" ca="1" si="251"/>
        <v>-0.96198704941667579</v>
      </c>
      <c r="CB340" s="6">
        <f t="shared" ca="1" si="252"/>
        <v>0.27309506907778136</v>
      </c>
      <c r="CC340" s="6">
        <f t="shared" ca="1" si="253"/>
        <v>2.8649837137276855</v>
      </c>
      <c r="CD340" s="6">
        <f t="shared" ca="1" si="254"/>
        <v>6.6191389594058663</v>
      </c>
      <c r="CE340" s="9">
        <f t="shared" ca="1" si="255"/>
        <v>3.4059418377357797</v>
      </c>
      <c r="CF340">
        <f t="shared" ca="1" si="256"/>
        <v>7.444020443682537</v>
      </c>
      <c r="CG340" s="6">
        <f t="shared" ca="1" si="257"/>
        <v>0.88918871320715986</v>
      </c>
      <c r="CH340" s="6">
        <f t="shared" ca="1" si="258"/>
        <v>0.45754063459434419</v>
      </c>
      <c r="CI340" s="6">
        <f t="shared" ca="1" si="259"/>
        <v>0.47522737084633881</v>
      </c>
      <c r="CJ340" s="1">
        <f t="shared" ca="1" si="260"/>
        <v>2.4213866196165901</v>
      </c>
      <c r="CK340" s="38"/>
    </row>
    <row r="341" spans="55:89" x14ac:dyDescent="0.25">
      <c r="BC341">
        <v>5.916666164260735</v>
      </c>
      <c r="BD341">
        <v>-40.826338190428736</v>
      </c>
      <c r="BE341">
        <v>16.85228337838787</v>
      </c>
      <c r="BF341" s="6">
        <f t="shared" si="243"/>
        <v>2.7501180753981243</v>
      </c>
      <c r="BG341" s="6">
        <f t="shared" si="244"/>
        <v>3.1665480888626107</v>
      </c>
      <c r="BH341" s="6">
        <f t="shared" si="245"/>
        <v>0.14649591506480467</v>
      </c>
      <c r="BI341" s="6">
        <f t="shared" si="246"/>
        <v>0.14649591506480467</v>
      </c>
      <c r="BV341" s="38"/>
      <c r="BW341" s="6">
        <f t="shared" si="247"/>
        <v>5.6897733615014747</v>
      </c>
      <c r="BX341" s="9">
        <f t="shared" ca="1" si="248"/>
        <v>-32.655903592464561</v>
      </c>
      <c r="BY341" s="9">
        <f t="shared" ca="1" si="249"/>
        <v>9.1556544616353595</v>
      </c>
      <c r="BZ341">
        <f t="shared" ca="1" si="250"/>
        <v>33.915100590462693</v>
      </c>
      <c r="CA341" s="6">
        <f t="shared" ca="1" si="251"/>
        <v>-0.96287208423164072</v>
      </c>
      <c r="CB341" s="6">
        <f t="shared" ca="1" si="252"/>
        <v>0.26995805119947169</v>
      </c>
      <c r="CC341" s="6">
        <f t="shared" ca="1" si="253"/>
        <v>2.8682431887158741</v>
      </c>
      <c r="CD341" s="6">
        <f t="shared" ca="1" si="254"/>
        <v>6.6679149216288707</v>
      </c>
      <c r="CE341" s="9">
        <f t="shared" ca="1" si="255"/>
        <v>3.5070084286431982</v>
      </c>
      <c r="CF341">
        <f t="shared" ca="1" si="256"/>
        <v>7.5339363894749853</v>
      </c>
      <c r="CG341" s="6">
        <f t="shared" ca="1" si="257"/>
        <v>0.88505059996843627</v>
      </c>
      <c r="CH341" s="6">
        <f t="shared" ca="1" si="258"/>
        <v>0.46549482864529335</v>
      </c>
      <c r="CI341" s="6">
        <f t="shared" ca="1" si="259"/>
        <v>0.48419362551432038</v>
      </c>
      <c r="CJ341" s="1">
        <f t="shared" ca="1" si="260"/>
        <v>2.4124203649486087</v>
      </c>
      <c r="CK341" s="38"/>
    </row>
    <row r="342" spans="55:89" x14ac:dyDescent="0.25">
      <c r="BC342">
        <v>5.9341194567806781</v>
      </c>
      <c r="BD342">
        <v>-40.795264508856924</v>
      </c>
      <c r="BE342">
        <v>16.959643583087857</v>
      </c>
      <c r="BF342" s="6">
        <f t="shared" si="243"/>
        <v>2.7476034949795247</v>
      </c>
      <c r="BG342" s="6">
        <f t="shared" si="244"/>
        <v>3.1865159618011534</v>
      </c>
      <c r="BH342" s="6">
        <f t="shared" si="245"/>
        <v>0.14901049548340417</v>
      </c>
      <c r="BI342" s="6">
        <f t="shared" si="246"/>
        <v>0.14901049548340417</v>
      </c>
      <c r="BV342" s="38"/>
      <c r="BW342" s="6">
        <f t="shared" si="247"/>
        <v>5.7072266540214178</v>
      </c>
      <c r="BX342" s="9">
        <f t="shared" ca="1" si="248"/>
        <v>-32.702977145031042</v>
      </c>
      <c r="BY342" s="9">
        <f t="shared" ca="1" si="249"/>
        <v>9.054392710732742</v>
      </c>
      <c r="BZ342">
        <f t="shared" ca="1" si="250"/>
        <v>33.933268948166379</v>
      </c>
      <c r="CA342" s="6">
        <f t="shared" ca="1" si="251"/>
        <v>-0.96374378769653379</v>
      </c>
      <c r="CB342" s="6">
        <f t="shared" ca="1" si="252"/>
        <v>0.26682936809192992</v>
      </c>
      <c r="CC342" s="6">
        <f t="shared" ca="1" si="253"/>
        <v>2.8714910394191473</v>
      </c>
      <c r="CD342" s="6">
        <f t="shared" ca="1" si="254"/>
        <v>6.7149884741953514</v>
      </c>
      <c r="CE342" s="9">
        <f t="shared" ca="1" si="255"/>
        <v>3.6082701795458156</v>
      </c>
      <c r="CF342">
        <f t="shared" ca="1" si="256"/>
        <v>7.6230363961597352</v>
      </c>
      <c r="CG342" s="6">
        <f t="shared" ca="1" si="257"/>
        <v>0.88088107221659973</v>
      </c>
      <c r="CH342" s="6">
        <f t="shared" ca="1" si="258"/>
        <v>0.47333765602425271</v>
      </c>
      <c r="CI342" s="6">
        <f t="shared" ca="1" si="259"/>
        <v>0.49307593499302138</v>
      </c>
      <c r="CJ342" s="1">
        <f t="shared" ca="1" si="260"/>
        <v>2.4035380554699075</v>
      </c>
      <c r="CK342" s="38"/>
    </row>
    <row r="343" spans="55:89" x14ac:dyDescent="0.25">
      <c r="BC343">
        <v>5.9515727493006212</v>
      </c>
      <c r="BD343">
        <v>-40.765090971448814</v>
      </c>
      <c r="BE343">
        <v>17.067795096012979</v>
      </c>
      <c r="BF343" s="6">
        <f t="shared" si="243"/>
        <v>2.7450816891409602</v>
      </c>
      <c r="BG343" s="6">
        <f t="shared" si="244"/>
        <v>3.206491060159661</v>
      </c>
      <c r="BH343" s="6">
        <f t="shared" si="245"/>
        <v>0.15153230132196868</v>
      </c>
      <c r="BI343" s="6">
        <f t="shared" si="246"/>
        <v>0.15153230132196868</v>
      </c>
      <c r="BV343" s="38"/>
      <c r="BW343" s="6">
        <f t="shared" si="247"/>
        <v>5.7246799465413609</v>
      </c>
      <c r="BX343" s="9">
        <f t="shared" ca="1" si="248"/>
        <v>-32.748436173428239</v>
      </c>
      <c r="BY343" s="9">
        <f t="shared" ca="1" si="249"/>
        <v>8.9529017168015095</v>
      </c>
      <c r="BZ343">
        <f t="shared" ca="1" si="250"/>
        <v>33.950177038651958</v>
      </c>
      <c r="CA343" s="6">
        <f t="shared" ca="1" si="251"/>
        <v>-0.96460281005735116</v>
      </c>
      <c r="CB343" s="6">
        <f t="shared" ca="1" si="252"/>
        <v>0.26370707011656269</v>
      </c>
      <c r="CC343" s="6">
        <f t="shared" ca="1" si="253"/>
        <v>2.874729352749811</v>
      </c>
      <c r="CD343" s="6">
        <f t="shared" ca="1" si="254"/>
        <v>6.7604475025925481</v>
      </c>
      <c r="CE343" s="9">
        <f t="shared" ca="1" si="255"/>
        <v>3.7097611734770481</v>
      </c>
      <c r="CF343">
        <f t="shared" ca="1" si="256"/>
        <v>7.7114187021291762</v>
      </c>
      <c r="CG343" s="6">
        <f t="shared" ca="1" si="257"/>
        <v>0.8766801238176759</v>
      </c>
      <c r="CH343" s="6">
        <f t="shared" ca="1" si="258"/>
        <v>0.48107375786154077</v>
      </c>
      <c r="CI343" s="6">
        <f t="shared" ca="1" si="259"/>
        <v>0.50187910144332915</v>
      </c>
      <c r="CJ343" s="1">
        <f t="shared" ca="1" si="260"/>
        <v>2.3947348890195999</v>
      </c>
      <c r="CK343" s="38"/>
    </row>
    <row r="344" spans="55:89" x14ac:dyDescent="0.25">
      <c r="BC344">
        <v>5.9690260418205643</v>
      </c>
      <c r="BD344">
        <v>-40.735785378160415</v>
      </c>
      <c r="BE344">
        <v>17.176791943169267</v>
      </c>
      <c r="BF344" s="6">
        <f t="shared" si="243"/>
        <v>2.7425514819729737</v>
      </c>
      <c r="BG344" s="6">
        <f t="shared" si="244"/>
        <v>3.2264745598475906</v>
      </c>
      <c r="BH344" s="6">
        <f t="shared" si="245"/>
        <v>0.15406250848995517</v>
      </c>
      <c r="BI344" s="6">
        <f t="shared" si="246"/>
        <v>0.15406250848995517</v>
      </c>
      <c r="BV344" s="38"/>
      <c r="BW344" s="6">
        <f t="shared" si="247"/>
        <v>5.742133239061304</v>
      </c>
      <c r="BX344" s="9">
        <f t="shared" ca="1" si="248"/>
        <v>-32.792362269239163</v>
      </c>
      <c r="BY344" s="9">
        <f t="shared" ca="1" si="249"/>
        <v>8.8511461858079556</v>
      </c>
      <c r="BZ344">
        <f t="shared" ca="1" si="250"/>
        <v>33.965891891713412</v>
      </c>
      <c r="CA344" s="6">
        <f t="shared" ca="1" si="251"/>
        <v>-0.96544976277332639</v>
      </c>
      <c r="CB344" s="6">
        <f t="shared" ca="1" si="252"/>
        <v>0.26058924682520562</v>
      </c>
      <c r="CC344" s="6">
        <f t="shared" ca="1" si="253"/>
        <v>2.8779601668977963</v>
      </c>
      <c r="CD344" s="6">
        <f t="shared" ca="1" si="254"/>
        <v>6.8043735984034726</v>
      </c>
      <c r="CE344" s="9">
        <f t="shared" ca="1" si="255"/>
        <v>3.811516704470602</v>
      </c>
      <c r="CF344">
        <f t="shared" ca="1" si="256"/>
        <v>7.7991768575349454</v>
      </c>
      <c r="CG344" s="6">
        <f t="shared" ca="1" si="257"/>
        <v>0.87244765988729012</v>
      </c>
      <c r="CH344" s="6">
        <f t="shared" ca="1" si="258"/>
        <v>0.48870756159199252</v>
      </c>
      <c r="CI344" s="6">
        <f t="shared" ca="1" si="259"/>
        <v>0.51060774360855854</v>
      </c>
      <c r="CJ344" s="1">
        <f t="shared" ca="1" si="260"/>
        <v>2.3860062468543699</v>
      </c>
      <c r="CK344" s="38"/>
    </row>
    <row r="345" spans="55:89" x14ac:dyDescent="0.25">
      <c r="BC345">
        <v>5.9864793343405074</v>
      </c>
      <c r="BD345">
        <v>-40.707317816482366</v>
      </c>
      <c r="BE345">
        <v>17.286690071849034</v>
      </c>
      <c r="BF345" s="6">
        <f t="shared" si="243"/>
        <v>2.740011679289994</v>
      </c>
      <c r="BG345" s="6">
        <f t="shared" si="244"/>
        <v>3.2464676550505134</v>
      </c>
      <c r="BH345" s="6">
        <f t="shared" si="245"/>
        <v>0.15660231117293488</v>
      </c>
      <c r="BI345" s="6">
        <f t="shared" si="246"/>
        <v>0.15660231117293488</v>
      </c>
      <c r="BV345" s="38"/>
      <c r="BW345" s="6">
        <f t="shared" si="247"/>
        <v>5.7595865315812471</v>
      </c>
      <c r="BX345" s="9">
        <f t="shared" ca="1" si="248"/>
        <v>-32.834831235780264</v>
      </c>
      <c r="BY345" s="9">
        <f t="shared" ca="1" si="249"/>
        <v>8.7490896056901182</v>
      </c>
      <c r="BZ345">
        <f t="shared" ca="1" si="250"/>
        <v>33.980475441208384</v>
      </c>
      <c r="CA345" s="6">
        <f t="shared" ca="1" si="251"/>
        <v>-0.96628522142339457</v>
      </c>
      <c r="CB345" s="6">
        <f t="shared" ca="1" si="252"/>
        <v>0.25747401977430928</v>
      </c>
      <c r="CC345" s="6">
        <f t="shared" ca="1" si="253"/>
        <v>2.8811854792474016</v>
      </c>
      <c r="CD345" s="6">
        <f t="shared" ca="1" si="254"/>
        <v>6.8468425649445734</v>
      </c>
      <c r="CE345" s="9">
        <f t="shared" ca="1" si="255"/>
        <v>3.9135732845884394</v>
      </c>
      <c r="CF345">
        <f t="shared" ca="1" si="256"/>
        <v>7.8864002537901365</v>
      </c>
      <c r="CG345" s="6">
        <f t="shared" ca="1" si="257"/>
        <v>0.86818349875838974</v>
      </c>
      <c r="CH345" s="6">
        <f t="shared" ca="1" si="258"/>
        <v>0.49624329968639491</v>
      </c>
      <c r="CI345" s="6">
        <f t="shared" ca="1" si="259"/>
        <v>0.51926631665182854</v>
      </c>
      <c r="CJ345" s="1">
        <f t="shared" ca="1" si="260"/>
        <v>2.3773476738111006</v>
      </c>
      <c r="CK345" s="38"/>
    </row>
    <row r="346" spans="55:89" x14ac:dyDescent="0.25">
      <c r="BC346">
        <v>6.0039326268604505</v>
      </c>
      <c r="BD346">
        <v>-40.679660544959887</v>
      </c>
      <c r="BE346">
        <v>17.397547459932316</v>
      </c>
      <c r="BF346" s="6">
        <f t="shared" si="243"/>
        <v>2.7374610666329464</v>
      </c>
      <c r="BG346" s="6">
        <f t="shared" si="244"/>
        <v>3.2664715602275041</v>
      </c>
      <c r="BH346" s="6">
        <f t="shared" si="245"/>
        <v>0.15915292382998247</v>
      </c>
      <c r="BI346" s="6">
        <f t="shared" si="246"/>
        <v>0.15915292382998247</v>
      </c>
      <c r="BV346" s="38"/>
      <c r="BW346" s="6">
        <f t="shared" si="247"/>
        <v>5.7770398241011902</v>
      </c>
      <c r="BX346" s="9">
        <f t="shared" ca="1" si="248"/>
        <v>-32.875913560504102</v>
      </c>
      <c r="BY346" s="9">
        <f t="shared" ca="1" si="249"/>
        <v>8.6466942370555273</v>
      </c>
      <c r="BZ346">
        <f t="shared" ca="1" si="250"/>
        <v>33.993984963032311</v>
      </c>
      <c r="CA346" s="6">
        <f t="shared" ca="1" si="251"/>
        <v>-0.96710972827269037</v>
      </c>
      <c r="CB346" s="6">
        <f t="shared" ca="1" si="252"/>
        <v>0.25435953585490528</v>
      </c>
      <c r="CC346" s="6">
        <f t="shared" ca="1" si="253"/>
        <v>2.8844072536974781</v>
      </c>
      <c r="CD346" s="6">
        <f t="shared" ca="1" si="254"/>
        <v>6.8879248896684118</v>
      </c>
      <c r="CE346" s="9">
        <f t="shared" ca="1" si="255"/>
        <v>4.0159686532230303</v>
      </c>
      <c r="CF346">
        <f t="shared" ca="1" si="256"/>
        <v>7.9731746192707709</v>
      </c>
      <c r="CG346" s="6">
        <f t="shared" ca="1" si="257"/>
        <v>0.86388737467515586</v>
      </c>
      <c r="CH346" s="6">
        <f t="shared" ca="1" si="258"/>
        <v>0.5036850244715112</v>
      </c>
      <c r="CI346" s="6">
        <f t="shared" ca="1" si="259"/>
        <v>0.5278591278468171</v>
      </c>
      <c r="CJ346" s="1">
        <f t="shared" ca="1" si="260"/>
        <v>2.3687548626161119</v>
      </c>
      <c r="CK346" s="38"/>
    </row>
    <row r="347" spans="55:89" x14ac:dyDescent="0.25">
      <c r="BC347">
        <v>6.0213859193803936</v>
      </c>
      <c r="BD347">
        <v>-40.65278787349164</v>
      </c>
      <c r="BE347">
        <v>17.509424231178297</v>
      </c>
      <c r="BF347" s="6">
        <f t="shared" si="243"/>
        <v>2.7348984071233051</v>
      </c>
      <c r="BG347" s="6">
        <f t="shared" si="244"/>
        <v>3.2864875122570885</v>
      </c>
      <c r="BH347" s="6">
        <f t="shared" si="245"/>
        <v>0.16171558333962377</v>
      </c>
      <c r="BI347" s="6">
        <f t="shared" si="246"/>
        <v>0.16171558333962377</v>
      </c>
      <c r="BV347" s="38"/>
      <c r="BW347" s="6">
        <f t="shared" si="247"/>
        <v>5.7944931166211333</v>
      </c>
      <c r="BX347" s="9">
        <f t="shared" ca="1" si="248"/>
        <v>-32.915674824353452</v>
      </c>
      <c r="BY347" s="9">
        <f t="shared" ca="1" si="249"/>
        <v>8.5439210927711891</v>
      </c>
      <c r="BZ347">
        <f t="shared" ca="1" si="250"/>
        <v>34.006473454065713</v>
      </c>
      <c r="CA347" s="6">
        <f t="shared" ca="1" si="251"/>
        <v>-0.96792379453324795</v>
      </c>
      <c r="CB347" s="6">
        <f t="shared" ca="1" si="252"/>
        <v>0.25124396107440844</v>
      </c>
      <c r="CC347" s="6">
        <f t="shared" ca="1" si="253"/>
        <v>2.8876274274583209</v>
      </c>
      <c r="CD347" s="6">
        <f t="shared" ca="1" si="254"/>
        <v>6.9276861535177616</v>
      </c>
      <c r="CE347" s="9">
        <f t="shared" ca="1" si="255"/>
        <v>4.1187417975073686</v>
      </c>
      <c r="CF347">
        <f t="shared" ca="1" si="256"/>
        <v>8.0595824604117023</v>
      </c>
      <c r="CG347" s="6">
        <f t="shared" ca="1" si="257"/>
        <v>0.85955893962822971</v>
      </c>
      <c r="CH347" s="6">
        <f t="shared" ca="1" si="258"/>
        <v>0.51103662227397495</v>
      </c>
      <c r="CI347" s="6">
        <f t="shared" ca="1" si="259"/>
        <v>0.53639035177049232</v>
      </c>
      <c r="CJ347" s="1">
        <f t="shared" ca="1" si="260"/>
        <v>2.3602236386924367</v>
      </c>
      <c r="CK347" s="38"/>
    </row>
    <row r="348" spans="55:89" x14ac:dyDescent="0.25">
      <c r="BC348">
        <v>6.0388392119003367</v>
      </c>
      <c r="BD348">
        <v>-40.626676071457922</v>
      </c>
      <c r="BE348">
        <v>17.622382783502928</v>
      </c>
      <c r="BF348" s="6">
        <f t="shared" si="243"/>
        <v>2.7323224393076848</v>
      </c>
      <c r="BG348" s="6">
        <f t="shared" si="244"/>
        <v>3.3065167725926519</v>
      </c>
      <c r="BH348" s="6">
        <f t="shared" si="245"/>
        <v>0.16429155115524408</v>
      </c>
      <c r="BI348" s="6">
        <f t="shared" si="246"/>
        <v>0.16429155115524408</v>
      </c>
      <c r="BV348" s="38"/>
      <c r="BW348" s="6">
        <f t="shared" si="247"/>
        <v>5.8119464091410764</v>
      </c>
      <c r="BX348" s="9">
        <f t="shared" ca="1" si="248"/>
        <v>-32.954176079803162</v>
      </c>
      <c r="BY348" s="9">
        <f t="shared" ca="1" si="249"/>
        <v>8.440729913059613</v>
      </c>
      <c r="BZ348">
        <f t="shared" ca="1" si="250"/>
        <v>34.017989984181753</v>
      </c>
      <c r="CA348" s="6">
        <f t="shared" ca="1" si="251"/>
        <v>-0.96872790235774475</v>
      </c>
      <c r="CB348" s="6">
        <f t="shared" ca="1" si="252"/>
        <v>0.24812547469690369</v>
      </c>
      <c r="CC348" s="6">
        <f t="shared" ca="1" si="253"/>
        <v>2.8908479174279056</v>
      </c>
      <c r="CD348" s="6">
        <f t="shared" ca="1" si="254"/>
        <v>6.9661874089674711</v>
      </c>
      <c r="CE348" s="9">
        <f t="shared" ca="1" si="255"/>
        <v>4.2219329772189447</v>
      </c>
      <c r="CF348">
        <f t="shared" ca="1" si="256"/>
        <v>8.1457034736716114</v>
      </c>
      <c r="CG348" s="6">
        <f t="shared" ca="1" si="257"/>
        <v>0.85519776548255777</v>
      </c>
      <c r="CH348" s="6">
        <f t="shared" ca="1" si="258"/>
        <v>0.51830182511123768</v>
      </c>
      <c r="CI348" s="6">
        <f t="shared" ca="1" si="259"/>
        <v>0.54486404292836099</v>
      </c>
      <c r="CJ348" s="1">
        <f t="shared" ca="1" si="260"/>
        <v>2.351749947534568</v>
      </c>
      <c r="CK348" s="38"/>
    </row>
    <row r="349" spans="55:89" x14ac:dyDescent="0.25">
      <c r="BC349">
        <v>6.0562925044202798</v>
      </c>
      <c r="BD349">
        <v>-40.601303278682423</v>
      </c>
      <c r="BE349">
        <v>17.736487925909625</v>
      </c>
      <c r="BF349" s="6">
        <f t="shared" si="243"/>
        <v>2.7297318748743158</v>
      </c>
      <c r="BG349" s="6">
        <f t="shared" si="244"/>
        <v>3.326560629545964</v>
      </c>
      <c r="BH349" s="6">
        <f t="shared" si="245"/>
        <v>0.16688211558861307</v>
      </c>
      <c r="BI349" s="6">
        <f t="shared" si="246"/>
        <v>0.16688211558861307</v>
      </c>
      <c r="BV349" s="38"/>
      <c r="BW349" s="6">
        <f t="shared" si="247"/>
        <v>5.8293997016610195</v>
      </c>
      <c r="BX349" s="9">
        <f t="shared" ca="1" si="248"/>
        <v>-32.99147418939264</v>
      </c>
      <c r="BY349" s="9">
        <f t="shared" ca="1" si="249"/>
        <v>8.3370791329822325</v>
      </c>
      <c r="BZ349">
        <f t="shared" ca="1" si="250"/>
        <v>34.02858001238031</v>
      </c>
      <c r="CA349" s="6">
        <f t="shared" ca="1" si="251"/>
        <v>-0.96952250659268335</v>
      </c>
      <c r="CB349" s="6">
        <f t="shared" ca="1" si="252"/>
        <v>0.24500226368391007</v>
      </c>
      <c r="CC349" s="6">
        <f t="shared" ca="1" si="253"/>
        <v>2.8940706262125602</v>
      </c>
      <c r="CD349" s="6">
        <f t="shared" ca="1" si="254"/>
        <v>7.0034855185569498</v>
      </c>
      <c r="CE349" s="9">
        <f t="shared" ca="1" si="255"/>
        <v>4.3255837572963252</v>
      </c>
      <c r="CF349">
        <f t="shared" ca="1" si="256"/>
        <v>8.2316149235750018</v>
      </c>
      <c r="CG349" s="6">
        <f t="shared" ca="1" si="257"/>
        <v>0.8508033458294143</v>
      </c>
      <c r="CH349" s="6">
        <f t="shared" ca="1" si="258"/>
        <v>0.52548422119553162</v>
      </c>
      <c r="CI349" s="6">
        <f t="shared" ca="1" si="259"/>
        <v>0.55328414723161479</v>
      </c>
      <c r="CJ349" s="1">
        <f t="shared" ca="1" si="260"/>
        <v>2.3433298432313139</v>
      </c>
      <c r="CK349" s="38"/>
    </row>
    <row r="350" spans="55:89" x14ac:dyDescent="0.25">
      <c r="BC350">
        <v>6.0737457969402229</v>
      </c>
      <c r="BD350">
        <v>-40.576649425641186</v>
      </c>
      <c r="BE350">
        <v>17.851807026227288</v>
      </c>
      <c r="BF350" s="6">
        <f t="shared" si="243"/>
        <v>2.7271253962634425</v>
      </c>
      <c r="BG350" s="6">
        <f t="shared" si="244"/>
        <v>3.3466204006767803</v>
      </c>
      <c r="BH350" s="6">
        <f t="shared" si="245"/>
        <v>0.16948859419948636</v>
      </c>
      <c r="BI350" s="6">
        <f t="shared" si="246"/>
        <v>0.16948859419948636</v>
      </c>
      <c r="BV350" s="38"/>
      <c r="BW350" s="6">
        <f t="shared" si="247"/>
        <v>5.8468529941809626</v>
      </c>
      <c r="BX350" s="9">
        <f t="shared" ca="1" si="248"/>
        <v>-33.027622127876668</v>
      </c>
      <c r="BY350" s="9">
        <f t="shared" ca="1" si="249"/>
        <v>8.2329258421961455</v>
      </c>
      <c r="BZ350">
        <f t="shared" ca="1" si="250"/>
        <v>34.038285669888104</v>
      </c>
      <c r="CA350" s="6">
        <f t="shared" ca="1" si="251"/>
        <v>-0.97030803631495699</v>
      </c>
      <c r="CB350" s="6">
        <f t="shared" ca="1" si="252"/>
        <v>0.24187251737767115</v>
      </c>
      <c r="CC350" s="6">
        <f t="shared" ca="1" si="253"/>
        <v>2.8972974478563436</v>
      </c>
      <c r="CD350" s="6">
        <f t="shared" ca="1" si="254"/>
        <v>7.0396334570409778</v>
      </c>
      <c r="CE350" s="9">
        <f t="shared" ca="1" si="255"/>
        <v>4.4297370480824121</v>
      </c>
      <c r="CF350">
        <f t="shared" ca="1" si="256"/>
        <v>8.3173919905607789</v>
      </c>
      <c r="CG350" s="6">
        <f t="shared" ca="1" si="257"/>
        <v>0.84637509751014495</v>
      </c>
      <c r="CH350" s="6">
        <f t="shared" ca="1" si="258"/>
        <v>0.53258726450666516</v>
      </c>
      <c r="CI350" s="6">
        <f t="shared" ca="1" si="259"/>
        <v>0.56165451260744237</v>
      </c>
      <c r="CJ350" s="1">
        <f t="shared" ca="1" si="260"/>
        <v>2.3349594778554863</v>
      </c>
      <c r="CK350" s="38"/>
    </row>
    <row r="351" spans="55:89" x14ac:dyDescent="0.25">
      <c r="BC351">
        <v>6.091199089460166</v>
      </c>
      <c r="BD351">
        <v>-40.552696167076199</v>
      </c>
      <c r="BE351">
        <v>17.968410171283402</v>
      </c>
      <c r="BF351" s="6">
        <f t="shared" si="243"/>
        <v>2.7245016541874247</v>
      </c>
      <c r="BG351" s="6">
        <f t="shared" si="244"/>
        <v>3.3666974352727412</v>
      </c>
      <c r="BH351" s="6">
        <f t="shared" si="245"/>
        <v>0.17211233627550415</v>
      </c>
      <c r="BI351" s="6">
        <f t="shared" si="246"/>
        <v>0.17211233627550415</v>
      </c>
      <c r="BV351" s="38"/>
      <c r="BW351" s="6">
        <f t="shared" si="247"/>
        <v>5.8643062867009057</v>
      </c>
      <c r="BX351" s="9">
        <f t="shared" ca="1" si="248"/>
        <v>-33.062669263559862</v>
      </c>
      <c r="BY351" s="9">
        <f t="shared" ca="1" si="249"/>
        <v>8.1282257397385074</v>
      </c>
      <c r="BZ351">
        <f t="shared" ca="1" si="250"/>
        <v>34.047146025881432</v>
      </c>
      <c r="CA351" s="6">
        <f t="shared" ca="1" si="251"/>
        <v>-0.97108489617387594</v>
      </c>
      <c r="CB351" s="6">
        <f t="shared" ca="1" si="252"/>
        <v>0.2387344223671411</v>
      </c>
      <c r="CC351" s="6">
        <f t="shared" ca="1" si="253"/>
        <v>2.9005302733446339</v>
      </c>
      <c r="CD351" s="6">
        <f t="shared" ca="1" si="254"/>
        <v>7.0746805927241709</v>
      </c>
      <c r="CE351" s="9">
        <f t="shared" ca="1" si="255"/>
        <v>4.5344371505400503</v>
      </c>
      <c r="CF351">
        <f t="shared" ca="1" si="256"/>
        <v>8.4031081012483586</v>
      </c>
      <c r="CG351" s="6">
        <f t="shared" ca="1" si="257"/>
        <v>0.84191236236424982</v>
      </c>
      <c r="CH351" s="6">
        <f t="shared" ca="1" si="258"/>
        <v>0.53961428270408873</v>
      </c>
      <c r="CI351" s="6">
        <f t="shared" ca="1" si="259"/>
        <v>0.56997889786298284</v>
      </c>
      <c r="CJ351" s="1">
        <f t="shared" ca="1" si="260"/>
        <v>2.3266350925999459</v>
      </c>
      <c r="CK351" s="38"/>
    </row>
    <row r="352" spans="55:89" x14ac:dyDescent="0.25">
      <c r="BC352">
        <v>6.1086523819801091</v>
      </c>
      <c r="BD352">
        <v>-40.529426817356025</v>
      </c>
      <c r="BE352">
        <v>18.086370338252301</v>
      </c>
      <c r="BF352" s="6">
        <f t="shared" si="243"/>
        <v>2.7218592649930482</v>
      </c>
      <c r="BG352" s="6">
        <f t="shared" si="244"/>
        <v>3.3867931169870609</v>
      </c>
      <c r="BH352" s="6">
        <f t="shared" si="245"/>
        <v>0.17475472546988069</v>
      </c>
      <c r="BI352" s="6">
        <f t="shared" si="246"/>
        <v>0.17475472546988069</v>
      </c>
      <c r="BV352" s="38"/>
      <c r="BW352" s="6">
        <f t="shared" si="247"/>
        <v>5.8817595792208488</v>
      </c>
      <c r="BX352" s="9">
        <f t="shared" ca="1" si="248"/>
        <v>-33.096661605774344</v>
      </c>
      <c r="BY352" s="9">
        <f t="shared" ca="1" si="249"/>
        <v>8.0229330800546634</v>
      </c>
      <c r="BZ352">
        <f t="shared" ca="1" si="250"/>
        <v>34.055197322202865</v>
      </c>
      <c r="CA352" s="6">
        <f t="shared" ca="1" si="251"/>
        <v>-0.97185346755270197</v>
      </c>
      <c r="CB352" s="6">
        <f t="shared" ca="1" si="252"/>
        <v>0.23558615750037001</v>
      </c>
      <c r="CC352" s="6">
        <f t="shared" ca="1" si="253"/>
        <v>2.9037709959225766</v>
      </c>
      <c r="CD352" s="6">
        <f t="shared" ca="1" si="254"/>
        <v>7.108672934938653</v>
      </c>
      <c r="CE352" s="9">
        <f t="shared" ca="1" si="255"/>
        <v>4.6397298102238942</v>
      </c>
      <c r="CF352">
        <f t="shared" ca="1" si="256"/>
        <v>8.4888352326929741</v>
      </c>
      <c r="CG352" s="6">
        <f t="shared" ca="1" si="257"/>
        <v>0.83741440846455417</v>
      </c>
      <c r="CH352" s="6">
        <f t="shared" ca="1" si="258"/>
        <v>0.54656848472626074</v>
      </c>
      <c r="CI352" s="6">
        <f t="shared" ca="1" si="259"/>
        <v>0.57826098136475423</v>
      </c>
      <c r="CJ352" s="1">
        <f t="shared" ca="1" si="260"/>
        <v>2.3183530090981748</v>
      </c>
      <c r="CK352" s="38"/>
    </row>
    <row r="353" spans="55:89" x14ac:dyDescent="0.25">
      <c r="BC353">
        <v>6.1261056745000522</v>
      </c>
      <c r="BD353">
        <v>-40.506826308264884</v>
      </c>
      <c r="BE353">
        <v>18.205763581984421</v>
      </c>
      <c r="BF353" s="6">
        <f t="shared" si="243"/>
        <v>2.7191968079680984</v>
      </c>
      <c r="BG353" s="6">
        <f t="shared" si="244"/>
        <v>3.4069088665319538</v>
      </c>
      <c r="BH353" s="6">
        <f t="shared" si="245"/>
        <v>0.17741718249483054</v>
      </c>
      <c r="BI353" s="6">
        <f t="shared" si="246"/>
        <v>0.17741718249483054</v>
      </c>
      <c r="BV353" s="38"/>
      <c r="BW353" s="6">
        <f t="shared" si="247"/>
        <v>5.8992128717407919</v>
      </c>
      <c r="BX353" s="9">
        <f t="shared" ca="1" si="248"/>
        <v>-33.129642029356205</v>
      </c>
      <c r="BY353" s="9">
        <f t="shared" ca="1" si="249"/>
        <v>7.9170006121166665</v>
      </c>
      <c r="BZ353">
        <f t="shared" ca="1" si="250"/>
        <v>34.062473188034083</v>
      </c>
      <c r="CA353" s="6">
        <f t="shared" ca="1" si="251"/>
        <v>-0.97261410956484584</v>
      </c>
      <c r="CB353" s="6">
        <f t="shared" ca="1" si="252"/>
        <v>0.23242588899557226</v>
      </c>
      <c r="CC353" s="6">
        <f t="shared" ca="1" si="253"/>
        <v>2.9070215162803361</v>
      </c>
      <c r="CD353" s="6">
        <f t="shared" ca="1" si="254"/>
        <v>7.1416533585205144</v>
      </c>
      <c r="CE353" s="9">
        <f t="shared" ca="1" si="255"/>
        <v>4.7456622781618911</v>
      </c>
      <c r="CF353">
        <f t="shared" ca="1" si="256"/>
        <v>8.5746441997109155</v>
      </c>
      <c r="CG353" s="6">
        <f t="shared" ca="1" si="257"/>
        <v>0.83288043120917921</v>
      </c>
      <c r="CH353" s="6">
        <f t="shared" ca="1" si="258"/>
        <v>0.55345296756708406</v>
      </c>
      <c r="CI353" s="6">
        <f t="shared" ca="1" si="259"/>
        <v>0.58650436892951152</v>
      </c>
      <c r="CJ353" s="1">
        <f t="shared" ca="1" si="260"/>
        <v>2.3101096215334174</v>
      </c>
      <c r="CK353" s="38"/>
    </row>
    <row r="354" spans="55:89" x14ac:dyDescent="0.25">
      <c r="BC354">
        <v>6.1435589670199953</v>
      </c>
      <c r="BD354">
        <v>-40.484881138283214</v>
      </c>
      <c r="BE354">
        <v>18.326669233735011</v>
      </c>
      <c r="BF354" s="6">
        <f t="shared" si="243"/>
        <v>2.7165128224178057</v>
      </c>
      <c r="BG354" s="6">
        <f t="shared" si="244"/>
        <v>3.4270461446021896</v>
      </c>
      <c r="BH354" s="6">
        <f t="shared" si="245"/>
        <v>0.18010116804512319</v>
      </c>
      <c r="BI354" s="6">
        <f t="shared" si="246"/>
        <v>0.18010116804512319</v>
      </c>
      <c r="BV354" s="38"/>
      <c r="BW354" s="6">
        <f t="shared" si="247"/>
        <v>5.916666164260735</v>
      </c>
      <c r="BX354" s="9">
        <f t="shared" ca="1" si="248"/>
        <v>-33.161650480406955</v>
      </c>
      <c r="BY354" s="9">
        <f t="shared" ca="1" si="249"/>
        <v>7.8103795118906874</v>
      </c>
      <c r="BZ354">
        <f t="shared" ca="1" si="250"/>
        <v>34.069004838774447</v>
      </c>
      <c r="CA354" s="6">
        <f t="shared" ca="1" si="251"/>
        <v>-0.97336715989617584</v>
      </c>
      <c r="CB354" s="6">
        <f t="shared" ca="1" si="252"/>
        <v>0.22925176561076352</v>
      </c>
      <c r="CC354" s="6">
        <f t="shared" ca="1" si="253"/>
        <v>2.9102837476488101</v>
      </c>
      <c r="CD354" s="6">
        <f t="shared" ca="1" si="254"/>
        <v>7.1736618095712643</v>
      </c>
      <c r="CE354" s="9">
        <f t="shared" ca="1" si="255"/>
        <v>4.8522833783878703</v>
      </c>
      <c r="CF354">
        <f t="shared" ca="1" si="256"/>
        <v>8.6606049293499385</v>
      </c>
      <c r="CG354" s="6">
        <f t="shared" ca="1" si="257"/>
        <v>0.8283095543661656</v>
      </c>
      <c r="CH354" s="6">
        <f t="shared" ca="1" si="258"/>
        <v>0.5602707221921599</v>
      </c>
      <c r="CI354" s="6">
        <f t="shared" ca="1" si="259"/>
        <v>0.59471260086606437</v>
      </c>
      <c r="CJ354" s="1">
        <f t="shared" ca="1" si="260"/>
        <v>2.3019013895968645</v>
      </c>
      <c r="CK354" s="38"/>
    </row>
    <row r="355" spans="55:89" x14ac:dyDescent="0.25">
      <c r="BC355">
        <v>6.1610122595399384</v>
      </c>
      <c r="BD355">
        <v>-40.46357933973389</v>
      </c>
      <c r="BE355">
        <v>18.449170117333736</v>
      </c>
      <c r="BF355" s="6">
        <f t="shared" si="243"/>
        <v>2.7138058046412841</v>
      </c>
      <c r="BG355" s="6">
        <f t="shared" si="244"/>
        <v>3.4472064548986543</v>
      </c>
      <c r="BH355" s="6">
        <f t="shared" si="245"/>
        <v>0.18280818582164482</v>
      </c>
      <c r="BI355" s="6">
        <f t="shared" si="246"/>
        <v>0.18280818582164482</v>
      </c>
      <c r="BV355" s="38"/>
      <c r="BW355" s="6">
        <f t="shared" si="247"/>
        <v>5.9341194567806781</v>
      </c>
      <c r="BX355" s="9">
        <f t="shared" ca="1" si="248"/>
        <v>-33.192724161978767</v>
      </c>
      <c r="BY355" s="9">
        <f t="shared" ca="1" si="249"/>
        <v>7.7030193071907007</v>
      </c>
      <c r="BZ355">
        <f t="shared" ca="1" si="250"/>
        <v>34.074821257640686</v>
      </c>
      <c r="CA355" s="6">
        <f t="shared" ca="1" si="251"/>
        <v>-0.97411293550177835</v>
      </c>
      <c r="CB355" s="6">
        <f t="shared" ca="1" si="252"/>
        <v>0.22606191383801999</v>
      </c>
      <c r="CC355" s="6">
        <f t="shared" ca="1" si="253"/>
        <v>2.9135596208427534</v>
      </c>
      <c r="CD355" s="6">
        <f t="shared" ca="1" si="254"/>
        <v>7.2047354911430759</v>
      </c>
      <c r="CE355" s="9">
        <f t="shared" ca="1" si="255"/>
        <v>4.9596435830878569</v>
      </c>
      <c r="CF355">
        <f t="shared" ca="1" si="256"/>
        <v>8.7467867224827884</v>
      </c>
      <c r="CG355" s="6">
        <f t="shared" ca="1" si="257"/>
        <v>0.82370083091473856</v>
      </c>
      <c r="CH355" s="6">
        <f t="shared" ca="1" si="258"/>
        <v>0.56702463892706589</v>
      </c>
      <c r="CI355" s="6">
        <f t="shared" ca="1" si="259"/>
        <v>0.602889158551978</v>
      </c>
      <c r="CJ355" s="1">
        <f t="shared" ca="1" si="260"/>
        <v>2.2937248319109509</v>
      </c>
      <c r="CK355" s="38"/>
    </row>
    <row r="356" spans="55:89" x14ac:dyDescent="0.25">
      <c r="BC356">
        <v>6.1784655520598815</v>
      </c>
      <c r="BD356">
        <v>-40.442910449985774</v>
      </c>
      <c r="BE356">
        <v>18.573352781567465</v>
      </c>
      <c r="BF356" s="6">
        <f t="shared" si="243"/>
        <v>2.7110742047226841</v>
      </c>
      <c r="BG356" s="6">
        <f t="shared" si="244"/>
        <v>3.4673913473371973</v>
      </c>
      <c r="BH356" s="6">
        <f t="shared" si="245"/>
        <v>0.18553978574024477</v>
      </c>
      <c r="BI356" s="6">
        <f t="shared" si="246"/>
        <v>0.18553978574024477</v>
      </c>
      <c r="BV356" s="38"/>
      <c r="BW356" s="6">
        <f t="shared" si="247"/>
        <v>5.9515727493006212</v>
      </c>
      <c r="BX356" s="9">
        <f t="shared" ca="1" si="248"/>
        <v>-33.222897699386877</v>
      </c>
      <c r="BY356" s="9">
        <f t="shared" ca="1" si="249"/>
        <v>7.5948677942655785</v>
      </c>
      <c r="BZ356">
        <f t="shared" ca="1" si="250"/>
        <v>34.079949359649852</v>
      </c>
      <c r="CA356" s="6">
        <f t="shared" ca="1" si="251"/>
        <v>-0.97485173316373197</v>
      </c>
      <c r="CB356" s="6">
        <f t="shared" ca="1" si="252"/>
        <v>0.22285443308955699</v>
      </c>
      <c r="CC356" s="6">
        <f t="shared" ca="1" si="253"/>
        <v>2.9168510892867667</v>
      </c>
      <c r="CD356" s="6">
        <f t="shared" ca="1" si="254"/>
        <v>7.2349090285511863</v>
      </c>
      <c r="CE356" s="9">
        <f t="shared" ca="1" si="255"/>
        <v>5.0677950960129792</v>
      </c>
      <c r="CF356">
        <f t="shared" ca="1" si="256"/>
        <v>8.8332585033262028</v>
      </c>
      <c r="CG356" s="6">
        <f t="shared" ca="1" si="257"/>
        <v>0.81905324358240494</v>
      </c>
      <c r="CH356" s="6">
        <f t="shared" ca="1" si="258"/>
        <v>0.57371751252436209</v>
      </c>
      <c r="CI356" s="6">
        <f t="shared" ca="1" si="259"/>
        <v>0.61103747079183213</v>
      </c>
      <c r="CJ356" s="1">
        <f t="shared" ca="1" si="260"/>
        <v>2.2855765196710962</v>
      </c>
      <c r="CK356" s="38"/>
    </row>
    <row r="357" spans="55:89" x14ac:dyDescent="0.25">
      <c r="BC357">
        <v>6.1959188445798246</v>
      </c>
      <c r="BD357">
        <v>-40.422865495345505</v>
      </c>
      <c r="BE357">
        <v>18.699307751696413</v>
      </c>
      <c r="BF357" s="6">
        <f t="shared" si="243"/>
        <v>2.7083164231739212</v>
      </c>
      <c r="BG357" s="6">
        <f t="shared" si="244"/>
        <v>3.4876024214059034</v>
      </c>
      <c r="BH357" s="6">
        <f t="shared" si="245"/>
        <v>0.18829756728900768</v>
      </c>
      <c r="BI357" s="6">
        <f t="shared" si="246"/>
        <v>0.18829756728900768</v>
      </c>
      <c r="BV357" s="38"/>
      <c r="BW357" s="6">
        <f t="shared" si="247"/>
        <v>5.9690260418205643</v>
      </c>
      <c r="BX357" s="9">
        <f t="shared" ca="1" si="248"/>
        <v>-33.252203292675276</v>
      </c>
      <c r="BY357" s="9">
        <f t="shared" ca="1" si="249"/>
        <v>7.4858709471092908</v>
      </c>
      <c r="BZ357">
        <f t="shared" ca="1" si="250"/>
        <v>34.084414145679247</v>
      </c>
      <c r="CA357" s="6">
        <f t="shared" ca="1" si="251"/>
        <v>-0.97558382991571924</v>
      </c>
      <c r="CB357" s="6">
        <f t="shared" ca="1" si="252"/>
        <v>0.21962739083952385</v>
      </c>
      <c r="CC357" s="6">
        <f t="shared" ca="1" si="253"/>
        <v>2.9201601340627157</v>
      </c>
      <c r="CD357" s="6">
        <f t="shared" ca="1" si="254"/>
        <v>7.2642146218395851</v>
      </c>
      <c r="CE357" s="9">
        <f t="shared" ca="1" si="255"/>
        <v>5.1767919431692668</v>
      </c>
      <c r="CF357">
        <f t="shared" ca="1" si="256"/>
        <v>8.9200890631770182</v>
      </c>
      <c r="CG357" s="6">
        <f t="shared" ca="1" si="257"/>
        <v>0.81436570536352137</v>
      </c>
      <c r="CH357" s="6">
        <f t="shared" ca="1" si="258"/>
        <v>0.58035204654396999</v>
      </c>
      <c r="CI357" s="6">
        <f t="shared" ca="1" si="259"/>
        <v>0.61916091951172014</v>
      </c>
      <c r="CJ357" s="1">
        <f t="shared" ca="1" si="260"/>
        <v>2.2774530709512089</v>
      </c>
      <c r="CK357" s="38"/>
    </row>
    <row r="358" spans="55:89" x14ac:dyDescent="0.25">
      <c r="BC358">
        <v>6.2133721370997677</v>
      </c>
      <c r="BD358">
        <v>-40.403436973255758</v>
      </c>
      <c r="BE358">
        <v>18.82712979923944</v>
      </c>
      <c r="BF358" s="6">
        <f t="shared" si="243"/>
        <v>2.7055308073301418</v>
      </c>
      <c r="BG358" s="6">
        <f t="shared" si="244"/>
        <v>3.5078413297696258</v>
      </c>
      <c r="BH358" s="6">
        <f t="shared" si="245"/>
        <v>0.19108318313278702</v>
      </c>
      <c r="BI358" s="6">
        <f t="shared" si="246"/>
        <v>0.19108318313278702</v>
      </c>
      <c r="BV358" s="38"/>
      <c r="BW358" s="6">
        <f t="shared" si="247"/>
        <v>5.9864793343405074</v>
      </c>
      <c r="BX358" s="9">
        <f t="shared" ca="1" si="248"/>
        <v>-33.280670854353325</v>
      </c>
      <c r="BY358" s="9">
        <f t="shared" ca="1" si="249"/>
        <v>7.3759728184295241</v>
      </c>
      <c r="BZ358">
        <f t="shared" ca="1" si="250"/>
        <v>34.088238844710268</v>
      </c>
      <c r="CA358" s="6">
        <f t="shared" ca="1" si="251"/>
        <v>-0.97630948333717571</v>
      </c>
      <c r="CB358" s="6">
        <f t="shared" ca="1" si="252"/>
        <v>0.21637881769225253</v>
      </c>
      <c r="CC358" s="6">
        <f t="shared" ca="1" si="253"/>
        <v>2.9234887690098712</v>
      </c>
      <c r="CD358" s="6">
        <f t="shared" ca="1" si="254"/>
        <v>7.2926821835176341</v>
      </c>
      <c r="CE358" s="9">
        <f t="shared" ca="1" si="255"/>
        <v>5.2866900718490335</v>
      </c>
      <c r="CF358">
        <f t="shared" ca="1" si="256"/>
        <v>9.007347297933098</v>
      </c>
      <c r="CG358" s="6">
        <f t="shared" ca="1" si="257"/>
        <v>0.80963705986901102</v>
      </c>
      <c r="CH358" s="6">
        <f t="shared" ca="1" si="258"/>
        <v>0.58693085733045536</v>
      </c>
      <c r="CI358" s="6">
        <f t="shared" ca="1" si="259"/>
        <v>0.62726284512482322</v>
      </c>
      <c r="CJ358" s="1">
        <f t="shared" ca="1" si="260"/>
        <v>2.2693511453381054</v>
      </c>
      <c r="CK358" s="38"/>
    </row>
    <row r="359" spans="55:89" x14ac:dyDescent="0.25">
      <c r="BC359">
        <v>6.2308254296197108</v>
      </c>
      <c r="BD359">
        <v>-40.384618847422104</v>
      </c>
      <c r="BE359">
        <v>18.956918234260531</v>
      </c>
      <c r="BF359" s="6">
        <f t="shared" si="243"/>
        <v>2.7027156475671834</v>
      </c>
      <c r="BG359" s="6">
        <f t="shared" si="244"/>
        <v>3.5281097820525273</v>
      </c>
      <c r="BH359" s="6">
        <f t="shared" si="245"/>
        <v>0.19389834289574545</v>
      </c>
      <c r="BI359" s="6">
        <f t="shared" si="246"/>
        <v>0.19389834289574545</v>
      </c>
      <c r="BV359" s="38"/>
      <c r="BW359" s="6">
        <f t="shared" si="247"/>
        <v>6.0039326268604505</v>
      </c>
      <c r="BX359" s="9">
        <f t="shared" ca="1" si="248"/>
        <v>-33.308328125875803</v>
      </c>
      <c r="BY359" s="9">
        <f t="shared" ca="1" si="249"/>
        <v>7.265115430346242</v>
      </c>
      <c r="BZ359">
        <f t="shared" ca="1" si="250"/>
        <v>34.091445037681581</v>
      </c>
      <c r="CA359" s="6">
        <f t="shared" ca="1" si="251"/>
        <v>-0.97702893171761451</v>
      </c>
      <c r="CB359" s="6">
        <f t="shared" ca="1" si="252"/>
        <v>0.21310670235057635</v>
      </c>
      <c r="CC359" s="6">
        <f t="shared" ca="1" si="253"/>
        <v>2.9268390459059188</v>
      </c>
      <c r="CD359" s="6">
        <f t="shared" ca="1" si="254"/>
        <v>7.3203394550401129</v>
      </c>
      <c r="CE359" s="9">
        <f t="shared" ca="1" si="255"/>
        <v>5.3975474599323157</v>
      </c>
      <c r="CF359">
        <f t="shared" ca="1" si="256"/>
        <v>9.0951024358848631</v>
      </c>
      <c r="CG359" s="6">
        <f t="shared" ca="1" si="257"/>
        <v>0.80486608112929037</v>
      </c>
      <c r="CH359" s="6">
        <f t="shared" ca="1" si="258"/>
        <v>0.59345647814104996</v>
      </c>
      <c r="CI359" s="6">
        <f t="shared" ca="1" si="259"/>
        <v>0.63534655225354175</v>
      </c>
      <c r="CJ359" s="1">
        <f t="shared" ca="1" si="260"/>
        <v>2.2612674382093871</v>
      </c>
      <c r="CK359" s="38"/>
    </row>
    <row r="360" spans="55:89" x14ac:dyDescent="0.25">
      <c r="BC360">
        <v>6.2482787221396539</v>
      </c>
      <c r="BD360">
        <v>-40.366406553041521</v>
      </c>
      <c r="BE360">
        <v>19.088777221498429</v>
      </c>
      <c r="BF360" s="6">
        <f t="shared" si="243"/>
        <v>2.6998691733102902</v>
      </c>
      <c r="BG360" s="6">
        <f t="shared" si="244"/>
        <v>3.5484095488293637</v>
      </c>
      <c r="BH360" s="6">
        <f t="shared" si="245"/>
        <v>0.1967448171526387</v>
      </c>
      <c r="BI360" s="6">
        <f t="shared" si="246"/>
        <v>0.1967448171526387</v>
      </c>
      <c r="BV360" s="38"/>
      <c r="BW360" s="6">
        <f t="shared" si="247"/>
        <v>6.0213859193803936</v>
      </c>
      <c r="BX360" s="9">
        <f t="shared" ca="1" si="248"/>
        <v>-33.335200797344051</v>
      </c>
      <c r="BY360" s="9">
        <f t="shared" ca="1" si="249"/>
        <v>7.1532386591002606</v>
      </c>
      <c r="BZ360">
        <f t="shared" ca="1" si="250"/>
        <v>34.094052788034659</v>
      </c>
      <c r="CA360" s="6">
        <f t="shared" ca="1" si="251"/>
        <v>-0.97774239409411223</v>
      </c>
      <c r="CB360" s="6">
        <f t="shared" ca="1" si="252"/>
        <v>0.20980898644031831</v>
      </c>
      <c r="CC360" s="6">
        <f t="shared" ca="1" si="253"/>
        <v>2.9302130597747409</v>
      </c>
      <c r="CD360" s="6">
        <f t="shared" ca="1" si="254"/>
        <v>7.3472121265083601</v>
      </c>
      <c r="CE360" s="9">
        <f t="shared" ca="1" si="255"/>
        <v>5.509424231178297</v>
      </c>
      <c r="CF360">
        <f t="shared" ca="1" si="256"/>
        <v>9.1834242737121805</v>
      </c>
      <c r="CG360" s="6">
        <f t="shared" ca="1" si="257"/>
        <v>0.80005147399537757</v>
      </c>
      <c r="CH360" s="6">
        <f t="shared" ca="1" si="258"/>
        <v>0.59993136187219231</v>
      </c>
      <c r="CI360" s="6">
        <f t="shared" ca="1" si="259"/>
        <v>0.64341531389370643</v>
      </c>
      <c r="CJ360" s="1">
        <f t="shared" ca="1" si="260"/>
        <v>2.2531986765692222</v>
      </c>
      <c r="CK360" s="38"/>
    </row>
    <row r="361" spans="55:89" x14ac:dyDescent="0.25">
      <c r="BC361">
        <v>6.2657320146595969</v>
      </c>
      <c r="BD361">
        <v>-40.348797000386298</v>
      </c>
      <c r="BE361">
        <v>19.222816120597393</v>
      </c>
      <c r="BF361" s="6">
        <f t="shared" si="243"/>
        <v>2.696989548740341</v>
      </c>
      <c r="BG361" s="6">
        <f t="shared" si="244"/>
        <v>3.5687424659192559</v>
      </c>
      <c r="BH361" s="6">
        <f t="shared" si="245"/>
        <v>0.19962444172258786</v>
      </c>
      <c r="BI361" s="6">
        <f t="shared" si="246"/>
        <v>0.19962444172258786</v>
      </c>
      <c r="BV361" s="38"/>
      <c r="BW361" s="6">
        <f t="shared" si="247"/>
        <v>6.0388392119003367</v>
      </c>
      <c r="BX361" s="9">
        <f t="shared" ca="1" si="248"/>
        <v>-33.361312599377769</v>
      </c>
      <c r="BY361" s="9">
        <f t="shared" ca="1" si="249"/>
        <v>7.0402801067756293</v>
      </c>
      <c r="BZ361">
        <f t="shared" ca="1" si="250"/>
        <v>34.096080747429937</v>
      </c>
      <c r="CA361" s="6">
        <f t="shared" ca="1" si="251"/>
        <v>-0.97845007015630225</v>
      </c>
      <c r="CB361" s="6">
        <f t="shared" ca="1" si="252"/>
        <v>0.20648355917875708</v>
      </c>
      <c r="CC361" s="6">
        <f t="shared" ca="1" si="253"/>
        <v>2.9336129543342353</v>
      </c>
      <c r="CD361" s="6">
        <f t="shared" ca="1" si="254"/>
        <v>7.373323928542078</v>
      </c>
      <c r="CE361" s="9">
        <f t="shared" ca="1" si="255"/>
        <v>5.6223827835029283</v>
      </c>
      <c r="CF361">
        <f t="shared" ca="1" si="256"/>
        <v>9.2723834001534531</v>
      </c>
      <c r="CG361" s="6">
        <f t="shared" ca="1" si="257"/>
        <v>0.79519187358236865</v>
      </c>
      <c r="CH361" s="6">
        <f t="shared" ca="1" si="258"/>
        <v>0.6063578845768911</v>
      </c>
      <c r="CI361" s="6">
        <f t="shared" ca="1" si="259"/>
        <v>0.65147237672231306</v>
      </c>
      <c r="CJ361" s="1">
        <f t="shared" ca="1" si="260"/>
        <v>2.2451416137406159</v>
      </c>
      <c r="CK361" s="38"/>
    </row>
    <row r="362" spans="55:89" x14ac:dyDescent="0.25">
      <c r="BC362">
        <v>6.28318530717954</v>
      </c>
      <c r="BD362">
        <v>-40.33178859358128</v>
      </c>
      <c r="BE362">
        <v>19.359149855462007</v>
      </c>
      <c r="BF362" s="6">
        <f t="shared" si="243"/>
        <v>2.6940748682815205</v>
      </c>
      <c r="BG362" s="6">
        <f t="shared" si="244"/>
        <v>3.5891104388980195</v>
      </c>
      <c r="BH362" s="6">
        <f t="shared" si="245"/>
        <v>0.20253912218140835</v>
      </c>
      <c r="BI362" s="6">
        <f t="shared" si="246"/>
        <v>0.20253912218140835</v>
      </c>
      <c r="BV362" s="38"/>
      <c r="BW362" s="6">
        <f t="shared" si="247"/>
        <v>6.0562925044202798</v>
      </c>
      <c r="BX362" s="9">
        <f t="shared" ca="1" si="248"/>
        <v>-33.386685392153268</v>
      </c>
      <c r="BY362" s="9">
        <f t="shared" ca="1" si="249"/>
        <v>6.9261749643689328</v>
      </c>
      <c r="BZ362">
        <f t="shared" ca="1" si="250"/>
        <v>34.097546262329075</v>
      </c>
      <c r="CA362" s="6">
        <f t="shared" ca="1" si="251"/>
        <v>-0.97915214001890905</v>
      </c>
      <c r="CB362" s="6">
        <f t="shared" ca="1" si="252"/>
        <v>0.203128251842009</v>
      </c>
      <c r="CC362" s="6">
        <f t="shared" ca="1" si="253"/>
        <v>2.9370409276309779</v>
      </c>
      <c r="CD362" s="6">
        <f t="shared" ca="1" si="254"/>
        <v>7.3986967213175774</v>
      </c>
      <c r="CE362" s="9">
        <f t="shared" ca="1" si="255"/>
        <v>5.7364879259096249</v>
      </c>
      <c r="CF362">
        <f t="shared" ca="1" si="256"/>
        <v>9.3620514257369027</v>
      </c>
      <c r="CG362" s="6">
        <f t="shared" ca="1" si="257"/>
        <v>0.79028584493544518</v>
      </c>
      <c r="CH362" s="6">
        <f t="shared" ca="1" si="258"/>
        <v>0.61273834815088046</v>
      </c>
      <c r="CI362" s="6">
        <f t="shared" ca="1" si="259"/>
        <v>0.65952096555541706</v>
      </c>
      <c r="CJ362" s="1">
        <f t="shared" ca="1" si="260"/>
        <v>2.2370930249075114</v>
      </c>
      <c r="CK362" s="38"/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47"/>
        <v>6.0737457969402229</v>
      </c>
      <c r="BX363" s="9">
        <f t="shared" ca="1" si="248"/>
        <v>-33.411339245194505</v>
      </c>
      <c r="BY363" s="9">
        <f t="shared" ca="1" si="249"/>
        <v>6.8108558640512697</v>
      </c>
      <c r="BZ363">
        <f t="shared" ca="1" si="250"/>
        <v>34.098465475125948</v>
      </c>
      <c r="CA363" s="6">
        <f t="shared" ca="1" si="251"/>
        <v>-0.97984876385617159</v>
      </c>
      <c r="CB363" s="6">
        <f t="shared" ca="1" si="252"/>
        <v>0.19974083200370507</v>
      </c>
      <c r="CC363" s="6">
        <f t="shared" ca="1" si="253"/>
        <v>2.9404992378905597</v>
      </c>
      <c r="CD363" s="6">
        <f t="shared" ca="1" si="254"/>
        <v>7.423350574358814</v>
      </c>
      <c r="CE363" s="9">
        <f t="shared" ca="1" si="255"/>
        <v>5.8518070262272879</v>
      </c>
      <c r="CF363">
        <f t="shared" ca="1" si="256"/>
        <v>9.4525012151301198</v>
      </c>
      <c r="CG363" s="6">
        <f t="shared" ca="1" si="257"/>
        <v>0.78533188257904152</v>
      </c>
      <c r="CH363" s="6">
        <f t="shared" ca="1" si="258"/>
        <v>0.61907498269988148</v>
      </c>
      <c r="CI363" s="6">
        <f t="shared" ca="1" si="259"/>
        <v>0.66756428758196429</v>
      </c>
      <c r="CJ363" s="1">
        <f t="shared" ca="1" si="260"/>
        <v>2.2290497028809648</v>
      </c>
      <c r="CK363" s="38"/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47"/>
        <v>6.091199089460166</v>
      </c>
      <c r="BX364" s="9">
        <f t="shared" ca="1" si="248"/>
        <v>-33.435292503759491</v>
      </c>
      <c r="BY364" s="9">
        <f t="shared" ca="1" si="249"/>
        <v>6.6942527189951555</v>
      </c>
      <c r="BZ364">
        <f t="shared" ca="1" si="250"/>
        <v>34.09885341588086</v>
      </c>
      <c r="CA364" s="6">
        <f t="shared" ca="1" si="251"/>
        <v>-0.98054008139134885</v>
      </c>
      <c r="CB364" s="6">
        <f t="shared" ca="1" si="252"/>
        <v>0.19631899751436924</v>
      </c>
      <c r="CC364" s="6">
        <f t="shared" ca="1" si="253"/>
        <v>2.943990209615384</v>
      </c>
      <c r="CD364" s="6">
        <f t="shared" ca="1" si="254"/>
        <v>7.4473038329238008</v>
      </c>
      <c r="CE364" s="9">
        <f t="shared" ca="1" si="255"/>
        <v>5.9684101712834021</v>
      </c>
      <c r="CF364">
        <f t="shared" ca="1" si="256"/>
        <v>9.5438071204609276</v>
      </c>
      <c r="CG364" s="6">
        <f t="shared" ca="1" si="257"/>
        <v>0.78032840971372497</v>
      </c>
      <c r="CH364" s="6">
        <f t="shared" ca="1" si="258"/>
        <v>0.62536994890516517</v>
      </c>
      <c r="CI364" s="6">
        <f t="shared" ca="1" si="259"/>
        <v>0.67560553678011148</v>
      </c>
      <c r="CJ364" s="1">
        <f t="shared" ca="1" si="260"/>
        <v>2.2210084536828174</v>
      </c>
      <c r="CK364" s="38"/>
    </row>
    <row r="365" spans="55:89" x14ac:dyDescent="0.25">
      <c r="BW365" s="6">
        <f t="shared" si="247"/>
        <v>6.1086523819801091</v>
      </c>
      <c r="BX365" s="9">
        <f t="shared" ca="1" si="248"/>
        <v>-33.458561853479665</v>
      </c>
      <c r="BY365" s="9">
        <f t="shared" ca="1" si="249"/>
        <v>6.5762925520262563</v>
      </c>
      <c r="BZ365">
        <f t="shared" ca="1" si="250"/>
        <v>34.098724096847974</v>
      </c>
      <c r="CA365" s="6">
        <f t="shared" ca="1" si="251"/>
        <v>-0.98122621123447007</v>
      </c>
      <c r="CB365" s="6">
        <f t="shared" ca="1" si="252"/>
        <v>0.19286037018124549</v>
      </c>
      <c r="CC365" s="6">
        <f t="shared" ca="1" si="253"/>
        <v>2.9475162399715273</v>
      </c>
      <c r="CD365" s="6">
        <f t="shared" ca="1" si="254"/>
        <v>7.4705731826439745</v>
      </c>
      <c r="CE365" s="9">
        <f t="shared" ca="1" si="255"/>
        <v>6.0863703382523013</v>
      </c>
      <c r="CF365">
        <f t="shared" ca="1" si="256"/>
        <v>9.6360452246550174</v>
      </c>
      <c r="CG365" s="6">
        <f t="shared" ca="1" si="257"/>
        <v>0.7752737776208839</v>
      </c>
      <c r="CH365" s="6">
        <f t="shared" ca="1" si="258"/>
        <v>0.63162533968599144</v>
      </c>
      <c r="CI365" s="6">
        <f t="shared" ca="1" si="259"/>
        <v>0.68364789762967659</v>
      </c>
      <c r="CJ365" s="1">
        <f t="shared" ca="1" si="260"/>
        <v>2.2129660928332524</v>
      </c>
      <c r="CK365" s="38"/>
    </row>
    <row r="366" spans="55:89" x14ac:dyDescent="0.25">
      <c r="BW366" s="6">
        <f t="shared" si="247"/>
        <v>6.1261056745000522</v>
      </c>
      <c r="BX366" s="9">
        <f t="shared" ca="1" si="248"/>
        <v>-33.481162362570807</v>
      </c>
      <c r="BY366" s="9">
        <f t="shared" ca="1" si="249"/>
        <v>6.4568993082941368</v>
      </c>
      <c r="BZ366">
        <f t="shared" ca="1" si="250"/>
        <v>34.098090589155824</v>
      </c>
      <c r="CA366" s="6">
        <f t="shared" ca="1" si="251"/>
        <v>-0.98190725005636481</v>
      </c>
      <c r="CB366" s="6">
        <f t="shared" ca="1" si="252"/>
        <v>0.18936248912270814</v>
      </c>
      <c r="CC366" s="6">
        <f t="shared" ca="1" si="253"/>
        <v>2.9510798054915242</v>
      </c>
      <c r="CD366" s="6">
        <f t="shared" ca="1" si="254"/>
        <v>7.4931736917351159</v>
      </c>
      <c r="CE366" s="9">
        <f t="shared" ca="1" si="255"/>
        <v>6.2057635819844208</v>
      </c>
      <c r="CF366">
        <f t="shared" ca="1" si="256"/>
        <v>9.7292935822697508</v>
      </c>
      <c r="CG366" s="6">
        <f t="shared" ca="1" si="257"/>
        <v>0.77016626421782108</v>
      </c>
      <c r="CH366" s="6">
        <f t="shared" ca="1" si="258"/>
        <v>0.63784318249924532</v>
      </c>
      <c r="CI366" s="6">
        <f t="shared" ca="1" si="259"/>
        <v>0.69169454983896661</v>
      </c>
      <c r="CJ366" s="1">
        <f t="shared" ca="1" si="260"/>
        <v>2.2049194406239625</v>
      </c>
      <c r="CK366" s="38"/>
    </row>
    <row r="367" spans="55:89" x14ac:dyDescent="0.25">
      <c r="BW367" s="6">
        <f t="shared" si="247"/>
        <v>6.1435589670199953</v>
      </c>
      <c r="BX367" s="9">
        <f t="shared" ca="1" si="248"/>
        <v>-33.503107532552477</v>
      </c>
      <c r="BY367" s="9">
        <f t="shared" ca="1" si="249"/>
        <v>6.3359936565435468</v>
      </c>
      <c r="BZ367">
        <f t="shared" ca="1" si="250"/>
        <v>34.096965113533706</v>
      </c>
      <c r="CA367" s="6">
        <f t="shared" ca="1" si="251"/>
        <v>-0.98258327159018866</v>
      </c>
      <c r="CB367" s="6">
        <f t="shared" ca="1" si="252"/>
        <v>0.18582280374357057</v>
      </c>
      <c r="CC367" s="6">
        <f t="shared" ca="1" si="253"/>
        <v>2.954683469148323</v>
      </c>
      <c r="CD367" s="6">
        <f t="shared" ca="1" si="254"/>
        <v>7.5151188617167861</v>
      </c>
      <c r="CE367" s="9">
        <f t="shared" ca="1" si="255"/>
        <v>6.3266692337350108</v>
      </c>
      <c r="CF367">
        <f t="shared" ca="1" si="256"/>
        <v>9.8236324798325274</v>
      </c>
      <c r="CG367" s="6">
        <f t="shared" ca="1" si="257"/>
        <v>0.76500407330434894</v>
      </c>
      <c r="CH367" s="6">
        <f t="shared" ca="1" si="258"/>
        <v>0.64402544035756393</v>
      </c>
      <c r="CI367" s="6">
        <f t="shared" ca="1" si="259"/>
        <v>0.69974867163574839</v>
      </c>
      <c r="CJ367" s="1">
        <f t="shared" ca="1" si="260"/>
        <v>2.1968653188271805</v>
      </c>
      <c r="CK367" s="38"/>
    </row>
    <row r="368" spans="55:89" x14ac:dyDescent="0.25">
      <c r="BW368" s="6">
        <f t="shared" si="247"/>
        <v>6.1610122595399384</v>
      </c>
      <c r="BX368" s="9">
        <f t="shared" ca="1" si="248"/>
        <v>-33.524409331101801</v>
      </c>
      <c r="BY368" s="9">
        <f t="shared" ca="1" si="249"/>
        <v>6.2134927729448215</v>
      </c>
      <c r="BZ368">
        <f t="shared" ca="1" si="250"/>
        <v>34.095359118781879</v>
      </c>
      <c r="CA368" s="6">
        <f t="shared" ca="1" si="251"/>
        <v>-0.98325432544379443</v>
      </c>
      <c r="CB368" s="6">
        <f t="shared" ca="1" si="252"/>
        <v>0.18223866630347463</v>
      </c>
      <c r="CC368" s="6">
        <f t="shared" ca="1" si="253"/>
        <v>2.9583298878292639</v>
      </c>
      <c r="CD368" s="6">
        <f t="shared" ca="1" si="254"/>
        <v>7.5364206602661099</v>
      </c>
      <c r="CE368" s="9">
        <f t="shared" ca="1" si="255"/>
        <v>6.4491701173337361</v>
      </c>
      <c r="CF368">
        <f t="shared" ca="1" si="256"/>
        <v>9.9191446995593484</v>
      </c>
      <c r="CG368" s="6">
        <f t="shared" ca="1" si="257"/>
        <v>0.75978533316495633</v>
      </c>
      <c r="CH368" s="6">
        <f t="shared" ca="1" si="258"/>
        <v>0.65017401325138813</v>
      </c>
      <c r="CI368" s="6">
        <f t="shared" ca="1" si="259"/>
        <v>0.70781344378350142</v>
      </c>
      <c r="CJ368" s="1">
        <f t="shared" ca="1" si="260"/>
        <v>2.1888005466794276</v>
      </c>
      <c r="CK368" s="38"/>
    </row>
    <row r="369" spans="75:89" x14ac:dyDescent="0.25">
      <c r="BW369" s="6">
        <f t="shared" si="247"/>
        <v>6.1784655520598815</v>
      </c>
      <c r="BX369" s="9">
        <f t="shared" ca="1" si="248"/>
        <v>-33.545078220849916</v>
      </c>
      <c r="BY369" s="9">
        <f t="shared" ca="1" si="249"/>
        <v>6.0893101087110928</v>
      </c>
      <c r="BZ369">
        <f t="shared" ca="1" si="250"/>
        <v>34.093283362606634</v>
      </c>
      <c r="CA369" s="6">
        <f t="shared" ca="1" si="251"/>
        <v>-0.98392043570793219</v>
      </c>
      <c r="CB369" s="6">
        <f t="shared" ca="1" si="252"/>
        <v>0.17860732402763596</v>
      </c>
      <c r="CC369" s="6">
        <f t="shared" ca="1" si="253"/>
        <v>2.9620218202623558</v>
      </c>
      <c r="CD369" s="6">
        <f t="shared" ca="1" si="254"/>
        <v>7.5570895500142257</v>
      </c>
      <c r="CE369" s="9">
        <f t="shared" ca="1" si="255"/>
        <v>6.5733527815674648</v>
      </c>
      <c r="CF369">
        <f t="shared" ca="1" si="256"/>
        <v>10.01591579726362</v>
      </c>
      <c r="CG369" s="6">
        <f t="shared" ca="1" si="257"/>
        <v>0.75450809521370443</v>
      </c>
      <c r="CH369" s="6">
        <f t="shared" ca="1" si="258"/>
        <v>0.65629073912176117</v>
      </c>
      <c r="CI369" s="6">
        <f t="shared" ca="1" si="259"/>
        <v>0.71589205323779737</v>
      </c>
      <c r="CJ369" s="1">
        <f t="shared" ca="1" si="260"/>
        <v>2.1807219372251314</v>
      </c>
      <c r="CK369" s="38"/>
    </row>
    <row r="370" spans="75:89" x14ac:dyDescent="0.25">
      <c r="BW370" s="6">
        <f t="shared" si="247"/>
        <v>6.1959188445798246</v>
      </c>
      <c r="BX370" s="9">
        <f t="shared" ca="1" si="248"/>
        <v>-33.565123175490186</v>
      </c>
      <c r="BY370" s="9">
        <f t="shared" ca="1" si="249"/>
        <v>5.9633551385821448</v>
      </c>
      <c r="BZ370">
        <f t="shared" ca="1" si="250"/>
        <v>34.09074798672922</v>
      </c>
      <c r="CA370" s="6">
        <f t="shared" ca="1" si="251"/>
        <v>-0.98458159934057043</v>
      </c>
      <c r="CB370" s="6">
        <f t="shared" ca="1" si="252"/>
        <v>0.17492591071640751</v>
      </c>
      <c r="CC370" s="6">
        <f t="shared" ca="1" si="253"/>
        <v>2.9657621354398662</v>
      </c>
      <c r="CD370" s="6">
        <f t="shared" ca="1" si="254"/>
        <v>7.5771345046544951</v>
      </c>
      <c r="CE370" s="9">
        <f t="shared" ca="1" si="255"/>
        <v>6.6993077516964128</v>
      </c>
      <c r="CF370">
        <f t="shared" ca="1" si="256"/>
        <v>10.114034390566673</v>
      </c>
      <c r="CG370" s="6">
        <f t="shared" ca="1" si="257"/>
        <v>0.74917033223870233</v>
      </c>
      <c r="CH370" s="6">
        <f t="shared" ca="1" si="258"/>
        <v>0.66237739491422287</v>
      </c>
      <c r="CI370" s="6">
        <f t="shared" ca="1" si="259"/>
        <v>0.7239876971444954</v>
      </c>
      <c r="CJ370" s="1">
        <f t="shared" ca="1" si="260"/>
        <v>2.1726262933184337</v>
      </c>
      <c r="CK370" s="38"/>
    </row>
    <row r="371" spans="75:89" x14ac:dyDescent="0.25">
      <c r="BW371" s="6">
        <f t="shared" si="247"/>
        <v>6.2133721370997677</v>
      </c>
      <c r="BX371" s="9">
        <f t="shared" ca="1" si="248"/>
        <v>-33.584551697579933</v>
      </c>
      <c r="BY371" s="9">
        <f t="shared" ca="1" si="249"/>
        <v>5.8355330910391174</v>
      </c>
      <c r="BZ371">
        <f t="shared" ca="1" si="250"/>
        <v>34.08776260161455</v>
      </c>
      <c r="CA371" s="6">
        <f t="shared" ca="1" si="251"/>
        <v>-0.98523778430647768</v>
      </c>
      <c r="CB371" s="6">
        <f t="shared" ca="1" si="252"/>
        <v>0.17119143779658688</v>
      </c>
      <c r="CC371" s="6">
        <f t="shared" ca="1" si="253"/>
        <v>2.969553821598149</v>
      </c>
      <c r="CD371" s="6">
        <f t="shared" ca="1" si="254"/>
        <v>7.5965630267442421</v>
      </c>
      <c r="CE371" s="9">
        <f t="shared" ca="1" si="255"/>
        <v>6.8271297992394402</v>
      </c>
      <c r="CF371">
        <f t="shared" ca="1" si="256"/>
        <v>10.213592468615575</v>
      </c>
      <c r="CG371" s="6">
        <f t="shared" ca="1" si="257"/>
        <v>0.74376993698221594</v>
      </c>
      <c r="CH371" s="6">
        <f t="shared" ca="1" si="258"/>
        <v>0.66843569686355808</v>
      </c>
      <c r="CI371" s="6">
        <f t="shared" ca="1" si="259"/>
        <v>0.73210358606564563</v>
      </c>
      <c r="CJ371" s="1">
        <f t="shared" ca="1" si="260"/>
        <v>2.1645104043972831</v>
      </c>
      <c r="CK371" s="38"/>
    </row>
    <row r="372" spans="75:89" x14ac:dyDescent="0.25">
      <c r="BW372" s="6">
        <f t="shared" si="247"/>
        <v>6.2308254296197108</v>
      </c>
      <c r="BX372" s="9">
        <f t="shared" ca="1" si="248"/>
        <v>-33.603369823413587</v>
      </c>
      <c r="BY372" s="9">
        <f t="shared" ca="1" si="249"/>
        <v>5.7057446560180267</v>
      </c>
      <c r="BZ372">
        <f t="shared" ca="1" si="250"/>
        <v>34.084336366853044</v>
      </c>
      <c r="CA372" s="6">
        <f t="shared" ca="1" si="251"/>
        <v>-0.98588892744565226</v>
      </c>
      <c r="CB372" s="6">
        <f t="shared" ca="1" si="252"/>
        <v>0.16740078476536963</v>
      </c>
      <c r="CC372" s="6">
        <f t="shared" ca="1" si="253"/>
        <v>2.9733999958046784</v>
      </c>
      <c r="CD372" s="6">
        <f t="shared" ca="1" si="254"/>
        <v>7.6153811525778963</v>
      </c>
      <c r="CE372" s="9">
        <f t="shared" ca="1" si="255"/>
        <v>6.9569182342605309</v>
      </c>
      <c r="CF372">
        <f t="shared" ca="1" si="256"/>
        <v>10.314685715872555</v>
      </c>
      <c r="CG372" s="6">
        <f t="shared" ca="1" si="257"/>
        <v>0.73830472031339878</v>
      </c>
      <c r="CH372" s="6">
        <f t="shared" ca="1" si="258"/>
        <v>0.67446730088489382</v>
      </c>
      <c r="CI372" s="6">
        <f t="shared" ca="1" si="259"/>
        <v>0.74024294759176934</v>
      </c>
      <c r="CJ372" s="1">
        <f t="shared" ca="1" si="260"/>
        <v>2.1563710428711595</v>
      </c>
      <c r="CK372" s="38"/>
    </row>
    <row r="373" spans="75:89" x14ac:dyDescent="0.25">
      <c r="BW373" s="6">
        <f t="shared" si="247"/>
        <v>6.2482787221396539</v>
      </c>
      <c r="BX373" s="9">
        <f t="shared" ca="1" si="248"/>
        <v>-33.621582117794169</v>
      </c>
      <c r="BY373" s="9">
        <f t="shared" ca="1" si="249"/>
        <v>5.5738856687801288</v>
      </c>
      <c r="BZ373">
        <f t="shared" ca="1" si="250"/>
        <v>34.080478071063041</v>
      </c>
      <c r="CA373" s="6">
        <f t="shared" ca="1" si="251"/>
        <v>-0.98653493204197418</v>
      </c>
      <c r="CB373" s="6">
        <f t="shared" ca="1" si="252"/>
        <v>0.16355068896503505</v>
      </c>
      <c r="CC373" s="6">
        <f t="shared" ca="1" si="253"/>
        <v>2.9773039142165412</v>
      </c>
      <c r="CD373" s="6">
        <f t="shared" ca="1" si="254"/>
        <v>7.6335934469584785</v>
      </c>
      <c r="CE373" s="9">
        <f t="shared" ca="1" si="255"/>
        <v>7.0887772214984288</v>
      </c>
      <c r="CF373">
        <f t="shared" ca="1" si="256"/>
        <v>10.417413854190608</v>
      </c>
      <c r="CG373" s="6">
        <f t="shared" ca="1" si="257"/>
        <v>0.73277240914142205</v>
      </c>
      <c r="CH373" s="6">
        <f t="shared" ca="1" si="258"/>
        <v>0.68047380287640491</v>
      </c>
      <c r="CI373" s="6">
        <f t="shared" ca="1" si="259"/>
        <v>0.74840903010726068</v>
      </c>
      <c r="CJ373" s="1">
        <f t="shared" ca="1" si="260"/>
        <v>2.1482049603556681</v>
      </c>
      <c r="CK373" s="38"/>
    </row>
    <row r="374" spans="75:89" x14ac:dyDescent="0.25">
      <c r="BW374" s="6">
        <f t="shared" si="247"/>
        <v>6.2657320146595969</v>
      </c>
      <c r="BX374" s="9">
        <f t="shared" ca="1" si="248"/>
        <v>-33.639191670449392</v>
      </c>
      <c r="BY374" s="9">
        <f t="shared" ca="1" si="249"/>
        <v>5.4398467696811643</v>
      </c>
      <c r="BZ374">
        <f t="shared" ca="1" si="250"/>
        <v>34.07619622432707</v>
      </c>
      <c r="CA374" s="6">
        <f t="shared" ca="1" si="251"/>
        <v>-0.98717566505953802</v>
      </c>
      <c r="CB374" s="6">
        <f t="shared" ca="1" si="252"/>
        <v>0.15963773461891401</v>
      </c>
      <c r="CC374" s="6">
        <f t="shared" ca="1" si="253"/>
        <v>2.9812689830825829</v>
      </c>
      <c r="CD374" s="6">
        <f t="shared" ca="1" si="254"/>
        <v>7.6512029996137016</v>
      </c>
      <c r="CE374" s="9">
        <f t="shared" ca="1" si="255"/>
        <v>7.2228161205973933</v>
      </c>
      <c r="CF374">
        <f t="shared" ca="1" si="256"/>
        <v>10.521881013072676</v>
      </c>
      <c r="CG374" s="6">
        <f t="shared" ca="1" si="257"/>
        <v>0.72717064468868597</v>
      </c>
      <c r="CH374" s="6">
        <f t="shared" ca="1" si="258"/>
        <v>0.68645673826035158</v>
      </c>
      <c r="CI374" s="6">
        <f t="shared" ca="1" si="259"/>
        <v>0.75660510580475049</v>
      </c>
      <c r="CJ374" s="1">
        <f t="shared" ca="1" si="260"/>
        <v>2.1400088846581786</v>
      </c>
      <c r="CK374" s="38"/>
    </row>
    <row r="375" spans="75:89" x14ac:dyDescent="0.25">
      <c r="BW375" s="6">
        <f t="shared" si="247"/>
        <v>6.28318530717954</v>
      </c>
      <c r="BX375" s="9">
        <f t="shared" ca="1" si="248"/>
        <v>-33.656200077254411</v>
      </c>
      <c r="BY375" s="9">
        <f t="shared" ca="1" si="249"/>
        <v>5.3035130348165502</v>
      </c>
      <c r="BZ375">
        <f t="shared" ca="1" si="250"/>
        <v>34.071499147390753</v>
      </c>
      <c r="CA375" s="6">
        <f t="shared" ca="1" si="251"/>
        <v>-0.98781095400763586</v>
      </c>
      <c r="CB375" s="6">
        <f t="shared" ca="1" si="252"/>
        <v>0.15565834106312582</v>
      </c>
      <c r="CC375" s="6">
        <f t="shared" ca="1" si="253"/>
        <v>2.9852987705577911</v>
      </c>
      <c r="CD375" s="6">
        <f t="shared" ca="1" si="254"/>
        <v>7.6682114064187203</v>
      </c>
      <c r="CE375" s="9">
        <f t="shared" ca="1" si="255"/>
        <v>7.3591498554620074</v>
      </c>
      <c r="CF375">
        <f t="shared" ca="1" si="256"/>
        <v>10.628196120164354</v>
      </c>
      <c r="CG375" s="6">
        <f t="shared" ca="1" si="257"/>
        <v>0.72149698027026432</v>
      </c>
      <c r="CH375" s="6">
        <f t="shared" ca="1" si="258"/>
        <v>0.6924175817098307</v>
      </c>
      <c r="CI375" s="6">
        <f t="shared" ca="1" si="259"/>
        <v>0.76483447423470929</v>
      </c>
      <c r="CJ375" s="1">
        <f t="shared" ca="1" si="260"/>
        <v>2.1317795162282192</v>
      </c>
      <c r="CK375" s="38"/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2020-11-13T03:40:38Z</dcterms:modified>
</cp:coreProperties>
</file>