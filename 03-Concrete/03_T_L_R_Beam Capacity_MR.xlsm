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457915" documentId="114_{4C9766C2-934B-FE43-8898-95272A9847CE}" xr6:coauthVersionLast="45" xr6:coauthVersionMax="45" xr10:uidLastSave="{D032E62E-0ED3-4B0C-942D-C3D0AA5CD40E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1" l="1"/>
  <c r="D17" i="1"/>
  <c r="D16" i="1"/>
  <c r="D15" i="1"/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B91" i="1" l="1"/>
  <c r="A97" i="1"/>
  <c r="A98" i="1"/>
  <c r="B98" i="1"/>
  <c r="B90" i="1"/>
  <c r="A90" i="1"/>
  <c r="AE46" i="1" l="1"/>
  <c r="AE37" i="1"/>
  <c r="AD37" i="1" s="1"/>
  <c r="U13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AE41" i="1" l="1"/>
  <c r="AX358" i="1"/>
  <c r="BF358" i="1" s="1"/>
  <c r="AX350" i="1"/>
  <c r="BF350" i="1" s="1"/>
  <c r="AX349" i="1"/>
  <c r="BF349" i="1" s="1"/>
  <c r="AX317" i="1"/>
  <c r="BF317" i="1" s="1"/>
  <c r="AX293" i="1"/>
  <c r="BF293" i="1" s="1"/>
  <c r="AX285" i="1"/>
  <c r="BF285" i="1" s="1"/>
  <c r="AX261" i="1"/>
  <c r="BF261" i="1" s="1"/>
  <c r="AX253" i="1"/>
  <c r="BF253" i="1" s="1"/>
  <c r="AX245" i="1"/>
  <c r="BF245" i="1" s="1"/>
  <c r="AX237" i="1"/>
  <c r="BF237" i="1" s="1"/>
  <c r="AX229" i="1"/>
  <c r="BF229" i="1" s="1"/>
  <c r="AX221" i="1"/>
  <c r="BF221" i="1" s="1"/>
  <c r="AX213" i="1"/>
  <c r="BF213" i="1" s="1"/>
  <c r="AX205" i="1"/>
  <c r="BF205" i="1" s="1"/>
  <c r="AX356" i="1"/>
  <c r="BF356" i="1" s="1"/>
  <c r="AX355" i="1"/>
  <c r="BF355" i="1" s="1"/>
  <c r="AX361" i="1"/>
  <c r="BF361" i="1" s="1"/>
  <c r="AX353" i="1"/>
  <c r="BF353" i="1" s="1"/>
  <c r="AX357" i="1"/>
  <c r="BF357" i="1" s="1"/>
  <c r="AX333" i="1"/>
  <c r="BF333" i="1" s="1"/>
  <c r="AX309" i="1"/>
  <c r="BF309" i="1" s="1"/>
  <c r="AX277" i="1"/>
  <c r="BF277" i="1" s="1"/>
  <c r="AX362" i="1"/>
  <c r="BF362" i="1" s="1"/>
  <c r="AX346" i="1"/>
  <c r="BF346" i="1" s="1"/>
  <c r="AX330" i="1"/>
  <c r="BF330" i="1" s="1"/>
  <c r="AX314" i="1"/>
  <c r="BF314" i="1" s="1"/>
  <c r="AX298" i="1"/>
  <c r="BF298" i="1" s="1"/>
  <c r="AX282" i="1"/>
  <c r="BF282" i="1" s="1"/>
  <c r="AX266" i="1"/>
  <c r="BF266" i="1" s="1"/>
  <c r="AX250" i="1"/>
  <c r="BF250" i="1" s="1"/>
  <c r="AX234" i="1"/>
  <c r="BF234" i="1" s="1"/>
  <c r="AX218" i="1"/>
  <c r="BF218" i="1" s="1"/>
  <c r="AX202" i="1"/>
  <c r="BF202" i="1" s="1"/>
  <c r="AX186" i="1"/>
  <c r="BF186" i="1" s="1"/>
  <c r="AX352" i="1"/>
  <c r="BF352" i="1" s="1"/>
  <c r="AX336" i="1"/>
  <c r="BF336" i="1" s="1"/>
  <c r="AX320" i="1"/>
  <c r="BF320" i="1" s="1"/>
  <c r="AX312" i="1"/>
  <c r="BF312" i="1" s="1"/>
  <c r="AX341" i="1"/>
  <c r="BF341" i="1" s="1"/>
  <c r="AX325" i="1"/>
  <c r="BF325" i="1" s="1"/>
  <c r="AX301" i="1"/>
  <c r="BF301" i="1" s="1"/>
  <c r="AX269" i="1"/>
  <c r="BF269" i="1" s="1"/>
  <c r="AX354" i="1"/>
  <c r="BF354" i="1" s="1"/>
  <c r="AX338" i="1"/>
  <c r="BF338" i="1" s="1"/>
  <c r="AX322" i="1"/>
  <c r="BF322" i="1" s="1"/>
  <c r="AX306" i="1"/>
  <c r="BF306" i="1" s="1"/>
  <c r="AX290" i="1"/>
  <c r="BF290" i="1" s="1"/>
  <c r="AX274" i="1"/>
  <c r="BF274" i="1" s="1"/>
  <c r="AX258" i="1"/>
  <c r="BF258" i="1" s="1"/>
  <c r="AX242" i="1"/>
  <c r="BF242" i="1" s="1"/>
  <c r="AX226" i="1"/>
  <c r="BF226" i="1" s="1"/>
  <c r="AX210" i="1"/>
  <c r="BF210" i="1" s="1"/>
  <c r="AX194" i="1"/>
  <c r="BF194" i="1" s="1"/>
  <c r="AX360" i="1"/>
  <c r="BF360" i="1" s="1"/>
  <c r="AX344" i="1"/>
  <c r="BF344" i="1" s="1"/>
  <c r="AX328" i="1"/>
  <c r="BF328" i="1" s="1"/>
  <c r="AX359" i="1"/>
  <c r="BF359" i="1" s="1"/>
  <c r="AX351" i="1"/>
  <c r="BF351" i="1" s="1"/>
  <c r="AX197" i="1"/>
  <c r="BF197" i="1" s="1"/>
  <c r="AX189" i="1"/>
  <c r="BF189" i="1" s="1"/>
  <c r="AX348" i="1"/>
  <c r="BF348" i="1" s="1"/>
  <c r="AX345" i="1"/>
  <c r="BF345" i="1" s="1"/>
  <c r="AX304" i="1"/>
  <c r="BF304" i="1" s="1"/>
  <c r="AX296" i="1"/>
  <c r="BF296" i="1" s="1"/>
  <c r="AX342" i="1"/>
  <c r="BF342" i="1" s="1"/>
  <c r="AX334" i="1"/>
  <c r="BF334" i="1" s="1"/>
  <c r="AX326" i="1"/>
  <c r="BF326" i="1" s="1"/>
  <c r="AX340" i="1"/>
  <c r="BF340" i="1" s="1"/>
  <c r="AX332" i="1"/>
  <c r="BF332" i="1" s="1"/>
  <c r="AX324" i="1"/>
  <c r="BF324" i="1" s="1"/>
  <c r="AX347" i="1"/>
  <c r="BF347" i="1" s="1"/>
  <c r="AX339" i="1"/>
  <c r="BF339" i="1" s="1"/>
  <c r="AX331" i="1"/>
  <c r="BF331" i="1" s="1"/>
  <c r="AX323" i="1"/>
  <c r="BF323" i="1" s="1"/>
  <c r="AX337" i="1"/>
  <c r="BF337" i="1" s="1"/>
  <c r="AX329" i="1"/>
  <c r="BF329" i="1" s="1"/>
  <c r="AX288" i="1"/>
  <c r="BF288" i="1" s="1"/>
  <c r="AX280" i="1"/>
  <c r="BF280" i="1" s="1"/>
  <c r="AX272" i="1"/>
  <c r="BF272" i="1" s="1"/>
  <c r="AX264" i="1"/>
  <c r="BF264" i="1" s="1"/>
  <c r="AX256" i="1"/>
  <c r="BF256" i="1" s="1"/>
  <c r="AX343" i="1"/>
  <c r="BF343" i="1" s="1"/>
  <c r="AX335" i="1"/>
  <c r="BF335" i="1" s="1"/>
  <c r="AX327" i="1"/>
  <c r="BF327" i="1" s="1"/>
  <c r="AX248" i="1"/>
  <c r="BF248" i="1" s="1"/>
  <c r="AX318" i="1"/>
  <c r="BF318" i="1" s="1"/>
  <c r="AX310" i="1"/>
  <c r="BF310" i="1" s="1"/>
  <c r="AX302" i="1"/>
  <c r="BF302" i="1" s="1"/>
  <c r="AX294" i="1"/>
  <c r="BF294" i="1" s="1"/>
  <c r="AX286" i="1"/>
  <c r="BF286" i="1" s="1"/>
  <c r="AX278" i="1"/>
  <c r="BF278" i="1" s="1"/>
  <c r="AX270" i="1"/>
  <c r="BF270" i="1" s="1"/>
  <c r="AX262" i="1"/>
  <c r="BF262" i="1" s="1"/>
  <c r="AX254" i="1"/>
  <c r="BF254" i="1" s="1"/>
  <c r="AX246" i="1"/>
  <c r="BF246" i="1" s="1"/>
  <c r="AX238" i="1"/>
  <c r="BF238" i="1" s="1"/>
  <c r="AX230" i="1"/>
  <c r="BF230" i="1" s="1"/>
  <c r="AX222" i="1"/>
  <c r="BF222" i="1" s="1"/>
  <c r="AX214" i="1"/>
  <c r="BF214" i="1" s="1"/>
  <c r="AX206" i="1"/>
  <c r="BF206" i="1" s="1"/>
  <c r="AX198" i="1"/>
  <c r="BF198" i="1" s="1"/>
  <c r="AX190" i="1"/>
  <c r="BF190" i="1" s="1"/>
  <c r="AX316" i="1"/>
  <c r="BF316" i="1" s="1"/>
  <c r="AX308" i="1"/>
  <c r="BF308" i="1" s="1"/>
  <c r="AX300" i="1"/>
  <c r="BF300" i="1" s="1"/>
  <c r="AX292" i="1"/>
  <c r="BF292" i="1" s="1"/>
  <c r="AX284" i="1"/>
  <c r="BF284" i="1" s="1"/>
  <c r="AX276" i="1"/>
  <c r="BF276" i="1" s="1"/>
  <c r="AX268" i="1"/>
  <c r="BF268" i="1" s="1"/>
  <c r="AX260" i="1"/>
  <c r="BF260" i="1" s="1"/>
  <c r="AX252" i="1"/>
  <c r="BF252" i="1" s="1"/>
  <c r="AX244" i="1"/>
  <c r="BF244" i="1" s="1"/>
  <c r="AX236" i="1"/>
  <c r="BF236" i="1" s="1"/>
  <c r="AX228" i="1"/>
  <c r="BF228" i="1" s="1"/>
  <c r="AX220" i="1"/>
  <c r="BF220" i="1" s="1"/>
  <c r="AX212" i="1"/>
  <c r="BF212" i="1" s="1"/>
  <c r="AX204" i="1"/>
  <c r="BF204" i="1" s="1"/>
  <c r="AX196" i="1"/>
  <c r="BF196" i="1" s="1"/>
  <c r="AX188" i="1"/>
  <c r="BF188" i="1" s="1"/>
  <c r="AX315" i="1"/>
  <c r="BF315" i="1" s="1"/>
  <c r="AX307" i="1"/>
  <c r="BF307" i="1" s="1"/>
  <c r="AX299" i="1"/>
  <c r="BF299" i="1" s="1"/>
  <c r="AX291" i="1"/>
  <c r="BF291" i="1" s="1"/>
  <c r="AX283" i="1"/>
  <c r="BF283" i="1" s="1"/>
  <c r="AX275" i="1"/>
  <c r="BF275" i="1" s="1"/>
  <c r="AX267" i="1"/>
  <c r="BF267" i="1" s="1"/>
  <c r="AX259" i="1"/>
  <c r="BF259" i="1" s="1"/>
  <c r="AX251" i="1"/>
  <c r="BF251" i="1" s="1"/>
  <c r="AX243" i="1"/>
  <c r="BF243" i="1" s="1"/>
  <c r="AX235" i="1"/>
  <c r="BF235" i="1" s="1"/>
  <c r="AX227" i="1"/>
  <c r="BF227" i="1" s="1"/>
  <c r="AX219" i="1"/>
  <c r="BF219" i="1" s="1"/>
  <c r="AX211" i="1"/>
  <c r="BF211" i="1" s="1"/>
  <c r="AX203" i="1"/>
  <c r="BF203" i="1" s="1"/>
  <c r="AX195" i="1"/>
  <c r="BF195" i="1" s="1"/>
  <c r="AX187" i="1"/>
  <c r="BF187" i="1" s="1"/>
  <c r="AX321" i="1"/>
  <c r="BF321" i="1" s="1"/>
  <c r="AX313" i="1"/>
  <c r="BF313" i="1" s="1"/>
  <c r="AX305" i="1"/>
  <c r="BF305" i="1" s="1"/>
  <c r="AX297" i="1"/>
  <c r="BF297" i="1" s="1"/>
  <c r="AX289" i="1"/>
  <c r="BF289" i="1" s="1"/>
  <c r="AX281" i="1"/>
  <c r="BF281" i="1" s="1"/>
  <c r="AX273" i="1"/>
  <c r="BF273" i="1" s="1"/>
  <c r="AX265" i="1"/>
  <c r="BF265" i="1" s="1"/>
  <c r="AX257" i="1"/>
  <c r="BF257" i="1" s="1"/>
  <c r="AX249" i="1"/>
  <c r="BF249" i="1" s="1"/>
  <c r="AX241" i="1"/>
  <c r="BF241" i="1" s="1"/>
  <c r="AX233" i="1"/>
  <c r="BF233" i="1" s="1"/>
  <c r="AX225" i="1"/>
  <c r="BF225" i="1" s="1"/>
  <c r="AX217" i="1"/>
  <c r="BF217" i="1" s="1"/>
  <c r="AX209" i="1"/>
  <c r="BF209" i="1" s="1"/>
  <c r="AX201" i="1"/>
  <c r="BF201" i="1" s="1"/>
  <c r="AX193" i="1"/>
  <c r="BF193" i="1" s="1"/>
  <c r="AX185" i="1"/>
  <c r="BF185" i="1" s="1"/>
  <c r="AX240" i="1"/>
  <c r="BF240" i="1" s="1"/>
  <c r="AX232" i="1"/>
  <c r="BF232" i="1" s="1"/>
  <c r="AX224" i="1"/>
  <c r="BF224" i="1" s="1"/>
  <c r="AX216" i="1"/>
  <c r="BF216" i="1" s="1"/>
  <c r="AX208" i="1"/>
  <c r="BF208" i="1" s="1"/>
  <c r="AX200" i="1"/>
  <c r="BF200" i="1" s="1"/>
  <c r="AX192" i="1"/>
  <c r="BF192" i="1" s="1"/>
  <c r="AX184" i="1"/>
  <c r="BF184" i="1" s="1"/>
  <c r="AX319" i="1"/>
  <c r="BF319" i="1" s="1"/>
  <c r="AX311" i="1"/>
  <c r="BF311" i="1" s="1"/>
  <c r="AX303" i="1"/>
  <c r="BF303" i="1" s="1"/>
  <c r="AX295" i="1"/>
  <c r="BF295" i="1" s="1"/>
  <c r="AX287" i="1"/>
  <c r="BF287" i="1" s="1"/>
  <c r="AX279" i="1"/>
  <c r="BF279" i="1" s="1"/>
  <c r="AX271" i="1"/>
  <c r="BF271" i="1" s="1"/>
  <c r="AX263" i="1"/>
  <c r="BF263" i="1" s="1"/>
  <c r="AX255" i="1"/>
  <c r="BF255" i="1" s="1"/>
  <c r="AX247" i="1"/>
  <c r="BF247" i="1" s="1"/>
  <c r="AX239" i="1"/>
  <c r="BF239" i="1" s="1"/>
  <c r="AX231" i="1"/>
  <c r="BF231" i="1" s="1"/>
  <c r="AX223" i="1"/>
  <c r="BF223" i="1" s="1"/>
  <c r="AX215" i="1"/>
  <c r="BF215" i="1" s="1"/>
  <c r="AX207" i="1"/>
  <c r="BF207" i="1" s="1"/>
  <c r="AX199" i="1"/>
  <c r="BF199" i="1" s="1"/>
  <c r="AX191" i="1"/>
  <c r="BF191" i="1" s="1"/>
  <c r="AX183" i="1"/>
  <c r="BF183" i="1" s="1"/>
  <c r="BA182" i="1"/>
  <c r="AX182" i="1"/>
  <c r="BA181" i="1"/>
  <c r="AX181" i="1"/>
  <c r="BF181" i="1" s="1"/>
  <c r="BA180" i="1"/>
  <c r="AX180" i="1"/>
  <c r="BF180" i="1" s="1"/>
  <c r="BA179" i="1"/>
  <c r="AX179" i="1"/>
  <c r="BF179" i="1" s="1"/>
  <c r="BA178" i="1"/>
  <c r="AX178" i="1"/>
  <c r="BA177" i="1"/>
  <c r="AX177" i="1"/>
  <c r="BF177" i="1" s="1"/>
  <c r="BA176" i="1"/>
  <c r="AX176" i="1"/>
  <c r="BF176" i="1" s="1"/>
  <c r="BA175" i="1"/>
  <c r="AX175" i="1"/>
  <c r="BF175" i="1" s="1"/>
  <c r="BA174" i="1"/>
  <c r="AX174" i="1"/>
  <c r="BA173" i="1"/>
  <c r="AX173" i="1"/>
  <c r="BF173" i="1" s="1"/>
  <c r="BA172" i="1"/>
  <c r="AX172" i="1"/>
  <c r="BA171" i="1"/>
  <c r="AX171" i="1"/>
  <c r="BF171" i="1" s="1"/>
  <c r="BA170" i="1"/>
  <c r="AX170" i="1"/>
  <c r="BA169" i="1"/>
  <c r="AX169" i="1"/>
  <c r="BF169" i="1" s="1"/>
  <c r="BA168" i="1"/>
  <c r="AX168" i="1"/>
  <c r="BA167" i="1"/>
  <c r="AX167" i="1"/>
  <c r="BF167" i="1" s="1"/>
  <c r="BA166" i="1"/>
  <c r="AX166" i="1"/>
  <c r="BA165" i="1"/>
  <c r="AX165" i="1"/>
  <c r="BF165" i="1" s="1"/>
  <c r="BA164" i="1"/>
  <c r="AX164" i="1"/>
  <c r="BF164" i="1" s="1"/>
  <c r="BA163" i="1"/>
  <c r="AX163" i="1"/>
  <c r="BF163" i="1" s="1"/>
  <c r="BA162" i="1"/>
  <c r="AX162" i="1"/>
  <c r="BA161" i="1"/>
  <c r="AX161" i="1"/>
  <c r="BA160" i="1"/>
  <c r="AX160" i="1"/>
  <c r="BF160" i="1" s="1"/>
  <c r="BA159" i="1"/>
  <c r="AX159" i="1"/>
  <c r="BF159" i="1" s="1"/>
  <c r="BA158" i="1"/>
  <c r="AX158" i="1"/>
  <c r="BA157" i="1"/>
  <c r="AX157" i="1"/>
  <c r="BF157" i="1" s="1"/>
  <c r="BA156" i="1"/>
  <c r="AX156" i="1"/>
  <c r="BF156" i="1" s="1"/>
  <c r="BA155" i="1"/>
  <c r="AX155" i="1"/>
  <c r="BF155" i="1" s="1"/>
  <c r="BA154" i="1"/>
  <c r="AX154" i="1"/>
  <c r="BA153" i="1"/>
  <c r="AX153" i="1"/>
  <c r="BF153" i="1" s="1"/>
  <c r="BA152" i="1"/>
  <c r="AX152" i="1"/>
  <c r="BA151" i="1"/>
  <c r="AX151" i="1"/>
  <c r="BF151" i="1" s="1"/>
  <c r="BA150" i="1"/>
  <c r="AX150" i="1"/>
  <c r="BA149" i="1"/>
  <c r="AX149" i="1"/>
  <c r="BF149" i="1" s="1"/>
  <c r="BA148" i="1"/>
  <c r="AX148" i="1"/>
  <c r="BF148" i="1" s="1"/>
  <c r="BA147" i="1"/>
  <c r="AX147" i="1"/>
  <c r="BF147" i="1" s="1"/>
  <c r="BA146" i="1"/>
  <c r="AX146" i="1"/>
  <c r="BA145" i="1"/>
  <c r="AX145" i="1"/>
  <c r="BF145" i="1" s="1"/>
  <c r="BA144" i="1"/>
  <c r="AX144" i="1"/>
  <c r="BA143" i="1"/>
  <c r="AX143" i="1"/>
  <c r="BF143" i="1" s="1"/>
  <c r="BA142" i="1"/>
  <c r="AX142" i="1"/>
  <c r="BA141" i="1"/>
  <c r="AX141" i="1"/>
  <c r="BF141" i="1" s="1"/>
  <c r="BA140" i="1"/>
  <c r="AX140" i="1"/>
  <c r="BF140" i="1" s="1"/>
  <c r="BA139" i="1"/>
  <c r="AX139" i="1"/>
  <c r="BF139" i="1" s="1"/>
  <c r="BA138" i="1"/>
  <c r="AX138" i="1"/>
  <c r="BA137" i="1"/>
  <c r="AX137" i="1"/>
  <c r="BF137" i="1" s="1"/>
  <c r="BA136" i="1"/>
  <c r="AX136" i="1"/>
  <c r="BF136" i="1" s="1"/>
  <c r="BA135" i="1"/>
  <c r="AX135" i="1"/>
  <c r="BF135" i="1" s="1"/>
  <c r="BA134" i="1"/>
  <c r="AX134" i="1"/>
  <c r="BA133" i="1"/>
  <c r="AX133" i="1"/>
  <c r="BF133" i="1" s="1"/>
  <c r="BA132" i="1"/>
  <c r="AX132" i="1"/>
  <c r="BA131" i="1"/>
  <c r="AX131" i="1"/>
  <c r="BF131" i="1" s="1"/>
  <c r="BA130" i="1"/>
  <c r="AX130" i="1"/>
  <c r="BA129" i="1"/>
  <c r="AX129" i="1"/>
  <c r="BA128" i="1"/>
  <c r="AX128" i="1"/>
  <c r="BF128" i="1" s="1"/>
  <c r="BA127" i="1"/>
  <c r="AX127" i="1"/>
  <c r="BF127" i="1" s="1"/>
  <c r="BA126" i="1"/>
  <c r="AX126" i="1"/>
  <c r="BA125" i="1"/>
  <c r="AX125" i="1"/>
  <c r="BF125" i="1" s="1"/>
  <c r="BA124" i="1"/>
  <c r="AX124" i="1"/>
  <c r="BF124" i="1" s="1"/>
  <c r="BA123" i="1"/>
  <c r="AX123" i="1"/>
  <c r="BF123" i="1" s="1"/>
  <c r="BA122" i="1"/>
  <c r="AX122" i="1"/>
  <c r="BA121" i="1"/>
  <c r="AX121" i="1"/>
  <c r="BF121" i="1" s="1"/>
  <c r="BA120" i="1"/>
  <c r="AX120" i="1"/>
  <c r="BA119" i="1"/>
  <c r="AX119" i="1"/>
  <c r="BF119" i="1" s="1"/>
  <c r="BA118" i="1"/>
  <c r="AX118" i="1"/>
  <c r="BF118" i="1" s="1"/>
  <c r="BA117" i="1"/>
  <c r="AX117" i="1"/>
  <c r="BF117" i="1" s="1"/>
  <c r="BA116" i="1"/>
  <c r="AX116" i="1"/>
  <c r="BF116" i="1" s="1"/>
  <c r="BA115" i="1"/>
  <c r="AX115" i="1"/>
  <c r="BF115" i="1" s="1"/>
  <c r="BA114" i="1"/>
  <c r="AX114" i="1"/>
  <c r="BF114" i="1" s="1"/>
  <c r="BA113" i="1"/>
  <c r="AX113" i="1"/>
  <c r="BF113" i="1" s="1"/>
  <c r="BA112" i="1"/>
  <c r="AX112" i="1"/>
  <c r="BF112" i="1" s="1"/>
  <c r="BA111" i="1"/>
  <c r="AX111" i="1"/>
  <c r="BF111" i="1" s="1"/>
  <c r="BA110" i="1"/>
  <c r="AX110" i="1"/>
  <c r="BA109" i="1"/>
  <c r="AX109" i="1"/>
  <c r="BF109" i="1" s="1"/>
  <c r="BA108" i="1"/>
  <c r="AX108" i="1"/>
  <c r="BF108" i="1" s="1"/>
  <c r="BA107" i="1"/>
  <c r="AX107" i="1"/>
  <c r="BF107" i="1" s="1"/>
  <c r="BA106" i="1"/>
  <c r="AX106" i="1"/>
  <c r="BA105" i="1"/>
  <c r="AX105" i="1"/>
  <c r="BF105" i="1" s="1"/>
  <c r="BA104" i="1"/>
  <c r="AX104" i="1"/>
  <c r="BA103" i="1"/>
  <c r="AX103" i="1"/>
  <c r="BF103" i="1" s="1"/>
  <c r="BA102" i="1"/>
  <c r="AX102" i="1"/>
  <c r="BF102" i="1" s="1"/>
  <c r="BA101" i="1"/>
  <c r="AX101" i="1"/>
  <c r="BF101" i="1" s="1"/>
  <c r="BA100" i="1"/>
  <c r="AX100" i="1"/>
  <c r="BA99" i="1"/>
  <c r="AX99" i="1"/>
  <c r="BF99" i="1" s="1"/>
  <c r="BA98" i="1"/>
  <c r="AX98" i="1"/>
  <c r="BF98" i="1" s="1"/>
  <c r="BA97" i="1"/>
  <c r="AX97" i="1"/>
  <c r="BA96" i="1"/>
  <c r="AX96" i="1"/>
  <c r="BF96" i="1" s="1"/>
  <c r="BA95" i="1"/>
  <c r="AX95" i="1"/>
  <c r="BF95" i="1" s="1"/>
  <c r="BA94" i="1"/>
  <c r="AX94" i="1"/>
  <c r="BA93" i="1"/>
  <c r="AX93" i="1"/>
  <c r="BF93" i="1" s="1"/>
  <c r="BA92" i="1"/>
  <c r="AX92" i="1"/>
  <c r="BF92" i="1" s="1"/>
  <c r="BA91" i="1"/>
  <c r="AX91" i="1"/>
  <c r="BF91" i="1" s="1"/>
  <c r="BA90" i="1"/>
  <c r="AX90" i="1"/>
  <c r="BA89" i="1"/>
  <c r="AX89" i="1"/>
  <c r="BF89" i="1" s="1"/>
  <c r="BA88" i="1"/>
  <c r="AX88" i="1"/>
  <c r="BA87" i="1"/>
  <c r="AX87" i="1"/>
  <c r="BF87" i="1" s="1"/>
  <c r="BA86" i="1"/>
  <c r="AX86" i="1"/>
  <c r="BF86" i="1" s="1"/>
  <c r="BA85" i="1"/>
  <c r="AX85" i="1"/>
  <c r="BF85" i="1" s="1"/>
  <c r="BA84" i="1"/>
  <c r="AX84" i="1"/>
  <c r="BF84" i="1" s="1"/>
  <c r="BA83" i="1"/>
  <c r="AX83" i="1"/>
  <c r="BF83" i="1" s="1"/>
  <c r="BA82" i="1"/>
  <c r="AX82" i="1"/>
  <c r="BA81" i="1"/>
  <c r="AX81" i="1"/>
  <c r="BF81" i="1" s="1"/>
  <c r="BA80" i="1"/>
  <c r="AX80" i="1"/>
  <c r="BA79" i="1"/>
  <c r="AX79" i="1"/>
  <c r="BF79" i="1" s="1"/>
  <c r="BA78" i="1"/>
  <c r="AX78" i="1"/>
  <c r="BA77" i="1"/>
  <c r="AX77" i="1"/>
  <c r="BF77" i="1" s="1"/>
  <c r="BA76" i="1"/>
  <c r="AX76" i="1"/>
  <c r="BF76" i="1" s="1"/>
  <c r="BA75" i="1"/>
  <c r="AX75" i="1"/>
  <c r="BF75" i="1" s="1"/>
  <c r="BA74" i="1"/>
  <c r="AX74" i="1"/>
  <c r="BA73" i="1"/>
  <c r="AX73" i="1"/>
  <c r="BA72" i="1"/>
  <c r="AX72" i="1"/>
  <c r="BA71" i="1"/>
  <c r="AX71" i="1"/>
  <c r="BF71" i="1" s="1"/>
  <c r="BA70" i="1"/>
  <c r="AX70" i="1"/>
  <c r="BF70" i="1" s="1"/>
  <c r="BA69" i="1"/>
  <c r="AX69" i="1"/>
  <c r="BF69" i="1" s="1"/>
  <c r="BA68" i="1"/>
  <c r="AX68" i="1"/>
  <c r="BA67" i="1"/>
  <c r="AX67" i="1"/>
  <c r="BF67" i="1" s="1"/>
  <c r="BA66" i="1"/>
  <c r="AX66" i="1"/>
  <c r="BF66" i="1" s="1"/>
  <c r="BA65" i="1"/>
  <c r="AX65" i="1"/>
  <c r="BF65" i="1" s="1"/>
  <c r="BA64" i="1"/>
  <c r="AX64" i="1"/>
  <c r="BF64" i="1" s="1"/>
  <c r="BA63" i="1"/>
  <c r="AX63" i="1"/>
  <c r="BF63" i="1" s="1"/>
  <c r="BA62" i="1"/>
  <c r="AX62" i="1"/>
  <c r="BA61" i="1"/>
  <c r="AX61" i="1"/>
  <c r="BF61" i="1" s="1"/>
  <c r="BA60" i="1"/>
  <c r="AX60" i="1"/>
  <c r="BF60" i="1" s="1"/>
  <c r="BA59" i="1"/>
  <c r="AX59" i="1"/>
  <c r="BF59" i="1" s="1"/>
  <c r="BA58" i="1"/>
  <c r="AX58" i="1"/>
  <c r="BA57" i="1"/>
  <c r="AX57" i="1"/>
  <c r="BF57" i="1" s="1"/>
  <c r="BA56" i="1"/>
  <c r="AX56" i="1"/>
  <c r="BA55" i="1"/>
  <c r="AX55" i="1"/>
  <c r="BF55" i="1" s="1"/>
  <c r="BA54" i="1"/>
  <c r="AX54" i="1"/>
  <c r="BF54" i="1" s="1"/>
  <c r="BA53" i="1"/>
  <c r="AX53" i="1"/>
  <c r="BF53" i="1" s="1"/>
  <c r="BA52" i="1"/>
  <c r="AX52" i="1"/>
  <c r="BA51" i="1"/>
  <c r="AX51" i="1"/>
  <c r="BF51" i="1" s="1"/>
  <c r="BA50" i="1"/>
  <c r="AX50" i="1"/>
  <c r="BF50" i="1" s="1"/>
  <c r="BA49" i="1"/>
  <c r="AX49" i="1"/>
  <c r="BF49" i="1" s="1"/>
  <c r="BA48" i="1"/>
  <c r="AX48" i="1"/>
  <c r="BF48" i="1" s="1"/>
  <c r="BA47" i="1"/>
  <c r="AX47" i="1"/>
  <c r="BF47" i="1" s="1"/>
  <c r="BA46" i="1"/>
  <c r="AX46" i="1"/>
  <c r="BA45" i="1"/>
  <c r="AX45" i="1"/>
  <c r="BF45" i="1" s="1"/>
  <c r="BA44" i="1"/>
  <c r="AX44" i="1"/>
  <c r="BF44" i="1" s="1"/>
  <c r="BA43" i="1"/>
  <c r="AX43" i="1"/>
  <c r="BF43" i="1" s="1"/>
  <c r="BA42" i="1"/>
  <c r="AX42" i="1"/>
  <c r="BA41" i="1"/>
  <c r="AX41" i="1"/>
  <c r="BA40" i="1"/>
  <c r="AX40" i="1"/>
  <c r="BF40" i="1" s="1"/>
  <c r="BA39" i="1"/>
  <c r="AX39" i="1"/>
  <c r="BF39" i="1" s="1"/>
  <c r="BA38" i="1"/>
  <c r="AX38" i="1"/>
  <c r="BF38" i="1" s="1"/>
  <c r="BA37" i="1"/>
  <c r="AX37" i="1"/>
  <c r="BF37" i="1" s="1"/>
  <c r="BA36" i="1"/>
  <c r="AX36" i="1"/>
  <c r="BA35" i="1"/>
  <c r="AX35" i="1"/>
  <c r="BF35" i="1" s="1"/>
  <c r="BA34" i="1"/>
  <c r="AX34" i="1"/>
  <c r="BF34" i="1" s="1"/>
  <c r="BA33" i="1"/>
  <c r="AX33" i="1"/>
  <c r="BF33" i="1" s="1"/>
  <c r="BA32" i="1"/>
  <c r="AX32" i="1"/>
  <c r="BF32" i="1" s="1"/>
  <c r="BA31" i="1"/>
  <c r="AX31" i="1"/>
  <c r="BF31" i="1" s="1"/>
  <c r="BA30" i="1"/>
  <c r="AX30" i="1"/>
  <c r="BF30" i="1" s="1"/>
  <c r="BA29" i="1"/>
  <c r="AX29" i="1"/>
  <c r="BF29" i="1" s="1"/>
  <c r="BA28" i="1"/>
  <c r="AX28" i="1"/>
  <c r="BF28" i="1" s="1"/>
  <c r="BA27" i="1"/>
  <c r="AX27" i="1"/>
  <c r="BF27" i="1" s="1"/>
  <c r="BA26" i="1"/>
  <c r="AX26" i="1"/>
  <c r="BA25" i="1"/>
  <c r="AX25" i="1"/>
  <c r="BF25" i="1" s="1"/>
  <c r="BA24" i="1"/>
  <c r="AX24" i="1"/>
  <c r="BF24" i="1" s="1"/>
  <c r="BA23" i="1"/>
  <c r="AX23" i="1"/>
  <c r="BF23" i="1" s="1"/>
  <c r="BA22" i="1"/>
  <c r="AX22" i="1"/>
  <c r="BF22" i="1" s="1"/>
  <c r="BA21" i="1"/>
  <c r="AX21" i="1"/>
  <c r="BF21" i="1" s="1"/>
  <c r="BA20" i="1"/>
  <c r="AX20" i="1"/>
  <c r="BF20" i="1" s="1"/>
  <c r="BA19" i="1"/>
  <c r="AX19" i="1"/>
  <c r="BF19" i="1" s="1"/>
  <c r="BA18" i="1"/>
  <c r="AX18" i="1"/>
  <c r="BA17" i="1"/>
  <c r="AX17" i="1"/>
  <c r="BF17" i="1" s="1"/>
  <c r="BA16" i="1"/>
  <c r="AX16" i="1"/>
  <c r="BF16" i="1" s="1"/>
  <c r="BA15" i="1"/>
  <c r="AX15" i="1"/>
  <c r="BF15" i="1" s="1"/>
  <c r="BA14" i="1"/>
  <c r="AX14" i="1"/>
  <c r="BF14" i="1" s="1"/>
  <c r="BA13" i="1"/>
  <c r="AX13" i="1"/>
  <c r="BF13" i="1" s="1"/>
  <c r="BA12" i="1"/>
  <c r="AX12" i="1"/>
  <c r="BA11" i="1"/>
  <c r="AX11" i="1"/>
  <c r="BF11" i="1" s="1"/>
  <c r="BA10" i="1"/>
  <c r="AX10" i="1"/>
  <c r="BF10" i="1" s="1"/>
  <c r="BA9" i="1"/>
  <c r="AX9" i="1"/>
  <c r="BA8" i="1"/>
  <c r="AX8" i="1"/>
  <c r="BA7" i="1"/>
  <c r="AX7" i="1"/>
  <c r="BF7" i="1" s="1"/>
  <c r="BA6" i="1"/>
  <c r="AX6" i="1"/>
  <c r="BF6" i="1" s="1"/>
  <c r="BA5" i="1"/>
  <c r="AX5" i="1"/>
  <c r="BF5" i="1" s="1"/>
  <c r="BA4" i="1"/>
  <c r="AX4" i="1"/>
  <c r="BA3" i="1"/>
  <c r="AX3" i="1"/>
  <c r="BF3" i="1" s="1"/>
  <c r="BA2" i="1"/>
  <c r="AX2" i="1"/>
  <c r="BF2" i="1" s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BB182" i="1" s="1"/>
  <c r="AW181" i="1"/>
  <c r="BB181" i="1" s="1"/>
  <c r="AW180" i="1"/>
  <c r="BB180" i="1" s="1"/>
  <c r="AW179" i="1"/>
  <c r="BB179" i="1" s="1"/>
  <c r="AW178" i="1"/>
  <c r="BB178" i="1" s="1"/>
  <c r="AW177" i="1"/>
  <c r="BB177" i="1" s="1"/>
  <c r="AW176" i="1"/>
  <c r="BB176" i="1" s="1"/>
  <c r="AW175" i="1"/>
  <c r="BB175" i="1" s="1"/>
  <c r="AW174" i="1"/>
  <c r="BB174" i="1" s="1"/>
  <c r="AW173" i="1"/>
  <c r="BB173" i="1" s="1"/>
  <c r="AW172" i="1"/>
  <c r="BB172" i="1" s="1"/>
  <c r="AW171" i="1"/>
  <c r="BB171" i="1" s="1"/>
  <c r="AW170" i="1"/>
  <c r="BB170" i="1" s="1"/>
  <c r="AW169" i="1"/>
  <c r="BB169" i="1" s="1"/>
  <c r="AW168" i="1"/>
  <c r="BB168" i="1" s="1"/>
  <c r="AW167" i="1"/>
  <c r="BB167" i="1" s="1"/>
  <c r="AW166" i="1"/>
  <c r="BB166" i="1" s="1"/>
  <c r="AW165" i="1"/>
  <c r="BB165" i="1" s="1"/>
  <c r="AW164" i="1"/>
  <c r="BB164" i="1" s="1"/>
  <c r="AW163" i="1"/>
  <c r="BB163" i="1" s="1"/>
  <c r="AW162" i="1"/>
  <c r="BB162" i="1" s="1"/>
  <c r="AW161" i="1"/>
  <c r="BB161" i="1" s="1"/>
  <c r="AW160" i="1"/>
  <c r="BB160" i="1" s="1"/>
  <c r="AW159" i="1"/>
  <c r="BB159" i="1" s="1"/>
  <c r="AW158" i="1"/>
  <c r="BB158" i="1" s="1"/>
  <c r="AW157" i="1"/>
  <c r="BB157" i="1" s="1"/>
  <c r="AW156" i="1"/>
  <c r="BB156" i="1" s="1"/>
  <c r="AW155" i="1"/>
  <c r="BB155" i="1" s="1"/>
  <c r="AW154" i="1"/>
  <c r="BB154" i="1" s="1"/>
  <c r="AW153" i="1"/>
  <c r="BB153" i="1" s="1"/>
  <c r="AW152" i="1"/>
  <c r="BB152" i="1" s="1"/>
  <c r="AW151" i="1"/>
  <c r="BB151" i="1" s="1"/>
  <c r="AW150" i="1"/>
  <c r="BB150" i="1" s="1"/>
  <c r="AW149" i="1"/>
  <c r="BB149" i="1" s="1"/>
  <c r="AW148" i="1"/>
  <c r="BB148" i="1" s="1"/>
  <c r="AW147" i="1"/>
  <c r="BB147" i="1" s="1"/>
  <c r="AW146" i="1"/>
  <c r="BB146" i="1" s="1"/>
  <c r="AW145" i="1"/>
  <c r="BB145" i="1" s="1"/>
  <c r="AW144" i="1"/>
  <c r="BB144" i="1" s="1"/>
  <c r="AW143" i="1"/>
  <c r="BB143" i="1" s="1"/>
  <c r="AW142" i="1"/>
  <c r="BB142" i="1" s="1"/>
  <c r="AW141" i="1"/>
  <c r="BB141" i="1" s="1"/>
  <c r="AW140" i="1"/>
  <c r="BB140" i="1" s="1"/>
  <c r="AW139" i="1"/>
  <c r="BB139" i="1" s="1"/>
  <c r="AW138" i="1"/>
  <c r="BB138" i="1" s="1"/>
  <c r="AW137" i="1"/>
  <c r="BB137" i="1" s="1"/>
  <c r="AW136" i="1"/>
  <c r="BB136" i="1" s="1"/>
  <c r="AW135" i="1"/>
  <c r="BB135" i="1" s="1"/>
  <c r="AW134" i="1"/>
  <c r="BB134" i="1" s="1"/>
  <c r="AW133" i="1"/>
  <c r="BB133" i="1" s="1"/>
  <c r="AW132" i="1"/>
  <c r="BB132" i="1" s="1"/>
  <c r="AW131" i="1"/>
  <c r="BB131" i="1" s="1"/>
  <c r="AW130" i="1"/>
  <c r="BB130" i="1" s="1"/>
  <c r="AW129" i="1"/>
  <c r="BB129" i="1" s="1"/>
  <c r="AW128" i="1"/>
  <c r="BB128" i="1" s="1"/>
  <c r="AW127" i="1"/>
  <c r="BB127" i="1" s="1"/>
  <c r="AW126" i="1"/>
  <c r="BB126" i="1" s="1"/>
  <c r="AW125" i="1"/>
  <c r="BB125" i="1" s="1"/>
  <c r="AW124" i="1"/>
  <c r="BB124" i="1" s="1"/>
  <c r="AW123" i="1"/>
  <c r="BB123" i="1" s="1"/>
  <c r="AW122" i="1"/>
  <c r="BB122" i="1" s="1"/>
  <c r="AW121" i="1"/>
  <c r="BB121" i="1" s="1"/>
  <c r="AW120" i="1"/>
  <c r="BB120" i="1" s="1"/>
  <c r="AW119" i="1"/>
  <c r="BB119" i="1" s="1"/>
  <c r="AW118" i="1"/>
  <c r="BB118" i="1" s="1"/>
  <c r="AW117" i="1"/>
  <c r="BB117" i="1" s="1"/>
  <c r="AW116" i="1"/>
  <c r="BB116" i="1" s="1"/>
  <c r="AW115" i="1"/>
  <c r="BB115" i="1" s="1"/>
  <c r="AW114" i="1"/>
  <c r="BB114" i="1" s="1"/>
  <c r="AW113" i="1"/>
  <c r="BB113" i="1" s="1"/>
  <c r="AW112" i="1"/>
  <c r="BB112" i="1" s="1"/>
  <c r="AW111" i="1"/>
  <c r="BB111" i="1" s="1"/>
  <c r="AW110" i="1"/>
  <c r="BB110" i="1" s="1"/>
  <c r="AW109" i="1"/>
  <c r="BB109" i="1" s="1"/>
  <c r="AW108" i="1"/>
  <c r="BB108" i="1" s="1"/>
  <c r="AW107" i="1"/>
  <c r="BB107" i="1" s="1"/>
  <c r="AW106" i="1"/>
  <c r="BB106" i="1" s="1"/>
  <c r="AW105" i="1"/>
  <c r="BB105" i="1" s="1"/>
  <c r="AW104" i="1"/>
  <c r="BB104" i="1" s="1"/>
  <c r="AW103" i="1"/>
  <c r="BB103" i="1" s="1"/>
  <c r="AW102" i="1"/>
  <c r="BB102" i="1" s="1"/>
  <c r="AW101" i="1"/>
  <c r="BB101" i="1" s="1"/>
  <c r="AW100" i="1"/>
  <c r="BB100" i="1" s="1"/>
  <c r="AW99" i="1"/>
  <c r="BB99" i="1" s="1"/>
  <c r="AW98" i="1"/>
  <c r="BB98" i="1" s="1"/>
  <c r="AW97" i="1"/>
  <c r="BB97" i="1" s="1"/>
  <c r="AW96" i="1"/>
  <c r="BB96" i="1" s="1"/>
  <c r="AW95" i="1"/>
  <c r="BB95" i="1" s="1"/>
  <c r="AW94" i="1"/>
  <c r="BB94" i="1" s="1"/>
  <c r="AW93" i="1"/>
  <c r="BB93" i="1" s="1"/>
  <c r="AW92" i="1"/>
  <c r="BB92" i="1" s="1"/>
  <c r="AW91" i="1"/>
  <c r="BB91" i="1" s="1"/>
  <c r="AW90" i="1"/>
  <c r="BB90" i="1" s="1"/>
  <c r="AW89" i="1"/>
  <c r="BB89" i="1" s="1"/>
  <c r="AW88" i="1"/>
  <c r="BB88" i="1" s="1"/>
  <c r="AW87" i="1"/>
  <c r="BB87" i="1" s="1"/>
  <c r="AW86" i="1"/>
  <c r="BB86" i="1" s="1"/>
  <c r="AW85" i="1"/>
  <c r="BB85" i="1" s="1"/>
  <c r="AW84" i="1"/>
  <c r="BB84" i="1" s="1"/>
  <c r="AW83" i="1"/>
  <c r="BB83" i="1" s="1"/>
  <c r="AW82" i="1"/>
  <c r="BB82" i="1" s="1"/>
  <c r="AW81" i="1"/>
  <c r="BB81" i="1" s="1"/>
  <c r="AW80" i="1"/>
  <c r="BB80" i="1" s="1"/>
  <c r="AW79" i="1"/>
  <c r="BB79" i="1" s="1"/>
  <c r="AW78" i="1"/>
  <c r="BB78" i="1" s="1"/>
  <c r="AW77" i="1"/>
  <c r="BB77" i="1" s="1"/>
  <c r="AW76" i="1"/>
  <c r="BB76" i="1" s="1"/>
  <c r="AW75" i="1"/>
  <c r="BB75" i="1" s="1"/>
  <c r="AW74" i="1"/>
  <c r="BB74" i="1" s="1"/>
  <c r="AW73" i="1"/>
  <c r="BB73" i="1" s="1"/>
  <c r="AW72" i="1"/>
  <c r="BB72" i="1" s="1"/>
  <c r="AW71" i="1"/>
  <c r="BB71" i="1" s="1"/>
  <c r="AW70" i="1"/>
  <c r="BB70" i="1" s="1"/>
  <c r="AW69" i="1"/>
  <c r="BB69" i="1" s="1"/>
  <c r="AW68" i="1"/>
  <c r="BB68" i="1" s="1"/>
  <c r="AW67" i="1"/>
  <c r="BB67" i="1" s="1"/>
  <c r="AW66" i="1"/>
  <c r="BB66" i="1" s="1"/>
  <c r="AW65" i="1"/>
  <c r="BB65" i="1" s="1"/>
  <c r="AW64" i="1"/>
  <c r="BB64" i="1" s="1"/>
  <c r="AW63" i="1"/>
  <c r="BB63" i="1" s="1"/>
  <c r="AW62" i="1"/>
  <c r="BB62" i="1" s="1"/>
  <c r="AW61" i="1"/>
  <c r="BB61" i="1" s="1"/>
  <c r="AW60" i="1"/>
  <c r="BB60" i="1" s="1"/>
  <c r="AW59" i="1"/>
  <c r="BB59" i="1" s="1"/>
  <c r="AW58" i="1"/>
  <c r="BB58" i="1" s="1"/>
  <c r="AW57" i="1"/>
  <c r="BB57" i="1" s="1"/>
  <c r="AW56" i="1"/>
  <c r="BB56" i="1" s="1"/>
  <c r="AW55" i="1"/>
  <c r="BB55" i="1" s="1"/>
  <c r="AW54" i="1"/>
  <c r="BB54" i="1" s="1"/>
  <c r="AW53" i="1"/>
  <c r="BB53" i="1" s="1"/>
  <c r="AW52" i="1"/>
  <c r="BB52" i="1" s="1"/>
  <c r="AW51" i="1"/>
  <c r="BB51" i="1" s="1"/>
  <c r="AW50" i="1"/>
  <c r="BB50" i="1" s="1"/>
  <c r="AW49" i="1"/>
  <c r="BB49" i="1" s="1"/>
  <c r="AW48" i="1"/>
  <c r="BB48" i="1" s="1"/>
  <c r="AW47" i="1"/>
  <c r="BB47" i="1" s="1"/>
  <c r="AW46" i="1"/>
  <c r="BB46" i="1" s="1"/>
  <c r="AW45" i="1"/>
  <c r="BB45" i="1" s="1"/>
  <c r="AW44" i="1"/>
  <c r="BB44" i="1" s="1"/>
  <c r="AW43" i="1"/>
  <c r="BB43" i="1" s="1"/>
  <c r="AW42" i="1"/>
  <c r="BB42" i="1" s="1"/>
  <c r="AW41" i="1"/>
  <c r="BB41" i="1" s="1"/>
  <c r="AW40" i="1"/>
  <c r="BB40" i="1" s="1"/>
  <c r="AW39" i="1"/>
  <c r="BB39" i="1" s="1"/>
  <c r="AW38" i="1"/>
  <c r="BB38" i="1" s="1"/>
  <c r="AW37" i="1"/>
  <c r="BB37" i="1" s="1"/>
  <c r="AW36" i="1"/>
  <c r="BB36" i="1" s="1"/>
  <c r="AW35" i="1"/>
  <c r="BB35" i="1" s="1"/>
  <c r="AW34" i="1"/>
  <c r="BB34" i="1" s="1"/>
  <c r="AW33" i="1"/>
  <c r="BB33" i="1" s="1"/>
  <c r="AW32" i="1"/>
  <c r="BB32" i="1" s="1"/>
  <c r="AW31" i="1"/>
  <c r="BB31" i="1" s="1"/>
  <c r="AW30" i="1"/>
  <c r="BB30" i="1" s="1"/>
  <c r="AW29" i="1"/>
  <c r="BB29" i="1" s="1"/>
  <c r="AW28" i="1"/>
  <c r="BB28" i="1" s="1"/>
  <c r="AW27" i="1"/>
  <c r="BB27" i="1" s="1"/>
  <c r="AW26" i="1"/>
  <c r="BB26" i="1" s="1"/>
  <c r="AW25" i="1"/>
  <c r="BB25" i="1" s="1"/>
  <c r="AW24" i="1"/>
  <c r="BB24" i="1" s="1"/>
  <c r="AW23" i="1"/>
  <c r="BB23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W16" i="1"/>
  <c r="BB16" i="1" s="1"/>
  <c r="AW15" i="1"/>
  <c r="BB15" i="1" s="1"/>
  <c r="AW14" i="1"/>
  <c r="BB14" i="1" s="1"/>
  <c r="AW13" i="1"/>
  <c r="BB13" i="1" s="1"/>
  <c r="AW12" i="1"/>
  <c r="BB12" i="1" s="1"/>
  <c r="AW11" i="1"/>
  <c r="BB11" i="1" s="1"/>
  <c r="AW10" i="1"/>
  <c r="BB10" i="1" s="1"/>
  <c r="AW9" i="1"/>
  <c r="BB9" i="1" s="1"/>
  <c r="AW8" i="1"/>
  <c r="BB8" i="1" s="1"/>
  <c r="AW7" i="1"/>
  <c r="BB7" i="1" s="1"/>
  <c r="AW6" i="1"/>
  <c r="BB6" i="1" s="1"/>
  <c r="AW5" i="1"/>
  <c r="BB5" i="1" s="1"/>
  <c r="AW4" i="1"/>
  <c r="BB4" i="1" s="1"/>
  <c r="AW3" i="1"/>
  <c r="BB3" i="1" s="1"/>
  <c r="AW2" i="1"/>
  <c r="BB2" i="1" s="1"/>
  <c r="AD46" i="1"/>
  <c r="AD45" i="1"/>
  <c r="AE38" i="1"/>
  <c r="AD38" i="1"/>
  <c r="AD39" i="1" s="1"/>
  <c r="AE39" i="1" s="1"/>
  <c r="BC182" i="1" l="1"/>
  <c r="BG182" i="1" s="1"/>
  <c r="BF182" i="1"/>
  <c r="BC178" i="1"/>
  <c r="BG178" i="1" s="1"/>
  <c r="BF178" i="1"/>
  <c r="BC174" i="1"/>
  <c r="BG174" i="1" s="1"/>
  <c r="BF174" i="1"/>
  <c r="BC172" i="1"/>
  <c r="BG172" i="1" s="1"/>
  <c r="BF172" i="1"/>
  <c r="BC170" i="1"/>
  <c r="BG170" i="1" s="1"/>
  <c r="BF170" i="1"/>
  <c r="BC168" i="1"/>
  <c r="BG168" i="1" s="1"/>
  <c r="BF168" i="1"/>
  <c r="BC166" i="1"/>
  <c r="BG166" i="1" s="1"/>
  <c r="BF166" i="1"/>
  <c r="BC162" i="1"/>
  <c r="BG162" i="1" s="1"/>
  <c r="BF162" i="1"/>
  <c r="BC161" i="1"/>
  <c r="BG161" i="1" s="1"/>
  <c r="BF161" i="1"/>
  <c r="BC158" i="1"/>
  <c r="BG158" i="1" s="1"/>
  <c r="BF158" i="1"/>
  <c r="BC154" i="1"/>
  <c r="BG154" i="1" s="1"/>
  <c r="BF154" i="1"/>
  <c r="BC152" i="1"/>
  <c r="BG152" i="1" s="1"/>
  <c r="BF152" i="1"/>
  <c r="BC150" i="1"/>
  <c r="BG150" i="1" s="1"/>
  <c r="BF150" i="1"/>
  <c r="BC146" i="1"/>
  <c r="BG146" i="1" s="1"/>
  <c r="BF146" i="1"/>
  <c r="BC144" i="1"/>
  <c r="BG144" i="1" s="1"/>
  <c r="BF144" i="1"/>
  <c r="BC142" i="1"/>
  <c r="BG142" i="1" s="1"/>
  <c r="BF142" i="1"/>
  <c r="BC138" i="1"/>
  <c r="BG138" i="1" s="1"/>
  <c r="BF138" i="1"/>
  <c r="BC134" i="1"/>
  <c r="BG134" i="1" s="1"/>
  <c r="BF134" i="1"/>
  <c r="BC132" i="1"/>
  <c r="BG132" i="1" s="1"/>
  <c r="BF132" i="1"/>
  <c r="BC130" i="1"/>
  <c r="BG130" i="1" s="1"/>
  <c r="BF130" i="1"/>
  <c r="BC129" i="1"/>
  <c r="BG129" i="1" s="1"/>
  <c r="BF129" i="1"/>
  <c r="BC126" i="1"/>
  <c r="BG126" i="1" s="1"/>
  <c r="BF126" i="1"/>
  <c r="BC122" i="1"/>
  <c r="BG122" i="1" s="1"/>
  <c r="BF122" i="1"/>
  <c r="BC120" i="1"/>
  <c r="BG120" i="1" s="1"/>
  <c r="BF120" i="1"/>
  <c r="BC110" i="1"/>
  <c r="BG110" i="1" s="1"/>
  <c r="BF110" i="1"/>
  <c r="BC106" i="1"/>
  <c r="BG106" i="1" s="1"/>
  <c r="BF106" i="1"/>
  <c r="BC104" i="1"/>
  <c r="BG104" i="1" s="1"/>
  <c r="BF104" i="1"/>
  <c r="BC100" i="1"/>
  <c r="BG100" i="1" s="1"/>
  <c r="BF100" i="1"/>
  <c r="BC97" i="1"/>
  <c r="BG97" i="1" s="1"/>
  <c r="BF97" i="1"/>
  <c r="BC94" i="1"/>
  <c r="BG94" i="1" s="1"/>
  <c r="BF94" i="1"/>
  <c r="BC90" i="1"/>
  <c r="BG90" i="1" s="1"/>
  <c r="BF90" i="1"/>
  <c r="BC88" i="1"/>
  <c r="BG88" i="1" s="1"/>
  <c r="BF88" i="1"/>
  <c r="BC82" i="1"/>
  <c r="BG82" i="1" s="1"/>
  <c r="BF82" i="1"/>
  <c r="BC80" i="1"/>
  <c r="BG80" i="1" s="1"/>
  <c r="BF80" i="1"/>
  <c r="BC78" i="1"/>
  <c r="BG78" i="1" s="1"/>
  <c r="BF78" i="1"/>
  <c r="BC74" i="1"/>
  <c r="BG74" i="1" s="1"/>
  <c r="BF74" i="1"/>
  <c r="BC73" i="1"/>
  <c r="BG73" i="1" s="1"/>
  <c r="BF73" i="1"/>
  <c r="BC72" i="1"/>
  <c r="BG72" i="1" s="1"/>
  <c r="BF72" i="1"/>
  <c r="BC68" i="1"/>
  <c r="BG68" i="1" s="1"/>
  <c r="BF68" i="1"/>
  <c r="BC62" i="1"/>
  <c r="BG62" i="1" s="1"/>
  <c r="BF62" i="1"/>
  <c r="BC58" i="1"/>
  <c r="BG58" i="1" s="1"/>
  <c r="BF58" i="1"/>
  <c r="BC56" i="1"/>
  <c r="BG56" i="1" s="1"/>
  <c r="BF56" i="1"/>
  <c r="BC52" i="1"/>
  <c r="BG52" i="1" s="1"/>
  <c r="BF52" i="1"/>
  <c r="BC46" i="1"/>
  <c r="BG46" i="1" s="1"/>
  <c r="BF46" i="1"/>
  <c r="BC42" i="1"/>
  <c r="BG42" i="1" s="1"/>
  <c r="BF42" i="1"/>
  <c r="BC41" i="1"/>
  <c r="BG41" i="1" s="1"/>
  <c r="BF41" i="1"/>
  <c r="BC36" i="1"/>
  <c r="BG36" i="1" s="1"/>
  <c r="BF36" i="1"/>
  <c r="BC26" i="1"/>
  <c r="BG26" i="1" s="1"/>
  <c r="BF26" i="1"/>
  <c r="BC18" i="1"/>
  <c r="BG18" i="1" s="1"/>
  <c r="BF18" i="1"/>
  <c r="BC12" i="1"/>
  <c r="BG12" i="1" s="1"/>
  <c r="BF12" i="1"/>
  <c r="BC9" i="1"/>
  <c r="BG9" i="1" s="1"/>
  <c r="BF9" i="1"/>
  <c r="BC8" i="1"/>
  <c r="BG8" i="1" s="1"/>
  <c r="BF8" i="1"/>
  <c r="BC4" i="1"/>
  <c r="BG4" i="1" s="1"/>
  <c r="BF4" i="1"/>
  <c r="BC24" i="1"/>
  <c r="BG24" i="1" s="1"/>
  <c r="BC136" i="1"/>
  <c r="BG136" i="1" s="1"/>
  <c r="BC116" i="1"/>
  <c r="BG116" i="1" s="1"/>
  <c r="BC17" i="1"/>
  <c r="BG17" i="1" s="1"/>
  <c r="BC21" i="1"/>
  <c r="BG21" i="1" s="1"/>
  <c r="BC25" i="1"/>
  <c r="BG25" i="1" s="1"/>
  <c r="BC29" i="1"/>
  <c r="BG29" i="1" s="1"/>
  <c r="BC33" i="1"/>
  <c r="BG33" i="1" s="1"/>
  <c r="BC37" i="1"/>
  <c r="BG37" i="1" s="1"/>
  <c r="BC45" i="1"/>
  <c r="BG45" i="1" s="1"/>
  <c r="BC53" i="1"/>
  <c r="BG53" i="1" s="1"/>
  <c r="BC57" i="1"/>
  <c r="BG57" i="1" s="1"/>
  <c r="BC61" i="1"/>
  <c r="BG61" i="1" s="1"/>
  <c r="BC65" i="1"/>
  <c r="BG65" i="1" s="1"/>
  <c r="BC69" i="1"/>
  <c r="BG69" i="1" s="1"/>
  <c r="BC77" i="1"/>
  <c r="BG77" i="1" s="1"/>
  <c r="BC81" i="1"/>
  <c r="BG81" i="1" s="1"/>
  <c r="BC85" i="1"/>
  <c r="BG85" i="1" s="1"/>
  <c r="BC89" i="1"/>
  <c r="BG89" i="1" s="1"/>
  <c r="BC93" i="1"/>
  <c r="BG93" i="1" s="1"/>
  <c r="BC101" i="1"/>
  <c r="BG101" i="1" s="1"/>
  <c r="BC105" i="1"/>
  <c r="BG105" i="1" s="1"/>
  <c r="BC109" i="1"/>
  <c r="BG109" i="1" s="1"/>
  <c r="BC113" i="1"/>
  <c r="BG113" i="1" s="1"/>
  <c r="BC117" i="1"/>
  <c r="BG117" i="1" s="1"/>
  <c r="BC121" i="1"/>
  <c r="BG121" i="1" s="1"/>
  <c r="BC125" i="1"/>
  <c r="BG125" i="1" s="1"/>
  <c r="BC133" i="1"/>
  <c r="BG133" i="1" s="1"/>
  <c r="BC137" i="1"/>
  <c r="BG137" i="1" s="1"/>
  <c r="BC141" i="1"/>
  <c r="BG141" i="1" s="1"/>
  <c r="BC145" i="1"/>
  <c r="BG145" i="1" s="1"/>
  <c r="BC149" i="1"/>
  <c r="BG149" i="1" s="1"/>
  <c r="BC153" i="1"/>
  <c r="BG153" i="1" s="1"/>
  <c r="BC157" i="1"/>
  <c r="BG157" i="1" s="1"/>
  <c r="BC165" i="1"/>
  <c r="BG165" i="1" s="1"/>
  <c r="BC169" i="1"/>
  <c r="BG169" i="1" s="1"/>
  <c r="BC173" i="1"/>
  <c r="BG173" i="1" s="1"/>
  <c r="BC177" i="1"/>
  <c r="BG177" i="1" s="1"/>
  <c r="BC181" i="1"/>
  <c r="BG181" i="1" s="1"/>
  <c r="BC96" i="1"/>
  <c r="BG96" i="1" s="1"/>
  <c r="BC5" i="1"/>
  <c r="BG5" i="1" s="1"/>
  <c r="BC13" i="1"/>
  <c r="BG13" i="1" s="1"/>
  <c r="BC49" i="1"/>
  <c r="BG49" i="1" s="1"/>
  <c r="BC84" i="1"/>
  <c r="BG84" i="1" s="1"/>
  <c r="BC148" i="1"/>
  <c r="BG148" i="1" s="1"/>
  <c r="BC14" i="1"/>
  <c r="BG14" i="1" s="1"/>
  <c r="BC86" i="1"/>
  <c r="BG86" i="1" s="1"/>
  <c r="BC20" i="1"/>
  <c r="BG20" i="1" s="1"/>
  <c r="BC48" i="1"/>
  <c r="BG48" i="1" s="1"/>
  <c r="BC112" i="1"/>
  <c r="BG112" i="1" s="1"/>
  <c r="BC180" i="1"/>
  <c r="BG180" i="1" s="1"/>
  <c r="BC22" i="1"/>
  <c r="BG22" i="1" s="1"/>
  <c r="BC30" i="1"/>
  <c r="BG30" i="1" s="1"/>
  <c r="BC38" i="1"/>
  <c r="BG38" i="1" s="1"/>
  <c r="BC54" i="1"/>
  <c r="BG54" i="1" s="1"/>
  <c r="BC70" i="1"/>
  <c r="BG70" i="1" s="1"/>
  <c r="BC102" i="1"/>
  <c r="BG102" i="1" s="1"/>
  <c r="BC118" i="1"/>
  <c r="BG118" i="1" s="1"/>
  <c r="BC160" i="1"/>
  <c r="BG160" i="1" s="1"/>
  <c r="BC64" i="1"/>
  <c r="BG64" i="1" s="1"/>
  <c r="BC164" i="1"/>
  <c r="BG164" i="1" s="1"/>
  <c r="BC6" i="1"/>
  <c r="BG6" i="1" s="1"/>
  <c r="BC10" i="1"/>
  <c r="BG10" i="1" s="1"/>
  <c r="BC92" i="1"/>
  <c r="BG92" i="1" s="1"/>
  <c r="BC124" i="1"/>
  <c r="BG124" i="1" s="1"/>
  <c r="BC176" i="1"/>
  <c r="BG176" i="1" s="1"/>
  <c r="BC7" i="1"/>
  <c r="BG7" i="1" s="1"/>
  <c r="BC11" i="1"/>
  <c r="BG11" i="1" s="1"/>
  <c r="BC15" i="1"/>
  <c r="BG15" i="1" s="1"/>
  <c r="BC19" i="1"/>
  <c r="BG19" i="1" s="1"/>
  <c r="BC23" i="1"/>
  <c r="BG23" i="1" s="1"/>
  <c r="BC27" i="1"/>
  <c r="BG27" i="1" s="1"/>
  <c r="BC35" i="1"/>
  <c r="BG35" i="1" s="1"/>
  <c r="BC39" i="1"/>
  <c r="BG39" i="1" s="1"/>
  <c r="BC43" i="1"/>
  <c r="BG43" i="1" s="1"/>
  <c r="BC47" i="1"/>
  <c r="BG47" i="1" s="1"/>
  <c r="BC51" i="1"/>
  <c r="BG51" i="1" s="1"/>
  <c r="BC55" i="1"/>
  <c r="BG55" i="1" s="1"/>
  <c r="BC59" i="1"/>
  <c r="BG59" i="1" s="1"/>
  <c r="BC63" i="1"/>
  <c r="BG63" i="1" s="1"/>
  <c r="BC67" i="1"/>
  <c r="BG67" i="1" s="1"/>
  <c r="BC71" i="1"/>
  <c r="BG71" i="1" s="1"/>
  <c r="BC75" i="1"/>
  <c r="BG75" i="1" s="1"/>
  <c r="BC79" i="1"/>
  <c r="BG79" i="1" s="1"/>
  <c r="BC83" i="1"/>
  <c r="BG83" i="1" s="1"/>
  <c r="BC87" i="1"/>
  <c r="BG87" i="1" s="1"/>
  <c r="BC91" i="1"/>
  <c r="BG91" i="1" s="1"/>
  <c r="BC95" i="1"/>
  <c r="BG95" i="1" s="1"/>
  <c r="BC99" i="1"/>
  <c r="BG99" i="1" s="1"/>
  <c r="BC103" i="1"/>
  <c r="BG103" i="1" s="1"/>
  <c r="BC107" i="1"/>
  <c r="BG107" i="1" s="1"/>
  <c r="BC111" i="1"/>
  <c r="BG111" i="1" s="1"/>
  <c r="BC115" i="1"/>
  <c r="BG115" i="1" s="1"/>
  <c r="BC119" i="1"/>
  <c r="BG119" i="1" s="1"/>
  <c r="BC123" i="1"/>
  <c r="BG123" i="1" s="1"/>
  <c r="BC127" i="1"/>
  <c r="BG127" i="1" s="1"/>
  <c r="BC131" i="1"/>
  <c r="BG131" i="1" s="1"/>
  <c r="BC135" i="1"/>
  <c r="BG135" i="1" s="1"/>
  <c r="BC139" i="1"/>
  <c r="BG139" i="1" s="1"/>
  <c r="BC143" i="1"/>
  <c r="BG143" i="1" s="1"/>
  <c r="BC147" i="1"/>
  <c r="BG147" i="1" s="1"/>
  <c r="BC151" i="1"/>
  <c r="BG151" i="1" s="1"/>
  <c r="BC155" i="1"/>
  <c r="BG155" i="1" s="1"/>
  <c r="BC159" i="1"/>
  <c r="BG159" i="1" s="1"/>
  <c r="BC163" i="1"/>
  <c r="BG163" i="1" s="1"/>
  <c r="BC167" i="1"/>
  <c r="BG167" i="1" s="1"/>
  <c r="BC171" i="1"/>
  <c r="BG171" i="1" s="1"/>
  <c r="BC175" i="1"/>
  <c r="BG175" i="1" s="1"/>
  <c r="BC179" i="1"/>
  <c r="BG179" i="1" s="1"/>
  <c r="BC32" i="1"/>
  <c r="BG32" i="1" s="1"/>
  <c r="BC128" i="1"/>
  <c r="BG128" i="1" s="1"/>
  <c r="BC16" i="1"/>
  <c r="BG16" i="1" s="1"/>
  <c r="BC44" i="1"/>
  <c r="BG44" i="1" s="1"/>
  <c r="BC60" i="1"/>
  <c r="BG60" i="1" s="1"/>
  <c r="BC108" i="1"/>
  <c r="BG108" i="1" s="1"/>
  <c r="BC31" i="1"/>
  <c r="BG31" i="1" s="1"/>
  <c r="BC28" i="1"/>
  <c r="BG28" i="1" s="1"/>
  <c r="BC34" i="1"/>
  <c r="BG34" i="1" s="1"/>
  <c r="BC40" i="1"/>
  <c r="BG40" i="1" s="1"/>
  <c r="BC50" i="1"/>
  <c r="BG50" i="1" s="1"/>
  <c r="BC66" i="1"/>
  <c r="BG66" i="1" s="1"/>
  <c r="BC76" i="1"/>
  <c r="BG76" i="1" s="1"/>
  <c r="BC98" i="1"/>
  <c r="BG98" i="1" s="1"/>
  <c r="BC114" i="1"/>
  <c r="BG114" i="1" s="1"/>
  <c r="BC140" i="1"/>
  <c r="BG140" i="1" s="1"/>
  <c r="BC156" i="1"/>
  <c r="BG156" i="1" s="1"/>
  <c r="BC2" i="1"/>
  <c r="BG2" i="1" s="1"/>
  <c r="AY3" i="1"/>
  <c r="BD3" i="1" s="1"/>
  <c r="BC3" i="1"/>
  <c r="BG3" i="1" s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E3" i="1" l="1"/>
  <c r="BE11" i="1"/>
  <c r="BE19" i="1"/>
  <c r="BE27" i="1"/>
  <c r="BE35" i="1"/>
  <c r="BE43" i="1"/>
  <c r="BE51" i="1"/>
  <c r="BE59" i="1"/>
  <c r="BE67" i="1"/>
  <c r="BE75" i="1"/>
  <c r="BE83" i="1"/>
  <c r="BE91" i="1"/>
  <c r="BE99" i="1"/>
  <c r="BE107" i="1"/>
  <c r="BE115" i="1"/>
  <c r="BE123" i="1"/>
  <c r="BE131" i="1"/>
  <c r="BE139" i="1"/>
  <c r="BE147" i="1"/>
  <c r="BE155" i="1"/>
  <c r="BE163" i="1"/>
  <c r="BE171" i="1"/>
  <c r="BE179" i="1"/>
  <c r="BE12" i="1"/>
  <c r="BE20" i="1"/>
  <c r="BE28" i="1"/>
  <c r="BE36" i="1"/>
  <c r="BE44" i="1"/>
  <c r="BE52" i="1"/>
  <c r="BE60" i="1"/>
  <c r="BE68" i="1"/>
  <c r="BE76" i="1"/>
  <c r="BE84" i="1"/>
  <c r="BE100" i="1"/>
  <c r="BE116" i="1"/>
  <c r="BE132" i="1"/>
  <c r="BE148" i="1"/>
  <c r="BE164" i="1"/>
  <c r="BE180" i="1"/>
  <c r="BE176" i="1"/>
  <c r="BE25" i="1"/>
  <c r="BE57" i="1"/>
  <c r="BE97" i="1"/>
  <c r="BE145" i="1"/>
  <c r="BE4" i="1"/>
  <c r="BE5" i="1"/>
  <c r="BE13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25" i="1"/>
  <c r="BE133" i="1"/>
  <c r="BE141" i="1"/>
  <c r="BE149" i="1"/>
  <c r="BE157" i="1"/>
  <c r="BE165" i="1"/>
  <c r="BE173" i="1"/>
  <c r="BE181" i="1"/>
  <c r="BE110" i="1"/>
  <c r="BE126" i="1"/>
  <c r="BE134" i="1"/>
  <c r="BE150" i="1"/>
  <c r="BE158" i="1"/>
  <c r="BE174" i="1"/>
  <c r="BE143" i="1"/>
  <c r="BE167" i="1"/>
  <c r="BE24" i="1"/>
  <c r="BE40" i="1"/>
  <c r="BE48" i="1"/>
  <c r="BE56" i="1"/>
  <c r="BE80" i="1"/>
  <c r="BE104" i="1"/>
  <c r="BE128" i="1"/>
  <c r="BE152" i="1"/>
  <c r="BE17" i="1"/>
  <c r="BE65" i="1"/>
  <c r="BE105" i="1"/>
  <c r="BE137" i="1"/>
  <c r="BE6" i="1"/>
  <c r="BE14" i="1"/>
  <c r="BE22" i="1"/>
  <c r="BE30" i="1"/>
  <c r="BE38" i="1"/>
  <c r="BE46" i="1"/>
  <c r="BE54" i="1"/>
  <c r="BE62" i="1"/>
  <c r="BE70" i="1"/>
  <c r="BE78" i="1"/>
  <c r="BE86" i="1"/>
  <c r="BE94" i="1"/>
  <c r="BE102" i="1"/>
  <c r="BE118" i="1"/>
  <c r="BE142" i="1"/>
  <c r="BE166" i="1"/>
  <c r="BE182" i="1"/>
  <c r="BE151" i="1"/>
  <c r="BE32" i="1"/>
  <c r="BE72" i="1"/>
  <c r="BE96" i="1"/>
  <c r="BE120" i="1"/>
  <c r="BE144" i="1"/>
  <c r="BE49" i="1"/>
  <c r="BE89" i="1"/>
  <c r="BE121" i="1"/>
  <c r="BE153" i="1"/>
  <c r="BE177" i="1"/>
  <c r="BE7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19" i="1"/>
  <c r="BE127" i="1"/>
  <c r="BE135" i="1"/>
  <c r="BE159" i="1"/>
  <c r="BE175" i="1"/>
  <c r="BE16" i="1"/>
  <c r="BE64" i="1"/>
  <c r="BE88" i="1"/>
  <c r="BE112" i="1"/>
  <c r="BE136" i="1"/>
  <c r="BE168" i="1"/>
  <c r="BE33" i="1"/>
  <c r="BE81" i="1"/>
  <c r="BE113" i="1"/>
  <c r="BE161" i="1"/>
  <c r="BE8" i="1"/>
  <c r="BE9" i="1"/>
  <c r="BE10" i="1"/>
  <c r="BE18" i="1"/>
  <c r="BE26" i="1"/>
  <c r="BE34" i="1"/>
  <c r="BE42" i="1"/>
  <c r="BE50" i="1"/>
  <c r="BE58" i="1"/>
  <c r="BE66" i="1"/>
  <c r="BE74" i="1"/>
  <c r="BE82" i="1"/>
  <c r="BE90" i="1"/>
  <c r="BE98" i="1"/>
  <c r="BE106" i="1"/>
  <c r="BE114" i="1"/>
  <c r="BE122" i="1"/>
  <c r="BE130" i="1"/>
  <c r="BE138" i="1"/>
  <c r="BE146" i="1"/>
  <c r="BE154" i="1"/>
  <c r="BE162" i="1"/>
  <c r="BE170" i="1"/>
  <c r="BE178" i="1"/>
  <c r="BE92" i="1"/>
  <c r="BE108" i="1"/>
  <c r="BE124" i="1"/>
  <c r="BE140" i="1"/>
  <c r="BE156" i="1"/>
  <c r="BE172" i="1"/>
  <c r="BE160" i="1"/>
  <c r="BE41" i="1"/>
  <c r="BE73" i="1"/>
  <c r="BE129" i="1"/>
  <c r="BE169" i="1"/>
  <c r="BE2" i="1"/>
  <c r="BD2" i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B92" i="1" s="1"/>
  <c r="E4" i="1"/>
  <c r="A91" i="1" s="1"/>
  <c r="B4" i="1"/>
  <c r="B29" i="1" s="1"/>
  <c r="B3" i="1"/>
  <c r="G112" i="1" l="1"/>
  <c r="H112" i="1"/>
  <c r="G113" i="1"/>
  <c r="H113" i="1"/>
  <c r="G106" i="1"/>
  <c r="H106" i="1"/>
  <c r="F8" i="1"/>
  <c r="B95" i="1" s="1"/>
  <c r="B94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A92" i="1" s="1"/>
  <c r="G4" i="1"/>
  <c r="F6" i="1"/>
  <c r="G5" i="1"/>
  <c r="E7" i="1"/>
  <c r="E8" i="1" l="1"/>
  <c r="A95" i="1" s="1"/>
  <c r="A94" i="1"/>
  <c r="F9" i="1"/>
  <c r="B93" i="1"/>
  <c r="E93" i="1" s="1"/>
  <c r="E95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6" i="1"/>
  <c r="G9" i="1"/>
  <c r="D94" i="1"/>
  <c r="C95" i="1"/>
  <c r="D95" i="1"/>
  <c r="E96" i="1" l="1"/>
  <c r="D96" i="1"/>
  <c r="B97" i="1"/>
  <c r="D97" i="1" s="1"/>
  <c r="G11" i="1"/>
  <c r="X4" i="1" a="1"/>
  <c r="X4" i="1" s="1"/>
  <c r="C96" i="1"/>
  <c r="G10" i="1"/>
  <c r="G12" i="1" s="1"/>
  <c r="E97" i="1" l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D99" i="1"/>
  <c r="B102" i="1" s="1"/>
  <c r="E99" i="1"/>
  <c r="B101" i="1" s="1"/>
  <c r="J104" i="1"/>
  <c r="J114" i="1" s="1"/>
  <c r="J115" i="1" s="1"/>
  <c r="D127" i="1" s="1"/>
  <c r="F104" i="1"/>
  <c r="F114" i="1" s="1"/>
  <c r="B115" i="1" s="1"/>
  <c r="C62" i="1"/>
  <c r="C25" i="1"/>
  <c r="D25" i="1" s="1"/>
  <c r="B127" i="1" l="1"/>
  <c r="F127" i="1"/>
  <c r="K104" i="1"/>
  <c r="K114" i="1" s="1"/>
  <c r="J116" i="1" s="1"/>
  <c r="L104" i="1"/>
  <c r="L114" i="1" s="1"/>
  <c r="J117" i="1" s="1"/>
  <c r="H104" i="1"/>
  <c r="H114" i="1" s="1"/>
  <c r="B117" i="1" s="1"/>
  <c r="G104" i="1"/>
  <c r="G114" i="1" s="1"/>
  <c r="B116" i="1" s="1"/>
  <c r="B131" i="1" l="1"/>
  <c r="J119" i="1"/>
  <c r="D125" i="1" s="1"/>
  <c r="B119" i="1"/>
  <c r="F125" i="1" s="1"/>
  <c r="J120" i="1"/>
  <c r="D126" i="1" s="1"/>
  <c r="B120" i="1"/>
  <c r="F126" i="1" s="1"/>
  <c r="B126" i="1" l="1"/>
  <c r="B133" i="1" s="1"/>
  <c r="B125" i="1"/>
  <c r="B132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AB9" i="1" l="1"/>
  <c r="S58" i="1"/>
  <c r="T58" i="1"/>
  <c r="B83" i="1"/>
  <c r="U8" i="1"/>
  <c r="AA7" i="1" s="1"/>
  <c r="AA9" i="1"/>
  <c r="U7" i="1"/>
  <c r="W7" i="1" s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<sst xmlns="http://schemas.openxmlformats.org/spreadsheetml/2006/main" count="206" uniqueCount="140">
  <si>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</si>
  <si>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</si>
  <si>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</si>
  <si>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</si>
  <si>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</si>
  <si>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</si>
  <si>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</si>
  <si>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</si>
  <si>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</si>
  <si>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</si>
  <si>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</si>
  <si>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</si>
  <si>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</si>
  <si>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</si>
  <si>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</si>
  <si>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</si>
  <si>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</si>
  <si>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</si>
  <si>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</si>
  <si>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</si>
  <si>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</si>
  <si>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</si>
  <si>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</si>
  <si>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</si>
  <si>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</si>
  <si>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</si>
  <si>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</si>
  <si>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</si>
  <si>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</si>
  <si>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</si>
  <si>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</si>
  <si>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</si>
  <si>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</si>
  <si>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</si>
  <si>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</si>
  <si>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</si>
  <si>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</si>
  <si>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</si>
  <si>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</si>
  <si>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</si>
  <si>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</si>
  <si>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</si>
  <si>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</si>
  <si>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</si>
  <si>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</si>
  <si>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</si>
  <si>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</si>
  <si>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</si>
  <si>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</si>
  <si>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</si>
  <si>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</si>
  <si>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</si>
  <si>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</si>
  <si>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</si>
  <si>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</si>
  <si>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</si>
  <si>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</si>
  <si>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</si>
  <si>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</si>
  <si>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</si>
  <si>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</si>
  <si>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</si>
  <si>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</si>
  <si>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</si>
  <si>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</si>
  <si>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</si>
  <si>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</si>
  <si>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</si>
  <si>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</si>
  <si>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</si>
  <si>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</si>
  <si>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</si>
  <si>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</si>
  <si>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</si>
  <si>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</si>
  <si>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</si>
  <si>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</si>
  <si>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</si>
  <si>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</si>
  <si>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</si>
  <si>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</si>
  <si>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</si>
  <si>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</si>
  <si>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</si>
  <si>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</si>
  <si>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</si>
  <si>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</si>
  <si>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</si>
  <si>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</si>
  <si>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</si>
  <si>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</si>
  <si>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</si>
  <si>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</si>
  <si>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</si>
  <si>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</si>
  <si>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</si>
  <si>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</si>
  <si>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</si>
  <si>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</si>
  <si>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</si>
  <si>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</si>
  <si>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</si>
  <si>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</si>
  <si>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</si>
  <si>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</si>
  <si>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</si>
  <si>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</si>
  <si>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</si>
  <si>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</si>
  <si>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</si>
  <si>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</si>
  <si>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</si>
  <si>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</si>
  <si>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</si>
  <si>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</si>
  <si>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</si>
  <si>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</si>
  <si>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</si>
  <si>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</si>
  <si>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</si>
  <si>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</si>
  <si>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</si>
  <si>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</si>
  <si>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</si>
  <si>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</si>
  <si>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</si>
  <si>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</si>
  <si>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</si>
  <si>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</si>
  <si>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</si>
  <si>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</si>
  <si>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</si>
  <si>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</si>
  <si>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</si>
  <si>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x=</t>
  </si>
  <si>
    <t>y=</t>
  </si>
  <si>
    <t xml:space="preserve">x = </t>
  </si>
  <si>
    <t xml:space="preserve">y = </t>
  </si>
  <si>
    <t>Alpha Search Window</t>
  </si>
  <si>
    <t>Pi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</si>
</sst>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24</c:v>
                </c:pt>
                <c:pt idx="5">
                  <c:v>24</c:v>
                </c:pt>
                <c:pt idx="6">
                  <c:v>12</c:v>
                </c:pt>
                <c:pt idx="7">
                  <c:v>12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9</c:v>
                </c:pt>
                <c:pt idx="1">
                  <c:v>-1</c:v>
                </c:pt>
                <c:pt idx="2">
                  <c:v>-11</c:v>
                </c:pt>
                <c:pt idx="3">
                  <c:v>-21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31.197714013863074</c:v>
                </c:pt>
                <c:pt idx="1">
                  <c:v>-27.193520738409575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-7.4035500952026503</c:v>
                </c:pt>
                <c:pt idx="1">
                  <c:v>19.449093552466845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30.670570355182775</c:v>
                </c:pt>
                <c:pt idx="1">
                  <c:v>-27.72066439708987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-8.5498271443469207</c:v>
                </c:pt>
                <c:pt idx="1">
                  <c:v>18.302816503322575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-6.0000000969699769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6.5927034036234486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0.43746373271736783</c:v>
                </c:pt>
                <c:pt idx="1">
                  <c:v>-10.464940849266799</c:v>
                </c:pt>
                <c:pt idx="2">
                  <c:v>-5.4512022909920841</c:v>
                </c:pt>
                <c:pt idx="3">
                  <c:v>-5.4512022909920841</c:v>
                </c:pt>
                <c:pt idx="4">
                  <c:v>-0.43746373271736783</c:v>
                </c:pt>
                <c:pt idx="5">
                  <c:v>32.269750013235132</c:v>
                </c:pt>
                <c:pt idx="6">
                  <c:v>27.256011454960419</c:v>
                </c:pt>
                <c:pt idx="7">
                  <c:v>5.4512022909920841</c:v>
                </c:pt>
                <c:pt idx="8">
                  <c:v>0.43746373271736783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13.409273861121527</c:v>
                </c:pt>
                <c:pt idx="1">
                  <c:v>8.3955353028468096</c:v>
                </c:pt>
                <c:pt idx="2">
                  <c:v>-2.5068692791373581</c:v>
                </c:pt>
                <c:pt idx="3">
                  <c:v>-2.5068692791373581</c:v>
                </c:pt>
                <c:pt idx="4">
                  <c:v>-13.409273861121527</c:v>
                </c:pt>
                <c:pt idx="5">
                  <c:v>1.6319418137026229</c:v>
                </c:pt>
                <c:pt idx="6">
                  <c:v>12.534346395686791</c:v>
                </c:pt>
                <c:pt idx="7">
                  <c:v>2.5068692791373581</c:v>
                </c:pt>
                <c:pt idx="8">
                  <c:v>13.409273861121527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1.452514319732888</c:v>
                </c:pt>
                <c:pt idx="1">
                  <c:v>10.537851471386361</c:v>
                </c:pt>
                <c:pt idx="2">
                  <c:v>19.623188623039834</c:v>
                </c:pt>
                <c:pt idx="3">
                  <c:v>28.708525774693307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-10.338771791222152</c:v>
                </c:pt>
                <c:pt idx="1">
                  <c:v>-6.1606563259932212</c:v>
                </c:pt>
                <c:pt idx="2">
                  <c:v>-1.9825408607642911</c:v>
                </c:pt>
                <c:pt idx="3">
                  <c:v>2.1955746044646389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</c:v>
                </c:pt>
                <c:pt idx="1">
                  <c:v>33.269750013235132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7.1008835944176862</c:v>
                </c:pt>
                <c:pt idx="1">
                  <c:v>7.1008835944176862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</c:v>
                </c:pt>
                <c:pt idx="1">
                  <c:v>33.269750013235132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8.3625616477584543</c:v>
                </c:pt>
                <c:pt idx="1">
                  <c:v>8.3625616477584543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0.43746373271736783</c:v>
                </c:pt>
                <c:pt idx="1">
                  <c:v>-10.464940849266799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29.174509148769541</c:v>
                </c:pt>
                <c:pt idx="6">
                  <c:v>27.256011454960419</c:v>
                </c:pt>
                <c:pt idx="7">
                  <c:v>2.7583183135927185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13.409273861121527</c:v>
                </c:pt>
                <c:pt idx="1">
                  <c:v>8.3955353028468096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8.3625616477584543</c:v>
                </c:pt>
                <c:pt idx="6">
                  <c:v>12.534346395686791</c:v>
                </c:pt>
                <c:pt idx="7">
                  <c:v>8.3625616477584543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-10.464940849266799</c:v>
                </c:pt>
                <c:pt idx="1">
                  <c:v>-10.449777103995695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27.256011454960419</c:v>
                </c:pt>
                <c:pt idx="6">
                  <c:v>18.184440486067182</c:v>
                </c:pt>
                <c:pt idx="7">
                  <c:v>0.43746373271736783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8.3955353028468096</c:v>
                </c:pt>
                <c:pt idx="1">
                  <c:v>8.3625616477584543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12.534346395686791</c:v>
                </c:pt>
                <c:pt idx="6">
                  <c:v>8.3625616477584543</c:v>
                </c:pt>
                <c:pt idx="7">
                  <c:v>13.409273861121527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277.33133873222749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-5.6599589015604581E-9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277.33133873222749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-5.6599589015604581E-9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-353.64705882672257</c:v>
                </c:pt>
                <c:pt idx="1">
                  <c:v>-353.64006643212753</c:v>
                </c:pt>
                <c:pt idx="2">
                  <c:v>-353.61907221238516</c:v>
                </c:pt>
                <c:pt idx="3">
                  <c:v>-353.58402492415064</c:v>
                </c:pt>
                <c:pt idx="4">
                  <c:v>-353.53483885877836</c:v>
                </c:pt>
                <c:pt idx="5">
                  <c:v>-353.47139341085574</c:v>
                </c:pt>
                <c:pt idx="6">
                  <c:v>-353.39353246221469</c:v>
                </c:pt>
                <c:pt idx="7">
                  <c:v>-353.3010635175774</c:v>
                </c:pt>
                <c:pt idx="8">
                  <c:v>-353.19375670905498</c:v>
                </c:pt>
                <c:pt idx="9">
                  <c:v>-353.07134359356894</c:v>
                </c:pt>
                <c:pt idx="10">
                  <c:v>-352.93351568679327</c:v>
                </c:pt>
                <c:pt idx="11">
                  <c:v>-352.77992280016002</c:v>
                </c:pt>
                <c:pt idx="12">
                  <c:v>-352.61017112487144</c:v>
                </c:pt>
                <c:pt idx="13">
                  <c:v>-352.42382102877474</c:v>
                </c:pt>
                <c:pt idx="14">
                  <c:v>-352.22038462640336</c:v>
                </c:pt>
                <c:pt idx="15">
                  <c:v>-351.9993229572857</c:v>
                </c:pt>
                <c:pt idx="16">
                  <c:v>-351.76004289102616</c:v>
                </c:pt>
                <c:pt idx="17">
                  <c:v>-351.50189364232926</c:v>
                </c:pt>
                <c:pt idx="18">
                  <c:v>-351.22416285517056</c:v>
                </c:pt>
                <c:pt idx="19">
                  <c:v>-350.92607227623381</c:v>
                </c:pt>
                <c:pt idx="20">
                  <c:v>-350.60677291732736</c:v>
                </c:pt>
                <c:pt idx="21">
                  <c:v>-350.26533966671764</c:v>
                </c:pt>
                <c:pt idx="22">
                  <c:v>-349.9007652912295</c:v>
                </c:pt>
                <c:pt idx="23">
                  <c:v>-349.51195377060697</c:v>
                </c:pt>
                <c:pt idx="24">
                  <c:v>-349.09771285911216</c:v>
                </c:pt>
                <c:pt idx="25">
                  <c:v>-348.65674582401198</c:v>
                </c:pt>
                <c:pt idx="26">
                  <c:v>-348.18764218700289</c:v>
                </c:pt>
                <c:pt idx="27">
                  <c:v>-347.68886740457401</c:v>
                </c:pt>
                <c:pt idx="28">
                  <c:v>-347.15875141942371</c:v>
                </c:pt>
                <c:pt idx="29">
                  <c:v>-346.59547568380231</c:v>
                </c:pt>
                <c:pt idx="30">
                  <c:v>-345.99705882400781</c:v>
                </c:pt>
                <c:pt idx="31">
                  <c:v>-345.3613403720729</c:v>
                </c:pt>
                <c:pt idx="32">
                  <c:v>-344.68596264472404</c:v>
                </c:pt>
                <c:pt idx="33">
                  <c:v>-343.96835022240407</c:v>
                </c:pt>
                <c:pt idx="34">
                  <c:v>-343.20568691220069</c:v>
                </c:pt>
                <c:pt idx="35">
                  <c:v>-342.39488963067544</c:v>
                </c:pt>
                <c:pt idx="36">
                  <c:v>-341.53257899259802</c:v>
                </c:pt>
                <c:pt idx="37">
                  <c:v>-340.61504576140925</c:v>
                </c:pt>
                <c:pt idx="38">
                  <c:v>-339.63821288571194</c:v>
                </c:pt>
                <c:pt idx="39">
                  <c:v>-338.61980646782945</c:v>
                </c:pt>
                <c:pt idx="40">
                  <c:v>-337.59040846476245</c:v>
                </c:pt>
                <c:pt idx="41">
                  <c:v>-336.54903190786411</c:v>
                </c:pt>
                <c:pt idx="42">
                  <c:v>-335.49432329438503</c:v>
                </c:pt>
                <c:pt idx="43">
                  <c:v>-334.42487001922842</c:v>
                </c:pt>
                <c:pt idx="44">
                  <c:v>-333.33919129470621</c:v>
                </c:pt>
                <c:pt idx="45">
                  <c:v>-332.23572824104156</c:v>
                </c:pt>
                <c:pt idx="46">
                  <c:v>-331.11283309780447</c:v>
                </c:pt>
                <c:pt idx="47">
                  <c:v>-329.9687572902568</c:v>
                </c:pt>
                <c:pt idx="48">
                  <c:v>-328.80163822843798</c:v>
                </c:pt>
                <c:pt idx="49">
                  <c:v>-327.60948453429478</c:v>
                </c:pt>
                <c:pt idx="50">
                  <c:v>-326.3901594475733</c:v>
                </c:pt>
                <c:pt idx="51">
                  <c:v>-325.14136216551117</c:v>
                </c:pt>
                <c:pt idx="52">
                  <c:v>-323.86060649177517</c:v>
                </c:pt>
                <c:pt idx="53">
                  <c:v>-322.54519674586641</c:v>
                </c:pt>
                <c:pt idx="54">
                  <c:v>-320.15944567928193</c:v>
                </c:pt>
                <c:pt idx="55">
                  <c:v>-317.13156395155022</c:v>
                </c:pt>
                <c:pt idx="56">
                  <c:v>-314.1006214189913</c:v>
                </c:pt>
                <c:pt idx="57">
                  <c:v>-311.0624462509399</c:v>
                </c:pt>
                <c:pt idx="58">
                  <c:v>-308.01272127277434</c:v>
                </c:pt>
                <c:pt idx="59">
                  <c:v>-304.94694305182747</c:v>
                </c:pt>
                <c:pt idx="60">
                  <c:v>-301.86037548051758</c:v>
                </c:pt>
                <c:pt idx="61">
                  <c:v>-298.74799640125559</c:v>
                </c:pt>
                <c:pt idx="62">
                  <c:v>-295.6044354125055</c:v>
                </c:pt>
                <c:pt idx="63">
                  <c:v>-292.42390049805033</c:v>
                </c:pt>
                <c:pt idx="64">
                  <c:v>-289.20009041625883</c:v>
                </c:pt>
                <c:pt idx="65">
                  <c:v>-285.92608888698828</c:v>
                </c:pt>
                <c:pt idx="66">
                  <c:v>-282.59423528857587</c:v>
                </c:pt>
                <c:pt idx="67">
                  <c:v>-279.1959648493779</c:v>
                </c:pt>
                <c:pt idx="68">
                  <c:v>-275.72160878049465</c:v>
                </c:pt>
                <c:pt idx="69">
                  <c:v>-272.16014125807521</c:v>
                </c:pt>
                <c:pt idx="70">
                  <c:v>-268.49885497996524</c:v>
                </c:pt>
                <c:pt idx="71">
                  <c:v>-264.72293946349487</c:v>
                </c:pt>
                <c:pt idx="72">
                  <c:v>-260.81492485212647</c:v>
                </c:pt>
                <c:pt idx="73">
                  <c:v>-256.75393664513626</c:v>
                </c:pt>
                <c:pt idx="74">
                  <c:v>-252.51467961175751</c:v>
                </c:pt>
                <c:pt idx="75">
                  <c:v>-248.06602574509463</c:v>
                </c:pt>
                <c:pt idx="76">
                  <c:v>-243.36900975359856</c:v>
                </c:pt>
                <c:pt idx="77">
                  <c:v>-238.37391473764228</c:v>
                </c:pt>
                <c:pt idx="78">
                  <c:v>-233.01591894395591</c:v>
                </c:pt>
                <c:pt idx="79">
                  <c:v>-227.20838878229452</c:v>
                </c:pt>
                <c:pt idx="80">
                  <c:v>-220.83216893962086</c:v>
                </c:pt>
                <c:pt idx="81">
                  <c:v>-213.89778865513637</c:v>
                </c:pt>
                <c:pt idx="82">
                  <c:v>-206.91606344990797</c:v>
                </c:pt>
                <c:pt idx="83">
                  <c:v>-199.92786201295041</c:v>
                </c:pt>
                <c:pt idx="84">
                  <c:v>-192.9230511076579</c:v>
                </c:pt>
                <c:pt idx="85">
                  <c:v>-185.89023851171123</c:v>
                </c:pt>
                <c:pt idx="86">
                  <c:v>-178.81635696872621</c:v>
                </c:pt>
                <c:pt idx="87">
                  <c:v>-171.68608520575029</c:v>
                </c:pt>
                <c:pt idx="88">
                  <c:v>-164.48102082991744</c:v>
                </c:pt>
                <c:pt idx="89">
                  <c:v>-157.17846375411551</c:v>
                </c:pt>
                <c:pt idx="90">
                  <c:v>-149.7495647423201</c:v>
                </c:pt>
                <c:pt idx="91">
                  <c:v>-138.60010499730981</c:v>
                </c:pt>
                <c:pt idx="92">
                  <c:v>-127.88394641692288</c:v>
                </c:pt>
                <c:pt idx="93">
                  <c:v>-117.55674286950349</c:v>
                </c:pt>
                <c:pt idx="94">
                  <c:v>-107.57578264362621</c:v>
                </c:pt>
                <c:pt idx="95">
                  <c:v>-97.900707321941411</c:v>
                </c:pt>
                <c:pt idx="96">
                  <c:v>-88.493929017724327</c:v>
                </c:pt>
                <c:pt idx="97">
                  <c:v>-79.32080727142808</c:v>
                </c:pt>
                <c:pt idx="98">
                  <c:v>-73.044999951491008</c:v>
                </c:pt>
                <c:pt idx="99">
                  <c:v>-65.49755552543445</c:v>
                </c:pt>
                <c:pt idx="100">
                  <c:v>-59.331474768815085</c:v>
                </c:pt>
                <c:pt idx="101">
                  <c:v>-54.185031927266017</c:v>
                </c:pt>
                <c:pt idx="102">
                  <c:v>-49.813819837867278</c:v>
                </c:pt>
                <c:pt idx="103">
                  <c:v>-46.046514598798368</c:v>
                </c:pt>
                <c:pt idx="104">
                  <c:v>-42.759310109398783</c:v>
                </c:pt>
                <c:pt idx="105">
                  <c:v>-39.860416215799887</c:v>
                </c:pt>
                <c:pt idx="106">
                  <c:v>-37.28027395877681</c:v>
                </c:pt>
                <c:pt idx="107">
                  <c:v>-34.965165227335788</c:v>
                </c:pt>
                <c:pt idx="108">
                  <c:v>-32.872914840662382</c:v>
                </c:pt>
                <c:pt idx="109">
                  <c:v>-30.969925277509674</c:v>
                </c:pt>
                <c:pt idx="110">
                  <c:v>-29.229084394575118</c:v>
                </c:pt>
                <c:pt idx="111">
                  <c:v>-27.628259513355559</c:v>
                </c:pt>
                <c:pt idx="112">
                  <c:v>-26.149194214710921</c:v>
                </c:pt>
                <c:pt idx="113">
                  <c:v>-24.776687136340133</c:v>
                </c:pt>
                <c:pt idx="114">
                  <c:v>-23.49797199274191</c:v>
                </c:pt>
                <c:pt idx="115">
                  <c:v>-22.302243201478763</c:v>
                </c:pt>
                <c:pt idx="116">
                  <c:v>-21.180288720141988</c:v>
                </c:pt>
                <c:pt idx="117">
                  <c:v>-20.124202673848753</c:v>
                </c:pt>
                <c:pt idx="118">
                  <c:v>-19.127158266088891</c:v>
                </c:pt>
                <c:pt idx="119">
                  <c:v>-18.183226564780959</c:v>
                </c:pt>
                <c:pt idx="120">
                  <c:v>-17.287230698899222</c:v>
                </c:pt>
                <c:pt idx="121">
                  <c:v>-16.434627667165685</c:v>
                </c:pt>
                <c:pt idx="122">
                  <c:v>-15.621411655905989</c:v>
                </c:pt>
                <c:pt idx="123">
                  <c:v>-14.844034647866501</c:v>
                </c:pt>
                <c:pt idx="124">
                  <c:v>-14.099340512625149</c:v>
                </c:pt>
                <c:pt idx="125">
                  <c:v>-13.321569820015208</c:v>
                </c:pt>
                <c:pt idx="126">
                  <c:v>-12.383866170360228</c:v>
                </c:pt>
                <c:pt idx="127">
                  <c:v>-11.496039443282438</c:v>
                </c:pt>
                <c:pt idx="128">
                  <c:v>-10.653936729083</c:v>
                </c:pt>
                <c:pt idx="129">
                  <c:v>-9.8538405301371821</c:v>
                </c:pt>
                <c:pt idx="130">
                  <c:v>-9.0924128693323496</c:v>
                </c:pt>
                <c:pt idx="131">
                  <c:v>-8.3666476901404678</c:v>
                </c:pt>
                <c:pt idx="132">
                  <c:v>-7.6738301529068735</c:v>
                </c:pt>
                <c:pt idx="133">
                  <c:v>-7.0115015676990931</c:v>
                </c:pt>
                <c:pt idx="134">
                  <c:v>-6.3774292436291837</c:v>
                </c:pt>
                <c:pt idx="135">
                  <c:v>-5.7695802431573782</c:v>
                </c:pt>
                <c:pt idx="136">
                  <c:v>-5.1860987329162747</c:v>
                </c:pt>
                <c:pt idx="137">
                  <c:v>-4.6252859181307251</c:v>
                </c:pt>
                <c:pt idx="138">
                  <c:v>-4.0855827737507351</c:v>
                </c:pt>
                <c:pt idx="139">
                  <c:v>-3.5655545180019548</c:v>
                </c:pt>
                <c:pt idx="140">
                  <c:v>-3.0638770534675417</c:v>
                </c:pt>
                <c:pt idx="141">
                  <c:v>-2.5793248104880773</c:v>
                </c:pt>
                <c:pt idx="142">
                  <c:v>-2.1107599075798644</c:v>
                </c:pt>
                <c:pt idx="143">
                  <c:v>-1.6571222933653076</c:v>
                </c:pt>
                <c:pt idx="144">
                  <c:v>-1.2174208887604663</c:v>
                </c:pt>
                <c:pt idx="145">
                  <c:v>-0.7907253492041435</c:v>
                </c:pt>
                <c:pt idx="146">
                  <c:v>-0.37615849901978327</c:v>
                </c:pt>
                <c:pt idx="147">
                  <c:v>2.7110883225759608E-2</c:v>
                </c:pt>
                <c:pt idx="148">
                  <c:v>0.4198748025248733</c:v>
                </c:pt>
                <c:pt idx="149">
                  <c:v>0.80289281757984554</c:v>
                </c:pt>
                <c:pt idx="150">
                  <c:v>1.1768985519251545</c:v>
                </c:pt>
                <c:pt idx="151">
                  <c:v>1.5426064497208758</c:v>
                </c:pt>
                <c:pt idx="152">
                  <c:v>1.9007187944959698</c:v>
                </c:pt>
                <c:pt idx="153">
                  <c:v>2.2519331339818507</c:v>
                </c:pt>
                <c:pt idx="154">
                  <c:v>2.5969504607616498</c:v>
                </c:pt>
                <c:pt idx="155">
                  <c:v>2.9364844513298749</c:v>
                </c:pt>
                <c:pt idx="156">
                  <c:v>3.2712720254122871</c:v>
                </c:pt>
                <c:pt idx="157">
                  <c:v>3.6020858270369271</c:v>
                </c:pt>
                <c:pt idx="158">
                  <c:v>3.9297491907977875</c:v>
                </c:pt>
                <c:pt idx="159">
                  <c:v>4.2261181629842328</c:v>
                </c:pt>
                <c:pt idx="160">
                  <c:v>4.4915263995936279</c:v>
                </c:pt>
                <c:pt idx="161">
                  <c:v>4.7475056495085131</c:v>
                </c:pt>
                <c:pt idx="162">
                  <c:v>4.9948867977539226</c:v>
                </c:pt>
                <c:pt idx="163">
                  <c:v>5.2345871328272384</c:v>
                </c:pt>
                <c:pt idx="164">
                  <c:v>5.4676495427882772</c:v>
                </c:pt>
                <c:pt idx="165">
                  <c:v>5.6952961319797568</c:v>
                </c:pt>
                <c:pt idx="166">
                  <c:v>5.9190033865327329</c:v>
                </c:pt>
                <c:pt idx="167">
                  <c:v>6.1406101704701292</c:v>
                </c:pt>
                <c:pt idx="168">
                  <c:v>6.3616321401150149</c:v>
                </c:pt>
                <c:pt idx="169">
                  <c:v>6.5779914452143142</c:v>
                </c:pt>
                <c:pt idx="170">
                  <c:v>6.7929966807499129</c:v>
                </c:pt>
                <c:pt idx="171">
                  <c:v>7.0124830455401366</c:v>
                </c:pt>
                <c:pt idx="172">
                  <c:v>7.2451075360639443</c:v>
                </c:pt>
                <c:pt idx="173">
                  <c:v>7.5043128257554024</c:v>
                </c:pt>
                <c:pt idx="174">
                  <c:v>7.7670395481947354</c:v>
                </c:pt>
                <c:pt idx="175">
                  <c:v>8.1554731278676265</c:v>
                </c:pt>
                <c:pt idx="176">
                  <c:v>8.7059103894650214</c:v>
                </c:pt>
                <c:pt idx="177">
                  <c:v>9.5847357248742711</c:v>
                </c:pt>
                <c:pt idx="178">
                  <c:v>10.879273094407854</c:v>
                </c:pt>
                <c:pt idx="179">
                  <c:v>12.125562606346566</c:v>
                </c:pt>
                <c:pt idx="180">
                  <c:v>13.095753511130328</c:v>
                </c:pt>
                <c:pt idx="181">
                  <c:v>12.125562613605041</c:v>
                </c:pt>
                <c:pt idx="182">
                  <c:v>10.879273087080861</c:v>
                </c:pt>
                <c:pt idx="183">
                  <c:v>9.5847357243808524</c:v>
                </c:pt>
                <c:pt idx="184">
                  <c:v>8.7059103829447047</c:v>
                </c:pt>
                <c:pt idx="185">
                  <c:v>8.1554731441215296</c:v>
                </c:pt>
                <c:pt idx="186">
                  <c:v>7.7670395513098249</c:v>
                </c:pt>
                <c:pt idx="187">
                  <c:v>7.5043128237197729</c:v>
                </c:pt>
                <c:pt idx="188">
                  <c:v>7.2451075358955253</c:v>
                </c:pt>
                <c:pt idx="189">
                  <c:v>7.0124830461382048</c:v>
                </c:pt>
                <c:pt idx="190">
                  <c:v>6.792996685582577</c:v>
                </c:pt>
                <c:pt idx="191">
                  <c:v>6.5779914431341702</c:v>
                </c:pt>
                <c:pt idx="192">
                  <c:v>6.3616321512026737</c:v>
                </c:pt>
                <c:pt idx="193">
                  <c:v>6.1406101754300524</c:v>
                </c:pt>
                <c:pt idx="194">
                  <c:v>5.9190033741066532</c:v>
                </c:pt>
                <c:pt idx="195">
                  <c:v>5.6952961230076697</c:v>
                </c:pt>
                <c:pt idx="196">
                  <c:v>5.4676495481201268</c:v>
                </c:pt>
                <c:pt idx="197">
                  <c:v>5.2345871436310389</c:v>
                </c:pt>
                <c:pt idx="198">
                  <c:v>4.994886793812368</c:v>
                </c:pt>
                <c:pt idx="199">
                  <c:v>4.7475056381113561</c:v>
                </c:pt>
                <c:pt idx="200">
                  <c:v>4.491526403125591</c:v>
                </c:pt>
                <c:pt idx="201">
                  <c:v>4.2261181679657671</c:v>
                </c:pt>
                <c:pt idx="202">
                  <c:v>3.9297491877033108</c:v>
                </c:pt>
                <c:pt idx="203">
                  <c:v>3.6020858194386447</c:v>
                </c:pt>
                <c:pt idx="204">
                  <c:v>3.2712720330015999</c:v>
                </c:pt>
                <c:pt idx="205">
                  <c:v>2.9364844582028926</c:v>
                </c:pt>
                <c:pt idx="206">
                  <c:v>2.5969504696712251</c:v>
                </c:pt>
                <c:pt idx="207">
                  <c:v>2.2519331297586689</c:v>
                </c:pt>
                <c:pt idx="208">
                  <c:v>1.9007188021568879</c:v>
                </c:pt>
                <c:pt idx="209">
                  <c:v>1.5426064520811338</c:v>
                </c:pt>
                <c:pt idx="210">
                  <c:v>1.1768985451713037</c:v>
                </c:pt>
                <c:pt idx="211">
                  <c:v>0.80289281904151155</c:v>
                </c:pt>
                <c:pt idx="212">
                  <c:v>0.41987481643113822</c:v>
                </c:pt>
                <c:pt idx="213">
                  <c:v>2.7110890574999758E-2</c:v>
                </c:pt>
                <c:pt idx="214">
                  <c:v>-0.3761584907317399</c:v>
                </c:pt>
                <c:pt idx="215">
                  <c:v>-0.79072535381621956</c:v>
                </c:pt>
                <c:pt idx="216">
                  <c:v>-1.2174208864613432</c:v>
                </c:pt>
                <c:pt idx="217">
                  <c:v>-1.657122293332276</c:v>
                </c:pt>
                <c:pt idx="218">
                  <c:v>-2.1107599020224881</c:v>
                </c:pt>
                <c:pt idx="219">
                  <c:v>-2.5793248080930482</c:v>
                </c:pt>
                <c:pt idx="220">
                  <c:v>-3.0638770500215</c:v>
                </c:pt>
                <c:pt idx="221">
                  <c:v>-3.5655545149247017</c:v>
                </c:pt>
                <c:pt idx="222">
                  <c:v>-4.0855827867291961</c:v>
                </c:pt>
                <c:pt idx="223">
                  <c:v>-4.6252859288025601</c:v>
                </c:pt>
                <c:pt idx="224">
                  <c:v>-5.1860987276433779</c:v>
                </c:pt>
                <c:pt idx="225">
                  <c:v>-5.7695802490885395</c:v>
                </c:pt>
                <c:pt idx="226">
                  <c:v>-6.3774292322624371</c:v>
                </c:pt>
                <c:pt idx="227">
                  <c:v>-7.0115015646062204</c:v>
                </c:pt>
                <c:pt idx="228">
                  <c:v>-7.67383015248019</c:v>
                </c:pt>
                <c:pt idx="229">
                  <c:v>-8.3666476945972583</c:v>
                </c:pt>
                <c:pt idx="230">
                  <c:v>-9.0924128679879566</c:v>
                </c:pt>
                <c:pt idx="231">
                  <c:v>-9.853840535037488</c:v>
                </c:pt>
                <c:pt idx="232">
                  <c:v>-10.653936740892817</c:v>
                </c:pt>
                <c:pt idx="233">
                  <c:v>-11.49603944992171</c:v>
                </c:pt>
                <c:pt idx="234">
                  <c:v>-12.383866165132538</c:v>
                </c:pt>
                <c:pt idx="235">
                  <c:v>-13.321569815034154</c:v>
                </c:pt>
                <c:pt idx="236">
                  <c:v>-14.099340507673446</c:v>
                </c:pt>
                <c:pt idx="237">
                  <c:v>-14.844034648082648</c:v>
                </c:pt>
                <c:pt idx="238">
                  <c:v>-15.621411656958777</c:v>
                </c:pt>
                <c:pt idx="239">
                  <c:v>-16.434627668286275</c:v>
                </c:pt>
                <c:pt idx="240">
                  <c:v>-17.287230706151092</c:v>
                </c:pt>
                <c:pt idx="241">
                  <c:v>-18.183226562213711</c:v>
                </c:pt>
                <c:pt idx="242">
                  <c:v>-19.12715827092731</c:v>
                </c:pt>
                <c:pt idx="243">
                  <c:v>-20.124202670153551</c:v>
                </c:pt>
                <c:pt idx="244">
                  <c:v>-21.180288716335276</c:v>
                </c:pt>
                <c:pt idx="245">
                  <c:v>-22.294639634933365</c:v>
                </c:pt>
                <c:pt idx="246">
                  <c:v>-23.409635024179714</c:v>
                </c:pt>
                <c:pt idx="247">
                  <c:v>-24.512701681924334</c:v>
                </c:pt>
                <c:pt idx="248">
                  <c:v>-25.604910886642717</c:v>
                </c:pt>
                <c:pt idx="249">
                  <c:v>-26.687299310047017</c:v>
                </c:pt>
                <c:pt idx="250">
                  <c:v>-27.76087311087143</c:v>
                </c:pt>
                <c:pt idx="251">
                  <c:v>-28.826611898643073</c:v>
                </c:pt>
                <c:pt idx="252">
                  <c:v>-29.885472411746484</c:v>
                </c:pt>
                <c:pt idx="253">
                  <c:v>-30.938392089984845</c:v>
                </c:pt>
                <c:pt idx="254">
                  <c:v>-31.986292515892409</c:v>
                </c:pt>
                <c:pt idx="255">
                  <c:v>-33.030082699476381</c:v>
                </c:pt>
                <c:pt idx="256">
                  <c:v>-34.070662311994788</c:v>
                </c:pt>
                <c:pt idx="257">
                  <c:v>-35.108924831274294</c:v>
                </c:pt>
                <c:pt idx="258">
                  <c:v>-36.145760704460493</c:v>
                </c:pt>
                <c:pt idx="259">
                  <c:v>-37.182060373494792</c:v>
                </c:pt>
                <c:pt idx="260">
                  <c:v>-38.218717425335129</c:v>
                </c:pt>
                <c:pt idx="261">
                  <c:v>-39.25663161943281</c:v>
                </c:pt>
                <c:pt idx="262">
                  <c:v>-40.296712080717498</c:v>
                </c:pt>
                <c:pt idx="263">
                  <c:v>-41.339880461048537</c:v>
                </c:pt>
                <c:pt idx="264">
                  <c:v>-42.387074182181507</c:v>
                </c:pt>
                <c:pt idx="265">
                  <c:v>-43.439249743976298</c:v>
                </c:pt>
                <c:pt idx="266">
                  <c:v>-44.497386202354861</c:v>
                </c:pt>
                <c:pt idx="267">
                  <c:v>-45.562488647420658</c:v>
                </c:pt>
                <c:pt idx="268">
                  <c:v>-46.635591907056252</c:v>
                </c:pt>
                <c:pt idx="269">
                  <c:v>-47.717764330176585</c:v>
                </c:pt>
                <c:pt idx="270">
                  <c:v>-48.810111766315373</c:v>
                </c:pt>
                <c:pt idx="271">
                  <c:v>-49.956502681130786</c:v>
                </c:pt>
                <c:pt idx="272">
                  <c:v>-51.085159537894214</c:v>
                </c:pt>
                <c:pt idx="273">
                  <c:v>-52.19838429228966</c:v>
                </c:pt>
                <c:pt idx="274">
                  <c:v>-52.371820084679683</c:v>
                </c:pt>
                <c:pt idx="275">
                  <c:v>-53.455116455284788</c:v>
                </c:pt>
                <c:pt idx="276">
                  <c:v>-54.528762285780438</c:v>
                </c:pt>
                <c:pt idx="277">
                  <c:v>-55.594309042535556</c:v>
                </c:pt>
                <c:pt idx="278">
                  <c:v>-56.653196657230332</c:v>
                </c:pt>
                <c:pt idx="279">
                  <c:v>-57.706772325892253</c:v>
                </c:pt>
                <c:pt idx="280">
                  <c:v>-58.756306258400755</c:v>
                </c:pt>
                <c:pt idx="281">
                  <c:v>-59.803004979189794</c:v>
                </c:pt>
                <c:pt idx="282">
                  <c:v>-60.84802281423525</c:v>
                </c:pt>
                <c:pt idx="283">
                  <c:v>-61.892471796418626</c:v>
                </c:pt>
                <c:pt idx="284">
                  <c:v>-62.937430383444735</c:v>
                </c:pt>
                <c:pt idx="285">
                  <c:v>-63.983951234420665</c:v>
                </c:pt>
                <c:pt idx="286">
                  <c:v>-65.033068130907452</c:v>
                </c:pt>
                <c:pt idx="287">
                  <c:v>-66.085802430282854</c:v>
                </c:pt>
                <c:pt idx="288">
                  <c:v>-67.143168920819761</c:v>
                </c:pt>
                <c:pt idx="289">
                  <c:v>-68.206181364219702</c:v>
                </c:pt>
                <c:pt idx="290">
                  <c:v>-69.275857757331579</c:v>
                </c:pt>
                <c:pt idx="291">
                  <c:v>-70.353225455344244</c:v>
                </c:pt>
                <c:pt idx="292">
                  <c:v>-71.439326082381484</c:v>
                </c:pt>
                <c:pt idx="293">
                  <c:v>-72.535220542499246</c:v>
                </c:pt>
                <c:pt idx="294">
                  <c:v>-73.641993882387723</c:v>
                </c:pt>
                <c:pt idx="295">
                  <c:v>-74.760760402149003</c:v>
                </c:pt>
                <c:pt idx="296">
                  <c:v>-75.892668766032926</c:v>
                </c:pt>
                <c:pt idx="297">
                  <c:v>-77.038907426070011</c:v>
                </c:pt>
                <c:pt idx="298">
                  <c:v>-78.200710138936216</c:v>
                </c:pt>
                <c:pt idx="299">
                  <c:v>-79.37936201873805</c:v>
                </c:pt>
                <c:pt idx="300">
                  <c:v>-80.576205748629917</c:v>
                </c:pt>
                <c:pt idx="301">
                  <c:v>-81.787350659534752</c:v>
                </c:pt>
                <c:pt idx="302">
                  <c:v>-82.97829530423131</c:v>
                </c:pt>
                <c:pt idx="303">
                  <c:v>-84.145206696070701</c:v>
                </c:pt>
                <c:pt idx="304">
                  <c:v>-85.291060288198253</c:v>
                </c:pt>
                <c:pt idx="305">
                  <c:v>-86.418581742824415</c:v>
                </c:pt>
                <c:pt idx="306">
                  <c:v>-87.530285590964468</c:v>
                </c:pt>
                <c:pt idx="307">
                  <c:v>-88.628508312010993</c:v>
                </c:pt>
                <c:pt idx="308">
                  <c:v>-89.715436918848027</c:v>
                </c:pt>
                <c:pt idx="309">
                  <c:v>-90.793133733496191</c:v>
                </c:pt>
                <c:pt idx="310">
                  <c:v>-91.863558387352327</c:v>
                </c:pt>
                <c:pt idx="311">
                  <c:v>-92.928587229265375</c:v>
                </c:pt>
                <c:pt idx="312">
                  <c:v>-93.990031010826158</c:v>
                </c:pt>
                <c:pt idx="313">
                  <c:v>-95.049650996988433</c:v>
                </c:pt>
                <c:pt idx="314">
                  <c:v>-96.109173941338867</c:v>
                </c:pt>
                <c:pt idx="315">
                  <c:v>-97.17030623186605</c:v>
                </c:pt>
                <c:pt idx="316">
                  <c:v>-98.234747525516923</c:v>
                </c:pt>
                <c:pt idx="317">
                  <c:v>-99.304204068505442</c:v>
                </c:pt>
                <c:pt idx="318">
                  <c:v>-100.38040191589488</c:v>
                </c:pt>
                <c:pt idx="319">
                  <c:v>-101.46510047128476</c:v>
                </c:pt>
                <c:pt idx="320">
                  <c:v>-103.64026249486457</c:v>
                </c:pt>
                <c:pt idx="321">
                  <c:v>-107.74425615186837</c:v>
                </c:pt>
                <c:pt idx="322">
                  <c:v>-113.48373859048351</c:v>
                </c:pt>
                <c:pt idx="323">
                  <c:v>-120.63982963753433</c:v>
                </c:pt>
                <c:pt idx="324">
                  <c:v>-129.04887432449698</c:v>
                </c:pt>
                <c:pt idx="325">
                  <c:v>-138.58989802564059</c:v>
                </c:pt>
                <c:pt idx="326">
                  <c:v>-149.17630813697417</c:v>
                </c:pt>
                <c:pt idx="327">
                  <c:v>-160.75045136748997</c:v>
                </c:pt>
                <c:pt idx="328">
                  <c:v>-173.28021822036789</c:v>
                </c:pt>
                <c:pt idx="329">
                  <c:v>-186.7572297602369</c:v>
                </c:pt>
                <c:pt idx="330">
                  <c:v>-201.19636077502298</c:v>
                </c:pt>
                <c:pt idx="331">
                  <c:v>-216.63650802773284</c:v>
                </c:pt>
                <c:pt idx="332">
                  <c:v>-233.14263619622449</c:v>
                </c:pt>
                <c:pt idx="333">
                  <c:v>-250.80924852527272</c:v>
                </c:pt>
                <c:pt idx="334">
                  <c:v>-262.53066914719665</c:v>
                </c:pt>
                <c:pt idx="335">
                  <c:v>-273.89091946671226</c:v>
                </c:pt>
                <c:pt idx="336">
                  <c:v>-284.98857782939507</c:v>
                </c:pt>
                <c:pt idx="337">
                  <c:v>-295.32757137897488</c:v>
                </c:pt>
                <c:pt idx="338">
                  <c:v>-304.91156460004652</c:v>
                </c:pt>
                <c:pt idx="339">
                  <c:v>-313.75257032170396</c:v>
                </c:pt>
                <c:pt idx="340">
                  <c:v>-321.8532042192121</c:v>
                </c:pt>
                <c:pt idx="341">
                  <c:v>-329.20344911649613</c:v>
                </c:pt>
                <c:pt idx="342">
                  <c:v>-335.77501366951037</c:v>
                </c:pt>
                <c:pt idx="343">
                  <c:v>-341.51100377353282</c:v>
                </c:pt>
                <c:pt idx="344">
                  <c:v>-346.30559394895511</c:v>
                </c:pt>
                <c:pt idx="345">
                  <c:v>-349.95963679114863</c:v>
                </c:pt>
                <c:pt idx="346">
                  <c:v>-352.06752563243987</c:v>
                </c:pt>
                <c:pt idx="347">
                  <c:v>-352.42382102611032</c:v>
                </c:pt>
                <c:pt idx="348">
                  <c:v>-352.61017112534273</c:v>
                </c:pt>
                <c:pt idx="349">
                  <c:v>-352.77992279763254</c:v>
                </c:pt>
                <c:pt idx="350">
                  <c:v>-352.93351568277717</c:v>
                </c:pt>
                <c:pt idx="351">
                  <c:v>-353.07134359513998</c:v>
                </c:pt>
                <c:pt idx="352">
                  <c:v>-353.19375670169012</c:v>
                </c:pt>
                <c:pt idx="353">
                  <c:v>-353.30106351233519</c:v>
                </c:pt>
                <c:pt idx="354">
                  <c:v>-353.39353245854687</c:v>
                </c:pt>
                <c:pt idx="355">
                  <c:v>-353.47139340975696</c:v>
                </c:pt>
                <c:pt idx="356">
                  <c:v>-353.5348388552261</c:v>
                </c:pt>
                <c:pt idx="357">
                  <c:v>-353.58402491886795</c:v>
                </c:pt>
                <c:pt idx="358">
                  <c:v>-353.61907221565667</c:v>
                </c:pt>
                <c:pt idx="359">
                  <c:v>-353.64006643266953</c:v>
                </c:pt>
                <c:pt idx="360">
                  <c:v>-353.6470588267203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-216.00000000000003</c:v>
                </c:pt>
                <c:pt idx="1">
                  <c:v>-216.80118748020516</c:v>
                </c:pt>
                <c:pt idx="2">
                  <c:v>-217.60286331967123</c:v>
                </c:pt>
                <c:pt idx="3">
                  <c:v>-218.40551706909156</c:v>
                </c:pt>
                <c:pt idx="4">
                  <c:v>-219.20964066820707</c:v>
                </c:pt>
                <c:pt idx="5">
                  <c:v>-220.01572965583989</c:v>
                </c:pt>
                <c:pt idx="6">
                  <c:v>-220.82428439869449</c:v>
                </c:pt>
                <c:pt idx="7">
                  <c:v>-221.63581134544324</c:v>
                </c:pt>
                <c:pt idx="8">
                  <c:v>-222.4508243128397</c:v>
                </c:pt>
                <c:pt idx="9">
                  <c:v>-223.2698458108961</c:v>
                </c:pt>
                <c:pt idx="10">
                  <c:v>-224.09340841451842</c:v>
                </c:pt>
                <c:pt idx="11">
                  <c:v>-224.92205618942114</c:v>
                </c:pt>
                <c:pt idx="12">
                  <c:v>-225.75634618065388</c:v>
                </c:pt>
                <c:pt idx="13">
                  <c:v>-226.59684997266325</c:v>
                </c:pt>
                <c:pt idx="14">
                  <c:v>-227.44415533050187</c:v>
                </c:pt>
                <c:pt idx="15">
                  <c:v>-228.29886793258837</c:v>
                </c:pt>
                <c:pt idx="16">
                  <c:v>-229.16161320632912</c:v>
                </c:pt>
                <c:pt idx="17">
                  <c:v>-230.03303827895232</c:v>
                </c:pt>
                <c:pt idx="18">
                  <c:v>-230.91381405709026</c:v>
                </c:pt>
                <c:pt idx="19">
                  <c:v>-231.80463744999543</c:v>
                </c:pt>
                <c:pt idx="20">
                  <c:v>-232.70623375281846</c:v>
                </c:pt>
                <c:pt idx="21">
                  <c:v>-233.61935920812539</c:v>
                </c:pt>
                <c:pt idx="22">
                  <c:v>-234.54480376583345</c:v>
                </c:pt>
                <c:pt idx="23">
                  <c:v>-235.48339406402059</c:v>
                </c:pt>
                <c:pt idx="24">
                  <c:v>-236.43599665566151</c:v>
                </c:pt>
                <c:pt idx="25">
                  <c:v>-237.4035215093142</c:v>
                </c:pt>
                <c:pt idx="26">
                  <c:v>-238.38692581517276</c:v>
                </c:pt>
                <c:pt idx="27">
                  <c:v>-239.38721813179396</c:v>
                </c:pt>
                <c:pt idx="28">
                  <c:v>-240.40546291326157</c:v>
                </c:pt>
                <c:pt idx="29">
                  <c:v>-241.44278546168175</c:v>
                </c:pt>
                <c:pt idx="30">
                  <c:v>-242.50037735580349</c:v>
                </c:pt>
                <c:pt idx="31">
                  <c:v>-243.57950241336462</c:v>
                </c:pt>
                <c:pt idx="32">
                  <c:v>-244.68150325263775</c:v>
                </c:pt>
                <c:pt idx="33">
                  <c:v>-245.8078085277653</c:v>
                </c:pt>
                <c:pt idx="34">
                  <c:v>-246.95994092306694</c:v>
                </c:pt>
                <c:pt idx="35">
                  <c:v>-248.13952600382515</c:v>
                </c:pt>
                <c:pt idx="36">
                  <c:v>-249.34830203544556</c:v>
                </c:pt>
                <c:pt idx="37">
                  <c:v>-250.58813089971773</c:v>
                </c:pt>
                <c:pt idx="38">
                  <c:v>-251.86101025665778</c:v>
                </c:pt>
                <c:pt idx="39">
                  <c:v>-253.14136216066871</c:v>
                </c:pt>
                <c:pt idx="40">
                  <c:v>-254.39015945140056</c:v>
                </c:pt>
                <c:pt idx="41">
                  <c:v>-255.60948452958655</c:v>
                </c:pt>
                <c:pt idx="42">
                  <c:v>-256.80163822711211</c:v>
                </c:pt>
                <c:pt idx="43">
                  <c:v>-257.96875728942882</c:v>
                </c:pt>
                <c:pt idx="44">
                  <c:v>-259.11283309661451</c:v>
                </c:pt>
                <c:pt idx="45">
                  <c:v>-260.23572824110522</c:v>
                </c:pt>
                <c:pt idx="46">
                  <c:v>-261.33919129231856</c:v>
                </c:pt>
                <c:pt idx="47">
                  <c:v>-262.42487001588358</c:v>
                </c:pt>
                <c:pt idx="48">
                  <c:v>-263.49432328947819</c:v>
                </c:pt>
                <c:pt idx="49">
                  <c:v>-264.5490319099755</c:v>
                </c:pt>
                <c:pt idx="50">
                  <c:v>-265.5904084687478</c:v>
                </c:pt>
                <c:pt idx="51">
                  <c:v>-266.61980646469647</c:v>
                </c:pt>
                <c:pt idx="52">
                  <c:v>-267.63852874947844</c:v>
                </c:pt>
                <c:pt idx="53">
                  <c:v>-268.64783550592995</c:v>
                </c:pt>
                <c:pt idx="54">
                  <c:v>-269.74881975470635</c:v>
                </c:pt>
                <c:pt idx="55">
                  <c:v>-270.88752413078015</c:v>
                </c:pt>
                <c:pt idx="56">
                  <c:v>-272.00037381685718</c:v>
                </c:pt>
                <c:pt idx="57">
                  <c:v>-273.08913124728997</c:v>
                </c:pt>
                <c:pt idx="58">
                  <c:v>-274.15547149348652</c:v>
                </c:pt>
                <c:pt idx="59">
                  <c:v>-275.20099427504437</c:v>
                </c:pt>
                <c:pt idx="60">
                  <c:v>-276.22723560120357</c:v>
                </c:pt>
                <c:pt idx="61">
                  <c:v>-277.235679291515</c:v>
                </c:pt>
                <c:pt idx="62">
                  <c:v>-278.22776862090922</c:v>
                </c:pt>
                <c:pt idx="63">
                  <c:v>-279.20491838384964</c:v>
                </c:pt>
                <c:pt idx="64">
                  <c:v>-280.16852769275135</c:v>
                </c:pt>
                <c:pt idx="65">
                  <c:v>-281.11999395083058</c:v>
                </c:pt>
                <c:pt idx="66">
                  <c:v>-282.06072846416703</c:v>
                </c:pt>
                <c:pt idx="67">
                  <c:v>-282.99217438695371</c:v>
                </c:pt>
                <c:pt idx="68">
                  <c:v>-283.91582782623408</c:v>
                </c:pt>
                <c:pt idx="69">
                  <c:v>-284.83326327317695</c:v>
                </c:pt>
                <c:pt idx="70">
                  <c:v>-285.74616486507523</c:v>
                </c:pt>
                <c:pt idx="71">
                  <c:v>-286.65636566673584</c:v>
                </c:pt>
                <c:pt idx="72">
                  <c:v>-287.5658979385812</c:v>
                </c:pt>
                <c:pt idx="73">
                  <c:v>-288.47705874805695</c:v>
                </c:pt>
                <c:pt idx="74">
                  <c:v>-289.39249720429365</c:v>
                </c:pt>
                <c:pt idx="75">
                  <c:v>-290.31533270313503</c:v>
                </c:pt>
                <c:pt idx="76">
                  <c:v>-291.24931857945217</c:v>
                </c:pt>
                <c:pt idx="77">
                  <c:v>-292.19907355101236</c:v>
                </c:pt>
                <c:pt idx="78">
                  <c:v>-293.17041714382572</c:v>
                </c:pt>
                <c:pt idx="79">
                  <c:v>-294.17086930441019</c:v>
                </c:pt>
                <c:pt idx="80">
                  <c:v>-295.21041798221938</c:v>
                </c:pt>
                <c:pt idx="81">
                  <c:v>-296.26327695321339</c:v>
                </c:pt>
                <c:pt idx="82">
                  <c:v>-297.2010439155107</c:v>
                </c:pt>
                <c:pt idx="83">
                  <c:v>-298.0139585281367</c:v>
                </c:pt>
                <c:pt idx="84">
                  <c:v>-298.70351268811896</c:v>
                </c:pt>
                <c:pt idx="85">
                  <c:v>-299.27073494032879</c:v>
                </c:pt>
                <c:pt idx="86">
                  <c:v>-299.71615073633177</c:v>
                </c:pt>
                <c:pt idx="87">
                  <c:v>-300.03972009360206</c:v>
                </c:pt>
                <c:pt idx="88">
                  <c:v>-300.2407416481368</c:v>
                </c:pt>
                <c:pt idx="89">
                  <c:v>-300.31770399018956</c:v>
                </c:pt>
                <c:pt idx="90">
                  <c:v>-300.26805103153509</c:v>
                </c:pt>
                <c:pt idx="91">
                  <c:v>-299.70329168459295</c:v>
                </c:pt>
                <c:pt idx="92">
                  <c:v>-299.04802021925877</c:v>
                </c:pt>
                <c:pt idx="93">
                  <c:v>-298.30430592298814</c:v>
                </c:pt>
                <c:pt idx="94">
                  <c:v>-297.47266330275068</c:v>
                </c:pt>
                <c:pt idx="95">
                  <c:v>-296.55237715021815</c:v>
                </c:pt>
                <c:pt idx="96">
                  <c:v>-295.54177217130888</c:v>
                </c:pt>
                <c:pt idx="97">
                  <c:v>-294.43842574684055</c:v>
                </c:pt>
                <c:pt idx="98">
                  <c:v>-293.61357654185247</c:v>
                </c:pt>
                <c:pt idx="99">
                  <c:v>-292.50899427576212</c:v>
                </c:pt>
                <c:pt idx="100">
                  <c:v>-291.5201754020469</c:v>
                </c:pt>
                <c:pt idx="101">
                  <c:v>-290.62211037839427</c:v>
                </c:pt>
                <c:pt idx="102">
                  <c:v>-289.79680133233717</c:v>
                </c:pt>
                <c:pt idx="103">
                  <c:v>-289.03087996947318</c:v>
                </c:pt>
                <c:pt idx="104">
                  <c:v>-288.31415107977659</c:v>
                </c:pt>
                <c:pt idx="105">
                  <c:v>-287.63866290543336</c:v>
                </c:pt>
                <c:pt idx="106">
                  <c:v>-286.99809197813653</c:v>
                </c:pt>
                <c:pt idx="107">
                  <c:v>-286.38732331497346</c:v>
                </c:pt>
                <c:pt idx="108">
                  <c:v>-285.80215633992145</c:v>
                </c:pt>
                <c:pt idx="109">
                  <c:v>-285.23909396634622</c:v>
                </c:pt>
                <c:pt idx="110">
                  <c:v>-284.69518825058833</c:v>
                </c:pt>
                <c:pt idx="111">
                  <c:v>-284.16792536910128</c:v>
                </c:pt>
                <c:pt idx="112">
                  <c:v>-283.65513846390263</c:v>
                </c:pt>
                <c:pt idx="113">
                  <c:v>-283.15494065108328</c:v>
                </c:pt>
                <c:pt idx="114">
                  <c:v>-282.66567273967041</c:v>
                </c:pt>
                <c:pt idx="115">
                  <c:v>-282.18586200641329</c:v>
                </c:pt>
                <c:pt idx="116">
                  <c:v>-281.71418921803036</c:v>
                </c:pt>
                <c:pt idx="117">
                  <c:v>-281.24946199080443</c:v>
                </c:pt>
                <c:pt idx="118">
                  <c:v>-280.79059298193158</c:v>
                </c:pt>
                <c:pt idx="119">
                  <c:v>-280.33658188592915</c:v>
                </c:pt>
                <c:pt idx="120">
                  <c:v>-279.88650038067152</c:v>
                </c:pt>
                <c:pt idx="121">
                  <c:v>-279.43947937179752</c:v>
                </c:pt>
                <c:pt idx="122">
                  <c:v>-278.99469812235259</c:v>
                </c:pt>
                <c:pt idx="123">
                  <c:v>-278.55137476553818</c:v>
                </c:pt>
                <c:pt idx="124">
                  <c:v>-278.10875803440672</c:v>
                </c:pt>
                <c:pt idx="125">
                  <c:v>-277.42242662475564</c:v>
                </c:pt>
                <c:pt idx="126">
                  <c:v>-275.97051308822961</c:v>
                </c:pt>
                <c:pt idx="127">
                  <c:v>-274.55373776070019</c:v>
                </c:pt>
                <c:pt idx="128">
                  <c:v>-273.16912960619675</c:v>
                </c:pt>
                <c:pt idx="129">
                  <c:v>-271.81393751290238</c:v>
                </c:pt>
                <c:pt idx="130">
                  <c:v>-270.48560276099386</c:v>
                </c:pt>
                <c:pt idx="131">
                  <c:v>-269.18173477265009</c:v>
                </c:pt>
                <c:pt idx="132">
                  <c:v>-267.90008959736838</c:v>
                </c:pt>
                <c:pt idx="133">
                  <c:v>-266.6385506647855</c:v>
                </c:pt>
                <c:pt idx="134">
                  <c:v>-265.39511142488197</c:v>
                </c:pt>
                <c:pt idx="135">
                  <c:v>-264.16785952327274</c:v>
                </c:pt>
                <c:pt idx="136">
                  <c:v>-262.95496223621342</c:v>
                </c:pt>
                <c:pt idx="137">
                  <c:v>-261.75465286999599</c:v>
                </c:pt>
                <c:pt idx="138">
                  <c:v>-260.56521792842886</c:v>
                </c:pt>
                <c:pt idx="139">
                  <c:v>-259.38498477740717</c:v>
                </c:pt>
                <c:pt idx="140">
                  <c:v>-258.21230962823006</c:v>
                </c:pt>
                <c:pt idx="141">
                  <c:v>-257.04556560465085</c:v>
                </c:pt>
                <c:pt idx="142">
                  <c:v>-255.88313068475389</c:v>
                </c:pt>
                <c:pt idx="143">
                  <c:v>-254.72337527353039</c:v>
                </c:pt>
                <c:pt idx="144">
                  <c:v>-253.5646491671902</c:v>
                </c:pt>
                <c:pt idx="145">
                  <c:v>-252.40526760231913</c:v>
                </c:pt>
                <c:pt idx="146">
                  <c:v>-251.2434960735319</c:v>
                </c:pt>
                <c:pt idx="147">
                  <c:v>-250.07753350772316</c:v>
                </c:pt>
                <c:pt idx="148">
                  <c:v>-248.90549334288397</c:v>
                </c:pt>
                <c:pt idx="149">
                  <c:v>-247.72538188852599</c:v>
                </c:pt>
                <c:pt idx="150">
                  <c:v>-246.53507328067496</c:v>
                </c:pt>
                <c:pt idx="151">
                  <c:v>-245.33228007362345</c:v>
                </c:pt>
                <c:pt idx="152">
                  <c:v>-244.11451830428464</c:v>
                </c:pt>
                <c:pt idx="153">
                  <c:v>-242.87906551167146</c:v>
                </c:pt>
                <c:pt idx="154">
                  <c:v>-241.62290970521227</c:v>
                </c:pt>
                <c:pt idx="155">
                  <c:v>-240.34268664206607</c:v>
                </c:pt>
                <c:pt idx="156">
                  <c:v>-239.0346018972387</c:v>
                </c:pt>
                <c:pt idx="157">
                  <c:v>-237.69433293024571</c:v>
                </c:pt>
                <c:pt idx="158">
                  <c:v>-236.31690459771687</c:v>
                </c:pt>
                <c:pt idx="159">
                  <c:v>-233.2936361914177</c:v>
                </c:pt>
                <c:pt idx="160">
                  <c:v>-228.95287162269915</c:v>
                </c:pt>
                <c:pt idx="161">
                  <c:v>-224.53244367505005</c:v>
                </c:pt>
                <c:pt idx="162">
                  <c:v>-220.020535754657</c:v>
                </c:pt>
                <c:pt idx="163">
                  <c:v>-215.40361367931047</c:v>
                </c:pt>
                <c:pt idx="164">
                  <c:v>-210.66595689316742</c:v>
                </c:pt>
                <c:pt idx="165">
                  <c:v>-205.78901663114323</c:v>
                </c:pt>
                <c:pt idx="166">
                  <c:v>-200.7505151838233</c:v>
                </c:pt>
                <c:pt idx="167">
                  <c:v>-195.52314650652488</c:v>
                </c:pt>
                <c:pt idx="168">
                  <c:v>-189.76656785321691</c:v>
                </c:pt>
                <c:pt idx="169">
                  <c:v>-182.84870504559325</c:v>
                </c:pt>
                <c:pt idx="170">
                  <c:v>-175.62090948062996</c:v>
                </c:pt>
                <c:pt idx="171">
                  <c:v>-168.01271654028687</c:v>
                </c:pt>
                <c:pt idx="172">
                  <c:v>-159.92428822596645</c:v>
                </c:pt>
                <c:pt idx="173">
                  <c:v>-151.20475745970973</c:v>
                </c:pt>
                <c:pt idx="174">
                  <c:v>-144.99885695069082</c:v>
                </c:pt>
                <c:pt idx="175">
                  <c:v>-134.02023126009431</c:v>
                </c:pt>
                <c:pt idx="176">
                  <c:v>-120.78840747080922</c:v>
                </c:pt>
                <c:pt idx="177">
                  <c:v>-102.90879894697731</c:v>
                </c:pt>
                <c:pt idx="178">
                  <c:v>-74.740994060499048</c:v>
                </c:pt>
                <c:pt idx="179">
                  <c:v>-41.051081785860049</c:v>
                </c:pt>
                <c:pt idx="180">
                  <c:v>-5.708870558700553E-9</c:v>
                </c:pt>
                <c:pt idx="181">
                  <c:v>41.051081781598441</c:v>
                </c:pt>
                <c:pt idx="182">
                  <c:v>74.740994072355221</c:v>
                </c:pt>
                <c:pt idx="183">
                  <c:v>102.90879895135494</c:v>
                </c:pt>
                <c:pt idx="184">
                  <c:v>120.78840746183118</c:v>
                </c:pt>
                <c:pt idx="185">
                  <c:v>134.02023126161606</c:v>
                </c:pt>
                <c:pt idx="186">
                  <c:v>144.9988569557807</c:v>
                </c:pt>
                <c:pt idx="187">
                  <c:v>151.20475747130729</c:v>
                </c:pt>
                <c:pt idx="188">
                  <c:v>159.92428823785826</c:v>
                </c:pt>
                <c:pt idx="189">
                  <c:v>168.01271653772949</c:v>
                </c:pt>
                <c:pt idx="190">
                  <c:v>175.6209094935096</c:v>
                </c:pt>
                <c:pt idx="191">
                  <c:v>182.84870503397633</c:v>
                </c:pt>
                <c:pt idx="192">
                  <c:v>189.76656785473335</c:v>
                </c:pt>
                <c:pt idx="193">
                  <c:v>195.5231464990591</c:v>
                </c:pt>
                <c:pt idx="194">
                  <c:v>200.75051517780392</c:v>
                </c:pt>
                <c:pt idx="195">
                  <c:v>205.78901663386455</c:v>
                </c:pt>
                <c:pt idx="196">
                  <c:v>210.66595689108775</c:v>
                </c:pt>
                <c:pt idx="197">
                  <c:v>215.40361368371703</c:v>
                </c:pt>
                <c:pt idx="198">
                  <c:v>220.0205357561405</c:v>
                </c:pt>
                <c:pt idx="199">
                  <c:v>224.53244366472666</c:v>
                </c:pt>
                <c:pt idx="200">
                  <c:v>228.95287161207094</c:v>
                </c:pt>
                <c:pt idx="201">
                  <c:v>233.29363619521359</c:v>
                </c:pt>
                <c:pt idx="202">
                  <c:v>236.31690460994642</c:v>
                </c:pt>
                <c:pt idx="203">
                  <c:v>237.69433292800881</c:v>
                </c:pt>
                <c:pt idx="204">
                  <c:v>239.03460189999183</c:v>
                </c:pt>
                <c:pt idx="205">
                  <c:v>240.34268664319529</c:v>
                </c:pt>
                <c:pt idx="206">
                  <c:v>241.62290972187611</c:v>
                </c:pt>
                <c:pt idx="207">
                  <c:v>242.87906550862968</c:v>
                </c:pt>
                <c:pt idx="208">
                  <c:v>244.11451831747911</c:v>
                </c:pt>
                <c:pt idx="209">
                  <c:v>245.33228007732512</c:v>
                </c:pt>
                <c:pt idx="210">
                  <c:v>246.53507327666335</c:v>
                </c:pt>
                <c:pt idx="211">
                  <c:v>247.72538188917434</c:v>
                </c:pt>
                <c:pt idx="212">
                  <c:v>248.90549335934386</c:v>
                </c:pt>
                <c:pt idx="213">
                  <c:v>250.07753352682641</c:v>
                </c:pt>
                <c:pt idx="214">
                  <c:v>251.24349607707927</c:v>
                </c:pt>
                <c:pt idx="215">
                  <c:v>252.40526759775872</c:v>
                </c:pt>
                <c:pt idx="216">
                  <c:v>253.56464917375087</c:v>
                </c:pt>
                <c:pt idx="217">
                  <c:v>254.72337527330356</c:v>
                </c:pt>
                <c:pt idx="218">
                  <c:v>255.88313068804226</c:v>
                </c:pt>
                <c:pt idx="219">
                  <c:v>257.04556561508593</c:v>
                </c:pt>
                <c:pt idx="220">
                  <c:v>258.21230963725543</c:v>
                </c:pt>
                <c:pt idx="221">
                  <c:v>259.38498479677389</c:v>
                </c:pt>
                <c:pt idx="222">
                  <c:v>260.56521791151306</c:v>
                </c:pt>
                <c:pt idx="223">
                  <c:v>261.75465286080282</c:v>
                </c:pt>
                <c:pt idx="224">
                  <c:v>262.9549622327159</c:v>
                </c:pt>
                <c:pt idx="225">
                  <c:v>264.16785952359544</c:v>
                </c:pt>
                <c:pt idx="226">
                  <c:v>265.39511143833693</c:v>
                </c:pt>
                <c:pt idx="227">
                  <c:v>266.63855068084047</c:v>
                </c:pt>
                <c:pt idx="228">
                  <c:v>267.90008960316527</c:v>
                </c:pt>
                <c:pt idx="229">
                  <c:v>269.18173477300047</c:v>
                </c:pt>
                <c:pt idx="230">
                  <c:v>270.48560276113369</c:v>
                </c:pt>
                <c:pt idx="231">
                  <c:v>271.81393750723237</c:v>
                </c:pt>
                <c:pt idx="232">
                  <c:v>273.16912959107276</c:v>
                </c:pt>
                <c:pt idx="233">
                  <c:v>274.55373775215031</c:v>
                </c:pt>
                <c:pt idx="234">
                  <c:v>275.97051310226698</c:v>
                </c:pt>
                <c:pt idx="235">
                  <c:v>277.42242662332819</c:v>
                </c:pt>
                <c:pt idx="236">
                  <c:v>278.10875805128535</c:v>
                </c:pt>
                <c:pt idx="237">
                  <c:v>278.55137475650179</c:v>
                </c:pt>
                <c:pt idx="238">
                  <c:v>278.99469812380499</c:v>
                </c:pt>
                <c:pt idx="239">
                  <c:v>279.43947935358489</c:v>
                </c:pt>
                <c:pt idx="240">
                  <c:v>279.88650036273395</c:v>
                </c:pt>
                <c:pt idx="241">
                  <c:v>280.33658188832396</c:v>
                </c:pt>
                <c:pt idx="242">
                  <c:v>280.79059296369365</c:v>
                </c:pt>
                <c:pt idx="243">
                  <c:v>281.24946200136833</c:v>
                </c:pt>
                <c:pt idx="244">
                  <c:v>281.71418922643517</c:v>
                </c:pt>
                <c:pt idx="245">
                  <c:v>282.18257837130909</c:v>
                </c:pt>
                <c:pt idx="246">
                  <c:v>282.62867342446634</c:v>
                </c:pt>
                <c:pt idx="247">
                  <c:v>283.04778014854043</c:v>
                </c:pt>
                <c:pt idx="248">
                  <c:v>283.44117788438678</c:v>
                </c:pt>
                <c:pt idx="249">
                  <c:v>283.81003951107186</c:v>
                </c:pt>
                <c:pt idx="250">
                  <c:v>284.15543972856904</c:v>
                </c:pt>
                <c:pt idx="251">
                  <c:v>284.47836208170946</c:v>
                </c:pt>
                <c:pt idx="252">
                  <c:v>284.77970558095399</c:v>
                </c:pt>
                <c:pt idx="253">
                  <c:v>285.0602903808782</c:v>
                </c:pt>
                <c:pt idx="254">
                  <c:v>285.32086280029927</c:v>
                </c:pt>
                <c:pt idx="255">
                  <c:v>285.56209994432538</c:v>
                </c:pt>
                <c:pt idx="256">
                  <c:v>285.78461364613418</c:v>
                </c:pt>
                <c:pt idx="257">
                  <c:v>285.98895401145461</c:v>
                </c:pt>
                <c:pt idx="258">
                  <c:v>286.1756122630452</c:v>
                </c:pt>
                <c:pt idx="259">
                  <c:v>286.34502361119968</c:v>
                </c:pt>
                <c:pt idx="260">
                  <c:v>286.49756920858766</c:v>
                </c:pt>
                <c:pt idx="261">
                  <c:v>286.63357826453165</c:v>
                </c:pt>
                <c:pt idx="262">
                  <c:v>286.75332926452086</c:v>
                </c:pt>
                <c:pt idx="263">
                  <c:v>286.85705115309884</c:v>
                </c:pt>
                <c:pt idx="264">
                  <c:v>286.94492410543995</c:v>
                </c:pt>
                <c:pt idx="265">
                  <c:v>287.01708001692958</c:v>
                </c:pt>
                <c:pt idx="266">
                  <c:v>287.07360236627187</c:v>
                </c:pt>
                <c:pt idx="267">
                  <c:v>287.11452615919967</c:v>
                </c:pt>
                <c:pt idx="268">
                  <c:v>287.13983712661428</c:v>
                </c:pt>
                <c:pt idx="269">
                  <c:v>287.14947077529359</c:v>
                </c:pt>
                <c:pt idx="270">
                  <c:v>287.14331086968957</c:v>
                </c:pt>
                <c:pt idx="271">
                  <c:v>287.11893020052162</c:v>
                </c:pt>
                <c:pt idx="272">
                  <c:v>287.07966986123887</c:v>
                </c:pt>
                <c:pt idx="273">
                  <c:v>287.02565550798607</c:v>
                </c:pt>
                <c:pt idx="274">
                  <c:v>287.01333708887046</c:v>
                </c:pt>
                <c:pt idx="275">
                  <c:v>286.93448770156374</c:v>
                </c:pt>
                <c:pt idx="276">
                  <c:v>286.84072158857492</c:v>
                </c:pt>
                <c:pt idx="277">
                  <c:v>286.73193440202868</c:v>
                </c:pt>
                <c:pt idx="278">
                  <c:v>286.60796906456335</c:v>
                </c:pt>
                <c:pt idx="279">
                  <c:v>286.46861728100157</c:v>
                </c:pt>
                <c:pt idx="280">
                  <c:v>286.31362028347917</c:v>
                </c:pt>
                <c:pt idx="281">
                  <c:v>286.14266909939363</c:v>
                </c:pt>
                <c:pt idx="282">
                  <c:v>285.9554038972376</c:v>
                </c:pt>
                <c:pt idx="283">
                  <c:v>285.75141305589193</c:v>
                </c:pt>
                <c:pt idx="284">
                  <c:v>285.53023165294962</c:v>
                </c:pt>
                <c:pt idx="285">
                  <c:v>285.29133937924428</c:v>
                </c:pt>
                <c:pt idx="286">
                  <c:v>285.03415830993663</c:v>
                </c:pt>
                <c:pt idx="287">
                  <c:v>284.75804965407059</c:v>
                </c:pt>
                <c:pt idx="288">
                  <c:v>284.46231047938591</c:v>
                </c:pt>
                <c:pt idx="289">
                  <c:v>284.1461697206488</c:v>
                </c:pt>
                <c:pt idx="290">
                  <c:v>283.80878368348698</c:v>
                </c:pt>
                <c:pt idx="291">
                  <c:v>283.44923077308715</c:v>
                </c:pt>
                <c:pt idx="292">
                  <c:v>283.06650596828518</c:v>
                </c:pt>
                <c:pt idx="293">
                  <c:v>282.65951402762187</c:v>
                </c:pt>
                <c:pt idx="294">
                  <c:v>282.2270625585104</c:v>
                </c:pt>
                <c:pt idx="295">
                  <c:v>281.76785355734017</c:v>
                </c:pt>
                <c:pt idx="296">
                  <c:v>281.28047450737824</c:v>
                </c:pt>
                <c:pt idx="297">
                  <c:v>280.76338792715279</c:v>
                </c:pt>
                <c:pt idx="298">
                  <c:v>280.21492031918945</c:v>
                </c:pt>
                <c:pt idx="299">
                  <c:v>279.63324887691772</c:v>
                </c:pt>
                <c:pt idx="300">
                  <c:v>279.01638749313861</c:v>
                </c:pt>
                <c:pt idx="301">
                  <c:v>278.36570092170484</c:v>
                </c:pt>
                <c:pt idx="302">
                  <c:v>277.7037616009186</c:v>
                </c:pt>
                <c:pt idx="303">
                  <c:v>277.03410775073883</c:v>
                </c:pt>
                <c:pt idx="304">
                  <c:v>276.35566486027056</c:v>
                </c:pt>
                <c:pt idx="305">
                  <c:v>275.66734118744841</c:v>
                </c:pt>
                <c:pt idx="306">
                  <c:v>274.96801912229898</c:v>
                </c:pt>
                <c:pt idx="307">
                  <c:v>274.25654646272301</c:v>
                </c:pt>
                <c:pt idx="308">
                  <c:v>273.53172739751949</c:v>
                </c:pt>
                <c:pt idx="309">
                  <c:v>272.79231380385369</c:v>
                </c:pt>
                <c:pt idx="310">
                  <c:v>272.03699533379103</c:v>
                </c:pt>
                <c:pt idx="311">
                  <c:v>271.26438979470811</c:v>
                </c:pt>
                <c:pt idx="312">
                  <c:v>270.47303202924707</c:v>
                </c:pt>
                <c:pt idx="313">
                  <c:v>269.66136220981241</c:v>
                </c:pt>
                <c:pt idx="314">
                  <c:v>268.8277129781988</c:v>
                </c:pt>
                <c:pt idx="315">
                  <c:v>267.97029521365948</c:v>
                </c:pt>
                <c:pt idx="316">
                  <c:v>267.08718198619431</c:v>
                </c:pt>
                <c:pt idx="317">
                  <c:v>266.1762906508153</c:v>
                </c:pt>
                <c:pt idx="318">
                  <c:v>265.23536287086392</c:v>
                </c:pt>
                <c:pt idx="319">
                  <c:v>264.26194133963179</c:v>
                </c:pt>
                <c:pt idx="320">
                  <c:v>262.0389401352478</c:v>
                </c:pt>
                <c:pt idx="321">
                  <c:v>257.52483564193784</c:v>
                </c:pt>
                <c:pt idx="322">
                  <c:v>250.92449101363655</c:v>
                </c:pt>
                <c:pt idx="323">
                  <c:v>242.38141875179195</c:v>
                </c:pt>
                <c:pt idx="324">
                  <c:v>231.99173966245331</c:v>
                </c:pt>
                <c:pt idx="325">
                  <c:v>219.81291961565188</c:v>
                </c:pt>
                <c:pt idx="326">
                  <c:v>205.86909398012807</c:v>
                </c:pt>
                <c:pt idx="327">
                  <c:v>190.15398063662045</c:v>
                </c:pt>
                <c:pt idx="328">
                  <c:v>172.63192126291614</c:v>
                </c:pt>
                <c:pt idx="329">
                  <c:v>153.2373016907132</c:v>
                </c:pt>
                <c:pt idx="330">
                  <c:v>131.87239713742395</c:v>
                </c:pt>
                <c:pt idx="331">
                  <c:v>108.40351395334319</c:v>
                </c:pt>
                <c:pt idx="332">
                  <c:v>82.655124538981568</c:v>
                </c:pt>
                <c:pt idx="333">
                  <c:v>54.401486383048763</c:v>
                </c:pt>
                <c:pt idx="334">
                  <c:v>31.249849432616532</c:v>
                </c:pt>
                <c:pt idx="335">
                  <c:v>7.4293602330357267</c:v>
                </c:pt>
                <c:pt idx="336">
                  <c:v>-16.919860139825502</c:v>
                </c:pt>
                <c:pt idx="337">
                  <c:v>-40.694729028555628</c:v>
                </c:pt>
                <c:pt idx="338">
                  <c:v>-63.829121713323559</c:v>
                </c:pt>
                <c:pt idx="339">
                  <c:v>-86.269553108012829</c:v>
                </c:pt>
                <c:pt idx="340">
                  <c:v>-107.93135820652137</c:v>
                </c:pt>
                <c:pt idx="341">
                  <c:v>-128.68260923494853</c:v>
                </c:pt>
                <c:pt idx="342">
                  <c:v>-148.31632846211505</c:v>
                </c:pt>
                <c:pt idx="343">
                  <c:v>-166.49956187406445</c:v>
                </c:pt>
                <c:pt idx="344">
                  <c:v>-182.67255946511648</c:v>
                </c:pt>
                <c:pt idx="345">
                  <c:v>-195.82703234311114</c:v>
                </c:pt>
                <c:pt idx="346">
                  <c:v>-203.93752628467962</c:v>
                </c:pt>
                <c:pt idx="347">
                  <c:v>-205.40315002733578</c:v>
                </c:pt>
                <c:pt idx="348">
                  <c:v>-206.24365381934513</c:v>
                </c:pt>
                <c:pt idx="349">
                  <c:v>-207.07794381057778</c:v>
                </c:pt>
                <c:pt idx="350">
                  <c:v>-207.90659158548056</c:v>
                </c:pt>
                <c:pt idx="351">
                  <c:v>-208.73015418910293</c:v>
                </c:pt>
                <c:pt idx="352">
                  <c:v>-209.54917568715933</c:v>
                </c:pt>
                <c:pt idx="353">
                  <c:v>-210.36418865455576</c:v>
                </c:pt>
                <c:pt idx="354">
                  <c:v>-211.17571560130455</c:v>
                </c:pt>
                <c:pt idx="355">
                  <c:v>-211.98427034415911</c:v>
                </c:pt>
                <c:pt idx="356">
                  <c:v>-212.79035933179196</c:v>
                </c:pt>
                <c:pt idx="357">
                  <c:v>-213.59448293090753</c:v>
                </c:pt>
                <c:pt idx="358">
                  <c:v>-214.3971366803278</c:v>
                </c:pt>
                <c:pt idx="359">
                  <c:v>-215.19881251979382</c:v>
                </c:pt>
                <c:pt idx="360">
                  <c:v>-215.99999999999901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-277.33133873222749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1.7397996600720945E-6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-2.5932854992005581</c:v>
                </c:pt>
                <c:pt idx="1">
                  <c:v>-2.5916283754026734</c:v>
                </c:pt>
                <c:pt idx="2">
                  <c:v>-2.5899558718965361</c:v>
                </c:pt>
                <c:pt idx="3">
                  <c:v>-2.5882668346978992</c:v>
                </c:pt>
                <c:pt idx="4">
                  <c:v>-2.5865600669870688</c:v>
                </c:pt>
                <c:pt idx="5">
                  <c:v>-2.5848343255585231</c:v>
                </c:pt>
                <c:pt idx="6">
                  <c:v>-2.5830883170064345</c:v>
                </c:pt>
                <c:pt idx="7">
                  <c:v>-2.581320693545945</c:v>
                </c:pt>
                <c:pt idx="8">
                  <c:v>-2.5795300485993033</c:v>
                </c:pt>
                <c:pt idx="9">
                  <c:v>-2.5777149120305056</c:v>
                </c:pt>
                <c:pt idx="10">
                  <c:v>-2.575873744934615</c:v>
                </c:pt>
                <c:pt idx="11">
                  <c:v>-2.5740049340435052</c:v>
                </c:pt>
                <c:pt idx="12">
                  <c:v>-2.5721067856519446</c:v>
                </c:pt>
                <c:pt idx="13">
                  <c:v>-2.57017751899332</c:v>
                </c:pt>
                <c:pt idx="14">
                  <c:v>-2.5682152591137304</c:v>
                </c:pt>
                <c:pt idx="15">
                  <c:v>-2.5662180290003276</c:v>
                </c:pt>
                <c:pt idx="16">
                  <c:v>-2.5641837410815409</c:v>
                </c:pt>
                <c:pt idx="17">
                  <c:v>-2.5621101879099983</c:v>
                </c:pt>
                <c:pt idx="18">
                  <c:v>-2.5599950319317992</c:v>
                </c:pt>
                <c:pt idx="19">
                  <c:v>-2.5578357943204013</c:v>
                </c:pt>
                <c:pt idx="20">
                  <c:v>-2.5556298426910096</c:v>
                </c:pt>
                <c:pt idx="21">
                  <c:v>-2.5533743775824362</c:v>
                </c:pt>
                <c:pt idx="22">
                  <c:v>-2.5510664175619659</c:v>
                </c:pt>
                <c:pt idx="23">
                  <c:v>-2.5487027827992073</c:v>
                </c:pt>
                <c:pt idx="24">
                  <c:v>-2.5462800768827059</c:v>
                </c:pt>
                <c:pt idx="25">
                  <c:v>-2.5437946667127691</c:v>
                </c:pt>
                <c:pt idx="26">
                  <c:v>-2.5412426601252669</c:v>
                </c:pt>
                <c:pt idx="27">
                  <c:v>-2.5386198810293434</c:v>
                </c:pt>
                <c:pt idx="28">
                  <c:v>-2.535921841818598</c:v>
                </c:pt>
                <c:pt idx="29">
                  <c:v>-2.5331437123462277</c:v>
                </c:pt>
                <c:pt idx="30">
                  <c:v>-2.5302802854891926</c:v>
                </c:pt>
                <c:pt idx="31">
                  <c:v>-2.5273259382941404</c:v>
                </c:pt>
                <c:pt idx="32">
                  <c:v>-2.5242745885389666</c:v>
                </c:pt>
                <c:pt idx="33">
                  <c:v>-2.5211196456485299</c:v>
                </c:pt>
                <c:pt idx="34">
                  <c:v>-2.5178539554305885</c:v>
                </c:pt>
                <c:pt idx="35">
                  <c:v>-2.5144697374195104</c:v>
                </c:pt>
                <c:pt idx="36">
                  <c:v>-2.5109585140136859</c:v>
                </c:pt>
                <c:pt idx="37">
                  <c:v>-2.5073110296243133</c:v>
                </c:pt>
                <c:pt idx="38">
                  <c:v>-2.5035171587184069</c:v>
                </c:pt>
                <c:pt idx="39">
                  <c:v>-2.4996497845114103</c:v>
                </c:pt>
                <c:pt idx="40">
                  <c:v>-2.4958254783451559</c:v>
                </c:pt>
                <c:pt idx="41">
                  <c:v>-2.492038285274158</c:v>
                </c:pt>
                <c:pt idx="42">
                  <c:v>-2.4882813323597937</c:v>
                </c:pt>
                <c:pt idx="43">
                  <c:v>-2.4845479795050824</c:v>
                </c:pt>
                <c:pt idx="44">
                  <c:v>-2.4808317625955727</c:v>
                </c:pt>
                <c:pt idx="45">
                  <c:v>-2.4771263397236587</c:v>
                </c:pt>
                <c:pt idx="46">
                  <c:v>-2.4734254395963609</c:v>
                </c:pt>
                <c:pt idx="47">
                  <c:v>-2.4697228110373972</c:v>
                </c:pt>
                <c:pt idx="48">
                  <c:v>-2.4660121727494979</c:v>
                </c:pt>
                <c:pt idx="49">
                  <c:v>-2.4622871623153721</c:v>
                </c:pt>
                <c:pt idx="50">
                  <c:v>-2.4585412835114706</c:v>
                </c:pt>
                <c:pt idx="51">
                  <c:v>-2.4547678510058475</c:v>
                </c:pt>
                <c:pt idx="52">
                  <c:v>-2.450959931045094</c:v>
                </c:pt>
                <c:pt idx="53">
                  <c:v>-2.4471102773549096</c:v>
                </c:pt>
                <c:pt idx="54">
                  <c:v>-2.4414424089606772</c:v>
                </c:pt>
                <c:pt idx="55">
                  <c:v>-2.4346767293105551</c:v>
                </c:pt>
                <c:pt idx="56">
                  <c:v>-2.4279023751460747</c:v>
                </c:pt>
                <c:pt idx="57">
                  <c:v>-2.4211090822880008</c:v>
                </c:pt>
                <c:pt idx="58">
                  <c:v>-2.4142862172679331</c:v>
                </c:pt>
                <c:pt idx="59">
                  <c:v>-2.4074226705995319</c:v>
                </c:pt>
                <c:pt idx="60">
                  <c:v>-2.4005067357063967</c:v>
                </c:pt>
                <c:pt idx="61">
                  <c:v>-2.3935259695692674</c:v>
                </c:pt>
                <c:pt idx="62">
                  <c:v>-2.3864670301407385</c:v>
                </c:pt>
                <c:pt idx="63">
                  <c:v>-2.3793154841968294</c:v>
                </c:pt>
                <c:pt idx="64">
                  <c:v>-2.3720555774643159</c:v>
                </c:pt>
                <c:pt idx="65">
                  <c:v>-2.3646699562990383</c:v>
                </c:pt>
                <c:pt idx="66">
                  <c:v>-2.357139326773797</c:v>
                </c:pt>
                <c:pt idx="67">
                  <c:v>-2.3494420321173206</c:v>
                </c:pt>
                <c:pt idx="68">
                  <c:v>-2.3415535226608633</c:v>
                </c:pt>
                <c:pt idx="69">
                  <c:v>-2.3334456825974828</c:v>
                </c:pt>
                <c:pt idx="70">
                  <c:v>-2.3250859636938821</c:v>
                </c:pt>
                <c:pt idx="71">
                  <c:v>-2.3164362549218671</c:v>
                </c:pt>
                <c:pt idx="72">
                  <c:v>-2.3074513853518539</c:v>
                </c:pt>
                <c:pt idx="73">
                  <c:v>-2.2980771087478029</c:v>
                </c:pt>
                <c:pt idx="74">
                  <c:v>-2.2882473416670903</c:v>
                </c:pt>
                <c:pt idx="75">
                  <c:v>-2.2778803031986934</c:v>
                </c:pt>
                <c:pt idx="76">
                  <c:v>-2.2668729993868046</c:v>
                </c:pt>
                <c:pt idx="77">
                  <c:v>-2.2550931451489871</c:v>
                </c:pt>
                <c:pt idx="78">
                  <c:v>-2.2423669956881569</c:v>
                </c:pt>
                <c:pt idx="79">
                  <c:v>-2.2284604151219547</c:v>
                </c:pt>
                <c:pt idx="80">
                  <c:v>-2.2130483012637674</c:v>
                </c:pt>
                <c:pt idx="81">
                  <c:v>-2.1961257722161451</c:v>
                </c:pt>
                <c:pt idx="82">
                  <c:v>-2.1789780439618172</c:v>
                </c:pt>
                <c:pt idx="83">
                  <c:v>-2.1617015235897759</c:v>
                </c:pt>
                <c:pt idx="84">
                  <c:v>-2.1442613411105724</c:v>
                </c:pt>
                <c:pt idx="85">
                  <c:v>-2.1266180228561584</c:v>
                </c:pt>
                <c:pt idx="86">
                  <c:v>-2.1087261058657192</c:v>
                </c:pt>
                <c:pt idx="87">
                  <c:v>-2.0905322159517992</c:v>
                </c:pt>
                <c:pt idx="88">
                  <c:v>-2.0719723310893827</c:v>
                </c:pt>
                <c:pt idx="89">
                  <c:v>-2.0529677689348151</c:v>
                </c:pt>
                <c:pt idx="90">
                  <c:v>-2.0334190977750444</c:v>
                </c:pt>
                <c:pt idx="91">
                  <c:v>-2.0039616760856385</c:v>
                </c:pt>
                <c:pt idx="92">
                  <c:v>-1.9748982685802694</c:v>
                </c:pt>
                <c:pt idx="93">
                  <c:v>-1.9461917102243043</c:v>
                </c:pt>
                <c:pt idx="94">
                  <c:v>-1.9177963559080233</c:v>
                </c:pt>
                <c:pt idx="95">
                  <c:v>-1.8896607238867527</c:v>
                </c:pt>
                <c:pt idx="96">
                  <c:v>-1.8617296568870862</c:v>
                </c:pt>
                <c:pt idx="97">
                  <c:v>-1.8339459803927176</c:v>
                </c:pt>
                <c:pt idx="98">
                  <c:v>-1.8146258300802991</c:v>
                </c:pt>
                <c:pt idx="99">
                  <c:v>-1.7910791263168799</c:v>
                </c:pt>
                <c:pt idx="100">
                  <c:v>-1.7715784442568348</c:v>
                </c:pt>
                <c:pt idx="101">
                  <c:v>-1.7551248877898709</c:v>
                </c:pt>
                <c:pt idx="102">
                  <c:v>-1.7410249923710188</c:v>
                </c:pt>
                <c:pt idx="103">
                  <c:v>-1.7287821311883829</c:v>
                </c:pt>
                <c:pt idx="104">
                  <c:v>-1.7180311482258661</c:v>
                </c:pt>
                <c:pt idx="105">
                  <c:v>-1.7084974195233376</c:v>
                </c:pt>
                <c:pt idx="106">
                  <c:v>-1.699970325014615</c:v>
                </c:pt>
                <c:pt idx="107">
                  <c:v>-1.6922855429455679</c:v>
                </c:pt>
                <c:pt idx="108">
                  <c:v>-1.6853129226342265</c:v>
                </c:pt>
                <c:pt idx="109">
                  <c:v>-1.6789479868672834</c:v>
                </c:pt>
                <c:pt idx="110">
                  <c:v>-1.6731058555468443</c:v>
                </c:pt>
                <c:pt idx="111">
                  <c:v>-1.6677168212903524</c:v>
                </c:pt>
                <c:pt idx="112">
                  <c:v>-1.6627230751275706</c:v>
                </c:pt>
                <c:pt idx="113">
                  <c:v>-1.6580762471709916</c:v>
                </c:pt>
                <c:pt idx="114">
                  <c:v>-1.6537355350743064</c:v>
                </c:pt>
                <c:pt idx="115">
                  <c:v>-1.649666261672649</c:v>
                </c:pt>
                <c:pt idx="116">
                  <c:v>-1.6458387513968473</c:v>
                </c:pt>
                <c:pt idx="117">
                  <c:v>-1.6422274456582147</c:v>
                </c:pt>
                <c:pt idx="118">
                  <c:v>-1.6388102000746689</c:v>
                </c:pt>
                <c:pt idx="119">
                  <c:v>-1.635567720862241</c:v>
                </c:pt>
                <c:pt idx="120">
                  <c:v>-1.6324831092820258</c:v>
                </c:pt>
                <c:pt idx="121">
                  <c:v>-1.6295414908082333</c:v>
                </c:pt>
                <c:pt idx="122">
                  <c:v>-1.6267297105018823</c:v>
                </c:pt>
                <c:pt idx="123">
                  <c:v>-1.6240360819801856</c:v>
                </c:pt>
                <c:pt idx="124">
                  <c:v>-1.6214501781641615</c:v>
                </c:pt>
                <c:pt idx="125">
                  <c:v>-1.618778550234516</c:v>
                </c:pt>
                <c:pt idx="126">
                  <c:v>-1.6156401173241444</c:v>
                </c:pt>
                <c:pt idx="127">
                  <c:v>-1.6126436101379886</c:v>
                </c:pt>
                <c:pt idx="128">
                  <c:v>-1.6097778170452155</c:v>
                </c:pt>
                <c:pt idx="129">
                  <c:v>-1.6070326115148477</c:v>
                </c:pt>
                <c:pt idx="130">
                  <c:v>-1.6043988193284735</c:v>
                </c:pt>
                <c:pt idx="131">
                  <c:v>-1.6018681043145433</c:v>
                </c:pt>
                <c:pt idx="132">
                  <c:v>-1.5994328696352538</c:v>
                </c:pt>
                <c:pt idx="133">
                  <c:v>-1.5970861717133729</c:v>
                </c:pt>
                <c:pt idx="134">
                  <c:v>-1.5948216455390949</c:v>
                </c:pt>
                <c:pt idx="135">
                  <c:v>-1.5926334387412246</c:v>
                </c:pt>
                <c:pt idx="136">
                  <c:v>-1.5905161542103257</c:v>
                </c:pt>
                <c:pt idx="137">
                  <c:v>-1.5884647982357738</c:v>
                </c:pt>
                <c:pt idx="138">
                  <c:v>-1.5864747355952025</c:v>
                </c:pt>
                <c:pt idx="139">
                  <c:v>-1.5845416481245369</c:v>
                </c:pt>
                <c:pt idx="140">
                  <c:v>-1.5826614980435272</c:v>
                </c:pt>
                <c:pt idx="141">
                  <c:v>-1.5808304942306053</c:v>
                </c:pt>
                <c:pt idx="142">
                  <c:v>-1.5790450613970488</c:v>
                </c:pt>
                <c:pt idx="143">
                  <c:v>-1.5773018110847294</c:v>
                </c:pt>
                <c:pt idx="144">
                  <c:v>-1.5755975147299011</c:v>
                </c:pt>
                <c:pt idx="145">
                  <c:v>-1.5739290774302308</c:v>
                </c:pt>
                <c:pt idx="146">
                  <c:v>-1.5722935126876145</c:v>
                </c:pt>
                <c:pt idx="147">
                  <c:v>-1.5706879168840211</c:v>
                </c:pt>
                <c:pt idx="148">
                  <c:v>-1.569109443959873</c:v>
                </c:pt>
                <c:pt idx="149">
                  <c:v>-1.5675552781782565</c:v>
                </c:pt>
                <c:pt idx="150">
                  <c:v>-1.5660226059755094</c:v>
                </c:pt>
                <c:pt idx="151">
                  <c:v>-1.5645085846361326</c:v>
                </c:pt>
                <c:pt idx="152">
                  <c:v>-1.5630103073519614</c:v>
                </c:pt>
                <c:pt idx="153">
                  <c:v>-1.5615247635909502</c:v>
                </c:pt>
                <c:pt idx="154">
                  <c:v>-1.5600487926626729</c:v>
                </c:pt>
                <c:pt idx="155">
                  <c:v>-1.5585790282838468</c:v>
                </c:pt>
                <c:pt idx="156">
                  <c:v>-1.5571118317543997</c:v>
                </c:pt>
                <c:pt idx="157">
                  <c:v>-1.5556432094344272</c:v>
                </c:pt>
                <c:pt idx="158">
                  <c:v>-1.5541687096204064</c:v>
                </c:pt>
                <c:pt idx="159">
                  <c:v>-1.5526832910058872</c:v>
                </c:pt>
                <c:pt idx="160">
                  <c:v>-1.5511811531253805</c:v>
                </c:pt>
                <c:pt idx="161">
                  <c:v>-1.5496555140156865</c:v>
                </c:pt>
                <c:pt idx="162">
                  <c:v>-1.5480983137983155</c:v>
                </c:pt>
                <c:pt idx="163">
                  <c:v>-1.5464998121049018</c:v>
                </c:pt>
                <c:pt idx="164">
                  <c:v>-1.5448480320633184</c:v>
                </c:pt>
                <c:pt idx="165">
                  <c:v>-1.5431279758312866</c:v>
                </c:pt>
                <c:pt idx="166">
                  <c:v>-1.5413204916300882</c:v>
                </c:pt>
                <c:pt idx="167">
                  <c:v>-1.5394005940438378</c:v>
                </c:pt>
                <c:pt idx="168">
                  <c:v>-1.5372854154541697</c:v>
                </c:pt>
                <c:pt idx="169">
                  <c:v>-1.5348367836839254</c:v>
                </c:pt>
                <c:pt idx="170">
                  <c:v>-1.5321357140279621</c:v>
                </c:pt>
                <c:pt idx="171">
                  <c:v>-1.5290827266539144</c:v>
                </c:pt>
                <c:pt idx="172">
                  <c:v>-1.5255239225517951</c:v>
                </c:pt>
                <c:pt idx="173">
                  <c:v>-1.5212068785239161</c:v>
                </c:pt>
                <c:pt idx="174">
                  <c:v>-1.5172812597257173</c:v>
                </c:pt>
                <c:pt idx="175">
                  <c:v>-1.5100187210838623</c:v>
                </c:pt>
                <c:pt idx="176">
                  <c:v>-1.4988450367756998</c:v>
                </c:pt>
                <c:pt idx="177">
                  <c:v>-1.477926093802822</c:v>
                </c:pt>
                <c:pt idx="178">
                  <c:v>-1.4262518209692729</c:v>
                </c:pt>
                <c:pt idx="179">
                  <c:v>-1.2835858087618925</c:v>
                </c:pt>
                <c:pt idx="180">
                  <c:v>-4.3593295749255486E-10</c:v>
                </c:pt>
                <c:pt idx="181">
                  <c:v>1.2835858085710625</c:v>
                </c:pt>
                <c:pt idx="182">
                  <c:v>1.4262518210878818</c:v>
                </c:pt>
                <c:pt idx="183">
                  <c:v>1.4779260938115035</c:v>
                </c:pt>
                <c:pt idx="184">
                  <c:v>1.4988450368240724</c:v>
                </c:pt>
                <c:pt idx="185">
                  <c:v>1.5100187209637186</c:v>
                </c:pt>
                <c:pt idx="186">
                  <c:v>1.5172812597061702</c:v>
                </c:pt>
                <c:pt idx="187">
                  <c:v>1.521206878541143</c:v>
                </c:pt>
                <c:pt idx="188">
                  <c:v>1.5255239225562081</c:v>
                </c:pt>
                <c:pt idx="189">
                  <c:v>1.5290827266497267</c:v>
                </c:pt>
                <c:pt idx="190">
                  <c:v>1.532135714003318</c:v>
                </c:pt>
                <c:pt idx="191">
                  <c:v>1.5348367836930044</c:v>
                </c:pt>
                <c:pt idx="192">
                  <c:v>1.5372854153960751</c:v>
                </c:pt>
                <c:pt idx="193">
                  <c:v>1.5394005940172972</c:v>
                </c:pt>
                <c:pt idx="194">
                  <c:v>1.5413204916910492</c:v>
                </c:pt>
                <c:pt idx="195">
                  <c:v>1.5431279758752174</c:v>
                </c:pt>
                <c:pt idx="196">
                  <c:v>1.5448480320377698</c:v>
                </c:pt>
                <c:pt idx="197">
                  <c:v>1.5464998120552722</c:v>
                </c:pt>
                <c:pt idx="198">
                  <c:v>1.548098313816374</c:v>
                </c:pt>
                <c:pt idx="199">
                  <c:v>1.5496555140654518</c:v>
                </c:pt>
                <c:pt idx="200">
                  <c:v>1.5511811531090496</c:v>
                </c:pt>
                <c:pt idx="201">
                  <c:v>1.5526832909848358</c:v>
                </c:pt>
                <c:pt idx="202">
                  <c:v>1.5541687096343577</c:v>
                </c:pt>
                <c:pt idx="203">
                  <c:v>1.555643209466244</c:v>
                </c:pt>
                <c:pt idx="204">
                  <c:v>1.5571118317228134</c:v>
                </c:pt>
                <c:pt idx="205">
                  <c:v>1.5585790282553118</c:v>
                </c:pt>
                <c:pt idx="206">
                  <c:v>1.5600487926265445</c:v>
                </c:pt>
                <c:pt idx="207">
                  <c:v>1.5615247636082206</c:v>
                </c:pt>
                <c:pt idx="208">
                  <c:v>1.5630103073210018</c:v>
                </c:pt>
                <c:pt idx="209">
                  <c:v>1.5645085846266074</c:v>
                </c:pt>
                <c:pt idx="210">
                  <c:v>1.5660226060028259</c:v>
                </c:pt>
                <c:pt idx="211">
                  <c:v>1.5675552781723645</c:v>
                </c:pt>
                <c:pt idx="212">
                  <c:v>1.5691094439041149</c:v>
                </c:pt>
                <c:pt idx="213">
                  <c:v>1.5706879168546415</c:v>
                </c:pt>
                <c:pt idx="214">
                  <c:v>1.5722935126546054</c:v>
                </c:pt>
                <c:pt idx="215">
                  <c:v>1.5739290774485597</c:v>
                </c:pt>
                <c:pt idx="216">
                  <c:v>1.57559751472071</c:v>
                </c:pt>
                <c:pt idx="217">
                  <c:v>1.5773018110846055</c:v>
                </c:pt>
                <c:pt idx="218">
                  <c:v>1.5790450613752258</c:v>
                </c:pt>
                <c:pt idx="219">
                  <c:v>1.5808304942208813</c:v>
                </c:pt>
                <c:pt idx="220">
                  <c:v>1.5826614980297686</c:v>
                </c:pt>
                <c:pt idx="221">
                  <c:v>1.5845416481116492</c:v>
                </c:pt>
                <c:pt idx="222">
                  <c:v>1.5864747356460169</c:v>
                </c:pt>
                <c:pt idx="223">
                  <c:v>1.5884647982771518</c:v>
                </c:pt>
                <c:pt idx="224">
                  <c:v>1.5905161541905433</c:v>
                </c:pt>
                <c:pt idx="225">
                  <c:v>1.5926334387636394</c:v>
                </c:pt>
                <c:pt idx="226">
                  <c:v>1.5948216454950725</c:v>
                </c:pt>
                <c:pt idx="227">
                  <c:v>1.597086171700199</c:v>
                </c:pt>
                <c:pt idx="228">
                  <c:v>1.5994328696330431</c:v>
                </c:pt>
                <c:pt idx="229">
                  <c:v>1.6018681043310437</c:v>
                </c:pt>
                <c:pt idx="230">
                  <c:v>1.6043988193234915</c:v>
                </c:pt>
                <c:pt idx="231">
                  <c:v>1.6070326115336073</c:v>
                </c:pt>
                <c:pt idx="232">
                  <c:v>1.6097778170905384</c:v>
                </c:pt>
                <c:pt idx="233">
                  <c:v>1.6126436101634301</c:v>
                </c:pt>
                <c:pt idx="234">
                  <c:v>1.6156401173029615</c:v>
                </c:pt>
                <c:pt idx="235">
                  <c:v>1.618778550216849</c:v>
                </c:pt>
                <c:pt idx="236">
                  <c:v>1.6214501781433333</c:v>
                </c:pt>
                <c:pt idx="237">
                  <c:v>1.6240360819826833</c:v>
                </c:pt>
                <c:pt idx="238">
                  <c:v>1.6267297105053533</c:v>
                </c:pt>
                <c:pt idx="239">
                  <c:v>1.6295414908160495</c:v>
                </c:pt>
                <c:pt idx="240">
                  <c:v>1.6324831093117809</c:v>
                </c:pt>
                <c:pt idx="241">
                  <c:v>1.6355677208525699</c:v>
                </c:pt>
                <c:pt idx="242">
                  <c:v>1.6388102000962248</c:v>
                </c:pt>
                <c:pt idx="243">
                  <c:v>1.6422274456424693</c:v>
                </c:pt>
                <c:pt idx="244">
                  <c:v>1.6458387513811801</c:v>
                </c:pt>
                <c:pt idx="245">
                  <c:v>1.6496403973038221</c:v>
                </c:pt>
                <c:pt idx="246">
                  <c:v>1.6534359258259037</c:v>
                </c:pt>
                <c:pt idx="247">
                  <c:v>1.6571834872653242</c:v>
                </c:pt>
                <c:pt idx="248">
                  <c:v>1.6608876815024356</c:v>
                </c:pt>
                <c:pt idx="249">
                  <c:v>1.6645529010153144</c:v>
                </c:pt>
                <c:pt idx="250">
                  <c:v>1.6681833557478241</c:v>
                </c:pt>
                <c:pt idx="251">
                  <c:v>1.6717830963598148</c:v>
                </c:pt>
                <c:pt idx="252">
                  <c:v>1.6753560352528276</c:v>
                </c:pt>
                <c:pt idx="253">
                  <c:v>1.6789059663586676</c:v>
                </c:pt>
                <c:pt idx="254">
                  <c:v>1.6824365836708026</c:v>
                </c:pt>
                <c:pt idx="255">
                  <c:v>1.6859514984689676</c:v>
                </c:pt>
                <c:pt idx="256">
                  <c:v>1.6894542558267631</c:v>
                </c:pt>
                <c:pt idx="257">
                  <c:v>1.6929483502713552</c:v>
                </c:pt>
                <c:pt idx="258">
                  <c:v>1.6964372411787392</c:v>
                </c:pt>
                <c:pt idx="259">
                  <c:v>1.6999243671506121</c:v>
                </c:pt>
                <c:pt idx="260">
                  <c:v>1.7034131607443079</c:v>
                </c:pt>
                <c:pt idx="261">
                  <c:v>1.7069070623078462</c:v>
                </c:pt>
                <c:pt idx="262">
                  <c:v>1.7104095344339814</c:v>
                </c:pt>
                <c:pt idx="263">
                  <c:v>1.7139240760314964</c:v>
                </c:pt>
                <c:pt idx="264">
                  <c:v>1.7174542366161087</c:v>
                </c:pt>
                <c:pt idx="265">
                  <c:v>1.721003630751345</c:v>
                </c:pt>
                <c:pt idx="266">
                  <c:v>1.7245759532173046</c:v>
                </c:pt>
                <c:pt idx="267">
                  <c:v>1.7281749940148159</c:v>
                </c:pt>
                <c:pt idx="268">
                  <c:v>1.7318046544357006</c:v>
                </c:pt>
                <c:pt idx="269">
                  <c:v>1.7354689634405107</c:v>
                </c:pt>
                <c:pt idx="270">
                  <c:v>1.7391720950082508</c:v>
                </c:pt>
                <c:pt idx="271">
                  <c:v>1.7430641364137387</c:v>
                </c:pt>
                <c:pt idx="272">
                  <c:v>1.7469006387049699</c:v>
                </c:pt>
                <c:pt idx="273">
                  <c:v>1.7506899642587948</c:v>
                </c:pt>
                <c:pt idx="274">
                  <c:v>1.7512823881569881</c:v>
                </c:pt>
                <c:pt idx="275">
                  <c:v>1.7549821574966931</c:v>
                </c:pt>
                <c:pt idx="276">
                  <c:v>1.7586559350446636</c:v>
                </c:pt>
                <c:pt idx="277">
                  <c:v>1.7623095534372122</c:v>
                </c:pt>
                <c:pt idx="278">
                  <c:v>1.7659484847642164</c:v>
                </c:pt>
                <c:pt idx="279">
                  <c:v>1.7695779094103061</c:v>
                </c:pt>
                <c:pt idx="280">
                  <c:v>1.7732027745199528</c:v>
                </c:pt>
                <c:pt idx="281">
                  <c:v>1.7768278441001328</c:v>
                </c:pt>
                <c:pt idx="282">
                  <c:v>1.7804577433559634</c:v>
                </c:pt>
                <c:pt idx="283">
                  <c:v>1.7840969977366627</c:v>
                </c:pt>
                <c:pt idx="284">
                  <c:v>1.7877500683360597</c:v>
                </c:pt>
                <c:pt idx="285">
                  <c:v>1.7914213845813696</c:v>
                </c:pt>
                <c:pt idx="286">
                  <c:v>1.795115374279902</c:v>
                </c:pt>
                <c:pt idx="287">
                  <c:v>1.7988364930671654</c:v>
                </c:pt>
                <c:pt idx="288">
                  <c:v>1.8025892521812328</c:v>
                </c:pt>
                <c:pt idx="289">
                  <c:v>1.8063782461282381</c:v>
                </c:pt>
                <c:pt idx="290">
                  <c:v>1.8102081802945065</c:v>
                </c:pt>
                <c:pt idx="291">
                  <c:v>1.8140838993106689</c:v>
                </c:pt>
                <c:pt idx="292">
                  <c:v>1.8180104156256098</c:v>
                </c:pt>
                <c:pt idx="293">
                  <c:v>1.8219929402952859</c:v>
                </c:pt>
                <c:pt idx="294">
                  <c:v>1.8260369143886588</c:v>
                </c:pt>
                <c:pt idx="295">
                  <c:v>1.8301480436668101</c:v>
                </c:pt>
                <c:pt idx="296">
                  <c:v>1.8343323350069087</c:v>
                </c:pt>
                <c:pt idx="297">
                  <c:v>1.8385961367984471</c:v>
                </c:pt>
                <c:pt idx="298">
                  <c:v>1.8429461820266728</c:v>
                </c:pt>
                <c:pt idx="299">
                  <c:v>1.8473896373075425</c:v>
                </c:pt>
                <c:pt idx="300">
                  <c:v>1.8519341556196818</c:v>
                </c:pt>
                <c:pt idx="301">
                  <c:v>1.8565669865221313</c:v>
                </c:pt>
                <c:pt idx="302">
                  <c:v>1.8611532003659825</c:v>
                </c:pt>
                <c:pt idx="303">
                  <c:v>1.8656770272704797</c:v>
                </c:pt>
                <c:pt idx="304">
                  <c:v>1.8701496825611286</c:v>
                </c:pt>
                <c:pt idx="305">
                  <c:v>1.8745816303419585</c:v>
                </c:pt>
                <c:pt idx="306">
                  <c:v>1.8789827235519072</c:v>
                </c:pt>
                <c:pt idx="307">
                  <c:v>1.8833623264890749</c:v>
                </c:pt>
                <c:pt idx="308">
                  <c:v>1.8877294236957978</c:v>
                </c:pt>
                <c:pt idx="309">
                  <c:v>1.8920927169088995</c:v>
                </c:pt>
                <c:pt idx="310">
                  <c:v>1.8964607152356812</c:v>
                </c:pt>
                <c:pt idx="311">
                  <c:v>1.9008418176837307</c:v>
                </c:pt>
                <c:pt idx="312">
                  <c:v>1.9052443930393432</c:v>
                </c:pt>
                <c:pt idx="313">
                  <c:v>1.9096768568046327</c:v>
                </c:pt>
                <c:pt idx="314">
                  <c:v>1.9141477475182314</c:v>
                </c:pt>
                <c:pt idx="315">
                  <c:v>1.918665804022945</c:v>
                </c:pt>
                <c:pt idx="316">
                  <c:v>1.9232400456226257</c:v>
                </c:pt>
                <c:pt idx="317">
                  <c:v>1.9278798562834742</c:v>
                </c:pt>
                <c:pt idx="318">
                  <c:v>1.9325950743606319</c:v>
                </c:pt>
                <c:pt idx="319">
                  <c:v>1.9373960914026604</c:v>
                </c:pt>
                <c:pt idx="320">
                  <c:v>1.9474301277227619</c:v>
                </c:pt>
                <c:pt idx="321">
                  <c:v>1.9670497952392589</c:v>
                </c:pt>
                <c:pt idx="322">
                  <c:v>1.9955301591492922</c:v>
                </c:pt>
                <c:pt idx="323">
                  <c:v>2.0326240590092306</c:v>
                </c:pt>
                <c:pt idx="324">
                  <c:v>2.0784367551977114</c:v>
                </c:pt>
                <c:pt idx="325">
                  <c:v>2.1333339337616302</c:v>
                </c:pt>
                <c:pt idx="326">
                  <c:v>2.1978536289492845</c:v>
                </c:pt>
                <c:pt idx="327">
                  <c:v>2.2725962295857034</c:v>
                </c:pt>
                <c:pt idx="328">
                  <c:v>2.3580686545375857</c:v>
                </c:pt>
                <c:pt idx="329">
                  <c:v>2.4544665222726008</c:v>
                </c:pt>
                <c:pt idx="330">
                  <c:v>2.5614017964735445</c:v>
                </c:pt>
                <c:pt idx="331">
                  <c:v>2.6776302444012847</c:v>
                </c:pt>
                <c:pt idx="332">
                  <c:v>2.8008914733142856</c:v>
                </c:pt>
                <c:pt idx="333">
                  <c:v>2.9279974943503309</c:v>
                </c:pt>
                <c:pt idx="334">
                  <c:v>3.0231169729054095</c:v>
                </c:pt>
                <c:pt idx="335">
                  <c:v>3.1144740513070843</c:v>
                </c:pt>
                <c:pt idx="336">
                  <c:v>-3.0822919535078688</c:v>
                </c:pt>
                <c:pt idx="337">
                  <c:v>-3.0046597560717636</c:v>
                </c:pt>
                <c:pt idx="338">
                  <c:v>-2.9352360134380135</c:v>
                </c:pt>
                <c:pt idx="339">
                  <c:v>-2.8732631970155031</c:v>
                </c:pt>
                <c:pt idx="340">
                  <c:v>-2.8180341023508646</c:v>
                </c:pt>
                <c:pt idx="341">
                  <c:v>-2.7689635907886072</c:v>
                </c:pt>
                <c:pt idx="342">
                  <c:v>-2.7256511830143433</c:v>
                </c:pt>
                <c:pt idx="343">
                  <c:v>-2.6879643254470347</c:v>
                </c:pt>
                <c:pt idx="344">
                  <c:v>-2.656196071262003</c:v>
                </c:pt>
                <c:pt idx="345">
                  <c:v>-2.6314314787657596</c:v>
                </c:pt>
                <c:pt idx="346">
                  <c:v>-2.6165651220496282</c:v>
                </c:pt>
                <c:pt idx="347">
                  <c:v>-2.6138938856564313</c:v>
                </c:pt>
                <c:pt idx="348">
                  <c:v>-2.6123459386405505</c:v>
                </c:pt>
                <c:pt idx="349">
                  <c:v>-2.6107949802004708</c:v>
                </c:pt>
                <c:pt idx="350">
                  <c:v>-2.6092401744142881</c:v>
                </c:pt>
                <c:pt idx="351">
                  <c:v>-2.6076806729181969</c:v>
                </c:pt>
                <c:pt idx="352">
                  <c:v>-2.6061156133056285</c:v>
                </c:pt>
                <c:pt idx="353">
                  <c:v>-2.6045441175270954</c:v>
                </c:pt>
                <c:pt idx="354">
                  <c:v>-2.6029652899850078</c:v>
                </c:pt>
                <c:pt idx="355">
                  <c:v>-2.6013782157319127</c:v>
                </c:pt>
                <c:pt idx="356">
                  <c:v>-2.5997819584101234</c:v>
                </c:pt>
                <c:pt idx="357">
                  <c:v>-2.5981755581184589</c:v>
                </c:pt>
                <c:pt idx="358">
                  <c:v>-2.5965580291962445</c:v>
                </c:pt>
                <c:pt idx="359">
                  <c:v>-2.5949283577581213</c:v>
                </c:pt>
                <c:pt idx="360">
                  <c:v>-2.5932854992005576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2.7105574466718618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3.1415926473164317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-2.5932854992005581</c:v>
                </c:pt>
                <c:pt idx="1">
                  <c:v>-2.5916283754026734</c:v>
                </c:pt>
                <c:pt idx="2">
                  <c:v>-2.5899558718965361</c:v>
                </c:pt>
                <c:pt idx="3">
                  <c:v>-2.5882668346978992</c:v>
                </c:pt>
                <c:pt idx="4">
                  <c:v>-2.5865600669870688</c:v>
                </c:pt>
                <c:pt idx="5">
                  <c:v>-2.5848343255585231</c:v>
                </c:pt>
                <c:pt idx="6">
                  <c:v>-2.5830883170064345</c:v>
                </c:pt>
                <c:pt idx="7">
                  <c:v>-2.581320693545945</c:v>
                </c:pt>
                <c:pt idx="8">
                  <c:v>-2.5795300485993033</c:v>
                </c:pt>
                <c:pt idx="9">
                  <c:v>-2.5777149120305056</c:v>
                </c:pt>
                <c:pt idx="10">
                  <c:v>-2.575873744934615</c:v>
                </c:pt>
                <c:pt idx="11">
                  <c:v>-2.5740049340435052</c:v>
                </c:pt>
                <c:pt idx="12">
                  <c:v>-2.5721067856519446</c:v>
                </c:pt>
                <c:pt idx="13">
                  <c:v>-2.57017751899332</c:v>
                </c:pt>
                <c:pt idx="14">
                  <c:v>-2.5682152591137304</c:v>
                </c:pt>
                <c:pt idx="15">
                  <c:v>-2.5662180290003276</c:v>
                </c:pt>
                <c:pt idx="16">
                  <c:v>-2.5641837410815409</c:v>
                </c:pt>
                <c:pt idx="17">
                  <c:v>-2.5621101879099983</c:v>
                </c:pt>
                <c:pt idx="18">
                  <c:v>-2.5599950319317992</c:v>
                </c:pt>
                <c:pt idx="19">
                  <c:v>-2.5578357943204013</c:v>
                </c:pt>
                <c:pt idx="20">
                  <c:v>-2.5556298426910096</c:v>
                </c:pt>
                <c:pt idx="21">
                  <c:v>-2.5533743775824362</c:v>
                </c:pt>
                <c:pt idx="22">
                  <c:v>-2.5510664175619659</c:v>
                </c:pt>
                <c:pt idx="23">
                  <c:v>-2.5487027827992073</c:v>
                </c:pt>
                <c:pt idx="24">
                  <c:v>-2.5462800768827059</c:v>
                </c:pt>
                <c:pt idx="25">
                  <c:v>-2.5437946667127691</c:v>
                </c:pt>
                <c:pt idx="26">
                  <c:v>-2.5412426601252669</c:v>
                </c:pt>
                <c:pt idx="27">
                  <c:v>-2.5386198810293434</c:v>
                </c:pt>
                <c:pt idx="28">
                  <c:v>-2.535921841818598</c:v>
                </c:pt>
                <c:pt idx="29">
                  <c:v>-2.5331437123462277</c:v>
                </c:pt>
                <c:pt idx="30">
                  <c:v>-2.5302802854891926</c:v>
                </c:pt>
                <c:pt idx="31">
                  <c:v>-2.5273259382941404</c:v>
                </c:pt>
                <c:pt idx="32">
                  <c:v>-2.5242745885389666</c:v>
                </c:pt>
                <c:pt idx="33">
                  <c:v>-2.5211196456485299</c:v>
                </c:pt>
                <c:pt idx="34">
                  <c:v>-2.5178539554305885</c:v>
                </c:pt>
                <c:pt idx="35">
                  <c:v>-2.5144697374195104</c:v>
                </c:pt>
                <c:pt idx="36">
                  <c:v>-2.5109585140136859</c:v>
                </c:pt>
                <c:pt idx="37">
                  <c:v>-2.5073110296243133</c:v>
                </c:pt>
                <c:pt idx="38">
                  <c:v>-2.5035171587184069</c:v>
                </c:pt>
                <c:pt idx="39">
                  <c:v>-2.4996497845114103</c:v>
                </c:pt>
                <c:pt idx="40">
                  <c:v>-2.4958254783451559</c:v>
                </c:pt>
                <c:pt idx="41">
                  <c:v>-2.492038285274158</c:v>
                </c:pt>
                <c:pt idx="42">
                  <c:v>-2.4882813323597937</c:v>
                </c:pt>
                <c:pt idx="43">
                  <c:v>-2.4845479795050824</c:v>
                </c:pt>
                <c:pt idx="44">
                  <c:v>-2.4808317625955727</c:v>
                </c:pt>
                <c:pt idx="45">
                  <c:v>-2.4771263397236587</c:v>
                </c:pt>
                <c:pt idx="46">
                  <c:v>-2.4734254395963609</c:v>
                </c:pt>
                <c:pt idx="47">
                  <c:v>-2.4697228110373972</c:v>
                </c:pt>
                <c:pt idx="48">
                  <c:v>-2.4660121727494979</c:v>
                </c:pt>
                <c:pt idx="49">
                  <c:v>-2.4622871623153721</c:v>
                </c:pt>
                <c:pt idx="50">
                  <c:v>-2.4585412835114706</c:v>
                </c:pt>
                <c:pt idx="51">
                  <c:v>-2.4547678510058475</c:v>
                </c:pt>
                <c:pt idx="52">
                  <c:v>-2.450959931045094</c:v>
                </c:pt>
                <c:pt idx="53">
                  <c:v>-2.4471102773549096</c:v>
                </c:pt>
                <c:pt idx="54">
                  <c:v>-2.4414424089606772</c:v>
                </c:pt>
                <c:pt idx="55">
                  <c:v>-2.4346767293105551</c:v>
                </c:pt>
                <c:pt idx="56">
                  <c:v>-2.4279023751460747</c:v>
                </c:pt>
                <c:pt idx="57">
                  <c:v>-2.4211090822880008</c:v>
                </c:pt>
                <c:pt idx="58">
                  <c:v>-2.4142862172679331</c:v>
                </c:pt>
                <c:pt idx="59">
                  <c:v>-2.4074226705995319</c:v>
                </c:pt>
                <c:pt idx="60">
                  <c:v>-2.4005067357063967</c:v>
                </c:pt>
                <c:pt idx="61">
                  <c:v>-2.3935259695692674</c:v>
                </c:pt>
                <c:pt idx="62">
                  <c:v>-2.3864670301407385</c:v>
                </c:pt>
                <c:pt idx="63">
                  <c:v>-2.3793154841968294</c:v>
                </c:pt>
                <c:pt idx="64">
                  <c:v>-2.3720555774643159</c:v>
                </c:pt>
                <c:pt idx="65">
                  <c:v>-2.3646699562990383</c:v>
                </c:pt>
                <c:pt idx="66">
                  <c:v>-2.357139326773797</c:v>
                </c:pt>
                <c:pt idx="67">
                  <c:v>-2.3494420321173206</c:v>
                </c:pt>
                <c:pt idx="68">
                  <c:v>-2.3415535226608633</c:v>
                </c:pt>
                <c:pt idx="69">
                  <c:v>-2.3334456825974828</c:v>
                </c:pt>
                <c:pt idx="70">
                  <c:v>-2.3250859636938821</c:v>
                </c:pt>
                <c:pt idx="71">
                  <c:v>-2.3164362549218671</c:v>
                </c:pt>
                <c:pt idx="72">
                  <c:v>-2.3074513853518539</c:v>
                </c:pt>
                <c:pt idx="73">
                  <c:v>-2.2980771087478029</c:v>
                </c:pt>
                <c:pt idx="74">
                  <c:v>-2.2882473416670903</c:v>
                </c:pt>
                <c:pt idx="75">
                  <c:v>-2.2778803031986934</c:v>
                </c:pt>
                <c:pt idx="76">
                  <c:v>-2.2668729993868046</c:v>
                </c:pt>
                <c:pt idx="77">
                  <c:v>-2.2550931451489871</c:v>
                </c:pt>
                <c:pt idx="78">
                  <c:v>-2.2423669956881569</c:v>
                </c:pt>
                <c:pt idx="79">
                  <c:v>-2.2284604151219547</c:v>
                </c:pt>
                <c:pt idx="80">
                  <c:v>-2.2130483012637674</c:v>
                </c:pt>
                <c:pt idx="81">
                  <c:v>-2.1961257722161451</c:v>
                </c:pt>
                <c:pt idx="82">
                  <c:v>-2.1789780439618172</c:v>
                </c:pt>
                <c:pt idx="83">
                  <c:v>-2.1617015235897759</c:v>
                </c:pt>
                <c:pt idx="84">
                  <c:v>-2.1442613411105724</c:v>
                </c:pt>
                <c:pt idx="85">
                  <c:v>-2.1266180228561584</c:v>
                </c:pt>
                <c:pt idx="86">
                  <c:v>-2.1087261058657192</c:v>
                </c:pt>
                <c:pt idx="87">
                  <c:v>-2.0905322159517992</c:v>
                </c:pt>
                <c:pt idx="88">
                  <c:v>-2.0719723310893827</c:v>
                </c:pt>
                <c:pt idx="89">
                  <c:v>-2.0529677689348151</c:v>
                </c:pt>
                <c:pt idx="90">
                  <c:v>-2.0334190977750444</c:v>
                </c:pt>
                <c:pt idx="91">
                  <c:v>-2.0039616760856385</c:v>
                </c:pt>
                <c:pt idx="92">
                  <c:v>-1.9748982685802694</c:v>
                </c:pt>
                <c:pt idx="93">
                  <c:v>-1.9461917102243043</c:v>
                </c:pt>
                <c:pt idx="94">
                  <c:v>-1.9177963559080233</c:v>
                </c:pt>
                <c:pt idx="95">
                  <c:v>-1.8896607238867527</c:v>
                </c:pt>
                <c:pt idx="96">
                  <c:v>-1.8617296568870862</c:v>
                </c:pt>
                <c:pt idx="97">
                  <c:v>-1.8339459803927176</c:v>
                </c:pt>
                <c:pt idx="98">
                  <c:v>-1.8146258300802991</c:v>
                </c:pt>
                <c:pt idx="99">
                  <c:v>-1.7910791263168799</c:v>
                </c:pt>
                <c:pt idx="100">
                  <c:v>-1.7715784442568348</c:v>
                </c:pt>
                <c:pt idx="101">
                  <c:v>-1.7551248877898709</c:v>
                </c:pt>
                <c:pt idx="102">
                  <c:v>-1.7410249923710188</c:v>
                </c:pt>
                <c:pt idx="103">
                  <c:v>-1.7287821311883829</c:v>
                </c:pt>
                <c:pt idx="104">
                  <c:v>-1.7180311482258661</c:v>
                </c:pt>
                <c:pt idx="105">
                  <c:v>-1.7084974195233376</c:v>
                </c:pt>
                <c:pt idx="106">
                  <c:v>-1.699970325014615</c:v>
                </c:pt>
                <c:pt idx="107">
                  <c:v>-1.6922855429455679</c:v>
                </c:pt>
                <c:pt idx="108">
                  <c:v>-1.6853129226342265</c:v>
                </c:pt>
                <c:pt idx="109">
                  <c:v>-1.6789479868672834</c:v>
                </c:pt>
                <c:pt idx="110">
                  <c:v>-1.6731058555468443</c:v>
                </c:pt>
                <c:pt idx="111">
                  <c:v>-1.6677168212903524</c:v>
                </c:pt>
                <c:pt idx="112">
                  <c:v>-1.6627230751275706</c:v>
                </c:pt>
                <c:pt idx="113">
                  <c:v>-1.6580762471709916</c:v>
                </c:pt>
                <c:pt idx="114">
                  <c:v>-1.6537355350743064</c:v>
                </c:pt>
                <c:pt idx="115">
                  <c:v>-1.649666261672649</c:v>
                </c:pt>
                <c:pt idx="116">
                  <c:v>-1.6458387513968473</c:v>
                </c:pt>
                <c:pt idx="117">
                  <c:v>-1.6422274456582147</c:v>
                </c:pt>
                <c:pt idx="118">
                  <c:v>-1.6388102000746689</c:v>
                </c:pt>
                <c:pt idx="119">
                  <c:v>-1.635567720862241</c:v>
                </c:pt>
                <c:pt idx="120">
                  <c:v>-1.6324831092820258</c:v>
                </c:pt>
                <c:pt idx="121">
                  <c:v>-1.6295414908082333</c:v>
                </c:pt>
                <c:pt idx="122">
                  <c:v>-1.6267297105018823</c:v>
                </c:pt>
                <c:pt idx="123">
                  <c:v>-1.6240360819801856</c:v>
                </c:pt>
                <c:pt idx="124">
                  <c:v>-1.6214501781641615</c:v>
                </c:pt>
                <c:pt idx="125">
                  <c:v>-1.618778550234516</c:v>
                </c:pt>
                <c:pt idx="126">
                  <c:v>-1.6156401173241444</c:v>
                </c:pt>
                <c:pt idx="127">
                  <c:v>-1.6126436101379886</c:v>
                </c:pt>
                <c:pt idx="128">
                  <c:v>-1.6097778170452155</c:v>
                </c:pt>
                <c:pt idx="129">
                  <c:v>-1.6070326115148477</c:v>
                </c:pt>
                <c:pt idx="130">
                  <c:v>-1.6043988193284735</c:v>
                </c:pt>
                <c:pt idx="131">
                  <c:v>-1.6018681043145433</c:v>
                </c:pt>
                <c:pt idx="132">
                  <c:v>-1.5994328696352538</c:v>
                </c:pt>
                <c:pt idx="133">
                  <c:v>-1.5970861717133729</c:v>
                </c:pt>
                <c:pt idx="134">
                  <c:v>-1.5948216455390949</c:v>
                </c:pt>
                <c:pt idx="135">
                  <c:v>-1.5926334387412246</c:v>
                </c:pt>
                <c:pt idx="136">
                  <c:v>-1.5905161542103257</c:v>
                </c:pt>
                <c:pt idx="137">
                  <c:v>-1.5884647982357738</c:v>
                </c:pt>
                <c:pt idx="138">
                  <c:v>-1.5864747355952025</c:v>
                </c:pt>
                <c:pt idx="139">
                  <c:v>-1.5845416481245369</c:v>
                </c:pt>
                <c:pt idx="140">
                  <c:v>-1.5826614980435272</c:v>
                </c:pt>
                <c:pt idx="141">
                  <c:v>-1.5808304942306053</c:v>
                </c:pt>
                <c:pt idx="142">
                  <c:v>-1.5790450613970488</c:v>
                </c:pt>
                <c:pt idx="143">
                  <c:v>-1.5773018110847294</c:v>
                </c:pt>
                <c:pt idx="144">
                  <c:v>-1.5755975147299011</c:v>
                </c:pt>
                <c:pt idx="145">
                  <c:v>-1.5739290774302308</c:v>
                </c:pt>
                <c:pt idx="146">
                  <c:v>-1.5722935126876145</c:v>
                </c:pt>
                <c:pt idx="147">
                  <c:v>-1.5706879168840211</c:v>
                </c:pt>
                <c:pt idx="148">
                  <c:v>-1.569109443959873</c:v>
                </c:pt>
                <c:pt idx="149">
                  <c:v>-1.5675552781782565</c:v>
                </c:pt>
                <c:pt idx="150">
                  <c:v>-1.5660226059755094</c:v>
                </c:pt>
                <c:pt idx="151">
                  <c:v>-1.5645085846361326</c:v>
                </c:pt>
                <c:pt idx="152">
                  <c:v>-1.5630103073519614</c:v>
                </c:pt>
                <c:pt idx="153">
                  <c:v>-1.5615247635909502</c:v>
                </c:pt>
                <c:pt idx="154">
                  <c:v>-1.5600487926626729</c:v>
                </c:pt>
                <c:pt idx="155">
                  <c:v>-1.5585790282838468</c:v>
                </c:pt>
                <c:pt idx="156">
                  <c:v>-1.5571118317543997</c:v>
                </c:pt>
                <c:pt idx="157">
                  <c:v>-1.5556432094344272</c:v>
                </c:pt>
                <c:pt idx="158">
                  <c:v>-1.5541687096204064</c:v>
                </c:pt>
                <c:pt idx="159">
                  <c:v>-1.5526832910058872</c:v>
                </c:pt>
                <c:pt idx="160">
                  <c:v>-1.5511811531253805</c:v>
                </c:pt>
                <c:pt idx="161">
                  <c:v>-1.5496555140156865</c:v>
                </c:pt>
                <c:pt idx="162">
                  <c:v>-1.5480983137983155</c:v>
                </c:pt>
                <c:pt idx="163">
                  <c:v>-1.5464998121049018</c:v>
                </c:pt>
                <c:pt idx="164">
                  <c:v>-1.5448480320633184</c:v>
                </c:pt>
                <c:pt idx="165">
                  <c:v>-1.5431279758312866</c:v>
                </c:pt>
                <c:pt idx="166">
                  <c:v>-1.5413204916300882</c:v>
                </c:pt>
                <c:pt idx="167">
                  <c:v>-1.5394005940438378</c:v>
                </c:pt>
                <c:pt idx="168">
                  <c:v>-1.5372854154541697</c:v>
                </c:pt>
                <c:pt idx="169">
                  <c:v>-1.5348367836839254</c:v>
                </c:pt>
                <c:pt idx="170">
                  <c:v>-1.5321357140279621</c:v>
                </c:pt>
                <c:pt idx="171">
                  <c:v>-1.5290827266539144</c:v>
                </c:pt>
                <c:pt idx="172">
                  <c:v>-1.5255239225517951</c:v>
                </c:pt>
                <c:pt idx="173">
                  <c:v>-1.5212068785239161</c:v>
                </c:pt>
                <c:pt idx="174">
                  <c:v>-1.5172812597257173</c:v>
                </c:pt>
                <c:pt idx="175">
                  <c:v>-1.5100187210838623</c:v>
                </c:pt>
                <c:pt idx="176">
                  <c:v>-1.4988450367756998</c:v>
                </c:pt>
                <c:pt idx="177">
                  <c:v>-1.477926093802822</c:v>
                </c:pt>
                <c:pt idx="178">
                  <c:v>-1.4262518209692729</c:v>
                </c:pt>
                <c:pt idx="179">
                  <c:v>-1.2835858087618925</c:v>
                </c:pt>
                <c:pt idx="180">
                  <c:v>-4.3593295749255486E-10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an-1 @ alpha = tan-1(my/mx)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5.7332210289924666</c:v>
                </c:pt>
                <c:pt idx="1">
                  <c:v>5.7315485254863292</c:v>
                </c:pt>
                <c:pt idx="2">
                  <c:v>5.7298594882876923</c:v>
                </c:pt>
                <c:pt idx="3">
                  <c:v>5.7281527205768619</c:v>
                </c:pt>
                <c:pt idx="4">
                  <c:v>5.7264269791483162</c:v>
                </c:pt>
                <c:pt idx="5">
                  <c:v>5.7246809705962276</c:v>
                </c:pt>
                <c:pt idx="6">
                  <c:v>5.7229133471357381</c:v>
                </c:pt>
                <c:pt idx="7">
                  <c:v>5.7211227021890965</c:v>
                </c:pt>
                <c:pt idx="8">
                  <c:v>5.7193075656202987</c:v>
                </c:pt>
                <c:pt idx="9">
                  <c:v>5.7174663985244081</c:v>
                </c:pt>
                <c:pt idx="10">
                  <c:v>5.7155975876332983</c:v>
                </c:pt>
                <c:pt idx="11">
                  <c:v>5.7136994392417382</c:v>
                </c:pt>
                <c:pt idx="12">
                  <c:v>5.7117701725831136</c:v>
                </c:pt>
                <c:pt idx="13">
                  <c:v>5.7098079127035231</c:v>
                </c:pt>
                <c:pt idx="14">
                  <c:v>5.7078106825901207</c:v>
                </c:pt>
                <c:pt idx="15">
                  <c:v>5.705776394671334</c:v>
                </c:pt>
                <c:pt idx="16">
                  <c:v>5.7037028414997915</c:v>
                </c:pt>
                <c:pt idx="17">
                  <c:v>5.7015876855215923</c:v>
                </c:pt>
                <c:pt idx="18">
                  <c:v>5.6994284479101944</c:v>
                </c:pt>
                <c:pt idx="19">
                  <c:v>5.6972224962808031</c:v>
                </c:pt>
                <c:pt idx="20">
                  <c:v>5.6949670311722294</c:v>
                </c:pt>
                <c:pt idx="21">
                  <c:v>5.6926590711517591</c:v>
                </c:pt>
                <c:pt idx="22">
                  <c:v>5.6902954363890004</c:v>
                </c:pt>
                <c:pt idx="23">
                  <c:v>5.687872730472499</c:v>
                </c:pt>
                <c:pt idx="24">
                  <c:v>5.6853873203025618</c:v>
                </c:pt>
                <c:pt idx="25">
                  <c:v>5.68283531371506</c:v>
                </c:pt>
                <c:pt idx="26">
                  <c:v>5.6802125346191366</c:v>
                </c:pt>
                <c:pt idx="27">
                  <c:v>5.6775144954083911</c:v>
                </c:pt>
                <c:pt idx="28">
                  <c:v>5.6747363659360204</c:v>
                </c:pt>
                <c:pt idx="29">
                  <c:v>5.6718729390789857</c:v>
                </c:pt>
                <c:pt idx="30">
                  <c:v>5.6689185918839335</c:v>
                </c:pt>
                <c:pt idx="31">
                  <c:v>5.6658672421287601</c:v>
                </c:pt>
                <c:pt idx="32">
                  <c:v>5.662712299238323</c:v>
                </c:pt>
                <c:pt idx="33">
                  <c:v>5.6594466090203817</c:v>
                </c:pt>
                <c:pt idx="34">
                  <c:v>5.6560623910093035</c:v>
                </c:pt>
                <c:pt idx="35">
                  <c:v>5.6525511676034785</c:v>
                </c:pt>
                <c:pt idx="36">
                  <c:v>5.6489036832141064</c:v>
                </c:pt>
                <c:pt idx="37">
                  <c:v>5.6451098123082</c:v>
                </c:pt>
                <c:pt idx="38">
                  <c:v>5.6412424381012034</c:v>
                </c:pt>
                <c:pt idx="39">
                  <c:v>5.6374181319349486</c:v>
                </c:pt>
                <c:pt idx="40">
                  <c:v>5.6336309388639512</c:v>
                </c:pt>
                <c:pt idx="41">
                  <c:v>5.6298739859495868</c:v>
                </c:pt>
                <c:pt idx="42">
                  <c:v>5.6261406330948756</c:v>
                </c:pt>
                <c:pt idx="43">
                  <c:v>5.6224244161853658</c:v>
                </c:pt>
                <c:pt idx="44">
                  <c:v>5.6187189933134523</c:v>
                </c:pt>
                <c:pt idx="45">
                  <c:v>5.615018093186154</c:v>
                </c:pt>
                <c:pt idx="46">
                  <c:v>5.6113154646271903</c:v>
                </c:pt>
                <c:pt idx="47">
                  <c:v>5.6076048263392906</c:v>
                </c:pt>
                <c:pt idx="48">
                  <c:v>5.6038798159051648</c:v>
                </c:pt>
                <c:pt idx="49">
                  <c:v>5.6001339371012637</c:v>
                </c:pt>
                <c:pt idx="50">
                  <c:v>5.5963605045956406</c:v>
                </c:pt>
                <c:pt idx="51">
                  <c:v>5.5925525846348876</c:v>
                </c:pt>
                <c:pt idx="52">
                  <c:v>5.5887029309447023</c:v>
                </c:pt>
                <c:pt idx="53">
                  <c:v>5.5830350625504703</c:v>
                </c:pt>
                <c:pt idx="54">
                  <c:v>5.5762693829003478</c:v>
                </c:pt>
                <c:pt idx="55">
                  <c:v>5.5694950287358678</c:v>
                </c:pt>
                <c:pt idx="56">
                  <c:v>5.5627017358777939</c:v>
                </c:pt>
                <c:pt idx="57">
                  <c:v>5.5558788708577262</c:v>
                </c:pt>
                <c:pt idx="58">
                  <c:v>5.549015324189325</c:v>
                </c:pt>
                <c:pt idx="59">
                  <c:v>5.5420993892961903</c:v>
                </c:pt>
                <c:pt idx="60">
                  <c:v>5.535118623159061</c:v>
                </c:pt>
                <c:pt idx="61">
                  <c:v>5.5280596837305316</c:v>
                </c:pt>
                <c:pt idx="62">
                  <c:v>5.5209081377866225</c:v>
                </c:pt>
                <c:pt idx="63">
                  <c:v>5.5136482310541091</c:v>
                </c:pt>
                <c:pt idx="64">
                  <c:v>5.5062626098888314</c:v>
                </c:pt>
                <c:pt idx="65">
                  <c:v>5.4987319803635906</c:v>
                </c:pt>
                <c:pt idx="66">
                  <c:v>5.4910346857071133</c:v>
                </c:pt>
                <c:pt idx="67">
                  <c:v>5.4831461762506564</c:v>
                </c:pt>
                <c:pt idx="68">
                  <c:v>5.4750383361872759</c:v>
                </c:pt>
                <c:pt idx="69">
                  <c:v>5.4666786172836748</c:v>
                </c:pt>
                <c:pt idx="70">
                  <c:v>5.4580289085116602</c:v>
                </c:pt>
                <c:pt idx="71">
                  <c:v>5.449044038941647</c:v>
                </c:pt>
                <c:pt idx="72">
                  <c:v>5.439669762337596</c:v>
                </c:pt>
                <c:pt idx="73">
                  <c:v>5.4298399952568834</c:v>
                </c:pt>
                <c:pt idx="74">
                  <c:v>5.4194729567884865</c:v>
                </c:pt>
                <c:pt idx="75">
                  <c:v>5.4084656529765978</c:v>
                </c:pt>
                <c:pt idx="76">
                  <c:v>5.3966857987387797</c:v>
                </c:pt>
                <c:pt idx="77">
                  <c:v>5.3839596492779496</c:v>
                </c:pt>
                <c:pt idx="78">
                  <c:v>5.3700530687117478</c:v>
                </c:pt>
                <c:pt idx="79">
                  <c:v>5.3546409548535605</c:v>
                </c:pt>
                <c:pt idx="80">
                  <c:v>5.3377184258059387</c:v>
                </c:pt>
                <c:pt idx="81">
                  <c:v>5.3205706975516103</c:v>
                </c:pt>
                <c:pt idx="82">
                  <c:v>5.303294177179569</c:v>
                </c:pt>
                <c:pt idx="83">
                  <c:v>5.285853994700366</c:v>
                </c:pt>
                <c:pt idx="84">
                  <c:v>5.2682106764459515</c:v>
                </c:pt>
                <c:pt idx="85">
                  <c:v>5.2503187594555119</c:v>
                </c:pt>
                <c:pt idx="86">
                  <c:v>5.2321248695415923</c:v>
                </c:pt>
                <c:pt idx="87">
                  <c:v>5.2135649846791754</c:v>
                </c:pt>
                <c:pt idx="88">
                  <c:v>5.1945604225246083</c:v>
                </c:pt>
                <c:pt idx="89">
                  <c:v>5.1750117513648375</c:v>
                </c:pt>
                <c:pt idx="90">
                  <c:v>5.1455543296754316</c:v>
                </c:pt>
                <c:pt idx="91">
                  <c:v>5.1164909221700627</c:v>
                </c:pt>
                <c:pt idx="92">
                  <c:v>5.0877843638140972</c:v>
                </c:pt>
                <c:pt idx="93">
                  <c:v>5.0593890094978162</c:v>
                </c:pt>
                <c:pt idx="94">
                  <c:v>5.0312533774765456</c:v>
                </c:pt>
                <c:pt idx="95">
                  <c:v>5.0033223104768796</c:v>
                </c:pt>
                <c:pt idx="96">
                  <c:v>4.9755386339825112</c:v>
                </c:pt>
                <c:pt idx="97">
                  <c:v>4.9562184836700922</c:v>
                </c:pt>
                <c:pt idx="98">
                  <c:v>4.9326717799066735</c:v>
                </c:pt>
                <c:pt idx="99">
                  <c:v>4.9131710978466279</c:v>
                </c:pt>
                <c:pt idx="100">
                  <c:v>4.8967175413796635</c:v>
                </c:pt>
                <c:pt idx="101">
                  <c:v>4.8826176459608117</c:v>
                </c:pt>
                <c:pt idx="102">
                  <c:v>4.8703747847781758</c:v>
                </c:pt>
                <c:pt idx="103">
                  <c:v>4.8596238018156592</c:v>
                </c:pt>
                <c:pt idx="104">
                  <c:v>4.8500900731131305</c:v>
                </c:pt>
                <c:pt idx="105">
                  <c:v>4.8415629786044079</c:v>
                </c:pt>
                <c:pt idx="106">
                  <c:v>4.8338781965353608</c:v>
                </c:pt>
                <c:pt idx="107">
                  <c:v>4.8269055762240196</c:v>
                </c:pt>
                <c:pt idx="108">
                  <c:v>4.820540640457077</c:v>
                </c:pt>
                <c:pt idx="109">
                  <c:v>4.8146985091366377</c:v>
                </c:pt>
                <c:pt idx="110">
                  <c:v>4.8093094748801457</c:v>
                </c:pt>
                <c:pt idx="111">
                  <c:v>4.8043157287173637</c:v>
                </c:pt>
                <c:pt idx="112">
                  <c:v>4.7996689007607847</c:v>
                </c:pt>
                <c:pt idx="113">
                  <c:v>4.795328188664099</c:v>
                </c:pt>
                <c:pt idx="114">
                  <c:v>4.7912589152624419</c:v>
                </c:pt>
                <c:pt idx="115">
                  <c:v>4.7874314049866404</c:v>
                </c:pt>
                <c:pt idx="116">
                  <c:v>4.7838200992480076</c:v>
                </c:pt>
                <c:pt idx="117">
                  <c:v>4.7804028536644623</c:v>
                </c:pt>
                <c:pt idx="118">
                  <c:v>4.7771603744520341</c:v>
                </c:pt>
                <c:pt idx="119">
                  <c:v>4.7740757628718189</c:v>
                </c:pt>
                <c:pt idx="120">
                  <c:v>4.771134144398026</c:v>
                </c:pt>
                <c:pt idx="121">
                  <c:v>4.7683223640916754</c:v>
                </c:pt>
                <c:pt idx="122">
                  <c:v>4.7656287355699787</c:v>
                </c:pt>
                <c:pt idx="123">
                  <c:v>4.763042831753955</c:v>
                </c:pt>
                <c:pt idx="124">
                  <c:v>4.7603712038243096</c:v>
                </c:pt>
                <c:pt idx="125">
                  <c:v>4.7572327709139373</c:v>
                </c:pt>
                <c:pt idx="126">
                  <c:v>4.7542362637277815</c:v>
                </c:pt>
                <c:pt idx="127">
                  <c:v>4.7513704706350088</c:v>
                </c:pt>
                <c:pt idx="128">
                  <c:v>4.748625265104641</c:v>
                </c:pt>
                <c:pt idx="129">
                  <c:v>4.7459914729182664</c:v>
                </c:pt>
                <c:pt idx="130">
                  <c:v>4.7434607579043364</c:v>
                </c:pt>
                <c:pt idx="131">
                  <c:v>4.7410255232250469</c:v>
                </c:pt>
                <c:pt idx="132">
                  <c:v>4.7386788253031664</c:v>
                </c:pt>
                <c:pt idx="133">
                  <c:v>4.7364142991288878</c:v>
                </c:pt>
                <c:pt idx="134">
                  <c:v>4.734226092331018</c:v>
                </c:pt>
                <c:pt idx="135">
                  <c:v>4.7321088078001186</c:v>
                </c:pt>
                <c:pt idx="136">
                  <c:v>4.7300574518255667</c:v>
                </c:pt>
                <c:pt idx="137">
                  <c:v>4.7280673891849956</c:v>
                </c:pt>
                <c:pt idx="138">
                  <c:v>4.72613430171433</c:v>
                </c:pt>
                <c:pt idx="139">
                  <c:v>4.7242541516333203</c:v>
                </c:pt>
                <c:pt idx="140">
                  <c:v>4.7224231478203986</c:v>
                </c:pt>
                <c:pt idx="141">
                  <c:v>4.7206377149868421</c:v>
                </c:pt>
                <c:pt idx="142">
                  <c:v>4.7188944646745226</c:v>
                </c:pt>
                <c:pt idx="143">
                  <c:v>4.7171901683196946</c:v>
                </c:pt>
                <c:pt idx="144">
                  <c:v>4.7155217310200239</c:v>
                </c:pt>
                <c:pt idx="145">
                  <c:v>4.7138861662774074</c:v>
                </c:pt>
                <c:pt idx="146">
                  <c:v>4.7122805704738138</c:v>
                </c:pt>
                <c:pt idx="147">
                  <c:v>4.7107020975496656</c:v>
                </c:pt>
                <c:pt idx="148">
                  <c:v>4.7091479317680491</c:v>
                </c:pt>
                <c:pt idx="149">
                  <c:v>4.7076152595653022</c:v>
                </c:pt>
                <c:pt idx="150">
                  <c:v>4.7061012382259255</c:v>
                </c:pt>
                <c:pt idx="151">
                  <c:v>4.7046029609417541</c:v>
                </c:pt>
                <c:pt idx="152">
                  <c:v>4.7031174171807431</c:v>
                </c:pt>
                <c:pt idx="153">
                  <c:v>4.7016414462524665</c:v>
                </c:pt>
                <c:pt idx="154">
                  <c:v>4.7001716818736394</c:v>
                </c:pt>
                <c:pt idx="155">
                  <c:v>4.6987044853441926</c:v>
                </c:pt>
                <c:pt idx="156">
                  <c:v>4.6972358630242201</c:v>
                </c:pt>
                <c:pt idx="157">
                  <c:v>4.6957613632101998</c:v>
                </c:pt>
                <c:pt idx="158">
                  <c:v>4.6942759445956801</c:v>
                </c:pt>
                <c:pt idx="159">
                  <c:v>4.6927738067151736</c:v>
                </c:pt>
                <c:pt idx="160">
                  <c:v>4.6912481676054796</c:v>
                </c:pt>
                <c:pt idx="161">
                  <c:v>4.6896909673881089</c:v>
                </c:pt>
                <c:pt idx="162">
                  <c:v>4.6880924656946945</c:v>
                </c:pt>
                <c:pt idx="163">
                  <c:v>4.6864406856531113</c:v>
                </c:pt>
                <c:pt idx="164">
                  <c:v>4.6847206294210793</c:v>
                </c:pt>
                <c:pt idx="165">
                  <c:v>4.6829131452198816</c:v>
                </c:pt>
                <c:pt idx="166">
                  <c:v>4.6809932476336309</c:v>
                </c:pt>
                <c:pt idx="167">
                  <c:v>4.6788780690439626</c:v>
                </c:pt>
                <c:pt idx="168">
                  <c:v>4.6764294372737183</c:v>
                </c:pt>
                <c:pt idx="169">
                  <c:v>4.6737283676177555</c:v>
                </c:pt>
                <c:pt idx="170">
                  <c:v>4.6706753802437078</c:v>
                </c:pt>
                <c:pt idx="171">
                  <c:v>4.6671165761415878</c:v>
                </c:pt>
                <c:pt idx="172">
                  <c:v>4.6627995321137092</c:v>
                </c:pt>
                <c:pt idx="173">
                  <c:v>4.6588739133155102</c:v>
                </c:pt>
                <c:pt idx="174">
                  <c:v>4.6516113746736556</c:v>
                </c:pt>
                <c:pt idx="175">
                  <c:v>4.6404376903654931</c:v>
                </c:pt>
                <c:pt idx="176">
                  <c:v>4.6195187473926147</c:v>
                </c:pt>
                <c:pt idx="177">
                  <c:v>4.5678444745590658</c:v>
                </c:pt>
                <c:pt idx="178">
                  <c:v>4.4251784623516857</c:v>
                </c:pt>
                <c:pt idx="179">
                  <c:v>3.1415926540257262</c:v>
                </c:pt>
                <c:pt idx="180">
                  <c:v>1.8580068450187306</c:v>
                </c:pt>
                <c:pt idx="181">
                  <c:v>1.7153408325019113</c:v>
                </c:pt>
                <c:pt idx="182">
                  <c:v>1.6636665597782896</c:v>
                </c:pt>
                <c:pt idx="183">
                  <c:v>1.6427476167657207</c:v>
                </c:pt>
                <c:pt idx="184">
                  <c:v>1.6315739326260745</c:v>
                </c:pt>
                <c:pt idx="185">
                  <c:v>1.6243113938836229</c:v>
                </c:pt>
                <c:pt idx="186">
                  <c:v>1.6203857750486501</c:v>
                </c:pt>
                <c:pt idx="187">
                  <c:v>1.6160687310335851</c:v>
                </c:pt>
                <c:pt idx="188">
                  <c:v>1.6125099269400665</c:v>
                </c:pt>
                <c:pt idx="189">
                  <c:v>1.6094569395864751</c:v>
                </c:pt>
                <c:pt idx="190">
                  <c:v>1.6067558698967888</c:v>
                </c:pt>
                <c:pt idx="191">
                  <c:v>1.604307238193718</c:v>
                </c:pt>
                <c:pt idx="192">
                  <c:v>1.6021920595724959</c:v>
                </c:pt>
                <c:pt idx="193">
                  <c:v>1.6002721618987439</c:v>
                </c:pt>
                <c:pt idx="194">
                  <c:v>1.5984646777145757</c:v>
                </c:pt>
                <c:pt idx="195">
                  <c:v>1.5967446215520233</c:v>
                </c:pt>
                <c:pt idx="196">
                  <c:v>1.5950928415345209</c:v>
                </c:pt>
                <c:pt idx="197">
                  <c:v>1.5934943397734191</c:v>
                </c:pt>
                <c:pt idx="198">
                  <c:v>1.5919371395243413</c:v>
                </c:pt>
                <c:pt idx="199">
                  <c:v>1.5904115004807435</c:v>
                </c:pt>
                <c:pt idx="200">
                  <c:v>1.5889093626049573</c:v>
                </c:pt>
                <c:pt idx="201">
                  <c:v>1.5874239439554354</c:v>
                </c:pt>
                <c:pt idx="202">
                  <c:v>1.5859494441235491</c:v>
                </c:pt>
                <c:pt idx="203">
                  <c:v>1.5844808218669797</c:v>
                </c:pt>
                <c:pt idx="204">
                  <c:v>1.5830136253344813</c:v>
                </c:pt>
                <c:pt idx="205">
                  <c:v>1.5815438609632486</c:v>
                </c:pt>
                <c:pt idx="206">
                  <c:v>1.5800678899815725</c:v>
                </c:pt>
                <c:pt idx="207">
                  <c:v>1.5785823462687913</c:v>
                </c:pt>
                <c:pt idx="208">
                  <c:v>1.5770840689631858</c:v>
                </c:pt>
                <c:pt idx="209">
                  <c:v>1.5755700475869672</c:v>
                </c:pt>
                <c:pt idx="210">
                  <c:v>1.5740373754174286</c:v>
                </c:pt>
                <c:pt idx="211">
                  <c:v>1.5724832096856782</c:v>
                </c:pt>
                <c:pt idx="212">
                  <c:v>1.5709047367351516</c:v>
                </c:pt>
                <c:pt idx="213">
                  <c:v>1.5692991409351877</c:v>
                </c:pt>
                <c:pt idx="214">
                  <c:v>1.5676635761412334</c:v>
                </c:pt>
                <c:pt idx="215">
                  <c:v>1.5659951388690831</c:v>
                </c:pt>
                <c:pt idx="216">
                  <c:v>1.5642908425051876</c:v>
                </c:pt>
                <c:pt idx="217">
                  <c:v>1.5625475922145673</c:v>
                </c:pt>
                <c:pt idx="218">
                  <c:v>1.5607621593689118</c:v>
                </c:pt>
                <c:pt idx="219">
                  <c:v>1.5589311555600245</c:v>
                </c:pt>
                <c:pt idx="220">
                  <c:v>1.5570510054781439</c:v>
                </c:pt>
                <c:pt idx="221">
                  <c:v>1.5551179179437762</c:v>
                </c:pt>
                <c:pt idx="222">
                  <c:v>1.5531278553126413</c:v>
                </c:pt>
                <c:pt idx="223">
                  <c:v>1.5510764993992499</c:v>
                </c:pt>
                <c:pt idx="224">
                  <c:v>1.5489592148261537</c:v>
                </c:pt>
                <c:pt idx="225">
                  <c:v>1.5467710080947206</c:v>
                </c:pt>
                <c:pt idx="226">
                  <c:v>1.5445064818895942</c:v>
                </c:pt>
                <c:pt idx="227">
                  <c:v>1.54215978395675</c:v>
                </c:pt>
                <c:pt idx="228">
                  <c:v>1.5397245492587495</c:v>
                </c:pt>
                <c:pt idx="229">
                  <c:v>1.5371938342663016</c:v>
                </c:pt>
                <c:pt idx="230">
                  <c:v>1.5345600420561858</c:v>
                </c:pt>
                <c:pt idx="231">
                  <c:v>1.5318148364992548</c:v>
                </c:pt>
                <c:pt idx="232">
                  <c:v>1.5289490434263631</c:v>
                </c:pt>
                <c:pt idx="233">
                  <c:v>1.5259525362868316</c:v>
                </c:pt>
                <c:pt idx="234">
                  <c:v>1.5228141033729441</c:v>
                </c:pt>
                <c:pt idx="235">
                  <c:v>1.5201424754464599</c:v>
                </c:pt>
                <c:pt idx="236">
                  <c:v>1.5175565716071098</c:v>
                </c:pt>
                <c:pt idx="237">
                  <c:v>1.5148629430844398</c:v>
                </c:pt>
                <c:pt idx="238">
                  <c:v>1.5120511627737436</c:v>
                </c:pt>
                <c:pt idx="239">
                  <c:v>1.5091095442780122</c:v>
                </c:pt>
                <c:pt idx="240">
                  <c:v>1.5060249327372233</c:v>
                </c:pt>
                <c:pt idx="241">
                  <c:v>1.5027824534935683</c:v>
                </c:pt>
                <c:pt idx="242">
                  <c:v>1.4993652079473239</c:v>
                </c:pt>
                <c:pt idx="243">
                  <c:v>1.495753902208613</c:v>
                </c:pt>
                <c:pt idx="244">
                  <c:v>1.4919522562859711</c:v>
                </c:pt>
                <c:pt idx="245">
                  <c:v>1.4881567277638894</c:v>
                </c:pt>
                <c:pt idx="246">
                  <c:v>1.484409166324469</c:v>
                </c:pt>
                <c:pt idx="247">
                  <c:v>1.4807049720873575</c:v>
                </c:pt>
                <c:pt idx="248">
                  <c:v>1.4770397525744787</c:v>
                </c:pt>
                <c:pt idx="249">
                  <c:v>1.4734092978419691</c:v>
                </c:pt>
                <c:pt idx="250">
                  <c:v>1.4698095572299783</c:v>
                </c:pt>
                <c:pt idx="251">
                  <c:v>1.4662366183369655</c:v>
                </c:pt>
                <c:pt idx="252">
                  <c:v>1.4626866872311255</c:v>
                </c:pt>
                <c:pt idx="253">
                  <c:v>1.4591560699189905</c:v>
                </c:pt>
                <c:pt idx="254">
                  <c:v>1.4556411551208255</c:v>
                </c:pt>
                <c:pt idx="255">
                  <c:v>1.45213839776303</c:v>
                </c:pt>
                <c:pt idx="256">
                  <c:v>1.448644303318438</c:v>
                </c:pt>
                <c:pt idx="257">
                  <c:v>1.4451554124110539</c:v>
                </c:pt>
                <c:pt idx="258">
                  <c:v>1.441668286439181</c:v>
                </c:pt>
                <c:pt idx="259">
                  <c:v>1.4381794928454852</c:v>
                </c:pt>
                <c:pt idx="260">
                  <c:v>1.4346855912819469</c:v>
                </c:pt>
                <c:pt idx="261">
                  <c:v>1.4311831191558118</c:v>
                </c:pt>
                <c:pt idx="262">
                  <c:v>1.4276685775582967</c:v>
                </c:pt>
                <c:pt idx="263">
                  <c:v>1.4241384169736844</c:v>
                </c:pt>
                <c:pt idx="264">
                  <c:v>1.4205890228384481</c:v>
                </c:pt>
                <c:pt idx="265">
                  <c:v>1.4170167003724885</c:v>
                </c:pt>
                <c:pt idx="266">
                  <c:v>1.4134176595749772</c:v>
                </c:pt>
                <c:pt idx="267">
                  <c:v>1.4097879991540925</c:v>
                </c:pt>
                <c:pt idx="268">
                  <c:v>1.4061236901492824</c:v>
                </c:pt>
                <c:pt idx="269">
                  <c:v>1.4024205585815424</c:v>
                </c:pt>
                <c:pt idx="270">
                  <c:v>1.3985285171760544</c:v>
                </c:pt>
                <c:pt idx="271">
                  <c:v>1.3946920148848232</c:v>
                </c:pt>
                <c:pt idx="272">
                  <c:v>1.3909026893309984</c:v>
                </c:pt>
                <c:pt idx="273">
                  <c:v>1.390310265432805</c:v>
                </c:pt>
                <c:pt idx="274">
                  <c:v>1.3866104960931001</c:v>
                </c:pt>
                <c:pt idx="275">
                  <c:v>1.3829367185451296</c:v>
                </c:pt>
                <c:pt idx="276">
                  <c:v>1.3792831001525809</c:v>
                </c:pt>
                <c:pt idx="277">
                  <c:v>1.3756441688255767</c:v>
                </c:pt>
                <c:pt idx="278">
                  <c:v>1.372014744179487</c:v>
                </c:pt>
                <c:pt idx="279">
                  <c:v>1.3683898790698403</c:v>
                </c:pt>
                <c:pt idx="280">
                  <c:v>1.3647648094896603</c:v>
                </c:pt>
                <c:pt idx="281">
                  <c:v>1.3611349102338297</c:v>
                </c:pt>
                <c:pt idx="282">
                  <c:v>1.3574956558531304</c:v>
                </c:pt>
                <c:pt idx="283">
                  <c:v>1.3538425852537335</c:v>
                </c:pt>
                <c:pt idx="284">
                  <c:v>1.3501712690084235</c:v>
                </c:pt>
                <c:pt idx="285">
                  <c:v>1.3464772793098911</c:v>
                </c:pt>
                <c:pt idx="286">
                  <c:v>1.3427561605226277</c:v>
                </c:pt>
                <c:pt idx="287">
                  <c:v>1.3390034014085603</c:v>
                </c:pt>
                <c:pt idx="288">
                  <c:v>1.3352144074615551</c:v>
                </c:pt>
                <c:pt idx="289">
                  <c:v>1.3313844732952866</c:v>
                </c:pt>
                <c:pt idx="290">
                  <c:v>1.3275087542791242</c:v>
                </c:pt>
                <c:pt idx="291">
                  <c:v>1.3235822379641833</c:v>
                </c:pt>
                <c:pt idx="292">
                  <c:v>1.3195997132945072</c:v>
                </c:pt>
                <c:pt idx="293">
                  <c:v>1.3155557392011343</c:v>
                </c:pt>
                <c:pt idx="294">
                  <c:v>1.3114446099229831</c:v>
                </c:pt>
                <c:pt idx="295">
                  <c:v>1.3072603185828844</c:v>
                </c:pt>
                <c:pt idx="296">
                  <c:v>1.302996516791346</c:v>
                </c:pt>
                <c:pt idx="297">
                  <c:v>1.2986464715631203</c:v>
                </c:pt>
                <c:pt idx="298">
                  <c:v>1.2942030162822507</c:v>
                </c:pt>
                <c:pt idx="299">
                  <c:v>1.2896584979701113</c:v>
                </c:pt>
                <c:pt idx="300">
                  <c:v>1.2850256670676619</c:v>
                </c:pt>
                <c:pt idx="301">
                  <c:v>1.2804394532238106</c:v>
                </c:pt>
                <c:pt idx="302">
                  <c:v>1.2759156263193134</c:v>
                </c:pt>
                <c:pt idx="303">
                  <c:v>1.2714429710286645</c:v>
                </c:pt>
                <c:pt idx="304">
                  <c:v>1.2670110232478347</c:v>
                </c:pt>
                <c:pt idx="305">
                  <c:v>1.2626099300378859</c:v>
                </c:pt>
                <c:pt idx="306">
                  <c:v>1.2582303271007182</c:v>
                </c:pt>
                <c:pt idx="307">
                  <c:v>1.2538632298939953</c:v>
                </c:pt>
                <c:pt idx="308">
                  <c:v>1.2494999366808937</c:v>
                </c:pt>
                <c:pt idx="309">
                  <c:v>1.245131938354112</c:v>
                </c:pt>
                <c:pt idx="310">
                  <c:v>1.2407508359060624</c:v>
                </c:pt>
                <c:pt idx="311">
                  <c:v>1.2363482605504499</c:v>
                </c:pt>
                <c:pt idx="312">
                  <c:v>1.2319157967851604</c:v>
                </c:pt>
                <c:pt idx="313">
                  <c:v>1.2274449060715618</c:v>
                </c:pt>
                <c:pt idx="314">
                  <c:v>1.2229268495668482</c:v>
                </c:pt>
                <c:pt idx="315">
                  <c:v>1.2183526079671674</c:v>
                </c:pt>
                <c:pt idx="316">
                  <c:v>1.2137127973063189</c:v>
                </c:pt>
                <c:pt idx="317">
                  <c:v>1.2089975792291612</c:v>
                </c:pt>
                <c:pt idx="318">
                  <c:v>1.2041965621871327</c:v>
                </c:pt>
                <c:pt idx="319">
                  <c:v>1.1941625258670312</c:v>
                </c:pt>
                <c:pt idx="320">
                  <c:v>1.1745428583505342</c:v>
                </c:pt>
                <c:pt idx="321">
                  <c:v>1.1460624944405009</c:v>
                </c:pt>
                <c:pt idx="322">
                  <c:v>1.1089685945805625</c:v>
                </c:pt>
                <c:pt idx="323">
                  <c:v>1.0631558983920817</c:v>
                </c:pt>
                <c:pt idx="324">
                  <c:v>1.008258719828163</c:v>
                </c:pt>
                <c:pt idx="325">
                  <c:v>0.94373902464050863</c:v>
                </c:pt>
                <c:pt idx="326">
                  <c:v>0.86899642400408972</c:v>
                </c:pt>
                <c:pt idx="327">
                  <c:v>0.78352399905220738</c:v>
                </c:pt>
                <c:pt idx="328">
                  <c:v>0.68712613131719236</c:v>
                </c:pt>
                <c:pt idx="329">
                  <c:v>0.58019085711624863</c:v>
                </c:pt>
                <c:pt idx="330">
                  <c:v>0.4639624091885084</c:v>
                </c:pt>
                <c:pt idx="331">
                  <c:v>0.34070118027550755</c:v>
                </c:pt>
                <c:pt idx="332">
                  <c:v>0.21359515923946226</c:v>
                </c:pt>
                <c:pt idx="333">
                  <c:v>0.11847568068438363</c:v>
                </c:pt>
                <c:pt idx="334">
                  <c:v>2.7118602282708792E-2</c:v>
                </c:pt>
                <c:pt idx="335">
                  <c:v>6.2238846070976619</c:v>
                </c:pt>
                <c:pt idx="336">
                  <c:v>6.1462524096615567</c:v>
                </c:pt>
                <c:pt idx="337">
                  <c:v>6.0768286670278062</c:v>
                </c:pt>
                <c:pt idx="338">
                  <c:v>6.0148558506052963</c:v>
                </c:pt>
                <c:pt idx="339">
                  <c:v>5.9596267559406577</c:v>
                </c:pt>
                <c:pt idx="340">
                  <c:v>5.9105562443783999</c:v>
                </c:pt>
                <c:pt idx="341">
                  <c:v>5.8672438366041364</c:v>
                </c:pt>
                <c:pt idx="342">
                  <c:v>5.8295569790368278</c:v>
                </c:pt>
                <c:pt idx="343">
                  <c:v>5.7977887248517961</c:v>
                </c:pt>
                <c:pt idx="344">
                  <c:v>5.7730241323555527</c:v>
                </c:pt>
                <c:pt idx="345">
                  <c:v>5.7581577756394218</c:v>
                </c:pt>
                <c:pt idx="346">
                  <c:v>5.755486539246224</c:v>
                </c:pt>
                <c:pt idx="347">
                  <c:v>5.7539385922303437</c:v>
                </c:pt>
                <c:pt idx="348">
                  <c:v>5.7523876337902635</c:v>
                </c:pt>
                <c:pt idx="349">
                  <c:v>5.7508328280040812</c:v>
                </c:pt>
                <c:pt idx="350">
                  <c:v>5.7492733265079901</c:v>
                </c:pt>
                <c:pt idx="351">
                  <c:v>5.7477082668954216</c:v>
                </c:pt>
                <c:pt idx="352">
                  <c:v>5.7461367711168885</c:v>
                </c:pt>
                <c:pt idx="353">
                  <c:v>5.7445579435748009</c:v>
                </c:pt>
                <c:pt idx="354">
                  <c:v>5.7429708693217059</c:v>
                </c:pt>
                <c:pt idx="355">
                  <c:v>5.7413746119999161</c:v>
                </c:pt>
                <c:pt idx="356">
                  <c:v>5.7397682117082525</c:v>
                </c:pt>
                <c:pt idx="357">
                  <c:v>5.7381506827860376</c:v>
                </c:pt>
                <c:pt idx="358">
                  <c:v>5.7365210113479144</c:v>
                </c:pt>
                <c:pt idx="359">
                  <c:v>5.7348781527903512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-5.7348781527903512</c:v>
                </c:pt>
                <c:pt idx="1">
                  <c:v>-5.7332210289924666</c:v>
                </c:pt>
                <c:pt idx="2">
                  <c:v>-5.7315485254863292</c:v>
                </c:pt>
                <c:pt idx="3">
                  <c:v>-5.7298594882876923</c:v>
                </c:pt>
                <c:pt idx="4">
                  <c:v>-5.7281527205768619</c:v>
                </c:pt>
                <c:pt idx="5">
                  <c:v>-5.7264269791483162</c:v>
                </c:pt>
                <c:pt idx="6">
                  <c:v>-5.7246809705962276</c:v>
                </c:pt>
                <c:pt idx="7">
                  <c:v>-5.7229133471357381</c:v>
                </c:pt>
                <c:pt idx="8">
                  <c:v>-5.7211227021890965</c:v>
                </c:pt>
                <c:pt idx="9">
                  <c:v>-5.7193075656202987</c:v>
                </c:pt>
                <c:pt idx="10">
                  <c:v>-5.7174663985244081</c:v>
                </c:pt>
                <c:pt idx="11">
                  <c:v>-5.7155975876332983</c:v>
                </c:pt>
                <c:pt idx="12">
                  <c:v>-5.7136994392417382</c:v>
                </c:pt>
                <c:pt idx="13">
                  <c:v>-5.7117701725831136</c:v>
                </c:pt>
                <c:pt idx="14">
                  <c:v>-5.7098079127035231</c:v>
                </c:pt>
                <c:pt idx="15">
                  <c:v>-5.7078106825901207</c:v>
                </c:pt>
                <c:pt idx="16">
                  <c:v>-5.705776394671334</c:v>
                </c:pt>
                <c:pt idx="17">
                  <c:v>-5.7037028414997915</c:v>
                </c:pt>
                <c:pt idx="18">
                  <c:v>-5.7015876855215923</c:v>
                </c:pt>
                <c:pt idx="19">
                  <c:v>-5.6994284479101944</c:v>
                </c:pt>
                <c:pt idx="20">
                  <c:v>-5.6972224962808031</c:v>
                </c:pt>
                <c:pt idx="21">
                  <c:v>-5.6949670311722294</c:v>
                </c:pt>
                <c:pt idx="22">
                  <c:v>-5.6926590711517591</c:v>
                </c:pt>
                <c:pt idx="23">
                  <c:v>-5.6902954363890004</c:v>
                </c:pt>
                <c:pt idx="24">
                  <c:v>-5.687872730472499</c:v>
                </c:pt>
                <c:pt idx="25">
                  <c:v>-5.6853873203025618</c:v>
                </c:pt>
                <c:pt idx="26">
                  <c:v>-5.68283531371506</c:v>
                </c:pt>
                <c:pt idx="27">
                  <c:v>-5.6802125346191366</c:v>
                </c:pt>
                <c:pt idx="28">
                  <c:v>-5.6775144954083911</c:v>
                </c:pt>
                <c:pt idx="29">
                  <c:v>-5.6747363659360204</c:v>
                </c:pt>
                <c:pt idx="30">
                  <c:v>-5.6718729390789857</c:v>
                </c:pt>
                <c:pt idx="31">
                  <c:v>-5.6689185918839335</c:v>
                </c:pt>
                <c:pt idx="32">
                  <c:v>-5.6658672421287601</c:v>
                </c:pt>
                <c:pt idx="33">
                  <c:v>-5.662712299238323</c:v>
                </c:pt>
                <c:pt idx="34">
                  <c:v>-5.6594466090203817</c:v>
                </c:pt>
                <c:pt idx="35">
                  <c:v>-5.6560623910093035</c:v>
                </c:pt>
                <c:pt idx="36">
                  <c:v>-5.6525511676034785</c:v>
                </c:pt>
                <c:pt idx="37">
                  <c:v>-5.6489036832141064</c:v>
                </c:pt>
                <c:pt idx="38">
                  <c:v>-5.6451098123082</c:v>
                </c:pt>
                <c:pt idx="39">
                  <c:v>-5.6412424381012034</c:v>
                </c:pt>
                <c:pt idx="40">
                  <c:v>-5.6374181319349486</c:v>
                </c:pt>
                <c:pt idx="41">
                  <c:v>-5.6336309388639512</c:v>
                </c:pt>
                <c:pt idx="42">
                  <c:v>-5.6298739859495868</c:v>
                </c:pt>
                <c:pt idx="43">
                  <c:v>-5.6261406330948756</c:v>
                </c:pt>
                <c:pt idx="44">
                  <c:v>-5.6224244161853658</c:v>
                </c:pt>
                <c:pt idx="45">
                  <c:v>-5.6187189933134523</c:v>
                </c:pt>
                <c:pt idx="46">
                  <c:v>-5.615018093186154</c:v>
                </c:pt>
                <c:pt idx="47">
                  <c:v>-5.6113154646271903</c:v>
                </c:pt>
                <c:pt idx="48">
                  <c:v>-5.6076048263392906</c:v>
                </c:pt>
                <c:pt idx="49">
                  <c:v>-5.6038798159051648</c:v>
                </c:pt>
                <c:pt idx="50">
                  <c:v>-5.6001339371012637</c:v>
                </c:pt>
                <c:pt idx="51">
                  <c:v>-5.5963605045956406</c:v>
                </c:pt>
                <c:pt idx="52">
                  <c:v>-5.5925525846348876</c:v>
                </c:pt>
                <c:pt idx="53">
                  <c:v>-5.5887029309447023</c:v>
                </c:pt>
                <c:pt idx="54">
                  <c:v>-5.5830350625504703</c:v>
                </c:pt>
                <c:pt idx="55">
                  <c:v>-5.5762693829003478</c:v>
                </c:pt>
                <c:pt idx="56">
                  <c:v>-5.5694950287358678</c:v>
                </c:pt>
                <c:pt idx="57">
                  <c:v>-5.5627017358777939</c:v>
                </c:pt>
                <c:pt idx="58">
                  <c:v>-5.5558788708577262</c:v>
                </c:pt>
                <c:pt idx="59">
                  <c:v>-5.549015324189325</c:v>
                </c:pt>
                <c:pt idx="60">
                  <c:v>-5.5420993892961903</c:v>
                </c:pt>
                <c:pt idx="61">
                  <c:v>-5.535118623159061</c:v>
                </c:pt>
                <c:pt idx="62">
                  <c:v>-5.5280596837305316</c:v>
                </c:pt>
                <c:pt idx="63">
                  <c:v>-5.5209081377866225</c:v>
                </c:pt>
                <c:pt idx="64">
                  <c:v>-5.5136482310541091</c:v>
                </c:pt>
                <c:pt idx="65">
                  <c:v>-5.5062626098888314</c:v>
                </c:pt>
                <c:pt idx="66">
                  <c:v>-5.4987319803635906</c:v>
                </c:pt>
                <c:pt idx="67">
                  <c:v>-5.4910346857071133</c:v>
                </c:pt>
                <c:pt idx="68">
                  <c:v>-5.4831461762506564</c:v>
                </c:pt>
                <c:pt idx="69">
                  <c:v>-5.4750383361872759</c:v>
                </c:pt>
                <c:pt idx="70">
                  <c:v>-5.4666786172836748</c:v>
                </c:pt>
                <c:pt idx="71">
                  <c:v>-5.4580289085116602</c:v>
                </c:pt>
                <c:pt idx="72">
                  <c:v>-5.449044038941647</c:v>
                </c:pt>
                <c:pt idx="73">
                  <c:v>-5.439669762337596</c:v>
                </c:pt>
                <c:pt idx="74">
                  <c:v>-5.4298399952568834</c:v>
                </c:pt>
                <c:pt idx="75">
                  <c:v>-5.4194729567884865</c:v>
                </c:pt>
                <c:pt idx="76">
                  <c:v>-5.4084656529765978</c:v>
                </c:pt>
                <c:pt idx="77">
                  <c:v>-5.3966857987387797</c:v>
                </c:pt>
                <c:pt idx="78">
                  <c:v>-5.3839596492779496</c:v>
                </c:pt>
                <c:pt idx="79">
                  <c:v>-5.3700530687117478</c:v>
                </c:pt>
                <c:pt idx="80">
                  <c:v>-5.3546409548535605</c:v>
                </c:pt>
                <c:pt idx="81">
                  <c:v>-5.3377184258059387</c:v>
                </c:pt>
                <c:pt idx="82">
                  <c:v>-5.3205706975516103</c:v>
                </c:pt>
                <c:pt idx="83">
                  <c:v>-5.303294177179569</c:v>
                </c:pt>
                <c:pt idx="84">
                  <c:v>-5.285853994700366</c:v>
                </c:pt>
                <c:pt idx="85">
                  <c:v>-5.2682106764459515</c:v>
                </c:pt>
                <c:pt idx="86">
                  <c:v>-5.2503187594555119</c:v>
                </c:pt>
                <c:pt idx="87">
                  <c:v>-5.2321248695415923</c:v>
                </c:pt>
                <c:pt idx="88">
                  <c:v>-5.2135649846791754</c:v>
                </c:pt>
                <c:pt idx="89">
                  <c:v>-5.1945604225246083</c:v>
                </c:pt>
                <c:pt idx="90">
                  <c:v>-5.1750117513648375</c:v>
                </c:pt>
                <c:pt idx="91">
                  <c:v>-5.1455543296754316</c:v>
                </c:pt>
                <c:pt idx="92">
                  <c:v>-5.1164909221700627</c:v>
                </c:pt>
                <c:pt idx="93">
                  <c:v>-5.0877843638140972</c:v>
                </c:pt>
                <c:pt idx="94">
                  <c:v>-5.0593890094978162</c:v>
                </c:pt>
                <c:pt idx="95">
                  <c:v>-5.0312533774765456</c:v>
                </c:pt>
                <c:pt idx="96">
                  <c:v>-5.0033223104768796</c:v>
                </c:pt>
                <c:pt idx="97">
                  <c:v>-4.9755386339825112</c:v>
                </c:pt>
                <c:pt idx="98">
                  <c:v>-4.9562184836700922</c:v>
                </c:pt>
                <c:pt idx="99">
                  <c:v>-4.9326717799066735</c:v>
                </c:pt>
                <c:pt idx="100">
                  <c:v>-4.9131710978466279</c:v>
                </c:pt>
                <c:pt idx="101">
                  <c:v>-4.8967175413796635</c:v>
                </c:pt>
                <c:pt idx="102">
                  <c:v>-4.8826176459608117</c:v>
                </c:pt>
                <c:pt idx="103">
                  <c:v>-4.8703747847781758</c:v>
                </c:pt>
                <c:pt idx="104">
                  <c:v>-4.8596238018156592</c:v>
                </c:pt>
                <c:pt idx="105">
                  <c:v>-4.8500900731131305</c:v>
                </c:pt>
                <c:pt idx="106">
                  <c:v>-4.8415629786044079</c:v>
                </c:pt>
                <c:pt idx="107">
                  <c:v>-4.8338781965353608</c:v>
                </c:pt>
                <c:pt idx="108">
                  <c:v>-4.8269055762240196</c:v>
                </c:pt>
                <c:pt idx="109">
                  <c:v>-4.820540640457077</c:v>
                </c:pt>
                <c:pt idx="110">
                  <c:v>-4.8146985091366377</c:v>
                </c:pt>
                <c:pt idx="111">
                  <c:v>-4.8093094748801457</c:v>
                </c:pt>
                <c:pt idx="112">
                  <c:v>-4.8043157287173637</c:v>
                </c:pt>
                <c:pt idx="113">
                  <c:v>-4.7996689007607847</c:v>
                </c:pt>
                <c:pt idx="114">
                  <c:v>-4.795328188664099</c:v>
                </c:pt>
                <c:pt idx="115">
                  <c:v>-4.7912589152624419</c:v>
                </c:pt>
                <c:pt idx="116">
                  <c:v>-4.7874314049866404</c:v>
                </c:pt>
                <c:pt idx="117">
                  <c:v>-4.7838200992480076</c:v>
                </c:pt>
                <c:pt idx="118">
                  <c:v>-4.7804028536644623</c:v>
                </c:pt>
                <c:pt idx="119">
                  <c:v>-4.7771603744520341</c:v>
                </c:pt>
                <c:pt idx="120">
                  <c:v>-4.7740757628718189</c:v>
                </c:pt>
                <c:pt idx="121">
                  <c:v>-4.771134144398026</c:v>
                </c:pt>
                <c:pt idx="122">
                  <c:v>-4.7683223640916754</c:v>
                </c:pt>
                <c:pt idx="123">
                  <c:v>-4.7656287355699787</c:v>
                </c:pt>
                <c:pt idx="124">
                  <c:v>-4.763042831753955</c:v>
                </c:pt>
                <c:pt idx="125">
                  <c:v>-4.7603712038243096</c:v>
                </c:pt>
                <c:pt idx="126">
                  <c:v>-4.7572327709139373</c:v>
                </c:pt>
                <c:pt idx="127">
                  <c:v>-4.7542362637277815</c:v>
                </c:pt>
                <c:pt idx="128">
                  <c:v>-4.7513704706350088</c:v>
                </c:pt>
                <c:pt idx="129">
                  <c:v>-4.748625265104641</c:v>
                </c:pt>
                <c:pt idx="130">
                  <c:v>-4.7459914729182664</c:v>
                </c:pt>
                <c:pt idx="131">
                  <c:v>-4.7434607579043364</c:v>
                </c:pt>
                <c:pt idx="132">
                  <c:v>-4.7410255232250469</c:v>
                </c:pt>
                <c:pt idx="133">
                  <c:v>-4.7386788253031664</c:v>
                </c:pt>
                <c:pt idx="134">
                  <c:v>-4.7364142991288878</c:v>
                </c:pt>
                <c:pt idx="135">
                  <c:v>-4.734226092331018</c:v>
                </c:pt>
                <c:pt idx="136">
                  <c:v>-4.7321088078001186</c:v>
                </c:pt>
                <c:pt idx="137">
                  <c:v>-4.7300574518255667</c:v>
                </c:pt>
                <c:pt idx="138">
                  <c:v>-4.7280673891849956</c:v>
                </c:pt>
                <c:pt idx="139">
                  <c:v>-4.72613430171433</c:v>
                </c:pt>
                <c:pt idx="140">
                  <c:v>-4.7242541516333203</c:v>
                </c:pt>
                <c:pt idx="141">
                  <c:v>-4.7224231478203986</c:v>
                </c:pt>
                <c:pt idx="142">
                  <c:v>-4.7206377149868421</c:v>
                </c:pt>
                <c:pt idx="143">
                  <c:v>-4.7188944646745226</c:v>
                </c:pt>
                <c:pt idx="144">
                  <c:v>-4.7171901683196946</c:v>
                </c:pt>
                <c:pt idx="145">
                  <c:v>-4.7155217310200239</c:v>
                </c:pt>
                <c:pt idx="146">
                  <c:v>-4.7138861662774074</c:v>
                </c:pt>
                <c:pt idx="147">
                  <c:v>-4.7122805704738138</c:v>
                </c:pt>
                <c:pt idx="148">
                  <c:v>-4.7107020975496656</c:v>
                </c:pt>
                <c:pt idx="149">
                  <c:v>-4.7091479317680491</c:v>
                </c:pt>
                <c:pt idx="150">
                  <c:v>-4.7076152595653022</c:v>
                </c:pt>
                <c:pt idx="151">
                  <c:v>-4.7061012382259255</c:v>
                </c:pt>
                <c:pt idx="152">
                  <c:v>-4.7046029609417541</c:v>
                </c:pt>
                <c:pt idx="153">
                  <c:v>-4.7031174171807431</c:v>
                </c:pt>
                <c:pt idx="154">
                  <c:v>-4.7016414462524665</c:v>
                </c:pt>
                <c:pt idx="155">
                  <c:v>-4.7001716818736394</c:v>
                </c:pt>
                <c:pt idx="156">
                  <c:v>-4.6987044853441926</c:v>
                </c:pt>
                <c:pt idx="157">
                  <c:v>-4.6972358630242201</c:v>
                </c:pt>
                <c:pt idx="158">
                  <c:v>-4.6957613632101998</c:v>
                </c:pt>
                <c:pt idx="159">
                  <c:v>-4.6942759445956801</c:v>
                </c:pt>
                <c:pt idx="160">
                  <c:v>-4.6927738067151736</c:v>
                </c:pt>
                <c:pt idx="161">
                  <c:v>-4.6912481676054796</c:v>
                </c:pt>
                <c:pt idx="162">
                  <c:v>-4.6896909673881089</c:v>
                </c:pt>
                <c:pt idx="163">
                  <c:v>-4.6880924656946945</c:v>
                </c:pt>
                <c:pt idx="164">
                  <c:v>-4.6864406856531113</c:v>
                </c:pt>
                <c:pt idx="165">
                  <c:v>-4.6847206294210793</c:v>
                </c:pt>
                <c:pt idx="166">
                  <c:v>-4.6829131452198816</c:v>
                </c:pt>
                <c:pt idx="167">
                  <c:v>-4.6809932476336309</c:v>
                </c:pt>
                <c:pt idx="168">
                  <c:v>-4.6788780690439626</c:v>
                </c:pt>
                <c:pt idx="169">
                  <c:v>-4.6764294372737183</c:v>
                </c:pt>
                <c:pt idx="170">
                  <c:v>-4.6737283676177555</c:v>
                </c:pt>
                <c:pt idx="171">
                  <c:v>-4.6706753802437078</c:v>
                </c:pt>
                <c:pt idx="172">
                  <c:v>-4.6671165761415878</c:v>
                </c:pt>
                <c:pt idx="173">
                  <c:v>-4.6627995321137092</c:v>
                </c:pt>
                <c:pt idx="174">
                  <c:v>-4.6588739133155102</c:v>
                </c:pt>
                <c:pt idx="175">
                  <c:v>-4.6516113746736556</c:v>
                </c:pt>
                <c:pt idx="176">
                  <c:v>-4.6404376903654931</c:v>
                </c:pt>
                <c:pt idx="177">
                  <c:v>-4.6195187473926147</c:v>
                </c:pt>
                <c:pt idx="178">
                  <c:v>-4.5678444745590658</c:v>
                </c:pt>
                <c:pt idx="179">
                  <c:v>-4.4251784623516857</c:v>
                </c:pt>
                <c:pt idx="180">
                  <c:v>-3.1415926540257262</c:v>
                </c:pt>
                <c:pt idx="181">
                  <c:v>-1.8580068450187306</c:v>
                </c:pt>
                <c:pt idx="182">
                  <c:v>-1.7153408325019113</c:v>
                </c:pt>
                <c:pt idx="183">
                  <c:v>-1.6636665597782896</c:v>
                </c:pt>
                <c:pt idx="184">
                  <c:v>-1.6427476167657207</c:v>
                </c:pt>
                <c:pt idx="185">
                  <c:v>-1.6315739326260745</c:v>
                </c:pt>
                <c:pt idx="186">
                  <c:v>-1.6243113938836229</c:v>
                </c:pt>
                <c:pt idx="187">
                  <c:v>-1.6203857750486501</c:v>
                </c:pt>
                <c:pt idx="188">
                  <c:v>-1.6160687310335851</c:v>
                </c:pt>
                <c:pt idx="189">
                  <c:v>-1.6125099269400665</c:v>
                </c:pt>
                <c:pt idx="190">
                  <c:v>-1.6094569395864751</c:v>
                </c:pt>
                <c:pt idx="191">
                  <c:v>-1.6067558698967888</c:v>
                </c:pt>
                <c:pt idx="192">
                  <c:v>-1.604307238193718</c:v>
                </c:pt>
                <c:pt idx="193">
                  <c:v>-1.6021920595724959</c:v>
                </c:pt>
                <c:pt idx="194">
                  <c:v>-1.6002721618987439</c:v>
                </c:pt>
                <c:pt idx="195">
                  <c:v>-1.5984646777145757</c:v>
                </c:pt>
                <c:pt idx="196">
                  <c:v>-1.5967446215520233</c:v>
                </c:pt>
                <c:pt idx="197">
                  <c:v>-1.5950928415345209</c:v>
                </c:pt>
                <c:pt idx="198">
                  <c:v>-1.5934943397734191</c:v>
                </c:pt>
                <c:pt idx="199">
                  <c:v>-1.5919371395243413</c:v>
                </c:pt>
                <c:pt idx="200">
                  <c:v>-1.5904115004807435</c:v>
                </c:pt>
                <c:pt idx="201">
                  <c:v>-1.5889093626049573</c:v>
                </c:pt>
                <c:pt idx="202">
                  <c:v>-1.5874239439554354</c:v>
                </c:pt>
                <c:pt idx="203">
                  <c:v>-1.5859494441235491</c:v>
                </c:pt>
                <c:pt idx="204">
                  <c:v>-1.5844808218669797</c:v>
                </c:pt>
                <c:pt idx="205">
                  <c:v>-1.5830136253344813</c:v>
                </c:pt>
                <c:pt idx="206">
                  <c:v>-1.5815438609632486</c:v>
                </c:pt>
                <c:pt idx="207">
                  <c:v>-1.5800678899815725</c:v>
                </c:pt>
                <c:pt idx="208">
                  <c:v>-1.5785823462687913</c:v>
                </c:pt>
                <c:pt idx="209">
                  <c:v>-1.5770840689631858</c:v>
                </c:pt>
                <c:pt idx="210">
                  <c:v>-1.5755700475869672</c:v>
                </c:pt>
                <c:pt idx="211">
                  <c:v>-1.5740373754174286</c:v>
                </c:pt>
                <c:pt idx="212">
                  <c:v>-1.5724832096856782</c:v>
                </c:pt>
                <c:pt idx="213">
                  <c:v>-1.5709047367351516</c:v>
                </c:pt>
                <c:pt idx="214">
                  <c:v>-1.5692991409351877</c:v>
                </c:pt>
                <c:pt idx="215">
                  <c:v>-1.5676635761412334</c:v>
                </c:pt>
                <c:pt idx="216">
                  <c:v>-1.5659951388690831</c:v>
                </c:pt>
                <c:pt idx="217">
                  <c:v>-1.5642908425051876</c:v>
                </c:pt>
                <c:pt idx="218">
                  <c:v>-1.5625475922145673</c:v>
                </c:pt>
                <c:pt idx="219">
                  <c:v>-1.5607621593689118</c:v>
                </c:pt>
                <c:pt idx="220">
                  <c:v>-1.5589311555600245</c:v>
                </c:pt>
                <c:pt idx="221">
                  <c:v>-1.5570510054781439</c:v>
                </c:pt>
                <c:pt idx="222">
                  <c:v>-1.5551179179437762</c:v>
                </c:pt>
                <c:pt idx="223">
                  <c:v>-1.5531278553126413</c:v>
                </c:pt>
                <c:pt idx="224">
                  <c:v>-1.5510764993992499</c:v>
                </c:pt>
                <c:pt idx="225">
                  <c:v>-1.5489592148261537</c:v>
                </c:pt>
                <c:pt idx="226">
                  <c:v>-1.5467710080947206</c:v>
                </c:pt>
                <c:pt idx="227">
                  <c:v>-1.5445064818895942</c:v>
                </c:pt>
                <c:pt idx="228">
                  <c:v>-1.54215978395675</c:v>
                </c:pt>
                <c:pt idx="229">
                  <c:v>-1.5397245492587495</c:v>
                </c:pt>
                <c:pt idx="230">
                  <c:v>-1.5371938342663016</c:v>
                </c:pt>
                <c:pt idx="231">
                  <c:v>-1.5345600420561858</c:v>
                </c:pt>
                <c:pt idx="232">
                  <c:v>-1.5318148364992548</c:v>
                </c:pt>
                <c:pt idx="233">
                  <c:v>-1.5289490434263631</c:v>
                </c:pt>
                <c:pt idx="234">
                  <c:v>-1.5259525362868316</c:v>
                </c:pt>
                <c:pt idx="235">
                  <c:v>-1.5228141033729441</c:v>
                </c:pt>
                <c:pt idx="236">
                  <c:v>-1.5201424754464599</c:v>
                </c:pt>
                <c:pt idx="237">
                  <c:v>-1.5175565716071098</c:v>
                </c:pt>
                <c:pt idx="238">
                  <c:v>-1.5148629430844398</c:v>
                </c:pt>
                <c:pt idx="239">
                  <c:v>-1.5120511627737436</c:v>
                </c:pt>
                <c:pt idx="240">
                  <c:v>-1.5091095442780122</c:v>
                </c:pt>
                <c:pt idx="241">
                  <c:v>-1.5060249327372233</c:v>
                </c:pt>
                <c:pt idx="242">
                  <c:v>-1.5027824534935683</c:v>
                </c:pt>
                <c:pt idx="243">
                  <c:v>-1.4993652079473239</c:v>
                </c:pt>
                <c:pt idx="244">
                  <c:v>-1.495753902208613</c:v>
                </c:pt>
                <c:pt idx="245">
                  <c:v>-1.4919522562859711</c:v>
                </c:pt>
                <c:pt idx="246">
                  <c:v>-1.4881567277638894</c:v>
                </c:pt>
                <c:pt idx="247">
                  <c:v>-1.484409166324469</c:v>
                </c:pt>
                <c:pt idx="248">
                  <c:v>-1.4807049720873575</c:v>
                </c:pt>
                <c:pt idx="249">
                  <c:v>-1.4770397525744787</c:v>
                </c:pt>
                <c:pt idx="250">
                  <c:v>-1.4734092978419691</c:v>
                </c:pt>
                <c:pt idx="251">
                  <c:v>-1.4698095572299783</c:v>
                </c:pt>
                <c:pt idx="252">
                  <c:v>-1.4662366183369655</c:v>
                </c:pt>
                <c:pt idx="253">
                  <c:v>-1.4626866872311255</c:v>
                </c:pt>
                <c:pt idx="254">
                  <c:v>-1.4591560699189905</c:v>
                </c:pt>
                <c:pt idx="255">
                  <c:v>-1.4556411551208255</c:v>
                </c:pt>
                <c:pt idx="256">
                  <c:v>-1.45213839776303</c:v>
                </c:pt>
                <c:pt idx="257">
                  <c:v>-1.448644303318438</c:v>
                </c:pt>
                <c:pt idx="258">
                  <c:v>-1.4451554124110539</c:v>
                </c:pt>
                <c:pt idx="259">
                  <c:v>-1.441668286439181</c:v>
                </c:pt>
                <c:pt idx="260">
                  <c:v>-1.4381794928454852</c:v>
                </c:pt>
                <c:pt idx="261">
                  <c:v>-1.4346855912819469</c:v>
                </c:pt>
                <c:pt idx="262">
                  <c:v>-1.4311831191558118</c:v>
                </c:pt>
                <c:pt idx="263">
                  <c:v>-1.4276685775582967</c:v>
                </c:pt>
                <c:pt idx="264">
                  <c:v>-1.4241384169736844</c:v>
                </c:pt>
                <c:pt idx="265">
                  <c:v>-1.4205890228384481</c:v>
                </c:pt>
                <c:pt idx="266">
                  <c:v>-1.4170167003724885</c:v>
                </c:pt>
                <c:pt idx="267">
                  <c:v>-1.4134176595749772</c:v>
                </c:pt>
                <c:pt idx="268">
                  <c:v>-1.4097879991540925</c:v>
                </c:pt>
                <c:pt idx="269">
                  <c:v>-1.4061236901492824</c:v>
                </c:pt>
                <c:pt idx="270">
                  <c:v>-1.4024205585815424</c:v>
                </c:pt>
                <c:pt idx="271">
                  <c:v>-1.3985285171760544</c:v>
                </c:pt>
                <c:pt idx="272">
                  <c:v>-1.3946920148848232</c:v>
                </c:pt>
                <c:pt idx="273">
                  <c:v>-1.3909026893309984</c:v>
                </c:pt>
                <c:pt idx="274">
                  <c:v>-1.390310265432805</c:v>
                </c:pt>
                <c:pt idx="275">
                  <c:v>-1.3866104960931001</c:v>
                </c:pt>
                <c:pt idx="276">
                  <c:v>-1.3829367185451296</c:v>
                </c:pt>
                <c:pt idx="277">
                  <c:v>-1.3792831001525809</c:v>
                </c:pt>
                <c:pt idx="278">
                  <c:v>-1.3756441688255767</c:v>
                </c:pt>
                <c:pt idx="279">
                  <c:v>-1.372014744179487</c:v>
                </c:pt>
                <c:pt idx="280">
                  <c:v>-1.3683898790698403</c:v>
                </c:pt>
                <c:pt idx="281">
                  <c:v>-1.3647648094896603</c:v>
                </c:pt>
                <c:pt idx="282">
                  <c:v>-1.3611349102338297</c:v>
                </c:pt>
                <c:pt idx="283">
                  <c:v>-1.3574956558531304</c:v>
                </c:pt>
                <c:pt idx="284">
                  <c:v>-1.3538425852537335</c:v>
                </c:pt>
                <c:pt idx="285">
                  <c:v>-1.3501712690084235</c:v>
                </c:pt>
                <c:pt idx="286">
                  <c:v>-1.3464772793098911</c:v>
                </c:pt>
                <c:pt idx="287">
                  <c:v>-1.3427561605226277</c:v>
                </c:pt>
                <c:pt idx="288">
                  <c:v>-1.3390034014085603</c:v>
                </c:pt>
                <c:pt idx="289">
                  <c:v>-1.3352144074615551</c:v>
                </c:pt>
                <c:pt idx="290">
                  <c:v>-1.3313844732952866</c:v>
                </c:pt>
                <c:pt idx="291">
                  <c:v>-1.3275087542791242</c:v>
                </c:pt>
                <c:pt idx="292">
                  <c:v>-1.3235822379641833</c:v>
                </c:pt>
                <c:pt idx="293">
                  <c:v>-1.3195997132945072</c:v>
                </c:pt>
                <c:pt idx="294">
                  <c:v>-1.3155557392011343</c:v>
                </c:pt>
                <c:pt idx="295">
                  <c:v>-1.3114446099229831</c:v>
                </c:pt>
                <c:pt idx="296">
                  <c:v>-1.3072603185828844</c:v>
                </c:pt>
                <c:pt idx="297">
                  <c:v>-1.302996516791346</c:v>
                </c:pt>
                <c:pt idx="298">
                  <c:v>-1.2986464715631203</c:v>
                </c:pt>
                <c:pt idx="299">
                  <c:v>-1.2942030162822507</c:v>
                </c:pt>
                <c:pt idx="300">
                  <c:v>-1.2896584979701113</c:v>
                </c:pt>
                <c:pt idx="301">
                  <c:v>-1.2850256670676619</c:v>
                </c:pt>
                <c:pt idx="302">
                  <c:v>-1.2804394532238106</c:v>
                </c:pt>
                <c:pt idx="303">
                  <c:v>-1.2759156263193134</c:v>
                </c:pt>
                <c:pt idx="304">
                  <c:v>-1.2714429710286645</c:v>
                </c:pt>
                <c:pt idx="305">
                  <c:v>-1.2670110232478347</c:v>
                </c:pt>
                <c:pt idx="306">
                  <c:v>-1.2626099300378859</c:v>
                </c:pt>
                <c:pt idx="307">
                  <c:v>-1.2582303271007182</c:v>
                </c:pt>
                <c:pt idx="308">
                  <c:v>-1.2538632298939953</c:v>
                </c:pt>
                <c:pt idx="309">
                  <c:v>-1.2494999366808937</c:v>
                </c:pt>
                <c:pt idx="310">
                  <c:v>-1.245131938354112</c:v>
                </c:pt>
                <c:pt idx="311">
                  <c:v>-1.2407508359060624</c:v>
                </c:pt>
                <c:pt idx="312">
                  <c:v>-1.2363482605504499</c:v>
                </c:pt>
                <c:pt idx="313">
                  <c:v>-1.2319157967851604</c:v>
                </c:pt>
                <c:pt idx="314">
                  <c:v>-1.2274449060715618</c:v>
                </c:pt>
                <c:pt idx="315">
                  <c:v>-1.2229268495668482</c:v>
                </c:pt>
                <c:pt idx="316">
                  <c:v>-1.2183526079671674</c:v>
                </c:pt>
                <c:pt idx="317">
                  <c:v>-1.2137127973063189</c:v>
                </c:pt>
                <c:pt idx="318">
                  <c:v>-1.2089975792291612</c:v>
                </c:pt>
                <c:pt idx="319">
                  <c:v>-1.2041965621871327</c:v>
                </c:pt>
                <c:pt idx="320">
                  <c:v>-1.1941625258670312</c:v>
                </c:pt>
                <c:pt idx="321">
                  <c:v>-1.1745428583505342</c:v>
                </c:pt>
                <c:pt idx="322">
                  <c:v>-1.1460624944405009</c:v>
                </c:pt>
                <c:pt idx="323">
                  <c:v>-1.1089685945805625</c:v>
                </c:pt>
                <c:pt idx="324">
                  <c:v>-1.0631558983920817</c:v>
                </c:pt>
                <c:pt idx="325">
                  <c:v>-1.008258719828163</c:v>
                </c:pt>
                <c:pt idx="326">
                  <c:v>-0.94373902464050863</c:v>
                </c:pt>
                <c:pt idx="327">
                  <c:v>-0.86899642400408972</c:v>
                </c:pt>
                <c:pt idx="328">
                  <c:v>-0.78352399905220738</c:v>
                </c:pt>
                <c:pt idx="329">
                  <c:v>-0.68712613131719236</c:v>
                </c:pt>
                <c:pt idx="330">
                  <c:v>-0.58019085711624863</c:v>
                </c:pt>
                <c:pt idx="331">
                  <c:v>-0.4639624091885084</c:v>
                </c:pt>
                <c:pt idx="332">
                  <c:v>-0.34070118027550755</c:v>
                </c:pt>
                <c:pt idx="333">
                  <c:v>-0.21359515923946226</c:v>
                </c:pt>
                <c:pt idx="334">
                  <c:v>-0.11847568068438363</c:v>
                </c:pt>
                <c:pt idx="335">
                  <c:v>-2.7118602282708792E-2</c:v>
                </c:pt>
                <c:pt idx="336">
                  <c:v>-6.2238846070976619</c:v>
                </c:pt>
                <c:pt idx="337">
                  <c:v>-6.1462524096615567</c:v>
                </c:pt>
                <c:pt idx="338">
                  <c:v>-6.0768286670278062</c:v>
                </c:pt>
                <c:pt idx="339">
                  <c:v>-6.0148558506052963</c:v>
                </c:pt>
                <c:pt idx="340">
                  <c:v>-5.9596267559406577</c:v>
                </c:pt>
                <c:pt idx="341">
                  <c:v>-5.9105562443783999</c:v>
                </c:pt>
                <c:pt idx="342">
                  <c:v>-5.8672438366041364</c:v>
                </c:pt>
                <c:pt idx="343">
                  <c:v>-5.8295569790368278</c:v>
                </c:pt>
                <c:pt idx="344">
                  <c:v>-5.7977887248517961</c:v>
                </c:pt>
                <c:pt idx="345">
                  <c:v>-5.7730241323555527</c:v>
                </c:pt>
                <c:pt idx="346">
                  <c:v>-5.7581577756394218</c:v>
                </c:pt>
                <c:pt idx="347">
                  <c:v>-5.755486539246224</c:v>
                </c:pt>
                <c:pt idx="348">
                  <c:v>-5.7539385922303437</c:v>
                </c:pt>
                <c:pt idx="349">
                  <c:v>-5.7523876337902635</c:v>
                </c:pt>
                <c:pt idx="350">
                  <c:v>-5.7508328280040812</c:v>
                </c:pt>
                <c:pt idx="351">
                  <c:v>-5.7492733265079901</c:v>
                </c:pt>
                <c:pt idx="352">
                  <c:v>-5.7477082668954216</c:v>
                </c:pt>
                <c:pt idx="353">
                  <c:v>-5.7461367711168885</c:v>
                </c:pt>
                <c:pt idx="354">
                  <c:v>-5.7445579435748009</c:v>
                </c:pt>
                <c:pt idx="355">
                  <c:v>-5.7429708693217059</c:v>
                </c:pt>
                <c:pt idx="356">
                  <c:v>-5.7413746119999161</c:v>
                </c:pt>
                <c:pt idx="357">
                  <c:v>-5.7397682117082525</c:v>
                </c:pt>
                <c:pt idx="358">
                  <c:v>-5.7381506827860376</c:v>
                </c:pt>
                <c:pt idx="359">
                  <c:v>-5.7365210113479144</c:v>
                </c:pt>
                <c:pt idx="360">
                  <c:v>-5.7348781527903512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2.7105574466718618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-6.2733613859222714E-9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3.1415926535897931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4.7123889803846897</c:v>
                </c:pt>
                <c:pt idx="1">
                  <c:v>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-5.7348781527903512</c:v>
                </c:pt>
                <c:pt idx="1">
                  <c:v>-5.7332210289924666</c:v>
                </c:pt>
                <c:pt idx="2">
                  <c:v>-5.7315485254863292</c:v>
                </c:pt>
                <c:pt idx="3">
                  <c:v>-5.7298594882876923</c:v>
                </c:pt>
                <c:pt idx="4">
                  <c:v>-5.7281527205768619</c:v>
                </c:pt>
                <c:pt idx="5">
                  <c:v>-5.7264269791483162</c:v>
                </c:pt>
                <c:pt idx="6">
                  <c:v>-5.7246809705962276</c:v>
                </c:pt>
                <c:pt idx="7">
                  <c:v>-5.7229133471357381</c:v>
                </c:pt>
                <c:pt idx="8">
                  <c:v>-5.7211227021890965</c:v>
                </c:pt>
                <c:pt idx="9">
                  <c:v>-5.7193075656202987</c:v>
                </c:pt>
                <c:pt idx="10">
                  <c:v>-5.7174663985244081</c:v>
                </c:pt>
                <c:pt idx="11">
                  <c:v>-5.7155975876332983</c:v>
                </c:pt>
                <c:pt idx="12">
                  <c:v>-5.7136994392417382</c:v>
                </c:pt>
                <c:pt idx="13">
                  <c:v>-5.7117701725831136</c:v>
                </c:pt>
                <c:pt idx="14">
                  <c:v>-5.7098079127035231</c:v>
                </c:pt>
                <c:pt idx="15">
                  <c:v>-5.7078106825901207</c:v>
                </c:pt>
                <c:pt idx="16">
                  <c:v>-5.705776394671334</c:v>
                </c:pt>
                <c:pt idx="17">
                  <c:v>-5.7037028414997915</c:v>
                </c:pt>
                <c:pt idx="18">
                  <c:v>-5.7015876855215923</c:v>
                </c:pt>
                <c:pt idx="19">
                  <c:v>-5.6994284479101944</c:v>
                </c:pt>
                <c:pt idx="20">
                  <c:v>-5.6972224962808031</c:v>
                </c:pt>
                <c:pt idx="21">
                  <c:v>-5.6949670311722294</c:v>
                </c:pt>
                <c:pt idx="22">
                  <c:v>-5.6926590711517591</c:v>
                </c:pt>
                <c:pt idx="23">
                  <c:v>-5.6902954363890004</c:v>
                </c:pt>
                <c:pt idx="24">
                  <c:v>-5.687872730472499</c:v>
                </c:pt>
                <c:pt idx="25">
                  <c:v>-5.6853873203025618</c:v>
                </c:pt>
                <c:pt idx="26">
                  <c:v>-5.68283531371506</c:v>
                </c:pt>
                <c:pt idx="27">
                  <c:v>-5.6802125346191366</c:v>
                </c:pt>
                <c:pt idx="28">
                  <c:v>-5.6775144954083911</c:v>
                </c:pt>
                <c:pt idx="29">
                  <c:v>-5.6747363659360204</c:v>
                </c:pt>
                <c:pt idx="30">
                  <c:v>-5.6718729390789857</c:v>
                </c:pt>
                <c:pt idx="31">
                  <c:v>-5.6689185918839335</c:v>
                </c:pt>
                <c:pt idx="32">
                  <c:v>-5.6658672421287601</c:v>
                </c:pt>
                <c:pt idx="33">
                  <c:v>-5.662712299238323</c:v>
                </c:pt>
                <c:pt idx="34">
                  <c:v>-5.6594466090203817</c:v>
                </c:pt>
                <c:pt idx="35">
                  <c:v>-5.6560623910093035</c:v>
                </c:pt>
                <c:pt idx="36">
                  <c:v>-5.6525511676034785</c:v>
                </c:pt>
                <c:pt idx="37">
                  <c:v>-5.6489036832141064</c:v>
                </c:pt>
                <c:pt idx="38">
                  <c:v>-5.6451098123082</c:v>
                </c:pt>
                <c:pt idx="39">
                  <c:v>-5.6412424381012034</c:v>
                </c:pt>
                <c:pt idx="40">
                  <c:v>-5.6374181319349486</c:v>
                </c:pt>
                <c:pt idx="41">
                  <c:v>-5.6336309388639512</c:v>
                </c:pt>
                <c:pt idx="42">
                  <c:v>-5.6298739859495868</c:v>
                </c:pt>
                <c:pt idx="43">
                  <c:v>-5.6261406330948756</c:v>
                </c:pt>
                <c:pt idx="44">
                  <c:v>-5.6224244161853658</c:v>
                </c:pt>
                <c:pt idx="45">
                  <c:v>-5.6187189933134523</c:v>
                </c:pt>
                <c:pt idx="46">
                  <c:v>-5.615018093186154</c:v>
                </c:pt>
                <c:pt idx="47">
                  <c:v>-5.6113154646271903</c:v>
                </c:pt>
                <c:pt idx="48">
                  <c:v>-5.6076048263392906</c:v>
                </c:pt>
                <c:pt idx="49">
                  <c:v>-5.6038798159051648</c:v>
                </c:pt>
                <c:pt idx="50">
                  <c:v>-5.6001339371012637</c:v>
                </c:pt>
                <c:pt idx="51">
                  <c:v>-5.5963605045956406</c:v>
                </c:pt>
                <c:pt idx="52">
                  <c:v>-5.5925525846348876</c:v>
                </c:pt>
                <c:pt idx="53">
                  <c:v>-5.5887029309447023</c:v>
                </c:pt>
                <c:pt idx="54">
                  <c:v>-5.5830350625504703</c:v>
                </c:pt>
                <c:pt idx="55">
                  <c:v>-5.5762693829003478</c:v>
                </c:pt>
                <c:pt idx="56">
                  <c:v>-5.5694950287358678</c:v>
                </c:pt>
                <c:pt idx="57">
                  <c:v>-5.5627017358777939</c:v>
                </c:pt>
                <c:pt idx="58">
                  <c:v>-5.5558788708577262</c:v>
                </c:pt>
                <c:pt idx="59">
                  <c:v>-5.549015324189325</c:v>
                </c:pt>
                <c:pt idx="60">
                  <c:v>-5.5420993892961903</c:v>
                </c:pt>
                <c:pt idx="61">
                  <c:v>-5.535118623159061</c:v>
                </c:pt>
                <c:pt idx="62">
                  <c:v>-5.5280596837305316</c:v>
                </c:pt>
                <c:pt idx="63">
                  <c:v>-5.5209081377866225</c:v>
                </c:pt>
                <c:pt idx="64">
                  <c:v>-5.5136482310541091</c:v>
                </c:pt>
                <c:pt idx="65">
                  <c:v>-5.5062626098888314</c:v>
                </c:pt>
                <c:pt idx="66">
                  <c:v>-5.4987319803635906</c:v>
                </c:pt>
                <c:pt idx="67">
                  <c:v>-5.4910346857071133</c:v>
                </c:pt>
                <c:pt idx="68">
                  <c:v>-5.4831461762506564</c:v>
                </c:pt>
                <c:pt idx="69">
                  <c:v>-5.4750383361872759</c:v>
                </c:pt>
                <c:pt idx="70">
                  <c:v>-5.4666786172836748</c:v>
                </c:pt>
                <c:pt idx="71">
                  <c:v>-5.4580289085116602</c:v>
                </c:pt>
                <c:pt idx="72">
                  <c:v>-5.449044038941647</c:v>
                </c:pt>
                <c:pt idx="73">
                  <c:v>-5.439669762337596</c:v>
                </c:pt>
                <c:pt idx="74">
                  <c:v>-5.4298399952568834</c:v>
                </c:pt>
                <c:pt idx="75">
                  <c:v>-5.4194729567884865</c:v>
                </c:pt>
                <c:pt idx="76">
                  <c:v>-5.4084656529765978</c:v>
                </c:pt>
                <c:pt idx="77">
                  <c:v>-5.3966857987387797</c:v>
                </c:pt>
                <c:pt idx="78">
                  <c:v>-5.3839596492779496</c:v>
                </c:pt>
                <c:pt idx="79">
                  <c:v>-5.3700530687117478</c:v>
                </c:pt>
                <c:pt idx="80">
                  <c:v>-5.3546409548535605</c:v>
                </c:pt>
                <c:pt idx="81">
                  <c:v>-5.3377184258059387</c:v>
                </c:pt>
                <c:pt idx="82">
                  <c:v>-5.3205706975516103</c:v>
                </c:pt>
                <c:pt idx="83">
                  <c:v>-5.303294177179569</c:v>
                </c:pt>
                <c:pt idx="84">
                  <c:v>-5.285853994700366</c:v>
                </c:pt>
                <c:pt idx="85">
                  <c:v>-5.2682106764459515</c:v>
                </c:pt>
                <c:pt idx="86">
                  <c:v>-5.2503187594555119</c:v>
                </c:pt>
                <c:pt idx="87">
                  <c:v>-5.2321248695415923</c:v>
                </c:pt>
                <c:pt idx="88">
                  <c:v>-5.2135649846791754</c:v>
                </c:pt>
                <c:pt idx="89">
                  <c:v>-5.1945604225246083</c:v>
                </c:pt>
                <c:pt idx="90">
                  <c:v>-5.1750117513648375</c:v>
                </c:pt>
                <c:pt idx="91">
                  <c:v>-5.1455543296754316</c:v>
                </c:pt>
                <c:pt idx="92">
                  <c:v>-5.1164909221700627</c:v>
                </c:pt>
                <c:pt idx="93">
                  <c:v>-5.0877843638140972</c:v>
                </c:pt>
                <c:pt idx="94">
                  <c:v>-5.0593890094978162</c:v>
                </c:pt>
                <c:pt idx="95">
                  <c:v>-5.0312533774765456</c:v>
                </c:pt>
                <c:pt idx="96">
                  <c:v>-5.0033223104768796</c:v>
                </c:pt>
                <c:pt idx="97">
                  <c:v>-4.9755386339825112</c:v>
                </c:pt>
                <c:pt idx="98">
                  <c:v>-4.9562184836700922</c:v>
                </c:pt>
                <c:pt idx="99">
                  <c:v>-4.9326717799066735</c:v>
                </c:pt>
                <c:pt idx="100">
                  <c:v>-4.9131710978466279</c:v>
                </c:pt>
                <c:pt idx="101">
                  <c:v>-4.8967175413796635</c:v>
                </c:pt>
                <c:pt idx="102">
                  <c:v>-4.8826176459608117</c:v>
                </c:pt>
                <c:pt idx="103">
                  <c:v>-4.8703747847781758</c:v>
                </c:pt>
                <c:pt idx="104">
                  <c:v>-4.8596238018156592</c:v>
                </c:pt>
                <c:pt idx="105">
                  <c:v>-4.8500900731131305</c:v>
                </c:pt>
                <c:pt idx="106">
                  <c:v>-4.8415629786044079</c:v>
                </c:pt>
                <c:pt idx="107">
                  <c:v>-4.8338781965353608</c:v>
                </c:pt>
                <c:pt idx="108">
                  <c:v>-4.8269055762240196</c:v>
                </c:pt>
                <c:pt idx="109">
                  <c:v>-4.820540640457077</c:v>
                </c:pt>
                <c:pt idx="110">
                  <c:v>-4.8146985091366377</c:v>
                </c:pt>
                <c:pt idx="111">
                  <c:v>-4.8093094748801457</c:v>
                </c:pt>
                <c:pt idx="112">
                  <c:v>-4.8043157287173637</c:v>
                </c:pt>
                <c:pt idx="113">
                  <c:v>-4.7996689007607847</c:v>
                </c:pt>
                <c:pt idx="114">
                  <c:v>-4.795328188664099</c:v>
                </c:pt>
                <c:pt idx="115">
                  <c:v>-4.7912589152624419</c:v>
                </c:pt>
                <c:pt idx="116">
                  <c:v>-4.7874314049866404</c:v>
                </c:pt>
                <c:pt idx="117">
                  <c:v>-4.7838200992480076</c:v>
                </c:pt>
                <c:pt idx="118">
                  <c:v>-4.7804028536644623</c:v>
                </c:pt>
                <c:pt idx="119">
                  <c:v>-4.7771603744520341</c:v>
                </c:pt>
                <c:pt idx="120">
                  <c:v>-4.7740757628718189</c:v>
                </c:pt>
                <c:pt idx="121">
                  <c:v>-4.771134144398026</c:v>
                </c:pt>
                <c:pt idx="122">
                  <c:v>-4.7683223640916754</c:v>
                </c:pt>
                <c:pt idx="123">
                  <c:v>-4.7656287355699787</c:v>
                </c:pt>
                <c:pt idx="124">
                  <c:v>-4.763042831753955</c:v>
                </c:pt>
                <c:pt idx="125">
                  <c:v>-4.7603712038243096</c:v>
                </c:pt>
                <c:pt idx="126">
                  <c:v>-4.7572327709139373</c:v>
                </c:pt>
                <c:pt idx="127">
                  <c:v>-4.7542362637277815</c:v>
                </c:pt>
                <c:pt idx="128">
                  <c:v>-4.7513704706350088</c:v>
                </c:pt>
                <c:pt idx="129">
                  <c:v>-4.748625265104641</c:v>
                </c:pt>
                <c:pt idx="130">
                  <c:v>-4.7459914729182664</c:v>
                </c:pt>
                <c:pt idx="131">
                  <c:v>-4.7434607579043364</c:v>
                </c:pt>
                <c:pt idx="132">
                  <c:v>-4.7410255232250469</c:v>
                </c:pt>
                <c:pt idx="133">
                  <c:v>-4.7386788253031664</c:v>
                </c:pt>
                <c:pt idx="134">
                  <c:v>-4.7364142991288878</c:v>
                </c:pt>
                <c:pt idx="135">
                  <c:v>-4.734226092331018</c:v>
                </c:pt>
                <c:pt idx="136">
                  <c:v>-4.7321088078001186</c:v>
                </c:pt>
                <c:pt idx="137">
                  <c:v>-4.7300574518255667</c:v>
                </c:pt>
                <c:pt idx="138">
                  <c:v>-4.7280673891849956</c:v>
                </c:pt>
                <c:pt idx="139">
                  <c:v>-4.72613430171433</c:v>
                </c:pt>
                <c:pt idx="140">
                  <c:v>-4.7242541516333203</c:v>
                </c:pt>
                <c:pt idx="141">
                  <c:v>-4.7224231478203986</c:v>
                </c:pt>
                <c:pt idx="142">
                  <c:v>-4.7206377149868421</c:v>
                </c:pt>
                <c:pt idx="143">
                  <c:v>-4.7188944646745226</c:v>
                </c:pt>
                <c:pt idx="144">
                  <c:v>-4.7171901683196946</c:v>
                </c:pt>
                <c:pt idx="145">
                  <c:v>-4.7155217310200239</c:v>
                </c:pt>
                <c:pt idx="146">
                  <c:v>-4.7138861662774074</c:v>
                </c:pt>
                <c:pt idx="147">
                  <c:v>-4.7122805704738138</c:v>
                </c:pt>
                <c:pt idx="148">
                  <c:v>-4.7107020975496656</c:v>
                </c:pt>
                <c:pt idx="149">
                  <c:v>-4.7091479317680491</c:v>
                </c:pt>
                <c:pt idx="150">
                  <c:v>-4.7076152595653022</c:v>
                </c:pt>
                <c:pt idx="151">
                  <c:v>-4.7061012382259255</c:v>
                </c:pt>
                <c:pt idx="152">
                  <c:v>-4.7046029609417541</c:v>
                </c:pt>
                <c:pt idx="153">
                  <c:v>-4.7031174171807431</c:v>
                </c:pt>
                <c:pt idx="154">
                  <c:v>-4.7016414462524665</c:v>
                </c:pt>
                <c:pt idx="155">
                  <c:v>-4.7001716818736394</c:v>
                </c:pt>
                <c:pt idx="156">
                  <c:v>-4.6987044853441926</c:v>
                </c:pt>
                <c:pt idx="157">
                  <c:v>-4.6972358630242201</c:v>
                </c:pt>
                <c:pt idx="158">
                  <c:v>-4.6957613632101998</c:v>
                </c:pt>
                <c:pt idx="159">
                  <c:v>-4.6942759445956801</c:v>
                </c:pt>
                <c:pt idx="160">
                  <c:v>-4.6927738067151736</c:v>
                </c:pt>
                <c:pt idx="161">
                  <c:v>-4.6912481676054796</c:v>
                </c:pt>
                <c:pt idx="162">
                  <c:v>-4.6896909673881089</c:v>
                </c:pt>
                <c:pt idx="163">
                  <c:v>-4.6880924656946945</c:v>
                </c:pt>
                <c:pt idx="164">
                  <c:v>-4.6864406856531113</c:v>
                </c:pt>
                <c:pt idx="165">
                  <c:v>-4.6847206294210793</c:v>
                </c:pt>
                <c:pt idx="166">
                  <c:v>-4.6829131452198816</c:v>
                </c:pt>
                <c:pt idx="167">
                  <c:v>-4.6809932476336309</c:v>
                </c:pt>
                <c:pt idx="168">
                  <c:v>-4.6788780690439626</c:v>
                </c:pt>
                <c:pt idx="169">
                  <c:v>-4.6764294372737183</c:v>
                </c:pt>
                <c:pt idx="170">
                  <c:v>-4.6737283676177555</c:v>
                </c:pt>
                <c:pt idx="171">
                  <c:v>-4.6706753802437078</c:v>
                </c:pt>
                <c:pt idx="172">
                  <c:v>-4.6671165761415878</c:v>
                </c:pt>
                <c:pt idx="173">
                  <c:v>-4.6627995321137092</c:v>
                </c:pt>
                <c:pt idx="174">
                  <c:v>-4.6588739133155102</c:v>
                </c:pt>
                <c:pt idx="175">
                  <c:v>-4.6516113746736556</c:v>
                </c:pt>
                <c:pt idx="176">
                  <c:v>-4.6404376903654931</c:v>
                </c:pt>
                <c:pt idx="177">
                  <c:v>-4.6195187473926147</c:v>
                </c:pt>
                <c:pt idx="178">
                  <c:v>-4.5678444745590658</c:v>
                </c:pt>
                <c:pt idx="179">
                  <c:v>-4.4251784623516857</c:v>
                </c:pt>
                <c:pt idx="180">
                  <c:v>-3.1415926540257262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5.7348781527903512</c:v>
                </c:pt>
                <c:pt idx="1">
                  <c:v>5.7332210289924666</c:v>
                </c:pt>
                <c:pt idx="2">
                  <c:v>5.7315485254863292</c:v>
                </c:pt>
                <c:pt idx="3">
                  <c:v>5.7298594882876923</c:v>
                </c:pt>
                <c:pt idx="4">
                  <c:v>5.7281527205768619</c:v>
                </c:pt>
                <c:pt idx="5">
                  <c:v>5.7264269791483162</c:v>
                </c:pt>
                <c:pt idx="6">
                  <c:v>5.7246809705962276</c:v>
                </c:pt>
                <c:pt idx="7">
                  <c:v>5.7229133471357381</c:v>
                </c:pt>
                <c:pt idx="8">
                  <c:v>5.7211227021890965</c:v>
                </c:pt>
                <c:pt idx="9">
                  <c:v>5.7193075656202987</c:v>
                </c:pt>
                <c:pt idx="10">
                  <c:v>5.7174663985244081</c:v>
                </c:pt>
                <c:pt idx="11">
                  <c:v>5.7155975876332983</c:v>
                </c:pt>
                <c:pt idx="12">
                  <c:v>5.7136994392417382</c:v>
                </c:pt>
                <c:pt idx="13">
                  <c:v>5.7117701725831136</c:v>
                </c:pt>
                <c:pt idx="14">
                  <c:v>5.7098079127035231</c:v>
                </c:pt>
                <c:pt idx="15">
                  <c:v>5.7078106825901207</c:v>
                </c:pt>
                <c:pt idx="16">
                  <c:v>5.705776394671334</c:v>
                </c:pt>
                <c:pt idx="17">
                  <c:v>5.7037028414997915</c:v>
                </c:pt>
                <c:pt idx="18">
                  <c:v>5.7015876855215923</c:v>
                </c:pt>
                <c:pt idx="19">
                  <c:v>5.6994284479101944</c:v>
                </c:pt>
                <c:pt idx="20">
                  <c:v>5.6972224962808031</c:v>
                </c:pt>
                <c:pt idx="21">
                  <c:v>5.6949670311722294</c:v>
                </c:pt>
                <c:pt idx="22">
                  <c:v>5.6926590711517591</c:v>
                </c:pt>
                <c:pt idx="23">
                  <c:v>5.6902954363890004</c:v>
                </c:pt>
                <c:pt idx="24">
                  <c:v>5.687872730472499</c:v>
                </c:pt>
                <c:pt idx="25">
                  <c:v>5.6853873203025618</c:v>
                </c:pt>
                <c:pt idx="26">
                  <c:v>5.68283531371506</c:v>
                </c:pt>
                <c:pt idx="27">
                  <c:v>5.6802125346191366</c:v>
                </c:pt>
                <c:pt idx="28">
                  <c:v>5.6775144954083911</c:v>
                </c:pt>
                <c:pt idx="29">
                  <c:v>5.6747363659360204</c:v>
                </c:pt>
                <c:pt idx="30">
                  <c:v>5.6718729390789857</c:v>
                </c:pt>
                <c:pt idx="31">
                  <c:v>5.6689185918839335</c:v>
                </c:pt>
                <c:pt idx="32">
                  <c:v>5.6658672421287601</c:v>
                </c:pt>
                <c:pt idx="33">
                  <c:v>5.662712299238323</c:v>
                </c:pt>
                <c:pt idx="34">
                  <c:v>5.6594466090203817</c:v>
                </c:pt>
                <c:pt idx="35">
                  <c:v>5.6560623910093035</c:v>
                </c:pt>
                <c:pt idx="36">
                  <c:v>5.6525511676034785</c:v>
                </c:pt>
                <c:pt idx="37">
                  <c:v>5.6489036832141064</c:v>
                </c:pt>
                <c:pt idx="38">
                  <c:v>5.6451098123082</c:v>
                </c:pt>
                <c:pt idx="39">
                  <c:v>5.6412424381012034</c:v>
                </c:pt>
                <c:pt idx="40">
                  <c:v>5.6374181319349486</c:v>
                </c:pt>
                <c:pt idx="41">
                  <c:v>5.6336309388639512</c:v>
                </c:pt>
                <c:pt idx="42">
                  <c:v>5.6298739859495868</c:v>
                </c:pt>
                <c:pt idx="43">
                  <c:v>5.6261406330948756</c:v>
                </c:pt>
                <c:pt idx="44">
                  <c:v>5.6224244161853658</c:v>
                </c:pt>
                <c:pt idx="45">
                  <c:v>5.6187189933134523</c:v>
                </c:pt>
                <c:pt idx="46">
                  <c:v>5.615018093186154</c:v>
                </c:pt>
                <c:pt idx="47">
                  <c:v>5.6113154646271903</c:v>
                </c:pt>
                <c:pt idx="48">
                  <c:v>5.6076048263392906</c:v>
                </c:pt>
                <c:pt idx="49">
                  <c:v>5.6038798159051648</c:v>
                </c:pt>
                <c:pt idx="50">
                  <c:v>5.6001339371012637</c:v>
                </c:pt>
                <c:pt idx="51">
                  <c:v>5.5963605045956406</c:v>
                </c:pt>
                <c:pt idx="52">
                  <c:v>5.5925525846348876</c:v>
                </c:pt>
                <c:pt idx="53">
                  <c:v>5.5887029309447023</c:v>
                </c:pt>
                <c:pt idx="54">
                  <c:v>5.5830350625504703</c:v>
                </c:pt>
                <c:pt idx="55">
                  <c:v>5.5762693829003478</c:v>
                </c:pt>
                <c:pt idx="56">
                  <c:v>5.5694950287358678</c:v>
                </c:pt>
                <c:pt idx="57">
                  <c:v>5.5627017358777939</c:v>
                </c:pt>
                <c:pt idx="58">
                  <c:v>5.5558788708577262</c:v>
                </c:pt>
                <c:pt idx="59">
                  <c:v>5.549015324189325</c:v>
                </c:pt>
                <c:pt idx="60">
                  <c:v>5.5420993892961903</c:v>
                </c:pt>
                <c:pt idx="61">
                  <c:v>5.535118623159061</c:v>
                </c:pt>
                <c:pt idx="62">
                  <c:v>5.5280596837305316</c:v>
                </c:pt>
                <c:pt idx="63">
                  <c:v>5.5209081377866225</c:v>
                </c:pt>
                <c:pt idx="64">
                  <c:v>5.5136482310541091</c:v>
                </c:pt>
                <c:pt idx="65">
                  <c:v>5.5062626098888314</c:v>
                </c:pt>
                <c:pt idx="66">
                  <c:v>5.4987319803635906</c:v>
                </c:pt>
                <c:pt idx="67">
                  <c:v>5.4910346857071133</c:v>
                </c:pt>
                <c:pt idx="68">
                  <c:v>5.4831461762506564</c:v>
                </c:pt>
                <c:pt idx="69">
                  <c:v>5.4750383361872759</c:v>
                </c:pt>
                <c:pt idx="70">
                  <c:v>5.4666786172836748</c:v>
                </c:pt>
                <c:pt idx="71">
                  <c:v>5.4580289085116602</c:v>
                </c:pt>
                <c:pt idx="72">
                  <c:v>5.449044038941647</c:v>
                </c:pt>
                <c:pt idx="73">
                  <c:v>5.439669762337596</c:v>
                </c:pt>
                <c:pt idx="74">
                  <c:v>5.4298399952568834</c:v>
                </c:pt>
                <c:pt idx="75">
                  <c:v>5.4194729567884865</c:v>
                </c:pt>
                <c:pt idx="76">
                  <c:v>5.4084656529765978</c:v>
                </c:pt>
                <c:pt idx="77">
                  <c:v>5.3966857987387797</c:v>
                </c:pt>
                <c:pt idx="78">
                  <c:v>5.3839596492779496</c:v>
                </c:pt>
                <c:pt idx="79">
                  <c:v>5.3700530687117478</c:v>
                </c:pt>
                <c:pt idx="80">
                  <c:v>5.3546409548535605</c:v>
                </c:pt>
                <c:pt idx="81">
                  <c:v>5.3377184258059387</c:v>
                </c:pt>
                <c:pt idx="82">
                  <c:v>5.3205706975516103</c:v>
                </c:pt>
                <c:pt idx="83">
                  <c:v>5.303294177179569</c:v>
                </c:pt>
                <c:pt idx="84">
                  <c:v>5.285853994700366</c:v>
                </c:pt>
                <c:pt idx="85">
                  <c:v>5.2682106764459515</c:v>
                </c:pt>
                <c:pt idx="86">
                  <c:v>5.2503187594555119</c:v>
                </c:pt>
                <c:pt idx="87">
                  <c:v>5.2321248695415923</c:v>
                </c:pt>
                <c:pt idx="88">
                  <c:v>5.2135649846791754</c:v>
                </c:pt>
                <c:pt idx="89">
                  <c:v>5.1945604225246083</c:v>
                </c:pt>
                <c:pt idx="90">
                  <c:v>5.1750117513648375</c:v>
                </c:pt>
                <c:pt idx="91">
                  <c:v>5.1455543296754316</c:v>
                </c:pt>
                <c:pt idx="92">
                  <c:v>5.1164909221700627</c:v>
                </c:pt>
                <c:pt idx="93">
                  <c:v>5.0877843638140972</c:v>
                </c:pt>
                <c:pt idx="94">
                  <c:v>5.0593890094978162</c:v>
                </c:pt>
                <c:pt idx="95">
                  <c:v>5.0312533774765456</c:v>
                </c:pt>
                <c:pt idx="96">
                  <c:v>5.0033223104768796</c:v>
                </c:pt>
                <c:pt idx="97">
                  <c:v>4.9755386339825112</c:v>
                </c:pt>
                <c:pt idx="98">
                  <c:v>4.9562184836700922</c:v>
                </c:pt>
                <c:pt idx="99">
                  <c:v>4.9326717799066735</c:v>
                </c:pt>
                <c:pt idx="100">
                  <c:v>4.9131710978466279</c:v>
                </c:pt>
                <c:pt idx="101">
                  <c:v>4.8967175413796635</c:v>
                </c:pt>
                <c:pt idx="102">
                  <c:v>4.8826176459608117</c:v>
                </c:pt>
                <c:pt idx="103">
                  <c:v>4.8703747847781758</c:v>
                </c:pt>
                <c:pt idx="104">
                  <c:v>4.8596238018156592</c:v>
                </c:pt>
                <c:pt idx="105">
                  <c:v>4.8500900731131305</c:v>
                </c:pt>
                <c:pt idx="106">
                  <c:v>4.8415629786044079</c:v>
                </c:pt>
                <c:pt idx="107">
                  <c:v>4.8338781965353608</c:v>
                </c:pt>
                <c:pt idx="108">
                  <c:v>4.8269055762240196</c:v>
                </c:pt>
                <c:pt idx="109">
                  <c:v>4.820540640457077</c:v>
                </c:pt>
                <c:pt idx="110">
                  <c:v>4.8146985091366377</c:v>
                </c:pt>
                <c:pt idx="111">
                  <c:v>4.8093094748801457</c:v>
                </c:pt>
                <c:pt idx="112">
                  <c:v>4.8043157287173637</c:v>
                </c:pt>
                <c:pt idx="113">
                  <c:v>4.7996689007607847</c:v>
                </c:pt>
                <c:pt idx="114">
                  <c:v>4.795328188664099</c:v>
                </c:pt>
                <c:pt idx="115">
                  <c:v>4.7912589152624419</c:v>
                </c:pt>
                <c:pt idx="116">
                  <c:v>4.7874314049866404</c:v>
                </c:pt>
                <c:pt idx="117">
                  <c:v>4.7838200992480076</c:v>
                </c:pt>
                <c:pt idx="118">
                  <c:v>4.7804028536644623</c:v>
                </c:pt>
                <c:pt idx="119">
                  <c:v>4.7771603744520341</c:v>
                </c:pt>
                <c:pt idx="120">
                  <c:v>4.7740757628718189</c:v>
                </c:pt>
                <c:pt idx="121">
                  <c:v>4.771134144398026</c:v>
                </c:pt>
                <c:pt idx="122">
                  <c:v>4.7683223640916754</c:v>
                </c:pt>
                <c:pt idx="123">
                  <c:v>4.7656287355699787</c:v>
                </c:pt>
                <c:pt idx="124">
                  <c:v>4.763042831753955</c:v>
                </c:pt>
                <c:pt idx="125">
                  <c:v>4.7603712038243096</c:v>
                </c:pt>
                <c:pt idx="126">
                  <c:v>4.7572327709139373</c:v>
                </c:pt>
                <c:pt idx="127">
                  <c:v>4.7542362637277815</c:v>
                </c:pt>
                <c:pt idx="128">
                  <c:v>4.7513704706350088</c:v>
                </c:pt>
                <c:pt idx="129">
                  <c:v>4.748625265104641</c:v>
                </c:pt>
                <c:pt idx="130">
                  <c:v>4.7459914729182664</c:v>
                </c:pt>
                <c:pt idx="131">
                  <c:v>4.7434607579043364</c:v>
                </c:pt>
                <c:pt idx="132">
                  <c:v>4.7410255232250469</c:v>
                </c:pt>
                <c:pt idx="133">
                  <c:v>4.7386788253031664</c:v>
                </c:pt>
                <c:pt idx="134">
                  <c:v>4.7364142991288878</c:v>
                </c:pt>
                <c:pt idx="135">
                  <c:v>4.734226092331018</c:v>
                </c:pt>
                <c:pt idx="136">
                  <c:v>4.7321088078001186</c:v>
                </c:pt>
                <c:pt idx="137">
                  <c:v>4.7300574518255667</c:v>
                </c:pt>
                <c:pt idx="138">
                  <c:v>4.7280673891849956</c:v>
                </c:pt>
                <c:pt idx="139">
                  <c:v>4.72613430171433</c:v>
                </c:pt>
                <c:pt idx="140">
                  <c:v>4.7242541516333203</c:v>
                </c:pt>
                <c:pt idx="141">
                  <c:v>4.7224231478203986</c:v>
                </c:pt>
                <c:pt idx="142">
                  <c:v>4.7206377149868421</c:v>
                </c:pt>
                <c:pt idx="143">
                  <c:v>4.7188944646745226</c:v>
                </c:pt>
                <c:pt idx="144">
                  <c:v>4.7171901683196946</c:v>
                </c:pt>
                <c:pt idx="145">
                  <c:v>4.7155217310200239</c:v>
                </c:pt>
                <c:pt idx="146">
                  <c:v>4.7138861662774074</c:v>
                </c:pt>
                <c:pt idx="147">
                  <c:v>4.7122805704738138</c:v>
                </c:pt>
                <c:pt idx="148">
                  <c:v>4.7107020975496656</c:v>
                </c:pt>
                <c:pt idx="149">
                  <c:v>4.7091479317680491</c:v>
                </c:pt>
                <c:pt idx="150">
                  <c:v>4.7076152595653022</c:v>
                </c:pt>
                <c:pt idx="151">
                  <c:v>4.7061012382259255</c:v>
                </c:pt>
                <c:pt idx="152">
                  <c:v>4.7046029609417541</c:v>
                </c:pt>
                <c:pt idx="153">
                  <c:v>4.7031174171807431</c:v>
                </c:pt>
                <c:pt idx="154">
                  <c:v>4.7016414462524665</c:v>
                </c:pt>
                <c:pt idx="155">
                  <c:v>4.7001716818736394</c:v>
                </c:pt>
                <c:pt idx="156">
                  <c:v>4.6987044853441926</c:v>
                </c:pt>
                <c:pt idx="157">
                  <c:v>4.6972358630242201</c:v>
                </c:pt>
                <c:pt idx="158">
                  <c:v>4.6957613632101998</c:v>
                </c:pt>
                <c:pt idx="159">
                  <c:v>4.6942759445956801</c:v>
                </c:pt>
                <c:pt idx="160">
                  <c:v>4.6927738067151736</c:v>
                </c:pt>
                <c:pt idx="161">
                  <c:v>4.6912481676054796</c:v>
                </c:pt>
                <c:pt idx="162">
                  <c:v>4.6896909673881089</c:v>
                </c:pt>
                <c:pt idx="163">
                  <c:v>4.6880924656946945</c:v>
                </c:pt>
                <c:pt idx="164">
                  <c:v>4.6864406856531113</c:v>
                </c:pt>
                <c:pt idx="165">
                  <c:v>4.6847206294210793</c:v>
                </c:pt>
                <c:pt idx="166">
                  <c:v>4.6829131452198816</c:v>
                </c:pt>
                <c:pt idx="167">
                  <c:v>4.6809932476336309</c:v>
                </c:pt>
                <c:pt idx="168">
                  <c:v>4.6788780690439626</c:v>
                </c:pt>
                <c:pt idx="169">
                  <c:v>4.6764294372737183</c:v>
                </c:pt>
                <c:pt idx="170">
                  <c:v>4.6737283676177555</c:v>
                </c:pt>
                <c:pt idx="171">
                  <c:v>4.6706753802437078</c:v>
                </c:pt>
                <c:pt idx="172">
                  <c:v>4.6671165761415878</c:v>
                </c:pt>
                <c:pt idx="173">
                  <c:v>4.6627995321137092</c:v>
                </c:pt>
                <c:pt idx="174">
                  <c:v>4.6588739133155102</c:v>
                </c:pt>
                <c:pt idx="175">
                  <c:v>4.6516113746736556</c:v>
                </c:pt>
                <c:pt idx="176">
                  <c:v>4.6404376903654931</c:v>
                </c:pt>
                <c:pt idx="177">
                  <c:v>4.6195187473926147</c:v>
                </c:pt>
                <c:pt idx="178">
                  <c:v>4.5678444745590658</c:v>
                </c:pt>
                <c:pt idx="179">
                  <c:v>4.4251784623516857</c:v>
                </c:pt>
                <c:pt idx="180">
                  <c:v>3.1415926540257262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ser>
          <c:idx val="7"/>
          <c:order val="7"/>
          <c:tx>
            <c:v>inversion+correction</c:v>
          </c:tx>
          <c:spPr>
            <a:ln w="22225" cap="rnd">
              <a:solidFill>
                <a:srgbClr val="0070C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L_Section_Capacity!$BE$2:$BE$182</c:f>
              <c:numCache>
                <c:formatCode>0.000E+00</c:formatCode>
                <c:ptCount val="181"/>
                <c:pt idx="0">
                  <c:v>-5.7348781527903512</c:v>
                </c:pt>
                <c:pt idx="1">
                  <c:v>-5.7365352765882358</c:v>
                </c:pt>
                <c:pt idx="2">
                  <c:v>-5.7382077800943732</c:v>
                </c:pt>
                <c:pt idx="3">
                  <c:v>-5.73989681729301</c:v>
                </c:pt>
                <c:pt idx="4">
                  <c:v>-5.7416035850038405</c:v>
                </c:pt>
                <c:pt idx="5">
                  <c:v>-5.7433293264323861</c:v>
                </c:pt>
                <c:pt idx="6">
                  <c:v>-5.7450753349844748</c:v>
                </c:pt>
                <c:pt idx="7">
                  <c:v>-5.7468429584449643</c:v>
                </c:pt>
                <c:pt idx="8">
                  <c:v>-5.7486336033916059</c:v>
                </c:pt>
                <c:pt idx="9">
                  <c:v>-5.7504487399604036</c:v>
                </c:pt>
                <c:pt idx="10">
                  <c:v>-5.7522899070562943</c:v>
                </c:pt>
                <c:pt idx="11">
                  <c:v>-5.7541587179474041</c:v>
                </c:pt>
                <c:pt idx="12">
                  <c:v>-5.7560568663389642</c:v>
                </c:pt>
                <c:pt idx="13">
                  <c:v>-5.7579861329975888</c:v>
                </c:pt>
                <c:pt idx="14">
                  <c:v>-5.7599483928771793</c:v>
                </c:pt>
                <c:pt idx="15">
                  <c:v>-5.7619456229905817</c:v>
                </c:pt>
                <c:pt idx="16">
                  <c:v>-5.7639799109093683</c:v>
                </c:pt>
                <c:pt idx="17">
                  <c:v>-5.7660534640809109</c:v>
                </c:pt>
                <c:pt idx="18">
                  <c:v>-5.76816862005911</c:v>
                </c:pt>
                <c:pt idx="19">
                  <c:v>-5.7703278576705079</c:v>
                </c:pt>
                <c:pt idx="20">
                  <c:v>-5.7725338092998992</c:v>
                </c:pt>
                <c:pt idx="21">
                  <c:v>-5.774789274408473</c:v>
                </c:pt>
                <c:pt idx="22">
                  <c:v>-5.7770972344289433</c:v>
                </c:pt>
                <c:pt idx="23">
                  <c:v>-5.779460869191702</c:v>
                </c:pt>
                <c:pt idx="24">
                  <c:v>-5.7818835751082034</c:v>
                </c:pt>
                <c:pt idx="25">
                  <c:v>-5.7843689852781406</c:v>
                </c:pt>
                <c:pt idx="26">
                  <c:v>-5.7869209918656423</c:v>
                </c:pt>
                <c:pt idx="27">
                  <c:v>-5.7895437709615658</c:v>
                </c:pt>
                <c:pt idx="28">
                  <c:v>-5.7922418101723112</c:v>
                </c:pt>
                <c:pt idx="29">
                  <c:v>-5.795019939644682</c:v>
                </c:pt>
                <c:pt idx="30">
                  <c:v>-5.7978833665017167</c:v>
                </c:pt>
                <c:pt idx="31">
                  <c:v>-5.8008377136967688</c:v>
                </c:pt>
                <c:pt idx="32">
                  <c:v>-5.8038890634519422</c:v>
                </c:pt>
                <c:pt idx="33">
                  <c:v>-5.8070440063423794</c:v>
                </c:pt>
                <c:pt idx="34">
                  <c:v>-5.8103096965603207</c:v>
                </c:pt>
                <c:pt idx="35">
                  <c:v>-5.8136939145713988</c:v>
                </c:pt>
                <c:pt idx="36">
                  <c:v>-5.8172051379772238</c:v>
                </c:pt>
                <c:pt idx="37">
                  <c:v>-5.820852622366596</c:v>
                </c:pt>
                <c:pt idx="38">
                  <c:v>-5.8246464932725024</c:v>
                </c:pt>
                <c:pt idx="39">
                  <c:v>-5.828513867479499</c:v>
                </c:pt>
                <c:pt idx="40">
                  <c:v>-5.8323381736457538</c:v>
                </c:pt>
                <c:pt idx="41">
                  <c:v>-5.8361253667167512</c:v>
                </c:pt>
                <c:pt idx="42">
                  <c:v>-5.8398823196311156</c:v>
                </c:pt>
                <c:pt idx="43">
                  <c:v>-5.8436156724858268</c:v>
                </c:pt>
                <c:pt idx="44">
                  <c:v>-5.8473318893953365</c:v>
                </c:pt>
                <c:pt idx="45">
                  <c:v>-5.8510373122672501</c:v>
                </c:pt>
                <c:pt idx="46">
                  <c:v>-5.8547382123945484</c:v>
                </c:pt>
                <c:pt idx="47">
                  <c:v>-5.858440840953512</c:v>
                </c:pt>
                <c:pt idx="48">
                  <c:v>-5.8621514792414118</c:v>
                </c:pt>
                <c:pt idx="49">
                  <c:v>-5.8658764896755375</c:v>
                </c:pt>
                <c:pt idx="50">
                  <c:v>-5.8696223684794386</c:v>
                </c:pt>
                <c:pt idx="51">
                  <c:v>-5.8733958009850618</c:v>
                </c:pt>
                <c:pt idx="52">
                  <c:v>-5.8772037209458148</c:v>
                </c:pt>
                <c:pt idx="53">
                  <c:v>-5.8810533746360001</c:v>
                </c:pt>
                <c:pt idx="54">
                  <c:v>-5.886721243030232</c:v>
                </c:pt>
                <c:pt idx="55">
                  <c:v>-5.8934869226803546</c:v>
                </c:pt>
                <c:pt idx="56">
                  <c:v>-5.9002612768448346</c:v>
                </c:pt>
                <c:pt idx="57">
                  <c:v>-5.9070545697029084</c:v>
                </c:pt>
                <c:pt idx="58">
                  <c:v>-5.9138774347229761</c:v>
                </c:pt>
                <c:pt idx="59">
                  <c:v>-5.9207409813913774</c:v>
                </c:pt>
                <c:pt idx="60">
                  <c:v>-5.9276569162845121</c:v>
                </c:pt>
                <c:pt idx="61">
                  <c:v>-5.9346376824216414</c:v>
                </c:pt>
                <c:pt idx="62">
                  <c:v>-5.9416966218501708</c:v>
                </c:pt>
                <c:pt idx="63">
                  <c:v>-5.9488481677940799</c:v>
                </c:pt>
                <c:pt idx="64">
                  <c:v>-5.9561080745265933</c:v>
                </c:pt>
                <c:pt idx="65">
                  <c:v>-5.9634936956918709</c:v>
                </c:pt>
                <c:pt idx="66">
                  <c:v>-5.9710243252171118</c:v>
                </c:pt>
                <c:pt idx="67">
                  <c:v>-5.9787216198735891</c:v>
                </c:pt>
                <c:pt idx="68">
                  <c:v>-5.986610129330046</c:v>
                </c:pt>
                <c:pt idx="69">
                  <c:v>-5.9947179693934265</c:v>
                </c:pt>
                <c:pt idx="70">
                  <c:v>-6.0030776882970276</c:v>
                </c:pt>
                <c:pt idx="71">
                  <c:v>-6.0117273970690421</c:v>
                </c:pt>
                <c:pt idx="72">
                  <c:v>-6.0207122666390553</c:v>
                </c:pt>
                <c:pt idx="73">
                  <c:v>-6.0300865432431063</c:v>
                </c:pt>
                <c:pt idx="74">
                  <c:v>-6.0399163103238189</c:v>
                </c:pt>
                <c:pt idx="75">
                  <c:v>-6.0502833487922159</c:v>
                </c:pt>
                <c:pt idx="76">
                  <c:v>-6.0612906526041046</c:v>
                </c:pt>
                <c:pt idx="77">
                  <c:v>-6.0730705068419226</c:v>
                </c:pt>
                <c:pt idx="78">
                  <c:v>-6.0857966563027528</c:v>
                </c:pt>
                <c:pt idx="79">
                  <c:v>-6.0997032368689545</c:v>
                </c:pt>
                <c:pt idx="80">
                  <c:v>-6.1151153507271419</c:v>
                </c:pt>
                <c:pt idx="81">
                  <c:v>-6.1320378797747637</c:v>
                </c:pt>
                <c:pt idx="82">
                  <c:v>-6.1491856080290921</c:v>
                </c:pt>
                <c:pt idx="83">
                  <c:v>-6.1664621284011334</c:v>
                </c:pt>
                <c:pt idx="84">
                  <c:v>-6.1839023108803364</c:v>
                </c:pt>
                <c:pt idx="85">
                  <c:v>-6.2015456291347508</c:v>
                </c:pt>
                <c:pt idx="86">
                  <c:v>-6.2194375461251905</c:v>
                </c:pt>
                <c:pt idx="87">
                  <c:v>-6.2376314360391101</c:v>
                </c:pt>
                <c:pt idx="88">
                  <c:v>-6.256191320901527</c:v>
                </c:pt>
                <c:pt idx="89">
                  <c:v>-6.2751958830560941</c:v>
                </c:pt>
                <c:pt idx="90">
                  <c:v>-6.2947445542158649</c:v>
                </c:pt>
                <c:pt idx="91">
                  <c:v>-6.3242019759052708</c:v>
                </c:pt>
                <c:pt idx="92">
                  <c:v>-6.3532653834106396</c:v>
                </c:pt>
                <c:pt idx="93">
                  <c:v>-6.3819719417666052</c:v>
                </c:pt>
                <c:pt idx="94">
                  <c:v>-6.4103672960828861</c:v>
                </c:pt>
                <c:pt idx="95">
                  <c:v>-6.4385029281041568</c:v>
                </c:pt>
                <c:pt idx="96">
                  <c:v>-6.4664339951038228</c:v>
                </c:pt>
                <c:pt idx="97">
                  <c:v>-6.4942176715981912</c:v>
                </c:pt>
                <c:pt idx="98">
                  <c:v>-6.5135378219106101</c:v>
                </c:pt>
                <c:pt idx="99">
                  <c:v>-6.5370845256740289</c:v>
                </c:pt>
                <c:pt idx="100">
                  <c:v>-6.5565852077340745</c:v>
                </c:pt>
                <c:pt idx="101">
                  <c:v>-6.5730387642010388</c:v>
                </c:pt>
                <c:pt idx="102">
                  <c:v>-6.5871386596198906</c:v>
                </c:pt>
                <c:pt idx="103">
                  <c:v>-6.5993815208025266</c:v>
                </c:pt>
                <c:pt idx="104">
                  <c:v>-6.6101325037650431</c:v>
                </c:pt>
                <c:pt idx="105">
                  <c:v>-6.6196662324675719</c:v>
                </c:pt>
                <c:pt idx="106">
                  <c:v>-6.6281933269762945</c:v>
                </c:pt>
                <c:pt idx="107">
                  <c:v>-6.6358781090453416</c:v>
                </c:pt>
                <c:pt idx="108">
                  <c:v>-6.6428507293566827</c:v>
                </c:pt>
                <c:pt idx="109">
                  <c:v>-6.6492156651236254</c:v>
                </c:pt>
                <c:pt idx="110">
                  <c:v>-6.6550577964440647</c:v>
                </c:pt>
                <c:pt idx="111">
                  <c:v>-6.6604468307005567</c:v>
                </c:pt>
                <c:pt idx="112">
                  <c:v>-6.6654405768633387</c:v>
                </c:pt>
                <c:pt idx="113">
                  <c:v>-6.6700874048199177</c:v>
                </c:pt>
                <c:pt idx="114">
                  <c:v>-6.6744281169166033</c:v>
                </c:pt>
                <c:pt idx="115">
                  <c:v>-6.6784973903182605</c:v>
                </c:pt>
                <c:pt idx="116">
                  <c:v>-6.6823249005940619</c:v>
                </c:pt>
                <c:pt idx="117">
                  <c:v>-6.6859362063326948</c:v>
                </c:pt>
                <c:pt idx="118">
                  <c:v>-6.6893534519162401</c:v>
                </c:pt>
                <c:pt idx="119">
                  <c:v>-6.6925959311286682</c:v>
                </c:pt>
                <c:pt idx="120">
                  <c:v>-6.6956805427088835</c:v>
                </c:pt>
                <c:pt idx="121">
                  <c:v>-6.6986221611826764</c:v>
                </c:pt>
                <c:pt idx="122">
                  <c:v>-6.7014339414890269</c:v>
                </c:pt>
                <c:pt idx="123">
                  <c:v>-6.7041275700107237</c:v>
                </c:pt>
                <c:pt idx="124">
                  <c:v>-6.7067134738267473</c:v>
                </c:pt>
                <c:pt idx="125">
                  <c:v>-6.7093851017563928</c:v>
                </c:pt>
                <c:pt idx="126">
                  <c:v>-6.7125235346667651</c:v>
                </c:pt>
                <c:pt idx="127">
                  <c:v>-6.7155200418529208</c:v>
                </c:pt>
                <c:pt idx="128">
                  <c:v>-6.7183858349456935</c:v>
                </c:pt>
                <c:pt idx="129">
                  <c:v>-6.7211310404760614</c:v>
                </c:pt>
                <c:pt idx="130">
                  <c:v>-6.723764832662436</c:v>
                </c:pt>
                <c:pt idx="131">
                  <c:v>-6.7262955476763659</c:v>
                </c:pt>
                <c:pt idx="132">
                  <c:v>-6.7287307823556555</c:v>
                </c:pt>
                <c:pt idx="133">
                  <c:v>-6.7310774802775359</c:v>
                </c:pt>
                <c:pt idx="134">
                  <c:v>-6.7333420064518146</c:v>
                </c:pt>
                <c:pt idx="135">
                  <c:v>-6.7355302132496844</c:v>
                </c:pt>
                <c:pt idx="136">
                  <c:v>-6.7376474977805838</c:v>
                </c:pt>
                <c:pt idx="137">
                  <c:v>-6.7396988537551357</c:v>
                </c:pt>
                <c:pt idx="138">
                  <c:v>-6.7416889163957068</c:v>
                </c:pt>
                <c:pt idx="139">
                  <c:v>-6.7436220038663723</c:v>
                </c:pt>
                <c:pt idx="140">
                  <c:v>-6.7455021539473821</c:v>
                </c:pt>
                <c:pt idx="141">
                  <c:v>-6.7473331577603037</c:v>
                </c:pt>
                <c:pt idx="142">
                  <c:v>-6.7491185905938602</c:v>
                </c:pt>
                <c:pt idx="143">
                  <c:v>-6.7508618409061798</c:v>
                </c:pt>
                <c:pt idx="144">
                  <c:v>-6.7525661372610077</c:v>
                </c:pt>
                <c:pt idx="145">
                  <c:v>-6.7542345745606784</c:v>
                </c:pt>
                <c:pt idx="146">
                  <c:v>-6.7558701393032949</c:v>
                </c:pt>
                <c:pt idx="147">
                  <c:v>-6.7574757351068886</c:v>
                </c:pt>
                <c:pt idx="148">
                  <c:v>-6.7590542080310367</c:v>
                </c:pt>
                <c:pt idx="149">
                  <c:v>-6.7606083738126532</c:v>
                </c:pt>
                <c:pt idx="150">
                  <c:v>-6.7621410460154001</c:v>
                </c:pt>
                <c:pt idx="151">
                  <c:v>-6.7636550673547768</c:v>
                </c:pt>
                <c:pt idx="152">
                  <c:v>-6.7651533446389482</c:v>
                </c:pt>
                <c:pt idx="153">
                  <c:v>-6.7666388883999593</c:v>
                </c:pt>
                <c:pt idx="154">
                  <c:v>-6.7681148593282359</c:v>
                </c:pt>
                <c:pt idx="155">
                  <c:v>-6.7695846237070629</c:v>
                </c:pt>
                <c:pt idx="156">
                  <c:v>-6.7710518202365098</c:v>
                </c:pt>
                <c:pt idx="157">
                  <c:v>-6.7725204425564822</c:v>
                </c:pt>
                <c:pt idx="158">
                  <c:v>-6.7739949423705026</c:v>
                </c:pt>
                <c:pt idx="159">
                  <c:v>-6.7754803609850223</c:v>
                </c:pt>
                <c:pt idx="160">
                  <c:v>-6.7769824988655287</c:v>
                </c:pt>
                <c:pt idx="161">
                  <c:v>-6.7785081379752228</c:v>
                </c:pt>
                <c:pt idx="162">
                  <c:v>-6.7800653381925935</c:v>
                </c:pt>
                <c:pt idx="163">
                  <c:v>-6.7816638398860078</c:v>
                </c:pt>
                <c:pt idx="164">
                  <c:v>-6.783315619927591</c:v>
                </c:pt>
                <c:pt idx="165">
                  <c:v>-6.7850356761596231</c:v>
                </c:pt>
                <c:pt idx="166">
                  <c:v>-6.7868431603608208</c:v>
                </c:pt>
                <c:pt idx="167">
                  <c:v>-6.7887630579470715</c:v>
                </c:pt>
                <c:pt idx="168">
                  <c:v>-6.7908782365367397</c:v>
                </c:pt>
                <c:pt idx="169">
                  <c:v>-6.7933268683069841</c:v>
                </c:pt>
                <c:pt idx="170">
                  <c:v>-6.7960279379629469</c:v>
                </c:pt>
                <c:pt idx="171">
                  <c:v>-6.7990809253369946</c:v>
                </c:pt>
                <c:pt idx="172">
                  <c:v>-6.8026397294391145</c:v>
                </c:pt>
                <c:pt idx="173">
                  <c:v>-6.8069567734669931</c:v>
                </c:pt>
                <c:pt idx="174">
                  <c:v>-6.8108823922651922</c:v>
                </c:pt>
                <c:pt idx="175">
                  <c:v>-6.8181449309070468</c:v>
                </c:pt>
                <c:pt idx="176">
                  <c:v>-6.8293186152152092</c:v>
                </c:pt>
                <c:pt idx="177">
                  <c:v>-6.8502375581880877</c:v>
                </c:pt>
                <c:pt idx="178">
                  <c:v>-6.9019118310216365</c:v>
                </c:pt>
                <c:pt idx="179">
                  <c:v>-7.0445778432290167</c:v>
                </c:pt>
                <c:pt idx="180">
                  <c:v>-8.3281636515549771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F-4F3F-B5DE-1D45F2007E7B}"/>
            </c:ext>
          </c:extLst>
        </c:ser>
        <c:ser>
          <c:idx val="8"/>
          <c:order val="8"/>
          <c:tx>
            <c:v>pi_shift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L_Section_Capacity!$BF$2:$BF$362</c:f>
              <c:numCache>
                <c:formatCode>0.000E+00</c:formatCode>
                <c:ptCount val="361"/>
                <c:pt idx="0">
                  <c:v>-2.5932854992005581</c:v>
                </c:pt>
                <c:pt idx="1">
                  <c:v>-2.5916283754026734</c:v>
                </c:pt>
                <c:pt idx="2">
                  <c:v>-2.5899558718965361</c:v>
                </c:pt>
                <c:pt idx="3">
                  <c:v>-2.5882668346978992</c:v>
                </c:pt>
                <c:pt idx="4">
                  <c:v>-2.5865600669870688</c:v>
                </c:pt>
                <c:pt idx="5">
                  <c:v>-2.5848343255585231</c:v>
                </c:pt>
                <c:pt idx="6">
                  <c:v>-2.5830883170064345</c:v>
                </c:pt>
                <c:pt idx="7">
                  <c:v>-2.581320693545945</c:v>
                </c:pt>
                <c:pt idx="8">
                  <c:v>-2.5795300485993033</c:v>
                </c:pt>
                <c:pt idx="9">
                  <c:v>-2.5777149120305056</c:v>
                </c:pt>
                <c:pt idx="10">
                  <c:v>-2.575873744934615</c:v>
                </c:pt>
                <c:pt idx="11">
                  <c:v>-2.5740049340435052</c:v>
                </c:pt>
                <c:pt idx="12">
                  <c:v>-2.5721067856519451</c:v>
                </c:pt>
                <c:pt idx="13">
                  <c:v>-2.5701775189933205</c:v>
                </c:pt>
                <c:pt idx="14">
                  <c:v>-2.5682152591137299</c:v>
                </c:pt>
                <c:pt idx="15">
                  <c:v>-2.5662180290003276</c:v>
                </c:pt>
                <c:pt idx="16">
                  <c:v>-2.5641837410815409</c:v>
                </c:pt>
                <c:pt idx="17">
                  <c:v>-2.5621101879099983</c:v>
                </c:pt>
                <c:pt idx="18">
                  <c:v>-2.5599950319317992</c:v>
                </c:pt>
                <c:pt idx="19">
                  <c:v>-2.5578357943204013</c:v>
                </c:pt>
                <c:pt idx="20">
                  <c:v>-2.55562984269101</c:v>
                </c:pt>
                <c:pt idx="21">
                  <c:v>-2.5533743775824362</c:v>
                </c:pt>
                <c:pt idx="22">
                  <c:v>-2.5510664175619659</c:v>
                </c:pt>
                <c:pt idx="23">
                  <c:v>-2.5487027827992073</c:v>
                </c:pt>
                <c:pt idx="24">
                  <c:v>-2.5462800768827059</c:v>
                </c:pt>
                <c:pt idx="25">
                  <c:v>-2.5437946667127687</c:v>
                </c:pt>
                <c:pt idx="26">
                  <c:v>-2.5412426601252669</c:v>
                </c:pt>
                <c:pt idx="27">
                  <c:v>-2.5386198810293434</c:v>
                </c:pt>
                <c:pt idx="28">
                  <c:v>-2.535921841818598</c:v>
                </c:pt>
                <c:pt idx="29">
                  <c:v>-2.5331437123462273</c:v>
                </c:pt>
                <c:pt idx="30">
                  <c:v>-2.5302802854891926</c:v>
                </c:pt>
                <c:pt idx="31">
                  <c:v>-2.5273259382941404</c:v>
                </c:pt>
                <c:pt idx="32">
                  <c:v>-2.524274588538967</c:v>
                </c:pt>
                <c:pt idx="33">
                  <c:v>-2.5211196456485299</c:v>
                </c:pt>
                <c:pt idx="34">
                  <c:v>-2.5178539554305885</c:v>
                </c:pt>
                <c:pt idx="35">
                  <c:v>-2.5144697374195104</c:v>
                </c:pt>
                <c:pt idx="36">
                  <c:v>-2.5109585140136854</c:v>
                </c:pt>
                <c:pt idx="37">
                  <c:v>-2.5073110296243133</c:v>
                </c:pt>
                <c:pt idx="38">
                  <c:v>-2.5035171587184069</c:v>
                </c:pt>
                <c:pt idx="39">
                  <c:v>-2.4996497845114103</c:v>
                </c:pt>
                <c:pt idx="40">
                  <c:v>-2.4958254783451554</c:v>
                </c:pt>
                <c:pt idx="41">
                  <c:v>-2.492038285274158</c:v>
                </c:pt>
                <c:pt idx="42">
                  <c:v>-2.4882813323597937</c:v>
                </c:pt>
                <c:pt idx="43">
                  <c:v>-2.4845479795050824</c:v>
                </c:pt>
                <c:pt idx="44">
                  <c:v>-2.4808317625955727</c:v>
                </c:pt>
                <c:pt idx="45">
                  <c:v>-2.4771263397236591</c:v>
                </c:pt>
                <c:pt idx="46">
                  <c:v>-2.4734254395963609</c:v>
                </c:pt>
                <c:pt idx="47">
                  <c:v>-2.4697228110373972</c:v>
                </c:pt>
                <c:pt idx="48">
                  <c:v>-2.4660121727494975</c:v>
                </c:pt>
                <c:pt idx="49">
                  <c:v>-2.4622871623153717</c:v>
                </c:pt>
                <c:pt idx="50">
                  <c:v>-2.4585412835114706</c:v>
                </c:pt>
                <c:pt idx="51">
                  <c:v>-2.4547678510058475</c:v>
                </c:pt>
                <c:pt idx="52">
                  <c:v>-2.4509599310450945</c:v>
                </c:pt>
                <c:pt idx="53">
                  <c:v>-2.4471102773549092</c:v>
                </c:pt>
                <c:pt idx="54">
                  <c:v>-2.4414424089606772</c:v>
                </c:pt>
                <c:pt idx="55">
                  <c:v>-2.4346767293105547</c:v>
                </c:pt>
                <c:pt idx="56">
                  <c:v>-2.4279023751460747</c:v>
                </c:pt>
                <c:pt idx="57">
                  <c:v>-2.4211090822880008</c:v>
                </c:pt>
                <c:pt idx="58">
                  <c:v>-2.4142862172679331</c:v>
                </c:pt>
                <c:pt idx="59">
                  <c:v>-2.4074226705995319</c:v>
                </c:pt>
                <c:pt idx="60">
                  <c:v>-2.4005067357063972</c:v>
                </c:pt>
                <c:pt idx="61">
                  <c:v>-2.3935259695692679</c:v>
                </c:pt>
                <c:pt idx="62">
                  <c:v>-2.3864670301407385</c:v>
                </c:pt>
                <c:pt idx="63">
                  <c:v>-2.3793154841968294</c:v>
                </c:pt>
                <c:pt idx="64">
                  <c:v>-2.3720555774643159</c:v>
                </c:pt>
                <c:pt idx="65">
                  <c:v>-2.3646699562990383</c:v>
                </c:pt>
                <c:pt idx="66">
                  <c:v>-2.3571393267737974</c:v>
                </c:pt>
                <c:pt idx="67">
                  <c:v>-2.3494420321173202</c:v>
                </c:pt>
                <c:pt idx="68">
                  <c:v>-2.3415535226608633</c:v>
                </c:pt>
                <c:pt idx="69">
                  <c:v>-2.3334456825974828</c:v>
                </c:pt>
                <c:pt idx="70">
                  <c:v>-2.3250859636938817</c:v>
                </c:pt>
                <c:pt idx="71">
                  <c:v>-2.3164362549218671</c:v>
                </c:pt>
                <c:pt idx="72">
                  <c:v>-2.3074513853518539</c:v>
                </c:pt>
                <c:pt idx="73">
                  <c:v>-2.2980771087478029</c:v>
                </c:pt>
                <c:pt idx="74">
                  <c:v>-2.2882473416670903</c:v>
                </c:pt>
                <c:pt idx="75">
                  <c:v>-2.2778803031986934</c:v>
                </c:pt>
                <c:pt idx="76">
                  <c:v>-2.2668729993868046</c:v>
                </c:pt>
                <c:pt idx="77">
                  <c:v>-2.2550931451489866</c:v>
                </c:pt>
                <c:pt idx="78">
                  <c:v>-2.2423669956881565</c:v>
                </c:pt>
                <c:pt idx="79">
                  <c:v>-2.2284604151219547</c:v>
                </c:pt>
                <c:pt idx="80">
                  <c:v>-2.2130483012637674</c:v>
                </c:pt>
                <c:pt idx="81">
                  <c:v>-2.1961257722161456</c:v>
                </c:pt>
                <c:pt idx="82">
                  <c:v>-2.1789780439618172</c:v>
                </c:pt>
                <c:pt idx="83">
                  <c:v>-2.1617015235897759</c:v>
                </c:pt>
                <c:pt idx="84">
                  <c:v>-2.1442613411105729</c:v>
                </c:pt>
                <c:pt idx="85">
                  <c:v>-2.1266180228561584</c:v>
                </c:pt>
                <c:pt idx="86">
                  <c:v>-2.1087261058657187</c:v>
                </c:pt>
                <c:pt idx="87">
                  <c:v>-2.0905322159517992</c:v>
                </c:pt>
                <c:pt idx="88">
                  <c:v>-2.0719723310893823</c:v>
                </c:pt>
                <c:pt idx="89">
                  <c:v>-2.0529677689348151</c:v>
                </c:pt>
                <c:pt idx="90">
                  <c:v>-2.0334190977750444</c:v>
                </c:pt>
                <c:pt idx="91">
                  <c:v>-2.0039616760856385</c:v>
                </c:pt>
                <c:pt idx="92">
                  <c:v>-1.9748982685802696</c:v>
                </c:pt>
                <c:pt idx="93">
                  <c:v>-1.946191710224304</c:v>
                </c:pt>
                <c:pt idx="94">
                  <c:v>-1.9177963559080231</c:v>
                </c:pt>
                <c:pt idx="95">
                  <c:v>-1.8896607238867524</c:v>
                </c:pt>
                <c:pt idx="96">
                  <c:v>-1.8617296568870865</c:v>
                </c:pt>
                <c:pt idx="97">
                  <c:v>-1.8339459803927181</c:v>
                </c:pt>
                <c:pt idx="98">
                  <c:v>-1.8146258300802991</c:v>
                </c:pt>
                <c:pt idx="99">
                  <c:v>-1.7910791263168804</c:v>
                </c:pt>
                <c:pt idx="100">
                  <c:v>-1.7715784442568348</c:v>
                </c:pt>
                <c:pt idx="101">
                  <c:v>-1.7551248877898704</c:v>
                </c:pt>
                <c:pt idx="102">
                  <c:v>-1.7410249923710186</c:v>
                </c:pt>
                <c:pt idx="103">
                  <c:v>-1.7287821311883826</c:v>
                </c:pt>
                <c:pt idx="104">
                  <c:v>-1.7180311482258661</c:v>
                </c:pt>
                <c:pt idx="105">
                  <c:v>-1.7084974195233373</c:v>
                </c:pt>
                <c:pt idx="106">
                  <c:v>-1.6999703250146148</c:v>
                </c:pt>
                <c:pt idx="107">
                  <c:v>-1.6922855429455677</c:v>
                </c:pt>
                <c:pt idx="108">
                  <c:v>-1.6853129226342265</c:v>
                </c:pt>
                <c:pt idx="109">
                  <c:v>-1.6789479868672839</c:v>
                </c:pt>
                <c:pt idx="110">
                  <c:v>-1.6731058555468445</c:v>
                </c:pt>
                <c:pt idx="111">
                  <c:v>-1.6677168212903526</c:v>
                </c:pt>
                <c:pt idx="112">
                  <c:v>-1.6627230751275706</c:v>
                </c:pt>
                <c:pt idx="113">
                  <c:v>-1.6580762471709916</c:v>
                </c:pt>
                <c:pt idx="114">
                  <c:v>-1.6537355350743059</c:v>
                </c:pt>
                <c:pt idx="115">
                  <c:v>-1.6496662616726487</c:v>
                </c:pt>
                <c:pt idx="116">
                  <c:v>-1.6458387513968473</c:v>
                </c:pt>
                <c:pt idx="117">
                  <c:v>-1.6422274456582144</c:v>
                </c:pt>
                <c:pt idx="118">
                  <c:v>-1.6388102000746692</c:v>
                </c:pt>
                <c:pt idx="119">
                  <c:v>-1.635567720862241</c:v>
                </c:pt>
                <c:pt idx="120">
                  <c:v>-1.6324831092820258</c:v>
                </c:pt>
                <c:pt idx="121">
                  <c:v>-1.6295414908082329</c:v>
                </c:pt>
                <c:pt idx="122">
                  <c:v>-1.6267297105018823</c:v>
                </c:pt>
                <c:pt idx="123">
                  <c:v>-1.6240360819801856</c:v>
                </c:pt>
                <c:pt idx="124">
                  <c:v>-1.6214501781641619</c:v>
                </c:pt>
                <c:pt idx="125">
                  <c:v>-1.6187785502345164</c:v>
                </c:pt>
                <c:pt idx="126">
                  <c:v>-1.6156401173241441</c:v>
                </c:pt>
                <c:pt idx="127">
                  <c:v>-1.6126436101379884</c:v>
                </c:pt>
                <c:pt idx="128">
                  <c:v>-1.6097778170452157</c:v>
                </c:pt>
                <c:pt idx="129">
                  <c:v>-1.6070326115148479</c:v>
                </c:pt>
                <c:pt idx="130">
                  <c:v>-1.6043988193284733</c:v>
                </c:pt>
                <c:pt idx="131">
                  <c:v>-1.6018681043145433</c:v>
                </c:pt>
                <c:pt idx="132">
                  <c:v>-1.5994328696352538</c:v>
                </c:pt>
                <c:pt idx="133">
                  <c:v>-1.5970861717133733</c:v>
                </c:pt>
                <c:pt idx="134">
                  <c:v>-1.5948216455390947</c:v>
                </c:pt>
                <c:pt idx="135">
                  <c:v>-1.5926334387412249</c:v>
                </c:pt>
                <c:pt idx="136">
                  <c:v>-1.5905161542103254</c:v>
                </c:pt>
                <c:pt idx="137">
                  <c:v>-1.5884647982357736</c:v>
                </c:pt>
                <c:pt idx="138">
                  <c:v>-1.5864747355952025</c:v>
                </c:pt>
                <c:pt idx="139">
                  <c:v>-1.5845416481245369</c:v>
                </c:pt>
                <c:pt idx="140">
                  <c:v>-1.5826614980435272</c:v>
                </c:pt>
                <c:pt idx="141">
                  <c:v>-1.5808304942306055</c:v>
                </c:pt>
                <c:pt idx="142">
                  <c:v>-1.579045061397049</c:v>
                </c:pt>
                <c:pt idx="143">
                  <c:v>-1.5773018110847294</c:v>
                </c:pt>
                <c:pt idx="144">
                  <c:v>-1.5755975147299015</c:v>
                </c:pt>
                <c:pt idx="145">
                  <c:v>-1.5739290774302308</c:v>
                </c:pt>
                <c:pt idx="146">
                  <c:v>-1.5722935126876143</c:v>
                </c:pt>
                <c:pt idx="147">
                  <c:v>-1.5706879168840207</c:v>
                </c:pt>
                <c:pt idx="148">
                  <c:v>-1.5691094439598725</c:v>
                </c:pt>
                <c:pt idx="149">
                  <c:v>-1.567555278178256</c:v>
                </c:pt>
                <c:pt idx="150">
                  <c:v>-1.5660226059755091</c:v>
                </c:pt>
                <c:pt idx="151">
                  <c:v>-1.5645085846361324</c:v>
                </c:pt>
                <c:pt idx="152">
                  <c:v>-1.563010307351961</c:v>
                </c:pt>
                <c:pt idx="153">
                  <c:v>-1.5615247635909499</c:v>
                </c:pt>
                <c:pt idx="154">
                  <c:v>-1.5600487926626734</c:v>
                </c:pt>
                <c:pt idx="155">
                  <c:v>-1.5585790282838463</c:v>
                </c:pt>
                <c:pt idx="156">
                  <c:v>-1.5571118317543995</c:v>
                </c:pt>
                <c:pt idx="157">
                  <c:v>-1.555643209434427</c:v>
                </c:pt>
                <c:pt idx="158">
                  <c:v>-1.5541687096204067</c:v>
                </c:pt>
                <c:pt idx="159">
                  <c:v>-1.552683291005887</c:v>
                </c:pt>
                <c:pt idx="160">
                  <c:v>-1.5511811531253805</c:v>
                </c:pt>
                <c:pt idx="161">
                  <c:v>-1.5496555140156865</c:v>
                </c:pt>
                <c:pt idx="162">
                  <c:v>-1.5480983137983158</c:v>
                </c:pt>
                <c:pt idx="163">
                  <c:v>-1.5464998121049014</c:v>
                </c:pt>
                <c:pt idx="164">
                  <c:v>-1.5448480320633182</c:v>
                </c:pt>
                <c:pt idx="165">
                  <c:v>-1.5431279758312861</c:v>
                </c:pt>
                <c:pt idx="166">
                  <c:v>-1.5413204916300884</c:v>
                </c:pt>
                <c:pt idx="167">
                  <c:v>-1.5394005940438378</c:v>
                </c:pt>
                <c:pt idx="168">
                  <c:v>-1.5372854154541695</c:v>
                </c:pt>
                <c:pt idx="169">
                  <c:v>-1.5348367836839252</c:v>
                </c:pt>
                <c:pt idx="170">
                  <c:v>-1.5321357140279623</c:v>
                </c:pt>
                <c:pt idx="171">
                  <c:v>-1.5290827266539146</c:v>
                </c:pt>
                <c:pt idx="172">
                  <c:v>-1.5255239225517947</c:v>
                </c:pt>
                <c:pt idx="173">
                  <c:v>-1.5212068785239161</c:v>
                </c:pt>
                <c:pt idx="174">
                  <c:v>-1.517281259725717</c:v>
                </c:pt>
                <c:pt idx="175">
                  <c:v>-1.5100187210838625</c:v>
                </c:pt>
                <c:pt idx="176">
                  <c:v>-1.4988450367757</c:v>
                </c:pt>
                <c:pt idx="177">
                  <c:v>-1.4779260938028216</c:v>
                </c:pt>
                <c:pt idx="178">
                  <c:v>-1.4262518209692727</c:v>
                </c:pt>
                <c:pt idx="179">
                  <c:v>-1.2835858087618925</c:v>
                </c:pt>
                <c:pt idx="180">
                  <c:v>-4.3593306742195637E-10</c:v>
                </c:pt>
                <c:pt idx="181">
                  <c:v>1.2835858085710625</c:v>
                </c:pt>
                <c:pt idx="182">
                  <c:v>1.4262518210878818</c:v>
                </c:pt>
                <c:pt idx="183">
                  <c:v>1.4779260938115035</c:v>
                </c:pt>
                <c:pt idx="184">
                  <c:v>1.4988450368240724</c:v>
                </c:pt>
                <c:pt idx="185">
                  <c:v>1.5100187209637186</c:v>
                </c:pt>
                <c:pt idx="186">
                  <c:v>1.5172812597061702</c:v>
                </c:pt>
                <c:pt idx="187">
                  <c:v>1.521206878541143</c:v>
                </c:pt>
                <c:pt idx="188">
                  <c:v>1.5255239225562081</c:v>
                </c:pt>
                <c:pt idx="189">
                  <c:v>1.5290827266497267</c:v>
                </c:pt>
                <c:pt idx="190">
                  <c:v>1.532135714003318</c:v>
                </c:pt>
                <c:pt idx="191">
                  <c:v>1.5348367836930044</c:v>
                </c:pt>
                <c:pt idx="192">
                  <c:v>1.5372854153960751</c:v>
                </c:pt>
                <c:pt idx="193">
                  <c:v>1.5394005940172972</c:v>
                </c:pt>
                <c:pt idx="194">
                  <c:v>1.5413204916910492</c:v>
                </c:pt>
                <c:pt idx="195">
                  <c:v>1.5431279758752174</c:v>
                </c:pt>
                <c:pt idx="196">
                  <c:v>1.5448480320377698</c:v>
                </c:pt>
                <c:pt idx="197">
                  <c:v>1.5464998120552722</c:v>
                </c:pt>
                <c:pt idx="198">
                  <c:v>1.548098313816374</c:v>
                </c:pt>
                <c:pt idx="199">
                  <c:v>1.5496555140654518</c:v>
                </c:pt>
                <c:pt idx="200">
                  <c:v>1.5511811531090496</c:v>
                </c:pt>
                <c:pt idx="201">
                  <c:v>1.5526832909848358</c:v>
                </c:pt>
                <c:pt idx="202">
                  <c:v>1.5541687096343577</c:v>
                </c:pt>
                <c:pt idx="203">
                  <c:v>1.555643209466244</c:v>
                </c:pt>
                <c:pt idx="204">
                  <c:v>1.5571118317228134</c:v>
                </c:pt>
                <c:pt idx="205">
                  <c:v>1.5585790282553118</c:v>
                </c:pt>
                <c:pt idx="206">
                  <c:v>1.5600487926265445</c:v>
                </c:pt>
                <c:pt idx="207">
                  <c:v>1.5615247636082206</c:v>
                </c:pt>
                <c:pt idx="208">
                  <c:v>1.5630103073210018</c:v>
                </c:pt>
                <c:pt idx="209">
                  <c:v>1.5645085846266074</c:v>
                </c:pt>
                <c:pt idx="210">
                  <c:v>1.5660226060028259</c:v>
                </c:pt>
                <c:pt idx="211">
                  <c:v>1.5675552781723645</c:v>
                </c:pt>
                <c:pt idx="212">
                  <c:v>1.5691094439041149</c:v>
                </c:pt>
                <c:pt idx="213">
                  <c:v>1.5706879168546415</c:v>
                </c:pt>
                <c:pt idx="214">
                  <c:v>1.5722935126546054</c:v>
                </c:pt>
                <c:pt idx="215">
                  <c:v>1.5739290774485597</c:v>
                </c:pt>
                <c:pt idx="216">
                  <c:v>1.57559751472071</c:v>
                </c:pt>
                <c:pt idx="217">
                  <c:v>1.5773018110846055</c:v>
                </c:pt>
                <c:pt idx="218">
                  <c:v>1.5790450613752258</c:v>
                </c:pt>
                <c:pt idx="219">
                  <c:v>1.5808304942208813</c:v>
                </c:pt>
                <c:pt idx="220">
                  <c:v>1.5826614980297686</c:v>
                </c:pt>
                <c:pt idx="221">
                  <c:v>1.5845416481116492</c:v>
                </c:pt>
                <c:pt idx="222">
                  <c:v>1.5864747356460169</c:v>
                </c:pt>
                <c:pt idx="223">
                  <c:v>1.5884647982771518</c:v>
                </c:pt>
                <c:pt idx="224">
                  <c:v>1.5905161541905433</c:v>
                </c:pt>
                <c:pt idx="225">
                  <c:v>1.5926334387636394</c:v>
                </c:pt>
                <c:pt idx="226">
                  <c:v>1.5948216454950725</c:v>
                </c:pt>
                <c:pt idx="227">
                  <c:v>1.597086171700199</c:v>
                </c:pt>
                <c:pt idx="228">
                  <c:v>1.5994328696330431</c:v>
                </c:pt>
                <c:pt idx="229">
                  <c:v>1.6018681043310437</c:v>
                </c:pt>
                <c:pt idx="230">
                  <c:v>1.6043988193234915</c:v>
                </c:pt>
                <c:pt idx="231">
                  <c:v>1.6070326115336073</c:v>
                </c:pt>
                <c:pt idx="232">
                  <c:v>1.6097778170905384</c:v>
                </c:pt>
                <c:pt idx="233">
                  <c:v>1.6126436101634301</c:v>
                </c:pt>
                <c:pt idx="234">
                  <c:v>1.6156401173029615</c:v>
                </c:pt>
                <c:pt idx="235">
                  <c:v>1.618778550216849</c:v>
                </c:pt>
                <c:pt idx="236">
                  <c:v>1.6214501781433333</c:v>
                </c:pt>
                <c:pt idx="237">
                  <c:v>1.6240360819826833</c:v>
                </c:pt>
                <c:pt idx="238">
                  <c:v>1.6267297105053533</c:v>
                </c:pt>
                <c:pt idx="239">
                  <c:v>1.6295414908160495</c:v>
                </c:pt>
                <c:pt idx="240">
                  <c:v>1.6324831093117809</c:v>
                </c:pt>
                <c:pt idx="241">
                  <c:v>1.6355677208525699</c:v>
                </c:pt>
                <c:pt idx="242">
                  <c:v>1.6388102000962248</c:v>
                </c:pt>
                <c:pt idx="243">
                  <c:v>1.6422274456424693</c:v>
                </c:pt>
                <c:pt idx="244">
                  <c:v>1.6458387513811801</c:v>
                </c:pt>
                <c:pt idx="245">
                  <c:v>1.6496403973038221</c:v>
                </c:pt>
                <c:pt idx="246">
                  <c:v>1.6534359258259037</c:v>
                </c:pt>
                <c:pt idx="247">
                  <c:v>1.6571834872653242</c:v>
                </c:pt>
                <c:pt idx="248">
                  <c:v>1.6608876815024356</c:v>
                </c:pt>
                <c:pt idx="249">
                  <c:v>1.6645529010153144</c:v>
                </c:pt>
                <c:pt idx="250">
                  <c:v>1.6681833557478241</c:v>
                </c:pt>
                <c:pt idx="251">
                  <c:v>1.6717830963598148</c:v>
                </c:pt>
                <c:pt idx="252">
                  <c:v>1.6753560352528276</c:v>
                </c:pt>
                <c:pt idx="253">
                  <c:v>1.6789059663586676</c:v>
                </c:pt>
                <c:pt idx="254">
                  <c:v>1.6824365836708026</c:v>
                </c:pt>
                <c:pt idx="255">
                  <c:v>1.6859514984689676</c:v>
                </c:pt>
                <c:pt idx="256">
                  <c:v>1.6894542558267631</c:v>
                </c:pt>
                <c:pt idx="257">
                  <c:v>1.6929483502713552</c:v>
                </c:pt>
                <c:pt idx="258">
                  <c:v>1.6964372411787392</c:v>
                </c:pt>
                <c:pt idx="259">
                  <c:v>1.6999243671506121</c:v>
                </c:pt>
                <c:pt idx="260">
                  <c:v>1.7034131607443079</c:v>
                </c:pt>
                <c:pt idx="261">
                  <c:v>1.7069070623078462</c:v>
                </c:pt>
                <c:pt idx="262">
                  <c:v>1.7104095344339814</c:v>
                </c:pt>
                <c:pt idx="263">
                  <c:v>1.7139240760314964</c:v>
                </c:pt>
                <c:pt idx="264">
                  <c:v>1.7174542366161087</c:v>
                </c:pt>
                <c:pt idx="265">
                  <c:v>1.721003630751345</c:v>
                </c:pt>
                <c:pt idx="266">
                  <c:v>1.7245759532173046</c:v>
                </c:pt>
                <c:pt idx="267">
                  <c:v>1.7281749940148159</c:v>
                </c:pt>
                <c:pt idx="268">
                  <c:v>1.7318046544357006</c:v>
                </c:pt>
                <c:pt idx="269">
                  <c:v>1.7354689634405107</c:v>
                </c:pt>
                <c:pt idx="270">
                  <c:v>1.7391720950082508</c:v>
                </c:pt>
                <c:pt idx="271">
                  <c:v>1.7430641364137387</c:v>
                </c:pt>
                <c:pt idx="272">
                  <c:v>1.7469006387049699</c:v>
                </c:pt>
                <c:pt idx="273">
                  <c:v>1.7506899642587948</c:v>
                </c:pt>
                <c:pt idx="274">
                  <c:v>1.7512823881569881</c:v>
                </c:pt>
                <c:pt idx="275">
                  <c:v>1.7549821574966931</c:v>
                </c:pt>
                <c:pt idx="276">
                  <c:v>1.7586559350446636</c:v>
                </c:pt>
                <c:pt idx="277">
                  <c:v>1.7623095534372122</c:v>
                </c:pt>
                <c:pt idx="278">
                  <c:v>1.7659484847642164</c:v>
                </c:pt>
                <c:pt idx="279">
                  <c:v>1.7695779094103061</c:v>
                </c:pt>
                <c:pt idx="280">
                  <c:v>1.7732027745199528</c:v>
                </c:pt>
                <c:pt idx="281">
                  <c:v>1.7768278441001328</c:v>
                </c:pt>
                <c:pt idx="282">
                  <c:v>1.7804577433559634</c:v>
                </c:pt>
                <c:pt idx="283">
                  <c:v>1.7840969977366627</c:v>
                </c:pt>
                <c:pt idx="284">
                  <c:v>1.7877500683360597</c:v>
                </c:pt>
                <c:pt idx="285">
                  <c:v>1.7914213845813696</c:v>
                </c:pt>
                <c:pt idx="286">
                  <c:v>1.795115374279902</c:v>
                </c:pt>
                <c:pt idx="287">
                  <c:v>1.7988364930671654</c:v>
                </c:pt>
                <c:pt idx="288">
                  <c:v>1.8025892521812328</c:v>
                </c:pt>
                <c:pt idx="289">
                  <c:v>1.8063782461282381</c:v>
                </c:pt>
                <c:pt idx="290">
                  <c:v>1.8102081802945065</c:v>
                </c:pt>
                <c:pt idx="291">
                  <c:v>1.8140838993106689</c:v>
                </c:pt>
                <c:pt idx="292">
                  <c:v>1.8180104156256098</c:v>
                </c:pt>
                <c:pt idx="293">
                  <c:v>1.8219929402952859</c:v>
                </c:pt>
                <c:pt idx="294">
                  <c:v>1.8260369143886588</c:v>
                </c:pt>
                <c:pt idx="295">
                  <c:v>1.8301480436668101</c:v>
                </c:pt>
                <c:pt idx="296">
                  <c:v>1.8343323350069087</c:v>
                </c:pt>
                <c:pt idx="297">
                  <c:v>1.8385961367984471</c:v>
                </c:pt>
                <c:pt idx="298">
                  <c:v>1.8429461820266728</c:v>
                </c:pt>
                <c:pt idx="299">
                  <c:v>1.8473896373075425</c:v>
                </c:pt>
                <c:pt idx="300">
                  <c:v>1.8519341556196818</c:v>
                </c:pt>
                <c:pt idx="301">
                  <c:v>1.8565669865221313</c:v>
                </c:pt>
                <c:pt idx="302">
                  <c:v>1.8611532003659825</c:v>
                </c:pt>
                <c:pt idx="303">
                  <c:v>1.8656770272704797</c:v>
                </c:pt>
                <c:pt idx="304">
                  <c:v>1.8701496825611286</c:v>
                </c:pt>
                <c:pt idx="305">
                  <c:v>1.8745816303419585</c:v>
                </c:pt>
                <c:pt idx="306">
                  <c:v>1.8789827235519072</c:v>
                </c:pt>
                <c:pt idx="307">
                  <c:v>1.8833623264890749</c:v>
                </c:pt>
                <c:pt idx="308">
                  <c:v>1.8877294236957978</c:v>
                </c:pt>
                <c:pt idx="309">
                  <c:v>1.8920927169088995</c:v>
                </c:pt>
                <c:pt idx="310">
                  <c:v>1.8964607152356812</c:v>
                </c:pt>
                <c:pt idx="311">
                  <c:v>1.9008418176837307</c:v>
                </c:pt>
                <c:pt idx="312">
                  <c:v>1.9052443930393432</c:v>
                </c:pt>
                <c:pt idx="313">
                  <c:v>1.9096768568046327</c:v>
                </c:pt>
                <c:pt idx="314">
                  <c:v>1.9141477475182314</c:v>
                </c:pt>
                <c:pt idx="315">
                  <c:v>1.918665804022945</c:v>
                </c:pt>
                <c:pt idx="316">
                  <c:v>1.9232400456226257</c:v>
                </c:pt>
                <c:pt idx="317">
                  <c:v>1.9278798562834742</c:v>
                </c:pt>
                <c:pt idx="318">
                  <c:v>1.9325950743606319</c:v>
                </c:pt>
                <c:pt idx="319">
                  <c:v>1.9373960914026604</c:v>
                </c:pt>
                <c:pt idx="320">
                  <c:v>1.9474301277227619</c:v>
                </c:pt>
                <c:pt idx="321">
                  <c:v>1.9670497952392589</c:v>
                </c:pt>
                <c:pt idx="322">
                  <c:v>1.9955301591492922</c:v>
                </c:pt>
                <c:pt idx="323">
                  <c:v>2.0326240590092306</c:v>
                </c:pt>
                <c:pt idx="324">
                  <c:v>2.0784367551977114</c:v>
                </c:pt>
                <c:pt idx="325">
                  <c:v>2.1333339337616302</c:v>
                </c:pt>
                <c:pt idx="326">
                  <c:v>2.1978536289492845</c:v>
                </c:pt>
                <c:pt idx="327">
                  <c:v>2.2725962295857034</c:v>
                </c:pt>
                <c:pt idx="328">
                  <c:v>2.3580686545375857</c:v>
                </c:pt>
                <c:pt idx="329">
                  <c:v>2.4544665222726008</c:v>
                </c:pt>
                <c:pt idx="330">
                  <c:v>2.5614017964735445</c:v>
                </c:pt>
                <c:pt idx="331">
                  <c:v>2.6776302444012847</c:v>
                </c:pt>
                <c:pt idx="332">
                  <c:v>2.8008914733142856</c:v>
                </c:pt>
                <c:pt idx="333">
                  <c:v>2.9279974943503309</c:v>
                </c:pt>
                <c:pt idx="334">
                  <c:v>3.0231169729054095</c:v>
                </c:pt>
                <c:pt idx="335">
                  <c:v>3.1144740513070843</c:v>
                </c:pt>
                <c:pt idx="336">
                  <c:v>-3.0822919535078688</c:v>
                </c:pt>
                <c:pt idx="337">
                  <c:v>-3.0046597560717636</c:v>
                </c:pt>
                <c:pt idx="338">
                  <c:v>-2.9352360134380131</c:v>
                </c:pt>
                <c:pt idx="339">
                  <c:v>-2.8732631970155031</c:v>
                </c:pt>
                <c:pt idx="340">
                  <c:v>-2.8180341023508646</c:v>
                </c:pt>
                <c:pt idx="341">
                  <c:v>-2.7689635907886068</c:v>
                </c:pt>
                <c:pt idx="342">
                  <c:v>-2.7256511830143433</c:v>
                </c:pt>
                <c:pt idx="343">
                  <c:v>-2.6879643254470347</c:v>
                </c:pt>
                <c:pt idx="344">
                  <c:v>-2.656196071262003</c:v>
                </c:pt>
                <c:pt idx="345">
                  <c:v>-2.6314314787657596</c:v>
                </c:pt>
                <c:pt idx="346">
                  <c:v>-2.6165651220496287</c:v>
                </c:pt>
                <c:pt idx="347">
                  <c:v>-2.6138938856564309</c:v>
                </c:pt>
                <c:pt idx="348">
                  <c:v>-2.6123459386405505</c:v>
                </c:pt>
                <c:pt idx="349">
                  <c:v>-2.6107949802004704</c:v>
                </c:pt>
                <c:pt idx="350">
                  <c:v>-2.6092401744142881</c:v>
                </c:pt>
                <c:pt idx="351">
                  <c:v>-2.6076806729181969</c:v>
                </c:pt>
                <c:pt idx="352">
                  <c:v>-2.6061156133056285</c:v>
                </c:pt>
                <c:pt idx="353">
                  <c:v>-2.6045441175270954</c:v>
                </c:pt>
                <c:pt idx="354">
                  <c:v>-2.6029652899850078</c:v>
                </c:pt>
                <c:pt idx="355">
                  <c:v>-2.6013782157319127</c:v>
                </c:pt>
                <c:pt idx="356">
                  <c:v>-2.5997819584101229</c:v>
                </c:pt>
                <c:pt idx="357">
                  <c:v>-2.5981755581184593</c:v>
                </c:pt>
                <c:pt idx="358">
                  <c:v>-2.5965580291962445</c:v>
                </c:pt>
                <c:pt idx="359">
                  <c:v>-2.5949283577581213</c:v>
                </c:pt>
                <c:pt idx="360">
                  <c:v>-2.5932854992005581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8-46E1-A5E5-62A811C96786}"/>
            </c:ext>
          </c:extLst>
        </c:ser>
        <c:ser>
          <c:idx val="9"/>
          <c:order val="9"/>
          <c:tx>
            <c:v>pi_shift_phase2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L_Section_Capacity!$BG$2:$BG$182</c:f>
              <c:numCache>
                <c:formatCode>General</c:formatCode>
                <c:ptCount val="181"/>
                <c:pt idx="0">
                  <c:v>-2.5932854992005581</c:v>
                </c:pt>
                <c:pt idx="1">
                  <c:v>-2.5916283754026734</c:v>
                </c:pt>
                <c:pt idx="2">
                  <c:v>-2.5899558718965361</c:v>
                </c:pt>
                <c:pt idx="3">
                  <c:v>-2.5882668346978992</c:v>
                </c:pt>
                <c:pt idx="4">
                  <c:v>-2.5865600669870688</c:v>
                </c:pt>
                <c:pt idx="5">
                  <c:v>-2.5848343255585231</c:v>
                </c:pt>
                <c:pt idx="6">
                  <c:v>-2.5830883170064345</c:v>
                </c:pt>
                <c:pt idx="7">
                  <c:v>-2.581320693545945</c:v>
                </c:pt>
                <c:pt idx="8">
                  <c:v>-2.5795300485993033</c:v>
                </c:pt>
                <c:pt idx="9">
                  <c:v>-2.5777149120305056</c:v>
                </c:pt>
                <c:pt idx="10">
                  <c:v>-2.575873744934615</c:v>
                </c:pt>
                <c:pt idx="11">
                  <c:v>-2.5740049340435052</c:v>
                </c:pt>
                <c:pt idx="12">
                  <c:v>-2.5721067856519451</c:v>
                </c:pt>
                <c:pt idx="13">
                  <c:v>-2.5701775189933205</c:v>
                </c:pt>
                <c:pt idx="14">
                  <c:v>-2.5682152591137299</c:v>
                </c:pt>
                <c:pt idx="15">
                  <c:v>-2.5662180290003276</c:v>
                </c:pt>
                <c:pt idx="16">
                  <c:v>-2.5641837410815409</c:v>
                </c:pt>
                <c:pt idx="17">
                  <c:v>-2.5621101879099983</c:v>
                </c:pt>
                <c:pt idx="18">
                  <c:v>-2.5599950319317992</c:v>
                </c:pt>
                <c:pt idx="19">
                  <c:v>-2.5578357943204013</c:v>
                </c:pt>
                <c:pt idx="20">
                  <c:v>-2.55562984269101</c:v>
                </c:pt>
                <c:pt idx="21">
                  <c:v>-2.5533743775824362</c:v>
                </c:pt>
                <c:pt idx="22">
                  <c:v>-2.5510664175619659</c:v>
                </c:pt>
                <c:pt idx="23">
                  <c:v>-2.5487027827992073</c:v>
                </c:pt>
                <c:pt idx="24">
                  <c:v>-2.5462800768827059</c:v>
                </c:pt>
                <c:pt idx="25">
                  <c:v>-2.5437946667127687</c:v>
                </c:pt>
                <c:pt idx="26">
                  <c:v>-2.5412426601252669</c:v>
                </c:pt>
                <c:pt idx="27">
                  <c:v>-2.5386198810293434</c:v>
                </c:pt>
                <c:pt idx="28">
                  <c:v>-2.535921841818598</c:v>
                </c:pt>
                <c:pt idx="29">
                  <c:v>-2.5331437123462273</c:v>
                </c:pt>
                <c:pt idx="30">
                  <c:v>-2.5302802854891926</c:v>
                </c:pt>
                <c:pt idx="31">
                  <c:v>-2.5273259382941404</c:v>
                </c:pt>
                <c:pt idx="32">
                  <c:v>-2.524274588538967</c:v>
                </c:pt>
                <c:pt idx="33">
                  <c:v>-2.5211196456485299</c:v>
                </c:pt>
                <c:pt idx="34">
                  <c:v>-2.5178539554305885</c:v>
                </c:pt>
                <c:pt idx="35">
                  <c:v>-2.5144697374195104</c:v>
                </c:pt>
                <c:pt idx="36">
                  <c:v>-2.5109585140136854</c:v>
                </c:pt>
                <c:pt idx="37">
                  <c:v>-2.5073110296243133</c:v>
                </c:pt>
                <c:pt idx="38">
                  <c:v>-2.5035171587184069</c:v>
                </c:pt>
                <c:pt idx="39">
                  <c:v>-2.4996497845114103</c:v>
                </c:pt>
                <c:pt idx="40">
                  <c:v>-2.4958254783451554</c:v>
                </c:pt>
                <c:pt idx="41">
                  <c:v>-2.492038285274158</c:v>
                </c:pt>
                <c:pt idx="42">
                  <c:v>-2.4882813323597937</c:v>
                </c:pt>
                <c:pt idx="43">
                  <c:v>-2.4845479795050824</c:v>
                </c:pt>
                <c:pt idx="44">
                  <c:v>-2.4808317625955727</c:v>
                </c:pt>
                <c:pt idx="45">
                  <c:v>-2.4771263397236591</c:v>
                </c:pt>
                <c:pt idx="46">
                  <c:v>-2.4734254395963609</c:v>
                </c:pt>
                <c:pt idx="47">
                  <c:v>-2.4697228110373972</c:v>
                </c:pt>
                <c:pt idx="48">
                  <c:v>-2.4660121727494975</c:v>
                </c:pt>
                <c:pt idx="49">
                  <c:v>-2.4622871623153717</c:v>
                </c:pt>
                <c:pt idx="50">
                  <c:v>-2.4585412835114706</c:v>
                </c:pt>
                <c:pt idx="51">
                  <c:v>-2.4547678510058475</c:v>
                </c:pt>
                <c:pt idx="52">
                  <c:v>-2.4509599310450945</c:v>
                </c:pt>
                <c:pt idx="53">
                  <c:v>-2.4471102773549092</c:v>
                </c:pt>
                <c:pt idx="54">
                  <c:v>-2.4414424089606772</c:v>
                </c:pt>
                <c:pt idx="55">
                  <c:v>-2.4346767293105547</c:v>
                </c:pt>
                <c:pt idx="56">
                  <c:v>-2.4279023751460747</c:v>
                </c:pt>
                <c:pt idx="57">
                  <c:v>-2.4211090822880008</c:v>
                </c:pt>
                <c:pt idx="58">
                  <c:v>-2.4142862172679331</c:v>
                </c:pt>
                <c:pt idx="59">
                  <c:v>-2.4074226705995319</c:v>
                </c:pt>
                <c:pt idx="60">
                  <c:v>-2.4005067357063972</c:v>
                </c:pt>
                <c:pt idx="61">
                  <c:v>-2.3935259695692679</c:v>
                </c:pt>
                <c:pt idx="62">
                  <c:v>-2.3864670301407385</c:v>
                </c:pt>
                <c:pt idx="63">
                  <c:v>-2.3793154841968294</c:v>
                </c:pt>
                <c:pt idx="64">
                  <c:v>-2.3720555774643159</c:v>
                </c:pt>
                <c:pt idx="65">
                  <c:v>-2.3646699562990383</c:v>
                </c:pt>
                <c:pt idx="66">
                  <c:v>-2.3571393267737974</c:v>
                </c:pt>
                <c:pt idx="67">
                  <c:v>-2.3494420321173202</c:v>
                </c:pt>
                <c:pt idx="68">
                  <c:v>-2.3415535226608633</c:v>
                </c:pt>
                <c:pt idx="69">
                  <c:v>-2.3334456825974828</c:v>
                </c:pt>
                <c:pt idx="70">
                  <c:v>-2.3250859636938817</c:v>
                </c:pt>
                <c:pt idx="71">
                  <c:v>-2.3164362549218671</c:v>
                </c:pt>
                <c:pt idx="72">
                  <c:v>-2.3074513853518539</c:v>
                </c:pt>
                <c:pt idx="73">
                  <c:v>-2.2980771087478029</c:v>
                </c:pt>
                <c:pt idx="74">
                  <c:v>-2.2882473416670903</c:v>
                </c:pt>
                <c:pt idx="75">
                  <c:v>-2.2778803031986934</c:v>
                </c:pt>
                <c:pt idx="76">
                  <c:v>-2.2668729993868046</c:v>
                </c:pt>
                <c:pt idx="77">
                  <c:v>-2.2550931451489866</c:v>
                </c:pt>
                <c:pt idx="78">
                  <c:v>-2.2423669956881565</c:v>
                </c:pt>
                <c:pt idx="79">
                  <c:v>-2.2284604151219547</c:v>
                </c:pt>
                <c:pt idx="80">
                  <c:v>-2.2130483012637674</c:v>
                </c:pt>
                <c:pt idx="81">
                  <c:v>-2.1961257722161456</c:v>
                </c:pt>
                <c:pt idx="82">
                  <c:v>-2.1789780439618172</c:v>
                </c:pt>
                <c:pt idx="83">
                  <c:v>-2.1617015235897759</c:v>
                </c:pt>
                <c:pt idx="84">
                  <c:v>-2.1442613411105729</c:v>
                </c:pt>
                <c:pt idx="85">
                  <c:v>-2.1266180228561584</c:v>
                </c:pt>
                <c:pt idx="86">
                  <c:v>-2.1087261058657187</c:v>
                </c:pt>
                <c:pt idx="87">
                  <c:v>-2.0905322159517992</c:v>
                </c:pt>
                <c:pt idx="88">
                  <c:v>-2.0719723310893823</c:v>
                </c:pt>
                <c:pt idx="89">
                  <c:v>-2.0529677689348151</c:v>
                </c:pt>
                <c:pt idx="90">
                  <c:v>-2.0334190977750444</c:v>
                </c:pt>
                <c:pt idx="91">
                  <c:v>-2.0039616760856385</c:v>
                </c:pt>
                <c:pt idx="92">
                  <c:v>-1.9748982685802696</c:v>
                </c:pt>
                <c:pt idx="93">
                  <c:v>-1.946191710224304</c:v>
                </c:pt>
                <c:pt idx="94">
                  <c:v>-1.9177963559080231</c:v>
                </c:pt>
                <c:pt idx="95">
                  <c:v>-1.8896607238867524</c:v>
                </c:pt>
                <c:pt idx="96">
                  <c:v>-1.8617296568870865</c:v>
                </c:pt>
                <c:pt idx="97">
                  <c:v>-1.8339459803927181</c:v>
                </c:pt>
                <c:pt idx="98">
                  <c:v>-1.8146258300802991</c:v>
                </c:pt>
                <c:pt idx="99">
                  <c:v>-1.7910791263168804</c:v>
                </c:pt>
                <c:pt idx="100">
                  <c:v>-1.7715784442568348</c:v>
                </c:pt>
                <c:pt idx="101">
                  <c:v>-1.7551248877898704</c:v>
                </c:pt>
                <c:pt idx="102">
                  <c:v>-1.7410249923710186</c:v>
                </c:pt>
                <c:pt idx="103">
                  <c:v>-1.7287821311883826</c:v>
                </c:pt>
                <c:pt idx="104">
                  <c:v>-1.7180311482258661</c:v>
                </c:pt>
                <c:pt idx="105">
                  <c:v>-1.7084974195233373</c:v>
                </c:pt>
                <c:pt idx="106">
                  <c:v>-1.6999703250146148</c:v>
                </c:pt>
                <c:pt idx="107">
                  <c:v>-1.6922855429455677</c:v>
                </c:pt>
                <c:pt idx="108">
                  <c:v>-1.6853129226342265</c:v>
                </c:pt>
                <c:pt idx="109">
                  <c:v>-1.6789479868672839</c:v>
                </c:pt>
                <c:pt idx="110">
                  <c:v>-1.6731058555468445</c:v>
                </c:pt>
                <c:pt idx="111">
                  <c:v>-1.6677168212903526</c:v>
                </c:pt>
                <c:pt idx="112">
                  <c:v>-1.6627230751275706</c:v>
                </c:pt>
                <c:pt idx="113">
                  <c:v>-1.6580762471709916</c:v>
                </c:pt>
                <c:pt idx="114">
                  <c:v>-1.6537355350743059</c:v>
                </c:pt>
                <c:pt idx="115">
                  <c:v>-1.6496662616726487</c:v>
                </c:pt>
                <c:pt idx="116">
                  <c:v>-1.6458387513968473</c:v>
                </c:pt>
                <c:pt idx="117">
                  <c:v>-1.6422274456582144</c:v>
                </c:pt>
                <c:pt idx="118">
                  <c:v>-1.6388102000746692</c:v>
                </c:pt>
                <c:pt idx="119">
                  <c:v>-1.635567720862241</c:v>
                </c:pt>
                <c:pt idx="120">
                  <c:v>-1.6324831092820258</c:v>
                </c:pt>
                <c:pt idx="121">
                  <c:v>-1.6295414908082329</c:v>
                </c:pt>
                <c:pt idx="122">
                  <c:v>-1.6267297105018823</c:v>
                </c:pt>
                <c:pt idx="123">
                  <c:v>-1.6240360819801856</c:v>
                </c:pt>
                <c:pt idx="124">
                  <c:v>-1.6214501781641619</c:v>
                </c:pt>
                <c:pt idx="125">
                  <c:v>-1.6187785502345164</c:v>
                </c:pt>
                <c:pt idx="126">
                  <c:v>-1.6156401173241441</c:v>
                </c:pt>
                <c:pt idx="127">
                  <c:v>-1.6126436101379884</c:v>
                </c:pt>
                <c:pt idx="128">
                  <c:v>-1.6097778170452157</c:v>
                </c:pt>
                <c:pt idx="129">
                  <c:v>-1.6070326115148479</c:v>
                </c:pt>
                <c:pt idx="130">
                  <c:v>-1.6043988193284733</c:v>
                </c:pt>
                <c:pt idx="131">
                  <c:v>-1.6018681043145433</c:v>
                </c:pt>
                <c:pt idx="132">
                  <c:v>-1.5994328696352538</c:v>
                </c:pt>
                <c:pt idx="133">
                  <c:v>-1.5970861717133733</c:v>
                </c:pt>
                <c:pt idx="134">
                  <c:v>-1.5948216455390947</c:v>
                </c:pt>
                <c:pt idx="135">
                  <c:v>-1.5926334387412249</c:v>
                </c:pt>
                <c:pt idx="136">
                  <c:v>-1.5905161542103254</c:v>
                </c:pt>
                <c:pt idx="137">
                  <c:v>-1.5884647982357736</c:v>
                </c:pt>
                <c:pt idx="138">
                  <c:v>-1.5864747355952025</c:v>
                </c:pt>
                <c:pt idx="139">
                  <c:v>-1.5845416481245369</c:v>
                </c:pt>
                <c:pt idx="140">
                  <c:v>-1.5826614980435272</c:v>
                </c:pt>
                <c:pt idx="141">
                  <c:v>-1.5808304942306055</c:v>
                </c:pt>
                <c:pt idx="142">
                  <c:v>-1.579045061397049</c:v>
                </c:pt>
                <c:pt idx="143">
                  <c:v>-1.5773018110847294</c:v>
                </c:pt>
                <c:pt idx="144">
                  <c:v>-1.5755975147299015</c:v>
                </c:pt>
                <c:pt idx="145">
                  <c:v>-1.5739290774302308</c:v>
                </c:pt>
                <c:pt idx="146">
                  <c:v>-1.5722935126876143</c:v>
                </c:pt>
                <c:pt idx="147">
                  <c:v>-1.5706879168840207</c:v>
                </c:pt>
                <c:pt idx="148">
                  <c:v>-1.5691094439598725</c:v>
                </c:pt>
                <c:pt idx="149">
                  <c:v>-1.567555278178256</c:v>
                </c:pt>
                <c:pt idx="150">
                  <c:v>-1.5660226059755091</c:v>
                </c:pt>
                <c:pt idx="151">
                  <c:v>-1.5645085846361324</c:v>
                </c:pt>
                <c:pt idx="152">
                  <c:v>-1.563010307351961</c:v>
                </c:pt>
                <c:pt idx="153">
                  <c:v>-1.5615247635909499</c:v>
                </c:pt>
                <c:pt idx="154">
                  <c:v>-1.5600487926626734</c:v>
                </c:pt>
                <c:pt idx="155">
                  <c:v>-1.5585790282838463</c:v>
                </c:pt>
                <c:pt idx="156">
                  <c:v>-1.5571118317543995</c:v>
                </c:pt>
                <c:pt idx="157">
                  <c:v>-1.555643209434427</c:v>
                </c:pt>
                <c:pt idx="158">
                  <c:v>-1.5541687096204067</c:v>
                </c:pt>
                <c:pt idx="159">
                  <c:v>-1.552683291005887</c:v>
                </c:pt>
                <c:pt idx="160">
                  <c:v>-1.5511811531253805</c:v>
                </c:pt>
                <c:pt idx="161">
                  <c:v>-1.5496555140156865</c:v>
                </c:pt>
                <c:pt idx="162">
                  <c:v>-1.5480983137983158</c:v>
                </c:pt>
                <c:pt idx="163">
                  <c:v>-1.5464998121049014</c:v>
                </c:pt>
                <c:pt idx="164">
                  <c:v>-1.5448480320633182</c:v>
                </c:pt>
                <c:pt idx="165">
                  <c:v>-1.5431279758312861</c:v>
                </c:pt>
                <c:pt idx="166">
                  <c:v>-1.5413204916300884</c:v>
                </c:pt>
                <c:pt idx="167">
                  <c:v>-1.5394005940438378</c:v>
                </c:pt>
                <c:pt idx="168">
                  <c:v>-1.5372854154541695</c:v>
                </c:pt>
                <c:pt idx="169">
                  <c:v>-1.5348367836839252</c:v>
                </c:pt>
                <c:pt idx="170">
                  <c:v>-1.5321357140279623</c:v>
                </c:pt>
                <c:pt idx="171">
                  <c:v>-1.5290827266539146</c:v>
                </c:pt>
                <c:pt idx="172">
                  <c:v>-1.5255239225517947</c:v>
                </c:pt>
                <c:pt idx="173">
                  <c:v>-1.5212068785239161</c:v>
                </c:pt>
                <c:pt idx="174">
                  <c:v>-1.517281259725717</c:v>
                </c:pt>
                <c:pt idx="175">
                  <c:v>-1.5100187210838625</c:v>
                </c:pt>
                <c:pt idx="176">
                  <c:v>-1.4988450367757</c:v>
                </c:pt>
                <c:pt idx="177">
                  <c:v>-1.4779260938028216</c:v>
                </c:pt>
                <c:pt idx="178">
                  <c:v>-1.4262518209692727</c:v>
                </c:pt>
                <c:pt idx="179">
                  <c:v>-1.2835858087618925</c:v>
                </c:pt>
                <c:pt idx="180">
                  <c:v>-4.3593306742195637E-10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8-46E1-A5E5-62A811C96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P362"/>
  <sheetViews>
    <sheetView tabSelected="1" zoomScale="80" zoomScaleNormal="80" workbookViewId="0">
      <selection activeCell="B28" sqref="B28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57" max="57" width="10.7109375" bestFit="1" customWidth="1"/>
    <col min="58" max="58" width="10.28515625" bestFit="1" customWidth="1"/>
    <col min="70" max="70" width="13.7109375" bestFit="1" customWidth="1"/>
  </cols>
  <sheetData>
    <row r="1" spans="1:68" x14ac:dyDescent="0.25">
      <c r="K1" s="8" t="s">
        <v>71</v>
      </c>
      <c r="L1" s="14">
        <v>1E-8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</row>
    <row r="2" spans="1:68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50</v>
      </c>
      <c r="M2">
        <v>1174</v>
      </c>
      <c r="N2">
        <v>30</v>
      </c>
      <c r="O2">
        <v>1</v>
      </c>
      <c r="AS2">
        <v>-3.1415926535897931</v>
      </c>
      <c r="AT2">
        <v>-353.64705882672257</v>
      </c>
      <c r="AU2">
        <v>-216.00000000000003</v>
      </c>
      <c r="AV2">
        <f>ATAN2(AT2,AU2)</f>
        <v>-2.5932854992005581</v>
      </c>
      <c r="AW2">
        <f>ABS(AS2-AV2)</f>
        <v>0.54830715438923505</v>
      </c>
      <c r="AX2" s="40">
        <f>AV2-$U$13</f>
        <v>-5.7348781527903512</v>
      </c>
      <c r="AY2">
        <f>ABS(AX2)</f>
        <v>5.7348781527903512</v>
      </c>
      <c r="AZ2">
        <f>AS2+(2*PI())</f>
        <v>3.1415926535897931</v>
      </c>
      <c r="BA2">
        <f>AV2</f>
        <v>-2.5932854992005581</v>
      </c>
      <c r="BB2">
        <f t="shared" ref="BB2:BD2" si="0">AW2</f>
        <v>0.54830715438923505</v>
      </c>
      <c r="BC2">
        <f t="shared" si="0"/>
        <v>-5.7348781527903512</v>
      </c>
      <c r="BD2">
        <f t="shared" si="0"/>
        <v>5.7348781527903512</v>
      </c>
      <c r="BE2" s="40">
        <f>(-1*AX2)-(2*$AY$2)</f>
        <v>-5.7348781527903512</v>
      </c>
      <c r="BF2" s="40">
        <f>AX2+$BJ$4</f>
        <v>-2.5932854992005581</v>
      </c>
      <c r="BG2">
        <f>BC2+$BJ$4</f>
        <v>-2.5932854992005581</v>
      </c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</row>
    <row r="3" spans="1:68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-353.64006643212753</v>
      </c>
      <c r="AU3">
        <v>-216.80118748020516</v>
      </c>
      <c r="AV3">
        <f t="shared" ref="AV3:AV66" si="1">ATAN2(AT3,AU3)</f>
        <v>-2.5916283754026734</v>
      </c>
      <c r="AW3">
        <f t="shared" ref="AW3:AW66" si="2">ABS(AS3-AV3)</f>
        <v>0.53251098566717658</v>
      </c>
      <c r="AX3" s="40">
        <f t="shared" ref="AX3:AX66" si="3">AV3-$U$13</f>
        <v>-5.7332210289924666</v>
      </c>
      <c r="AY3">
        <f t="shared" ref="AY3:AY66" si="4">ABS(AX3)</f>
        <v>5.7332210289924666</v>
      </c>
      <c r="AZ3">
        <f t="shared" ref="AZ3:AZ66" si="5">AS3+(2*PI())</f>
        <v>3.1590459461097362</v>
      </c>
      <c r="BA3">
        <f t="shared" ref="BA3:BA66" si="6">AV3</f>
        <v>-2.5916283754026734</v>
      </c>
      <c r="BB3">
        <f t="shared" ref="BB3:BB66" si="7">AW3</f>
        <v>0.53251098566717658</v>
      </c>
      <c r="BC3">
        <f t="shared" ref="BC3:BC66" si="8">AX3</f>
        <v>-5.7332210289924666</v>
      </c>
      <c r="BD3">
        <f t="shared" ref="BD3:BD66" si="9">AY3</f>
        <v>5.7332210289924666</v>
      </c>
      <c r="BE3" s="40">
        <f t="shared" ref="BE3:BE66" si="10">(-1*AX3)-(2*$AY$2)</f>
        <v>-5.7365352765882358</v>
      </c>
      <c r="BF3" s="40">
        <f t="shared" ref="BF3:BF66" si="11">AX3+$BJ$4</f>
        <v>-2.5916283754026734</v>
      </c>
      <c r="BG3">
        <f t="shared" ref="BG3:BG66" si="12">BC3+$BJ$4</f>
        <v>-2.5916283754026734</v>
      </c>
    </row>
    <row r="4" spans="1:68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-5.6599589015604581E-9</v>
      </c>
      <c r="V4" s="17" t="s">
        <v>68</v>
      </c>
      <c r="W4" s="31">
        <f ca="1">U4-U10</f>
        <v>-5.6599589015604581E-9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>
        <v>-3.1066860685499069</v>
      </c>
      <c r="AT4">
        <v>-353.61907221238516</v>
      </c>
      <c r="AU4">
        <v>-217.60286331967123</v>
      </c>
      <c r="AV4">
        <f t="shared" si="1"/>
        <v>-2.5899558718965361</v>
      </c>
      <c r="AW4">
        <f t="shared" si="2"/>
        <v>0.51673019665337083</v>
      </c>
      <c r="AX4" s="40">
        <f t="shared" si="3"/>
        <v>-5.7315485254863292</v>
      </c>
      <c r="AY4">
        <f t="shared" si="4"/>
        <v>5.7315485254863292</v>
      </c>
      <c r="AZ4">
        <f t="shared" si="5"/>
        <v>3.1764992386296793</v>
      </c>
      <c r="BA4">
        <f t="shared" si="6"/>
        <v>-2.5899558718965361</v>
      </c>
      <c r="BB4">
        <f t="shared" si="7"/>
        <v>0.51673019665337083</v>
      </c>
      <c r="BC4">
        <f t="shared" si="8"/>
        <v>-5.7315485254863292</v>
      </c>
      <c r="BD4">
        <f t="shared" si="9"/>
        <v>5.7315485254863292</v>
      </c>
      <c r="BE4" s="40">
        <f t="shared" si="10"/>
        <v>-5.7382077800943732</v>
      </c>
      <c r="BF4" s="40">
        <f t="shared" si="11"/>
        <v>-2.5899558718965361</v>
      </c>
      <c r="BG4">
        <f t="shared" si="12"/>
        <v>-2.5899558718965361</v>
      </c>
      <c r="BJ4">
        <v>3.1415926535897931</v>
      </c>
      <c r="BK4">
        <v>4.7123889803846897</v>
      </c>
      <c r="BL4">
        <v>1.5707963267948966</v>
      </c>
      <c r="BM4">
        <v>3.1415926535897931</v>
      </c>
      <c r="BN4">
        <v>-2.033419097775008</v>
      </c>
      <c r="BO4">
        <v>1.7391720950082477</v>
      </c>
      <c r="BP4">
        <v>-2.5932854992005581</v>
      </c>
    </row>
    <row r="5" spans="1:68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12</v>
      </c>
      <c r="G5">
        <f t="shared" ref="G5:G11" si="13">((E4*F5)-(E5*F4))*0.5</f>
        <v>72</v>
      </c>
      <c r="T5" s="27" t="s">
        <v>77</v>
      </c>
      <c r="U5" s="10">
        <f ca="1">U3*B79*(1/12)</f>
        <v>-277.33133873222749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AS5">
        <v>-3.0892327760299638</v>
      </c>
      <c r="AT5">
        <v>-353.58402492415064</v>
      </c>
      <c r="AU5">
        <v>-218.40551706909156</v>
      </c>
      <c r="AV5">
        <f t="shared" si="1"/>
        <v>-2.5882668346978992</v>
      </c>
      <c r="AW5">
        <f t="shared" si="2"/>
        <v>0.50096594133206462</v>
      </c>
      <c r="AX5" s="40">
        <f t="shared" si="3"/>
        <v>-5.7298594882876923</v>
      </c>
      <c r="AY5">
        <f t="shared" si="4"/>
        <v>5.7298594882876923</v>
      </c>
      <c r="AZ5">
        <f t="shared" si="5"/>
        <v>3.1939525311496224</v>
      </c>
      <c r="BA5">
        <f t="shared" si="6"/>
        <v>-2.5882668346978992</v>
      </c>
      <c r="BB5">
        <f t="shared" si="7"/>
        <v>0.50096594133206462</v>
      </c>
      <c r="BC5">
        <f t="shared" si="8"/>
        <v>-5.7298594882876923</v>
      </c>
      <c r="BD5">
        <f t="shared" si="9"/>
        <v>5.7298594882876923</v>
      </c>
      <c r="BE5" s="40">
        <f t="shared" si="10"/>
        <v>-5.73989681729301</v>
      </c>
      <c r="BF5" s="40">
        <f t="shared" si="11"/>
        <v>-2.5882668346978992</v>
      </c>
      <c r="BG5">
        <f t="shared" si="12"/>
        <v>-2.5882668346978992</v>
      </c>
      <c r="BK5">
        <v>3.1415926535897931</v>
      </c>
      <c r="BL5">
        <v>1.5707963267948966</v>
      </c>
      <c r="BM5">
        <v>2.3561944901923448</v>
      </c>
      <c r="BN5">
        <v>-2.5932854992005581</v>
      </c>
      <c r="BO5">
        <v>1.7391720950082477</v>
      </c>
      <c r="BP5">
        <v>1.9186658040229618</v>
      </c>
    </row>
    <row r="6" spans="1:68" x14ac:dyDescent="0.25">
      <c r="A6" s="8" t="s">
        <v>92</v>
      </c>
      <c r="B6" s="46">
        <v>24</v>
      </c>
      <c r="C6" t="s">
        <v>4</v>
      </c>
      <c r="E6" s="5">
        <f>B7+B5</f>
        <v>12</v>
      </c>
      <c r="F6">
        <f>F5</f>
        <v>12</v>
      </c>
      <c r="G6">
        <f t="shared" si="13"/>
        <v>0</v>
      </c>
      <c r="T6" s="27" t="s">
        <v>76</v>
      </c>
      <c r="U6" s="10">
        <f ca="1">U3*B80*(1/12)</f>
        <v>1.7397996600720945E-6</v>
      </c>
      <c r="V6" s="17" t="s">
        <v>70</v>
      </c>
      <c r="W6" s="31">
        <f t="shared" ref="W6" ca="1" si="14">U6</f>
        <v>1.7397996600720945E-6</v>
      </c>
      <c r="X6">
        <f>IF(B6=0,0,-1*X5)</f>
        <v>-34</v>
      </c>
      <c r="Y6">
        <f>IF(B6=0,0,Y5)</f>
        <v>34</v>
      </c>
      <c r="AA6">
        <f>U14</f>
        <v>100</v>
      </c>
      <c r="AB6">
        <f>U10</f>
        <v>0</v>
      </c>
      <c r="AS6">
        <v>-3.0717794835100207</v>
      </c>
      <c r="AT6">
        <v>-353.53483885877836</v>
      </c>
      <c r="AU6">
        <v>-219.20964066820707</v>
      </c>
      <c r="AV6">
        <f t="shared" si="1"/>
        <v>-2.5865600669870688</v>
      </c>
      <c r="AW6">
        <f t="shared" si="2"/>
        <v>0.48521941652295197</v>
      </c>
      <c r="AX6" s="40">
        <f t="shared" si="3"/>
        <v>-5.7281527205768619</v>
      </c>
      <c r="AY6">
        <f t="shared" si="4"/>
        <v>5.7281527205768619</v>
      </c>
      <c r="AZ6">
        <f t="shared" si="5"/>
        <v>3.2114058236695655</v>
      </c>
      <c r="BA6">
        <f t="shared" si="6"/>
        <v>-2.5865600669870688</v>
      </c>
      <c r="BB6">
        <f t="shared" si="7"/>
        <v>0.48521941652295197</v>
      </c>
      <c r="BC6">
        <f t="shared" si="8"/>
        <v>-5.7281527205768619</v>
      </c>
      <c r="BD6">
        <f t="shared" si="9"/>
        <v>5.7281527205768619</v>
      </c>
      <c r="BE6" s="40">
        <f t="shared" si="10"/>
        <v>-5.7416035850038405</v>
      </c>
      <c r="BF6" s="40">
        <f t="shared" si="11"/>
        <v>-2.5865600669870688</v>
      </c>
      <c r="BG6">
        <f t="shared" si="12"/>
        <v>-2.5865600669870688</v>
      </c>
      <c r="BK6">
        <v>3.1415926535897931</v>
      </c>
      <c r="BL6">
        <v>2.3561944901923448</v>
      </c>
      <c r="BM6">
        <v>2.748893571891069</v>
      </c>
      <c r="BN6">
        <v>-2.5932854992005581</v>
      </c>
      <c r="BO6">
        <v>1.9186658040229618</v>
      </c>
      <c r="BP6">
        <v>-2.9689693457560757</v>
      </c>
    </row>
    <row r="7" spans="1:68" ht="15.75" thickBot="1" x14ac:dyDescent="0.3">
      <c r="A7" s="8" t="s">
        <v>91</v>
      </c>
      <c r="B7" s="46">
        <v>0</v>
      </c>
      <c r="C7" t="s">
        <v>4</v>
      </c>
      <c r="E7" s="5">
        <f>E6</f>
        <v>12</v>
      </c>
      <c r="F7">
        <f>B8</f>
        <v>24</v>
      </c>
      <c r="G7">
        <f t="shared" si="13"/>
        <v>72</v>
      </c>
      <c r="T7" s="28" t="s">
        <v>96</v>
      </c>
      <c r="U7" s="29">
        <f ca="1">IF(AND(U5=0,U6=0),0,ATAN2(U5,U6))</f>
        <v>3.1415926473164317</v>
      </c>
      <c r="V7" s="18" t="s">
        <v>97</v>
      </c>
      <c r="W7" s="33">
        <f ca="1">U7-U13</f>
        <v>-6.2733613859222714E-9</v>
      </c>
      <c r="AA7">
        <f ca="1">U8</f>
        <v>277.33133873222749</v>
      </c>
      <c r="AB7" s="9">
        <f ca="1">U4</f>
        <v>-5.6599589015604581E-9</v>
      </c>
      <c r="AS7">
        <v>-3.0543261909900776</v>
      </c>
      <c r="AT7">
        <v>-353.47139341085574</v>
      </c>
      <c r="AU7">
        <v>-220.01572965583989</v>
      </c>
      <c r="AV7">
        <f t="shared" si="1"/>
        <v>-2.5848343255585231</v>
      </c>
      <c r="AW7">
        <f t="shared" si="2"/>
        <v>0.46949186543155452</v>
      </c>
      <c r="AX7" s="40">
        <f t="shared" si="3"/>
        <v>-5.7264269791483162</v>
      </c>
      <c r="AY7">
        <f t="shared" si="4"/>
        <v>5.7264269791483162</v>
      </c>
      <c r="AZ7">
        <f t="shared" si="5"/>
        <v>3.2288591161895086</v>
      </c>
      <c r="BA7">
        <f t="shared" si="6"/>
        <v>-2.5848343255585231</v>
      </c>
      <c r="BB7">
        <f t="shared" si="7"/>
        <v>0.46949186543155452</v>
      </c>
      <c r="BC7">
        <f t="shared" si="8"/>
        <v>-5.7264269791483162</v>
      </c>
      <c r="BD7">
        <f t="shared" si="9"/>
        <v>5.7264269791483162</v>
      </c>
      <c r="BE7" s="40">
        <f t="shared" si="10"/>
        <v>-5.7433293264323861</v>
      </c>
      <c r="BF7" s="40">
        <f t="shared" si="11"/>
        <v>-2.5848343255585231</v>
      </c>
      <c r="BG7">
        <f t="shared" si="12"/>
        <v>-2.5848343255585231</v>
      </c>
      <c r="BK7">
        <v>2.748893571891069</v>
      </c>
      <c r="BL7">
        <v>2.3561944901923448</v>
      </c>
      <c r="BM7">
        <v>2.5525440310417071</v>
      </c>
      <c r="BN7">
        <v>-2.9689693457560757</v>
      </c>
      <c r="BO7">
        <v>1.9186658040229618</v>
      </c>
      <c r="BP7">
        <v>2.2155580399670827</v>
      </c>
    </row>
    <row r="8" spans="1:68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13"/>
        <v>432</v>
      </c>
      <c r="T8" s="37" t="s">
        <v>109</v>
      </c>
      <c r="U8" s="6">
        <f ca="1">SQRT(POWER(U5,2)+POWER(U6,2))</f>
        <v>277.33133873222749</v>
      </c>
      <c r="V8" s="42" t="s">
        <v>70</v>
      </c>
      <c r="AS8">
        <v>-3.0368728984701345</v>
      </c>
      <c r="AT8">
        <v>-353.39353246221469</v>
      </c>
      <c r="AU8">
        <v>-220.82428439869449</v>
      </c>
      <c r="AV8">
        <f t="shared" si="1"/>
        <v>-2.5830883170064345</v>
      </c>
      <c r="AW8">
        <f t="shared" si="2"/>
        <v>0.45378458146370004</v>
      </c>
      <c r="AX8" s="40">
        <f t="shared" si="3"/>
        <v>-5.7246809705962276</v>
      </c>
      <c r="AY8">
        <f t="shared" si="4"/>
        <v>5.7246809705962276</v>
      </c>
      <c r="AZ8">
        <f t="shared" si="5"/>
        <v>3.2463124087094517</v>
      </c>
      <c r="BA8">
        <f t="shared" si="6"/>
        <v>-2.5830883170064345</v>
      </c>
      <c r="BB8">
        <f t="shared" si="7"/>
        <v>0.45378458146370004</v>
      </c>
      <c r="BC8">
        <f t="shared" si="8"/>
        <v>-5.7246809705962276</v>
      </c>
      <c r="BD8">
        <f t="shared" si="9"/>
        <v>5.7246809705962276</v>
      </c>
      <c r="BE8" s="40">
        <f t="shared" si="10"/>
        <v>-5.7450753349844748</v>
      </c>
      <c r="BF8" s="40">
        <f t="shared" si="11"/>
        <v>-2.5830883170064345</v>
      </c>
      <c r="BG8">
        <f t="shared" si="12"/>
        <v>-2.5830883170064345</v>
      </c>
      <c r="BK8">
        <v>2.748893571891069</v>
      </c>
      <c r="BL8">
        <v>2.5525440310417071</v>
      </c>
      <c r="BM8">
        <v>2.6507188014663878</v>
      </c>
      <c r="BN8">
        <v>-2.9689693457560757</v>
      </c>
      <c r="BO8">
        <v>2.2155580399670827</v>
      </c>
      <c r="BP8">
        <v>2.7852008944360924</v>
      </c>
    </row>
    <row r="9" spans="1:68" x14ac:dyDescent="0.25">
      <c r="A9" s="8" t="s">
        <v>7</v>
      </c>
      <c r="B9" s="7">
        <v>12</v>
      </c>
      <c r="C9" t="s">
        <v>4</v>
      </c>
      <c r="E9" s="5">
        <f>E8</f>
        <v>-24</v>
      </c>
      <c r="F9">
        <f>F6</f>
        <v>12</v>
      </c>
      <c r="G9">
        <f t="shared" si="13"/>
        <v>144</v>
      </c>
      <c r="T9" s="35" t="s">
        <v>98</v>
      </c>
      <c r="U9" s="36"/>
      <c r="V9" s="16"/>
      <c r="AA9" s="9">
        <f ca="1">U5-U11</f>
        <v>-177.33133873222749</v>
      </c>
      <c r="AB9" s="9">
        <f ca="1">U6-U12</f>
        <v>1.7397996600720945E-6</v>
      </c>
      <c r="AC9" s="9">
        <f ca="1">AA9+AB9</f>
        <v>-177.33133699242782</v>
      </c>
      <c r="AS9">
        <v>-3.0194196059501914</v>
      </c>
      <c r="AT9">
        <v>-353.3010635175774</v>
      </c>
      <c r="AU9">
        <v>-221.63581134544324</v>
      </c>
      <c r="AV9">
        <f t="shared" si="1"/>
        <v>-2.581320693545945</v>
      </c>
      <c r="AW9">
        <f t="shared" si="2"/>
        <v>0.43809891240424648</v>
      </c>
      <c r="AX9" s="40">
        <f t="shared" si="3"/>
        <v>-5.7229133471357381</v>
      </c>
      <c r="AY9">
        <f t="shared" si="4"/>
        <v>5.7229133471357381</v>
      </c>
      <c r="AZ9">
        <f t="shared" si="5"/>
        <v>3.2637657012293948</v>
      </c>
      <c r="BA9">
        <f t="shared" si="6"/>
        <v>-2.581320693545945</v>
      </c>
      <c r="BB9">
        <f t="shared" si="7"/>
        <v>0.43809891240424648</v>
      </c>
      <c r="BC9">
        <f t="shared" si="8"/>
        <v>-5.7229133471357381</v>
      </c>
      <c r="BD9">
        <f t="shared" si="9"/>
        <v>5.7229133471357381</v>
      </c>
      <c r="BE9" s="40">
        <f t="shared" si="10"/>
        <v>-5.7468429584449643</v>
      </c>
      <c r="BF9" s="40">
        <f t="shared" si="11"/>
        <v>-2.581320693545945</v>
      </c>
      <c r="BG9">
        <f t="shared" si="12"/>
        <v>-2.581320693545945</v>
      </c>
      <c r="BK9">
        <v>2.748893571891069</v>
      </c>
      <c r="BL9">
        <v>2.6507188014663878</v>
      </c>
      <c r="BM9">
        <v>2.6998061866787282</v>
      </c>
      <c r="BN9">
        <v>-2.9689693457560757</v>
      </c>
      <c r="BO9">
        <v>2.7852008944360924</v>
      </c>
      <c r="BP9">
        <v>3.0862120995341735</v>
      </c>
    </row>
    <row r="10" spans="1:68" x14ac:dyDescent="0.25">
      <c r="E10">
        <v>0</v>
      </c>
      <c r="F10">
        <f>F9</f>
        <v>12</v>
      </c>
      <c r="G10">
        <f t="shared" si="13"/>
        <v>-144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-353.19375670905498</v>
      </c>
      <c r="AU10">
        <v>-222.4508243128397</v>
      </c>
      <c r="AV10">
        <f t="shared" si="1"/>
        <v>-2.5795300485993033</v>
      </c>
      <c r="AW10">
        <f t="shared" si="2"/>
        <v>0.42243626483094499</v>
      </c>
      <c r="AX10" s="40">
        <f t="shared" si="3"/>
        <v>-5.7211227021890965</v>
      </c>
      <c r="AY10">
        <f t="shared" si="4"/>
        <v>5.7211227021890965</v>
      </c>
      <c r="AZ10">
        <f t="shared" si="5"/>
        <v>3.2812189937493379</v>
      </c>
      <c r="BA10">
        <f t="shared" si="6"/>
        <v>-2.5795300485993033</v>
      </c>
      <c r="BB10">
        <f t="shared" si="7"/>
        <v>0.42243626483094499</v>
      </c>
      <c r="BC10">
        <f t="shared" si="8"/>
        <v>-5.7211227021890965</v>
      </c>
      <c r="BD10">
        <f t="shared" si="9"/>
        <v>5.7211227021890965</v>
      </c>
      <c r="BE10" s="40">
        <f t="shared" si="10"/>
        <v>-5.7486336033916059</v>
      </c>
      <c r="BF10" s="40">
        <f t="shared" si="11"/>
        <v>-2.5795300485993033</v>
      </c>
      <c r="BG10">
        <f t="shared" si="12"/>
        <v>-2.5795300485993033</v>
      </c>
      <c r="BK10">
        <v>2.748893571891069</v>
      </c>
      <c r="BL10">
        <v>2.6998061866787282</v>
      </c>
      <c r="BM10">
        <v>2.7243498792848984</v>
      </c>
      <c r="BN10">
        <v>-2.9689693457560757</v>
      </c>
      <c r="BO10">
        <v>3.0862120995341735</v>
      </c>
      <c r="BP10">
        <v>-3.0746452580364583</v>
      </c>
    </row>
    <row r="11" spans="1:68" x14ac:dyDescent="0.25">
      <c r="A11" t="s">
        <v>10</v>
      </c>
      <c r="E11">
        <v>0</v>
      </c>
      <c r="F11">
        <v>0</v>
      </c>
      <c r="G11">
        <f t="shared" si="13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-353.07134359356894</v>
      </c>
      <c r="AU11">
        <v>-223.2698458108961</v>
      </c>
      <c r="AV11">
        <f t="shared" si="1"/>
        <v>-2.5777149120305056</v>
      </c>
      <c r="AW11">
        <f t="shared" si="2"/>
        <v>0.40679810887979961</v>
      </c>
      <c r="AX11" s="40">
        <f t="shared" si="3"/>
        <v>-5.7193075656202987</v>
      </c>
      <c r="AY11">
        <f t="shared" si="4"/>
        <v>5.7193075656202987</v>
      </c>
      <c r="AZ11">
        <f t="shared" si="5"/>
        <v>3.298672286269281</v>
      </c>
      <c r="BA11">
        <f t="shared" si="6"/>
        <v>-2.5777149120305056</v>
      </c>
      <c r="BB11">
        <f t="shared" si="7"/>
        <v>0.40679810887979961</v>
      </c>
      <c r="BC11">
        <f t="shared" si="8"/>
        <v>-5.7193075656202987</v>
      </c>
      <c r="BD11">
        <f t="shared" si="9"/>
        <v>5.7193075656202987</v>
      </c>
      <c r="BE11" s="40">
        <f t="shared" si="10"/>
        <v>-5.7504487399604036</v>
      </c>
      <c r="BF11" s="40">
        <f t="shared" si="11"/>
        <v>-2.5777149120305056</v>
      </c>
      <c r="BG11">
        <f t="shared" si="12"/>
        <v>-2.5777149120305056</v>
      </c>
      <c r="BK11">
        <v>2.7243498792848984</v>
      </c>
      <c r="BL11">
        <v>2.6998061866787282</v>
      </c>
      <c r="BM11">
        <v>2.7120780329818133</v>
      </c>
      <c r="BN11">
        <v>-3.0746452580364583</v>
      </c>
      <c r="BO11">
        <v>3.0862120995341735</v>
      </c>
      <c r="BP11">
        <v>-3.1339310226781318</v>
      </c>
    </row>
    <row r="12" spans="1:68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7" t="s">
        <v>101</v>
      </c>
      <c r="U12" s="38">
        <v>0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-352.93351568679327</v>
      </c>
      <c r="AU12">
        <v>-224.09340841451842</v>
      </c>
      <c r="AV12">
        <f t="shared" si="1"/>
        <v>-2.575873744934615</v>
      </c>
      <c r="AW12">
        <f t="shared" si="2"/>
        <v>0.39118598345574718</v>
      </c>
      <c r="AX12" s="40">
        <f t="shared" si="3"/>
        <v>-5.7174663985244081</v>
      </c>
      <c r="AY12">
        <f t="shared" si="4"/>
        <v>5.7174663985244081</v>
      </c>
      <c r="AZ12">
        <f t="shared" si="5"/>
        <v>3.3161255787892241</v>
      </c>
      <c r="BA12">
        <f t="shared" si="6"/>
        <v>-2.575873744934615</v>
      </c>
      <c r="BB12">
        <f t="shared" si="7"/>
        <v>0.39118598345574718</v>
      </c>
      <c r="BC12">
        <f t="shared" si="8"/>
        <v>-5.7174663985244081</v>
      </c>
      <c r="BD12">
        <f t="shared" si="9"/>
        <v>5.7174663985244081</v>
      </c>
      <c r="BE12" s="40">
        <f t="shared" si="10"/>
        <v>-5.7522899070562943</v>
      </c>
      <c r="BF12" s="40">
        <f t="shared" si="11"/>
        <v>-2.575873744934615</v>
      </c>
      <c r="BG12">
        <f t="shared" si="12"/>
        <v>-2.575873744934615</v>
      </c>
      <c r="BK12">
        <v>2.7120780329818133</v>
      </c>
      <c r="BL12">
        <v>2.6998061866787282</v>
      </c>
      <c r="BM12">
        <v>2.7059421098302705</v>
      </c>
      <c r="BN12">
        <v>-3.1339310226781318</v>
      </c>
      <c r="BO12">
        <v>3.0862120995341735</v>
      </c>
      <c r="BP12">
        <v>3.1179854086287202</v>
      </c>
    </row>
    <row r="13" spans="1:68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3.1415926535897931</v>
      </c>
      <c r="V13" s="18" t="s">
        <v>97</v>
      </c>
      <c r="AS13">
        <v>-2.949606435870419</v>
      </c>
      <c r="AT13">
        <v>-352.77992280016002</v>
      </c>
      <c r="AU13">
        <v>-224.92205618942114</v>
      </c>
      <c r="AV13">
        <f t="shared" si="1"/>
        <v>-2.5740049340435052</v>
      </c>
      <c r="AW13">
        <f t="shared" si="2"/>
        <v>0.37560150182691387</v>
      </c>
      <c r="AX13" s="40">
        <f t="shared" si="3"/>
        <v>-5.7155975876332983</v>
      </c>
      <c r="AY13">
        <f t="shared" si="4"/>
        <v>5.7155975876332983</v>
      </c>
      <c r="AZ13">
        <f t="shared" si="5"/>
        <v>3.3335788713091672</v>
      </c>
      <c r="BA13">
        <f t="shared" si="6"/>
        <v>-2.5740049340435052</v>
      </c>
      <c r="BB13">
        <f t="shared" si="7"/>
        <v>0.37560150182691387</v>
      </c>
      <c r="BC13">
        <f t="shared" si="8"/>
        <v>-5.7155975876332983</v>
      </c>
      <c r="BD13">
        <f t="shared" si="9"/>
        <v>5.7155975876332983</v>
      </c>
      <c r="BE13" s="40">
        <f t="shared" si="10"/>
        <v>-5.7541587179474041</v>
      </c>
      <c r="BF13" s="40">
        <f t="shared" si="11"/>
        <v>-2.5740049340435052</v>
      </c>
      <c r="BG13">
        <f t="shared" si="12"/>
        <v>-2.5740049340435052</v>
      </c>
      <c r="BK13">
        <v>2.7120780329818133</v>
      </c>
      <c r="BL13">
        <v>2.7059421098302705</v>
      </c>
      <c r="BM13">
        <v>2.7090100714060421</v>
      </c>
      <c r="BN13">
        <v>-3.1339310226781318</v>
      </c>
      <c r="BO13">
        <v>3.1179854086287202</v>
      </c>
      <c r="BP13">
        <v>3.133723392979721</v>
      </c>
    </row>
    <row r="14" spans="1:68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AS14">
        <v>-2.9321531433504759</v>
      </c>
      <c r="AT14">
        <v>-352.61017112487144</v>
      </c>
      <c r="AU14">
        <v>-225.75634618065388</v>
      </c>
      <c r="AV14">
        <f t="shared" si="1"/>
        <v>-2.5721067856519446</v>
      </c>
      <c r="AW14">
        <f t="shared" si="2"/>
        <v>0.36004635769853133</v>
      </c>
      <c r="AX14" s="40">
        <f t="shared" si="3"/>
        <v>-5.7136994392417382</v>
      </c>
      <c r="AY14">
        <f t="shared" si="4"/>
        <v>5.7136994392417382</v>
      </c>
      <c r="AZ14">
        <f t="shared" si="5"/>
        <v>3.3510321638291103</v>
      </c>
      <c r="BA14">
        <f t="shared" si="6"/>
        <v>-2.5721067856519446</v>
      </c>
      <c r="BB14">
        <f t="shared" si="7"/>
        <v>0.36004635769853133</v>
      </c>
      <c r="BC14">
        <f t="shared" si="8"/>
        <v>-5.7136994392417382</v>
      </c>
      <c r="BD14">
        <f t="shared" si="9"/>
        <v>5.7136994392417382</v>
      </c>
      <c r="BE14" s="40">
        <f t="shared" si="10"/>
        <v>-5.7560568663389642</v>
      </c>
      <c r="BF14" s="40">
        <f t="shared" si="11"/>
        <v>-2.5721067856519451</v>
      </c>
      <c r="BG14">
        <f t="shared" si="12"/>
        <v>-2.5721067856519451</v>
      </c>
      <c r="BK14">
        <v>2.7120780329818133</v>
      </c>
      <c r="BL14">
        <v>2.7090100714060421</v>
      </c>
      <c r="BM14">
        <v>2.7105440521939279</v>
      </c>
      <c r="BN14">
        <v>-3.1339310226781318</v>
      </c>
      <c r="BO14">
        <v>3.133723392979721</v>
      </c>
      <c r="BP14">
        <v>3.1415248438777197</v>
      </c>
    </row>
    <row r="15" spans="1:68" x14ac:dyDescent="0.25">
      <c r="A15">
        <v>1</v>
      </c>
      <c r="B15" s="20">
        <v>9</v>
      </c>
      <c r="C15" s="6">
        <f ca="1">OFFSET($G$14,MATCH(B15,$G$14:$G$29,0)-1,2)</f>
        <v>1</v>
      </c>
      <c r="D15" s="2">
        <f>-3+12</f>
        <v>9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5">IF($B15=0,NA(),D15)</f>
        <v>9</v>
      </c>
      <c r="L15" s="1">
        <f t="shared" ref="L15:L24" si="16">IF($B15=0,NA(),E15)</f>
        <v>22</v>
      </c>
      <c r="T15" s="39" t="s">
        <v>103</v>
      </c>
      <c r="U15" s="6">
        <f>SQRT(POWER(U12,2)+POWER(U11,2)+POWER(U10,2))</f>
        <v>100</v>
      </c>
      <c r="AS15">
        <v>-2.9146998508305328</v>
      </c>
      <c r="AT15">
        <v>-352.42382102877474</v>
      </c>
      <c r="AU15">
        <v>-226.59684997266325</v>
      </c>
      <c r="AV15">
        <f t="shared" si="1"/>
        <v>-2.57017751899332</v>
      </c>
      <c r="AW15">
        <f t="shared" si="2"/>
        <v>0.34452233183721281</v>
      </c>
      <c r="AX15" s="40">
        <f t="shared" si="3"/>
        <v>-5.7117701725831136</v>
      </c>
      <c r="AY15">
        <f t="shared" si="4"/>
        <v>5.7117701725831136</v>
      </c>
      <c r="AZ15">
        <f t="shared" si="5"/>
        <v>3.3684854563490534</v>
      </c>
      <c r="BA15">
        <f t="shared" si="6"/>
        <v>-2.57017751899332</v>
      </c>
      <c r="BB15">
        <f t="shared" si="7"/>
        <v>0.34452233183721281</v>
      </c>
      <c r="BC15">
        <f t="shared" si="8"/>
        <v>-5.7117701725831136</v>
      </c>
      <c r="BD15">
        <f t="shared" si="9"/>
        <v>5.7117701725831136</v>
      </c>
      <c r="BE15" s="40">
        <f t="shared" si="10"/>
        <v>-5.7579861329975888</v>
      </c>
      <c r="BF15" s="40">
        <f t="shared" si="11"/>
        <v>-2.5701775189933205</v>
      </c>
      <c r="BG15">
        <f t="shared" si="12"/>
        <v>-2.5701775189933205</v>
      </c>
      <c r="BK15">
        <v>2.7120780329818133</v>
      </c>
      <c r="BL15">
        <v>2.7105440521939279</v>
      </c>
      <c r="BM15">
        <v>2.7113110425878704</v>
      </c>
      <c r="BN15">
        <v>-3.1339310226781318</v>
      </c>
      <c r="BO15">
        <v>3.1415248438777197</v>
      </c>
      <c r="BP15">
        <v>-3.1377867615432598</v>
      </c>
    </row>
    <row r="16" spans="1:68" x14ac:dyDescent="0.25">
      <c r="A16">
        <v>2</v>
      </c>
      <c r="B16" s="20">
        <v>9</v>
      </c>
      <c r="C16" s="6">
        <f t="shared" ref="C16:C24" ca="1" si="17">OFFSET($G$14,MATCH(B16,$G$14:$G$29,0)-1,2)</f>
        <v>1</v>
      </c>
      <c r="D16" s="2">
        <f>-13+12</f>
        <v>-1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5"/>
        <v>-1</v>
      </c>
      <c r="L16" s="1">
        <f t="shared" si="16"/>
        <v>22</v>
      </c>
      <c r="T16" s="39" t="s">
        <v>104</v>
      </c>
      <c r="U16" s="41">
        <f>U10/U15</f>
        <v>0</v>
      </c>
      <c r="V16" s="41">
        <f>U11/U15</f>
        <v>-1</v>
      </c>
      <c r="W16" s="41">
        <f>U12/U15</f>
        <v>0</v>
      </c>
      <c r="X16" s="40"/>
      <c r="AS16">
        <v>-2.8972465583105897</v>
      </c>
      <c r="AT16">
        <v>-352.22038462640336</v>
      </c>
      <c r="AU16">
        <v>-227.44415533050187</v>
      </c>
      <c r="AV16">
        <f t="shared" si="1"/>
        <v>-2.5682152591137304</v>
      </c>
      <c r="AW16">
        <f t="shared" si="2"/>
        <v>0.32903129919685936</v>
      </c>
      <c r="AX16" s="40">
        <f t="shared" si="3"/>
        <v>-5.7098079127035231</v>
      </c>
      <c r="AY16">
        <f t="shared" si="4"/>
        <v>5.7098079127035231</v>
      </c>
      <c r="AZ16">
        <f t="shared" si="5"/>
        <v>3.3859387488689965</v>
      </c>
      <c r="BA16">
        <f t="shared" si="6"/>
        <v>-2.5682152591137304</v>
      </c>
      <c r="BB16">
        <f t="shared" si="7"/>
        <v>0.32903129919685936</v>
      </c>
      <c r="BC16">
        <f t="shared" si="8"/>
        <v>-5.7098079127035231</v>
      </c>
      <c r="BD16">
        <f t="shared" si="9"/>
        <v>5.7098079127035231</v>
      </c>
      <c r="BE16" s="40">
        <f t="shared" si="10"/>
        <v>-5.7599483928771793</v>
      </c>
      <c r="BF16" s="40">
        <f t="shared" si="11"/>
        <v>-2.5682152591137299</v>
      </c>
      <c r="BG16">
        <f t="shared" si="12"/>
        <v>-2.5682152591137299</v>
      </c>
      <c r="BK16">
        <v>2.7113110425878704</v>
      </c>
      <c r="BL16">
        <v>2.7105440521939279</v>
      </c>
      <c r="BM16">
        <v>2.7109275473908991</v>
      </c>
      <c r="BN16">
        <v>-3.1377867615432598</v>
      </c>
      <c r="BO16">
        <v>3.1415248438777197</v>
      </c>
      <c r="BP16">
        <v>-3.1397213645690956</v>
      </c>
    </row>
    <row r="17" spans="1:68" x14ac:dyDescent="0.25">
      <c r="A17">
        <v>3</v>
      </c>
      <c r="B17" s="20">
        <v>9</v>
      </c>
      <c r="C17" s="6">
        <f t="shared" ca="1" si="17"/>
        <v>1</v>
      </c>
      <c r="D17" s="2">
        <f>-23+12</f>
        <v>-11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5"/>
        <v>-11</v>
      </c>
      <c r="L17" s="1">
        <f t="shared" si="16"/>
        <v>22</v>
      </c>
      <c r="AS17">
        <v>-2.8797932657906467</v>
      </c>
      <c r="AT17">
        <v>-351.9993229572857</v>
      </c>
      <c r="AU17">
        <v>-228.29886793258837</v>
      </c>
      <c r="AV17">
        <f t="shared" si="1"/>
        <v>-2.5662180290003276</v>
      </c>
      <c r="AW17">
        <f t="shared" si="2"/>
        <v>0.31357523679031907</v>
      </c>
      <c r="AX17" s="40">
        <f t="shared" si="3"/>
        <v>-5.7078106825901207</v>
      </c>
      <c r="AY17">
        <f t="shared" si="4"/>
        <v>5.7078106825901207</v>
      </c>
      <c r="AZ17">
        <f t="shared" si="5"/>
        <v>3.4033920413889396</v>
      </c>
      <c r="BA17">
        <f t="shared" si="6"/>
        <v>-2.5662180290003276</v>
      </c>
      <c r="BB17">
        <f t="shared" si="7"/>
        <v>0.31357523679031907</v>
      </c>
      <c r="BC17">
        <f t="shared" si="8"/>
        <v>-5.7078106825901207</v>
      </c>
      <c r="BD17">
        <f t="shared" si="9"/>
        <v>5.7078106825901207</v>
      </c>
      <c r="BE17" s="40">
        <f t="shared" si="10"/>
        <v>-5.7619456229905817</v>
      </c>
      <c r="BF17" s="40">
        <f t="shared" si="11"/>
        <v>-2.5662180290003276</v>
      </c>
      <c r="BG17">
        <f t="shared" si="12"/>
        <v>-2.5662180290003276</v>
      </c>
      <c r="BK17">
        <v>2.7109275473908991</v>
      </c>
      <c r="BL17">
        <v>2.7105440521939279</v>
      </c>
      <c r="BM17">
        <v>2.7107357997924133</v>
      </c>
      <c r="BN17">
        <v>-3.1397213645690956</v>
      </c>
      <c r="BO17">
        <v>3.1415248438777197</v>
      </c>
      <c r="BP17">
        <v>-3.1406903516775326</v>
      </c>
    </row>
    <row r="18" spans="1:68" x14ac:dyDescent="0.25">
      <c r="A18">
        <v>4</v>
      </c>
      <c r="B18" s="20">
        <v>9</v>
      </c>
      <c r="C18" s="6">
        <f t="shared" ca="1" si="17"/>
        <v>1</v>
      </c>
      <c r="D18" s="2">
        <f>-33+12</f>
        <v>-21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5"/>
        <v>-21</v>
      </c>
      <c r="L18" s="1">
        <f t="shared" si="16"/>
        <v>22</v>
      </c>
      <c r="T18" s="8" t="s">
        <v>105</v>
      </c>
      <c r="U18" s="6">
        <f ca="1">SQRT(POWER(U6,2)+POWER(U5,2)+POWER(U4,2))</f>
        <v>277.33133873222749</v>
      </c>
      <c r="AS18">
        <v>-2.8623399732707036</v>
      </c>
      <c r="AT18">
        <v>-351.76004289102616</v>
      </c>
      <c r="AU18">
        <v>-229.16161320632912</v>
      </c>
      <c r="AV18">
        <f t="shared" si="1"/>
        <v>-2.5641837410815409</v>
      </c>
      <c r="AW18">
        <f t="shared" si="2"/>
        <v>0.29815623218916265</v>
      </c>
      <c r="AX18" s="40">
        <f t="shared" si="3"/>
        <v>-5.705776394671334</v>
      </c>
      <c r="AY18">
        <f t="shared" si="4"/>
        <v>5.705776394671334</v>
      </c>
      <c r="AZ18">
        <f t="shared" si="5"/>
        <v>3.4208453339088827</v>
      </c>
      <c r="BA18">
        <f t="shared" si="6"/>
        <v>-2.5641837410815409</v>
      </c>
      <c r="BB18">
        <f t="shared" si="7"/>
        <v>0.29815623218916265</v>
      </c>
      <c r="BC18">
        <f t="shared" si="8"/>
        <v>-5.705776394671334</v>
      </c>
      <c r="BD18">
        <f t="shared" si="9"/>
        <v>5.705776394671334</v>
      </c>
      <c r="BE18" s="40">
        <f t="shared" si="10"/>
        <v>-5.7639799109093683</v>
      </c>
      <c r="BF18" s="40">
        <f t="shared" si="11"/>
        <v>-2.5641837410815409</v>
      </c>
      <c r="BG18">
        <f t="shared" si="12"/>
        <v>-2.5641837410815409</v>
      </c>
      <c r="BK18">
        <v>2.7107357997924133</v>
      </c>
      <c r="BL18">
        <v>2.7105440521939279</v>
      </c>
      <c r="BM18">
        <v>2.7106399259931706</v>
      </c>
      <c r="BN18">
        <v>-3.1406903516775326</v>
      </c>
      <c r="BO18">
        <v>3.1415248438777197</v>
      </c>
      <c r="BP18">
        <v>-3.1411752668974184</v>
      </c>
    </row>
    <row r="19" spans="1:68" x14ac:dyDescent="0.25">
      <c r="A19">
        <v>5</v>
      </c>
      <c r="B19" s="20">
        <v>0</v>
      </c>
      <c r="C19" s="6">
        <f t="shared" ca="1" si="17"/>
        <v>0</v>
      </c>
      <c r="D19" s="2">
        <v>2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5"/>
        <v>#N/A</v>
      </c>
      <c r="L19" s="1" t="e">
        <f t="shared" si="16"/>
        <v>#N/A</v>
      </c>
      <c r="T19" s="8" t="s">
        <v>106</v>
      </c>
      <c r="U19" s="41">
        <f ca="1">U4/U18</f>
        <v>-2.0408652435148463E-11</v>
      </c>
      <c r="V19" s="41">
        <f ca="1">U5/U18</f>
        <v>-1</v>
      </c>
      <c r="W19" s="41">
        <f ca="1">U6/U18</f>
        <v>6.2733612004517385E-9</v>
      </c>
      <c r="X19" s="40"/>
      <c r="AS19">
        <v>-2.8448866807507605</v>
      </c>
      <c r="AT19">
        <v>-351.50189364232926</v>
      </c>
      <c r="AU19">
        <v>-230.03303827895232</v>
      </c>
      <c r="AV19">
        <f t="shared" si="1"/>
        <v>-2.5621101879099983</v>
      </c>
      <c r="AW19">
        <f t="shared" si="2"/>
        <v>0.28277649284076212</v>
      </c>
      <c r="AX19" s="40">
        <f t="shared" si="3"/>
        <v>-5.7037028414997915</v>
      </c>
      <c r="AY19">
        <f t="shared" si="4"/>
        <v>5.7037028414997915</v>
      </c>
      <c r="AZ19">
        <f t="shared" si="5"/>
        <v>3.4382986264288258</v>
      </c>
      <c r="BA19">
        <f t="shared" si="6"/>
        <v>-2.5621101879099983</v>
      </c>
      <c r="BB19">
        <f t="shared" si="7"/>
        <v>0.28277649284076212</v>
      </c>
      <c r="BC19">
        <f t="shared" si="8"/>
        <v>-5.7037028414997915</v>
      </c>
      <c r="BD19">
        <f t="shared" si="9"/>
        <v>5.7037028414997915</v>
      </c>
      <c r="BE19" s="40">
        <f t="shared" si="10"/>
        <v>-5.7660534640809109</v>
      </c>
      <c r="BF19" s="40">
        <f t="shared" si="11"/>
        <v>-2.5621101879099983</v>
      </c>
      <c r="BG19">
        <f t="shared" si="12"/>
        <v>-2.5621101879099983</v>
      </c>
      <c r="BK19">
        <v>2.7106399259931706</v>
      </c>
      <c r="BL19">
        <v>2.7105440521939279</v>
      </c>
      <c r="BM19">
        <v>2.7105919890935493</v>
      </c>
      <c r="BN19">
        <v>-3.1411752668974184</v>
      </c>
      <c r="BO19">
        <v>3.1415248438777197</v>
      </c>
      <c r="BP19">
        <v>-3.1414178299744915</v>
      </c>
    </row>
    <row r="20" spans="1:68" x14ac:dyDescent="0.25">
      <c r="A20">
        <v>6</v>
      </c>
      <c r="B20" s="20">
        <v>0</v>
      </c>
      <c r="C20" s="6">
        <f t="shared" ca="1" si="17"/>
        <v>0</v>
      </c>
      <c r="D20" s="2">
        <v>6</v>
      </c>
      <c r="E20" s="2">
        <v>4</v>
      </c>
      <c r="G20" s="1">
        <v>8</v>
      </c>
      <c r="H20" s="6">
        <v>1</v>
      </c>
      <c r="I20" s="6">
        <v>0.79</v>
      </c>
      <c r="K20" s="1" t="e">
        <f t="shared" si="15"/>
        <v>#N/A</v>
      </c>
      <c r="L20" s="1" t="e">
        <f t="shared" si="16"/>
        <v>#N/A</v>
      </c>
      <c r="AS20">
        <v>-2.8274333882308174</v>
      </c>
      <c r="AT20">
        <v>-351.22416285517056</v>
      </c>
      <c r="AU20">
        <v>-230.91381405709026</v>
      </c>
      <c r="AV20">
        <f t="shared" si="1"/>
        <v>-2.5599950319317992</v>
      </c>
      <c r="AW20">
        <f t="shared" si="2"/>
        <v>0.26743835629901813</v>
      </c>
      <c r="AX20" s="40">
        <f t="shared" si="3"/>
        <v>-5.7015876855215923</v>
      </c>
      <c r="AY20">
        <f t="shared" si="4"/>
        <v>5.7015876855215923</v>
      </c>
      <c r="AZ20">
        <f t="shared" si="5"/>
        <v>3.4557519189487689</v>
      </c>
      <c r="BA20">
        <f t="shared" si="6"/>
        <v>-2.5599950319317992</v>
      </c>
      <c r="BB20">
        <f t="shared" si="7"/>
        <v>0.26743835629901813</v>
      </c>
      <c r="BC20">
        <f t="shared" si="8"/>
        <v>-5.7015876855215923</v>
      </c>
      <c r="BD20">
        <f t="shared" si="9"/>
        <v>5.7015876855215923</v>
      </c>
      <c r="BE20" s="40">
        <f t="shared" si="10"/>
        <v>-5.76816862005911</v>
      </c>
      <c r="BF20" s="40">
        <f t="shared" si="11"/>
        <v>-2.5599950319317992</v>
      </c>
      <c r="BG20">
        <f t="shared" si="12"/>
        <v>-2.5599950319317992</v>
      </c>
      <c r="BK20">
        <v>2.7105919890935493</v>
      </c>
      <c r="BL20">
        <v>2.7105440521939279</v>
      </c>
      <c r="BM20">
        <v>2.7105680206437386</v>
      </c>
      <c r="BN20">
        <v>-3.1414178299744915</v>
      </c>
      <c r="BO20">
        <v>3.1415248438777197</v>
      </c>
      <c r="BP20">
        <v>-3.1415391378388762</v>
      </c>
    </row>
    <row r="21" spans="1:68" x14ac:dyDescent="0.25">
      <c r="A21">
        <v>7</v>
      </c>
      <c r="B21" s="20">
        <v>0</v>
      </c>
      <c r="C21" s="6">
        <f t="shared" ca="1" si="17"/>
        <v>0</v>
      </c>
      <c r="D21" s="2">
        <v>10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15"/>
        <v>#N/A</v>
      </c>
      <c r="L21" s="1" t="e">
        <f t="shared" si="16"/>
        <v>#N/A</v>
      </c>
      <c r="T21" s="8" t="s">
        <v>107</v>
      </c>
      <c r="U21" s="41">
        <f ca="1">U16-U19</f>
        <v>2.0408652435148463E-11</v>
      </c>
      <c r="V21" s="41">
        <f t="shared" ref="V21:W21" ca="1" si="18">V16-V19</f>
        <v>0</v>
      </c>
      <c r="W21" s="41">
        <f t="shared" ca="1" si="18"/>
        <v>-6.2733612004517385E-9</v>
      </c>
      <c r="AS21">
        <v>-2.8099800957108743</v>
      </c>
      <c r="AT21">
        <v>-350.92607227623381</v>
      </c>
      <c r="AU21">
        <v>-231.80463744999543</v>
      </c>
      <c r="AV21">
        <f t="shared" si="1"/>
        <v>-2.5578357943204013</v>
      </c>
      <c r="AW21">
        <f t="shared" si="2"/>
        <v>0.25214430139047295</v>
      </c>
      <c r="AX21" s="40">
        <f t="shared" si="3"/>
        <v>-5.6994284479101944</v>
      </c>
      <c r="AY21">
        <f t="shared" si="4"/>
        <v>5.6994284479101944</v>
      </c>
      <c r="AZ21">
        <f t="shared" si="5"/>
        <v>3.473205211468712</v>
      </c>
      <c r="BA21">
        <f t="shared" si="6"/>
        <v>-2.5578357943204013</v>
      </c>
      <c r="BB21">
        <f t="shared" si="7"/>
        <v>0.25214430139047295</v>
      </c>
      <c r="BC21">
        <f t="shared" si="8"/>
        <v>-5.6994284479101944</v>
      </c>
      <c r="BD21">
        <f t="shared" si="9"/>
        <v>5.6994284479101944</v>
      </c>
      <c r="BE21" s="40">
        <f t="shared" si="10"/>
        <v>-5.7703278576705079</v>
      </c>
      <c r="BF21" s="40">
        <f t="shared" si="11"/>
        <v>-2.5578357943204013</v>
      </c>
      <c r="BG21">
        <f t="shared" si="12"/>
        <v>-2.5578357943204013</v>
      </c>
      <c r="BK21">
        <v>2.7105680206437386</v>
      </c>
      <c r="BL21">
        <v>2.7105440521939279</v>
      </c>
      <c r="BM21">
        <v>2.7105560364188332</v>
      </c>
      <c r="BN21">
        <v>-3.1415391378388762</v>
      </c>
      <c r="BO21">
        <v>3.1415248438777197</v>
      </c>
      <c r="BP21">
        <v>3.1415855087651283</v>
      </c>
    </row>
    <row r="22" spans="1:68" x14ac:dyDescent="0.25">
      <c r="A22">
        <v>8</v>
      </c>
      <c r="B22" s="20">
        <v>0</v>
      </c>
      <c r="C22" s="6">
        <f t="shared" ca="1" si="17"/>
        <v>0</v>
      </c>
      <c r="D22" s="2">
        <v>2</v>
      </c>
      <c r="E22" s="2">
        <v>4</v>
      </c>
      <c r="G22" s="1">
        <v>10</v>
      </c>
      <c r="H22" s="6">
        <v>1.27</v>
      </c>
      <c r="I22" s="6">
        <v>1.27</v>
      </c>
      <c r="K22" s="1" t="e">
        <f t="shared" si="15"/>
        <v>#N/A</v>
      </c>
      <c r="L22" s="1" t="e">
        <f t="shared" si="16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-350.60677291732736</v>
      </c>
      <c r="AU22">
        <v>-232.70623375281846</v>
      </c>
      <c r="AV22">
        <f t="shared" si="1"/>
        <v>-2.5556298426910096</v>
      </c>
      <c r="AW22">
        <f t="shared" si="2"/>
        <v>0.23689696049992159</v>
      </c>
      <c r="AX22" s="40">
        <f t="shared" si="3"/>
        <v>-5.6972224962808031</v>
      </c>
      <c r="AY22">
        <f t="shared" si="4"/>
        <v>5.6972224962808031</v>
      </c>
      <c r="AZ22">
        <f t="shared" si="5"/>
        <v>3.4906585039886551</v>
      </c>
      <c r="BA22">
        <f t="shared" si="6"/>
        <v>-2.5556298426910096</v>
      </c>
      <c r="BB22">
        <f t="shared" si="7"/>
        <v>0.23689696049992159</v>
      </c>
      <c r="BC22">
        <f t="shared" si="8"/>
        <v>-5.6972224962808031</v>
      </c>
      <c r="BD22">
        <f t="shared" si="9"/>
        <v>5.6972224962808031</v>
      </c>
      <c r="BE22" s="40">
        <f t="shared" si="10"/>
        <v>-5.7725338092998992</v>
      </c>
      <c r="BF22" s="40">
        <f t="shared" si="11"/>
        <v>-2.55562984269101</v>
      </c>
      <c r="BG22">
        <f t="shared" si="12"/>
        <v>-2.55562984269101</v>
      </c>
      <c r="BK22">
        <v>2.7105680206437386</v>
      </c>
      <c r="BL22">
        <v>2.7105560364188332</v>
      </c>
      <c r="BM22">
        <v>2.7105620285312861</v>
      </c>
      <c r="BN22">
        <v>-3.1415391378388762</v>
      </c>
      <c r="BO22">
        <v>3.1415855087651283</v>
      </c>
      <c r="BP22">
        <v>-3.1415694675525199</v>
      </c>
    </row>
    <row r="23" spans="1:68" x14ac:dyDescent="0.25">
      <c r="A23">
        <v>9</v>
      </c>
      <c r="B23" s="20">
        <v>0</v>
      </c>
      <c r="C23" s="6">
        <f t="shared" ca="1" si="17"/>
        <v>0</v>
      </c>
      <c r="D23" s="2">
        <v>6</v>
      </c>
      <c r="E23" s="2">
        <v>4</v>
      </c>
      <c r="G23" s="1">
        <v>11</v>
      </c>
      <c r="H23" s="6">
        <v>1.41</v>
      </c>
      <c r="I23" s="6">
        <v>1.56</v>
      </c>
      <c r="K23" s="1" t="e">
        <f t="shared" si="15"/>
        <v>#N/A</v>
      </c>
      <c r="L23" s="1" t="e">
        <f t="shared" si="16"/>
        <v>#N/A</v>
      </c>
      <c r="T23" s="8" t="s">
        <v>108</v>
      </c>
      <c r="U23" s="41">
        <f ca="1">SQRT(POWER(U21,2)+POWER(V21,2)+POWER(W21,2))</f>
        <v>6.2733943973280926E-9</v>
      </c>
      <c r="V23" t="str">
        <f ca="1">IF(ABS(U23)&lt;=L1,"","NG")</f>
        <v/>
      </c>
      <c r="AS23">
        <v>-2.7750735106709881</v>
      </c>
      <c r="AT23">
        <v>-350.26533966671764</v>
      </c>
      <c r="AU23">
        <v>-233.61935920812539</v>
      </c>
      <c r="AV23">
        <f t="shared" si="1"/>
        <v>-2.5533743775824362</v>
      </c>
      <c r="AW23">
        <f t="shared" si="2"/>
        <v>0.22169913308855183</v>
      </c>
      <c r="AX23" s="40">
        <f t="shared" si="3"/>
        <v>-5.6949670311722294</v>
      </c>
      <c r="AY23">
        <f t="shared" si="4"/>
        <v>5.6949670311722294</v>
      </c>
      <c r="AZ23">
        <f t="shared" si="5"/>
        <v>3.5081117965085982</v>
      </c>
      <c r="BA23">
        <f t="shared" si="6"/>
        <v>-2.5533743775824362</v>
      </c>
      <c r="BB23">
        <f t="shared" si="7"/>
        <v>0.22169913308855183</v>
      </c>
      <c r="BC23">
        <f t="shared" si="8"/>
        <v>-5.6949670311722294</v>
      </c>
      <c r="BD23">
        <f t="shared" si="9"/>
        <v>5.6949670311722294</v>
      </c>
      <c r="BE23" s="40">
        <f t="shared" si="10"/>
        <v>-5.774789274408473</v>
      </c>
      <c r="BF23" s="40">
        <f t="shared" si="11"/>
        <v>-2.5533743775824362</v>
      </c>
      <c r="BG23">
        <f t="shared" si="12"/>
        <v>-2.5533743775824362</v>
      </c>
      <c r="BK23">
        <v>2.7105620285312861</v>
      </c>
      <c r="BL23">
        <v>2.7105560364188332</v>
      </c>
      <c r="BM23">
        <v>2.7105590324750599</v>
      </c>
      <c r="BN23">
        <v>-3.1415694675525199</v>
      </c>
      <c r="BO23">
        <v>3.1415855087651283</v>
      </c>
      <c r="BP23">
        <v>-3.1415846328663317</v>
      </c>
    </row>
    <row r="24" spans="1:68" ht="15.75" thickBot="1" x14ac:dyDescent="0.3">
      <c r="A24">
        <v>10</v>
      </c>
      <c r="B24" s="20">
        <v>0</v>
      </c>
      <c r="C24" s="11">
        <f t="shared" ca="1" si="17"/>
        <v>0</v>
      </c>
      <c r="D24" s="2">
        <v>10</v>
      </c>
      <c r="E24" s="2">
        <v>4</v>
      </c>
      <c r="G24" s="1">
        <v>14</v>
      </c>
      <c r="H24" s="6">
        <v>1.6930000000000001</v>
      </c>
      <c r="I24" s="6">
        <v>2.25</v>
      </c>
      <c r="K24" s="1" t="e">
        <f t="shared" si="15"/>
        <v>#N/A</v>
      </c>
      <c r="L24" s="1" t="e">
        <f t="shared" si="16"/>
        <v>#N/A</v>
      </c>
      <c r="AS24">
        <v>-2.757620218151045</v>
      </c>
      <c r="AT24">
        <v>-349.9007652912295</v>
      </c>
      <c r="AU24">
        <v>-234.54480376583345</v>
      </c>
      <c r="AV24">
        <f t="shared" si="1"/>
        <v>-2.5510664175619659</v>
      </c>
      <c r="AW24">
        <f t="shared" si="2"/>
        <v>0.20655380058907902</v>
      </c>
      <c r="AX24" s="40">
        <f t="shared" si="3"/>
        <v>-5.6926590711517591</v>
      </c>
      <c r="AY24">
        <f t="shared" si="4"/>
        <v>5.6926590711517591</v>
      </c>
      <c r="AZ24">
        <f t="shared" si="5"/>
        <v>3.5255650890285413</v>
      </c>
      <c r="BA24">
        <f t="shared" si="6"/>
        <v>-2.5510664175619659</v>
      </c>
      <c r="BB24">
        <f t="shared" si="7"/>
        <v>0.20655380058907902</v>
      </c>
      <c r="BC24">
        <f t="shared" si="8"/>
        <v>-5.6926590711517591</v>
      </c>
      <c r="BD24">
        <f t="shared" si="9"/>
        <v>5.6926590711517591</v>
      </c>
      <c r="BE24" s="40">
        <f t="shared" si="10"/>
        <v>-5.7770972344289433</v>
      </c>
      <c r="BF24" s="40">
        <f t="shared" si="11"/>
        <v>-2.5510664175619659</v>
      </c>
      <c r="BG24">
        <f t="shared" si="12"/>
        <v>-2.5510664175619659</v>
      </c>
      <c r="BK24">
        <v>2.7105590324750599</v>
      </c>
      <c r="BL24">
        <v>2.7105560364188332</v>
      </c>
      <c r="BM24">
        <v>2.7105575344469468</v>
      </c>
      <c r="BN24">
        <v>-3.1415846328663317</v>
      </c>
      <c r="BO24">
        <v>3.1415855087651283</v>
      </c>
      <c r="BP24">
        <v>-3.1415922155671367</v>
      </c>
    </row>
    <row r="25" spans="1:68" ht="15.75" thickTop="1" x14ac:dyDescent="0.25">
      <c r="C25" s="6">
        <f ca="1">SUM(C15:C24)</f>
        <v>4</v>
      </c>
      <c r="D25" s="25">
        <f ca="1">C25/(B5*F27)</f>
        <v>1.5151515151515152E-2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-349.51195377060697</v>
      </c>
      <c r="AU25">
        <v>-235.48339406402059</v>
      </c>
      <c r="AV25">
        <f t="shared" si="1"/>
        <v>-2.5487027827992073</v>
      </c>
      <c r="AW25">
        <f t="shared" si="2"/>
        <v>0.19146414283189461</v>
      </c>
      <c r="AX25" s="40">
        <f t="shared" si="3"/>
        <v>-5.6902954363890004</v>
      </c>
      <c r="AY25">
        <f t="shared" si="4"/>
        <v>5.6902954363890004</v>
      </c>
      <c r="AZ25">
        <f t="shared" si="5"/>
        <v>3.5430183815484844</v>
      </c>
      <c r="BA25">
        <f t="shared" si="6"/>
        <v>-2.5487027827992073</v>
      </c>
      <c r="BB25">
        <f t="shared" si="7"/>
        <v>0.19146414283189461</v>
      </c>
      <c r="BC25">
        <f t="shared" si="8"/>
        <v>-5.6902954363890004</v>
      </c>
      <c r="BD25">
        <f t="shared" si="9"/>
        <v>5.6902954363890004</v>
      </c>
      <c r="BE25" s="40">
        <f t="shared" si="10"/>
        <v>-5.779460869191702</v>
      </c>
      <c r="BF25" s="40">
        <f t="shared" si="11"/>
        <v>-2.5487027827992073</v>
      </c>
      <c r="BG25">
        <f t="shared" si="12"/>
        <v>-2.5487027827992073</v>
      </c>
      <c r="BK25">
        <v>2.7105575344469468</v>
      </c>
      <c r="BL25">
        <v>2.7105560364188332</v>
      </c>
      <c r="BM25">
        <v>2.7105567854328898</v>
      </c>
      <c r="BN25">
        <v>-3.1415922155671367</v>
      </c>
      <c r="BO25">
        <v>3.1415855087651283</v>
      </c>
      <c r="BP25">
        <v>3.1415893001983082</v>
      </c>
    </row>
    <row r="26" spans="1:6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-349.09771285911216</v>
      </c>
      <c r="AU26">
        <v>-236.43599665566151</v>
      </c>
      <c r="AV26">
        <f t="shared" si="1"/>
        <v>-2.5462800768827059</v>
      </c>
      <c r="AW26">
        <f t="shared" si="2"/>
        <v>0.17643355622845291</v>
      </c>
      <c r="AX26" s="40">
        <f t="shared" si="3"/>
        <v>-5.687872730472499</v>
      </c>
      <c r="AY26">
        <f t="shared" si="4"/>
        <v>5.687872730472499</v>
      </c>
      <c r="AZ26">
        <f t="shared" si="5"/>
        <v>3.5604716740684275</v>
      </c>
      <c r="BA26">
        <f t="shared" si="6"/>
        <v>-2.5462800768827059</v>
      </c>
      <c r="BB26">
        <f t="shared" si="7"/>
        <v>0.17643355622845291</v>
      </c>
      <c r="BC26">
        <f t="shared" si="8"/>
        <v>-5.687872730472499</v>
      </c>
      <c r="BD26">
        <f t="shared" si="9"/>
        <v>5.687872730472499</v>
      </c>
      <c r="BE26" s="40">
        <f t="shared" si="10"/>
        <v>-5.7818835751082034</v>
      </c>
      <c r="BF26" s="40">
        <f t="shared" si="11"/>
        <v>-2.5462800768827059</v>
      </c>
      <c r="BG26">
        <f t="shared" si="12"/>
        <v>-2.5462800768827059</v>
      </c>
      <c r="BK26">
        <v>2.7105575344469468</v>
      </c>
      <c r="BL26">
        <v>2.7105567854328898</v>
      </c>
      <c r="BM26">
        <v>2.7105571599399183</v>
      </c>
      <c r="BN26">
        <v>-3.1415922155671367</v>
      </c>
      <c r="BO26">
        <v>3.1415893001983082</v>
      </c>
      <c r="BP26">
        <v>3.1415911958725848</v>
      </c>
    </row>
    <row r="27" spans="1:68" x14ac:dyDescent="0.25">
      <c r="A27" s="8" t="s">
        <v>15</v>
      </c>
      <c r="B27" s="34">
        <v>2.7105574466718618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-348.65674582401198</v>
      </c>
      <c r="AU27">
        <v>-237.4035215093142</v>
      </c>
      <c r="AV27">
        <f t="shared" si="1"/>
        <v>-2.5437946667127691</v>
      </c>
      <c r="AW27">
        <f t="shared" si="2"/>
        <v>0.16146567387844657</v>
      </c>
      <c r="AX27" s="40">
        <f t="shared" si="3"/>
        <v>-5.6853873203025618</v>
      </c>
      <c r="AY27">
        <f t="shared" si="4"/>
        <v>5.6853873203025618</v>
      </c>
      <c r="AZ27">
        <f t="shared" si="5"/>
        <v>3.5779249665883706</v>
      </c>
      <c r="BA27">
        <f t="shared" si="6"/>
        <v>-2.5437946667127691</v>
      </c>
      <c r="BB27">
        <f t="shared" si="7"/>
        <v>0.16146567387844657</v>
      </c>
      <c r="BC27">
        <f t="shared" si="8"/>
        <v>-5.6853873203025618</v>
      </c>
      <c r="BD27">
        <f t="shared" si="9"/>
        <v>5.6853873203025618</v>
      </c>
      <c r="BE27" s="40">
        <f t="shared" si="10"/>
        <v>-5.7843689852781406</v>
      </c>
      <c r="BF27" s="40">
        <f t="shared" si="11"/>
        <v>-2.5437946667127687</v>
      </c>
      <c r="BG27">
        <f t="shared" si="12"/>
        <v>-2.5437946667127687</v>
      </c>
      <c r="BK27">
        <v>2.7105575344469468</v>
      </c>
      <c r="BL27">
        <v>2.7105571599399183</v>
      </c>
      <c r="BM27">
        <v>2.7105573471934328</v>
      </c>
      <c r="BN27">
        <v>-3.1415922155671367</v>
      </c>
      <c r="BO27">
        <v>3.1415911958725848</v>
      </c>
      <c r="BP27">
        <v>3.1415921437431145</v>
      </c>
    </row>
    <row r="28" spans="1:68" x14ac:dyDescent="0.25">
      <c r="A28" s="8" t="s">
        <v>17</v>
      </c>
      <c r="B28" s="34">
        <v>6.3083902667038405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-348.18764218700289</v>
      </c>
      <c r="AU28">
        <v>-238.38692581517276</v>
      </c>
      <c r="AV28">
        <f t="shared" si="1"/>
        <v>-2.5412426601252669</v>
      </c>
      <c r="AW28">
        <f t="shared" si="2"/>
        <v>0.14656438794600568</v>
      </c>
      <c r="AX28" s="40">
        <f t="shared" si="3"/>
        <v>-5.68283531371506</v>
      </c>
      <c r="AY28">
        <f t="shared" si="4"/>
        <v>5.68283531371506</v>
      </c>
      <c r="AZ28">
        <f t="shared" si="5"/>
        <v>3.5953782591083137</v>
      </c>
      <c r="BA28">
        <f t="shared" si="6"/>
        <v>-2.5412426601252669</v>
      </c>
      <c r="BB28">
        <f t="shared" si="7"/>
        <v>0.14656438794600568</v>
      </c>
      <c r="BC28">
        <f t="shared" si="8"/>
        <v>-5.68283531371506</v>
      </c>
      <c r="BD28">
        <f t="shared" si="9"/>
        <v>5.68283531371506</v>
      </c>
      <c r="BE28" s="40">
        <f t="shared" si="10"/>
        <v>-5.7869209918656423</v>
      </c>
      <c r="BF28" s="40">
        <f t="shared" si="11"/>
        <v>-2.5412426601252669</v>
      </c>
      <c r="BG28">
        <f t="shared" si="12"/>
        <v>-2.5412426601252669</v>
      </c>
      <c r="BK28">
        <v>2.7105575344469468</v>
      </c>
      <c r="BL28">
        <v>2.7105573471934328</v>
      </c>
      <c r="BM28">
        <v>2.7105574408201898</v>
      </c>
      <c r="BN28">
        <v>-3.1415922155671367</v>
      </c>
      <c r="BO28">
        <v>3.1415921437431145</v>
      </c>
      <c r="BP28">
        <v>3.1415926176779316</v>
      </c>
    </row>
    <row r="29" spans="1:68" x14ac:dyDescent="0.25">
      <c r="A29" s="8" t="s">
        <v>18</v>
      </c>
      <c r="B29" s="6">
        <f>B28*B4</f>
        <v>5.0467122133630724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-347.68886740457401</v>
      </c>
      <c r="AU29">
        <v>-239.38721813179396</v>
      </c>
      <c r="AV29">
        <f t="shared" si="1"/>
        <v>-2.5386198810293434</v>
      </c>
      <c r="AW29">
        <f t="shared" si="2"/>
        <v>0.13173387452198604</v>
      </c>
      <c r="AX29" s="40">
        <f t="shared" si="3"/>
        <v>-5.6802125346191366</v>
      </c>
      <c r="AY29">
        <f t="shared" si="4"/>
        <v>5.6802125346191366</v>
      </c>
      <c r="AZ29">
        <f t="shared" si="5"/>
        <v>3.6128315516282568</v>
      </c>
      <c r="BA29">
        <f t="shared" si="6"/>
        <v>-2.5386198810293434</v>
      </c>
      <c r="BB29">
        <f t="shared" si="7"/>
        <v>0.13173387452198604</v>
      </c>
      <c r="BC29">
        <f t="shared" si="8"/>
        <v>-5.6802125346191366</v>
      </c>
      <c r="BD29">
        <f t="shared" si="9"/>
        <v>5.6802125346191366</v>
      </c>
      <c r="BE29" s="40">
        <f t="shared" si="10"/>
        <v>-5.7895437709615658</v>
      </c>
      <c r="BF29" s="40">
        <f t="shared" si="11"/>
        <v>-2.5386198810293434</v>
      </c>
      <c r="BG29">
        <f t="shared" si="12"/>
        <v>-2.5386198810293434</v>
      </c>
      <c r="BK29">
        <v>2.7105575344469468</v>
      </c>
      <c r="BL29">
        <v>2.7105574408201898</v>
      </c>
      <c r="BM29">
        <v>2.7105574876335683</v>
      </c>
      <c r="BN29">
        <v>-3.1415922155671367</v>
      </c>
      <c r="BO29">
        <v>3.1415926176779316</v>
      </c>
      <c r="BP29">
        <v>-3.1415924525343595</v>
      </c>
    </row>
    <row r="30" spans="1:68" x14ac:dyDescent="0.25">
      <c r="A30" s="8" t="s">
        <v>102</v>
      </c>
      <c r="B30" s="1">
        <v>3.0000000000000001E-3</v>
      </c>
      <c r="AS30">
        <v>-2.6529004630313864</v>
      </c>
      <c r="AT30">
        <v>-347.15875141942371</v>
      </c>
      <c r="AU30">
        <v>-240.40546291326157</v>
      </c>
      <c r="AV30">
        <f t="shared" si="1"/>
        <v>-2.535921841818598</v>
      </c>
      <c r="AW30">
        <f t="shared" si="2"/>
        <v>0.11697862121278835</v>
      </c>
      <c r="AX30" s="40">
        <f t="shared" si="3"/>
        <v>-5.6775144954083911</v>
      </c>
      <c r="AY30">
        <f t="shared" si="4"/>
        <v>5.6775144954083911</v>
      </c>
      <c r="AZ30">
        <f t="shared" si="5"/>
        <v>3.6302848441481999</v>
      </c>
      <c r="BA30">
        <f t="shared" si="6"/>
        <v>-2.535921841818598</v>
      </c>
      <c r="BB30">
        <f t="shared" si="7"/>
        <v>0.11697862121278835</v>
      </c>
      <c r="BC30">
        <f t="shared" si="8"/>
        <v>-5.6775144954083911</v>
      </c>
      <c r="BD30">
        <f t="shared" si="9"/>
        <v>5.6775144954083911</v>
      </c>
      <c r="BE30" s="40">
        <f t="shared" si="10"/>
        <v>-5.7922418101723112</v>
      </c>
      <c r="BF30" s="40">
        <f t="shared" si="11"/>
        <v>-2.535921841818598</v>
      </c>
      <c r="BG30">
        <f t="shared" si="12"/>
        <v>-2.535921841818598</v>
      </c>
      <c r="BK30">
        <v>2.7105574876335683</v>
      </c>
      <c r="BL30">
        <v>2.7105574408201898</v>
      </c>
      <c r="BM30">
        <v>2.7105574642268788</v>
      </c>
      <c r="BN30">
        <v>-3.1415924525343595</v>
      </c>
      <c r="BO30">
        <v>3.1415926176779316</v>
      </c>
      <c r="BP30">
        <v>-3.1415925710180002</v>
      </c>
    </row>
    <row r="31" spans="1:6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-346.59547568380231</v>
      </c>
      <c r="AU31">
        <v>-241.44278546168175</v>
      </c>
      <c r="AV31">
        <f t="shared" si="1"/>
        <v>-2.5331437123462277</v>
      </c>
      <c r="AW31">
        <f t="shared" si="2"/>
        <v>0.10230345816521558</v>
      </c>
      <c r="AX31" s="40">
        <f t="shared" si="3"/>
        <v>-5.6747363659360204</v>
      </c>
      <c r="AY31">
        <f t="shared" si="4"/>
        <v>5.6747363659360204</v>
      </c>
      <c r="AZ31">
        <f t="shared" si="5"/>
        <v>3.6477381366681429</v>
      </c>
      <c r="BA31">
        <f t="shared" si="6"/>
        <v>-2.5331437123462277</v>
      </c>
      <c r="BB31">
        <f t="shared" si="7"/>
        <v>0.10230345816521558</v>
      </c>
      <c r="BC31">
        <f t="shared" si="8"/>
        <v>-5.6747363659360204</v>
      </c>
      <c r="BD31">
        <f t="shared" si="9"/>
        <v>5.6747363659360204</v>
      </c>
      <c r="BE31" s="40">
        <f t="shared" si="10"/>
        <v>-5.795019939644682</v>
      </c>
      <c r="BF31" s="40">
        <f t="shared" si="11"/>
        <v>-2.5331437123462273</v>
      </c>
      <c r="BG31">
        <f t="shared" si="12"/>
        <v>-2.5331437123462273</v>
      </c>
      <c r="BK31">
        <v>2.7105574642268788</v>
      </c>
      <c r="BL31">
        <v>2.7105574408201898</v>
      </c>
      <c r="BM31">
        <v>2.7105574525235343</v>
      </c>
      <c r="BN31">
        <v>-3.1415925710180002</v>
      </c>
      <c r="BO31">
        <v>3.1415926176779316</v>
      </c>
      <c r="BP31">
        <v>-3.1415926302949977</v>
      </c>
    </row>
    <row r="32" spans="1:68" x14ac:dyDescent="0.25">
      <c r="J32" t="s">
        <v>88</v>
      </c>
      <c r="N32" t="s">
        <v>89</v>
      </c>
      <c r="AS32">
        <v>-2.6179938779915002</v>
      </c>
      <c r="AT32">
        <v>-345.99705882400781</v>
      </c>
      <c r="AU32">
        <v>-242.50037735580349</v>
      </c>
      <c r="AV32">
        <f t="shared" si="1"/>
        <v>-2.5302802854891926</v>
      </c>
      <c r="AW32">
        <f t="shared" si="2"/>
        <v>8.7713592502307591E-2</v>
      </c>
      <c r="AX32" s="40">
        <f t="shared" si="3"/>
        <v>-5.6718729390789857</v>
      </c>
      <c r="AY32">
        <f t="shared" si="4"/>
        <v>5.6718729390789857</v>
      </c>
      <c r="AZ32">
        <f t="shared" si="5"/>
        <v>3.665191429188086</v>
      </c>
      <c r="BA32">
        <f t="shared" si="6"/>
        <v>-2.5302802854891926</v>
      </c>
      <c r="BB32">
        <f t="shared" si="7"/>
        <v>8.7713592502307591E-2</v>
      </c>
      <c r="BC32">
        <f t="shared" si="8"/>
        <v>-5.6718729390789857</v>
      </c>
      <c r="BD32">
        <f t="shared" si="9"/>
        <v>5.6718729390789857</v>
      </c>
      <c r="BE32" s="40">
        <f t="shared" si="10"/>
        <v>-5.7978833665017167</v>
      </c>
      <c r="BF32" s="40">
        <f t="shared" si="11"/>
        <v>-2.5302802854891926</v>
      </c>
      <c r="BG32">
        <f t="shared" si="12"/>
        <v>-2.5302802854891926</v>
      </c>
      <c r="BK32">
        <v>2.7105574525235343</v>
      </c>
      <c r="BL32">
        <v>2.7105574408201898</v>
      </c>
      <c r="BM32">
        <v>2.7105574466718618</v>
      </c>
      <c r="BN32">
        <v>-3.1415926302949977</v>
      </c>
      <c r="BO32">
        <v>3.1415926176779316</v>
      </c>
      <c r="BP32">
        <v>3.1415926473164317</v>
      </c>
    </row>
    <row r="33" spans="1:68" x14ac:dyDescent="0.25">
      <c r="A33" t="s">
        <v>19</v>
      </c>
      <c r="J33">
        <f>(J38*COS(-1*$B$27))+(K38*SIN(-1*$B$27))+$I$2</f>
        <v>31.197714013863074</v>
      </c>
      <c r="K33">
        <f>(-1*J38*SIN(-1*$B$27))+(K38*COS(-1*$B$27))+$I$3</f>
        <v>-7.4035500952026503</v>
      </c>
      <c r="N33">
        <f>(N38*COS(-1*$B$27))+(O38*SIN(-1*$B$27))+$I$2</f>
        <v>30.670570355182775</v>
      </c>
      <c r="O33">
        <f>(-1*N38*SIN(-1*$B$27))+(O38*COS(-1*$B$27))+$I$3</f>
        <v>-8.5498271443469207</v>
      </c>
      <c r="AS33">
        <v>-2.6005405854715571</v>
      </c>
      <c r="AT33">
        <v>-345.3613403720729</v>
      </c>
      <c r="AU33">
        <v>-243.57950241336462</v>
      </c>
      <c r="AV33">
        <f t="shared" si="1"/>
        <v>-2.5273259382941404</v>
      </c>
      <c r="AW33">
        <f t="shared" si="2"/>
        <v>7.3214647177416659E-2</v>
      </c>
      <c r="AX33" s="40">
        <f t="shared" si="3"/>
        <v>-5.6689185918839335</v>
      </c>
      <c r="AY33">
        <f t="shared" si="4"/>
        <v>5.6689185918839335</v>
      </c>
      <c r="AZ33">
        <f t="shared" si="5"/>
        <v>3.6826447217080291</v>
      </c>
      <c r="BA33">
        <f t="shared" si="6"/>
        <v>-2.5273259382941404</v>
      </c>
      <c r="BB33">
        <f t="shared" si="7"/>
        <v>7.3214647177416659E-2</v>
      </c>
      <c r="BC33">
        <f t="shared" si="8"/>
        <v>-5.6689185918839335</v>
      </c>
      <c r="BD33">
        <f t="shared" si="9"/>
        <v>5.6689185918839335</v>
      </c>
      <c r="BE33" s="40">
        <f t="shared" si="10"/>
        <v>-5.8008377136967688</v>
      </c>
      <c r="BF33" s="40">
        <f t="shared" si="11"/>
        <v>-2.5273259382941404</v>
      </c>
      <c r="BG33">
        <f t="shared" si="12"/>
        <v>-2.5273259382941404</v>
      </c>
      <c r="BK33">
        <v>4.7123889803846897</v>
      </c>
      <c r="BL33">
        <v>4.7123889745330176</v>
      </c>
      <c r="BM33">
        <v>4.7123889774588541</v>
      </c>
      <c r="BN33">
        <v>-6.2947445542159013</v>
      </c>
      <c r="BO33">
        <v>-6.2947445475450037</v>
      </c>
      <c r="BP33">
        <v>-6.2947445508933306</v>
      </c>
    </row>
    <row r="34" spans="1:68" x14ac:dyDescent="0.25">
      <c r="J34">
        <f>(J39*COS(-1*$B$27))+(K39*SIN(-1*$B$27))+$I$2</f>
        <v>-27.193520738409575</v>
      </c>
      <c r="K34">
        <f>(-1*J39*SIN(-1*$B$27))+(K39*COS(-1*$B$27))+$I$3</f>
        <v>19.449093552466845</v>
      </c>
      <c r="N34">
        <f>(N39*COS(-1*$B$27))+(O39*SIN(-1*$B$27))+$I$2</f>
        <v>-27.72066439708987</v>
      </c>
      <c r="O34">
        <f>(-1*N39*SIN(-1*$B$27))+(O39*COS(-1*$B$27))+$I$3</f>
        <v>18.302816503322575</v>
      </c>
      <c r="AS34">
        <v>-2.583087292951614</v>
      </c>
      <c r="AT34">
        <v>-344.68596264472404</v>
      </c>
      <c r="AU34">
        <v>-244.68150325263775</v>
      </c>
      <c r="AV34">
        <f t="shared" si="1"/>
        <v>-2.5242745885389666</v>
      </c>
      <c r="AW34">
        <f t="shared" si="2"/>
        <v>5.881270441264741E-2</v>
      </c>
      <c r="AX34" s="40">
        <f t="shared" si="3"/>
        <v>-5.6658672421287601</v>
      </c>
      <c r="AY34">
        <f t="shared" si="4"/>
        <v>5.6658672421287601</v>
      </c>
      <c r="AZ34">
        <f t="shared" si="5"/>
        <v>3.7000980142279722</v>
      </c>
      <c r="BA34">
        <f t="shared" si="6"/>
        <v>-2.5242745885389666</v>
      </c>
      <c r="BB34">
        <f t="shared" si="7"/>
        <v>5.881270441264741E-2</v>
      </c>
      <c r="BC34">
        <f t="shared" si="8"/>
        <v>-5.6658672421287601</v>
      </c>
      <c r="BD34">
        <f t="shared" si="9"/>
        <v>5.6658672421287601</v>
      </c>
      <c r="BE34" s="40">
        <f t="shared" si="10"/>
        <v>-5.8038890634519422</v>
      </c>
      <c r="BF34" s="40">
        <f t="shared" si="11"/>
        <v>-2.524274588538967</v>
      </c>
      <c r="BG34">
        <f t="shared" si="12"/>
        <v>-2.524274588538967</v>
      </c>
      <c r="BK34">
        <v>4.7123889803846897</v>
      </c>
      <c r="BL34">
        <v>4.7123889774588541</v>
      </c>
      <c r="BM34">
        <v>4.7123889789217719</v>
      </c>
      <c r="BN34">
        <v>-6.2947445542159013</v>
      </c>
      <c r="BO34">
        <v>-6.2947445508933306</v>
      </c>
      <c r="BP34">
        <v>-6.2947445525546168</v>
      </c>
    </row>
    <row r="35" spans="1:68" x14ac:dyDescent="0.25">
      <c r="A35" s="8" t="s">
        <v>20</v>
      </c>
      <c r="AD35" t="s">
        <v>139</v>
      </c>
      <c r="AS35">
        <v>-2.5656340004316709</v>
      </c>
      <c r="AT35">
        <v>-343.96835022240407</v>
      </c>
      <c r="AU35">
        <v>-245.8078085277653</v>
      </c>
      <c r="AV35">
        <f t="shared" si="1"/>
        <v>-2.5211196456485299</v>
      </c>
      <c r="AW35">
        <f t="shared" si="2"/>
        <v>4.451435478314103E-2</v>
      </c>
      <c r="AX35" s="40">
        <f t="shared" si="3"/>
        <v>-5.662712299238323</v>
      </c>
      <c r="AY35">
        <f t="shared" si="4"/>
        <v>5.662712299238323</v>
      </c>
      <c r="AZ35">
        <f t="shared" si="5"/>
        <v>3.7175513067479153</v>
      </c>
      <c r="BA35">
        <f t="shared" si="6"/>
        <v>-2.5211196456485299</v>
      </c>
      <c r="BB35">
        <f t="shared" si="7"/>
        <v>4.451435478314103E-2</v>
      </c>
      <c r="BC35">
        <f t="shared" si="8"/>
        <v>-5.662712299238323</v>
      </c>
      <c r="BD35">
        <f t="shared" si="9"/>
        <v>5.662712299238323</v>
      </c>
      <c r="BE35" s="40">
        <f t="shared" si="10"/>
        <v>-5.8070440063423794</v>
      </c>
      <c r="BF35" s="40">
        <f t="shared" si="11"/>
        <v>-2.5211196456485299</v>
      </c>
      <c r="BG35">
        <f t="shared" si="12"/>
        <v>-2.5211196456485299</v>
      </c>
      <c r="BK35">
        <v>4.7123889803846897</v>
      </c>
      <c r="BL35">
        <v>4.7123889789217719</v>
      </c>
      <c r="BM35">
        <v>4.7123889796532303</v>
      </c>
      <c r="BN35">
        <v>-6.2947445542159013</v>
      </c>
      <c r="BO35">
        <v>-6.2947445525546168</v>
      </c>
      <c r="BP35">
        <v>-6.2947445533723805</v>
      </c>
    </row>
    <row r="36" spans="1:6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76.521480435329636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-343.20568691220069</v>
      </c>
      <c r="AU36">
        <v>-246.95994092306694</v>
      </c>
      <c r="AV36">
        <f t="shared" si="1"/>
        <v>-2.5178539554305885</v>
      </c>
      <c r="AW36">
        <f t="shared" si="2"/>
        <v>3.0326752481139252E-2</v>
      </c>
      <c r="AX36" s="40">
        <f t="shared" si="3"/>
        <v>-5.6594466090203817</v>
      </c>
      <c r="AY36">
        <f t="shared" si="4"/>
        <v>5.6594466090203817</v>
      </c>
      <c r="AZ36">
        <f t="shared" si="5"/>
        <v>3.7350045992678584</v>
      </c>
      <c r="BA36">
        <f t="shared" si="6"/>
        <v>-2.5178539554305885</v>
      </c>
      <c r="BB36">
        <f t="shared" si="7"/>
        <v>3.0326752481139252E-2</v>
      </c>
      <c r="BC36">
        <f t="shared" si="8"/>
        <v>-5.6594466090203817</v>
      </c>
      <c r="BD36">
        <f t="shared" si="9"/>
        <v>5.6594466090203817</v>
      </c>
      <c r="BE36" s="40">
        <f t="shared" si="10"/>
        <v>-5.8103096965603207</v>
      </c>
      <c r="BF36" s="40">
        <f t="shared" si="11"/>
        <v>-2.5178539554305885</v>
      </c>
      <c r="BG36">
        <f t="shared" si="12"/>
        <v>-2.5178539554305885</v>
      </c>
      <c r="BK36">
        <v>4.7123889803846897</v>
      </c>
      <c r="BL36">
        <v>4.7123889796532303</v>
      </c>
      <c r="BM36">
        <v>4.71238898001896</v>
      </c>
      <c r="BN36">
        <v>-6.2947445542159013</v>
      </c>
      <c r="BO36">
        <v>-6.2947445533723805</v>
      </c>
      <c r="BP36">
        <v>-6.2947445537941409</v>
      </c>
    </row>
    <row r="37" spans="1:68" x14ac:dyDescent="0.25">
      <c r="A37" s="3">
        <f t="shared" ref="A37:A43" si="19">E3-$I$2</f>
        <v>-6</v>
      </c>
      <c r="B37" s="6">
        <f t="shared" ref="B37:B43" si="20">F3-$I$3</f>
        <v>-12</v>
      </c>
      <c r="C37" s="6">
        <f>A37*COS($B$27)+B37*SIN($B$27)</f>
        <v>0.43746373271736783</v>
      </c>
      <c r="D37" s="6">
        <f>-1*A37*SIN($B$27)+B37*COS($B$27)</f>
        <v>13.409273861121527</v>
      </c>
      <c r="F37" s="8" t="s">
        <v>23</v>
      </c>
      <c r="G37" s="1">
        <f>MAX(D37:D41)-MIN(D37:D41)</f>
        <v>26.818547722243053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-342.39488963067544</v>
      </c>
      <c r="AU37">
        <v>-248.13952600382515</v>
      </c>
      <c r="AV37">
        <f t="shared" si="1"/>
        <v>-2.5144697374195104</v>
      </c>
      <c r="AW37">
        <f t="shared" si="2"/>
        <v>1.6257677972274287E-2</v>
      </c>
      <c r="AX37" s="40">
        <f t="shared" si="3"/>
        <v>-5.6560623910093035</v>
      </c>
      <c r="AY37">
        <f t="shared" si="4"/>
        <v>5.6560623910093035</v>
      </c>
      <c r="AZ37">
        <f t="shared" si="5"/>
        <v>3.7524578917878015</v>
      </c>
      <c r="BA37">
        <f t="shared" si="6"/>
        <v>-2.5144697374195104</v>
      </c>
      <c r="BB37">
        <f t="shared" si="7"/>
        <v>1.6257677972274287E-2</v>
      </c>
      <c r="BC37">
        <f t="shared" si="8"/>
        <v>-5.6560623910093035</v>
      </c>
      <c r="BD37">
        <f t="shared" si="9"/>
        <v>5.6560623910093035</v>
      </c>
      <c r="BE37" s="40">
        <f t="shared" si="10"/>
        <v>-5.8136939145713988</v>
      </c>
      <c r="BF37" s="40">
        <f t="shared" si="11"/>
        <v>-2.5144697374195104</v>
      </c>
      <c r="BG37">
        <f t="shared" si="12"/>
        <v>-2.5144697374195104</v>
      </c>
      <c r="BK37">
        <v>4.7123889803846897</v>
      </c>
      <c r="BL37">
        <v>4.71238898001896</v>
      </c>
      <c r="BM37">
        <v>4.7123889802018244</v>
      </c>
      <c r="BN37">
        <v>-6.2947445542159013</v>
      </c>
      <c r="BO37">
        <v>-6.2947445537941409</v>
      </c>
      <c r="BP37">
        <v>-6.2947445539921434</v>
      </c>
    </row>
    <row r="38" spans="1:68" x14ac:dyDescent="0.25">
      <c r="A38" s="3">
        <f t="shared" si="19"/>
        <v>6</v>
      </c>
      <c r="B38" s="6">
        <f t="shared" si="20"/>
        <v>-12</v>
      </c>
      <c r="C38" s="6">
        <f t="shared" ref="C38:C41" si="21">A38*COS($B$27)+B38*SIN($B$27)</f>
        <v>-10.464940849266799</v>
      </c>
      <c r="D38" s="6">
        <f t="shared" ref="D38:D41" si="22">-1*A38*SIN($B$27)+B38*COS($B$27)</f>
        <v>8.3955353028468096</v>
      </c>
      <c r="F38" s="8" t="s">
        <v>24</v>
      </c>
      <c r="G38" s="6">
        <f>MAX(D37:D43)</f>
        <v>13.409273861121527</v>
      </c>
      <c r="H38" t="s">
        <v>4</v>
      </c>
      <c r="J38" s="9">
        <f>MIN(C37:C43,A37:A43)-1</f>
        <v>-31</v>
      </c>
      <c r="K38" s="9">
        <f>G40</f>
        <v>7.1008835944176862</v>
      </c>
      <c r="N38" s="9">
        <f>J38</f>
        <v>-31</v>
      </c>
      <c r="O38" s="9">
        <f>G41</f>
        <v>8.3625616477584543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-341.53257899259802</v>
      </c>
      <c r="AU38">
        <v>-249.34830203544556</v>
      </c>
      <c r="AV38">
        <f t="shared" si="1"/>
        <v>-2.5109585140136859</v>
      </c>
      <c r="AW38">
        <f t="shared" si="2"/>
        <v>2.3156088581557377E-3</v>
      </c>
      <c r="AX38" s="40">
        <f t="shared" si="3"/>
        <v>-5.6525511676034785</v>
      </c>
      <c r="AY38">
        <f t="shared" si="4"/>
        <v>5.6525511676034785</v>
      </c>
      <c r="AZ38">
        <f t="shared" si="5"/>
        <v>3.7699111843077446</v>
      </c>
      <c r="BA38">
        <f t="shared" si="6"/>
        <v>-2.5109585140136859</v>
      </c>
      <c r="BB38">
        <f t="shared" si="7"/>
        <v>2.3156088581557377E-3</v>
      </c>
      <c r="BC38">
        <f t="shared" si="8"/>
        <v>-5.6525511676034785</v>
      </c>
      <c r="BD38">
        <f t="shared" si="9"/>
        <v>5.6525511676034785</v>
      </c>
      <c r="BE38" s="40">
        <f t="shared" si="10"/>
        <v>-5.8172051379772238</v>
      </c>
      <c r="BF38" s="40">
        <f t="shared" si="11"/>
        <v>-2.5109585140136854</v>
      </c>
      <c r="BG38">
        <f t="shared" si="12"/>
        <v>-2.5109585140136854</v>
      </c>
      <c r="BK38">
        <v>4.7123889803846897</v>
      </c>
      <c r="BL38">
        <v>4.7123889802018244</v>
      </c>
      <c r="BM38">
        <v>4.712388980293257</v>
      </c>
      <c r="BN38">
        <v>-6.2947445542159013</v>
      </c>
      <c r="BO38">
        <v>-6.2947445539921434</v>
      </c>
      <c r="BP38">
        <v>-6.2947445541168996</v>
      </c>
    </row>
    <row r="39" spans="1:68" x14ac:dyDescent="0.25">
      <c r="A39" s="3">
        <f t="shared" si="19"/>
        <v>6</v>
      </c>
      <c r="B39" s="6">
        <f t="shared" si="20"/>
        <v>0</v>
      </c>
      <c r="C39" s="6">
        <f t="shared" si="21"/>
        <v>-5.4512022909920841</v>
      </c>
      <c r="D39" s="6">
        <f t="shared" si="22"/>
        <v>-2.5068692791373581</v>
      </c>
      <c r="J39" s="9">
        <f>MAX(C37:C43,A37:A43)+1</f>
        <v>33.269750013235132</v>
      </c>
      <c r="K39" s="9">
        <f>K38</f>
        <v>7.1008835944176862</v>
      </c>
      <c r="N39" s="9">
        <f>J39</f>
        <v>33.269750013235132</v>
      </c>
      <c r="O39" s="9">
        <f>G41</f>
        <v>8.3625616477584543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-340.61504576140925</v>
      </c>
      <c r="AU39">
        <v>-250.58813089971773</v>
      </c>
      <c r="AV39">
        <f t="shared" si="1"/>
        <v>-2.5073110296243133</v>
      </c>
      <c r="AW39">
        <f t="shared" si="2"/>
        <v>1.1490199272414792E-2</v>
      </c>
      <c r="AX39" s="40">
        <f t="shared" si="3"/>
        <v>-5.6489036832141064</v>
      </c>
      <c r="AY39">
        <f t="shared" si="4"/>
        <v>5.6489036832141064</v>
      </c>
      <c r="AZ39">
        <f t="shared" si="5"/>
        <v>3.7873644768276877</v>
      </c>
      <c r="BA39">
        <f t="shared" si="6"/>
        <v>-2.5073110296243133</v>
      </c>
      <c r="BB39">
        <f t="shared" si="7"/>
        <v>1.1490199272414792E-2</v>
      </c>
      <c r="BC39">
        <f t="shared" si="8"/>
        <v>-5.6489036832141064</v>
      </c>
      <c r="BD39">
        <f t="shared" si="9"/>
        <v>5.6489036832141064</v>
      </c>
      <c r="BE39" s="40">
        <f t="shared" si="10"/>
        <v>-5.820852622366596</v>
      </c>
      <c r="BF39" s="40">
        <f t="shared" si="11"/>
        <v>-2.5073110296243133</v>
      </c>
      <c r="BG39">
        <f t="shared" si="12"/>
        <v>-2.5073110296243133</v>
      </c>
      <c r="BK39">
        <v>4.7123889803846897</v>
      </c>
      <c r="BL39">
        <v>4.712388980293257</v>
      </c>
      <c r="BM39">
        <v>4.7123889803389734</v>
      </c>
      <c r="BN39">
        <v>-6.2947445542159013</v>
      </c>
      <c r="BO39">
        <v>-6.2947445541168996</v>
      </c>
      <c r="BP39">
        <v>-6.2947445541535236</v>
      </c>
    </row>
    <row r="40" spans="1:68" x14ac:dyDescent="0.25">
      <c r="A40" s="3">
        <f t="shared" si="19"/>
        <v>6</v>
      </c>
      <c r="B40" s="6">
        <f t="shared" si="20"/>
        <v>0</v>
      </c>
      <c r="C40" s="6">
        <f t="shared" si="21"/>
        <v>-5.4512022909920841</v>
      </c>
      <c r="D40" s="6">
        <f t="shared" si="22"/>
        <v>-2.5068692791373581</v>
      </c>
      <c r="F40" s="8" t="s">
        <v>50</v>
      </c>
      <c r="G40" s="9">
        <f>G38-B28</f>
        <v>7.1008835944176862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-339.63821288571194</v>
      </c>
      <c r="AU40">
        <v>-251.86101025665778</v>
      </c>
      <c r="AV40">
        <f t="shared" si="1"/>
        <v>-2.5035171587184069</v>
      </c>
      <c r="AW40">
        <f t="shared" si="2"/>
        <v>2.5149620886451451E-2</v>
      </c>
      <c r="AX40" s="40">
        <f t="shared" si="3"/>
        <v>-5.6451098123082</v>
      </c>
      <c r="AY40">
        <f t="shared" si="4"/>
        <v>5.6451098123082</v>
      </c>
      <c r="AZ40">
        <f t="shared" si="5"/>
        <v>3.8048177693476308</v>
      </c>
      <c r="BA40">
        <f t="shared" si="6"/>
        <v>-2.5035171587184069</v>
      </c>
      <c r="BB40">
        <f t="shared" si="7"/>
        <v>2.5149620886451451E-2</v>
      </c>
      <c r="BC40">
        <f t="shared" si="8"/>
        <v>-5.6451098123082</v>
      </c>
      <c r="BD40">
        <f t="shared" si="9"/>
        <v>5.6451098123082</v>
      </c>
      <c r="BE40" s="40">
        <f t="shared" si="10"/>
        <v>-5.8246464932725024</v>
      </c>
      <c r="BF40" s="40">
        <f t="shared" si="11"/>
        <v>-2.5035171587184069</v>
      </c>
      <c r="BG40">
        <f t="shared" si="12"/>
        <v>-2.5035171587184069</v>
      </c>
      <c r="BK40">
        <v>4.7123889803846897</v>
      </c>
      <c r="BL40">
        <v>4.7123889803389734</v>
      </c>
      <c r="BM40">
        <v>4.7123889803618315</v>
      </c>
      <c r="BN40">
        <v>-6.2947445542159013</v>
      </c>
      <c r="BO40">
        <v>-6.2947445541535236</v>
      </c>
      <c r="BP40">
        <v>-6.2947445541847129</v>
      </c>
    </row>
    <row r="41" spans="1:68" x14ac:dyDescent="0.25">
      <c r="A41" s="3">
        <f t="shared" si="19"/>
        <v>6</v>
      </c>
      <c r="B41" s="6">
        <f t="shared" si="20"/>
        <v>12</v>
      </c>
      <c r="C41" s="6">
        <f t="shared" si="21"/>
        <v>-0.43746373271736783</v>
      </c>
      <c r="D41" s="6">
        <f t="shared" si="22"/>
        <v>-13.409273861121527</v>
      </c>
      <c r="F41" s="8" t="s">
        <v>51</v>
      </c>
      <c r="G41" s="9">
        <f>G38-B29</f>
        <v>8.3625616477584543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-338.61980646782945</v>
      </c>
      <c r="AU41">
        <v>-253.14136216066871</v>
      </c>
      <c r="AV41">
        <f t="shared" si="1"/>
        <v>-2.4996497845114103</v>
      </c>
      <c r="AW41">
        <f t="shared" si="2"/>
        <v>3.8735539199397984E-2</v>
      </c>
      <c r="AX41" s="40">
        <f t="shared" si="3"/>
        <v>-5.6412424381012034</v>
      </c>
      <c r="AY41">
        <f t="shared" si="4"/>
        <v>5.6412424381012034</v>
      </c>
      <c r="AZ41">
        <f t="shared" si="5"/>
        <v>3.8222710618675739</v>
      </c>
      <c r="BA41">
        <f t="shared" si="6"/>
        <v>-2.4996497845114103</v>
      </c>
      <c r="BB41">
        <f t="shared" si="7"/>
        <v>3.8735539199397984E-2</v>
      </c>
      <c r="BC41">
        <f t="shared" si="8"/>
        <v>-5.6412424381012034</v>
      </c>
      <c r="BD41">
        <f t="shared" si="9"/>
        <v>5.6412424381012034</v>
      </c>
      <c r="BE41" s="40">
        <f t="shared" si="10"/>
        <v>-5.828513867479499</v>
      </c>
      <c r="BF41" s="40">
        <f t="shared" si="11"/>
        <v>-2.4996497845114103</v>
      </c>
      <c r="BG41">
        <f t="shared" si="12"/>
        <v>-2.4996497845114103</v>
      </c>
      <c r="BK41">
        <v>4.7123889803846897</v>
      </c>
      <c r="BL41">
        <v>4.7123889803618315</v>
      </c>
      <c r="BM41">
        <v>4.7123889803732606</v>
      </c>
      <c r="BN41">
        <v>-6.2947445542159013</v>
      </c>
      <c r="BO41">
        <v>-6.2947445541847129</v>
      </c>
      <c r="BP41">
        <v>-6.2947445542067459</v>
      </c>
    </row>
    <row r="42" spans="1:68" x14ac:dyDescent="0.25">
      <c r="A42" s="3">
        <f t="shared" si="19"/>
        <v>-30</v>
      </c>
      <c r="B42" s="6">
        <f t="shared" si="20"/>
        <v>12</v>
      </c>
      <c r="C42" s="6">
        <f t="shared" ref="C42:C43" si="23">A42*COS($B$27)+B42*SIN($B$27)</f>
        <v>32.269750013235132</v>
      </c>
      <c r="D42" s="6">
        <f t="shared" ref="D42:D43" si="24">-1*A42*SIN($B$27)+B42*COS($B$27)</f>
        <v>1.6319418137026229</v>
      </c>
      <c r="J42" s="9"/>
      <c r="K42" s="9"/>
      <c r="N42" s="9"/>
      <c r="O42" s="9"/>
      <c r="AS42">
        <v>-2.4434609527920692</v>
      </c>
      <c r="AT42">
        <v>-337.59040846476245</v>
      </c>
      <c r="AU42">
        <v>-254.39015945140056</v>
      </c>
      <c r="AV42">
        <f t="shared" si="1"/>
        <v>-2.4958254783451559</v>
      </c>
      <c r="AW42">
        <f t="shared" si="2"/>
        <v>5.2364525553086683E-2</v>
      </c>
      <c r="AX42" s="40">
        <f t="shared" si="3"/>
        <v>-5.6374181319349486</v>
      </c>
      <c r="AY42">
        <f t="shared" si="4"/>
        <v>5.6374181319349486</v>
      </c>
      <c r="AZ42">
        <f t="shared" si="5"/>
        <v>3.839724354387517</v>
      </c>
      <c r="BA42">
        <f t="shared" si="6"/>
        <v>-2.4958254783451559</v>
      </c>
      <c r="BB42">
        <f t="shared" si="7"/>
        <v>5.2364525553086683E-2</v>
      </c>
      <c r="BC42">
        <f t="shared" si="8"/>
        <v>-5.6374181319349486</v>
      </c>
      <c r="BD42">
        <f t="shared" si="9"/>
        <v>5.6374181319349486</v>
      </c>
      <c r="BE42" s="40">
        <f t="shared" si="10"/>
        <v>-5.8323381736457538</v>
      </c>
      <c r="BF42" s="40">
        <f t="shared" si="11"/>
        <v>-2.4958254783451554</v>
      </c>
      <c r="BG42">
        <f t="shared" si="12"/>
        <v>-2.4958254783451554</v>
      </c>
      <c r="BK42">
        <v>4.7123889803846897</v>
      </c>
      <c r="BL42">
        <v>4.7123889803732606</v>
      </c>
      <c r="BM42">
        <v>4.7123889803789751</v>
      </c>
      <c r="BN42">
        <v>-6.2947445542159013</v>
      </c>
      <c r="BO42">
        <v>-6.2947445542067459</v>
      </c>
      <c r="BP42">
        <v>-6.2947445541984468</v>
      </c>
    </row>
    <row r="43" spans="1:68" x14ac:dyDescent="0.25">
      <c r="A43" s="3">
        <f t="shared" si="19"/>
        <v>-30</v>
      </c>
      <c r="B43" s="6">
        <f t="shared" si="20"/>
        <v>0</v>
      </c>
      <c r="C43" s="6">
        <f t="shared" si="23"/>
        <v>27.256011454960419</v>
      </c>
      <c r="D43" s="6">
        <f t="shared" si="24"/>
        <v>12.534346395686791</v>
      </c>
      <c r="AD43" t="s">
        <v>138</v>
      </c>
      <c r="AS43">
        <v>-2.4260076602721261</v>
      </c>
      <c r="AT43">
        <v>-336.54903190786411</v>
      </c>
      <c r="AU43">
        <v>-255.60948452958655</v>
      </c>
      <c r="AV43">
        <f t="shared" si="1"/>
        <v>-2.492038285274158</v>
      </c>
      <c r="AW43">
        <f t="shared" si="2"/>
        <v>6.603062500203194E-2</v>
      </c>
      <c r="AX43" s="40">
        <f t="shared" si="3"/>
        <v>-5.6336309388639512</v>
      </c>
      <c r="AY43">
        <f t="shared" si="4"/>
        <v>5.6336309388639512</v>
      </c>
      <c r="AZ43">
        <f t="shared" si="5"/>
        <v>3.8571776469074601</v>
      </c>
      <c r="BA43">
        <f t="shared" si="6"/>
        <v>-2.492038285274158</v>
      </c>
      <c r="BB43">
        <f t="shared" si="7"/>
        <v>6.603062500203194E-2</v>
      </c>
      <c r="BC43">
        <f t="shared" si="8"/>
        <v>-5.6336309388639512</v>
      </c>
      <c r="BD43">
        <f t="shared" si="9"/>
        <v>5.6336309388639512</v>
      </c>
      <c r="BE43" s="40">
        <f t="shared" si="10"/>
        <v>-5.8361253667167512</v>
      </c>
      <c r="BF43" s="40">
        <f t="shared" si="11"/>
        <v>-2.492038285274158</v>
      </c>
      <c r="BG43">
        <f t="shared" si="12"/>
        <v>-2.492038285274158</v>
      </c>
      <c r="BK43">
        <v>4.7123889803846897</v>
      </c>
      <c r="BL43">
        <v>4.7123889803789751</v>
      </c>
      <c r="BM43">
        <v>4.7123889803818324</v>
      </c>
      <c r="BN43">
        <v>-6.2947445542159013</v>
      </c>
      <c r="BO43">
        <v>-6.2947445541984468</v>
      </c>
      <c r="BP43">
        <v>-6.294744554207174</v>
      </c>
    </row>
    <row r="44" spans="1:68" x14ac:dyDescent="0.25">
      <c r="A44" s="3">
        <f t="shared" ref="A44:A45" si="25">E10-$I$2</f>
        <v>-6</v>
      </c>
      <c r="B44" s="6">
        <f t="shared" ref="B44:B45" si="26">F10-$I$3</f>
        <v>0</v>
      </c>
      <c r="C44" s="6">
        <f t="shared" ref="C44:C45" si="27">A44*COS($B$27)+B44*SIN($B$27)</f>
        <v>5.4512022909920841</v>
      </c>
      <c r="D44" s="6">
        <f t="shared" ref="D44:D45" si="28">-1*A44*SIN($B$27)+B44*COS($B$27)</f>
        <v>2.5068692791373581</v>
      </c>
      <c r="AD44" t="s">
        <v>8</v>
      </c>
      <c r="AE44" t="s">
        <v>9</v>
      </c>
      <c r="AS44">
        <v>-2.408554367752183</v>
      </c>
      <c r="AT44">
        <v>-335.49432329438503</v>
      </c>
      <c r="AU44">
        <v>-256.80163822711211</v>
      </c>
      <c r="AV44">
        <f t="shared" si="1"/>
        <v>-2.4882813323597937</v>
      </c>
      <c r="AW44">
        <f t="shared" si="2"/>
        <v>7.972696460761064E-2</v>
      </c>
      <c r="AX44" s="40">
        <f t="shared" si="3"/>
        <v>-5.6298739859495868</v>
      </c>
      <c r="AY44">
        <f t="shared" si="4"/>
        <v>5.6298739859495868</v>
      </c>
      <c r="AZ44">
        <f t="shared" si="5"/>
        <v>3.8746309394274032</v>
      </c>
      <c r="BA44">
        <f t="shared" si="6"/>
        <v>-2.4882813323597937</v>
      </c>
      <c r="BB44">
        <f t="shared" si="7"/>
        <v>7.972696460761064E-2</v>
      </c>
      <c r="BC44">
        <f t="shared" si="8"/>
        <v>-5.6298739859495868</v>
      </c>
      <c r="BD44">
        <f t="shared" si="9"/>
        <v>5.6298739859495868</v>
      </c>
      <c r="BE44" s="40">
        <f t="shared" si="10"/>
        <v>-5.8398823196311156</v>
      </c>
      <c r="BF44" s="40">
        <f t="shared" si="11"/>
        <v>-2.4882813323597937</v>
      </c>
      <c r="BG44">
        <f t="shared" si="12"/>
        <v>-2.4882813323597937</v>
      </c>
      <c r="BK44">
        <v>4.7123889803846897</v>
      </c>
      <c r="BL44">
        <v>4.7123889803818324</v>
      </c>
      <c r="BM44">
        <v>4.7123889803832615</v>
      </c>
      <c r="BN44">
        <v>-6.2947445542159013</v>
      </c>
      <c r="BO44">
        <v>-6.294744554207174</v>
      </c>
      <c r="BP44">
        <v>-6.2947445542115394</v>
      </c>
    </row>
    <row r="45" spans="1:68" x14ac:dyDescent="0.25">
      <c r="A45" s="3">
        <f t="shared" si="25"/>
        <v>-6</v>
      </c>
      <c r="B45" s="6">
        <f t="shared" si="26"/>
        <v>-12</v>
      </c>
      <c r="C45" s="6">
        <f t="shared" si="27"/>
        <v>0.43746373271736783</v>
      </c>
      <c r="D45" s="6">
        <f t="shared" si="28"/>
        <v>13.409273861121527</v>
      </c>
      <c r="AD45" s="40">
        <f>U13+PI()/2</f>
        <v>4.7123889803846897</v>
      </c>
      <c r="AE45">
        <v>0</v>
      </c>
      <c r="AS45">
        <v>-2.3911010752322399</v>
      </c>
      <c r="AT45">
        <v>-334.42487001922842</v>
      </c>
      <c r="AU45">
        <v>-257.96875728942882</v>
      </c>
      <c r="AV45">
        <f t="shared" si="1"/>
        <v>-2.4845479795050824</v>
      </c>
      <c r="AW45">
        <f t="shared" si="2"/>
        <v>9.3446904272842524E-2</v>
      </c>
      <c r="AX45" s="40">
        <f t="shared" si="3"/>
        <v>-5.6261406330948756</v>
      </c>
      <c r="AY45">
        <f t="shared" si="4"/>
        <v>5.6261406330948756</v>
      </c>
      <c r="AZ45">
        <f t="shared" si="5"/>
        <v>3.8920842319473463</v>
      </c>
      <c r="BA45">
        <f t="shared" si="6"/>
        <v>-2.4845479795050824</v>
      </c>
      <c r="BB45">
        <f t="shared" si="7"/>
        <v>9.3446904272842524E-2</v>
      </c>
      <c r="BC45">
        <f t="shared" si="8"/>
        <v>-5.6261406330948756</v>
      </c>
      <c r="BD45">
        <f t="shared" si="9"/>
        <v>5.6261406330948756</v>
      </c>
      <c r="BE45" s="40">
        <f t="shared" si="10"/>
        <v>-5.8436156724858268</v>
      </c>
      <c r="BF45" s="40">
        <f t="shared" si="11"/>
        <v>-2.4845479795050824</v>
      </c>
      <c r="BG45">
        <f t="shared" si="12"/>
        <v>-2.4845479795050824</v>
      </c>
      <c r="BK45">
        <v>4.7123889803846897</v>
      </c>
      <c r="BL45">
        <v>4.7123889803832615</v>
      </c>
      <c r="BM45">
        <v>4.7123889803839756</v>
      </c>
      <c r="BN45">
        <v>-6.2947445542159013</v>
      </c>
      <c r="BO45">
        <v>-6.2947445542115394</v>
      </c>
      <c r="BP45">
        <v>-6.2947445542137208</v>
      </c>
    </row>
    <row r="46" spans="1:68" x14ac:dyDescent="0.25">
      <c r="AD46" s="40">
        <f>U13-PI()/2</f>
        <v>1.5707963267948966</v>
      </c>
      <c r="AE46">
        <f>AE45</f>
        <v>0</v>
      </c>
      <c r="AS46">
        <v>-2.3736477827122968</v>
      </c>
      <c r="AT46">
        <v>-333.33919129470621</v>
      </c>
      <c r="AU46">
        <v>-259.11283309661451</v>
      </c>
      <c r="AV46">
        <f t="shared" si="1"/>
        <v>-2.4808317625955727</v>
      </c>
      <c r="AW46">
        <f t="shared" si="2"/>
        <v>0.10718397988327588</v>
      </c>
      <c r="AX46" s="40">
        <f t="shared" si="3"/>
        <v>-5.6224244161853658</v>
      </c>
      <c r="AY46">
        <f t="shared" si="4"/>
        <v>5.6224244161853658</v>
      </c>
      <c r="AZ46">
        <f t="shared" si="5"/>
        <v>3.9095375244672894</v>
      </c>
      <c r="BA46">
        <f t="shared" si="6"/>
        <v>-2.4808317625955727</v>
      </c>
      <c r="BB46">
        <f t="shared" si="7"/>
        <v>0.10718397988327588</v>
      </c>
      <c r="BC46">
        <f t="shared" si="8"/>
        <v>-5.6224244161853658</v>
      </c>
      <c r="BD46">
        <f t="shared" si="9"/>
        <v>5.6224244161853658</v>
      </c>
      <c r="BE46" s="40">
        <f t="shared" si="10"/>
        <v>-5.8473318893953365</v>
      </c>
      <c r="BF46" s="40">
        <f t="shared" si="11"/>
        <v>-2.4808317625955727</v>
      </c>
      <c r="BG46">
        <f t="shared" si="12"/>
        <v>-2.4808317625955727</v>
      </c>
      <c r="BK46">
        <v>4.7123889803846897</v>
      </c>
      <c r="BL46">
        <v>4.7123889803839756</v>
      </c>
      <c r="BM46">
        <v>4.7123889803843326</v>
      </c>
      <c r="BN46">
        <v>-6.2947445542159013</v>
      </c>
      <c r="BO46">
        <v>-6.2947445542137208</v>
      </c>
      <c r="BP46">
        <v>-6.2947445542148115</v>
      </c>
    </row>
    <row r="47" spans="1:68" x14ac:dyDescent="0.25">
      <c r="A47" t="s">
        <v>27</v>
      </c>
      <c r="AS47">
        <v>-2.3561944901923537</v>
      </c>
      <c r="AT47">
        <v>-332.23572824104156</v>
      </c>
      <c r="AU47">
        <v>-260.23572824110522</v>
      </c>
      <c r="AV47">
        <f t="shared" si="1"/>
        <v>-2.4771263397236587</v>
      </c>
      <c r="AW47">
        <f t="shared" si="2"/>
        <v>0.12093184953130498</v>
      </c>
      <c r="AX47" s="40">
        <f t="shared" si="3"/>
        <v>-5.6187189933134523</v>
      </c>
      <c r="AY47">
        <f t="shared" si="4"/>
        <v>5.6187189933134523</v>
      </c>
      <c r="AZ47">
        <f t="shared" si="5"/>
        <v>3.9269908169872325</v>
      </c>
      <c r="BA47">
        <f t="shared" si="6"/>
        <v>-2.4771263397236587</v>
      </c>
      <c r="BB47">
        <f t="shared" si="7"/>
        <v>0.12093184953130498</v>
      </c>
      <c r="BC47">
        <f t="shared" si="8"/>
        <v>-5.6187189933134523</v>
      </c>
      <c r="BD47">
        <f t="shared" si="9"/>
        <v>5.6187189933134523</v>
      </c>
      <c r="BE47" s="40">
        <f t="shared" si="10"/>
        <v>-5.8510373122672501</v>
      </c>
      <c r="BF47" s="40">
        <f t="shared" si="11"/>
        <v>-2.4771263397236591</v>
      </c>
      <c r="BG47">
        <f t="shared" si="12"/>
        <v>-2.4771263397236591</v>
      </c>
      <c r="BK47">
        <v>4.7123889803846897</v>
      </c>
      <c r="BL47">
        <v>4.7123889803843326</v>
      </c>
      <c r="BM47">
        <v>4.7123889803845112</v>
      </c>
      <c r="BN47">
        <v>-6.2947445542159013</v>
      </c>
      <c r="BO47">
        <v>-6.2947445542148115</v>
      </c>
      <c r="BP47">
        <v>-6.2947445542153559</v>
      </c>
    </row>
    <row r="48" spans="1:6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-331.11283309780447</v>
      </c>
      <c r="AU48">
        <v>-261.33919129231856</v>
      </c>
      <c r="AV48">
        <f t="shared" si="1"/>
        <v>-2.4734254395963609</v>
      </c>
      <c r="AW48">
        <f t="shared" si="2"/>
        <v>0.13468424192395023</v>
      </c>
      <c r="AX48" s="40">
        <f t="shared" si="3"/>
        <v>-5.615018093186154</v>
      </c>
      <c r="AY48">
        <f t="shared" si="4"/>
        <v>5.615018093186154</v>
      </c>
      <c r="AZ48">
        <f t="shared" si="5"/>
        <v>3.9444441095071756</v>
      </c>
      <c r="BA48">
        <f t="shared" si="6"/>
        <v>-2.4734254395963609</v>
      </c>
      <c r="BB48">
        <f t="shared" si="7"/>
        <v>0.13468424192395023</v>
      </c>
      <c r="BC48">
        <f t="shared" si="8"/>
        <v>-5.615018093186154</v>
      </c>
      <c r="BD48">
        <f t="shared" si="9"/>
        <v>5.615018093186154</v>
      </c>
      <c r="BE48" s="40">
        <f t="shared" si="10"/>
        <v>-5.8547382123945484</v>
      </c>
      <c r="BF48" s="40">
        <f t="shared" si="11"/>
        <v>-2.4734254395963609</v>
      </c>
      <c r="BG48">
        <f t="shared" si="12"/>
        <v>-2.4734254395963609</v>
      </c>
      <c r="BK48">
        <v>4.7123889803846897</v>
      </c>
      <c r="BL48">
        <v>4.7123889803845112</v>
      </c>
      <c r="BM48">
        <v>4.7123889803846009</v>
      </c>
      <c r="BN48">
        <v>-6.2947445542159013</v>
      </c>
      <c r="BO48">
        <v>-6.2947445542153559</v>
      </c>
      <c r="BP48">
        <v>-6.2947445542156304</v>
      </c>
    </row>
    <row r="49" spans="1:68" x14ac:dyDescent="0.25">
      <c r="A49" t="s">
        <v>43</v>
      </c>
      <c r="B49" s="6">
        <f>C37</f>
        <v>0.43746373271736783</v>
      </c>
      <c r="C49" s="6">
        <f>D37</f>
        <v>13.409273861121527</v>
      </c>
      <c r="D49" s="6">
        <f t="shared" ref="D49:E56" si="29">C38</f>
        <v>-10.464940849266799</v>
      </c>
      <c r="E49" s="6">
        <f t="shared" si="29"/>
        <v>8.3955353028468096</v>
      </c>
      <c r="F49" s="6">
        <f t="shared" ref="F49:F54" si="30">IF(B49=D49,"V",(C49-E49)/(B49-D49))</f>
        <v>0.45987456442037933</v>
      </c>
      <c r="G49" s="6">
        <f t="shared" ref="G49:G54" si="31">IF(F49="V",0,(-1*B49*F49)+C49)</f>
        <v>13.208095417588414</v>
      </c>
      <c r="H49" s="6">
        <f>IF(AND(C49&lt;$G$41,E49&lt;$G$41),0,IF(AND(C49&lt;$G$41,E49&gt;$G$41),IF(F49="V",B49,($G$41-G49)/F49),B49))</f>
        <v>0.43746373271736783</v>
      </c>
      <c r="I49" s="6">
        <f>IF(AND(C49&lt;$G$41,E49&lt;$G$41),0,IF(AND(C49&lt;$G$41,E49&gt;$G$41),$G$41,C49))</f>
        <v>13.409273861121527</v>
      </c>
      <c r="J49" s="6">
        <f>IF(AND(C49&lt;$G$41,E49&lt;$G$41),0,IF(E49&gt;=$G$41,D49,IF(F49="V",D49,($G$41-G49)/F49)))</f>
        <v>-10.464940849266799</v>
      </c>
      <c r="K49" s="6">
        <f>IF(AND(C49&lt;$G$41,E49&lt;$G$41),0,IF(E49&gt;=$G$41,E49,$G$41))</f>
        <v>8.3955353028468096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106.83469090560517</v>
      </c>
      <c r="O49" s="10">
        <f>((1/12)*(K49-I49)*(L49*H49*((3*I49)+K49)+L49*J49*(I49+K49)+M49*H49*(I49+K49)+M49*J49*(I49+(3*K49))))</f>
        <v>1067.6921050071214</v>
      </c>
      <c r="P49" s="10">
        <f>((-1/24)*(K49-I49)*(H49*H49*((3*L49)+M49)+2*H49*J49*(L49+M49)+J49*J49*(L49+(3*M49))))</f>
        <v>373.35255409861912</v>
      </c>
      <c r="S49">
        <f>IF(AND(I49=0,K49=0,H49=0,J49=0),NA(),H49)</f>
        <v>0.43746373271736783</v>
      </c>
      <c r="T49">
        <f>IF(AND(I49=0,K49=0,H49=0,J49=0),NA(),I49)</f>
        <v>13.409273861121527</v>
      </c>
      <c r="V49">
        <f>IF(AND(I49=0,K49=0,H49=0,J49=0),NA(),J49)</f>
        <v>-10.464940849266799</v>
      </c>
      <c r="W49">
        <f>IF(AND(I49=0,K49=0,H49=0,J49=0),NA(),K49)</f>
        <v>8.3955353028468096</v>
      </c>
      <c r="AS49">
        <v>-2.3212879051524675</v>
      </c>
      <c r="AT49">
        <v>-329.9687572902568</v>
      </c>
      <c r="AU49">
        <v>-262.42487001588358</v>
      </c>
      <c r="AV49">
        <f t="shared" si="1"/>
        <v>-2.4697228110373972</v>
      </c>
      <c r="AW49">
        <f t="shared" si="2"/>
        <v>0.14843490588492969</v>
      </c>
      <c r="AX49" s="40">
        <f t="shared" si="3"/>
        <v>-5.6113154646271903</v>
      </c>
      <c r="AY49">
        <f t="shared" si="4"/>
        <v>5.6113154646271903</v>
      </c>
      <c r="AZ49">
        <f t="shared" si="5"/>
        <v>3.9618974020271187</v>
      </c>
      <c r="BA49">
        <f t="shared" si="6"/>
        <v>-2.4697228110373972</v>
      </c>
      <c r="BB49">
        <f t="shared" si="7"/>
        <v>0.14843490588492969</v>
      </c>
      <c r="BC49">
        <f t="shared" si="8"/>
        <v>-5.6113154646271903</v>
      </c>
      <c r="BD49">
        <f t="shared" si="9"/>
        <v>5.6113154646271903</v>
      </c>
      <c r="BE49" s="40">
        <f t="shared" si="10"/>
        <v>-5.858440840953512</v>
      </c>
      <c r="BF49" s="40">
        <f t="shared" si="11"/>
        <v>-2.4697228110373972</v>
      </c>
      <c r="BG49">
        <f t="shared" si="12"/>
        <v>-2.4697228110373972</v>
      </c>
      <c r="BK49">
        <v>4.7123889803846897</v>
      </c>
      <c r="BL49">
        <v>4.7123889803846009</v>
      </c>
      <c r="BM49">
        <v>4.7123889803846453</v>
      </c>
      <c r="BN49">
        <v>-6.2947445542159013</v>
      </c>
      <c r="BO49">
        <v>-6.2947445542156304</v>
      </c>
      <c r="BP49">
        <v>-6.2947445542157663</v>
      </c>
    </row>
    <row r="50" spans="1:68" x14ac:dyDescent="0.25">
      <c r="A50" t="s">
        <v>44</v>
      </c>
      <c r="B50" s="6">
        <f t="shared" ref="B50:C54" si="32">D49</f>
        <v>-10.464940849266799</v>
      </c>
      <c r="C50" s="6">
        <f t="shared" si="32"/>
        <v>8.3955353028468096</v>
      </c>
      <c r="D50" s="6">
        <f t="shared" si="29"/>
        <v>-5.4512022909920841</v>
      </c>
      <c r="E50" s="6">
        <f t="shared" si="29"/>
        <v>-2.5068692791373581</v>
      </c>
      <c r="F50" s="6">
        <f t="shared" si="30"/>
        <v>-2.1745060009143775</v>
      </c>
      <c r="G50" s="6">
        <f t="shared" si="31"/>
        <v>-14.360541373097849</v>
      </c>
      <c r="H50" s="6">
        <f t="shared" ref="H50:H54" si="33">IF(AND(C50&lt;$G$41,E50&lt;$G$41),0,IF(AND(C50&lt;$G$41,E50&gt;$G$41),IF(F50="V",B50,($G$41-G50)/F50),B50))</f>
        <v>-10.464940849266799</v>
      </c>
      <c r="I50" s="6">
        <f t="shared" ref="I50:I54" si="34">IF(AND(C50&lt;$G$41,E50&lt;$G$41),0,IF(AND(C50&lt;$G$41,E50&gt;$G$41),$G$41,C50))</f>
        <v>8.3955353028468096</v>
      </c>
      <c r="J50" s="6">
        <f t="shared" ref="J50:J54" si="35">IF(AND(C50&lt;$G$41,E50&lt;$G$41),0,IF(E50&gt;=$G$41,D50,IF(F50="V",D50,($G$41-G50)/F50)))</f>
        <v>-10.449777103995695</v>
      </c>
      <c r="K50" s="6">
        <f t="shared" ref="K50:K54" si="36">IF(AND(C50&lt;$G$41,E50&lt;$G$41),0,IF(E50&gt;=$G$41,E50,$G$41))</f>
        <v>8.3625616477584543</v>
      </c>
      <c r="L50" s="6">
        <f t="shared" ref="L50:L54" si="37">IF(AND(I50=0,K50=0,H50=0,J50=0),0,$B$31)</f>
        <v>4.25</v>
      </c>
      <c r="M50" s="6">
        <f t="shared" ref="M50:M54" si="38">IF(AND(I50=0,K50=0,H50=0,J50=0),0,$B$31)</f>
        <v>4.25</v>
      </c>
      <c r="N50" s="10">
        <f t="shared" ref="N50:N54" si="39">(1/6)*(K50-I50)*((L50*((2*H50)+J50))+(M50*(H50+(2*J50))))</f>
        <v>1.4654737291298565</v>
      </c>
      <c r="O50" s="10">
        <f t="shared" ref="O50:O54" si="40">((1/12)*(K50-I50)*(L50*H50*((3*I50)+K50)+L50*J50*(I50+K50)+M50*H50*(I50+K50)+M50*J50*(I50+(3*K50))))</f>
        <v>12.279281254794295</v>
      </c>
      <c r="P50" s="10">
        <f t="shared" ref="P50:P54" si="41">((-1/24)*(K50-I50)*(H50*H50*((3*L50)+M50)+2*H50*J50*(L50+M50)+J50*J50*(L50+(3*M50))))</f>
        <v>7.6624937708009915</v>
      </c>
      <c r="S50">
        <f t="shared" ref="S50:S55" si="42">IF(AND(I50=0,K50=0,H50=0,J50=0),NA(),H50)</f>
        <v>-10.464940849266799</v>
      </c>
      <c r="T50">
        <f t="shared" ref="T50:T55" si="43">IF(AND(I50=0,K50=0,H50=0,J50=0),NA(),I50)</f>
        <v>8.3955353028468096</v>
      </c>
      <c r="V50">
        <f t="shared" ref="V50:V55" si="44">IF(AND(I50=0,K50=0,H50=0,J50=0),NA(),J50)</f>
        <v>-10.449777103995695</v>
      </c>
      <c r="W50">
        <f t="shared" ref="W50:W55" si="45">IF(AND(I50=0,K50=0,H50=0,J50=0),NA(),K50)</f>
        <v>8.3625616477584543</v>
      </c>
      <c r="AS50">
        <v>-2.3038346126325244</v>
      </c>
      <c r="AT50">
        <v>-328.80163822843798</v>
      </c>
      <c r="AU50">
        <v>-263.49432328947819</v>
      </c>
      <c r="AV50">
        <f t="shared" si="1"/>
        <v>-2.4660121727494979</v>
      </c>
      <c r="AW50">
        <f t="shared" si="2"/>
        <v>0.16217756011697348</v>
      </c>
      <c r="AX50" s="40">
        <f t="shared" si="3"/>
        <v>-5.6076048263392906</v>
      </c>
      <c r="AY50">
        <f t="shared" si="4"/>
        <v>5.6076048263392906</v>
      </c>
      <c r="AZ50">
        <f t="shared" si="5"/>
        <v>3.9793506945470618</v>
      </c>
      <c r="BA50">
        <f t="shared" si="6"/>
        <v>-2.4660121727494979</v>
      </c>
      <c r="BB50">
        <f t="shared" si="7"/>
        <v>0.16217756011697348</v>
      </c>
      <c r="BC50">
        <f t="shared" si="8"/>
        <v>-5.6076048263392906</v>
      </c>
      <c r="BD50">
        <f t="shared" si="9"/>
        <v>5.6076048263392906</v>
      </c>
      <c r="BE50" s="40">
        <f t="shared" si="10"/>
        <v>-5.8621514792414118</v>
      </c>
      <c r="BF50" s="40">
        <f t="shared" si="11"/>
        <v>-2.4660121727494975</v>
      </c>
      <c r="BG50">
        <f t="shared" si="12"/>
        <v>-2.4660121727494975</v>
      </c>
      <c r="BK50">
        <v>4.7123889803846897</v>
      </c>
      <c r="BL50">
        <v>4.7123889803846453</v>
      </c>
      <c r="BM50">
        <v>4.7123889803846675</v>
      </c>
      <c r="BN50">
        <v>-6.2947445542159013</v>
      </c>
      <c r="BO50">
        <v>-6.2947445542157663</v>
      </c>
      <c r="BP50">
        <v>-6.2947445542158338</v>
      </c>
    </row>
    <row r="51" spans="1:68" x14ac:dyDescent="0.25">
      <c r="A51" t="s">
        <v>45</v>
      </c>
      <c r="B51" s="6">
        <f t="shared" si="32"/>
        <v>-5.4512022909920841</v>
      </c>
      <c r="C51" s="6">
        <f t="shared" si="32"/>
        <v>-2.5068692791373581</v>
      </c>
      <c r="D51" s="6">
        <f t="shared" si="29"/>
        <v>-5.4512022909920841</v>
      </c>
      <c r="E51" s="6">
        <f t="shared" si="29"/>
        <v>-2.5068692791373581</v>
      </c>
      <c r="F51" s="6" t="str">
        <f t="shared" si="30"/>
        <v>V</v>
      </c>
      <c r="G51" s="6">
        <f t="shared" si="31"/>
        <v>0</v>
      </c>
      <c r="H51" s="6">
        <f t="shared" si="33"/>
        <v>0</v>
      </c>
      <c r="I51" s="6">
        <f t="shared" si="34"/>
        <v>0</v>
      </c>
      <c r="J51" s="6">
        <f t="shared" si="35"/>
        <v>0</v>
      </c>
      <c r="K51" s="6">
        <f t="shared" si="36"/>
        <v>0</v>
      </c>
      <c r="L51" s="6">
        <f t="shared" si="37"/>
        <v>0</v>
      </c>
      <c r="M51" s="6">
        <f t="shared" si="38"/>
        <v>0</v>
      </c>
      <c r="N51" s="10">
        <f t="shared" si="39"/>
        <v>0</v>
      </c>
      <c r="O51" s="10">
        <f t="shared" si="40"/>
        <v>0</v>
      </c>
      <c r="P51" s="10">
        <f t="shared" si="41"/>
        <v>0</v>
      </c>
      <c r="S51" t="e">
        <f t="shared" si="42"/>
        <v>#N/A</v>
      </c>
      <c r="T51" t="e">
        <f t="shared" si="43"/>
        <v>#N/A</v>
      </c>
      <c r="V51" t="e">
        <f t="shared" si="44"/>
        <v>#N/A</v>
      </c>
      <c r="W51" t="e">
        <f t="shared" si="45"/>
        <v>#N/A</v>
      </c>
      <c r="AS51">
        <v>-2.2863813201125813</v>
      </c>
      <c r="AT51">
        <v>-327.60948453429478</v>
      </c>
      <c r="AU51">
        <v>-264.5490319099755</v>
      </c>
      <c r="AV51">
        <f t="shared" si="1"/>
        <v>-2.4622871623153721</v>
      </c>
      <c r="AW51">
        <f t="shared" si="2"/>
        <v>0.17590584220279082</v>
      </c>
      <c r="AX51" s="40">
        <f t="shared" si="3"/>
        <v>-5.6038798159051648</v>
      </c>
      <c r="AY51">
        <f t="shared" si="4"/>
        <v>5.6038798159051648</v>
      </c>
      <c r="AZ51">
        <f t="shared" si="5"/>
        <v>3.9968039870670049</v>
      </c>
      <c r="BA51">
        <f t="shared" si="6"/>
        <v>-2.4622871623153721</v>
      </c>
      <c r="BB51">
        <f t="shared" si="7"/>
        <v>0.17590584220279082</v>
      </c>
      <c r="BC51">
        <f t="shared" si="8"/>
        <v>-5.6038798159051648</v>
      </c>
      <c r="BD51">
        <f t="shared" si="9"/>
        <v>5.6038798159051648</v>
      </c>
      <c r="BE51" s="40">
        <f t="shared" si="10"/>
        <v>-5.8658764896755375</v>
      </c>
      <c r="BF51" s="40">
        <f t="shared" si="11"/>
        <v>-2.4622871623153717</v>
      </c>
      <c r="BG51">
        <f t="shared" si="12"/>
        <v>-2.4622871623153717</v>
      </c>
      <c r="BK51">
        <v>4.7123889803846897</v>
      </c>
      <c r="BL51">
        <v>4.7123889803846675</v>
      </c>
      <c r="BM51">
        <v>4.712388980384679</v>
      </c>
      <c r="BN51">
        <v>-6.2947445542159013</v>
      </c>
      <c r="BO51">
        <v>-6.2947445542158338</v>
      </c>
      <c r="BP51">
        <v>-6.2947445542158693</v>
      </c>
    </row>
    <row r="52" spans="1:68" x14ac:dyDescent="0.25">
      <c r="A52" t="s">
        <v>46</v>
      </c>
      <c r="B52" s="6">
        <f t="shared" si="32"/>
        <v>-5.4512022909920841</v>
      </c>
      <c r="C52" s="6">
        <f t="shared" si="32"/>
        <v>-2.5068692791373581</v>
      </c>
      <c r="D52" s="6">
        <f t="shared" si="29"/>
        <v>-0.43746373271736783</v>
      </c>
      <c r="E52" s="6">
        <f t="shared" si="29"/>
        <v>-13.409273861121527</v>
      </c>
      <c r="F52" s="6">
        <f t="shared" si="30"/>
        <v>-2.1745060009143771</v>
      </c>
      <c r="G52" s="6">
        <f t="shared" si="31"/>
        <v>-14.360541373097846</v>
      </c>
      <c r="H52" s="6">
        <f t="shared" si="33"/>
        <v>0</v>
      </c>
      <c r="I52" s="6">
        <f t="shared" si="34"/>
        <v>0</v>
      </c>
      <c r="J52" s="6">
        <f t="shared" si="35"/>
        <v>0</v>
      </c>
      <c r="K52" s="6">
        <f t="shared" si="36"/>
        <v>0</v>
      </c>
      <c r="L52" s="6">
        <f t="shared" si="37"/>
        <v>0</v>
      </c>
      <c r="M52" s="6">
        <f t="shared" si="38"/>
        <v>0</v>
      </c>
      <c r="N52" s="10">
        <f t="shared" si="39"/>
        <v>0</v>
      </c>
      <c r="O52" s="10">
        <f t="shared" si="40"/>
        <v>0</v>
      </c>
      <c r="P52" s="10">
        <f t="shared" si="41"/>
        <v>0</v>
      </c>
      <c r="S52" t="e">
        <f t="shared" si="42"/>
        <v>#N/A</v>
      </c>
      <c r="T52" t="e">
        <f t="shared" si="43"/>
        <v>#N/A</v>
      </c>
      <c r="V52" t="e">
        <f t="shared" si="44"/>
        <v>#N/A</v>
      </c>
      <c r="W52" t="e">
        <f t="shared" si="45"/>
        <v>#N/A</v>
      </c>
      <c r="AS52">
        <v>-2.2689280275926382</v>
      </c>
      <c r="AT52">
        <v>-326.3901594475733</v>
      </c>
      <c r="AU52">
        <v>-265.5904084687478</v>
      </c>
      <c r="AV52">
        <f t="shared" si="1"/>
        <v>-2.4585412835114706</v>
      </c>
      <c r="AW52">
        <f t="shared" si="2"/>
        <v>0.18961325591883238</v>
      </c>
      <c r="AX52" s="40">
        <f t="shared" si="3"/>
        <v>-5.6001339371012637</v>
      </c>
      <c r="AY52">
        <f t="shared" si="4"/>
        <v>5.6001339371012637</v>
      </c>
      <c r="AZ52">
        <f t="shared" si="5"/>
        <v>4.014257279586948</v>
      </c>
      <c r="BA52">
        <f t="shared" si="6"/>
        <v>-2.4585412835114706</v>
      </c>
      <c r="BB52">
        <f t="shared" si="7"/>
        <v>0.18961325591883238</v>
      </c>
      <c r="BC52">
        <f t="shared" si="8"/>
        <v>-5.6001339371012637</v>
      </c>
      <c r="BD52">
        <f t="shared" si="9"/>
        <v>5.6001339371012637</v>
      </c>
      <c r="BE52" s="40">
        <f t="shared" si="10"/>
        <v>-5.8696223684794386</v>
      </c>
      <c r="BF52" s="40">
        <f t="shared" si="11"/>
        <v>-2.4585412835114706</v>
      </c>
      <c r="BG52">
        <f t="shared" si="12"/>
        <v>-2.4585412835114706</v>
      </c>
      <c r="BK52">
        <v>4.7123889803846897</v>
      </c>
      <c r="BL52">
        <v>4.712388980384679</v>
      </c>
      <c r="BM52">
        <v>4.7123889803846843</v>
      </c>
      <c r="BN52">
        <v>-6.2947445542159013</v>
      </c>
      <c r="BO52">
        <v>-6.2947445542158693</v>
      </c>
      <c r="BP52">
        <v>-6.2947445542158853</v>
      </c>
    </row>
    <row r="53" spans="1:68" x14ac:dyDescent="0.25">
      <c r="A53" t="s">
        <v>47</v>
      </c>
      <c r="B53" s="6">
        <f t="shared" si="32"/>
        <v>-0.43746373271736783</v>
      </c>
      <c r="C53" s="6">
        <f t="shared" si="32"/>
        <v>-13.409273861121527</v>
      </c>
      <c r="D53" s="6">
        <f t="shared" si="29"/>
        <v>32.269750013235132</v>
      </c>
      <c r="E53" s="6">
        <f t="shared" si="29"/>
        <v>1.6319418137026229</v>
      </c>
      <c r="F53" s="6">
        <f t="shared" si="30"/>
        <v>0.45987456442037933</v>
      </c>
      <c r="G53" s="6">
        <f t="shared" si="31"/>
        <v>-13.208095417588414</v>
      </c>
      <c r="H53" s="6">
        <f t="shared" si="33"/>
        <v>0</v>
      </c>
      <c r="I53" s="6">
        <f t="shared" si="34"/>
        <v>0</v>
      </c>
      <c r="J53" s="6">
        <f t="shared" si="35"/>
        <v>0</v>
      </c>
      <c r="K53" s="6">
        <f t="shared" si="36"/>
        <v>0</v>
      </c>
      <c r="L53" s="6">
        <f t="shared" si="37"/>
        <v>0</v>
      </c>
      <c r="M53" s="6">
        <f t="shared" si="38"/>
        <v>0</v>
      </c>
      <c r="N53" s="10">
        <f t="shared" si="39"/>
        <v>0</v>
      </c>
      <c r="O53" s="10">
        <f t="shared" si="40"/>
        <v>0</v>
      </c>
      <c r="P53" s="10">
        <f t="shared" si="41"/>
        <v>0</v>
      </c>
      <c r="S53" t="e">
        <f t="shared" si="42"/>
        <v>#N/A</v>
      </c>
      <c r="T53" t="e">
        <f t="shared" si="43"/>
        <v>#N/A</v>
      </c>
      <c r="V53" t="e">
        <f t="shared" si="44"/>
        <v>#N/A</v>
      </c>
      <c r="W53" t="e">
        <f t="shared" si="45"/>
        <v>#N/A</v>
      </c>
      <c r="AS53">
        <v>-2.2514747350726951</v>
      </c>
      <c r="AT53">
        <v>-325.14136216551117</v>
      </c>
      <c r="AU53">
        <v>-266.61980646469647</v>
      </c>
      <c r="AV53">
        <f t="shared" si="1"/>
        <v>-2.4547678510058475</v>
      </c>
      <c r="AW53">
        <f t="shared" si="2"/>
        <v>0.20329311593315236</v>
      </c>
      <c r="AX53" s="40">
        <f t="shared" si="3"/>
        <v>-5.5963605045956406</v>
      </c>
      <c r="AY53">
        <f t="shared" si="4"/>
        <v>5.5963605045956406</v>
      </c>
      <c r="AZ53">
        <f t="shared" si="5"/>
        <v>4.0317105721068911</v>
      </c>
      <c r="BA53">
        <f t="shared" si="6"/>
        <v>-2.4547678510058475</v>
      </c>
      <c r="BB53">
        <f t="shared" si="7"/>
        <v>0.20329311593315236</v>
      </c>
      <c r="BC53">
        <f t="shared" si="8"/>
        <v>-5.5963605045956406</v>
      </c>
      <c r="BD53">
        <f t="shared" si="9"/>
        <v>5.5963605045956406</v>
      </c>
      <c r="BE53" s="40">
        <f t="shared" si="10"/>
        <v>-5.8733958009850618</v>
      </c>
      <c r="BF53" s="40">
        <f t="shared" si="11"/>
        <v>-2.4547678510058475</v>
      </c>
      <c r="BG53">
        <f t="shared" si="12"/>
        <v>-2.4547678510058475</v>
      </c>
      <c r="BK53">
        <v>4.7123889803846897</v>
      </c>
      <c r="BL53">
        <v>4.7123889803846843</v>
      </c>
      <c r="BM53">
        <v>4.712388980384687</v>
      </c>
      <c r="BN53">
        <v>-6.2947445542159013</v>
      </c>
      <c r="BO53">
        <v>-6.2947445542158853</v>
      </c>
      <c r="BP53">
        <v>-6.2947445542158933</v>
      </c>
    </row>
    <row r="54" spans="1:68" x14ac:dyDescent="0.25">
      <c r="A54" t="s">
        <v>48</v>
      </c>
      <c r="B54" s="6">
        <f t="shared" si="32"/>
        <v>32.269750013235132</v>
      </c>
      <c r="C54" s="6">
        <f t="shared" si="32"/>
        <v>1.6319418137026229</v>
      </c>
      <c r="D54" s="6">
        <f t="shared" si="29"/>
        <v>27.256011454960419</v>
      </c>
      <c r="E54" s="6">
        <f t="shared" si="29"/>
        <v>12.534346395686791</v>
      </c>
      <c r="F54" s="6">
        <f t="shared" si="30"/>
        <v>-2.1745060009143784</v>
      </c>
      <c r="G54" s="6">
        <f t="shared" si="31"/>
        <v>71.802706865489256</v>
      </c>
      <c r="H54" s="6">
        <f t="shared" si="33"/>
        <v>29.174509148769541</v>
      </c>
      <c r="I54" s="6">
        <f t="shared" si="34"/>
        <v>8.3625616477584543</v>
      </c>
      <c r="J54" s="6">
        <f t="shared" si="35"/>
        <v>27.256011454960419</v>
      </c>
      <c r="K54" s="6">
        <f t="shared" si="36"/>
        <v>12.534346395686791</v>
      </c>
      <c r="L54" s="6">
        <f t="shared" si="37"/>
        <v>4.25</v>
      </c>
      <c r="M54" s="6">
        <f t="shared" si="38"/>
        <v>4.25</v>
      </c>
      <c r="N54" s="10">
        <f t="shared" si="39"/>
        <v>500.25896849112985</v>
      </c>
      <c r="O54" s="10">
        <f t="shared" si="40"/>
        <v>5215.107515382846</v>
      </c>
      <c r="P54" s="10">
        <f t="shared" si="41"/>
        <v>-7060.1875881479318</v>
      </c>
      <c r="S54">
        <f t="shared" si="42"/>
        <v>29.174509148769541</v>
      </c>
      <c r="T54">
        <f t="shared" si="43"/>
        <v>8.3625616477584543</v>
      </c>
      <c r="V54">
        <f t="shared" si="44"/>
        <v>27.256011454960419</v>
      </c>
      <c r="W54">
        <f t="shared" si="45"/>
        <v>12.534346395686791</v>
      </c>
      <c r="AS54">
        <v>-2.234021442552752</v>
      </c>
      <c r="AT54">
        <v>-323.86060649177517</v>
      </c>
      <c r="AU54">
        <v>-267.63852874947844</v>
      </c>
      <c r="AV54">
        <f t="shared" si="1"/>
        <v>-2.450959931045094</v>
      </c>
      <c r="AW54">
        <f t="shared" si="2"/>
        <v>0.21693848849234199</v>
      </c>
      <c r="AX54" s="40">
        <f t="shared" si="3"/>
        <v>-5.5925525846348876</v>
      </c>
      <c r="AY54">
        <f t="shared" si="4"/>
        <v>5.5925525846348876</v>
      </c>
      <c r="AZ54">
        <f t="shared" si="5"/>
        <v>4.0491638646268342</v>
      </c>
      <c r="BA54">
        <f t="shared" si="6"/>
        <v>-2.450959931045094</v>
      </c>
      <c r="BB54">
        <f t="shared" si="7"/>
        <v>0.21693848849234199</v>
      </c>
      <c r="BC54">
        <f t="shared" si="8"/>
        <v>-5.5925525846348876</v>
      </c>
      <c r="BD54">
        <f t="shared" si="9"/>
        <v>5.5925525846348876</v>
      </c>
      <c r="BE54" s="40">
        <f t="shared" si="10"/>
        <v>-5.8772037209458148</v>
      </c>
      <c r="BF54" s="40">
        <f t="shared" si="11"/>
        <v>-2.4509599310450945</v>
      </c>
      <c r="BG54">
        <f t="shared" si="12"/>
        <v>-2.4509599310450945</v>
      </c>
    </row>
    <row r="55" spans="1:68" x14ac:dyDescent="0.25">
      <c r="A55" t="s">
        <v>93</v>
      </c>
      <c r="B55" s="6">
        <f>D54</f>
        <v>27.256011454960419</v>
      </c>
      <c r="C55" s="6">
        <f>E54</f>
        <v>12.534346395686791</v>
      </c>
      <c r="D55" s="6">
        <f t="shared" si="29"/>
        <v>5.4512022909920841</v>
      </c>
      <c r="E55" s="6">
        <f t="shared" si="29"/>
        <v>2.5068692791373581</v>
      </c>
      <c r="F55" s="6">
        <f t="shared" ref="F55:F56" si="46">IF(B55=D55,"V",(C55-E55)/(B55-D55))</f>
        <v>0.45987456442037927</v>
      </c>
      <c r="G55" s="6">
        <f t="shared" ref="G55:G56" si="47">IF(F55="V",0,(-1*B55*F55)+C55)</f>
        <v>0</v>
      </c>
      <c r="H55" s="6">
        <f t="shared" ref="H55:H56" si="48">IF(AND(C55&lt;$G$41,E55&lt;$G$41),0,IF(AND(C55&lt;$G$41,E55&gt;$G$41),IF(F55="V",B55,($G$41-G55)/F55),B55))</f>
        <v>27.256011454960419</v>
      </c>
      <c r="I55" s="6">
        <f t="shared" ref="I55:I56" si="49">IF(AND(C55&lt;$G$41,E55&lt;$G$41),0,IF(AND(C55&lt;$G$41,E55&gt;$G$41),$G$41,C55))</f>
        <v>12.534346395686791</v>
      </c>
      <c r="J55" s="6">
        <f t="shared" ref="J55:J56" si="50">IF(AND(C55&lt;$G$41,E55&lt;$G$41),0,IF(E55&gt;=$G$41,D55,IF(F55="V",D55,($G$41-G55)/F55)))</f>
        <v>18.184440486067182</v>
      </c>
      <c r="K55" s="6">
        <f t="shared" ref="K55:K56" si="51">IF(AND(C55&lt;$G$41,E55&lt;$G$41),0,IF(E55&gt;=$G$41,E55,$G$41))</f>
        <v>8.3625616477584543</v>
      </c>
      <c r="L55" s="6">
        <f t="shared" ref="L55:L56" si="52">IF(AND(I55=0,K55=0,H55=0,J55=0),0,$B$31)</f>
        <v>4.25</v>
      </c>
      <c r="M55" s="6">
        <f t="shared" ref="M55:M56" si="53">IF(AND(I55=0,K55=0,H55=0,J55=0),0,$B$31)</f>
        <v>4.25</v>
      </c>
      <c r="N55" s="10">
        <f t="shared" ref="N55:N56" si="54">(1/6)*(K55-I55)*((L55*((2*H55)+J55))+(M55*(H55+(2*J55))))</f>
        <v>-402.83154173641771</v>
      </c>
      <c r="O55" s="10">
        <f t="shared" ref="O55:O56" si="55">((1/12)*(K55-I55)*(L55*H55*((3*I55)+K55)+L55*J55*(I55+K55)+M55*H55*(I55+K55)+M55*J55*(I55+(3*K55))))</f>
        <v>-4264.8825686423561</v>
      </c>
      <c r="P55" s="10">
        <f t="shared" ref="P55:P56" si="56">((-1/24)*(K55-I55)*(H55*H55*((3*L55)+M55)+2*H55*J55*(L55+M55)+J55*J55*(L55+(3*M55))))</f>
        <v>4637.0063693539632</v>
      </c>
      <c r="S55">
        <f t="shared" si="42"/>
        <v>27.256011454960419</v>
      </c>
      <c r="T55">
        <f t="shared" si="43"/>
        <v>12.534346395686791</v>
      </c>
      <c r="V55">
        <f t="shared" si="44"/>
        <v>18.184440486067182</v>
      </c>
      <c r="W55">
        <f t="shared" si="45"/>
        <v>8.3625616477584543</v>
      </c>
      <c r="AS55">
        <v>-2.2165681500328089</v>
      </c>
      <c r="AT55">
        <v>-322.54519674586641</v>
      </c>
      <c r="AU55">
        <v>-268.64783550592995</v>
      </c>
      <c r="AV55">
        <f t="shared" si="1"/>
        <v>-2.4471102773549096</v>
      </c>
      <c r="AW55">
        <f t="shared" si="2"/>
        <v>0.23054212732210067</v>
      </c>
      <c r="AX55" s="40">
        <f t="shared" si="3"/>
        <v>-5.5887029309447023</v>
      </c>
      <c r="AY55">
        <f t="shared" si="4"/>
        <v>5.5887029309447023</v>
      </c>
      <c r="AZ55">
        <f t="shared" si="5"/>
        <v>4.0666171571467773</v>
      </c>
      <c r="BA55">
        <f t="shared" si="6"/>
        <v>-2.4471102773549096</v>
      </c>
      <c r="BB55">
        <f t="shared" si="7"/>
        <v>0.23054212732210067</v>
      </c>
      <c r="BC55">
        <f t="shared" si="8"/>
        <v>-5.5887029309447023</v>
      </c>
      <c r="BD55">
        <f t="shared" si="9"/>
        <v>5.5887029309447023</v>
      </c>
      <c r="BE55" s="40">
        <f t="shared" si="10"/>
        <v>-5.8810533746360001</v>
      </c>
      <c r="BF55" s="40">
        <f t="shared" si="11"/>
        <v>-2.4471102773549092</v>
      </c>
      <c r="BG55">
        <f t="shared" si="12"/>
        <v>-2.4471102773549092</v>
      </c>
    </row>
    <row r="56" spans="1:68" ht="15.75" thickBot="1" x14ac:dyDescent="0.3">
      <c r="A56" t="s">
        <v>94</v>
      </c>
      <c r="B56" s="6">
        <f>D55</f>
        <v>5.4512022909920841</v>
      </c>
      <c r="C56" s="6">
        <f>E55</f>
        <v>2.5068692791373581</v>
      </c>
      <c r="D56" s="6">
        <f t="shared" si="29"/>
        <v>0.43746373271736783</v>
      </c>
      <c r="E56" s="6">
        <f t="shared" si="29"/>
        <v>13.409273861121527</v>
      </c>
      <c r="F56" s="6">
        <f t="shared" si="46"/>
        <v>-2.1745060009143771</v>
      </c>
      <c r="G56" s="6">
        <f t="shared" si="47"/>
        <v>14.360541373097846</v>
      </c>
      <c r="H56" s="6">
        <f t="shared" si="48"/>
        <v>2.7583183135927185</v>
      </c>
      <c r="I56" s="6">
        <f t="shared" si="49"/>
        <v>8.3625616477584543</v>
      </c>
      <c r="J56" s="6">
        <f t="shared" si="50"/>
        <v>0.43746373271736783</v>
      </c>
      <c r="K56" s="6">
        <f t="shared" si="51"/>
        <v>13.409273861121527</v>
      </c>
      <c r="L56" s="6">
        <f t="shared" si="52"/>
        <v>4.25</v>
      </c>
      <c r="M56" s="6">
        <f t="shared" si="53"/>
        <v>4.25</v>
      </c>
      <c r="N56" s="11">
        <f t="shared" si="54"/>
        <v>34.272408604264029</v>
      </c>
      <c r="O56" s="11">
        <f t="shared" si="55"/>
        <v>352.15163441440467</v>
      </c>
      <c r="P56" s="11">
        <f t="shared" si="56"/>
        <v>-32.195521015799876</v>
      </c>
      <c r="S56">
        <f t="shared" ref="S56" si="57">IF(AND(I56=0,K56=0,H56=0,J56=0),NA(),H56)</f>
        <v>2.7583183135927185</v>
      </c>
      <c r="T56">
        <f t="shared" ref="T56" si="58">IF(AND(I56=0,K56=0,H56=0,J56=0),NA(),I56)</f>
        <v>8.3625616477584543</v>
      </c>
      <c r="V56">
        <f t="shared" ref="V56" si="59">IF(AND(I56=0,K56=0,H56=0,J56=0),NA(),J56)</f>
        <v>0.43746373271736783</v>
      </c>
      <c r="W56">
        <f t="shared" ref="W56" si="60">IF(AND(I56=0,K56=0,H56=0,J56=0),NA(),K56)</f>
        <v>13.409273861121527</v>
      </c>
      <c r="AS56">
        <v>-2.1991148575128658</v>
      </c>
      <c r="AT56">
        <v>-320.15944567928193</v>
      </c>
      <c r="AU56">
        <v>-269.74881975470635</v>
      </c>
      <c r="AV56">
        <f t="shared" si="1"/>
        <v>-2.4414424089606772</v>
      </c>
      <c r="AW56">
        <f t="shared" si="2"/>
        <v>0.24232755144781137</v>
      </c>
      <c r="AX56" s="40">
        <f t="shared" si="3"/>
        <v>-5.5830350625504703</v>
      </c>
      <c r="AY56">
        <f t="shared" si="4"/>
        <v>5.5830350625504703</v>
      </c>
      <c r="AZ56">
        <f t="shared" si="5"/>
        <v>4.0840704496667204</v>
      </c>
      <c r="BA56">
        <f t="shared" si="6"/>
        <v>-2.4414424089606772</v>
      </c>
      <c r="BB56">
        <f t="shared" si="7"/>
        <v>0.24232755144781137</v>
      </c>
      <c r="BC56">
        <f t="shared" si="8"/>
        <v>-5.5830350625504703</v>
      </c>
      <c r="BD56">
        <f t="shared" si="9"/>
        <v>5.5830350625504703</v>
      </c>
      <c r="BE56" s="40">
        <f t="shared" si="10"/>
        <v>-5.886721243030232</v>
      </c>
      <c r="BF56" s="40">
        <f t="shared" si="11"/>
        <v>-2.4414424089606772</v>
      </c>
      <c r="BG56">
        <f t="shared" si="12"/>
        <v>-2.4414424089606772</v>
      </c>
    </row>
    <row r="57" spans="1:68" ht="15.75" thickTop="1" x14ac:dyDescent="0.25">
      <c r="N57" s="6">
        <f>SUM(N49:N56)</f>
        <v>239.99999999371116</v>
      </c>
      <c r="O57" s="6">
        <f t="shared" ref="O57:P57" si="61">SUM(O49:O56)</f>
        <v>2382.3479674168102</v>
      </c>
      <c r="P57" s="6">
        <f t="shared" si="61"/>
        <v>-2074.361691940348</v>
      </c>
      <c r="AS57">
        <v>-2.1816615649929227</v>
      </c>
      <c r="AT57">
        <v>-317.13156395155022</v>
      </c>
      <c r="AU57">
        <v>-270.88752413078015</v>
      </c>
      <c r="AV57">
        <f t="shared" si="1"/>
        <v>-2.4346767293105551</v>
      </c>
      <c r="AW57">
        <f t="shared" si="2"/>
        <v>0.25301516431763238</v>
      </c>
      <c r="AX57" s="40">
        <f t="shared" si="3"/>
        <v>-5.5762693829003478</v>
      </c>
      <c r="AY57">
        <f t="shared" si="4"/>
        <v>5.5762693829003478</v>
      </c>
      <c r="AZ57">
        <f t="shared" si="5"/>
        <v>4.1015237421866635</v>
      </c>
      <c r="BA57">
        <f t="shared" si="6"/>
        <v>-2.4346767293105551</v>
      </c>
      <c r="BB57">
        <f t="shared" si="7"/>
        <v>0.25301516431763238</v>
      </c>
      <c r="BC57">
        <f t="shared" si="8"/>
        <v>-5.5762693829003478</v>
      </c>
      <c r="BD57">
        <f t="shared" si="9"/>
        <v>5.5762693829003478</v>
      </c>
      <c r="BE57" s="40">
        <f t="shared" si="10"/>
        <v>-5.8934869226803546</v>
      </c>
      <c r="BF57" s="40">
        <f t="shared" si="11"/>
        <v>-2.4346767293105547</v>
      </c>
      <c r="BG57">
        <f t="shared" si="12"/>
        <v>-2.4346767293105547</v>
      </c>
    </row>
    <row r="58" spans="1:68" x14ac:dyDescent="0.25">
      <c r="O58" s="6">
        <f>O57/N57</f>
        <v>9.9264498644968171</v>
      </c>
      <c r="P58" s="6">
        <f>-1*P57/N57</f>
        <v>8.6431737166445988</v>
      </c>
      <c r="S58">
        <f>(P58*COS(-1*$B$27))+(O58*SIN(-1*$B$27))+$I$2</f>
        <v>-6.0000000969699769</v>
      </c>
      <c r="T58">
        <f>(-1*P58*SIN(-1*$B$27))+(O58*COS(-1*$B$27))+$I$3</f>
        <v>6.5927034036234486</v>
      </c>
      <c r="AS58">
        <v>-2.1642082724729796</v>
      </c>
      <c r="AT58">
        <v>-314.1006214189913</v>
      </c>
      <c r="AU58">
        <v>-272.00037381685718</v>
      </c>
      <c r="AV58">
        <f t="shared" si="1"/>
        <v>-2.4279023751460747</v>
      </c>
      <c r="AW58">
        <f t="shared" si="2"/>
        <v>0.26369410267309501</v>
      </c>
      <c r="AX58" s="40">
        <f t="shared" si="3"/>
        <v>-5.5694950287358678</v>
      </c>
      <c r="AY58">
        <f t="shared" si="4"/>
        <v>5.5694950287358678</v>
      </c>
      <c r="AZ58">
        <f t="shared" si="5"/>
        <v>4.1189770347066066</v>
      </c>
      <c r="BA58">
        <f t="shared" si="6"/>
        <v>-2.4279023751460747</v>
      </c>
      <c r="BB58">
        <f t="shared" si="7"/>
        <v>0.26369410267309501</v>
      </c>
      <c r="BC58">
        <f t="shared" si="8"/>
        <v>-5.5694950287358678</v>
      </c>
      <c r="BD58">
        <f t="shared" si="9"/>
        <v>5.5694950287358678</v>
      </c>
      <c r="BE58" s="40">
        <f t="shared" si="10"/>
        <v>-5.9002612768448346</v>
      </c>
      <c r="BF58" s="40">
        <f t="shared" si="11"/>
        <v>-2.4279023751460747</v>
      </c>
      <c r="BG58">
        <f t="shared" si="12"/>
        <v>-2.4279023751460747</v>
      </c>
    </row>
    <row r="59" spans="1:68" x14ac:dyDescent="0.25">
      <c r="A59" t="s">
        <v>54</v>
      </c>
      <c r="AS59">
        <v>-2.1467549799530365</v>
      </c>
      <c r="AT59">
        <v>-311.0624462509399</v>
      </c>
      <c r="AU59">
        <v>-273.08913124728997</v>
      </c>
      <c r="AV59">
        <f t="shared" si="1"/>
        <v>-2.4211090822880008</v>
      </c>
      <c r="AW59">
        <f t="shared" si="2"/>
        <v>0.27435410233496427</v>
      </c>
      <c r="AX59" s="40">
        <f t="shared" si="3"/>
        <v>-5.5627017358777939</v>
      </c>
      <c r="AY59">
        <f t="shared" si="4"/>
        <v>5.5627017358777939</v>
      </c>
      <c r="AZ59">
        <f t="shared" si="5"/>
        <v>4.1364303272265497</v>
      </c>
      <c r="BA59">
        <f t="shared" si="6"/>
        <v>-2.4211090822880008</v>
      </c>
      <c r="BB59">
        <f t="shared" si="7"/>
        <v>0.27435410233496427</v>
      </c>
      <c r="BC59">
        <f t="shared" si="8"/>
        <v>-5.5627017358777939</v>
      </c>
      <c r="BD59">
        <f t="shared" si="9"/>
        <v>5.5627017358777939</v>
      </c>
      <c r="BE59" s="40">
        <f t="shared" si="10"/>
        <v>-5.9070545697029084</v>
      </c>
      <c r="BF59" s="40">
        <f t="shared" si="11"/>
        <v>-2.4211090822880008</v>
      </c>
      <c r="BG59">
        <f t="shared" si="12"/>
        <v>-2.4211090822880008</v>
      </c>
    </row>
    <row r="60" spans="1:68" x14ac:dyDescent="0.25">
      <c r="AS60">
        <v>-2.1293016874330934</v>
      </c>
      <c r="AT60">
        <v>-308.01272127277434</v>
      </c>
      <c r="AU60">
        <v>-274.15547149348652</v>
      </c>
      <c r="AV60">
        <f t="shared" si="1"/>
        <v>-2.4142862172679331</v>
      </c>
      <c r="AW60">
        <f t="shared" si="2"/>
        <v>0.28498452983483968</v>
      </c>
      <c r="AX60" s="40">
        <f t="shared" si="3"/>
        <v>-5.5558788708577262</v>
      </c>
      <c r="AY60">
        <f t="shared" si="4"/>
        <v>5.5558788708577262</v>
      </c>
      <c r="AZ60">
        <f t="shared" si="5"/>
        <v>4.1538836197464928</v>
      </c>
      <c r="BA60">
        <f t="shared" si="6"/>
        <v>-2.4142862172679331</v>
      </c>
      <c r="BB60">
        <f t="shared" si="7"/>
        <v>0.28498452983483968</v>
      </c>
      <c r="BC60">
        <f t="shared" si="8"/>
        <v>-5.5558788708577262</v>
      </c>
      <c r="BD60">
        <f t="shared" si="9"/>
        <v>5.5558788708577262</v>
      </c>
      <c r="BE60" s="40">
        <f t="shared" si="10"/>
        <v>-5.9138774347229761</v>
      </c>
      <c r="BF60" s="40">
        <f t="shared" si="11"/>
        <v>-2.4142862172679331</v>
      </c>
      <c r="BG60">
        <f t="shared" si="12"/>
        <v>-2.4142862172679331</v>
      </c>
    </row>
    <row r="61" spans="1:68" x14ac:dyDescent="0.25">
      <c r="A61">
        <f t="shared" ref="A61:A71" si="62">A14</f>
        <v>0</v>
      </c>
      <c r="B61" s="1" t="str">
        <f t="shared" ref="B61:D61" si="63">B14</f>
        <v>Bar #</v>
      </c>
      <c r="C61" s="1" t="str">
        <f t="shared" si="63"/>
        <v>As (in^2)</v>
      </c>
      <c r="D61" s="1" t="str">
        <f t="shared" si="63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-304.94694305182747</v>
      </c>
      <c r="AU61">
        <v>-275.20099427504437</v>
      </c>
      <c r="AV61">
        <f t="shared" si="1"/>
        <v>-2.4074226705995319</v>
      </c>
      <c r="AW61">
        <f t="shared" si="2"/>
        <v>0.2955742756863815</v>
      </c>
      <c r="AX61" s="40">
        <f t="shared" si="3"/>
        <v>-5.549015324189325</v>
      </c>
      <c r="AY61">
        <f t="shared" si="4"/>
        <v>5.549015324189325</v>
      </c>
      <c r="AZ61">
        <f t="shared" si="5"/>
        <v>4.1713369122664359</v>
      </c>
      <c r="BA61">
        <f t="shared" si="6"/>
        <v>-2.4074226705995319</v>
      </c>
      <c r="BB61">
        <f t="shared" si="7"/>
        <v>0.2955742756863815</v>
      </c>
      <c r="BC61">
        <f t="shared" si="8"/>
        <v>-5.549015324189325</v>
      </c>
      <c r="BD61">
        <f t="shared" si="9"/>
        <v>5.549015324189325</v>
      </c>
      <c r="BE61" s="40">
        <f t="shared" si="10"/>
        <v>-5.9207409813913774</v>
      </c>
      <c r="BF61" s="40">
        <f t="shared" si="11"/>
        <v>-2.4074226705995319</v>
      </c>
      <c r="BG61">
        <f t="shared" si="12"/>
        <v>-2.4074226705995319</v>
      </c>
    </row>
    <row r="62" spans="1:68" x14ac:dyDescent="0.25">
      <c r="A62">
        <f t="shared" si="62"/>
        <v>1</v>
      </c>
      <c r="B62" s="1">
        <f t="shared" ref="B62:D67" si="64">B15</f>
        <v>9</v>
      </c>
      <c r="C62" s="1">
        <f t="shared" ca="1" si="64"/>
        <v>1</v>
      </c>
      <c r="D62" s="1">
        <f t="shared" si="64"/>
        <v>9</v>
      </c>
      <c r="E62" s="1">
        <f t="shared" ref="E62" si="65">E15</f>
        <v>22</v>
      </c>
      <c r="F62" s="1">
        <f>D62-$I$2</f>
        <v>3</v>
      </c>
      <c r="G62" s="1">
        <f>E62-$I$3</f>
        <v>10</v>
      </c>
      <c r="H62" s="6">
        <f>F62*COS($B$27)+G62*SIN($B$27)</f>
        <v>1.452514319732888</v>
      </c>
      <c r="I62" s="6">
        <f>-1*F62*SIN($B$27)+G62*COS($B$27)</f>
        <v>-10.338771791222152</v>
      </c>
      <c r="J62" s="6">
        <f>$G$38-I62</f>
        <v>23.748045652343677</v>
      </c>
      <c r="K62">
        <f ca="1">IF($B$28=0,-1,IF(C62=0,0,(($B$28-J62)/$B$28)*$B$30)*IF($B$28&lt;0,-1,1))</f>
        <v>-8.2935525458947851E-3</v>
      </c>
      <c r="L62">
        <f ca="1">IF(AND(K62&gt;0,J62&lt;=$B$29),MIN((K62*B$13),B$12)-$B$31,MAX(K62*B$13,-1*B$12))</f>
        <v>-60</v>
      </c>
      <c r="M62" s="6">
        <f ca="1">L62*C62</f>
        <v>-60</v>
      </c>
      <c r="N62" s="6">
        <f ca="1">M62*I62</f>
        <v>620.32630747332917</v>
      </c>
      <c r="O62" s="6">
        <f ca="1">M62*H62*-1</f>
        <v>87.150859183973282</v>
      </c>
      <c r="Q62">
        <f>IF($B62=0,NA(),H62)</f>
        <v>1.452514319732888</v>
      </c>
      <c r="R62">
        <f>IF($B62=0,NA(),I62)</f>
        <v>-10.338771791222152</v>
      </c>
      <c r="AS62">
        <v>-2.0943951023932073</v>
      </c>
      <c r="AT62">
        <v>-301.86037548051758</v>
      </c>
      <c r="AU62">
        <v>-276.22723560120357</v>
      </c>
      <c r="AV62">
        <f t="shared" si="1"/>
        <v>-2.4005067357063967</v>
      </c>
      <c r="AW62">
        <f t="shared" si="2"/>
        <v>0.30611163331318947</v>
      </c>
      <c r="AX62" s="40">
        <f t="shared" si="3"/>
        <v>-5.5420993892961903</v>
      </c>
      <c r="AY62">
        <f t="shared" si="4"/>
        <v>5.5420993892961903</v>
      </c>
      <c r="AZ62">
        <f t="shared" si="5"/>
        <v>4.188790204786379</v>
      </c>
      <c r="BA62">
        <f t="shared" si="6"/>
        <v>-2.4005067357063967</v>
      </c>
      <c r="BB62">
        <f t="shared" si="7"/>
        <v>0.30611163331318947</v>
      </c>
      <c r="BC62">
        <f t="shared" si="8"/>
        <v>-5.5420993892961903</v>
      </c>
      <c r="BD62">
        <f t="shared" si="9"/>
        <v>5.5420993892961903</v>
      </c>
      <c r="BE62" s="40">
        <f t="shared" si="10"/>
        <v>-5.9276569162845121</v>
      </c>
      <c r="BF62" s="40">
        <f t="shared" si="11"/>
        <v>-2.4005067357063972</v>
      </c>
      <c r="BG62">
        <f t="shared" si="12"/>
        <v>-2.4005067357063972</v>
      </c>
    </row>
    <row r="63" spans="1:68" x14ac:dyDescent="0.25">
      <c r="A63">
        <f t="shared" si="62"/>
        <v>2</v>
      </c>
      <c r="B63" s="1">
        <f t="shared" si="64"/>
        <v>9</v>
      </c>
      <c r="C63" s="1">
        <f t="shared" ca="1" si="64"/>
        <v>1</v>
      </c>
      <c r="D63" s="1">
        <f t="shared" si="64"/>
        <v>-1</v>
      </c>
      <c r="E63" s="1">
        <f t="shared" ref="E63" si="66">E16</f>
        <v>22</v>
      </c>
      <c r="F63" s="1">
        <f t="shared" ref="F63:F71" si="67">D63-$I$2</f>
        <v>-7</v>
      </c>
      <c r="G63" s="1">
        <f t="shared" ref="G63:G71" si="68">E63-$I$3</f>
        <v>10</v>
      </c>
      <c r="H63" s="6">
        <f t="shared" ref="H63:H71" si="69">F63*COS($B$27)+G63*SIN($B$27)</f>
        <v>10.537851471386361</v>
      </c>
      <c r="I63" s="6">
        <f t="shared" ref="I63:I71" si="70">-1*F63*SIN($B$27)+G63*COS($B$27)</f>
        <v>-6.1606563259932212</v>
      </c>
      <c r="J63" s="6">
        <f t="shared" ref="J63:J71" si="71">$G$38-I63</f>
        <v>19.56993018711475</v>
      </c>
      <c r="K63">
        <f t="shared" ref="K63:K71" ca="1" si="72">IF($B$28=0,-1,IF(C63=0,0,(($B$28-J63)/$B$28)*$B$30)*IF($B$28&lt;0,-1,1))</f>
        <v>-6.306619926674314E-3</v>
      </c>
      <c r="L63">
        <f t="shared" ref="L63:L71" ca="1" si="73">IF(AND(K63&gt;0,J63&lt;=$B$29),MIN((K63*B$13),B$12)-$B$31,MAX(K63*B$13,-1*B$12))</f>
        <v>-60</v>
      </c>
      <c r="M63" s="6">
        <f t="shared" ref="M63:M71" ca="1" si="74">L63*C63</f>
        <v>-60</v>
      </c>
      <c r="N63" s="6">
        <f t="shared" ref="N63:N71" ca="1" si="75">M63*I63</f>
        <v>369.63937955959329</v>
      </c>
      <c r="O63" s="6">
        <f t="shared" ref="O63:O71" ca="1" si="76">M63*H63*-1</f>
        <v>632.2710882831816</v>
      </c>
      <c r="Q63">
        <f t="shared" ref="Q63:Q71" si="77">IF($B63=0,NA(),H63)</f>
        <v>10.537851471386361</v>
      </c>
      <c r="R63">
        <f t="shared" ref="R63:R71" si="78">IF($B63=0,NA(),I63)</f>
        <v>-6.1606563259932212</v>
      </c>
      <c r="AS63">
        <v>-2.0769418098732642</v>
      </c>
      <c r="AT63">
        <v>-298.74799640125559</v>
      </c>
      <c r="AU63">
        <v>-277.235679291515</v>
      </c>
      <c r="AV63">
        <f t="shared" si="1"/>
        <v>-2.3935259695692674</v>
      </c>
      <c r="AW63">
        <f t="shared" si="2"/>
        <v>0.31658415969600329</v>
      </c>
      <c r="AX63" s="40">
        <f t="shared" si="3"/>
        <v>-5.535118623159061</v>
      </c>
      <c r="AY63">
        <f t="shared" si="4"/>
        <v>5.535118623159061</v>
      </c>
      <c r="AZ63">
        <f t="shared" si="5"/>
        <v>4.2062434973063221</v>
      </c>
      <c r="BA63">
        <f t="shared" si="6"/>
        <v>-2.3935259695692674</v>
      </c>
      <c r="BB63">
        <f t="shared" si="7"/>
        <v>0.31658415969600329</v>
      </c>
      <c r="BC63">
        <f t="shared" si="8"/>
        <v>-5.535118623159061</v>
      </c>
      <c r="BD63">
        <f t="shared" si="9"/>
        <v>5.535118623159061</v>
      </c>
      <c r="BE63" s="40">
        <f t="shared" si="10"/>
        <v>-5.9346376824216414</v>
      </c>
      <c r="BF63" s="40">
        <f t="shared" si="11"/>
        <v>-2.3935259695692679</v>
      </c>
      <c r="BG63">
        <f t="shared" si="12"/>
        <v>-2.3935259695692679</v>
      </c>
    </row>
    <row r="64" spans="1:68" x14ac:dyDescent="0.25">
      <c r="A64">
        <f t="shared" si="62"/>
        <v>3</v>
      </c>
      <c r="B64" s="1">
        <f t="shared" si="64"/>
        <v>9</v>
      </c>
      <c r="C64" s="1">
        <f t="shared" ca="1" si="64"/>
        <v>1</v>
      </c>
      <c r="D64" s="1">
        <f t="shared" si="64"/>
        <v>-11</v>
      </c>
      <c r="E64" s="1">
        <f t="shared" ref="E64" si="79">E17</f>
        <v>22</v>
      </c>
      <c r="F64" s="1">
        <f t="shared" si="67"/>
        <v>-17</v>
      </c>
      <c r="G64" s="1">
        <f t="shared" si="68"/>
        <v>10</v>
      </c>
      <c r="H64" s="6">
        <f t="shared" si="69"/>
        <v>19.623188623039834</v>
      </c>
      <c r="I64" s="6">
        <f t="shared" si="70"/>
        <v>-1.9825408607642911</v>
      </c>
      <c r="J64" s="6">
        <f t="shared" si="71"/>
        <v>15.391814721885819</v>
      </c>
      <c r="K64">
        <f t="shared" ca="1" si="72"/>
        <v>-4.3196873074538419E-3</v>
      </c>
      <c r="L64">
        <f t="shared" ca="1" si="73"/>
        <v>-60</v>
      </c>
      <c r="M64" s="6">
        <f t="shared" ca="1" si="74"/>
        <v>-60</v>
      </c>
      <c r="N64" s="6">
        <f t="shared" ca="1" si="75"/>
        <v>118.95245164585747</v>
      </c>
      <c r="O64" s="6">
        <f t="shared" ca="1" si="76"/>
        <v>1177.3913173823901</v>
      </c>
      <c r="Q64">
        <f t="shared" si="77"/>
        <v>19.623188623039834</v>
      </c>
      <c r="R64">
        <f t="shared" si="78"/>
        <v>-1.9825408607642911</v>
      </c>
      <c r="AS64">
        <v>-2.0594885173533211</v>
      </c>
      <c r="AT64">
        <v>-295.6044354125055</v>
      </c>
      <c r="AU64">
        <v>-278.22776862090922</v>
      </c>
      <c r="AV64">
        <f t="shared" si="1"/>
        <v>-2.3864670301407385</v>
      </c>
      <c r="AW64">
        <f t="shared" si="2"/>
        <v>0.32697851278741741</v>
      </c>
      <c r="AX64" s="40">
        <f t="shared" si="3"/>
        <v>-5.5280596837305316</v>
      </c>
      <c r="AY64">
        <f t="shared" si="4"/>
        <v>5.5280596837305316</v>
      </c>
      <c r="AZ64">
        <f t="shared" si="5"/>
        <v>4.2236967898262652</v>
      </c>
      <c r="BA64">
        <f t="shared" si="6"/>
        <v>-2.3864670301407385</v>
      </c>
      <c r="BB64">
        <f t="shared" si="7"/>
        <v>0.32697851278741741</v>
      </c>
      <c r="BC64">
        <f t="shared" si="8"/>
        <v>-5.5280596837305316</v>
      </c>
      <c r="BD64">
        <f t="shared" si="9"/>
        <v>5.5280596837305316</v>
      </c>
      <c r="BE64" s="40">
        <f t="shared" si="10"/>
        <v>-5.9416966218501708</v>
      </c>
      <c r="BF64" s="40">
        <f t="shared" si="11"/>
        <v>-2.3864670301407385</v>
      </c>
      <c r="BG64">
        <f t="shared" si="12"/>
        <v>-2.3864670301407385</v>
      </c>
    </row>
    <row r="65" spans="1:59" x14ac:dyDescent="0.25">
      <c r="A65">
        <f t="shared" si="62"/>
        <v>4</v>
      </c>
      <c r="B65" s="1">
        <f t="shared" si="64"/>
        <v>9</v>
      </c>
      <c r="C65" s="1">
        <f t="shared" ca="1" si="64"/>
        <v>1</v>
      </c>
      <c r="D65" s="1">
        <f t="shared" si="64"/>
        <v>-21</v>
      </c>
      <c r="E65" s="1">
        <f t="shared" ref="E65" si="80">E18</f>
        <v>22</v>
      </c>
      <c r="F65" s="1">
        <f t="shared" si="67"/>
        <v>-27</v>
      </c>
      <c r="G65" s="1">
        <f t="shared" si="68"/>
        <v>10</v>
      </c>
      <c r="H65" s="6">
        <f t="shared" si="69"/>
        <v>28.708525774693307</v>
      </c>
      <c r="I65" s="6">
        <f t="shared" si="70"/>
        <v>2.1955746044646389</v>
      </c>
      <c r="J65" s="6">
        <f t="shared" si="71"/>
        <v>11.213699256656888</v>
      </c>
      <c r="K65">
        <f t="shared" ca="1" si="72"/>
        <v>-2.3327546882333699E-3</v>
      </c>
      <c r="L65">
        <f t="shared" ca="1" si="73"/>
        <v>-60</v>
      </c>
      <c r="M65" s="6">
        <f t="shared" ca="1" si="74"/>
        <v>-60</v>
      </c>
      <c r="N65" s="6">
        <f t="shared" ca="1" si="75"/>
        <v>-131.73447626787834</v>
      </c>
      <c r="O65" s="6">
        <f t="shared" ca="1" si="76"/>
        <v>1722.5115464815983</v>
      </c>
      <c r="Q65">
        <f t="shared" si="77"/>
        <v>28.708525774693307</v>
      </c>
      <c r="R65">
        <f t="shared" si="78"/>
        <v>2.1955746044646389</v>
      </c>
      <c r="AS65">
        <v>-2.042035224833378</v>
      </c>
      <c r="AT65">
        <v>-292.42390049805033</v>
      </c>
      <c r="AU65">
        <v>-279.20491838384964</v>
      </c>
      <c r="AV65">
        <f t="shared" si="1"/>
        <v>-2.3793154841968294</v>
      </c>
      <c r="AW65">
        <f t="shared" si="2"/>
        <v>0.33728025936345141</v>
      </c>
      <c r="AX65" s="40">
        <f t="shared" si="3"/>
        <v>-5.5209081377866225</v>
      </c>
      <c r="AY65">
        <f t="shared" si="4"/>
        <v>5.5209081377866225</v>
      </c>
      <c r="AZ65">
        <f t="shared" si="5"/>
        <v>4.2411500823462083</v>
      </c>
      <c r="BA65">
        <f t="shared" si="6"/>
        <v>-2.3793154841968294</v>
      </c>
      <c r="BB65">
        <f t="shared" si="7"/>
        <v>0.33728025936345141</v>
      </c>
      <c r="BC65">
        <f t="shared" si="8"/>
        <v>-5.5209081377866225</v>
      </c>
      <c r="BD65">
        <f t="shared" si="9"/>
        <v>5.5209081377866225</v>
      </c>
      <c r="BE65" s="40">
        <f t="shared" si="10"/>
        <v>-5.9488481677940799</v>
      </c>
      <c r="BF65" s="40">
        <f t="shared" si="11"/>
        <v>-2.3793154841968294</v>
      </c>
      <c r="BG65">
        <f t="shared" si="12"/>
        <v>-2.3793154841968294</v>
      </c>
    </row>
    <row r="66" spans="1:59" x14ac:dyDescent="0.25">
      <c r="A66">
        <f t="shared" si="62"/>
        <v>5</v>
      </c>
      <c r="B66" s="1">
        <f t="shared" si="64"/>
        <v>0</v>
      </c>
      <c r="C66" s="1">
        <f t="shared" ca="1" si="64"/>
        <v>0</v>
      </c>
      <c r="D66" s="1">
        <f t="shared" si="64"/>
        <v>2</v>
      </c>
      <c r="E66" s="1">
        <f t="shared" ref="E66" si="81">E19</f>
        <v>2</v>
      </c>
      <c r="F66" s="1">
        <f t="shared" si="67"/>
        <v>-4</v>
      </c>
      <c r="G66" s="1">
        <f t="shared" si="68"/>
        <v>-10</v>
      </c>
      <c r="H66" s="6">
        <f t="shared" si="69"/>
        <v>-0.54398060456754083</v>
      </c>
      <c r="I66" s="6">
        <f t="shared" si="70"/>
        <v>10.756583337745045</v>
      </c>
      <c r="J66" s="6">
        <f t="shared" si="71"/>
        <v>2.6526905233764815</v>
      </c>
      <c r="K66">
        <f t="shared" ca="1" si="72"/>
        <v>0</v>
      </c>
      <c r="L66">
        <f t="shared" ca="1" si="73"/>
        <v>0</v>
      </c>
      <c r="M66" s="6">
        <f t="shared" ca="1" si="74"/>
        <v>0</v>
      </c>
      <c r="N66" s="6">
        <f t="shared" ca="1" si="75"/>
        <v>0</v>
      </c>
      <c r="O66" s="6">
        <f t="shared" ca="1" si="76"/>
        <v>0</v>
      </c>
      <c r="Q66" t="e">
        <f t="shared" si="77"/>
        <v>#N/A</v>
      </c>
      <c r="R66" t="e">
        <f t="shared" si="78"/>
        <v>#N/A</v>
      </c>
      <c r="AS66">
        <v>-2.0245819323134349</v>
      </c>
      <c r="AT66">
        <v>-289.20009041625883</v>
      </c>
      <c r="AU66">
        <v>-280.16852769275135</v>
      </c>
      <c r="AV66">
        <f t="shared" si="1"/>
        <v>-2.3720555774643159</v>
      </c>
      <c r="AW66">
        <f t="shared" si="2"/>
        <v>0.34747364515088108</v>
      </c>
      <c r="AX66" s="40">
        <f t="shared" si="3"/>
        <v>-5.5136482310541091</v>
      </c>
      <c r="AY66">
        <f t="shared" si="4"/>
        <v>5.5136482310541091</v>
      </c>
      <c r="AZ66">
        <f t="shared" si="5"/>
        <v>4.2586033748661514</v>
      </c>
      <c r="BA66">
        <f t="shared" si="6"/>
        <v>-2.3720555774643159</v>
      </c>
      <c r="BB66">
        <f t="shared" si="7"/>
        <v>0.34747364515088108</v>
      </c>
      <c r="BC66">
        <f t="shared" si="8"/>
        <v>-5.5136482310541091</v>
      </c>
      <c r="BD66">
        <f t="shared" si="9"/>
        <v>5.5136482310541091</v>
      </c>
      <c r="BE66" s="40">
        <f t="shared" si="10"/>
        <v>-5.9561080745265933</v>
      </c>
      <c r="BF66" s="40">
        <f t="shared" si="11"/>
        <v>-2.3720555774643159</v>
      </c>
      <c r="BG66">
        <f t="shared" si="12"/>
        <v>-2.3720555774643159</v>
      </c>
    </row>
    <row r="67" spans="1:59" x14ac:dyDescent="0.25">
      <c r="A67">
        <f t="shared" si="62"/>
        <v>6</v>
      </c>
      <c r="B67" s="1">
        <f t="shared" si="64"/>
        <v>0</v>
      </c>
      <c r="C67" s="1">
        <f t="shared" ca="1" si="64"/>
        <v>0</v>
      </c>
      <c r="D67" s="1">
        <f t="shared" si="64"/>
        <v>6</v>
      </c>
      <c r="E67" s="1">
        <f t="shared" ref="E67" si="82">E20</f>
        <v>4</v>
      </c>
      <c r="F67" s="1">
        <f t="shared" si="67"/>
        <v>0</v>
      </c>
      <c r="G67" s="1">
        <f t="shared" si="68"/>
        <v>-8</v>
      </c>
      <c r="H67" s="6">
        <f t="shared" si="69"/>
        <v>-3.3424923721831443</v>
      </c>
      <c r="I67" s="6">
        <f t="shared" si="70"/>
        <v>7.2682697213227785</v>
      </c>
      <c r="J67" s="6">
        <f t="shared" si="71"/>
        <v>6.1410041397987483</v>
      </c>
      <c r="K67">
        <f t="shared" ca="1" si="72"/>
        <v>0</v>
      </c>
      <c r="L67">
        <f t="shared" ca="1" si="73"/>
        <v>0</v>
      </c>
      <c r="M67" s="6">
        <f t="shared" ca="1" si="74"/>
        <v>0</v>
      </c>
      <c r="N67" s="6">
        <f t="shared" ca="1" si="75"/>
        <v>0</v>
      </c>
      <c r="O67" s="6">
        <f t="shared" ca="1" si="76"/>
        <v>0</v>
      </c>
      <c r="Q67" t="e">
        <f t="shared" si="77"/>
        <v>#N/A</v>
      </c>
      <c r="R67" t="e">
        <f t="shared" si="78"/>
        <v>#N/A</v>
      </c>
      <c r="AS67">
        <v>-2.0071286397934918</v>
      </c>
      <c r="AT67">
        <v>-285.92608888698828</v>
      </c>
      <c r="AU67">
        <v>-281.11999395083058</v>
      </c>
      <c r="AV67">
        <f t="shared" ref="AV67:AV130" si="83">ATAN2(AT67,AU67)</f>
        <v>-2.3646699562990383</v>
      </c>
      <c r="AW67">
        <f t="shared" ref="AW67:AW130" si="84">ABS(AS67-AV67)</f>
        <v>0.35754131650554655</v>
      </c>
      <c r="AX67" s="40">
        <f t="shared" ref="AX67:AX130" si="85">AV67-$U$13</f>
        <v>-5.5062626098888314</v>
      </c>
      <c r="AY67">
        <f t="shared" ref="AY67:AY130" si="86">ABS(AX67)</f>
        <v>5.5062626098888314</v>
      </c>
      <c r="AZ67">
        <f t="shared" ref="AZ67:AZ130" si="87">AS67+(2*PI())</f>
        <v>4.2760566673860945</v>
      </c>
      <c r="BA67">
        <f t="shared" ref="BA67:BA130" si="88">AV67</f>
        <v>-2.3646699562990383</v>
      </c>
      <c r="BB67">
        <f t="shared" ref="BB67:BB130" si="89">AW67</f>
        <v>0.35754131650554655</v>
      </c>
      <c r="BC67">
        <f t="shared" ref="BC67:BC130" si="90">AX67</f>
        <v>-5.5062626098888314</v>
      </c>
      <c r="BD67">
        <f t="shared" ref="BD67:BD130" si="91">AY67</f>
        <v>5.5062626098888314</v>
      </c>
      <c r="BE67" s="40">
        <f t="shared" ref="BE67:BE130" si="92">(-1*AX67)-(2*$AY$2)</f>
        <v>-5.9634936956918709</v>
      </c>
      <c r="BF67" s="40">
        <f t="shared" ref="BF67:BF130" si="93">AX67+$BJ$4</f>
        <v>-2.3646699562990383</v>
      </c>
      <c r="BG67">
        <f t="shared" ref="BG67:BG130" si="94">BC67+$BJ$4</f>
        <v>-2.3646699562990383</v>
      </c>
    </row>
    <row r="68" spans="1:59" x14ac:dyDescent="0.25">
      <c r="A68">
        <f t="shared" si="62"/>
        <v>7</v>
      </c>
      <c r="B68" s="1">
        <f t="shared" ref="B68:D68" si="95">B21</f>
        <v>0</v>
      </c>
      <c r="C68" s="1">
        <f t="shared" ca="1" si="95"/>
        <v>0</v>
      </c>
      <c r="D68" s="1">
        <f t="shared" si="95"/>
        <v>10</v>
      </c>
      <c r="E68" s="1">
        <f>E21</f>
        <v>2</v>
      </c>
      <c r="F68" s="1">
        <f t="shared" si="67"/>
        <v>4</v>
      </c>
      <c r="G68" s="1">
        <f t="shared" si="68"/>
        <v>-10</v>
      </c>
      <c r="H68" s="6">
        <f t="shared" si="69"/>
        <v>-7.8122503258903198</v>
      </c>
      <c r="I68" s="6">
        <f t="shared" si="70"/>
        <v>7.4140909655619005</v>
      </c>
      <c r="J68" s="6">
        <f t="shared" si="71"/>
        <v>5.9951828955596262</v>
      </c>
      <c r="K68">
        <f t="shared" ca="1" si="72"/>
        <v>0</v>
      </c>
      <c r="L68">
        <f t="shared" ca="1" si="73"/>
        <v>0</v>
      </c>
      <c r="M68" s="6">
        <f t="shared" ca="1" si="74"/>
        <v>0</v>
      </c>
      <c r="N68" s="6">
        <f t="shared" ca="1" si="75"/>
        <v>0</v>
      </c>
      <c r="O68" s="6">
        <f t="shared" ca="1" si="76"/>
        <v>0</v>
      </c>
      <c r="Q68" t="e">
        <f t="shared" si="77"/>
        <v>#N/A</v>
      </c>
      <c r="R68" t="e">
        <f t="shared" si="78"/>
        <v>#N/A</v>
      </c>
      <c r="AS68">
        <v>-1.9896753472735484</v>
      </c>
      <c r="AT68">
        <v>-282.59423528857587</v>
      </c>
      <c r="AU68">
        <v>-282.06072846416703</v>
      </c>
      <c r="AV68">
        <f t="shared" si="83"/>
        <v>-2.357139326773797</v>
      </c>
      <c r="AW68">
        <f t="shared" si="84"/>
        <v>0.36746397950024856</v>
      </c>
      <c r="AX68" s="40">
        <f t="shared" si="85"/>
        <v>-5.4987319803635906</v>
      </c>
      <c r="AY68">
        <f t="shared" si="86"/>
        <v>5.4987319803635906</v>
      </c>
      <c r="AZ68">
        <f t="shared" si="87"/>
        <v>4.2935099599060376</v>
      </c>
      <c r="BA68">
        <f t="shared" si="88"/>
        <v>-2.357139326773797</v>
      </c>
      <c r="BB68">
        <f t="shared" si="89"/>
        <v>0.36746397950024856</v>
      </c>
      <c r="BC68">
        <f t="shared" si="90"/>
        <v>-5.4987319803635906</v>
      </c>
      <c r="BD68">
        <f t="shared" si="91"/>
        <v>5.4987319803635906</v>
      </c>
      <c r="BE68" s="40">
        <f t="shared" si="92"/>
        <v>-5.9710243252171118</v>
      </c>
      <c r="BF68" s="40">
        <f t="shared" si="93"/>
        <v>-2.3571393267737974</v>
      </c>
      <c r="BG68">
        <f t="shared" si="94"/>
        <v>-2.3571393267737974</v>
      </c>
    </row>
    <row r="69" spans="1:59" x14ac:dyDescent="0.25">
      <c r="A69">
        <f t="shared" si="62"/>
        <v>8</v>
      </c>
      <c r="B69" s="1">
        <f t="shared" ref="B69:D71" si="96">B22</f>
        <v>0</v>
      </c>
      <c r="C69" s="1">
        <f t="shared" ca="1" si="96"/>
        <v>0</v>
      </c>
      <c r="D69" s="1">
        <f t="shared" si="96"/>
        <v>2</v>
      </c>
      <c r="E69" s="1">
        <f t="shared" ref="E69" si="97">E22</f>
        <v>4</v>
      </c>
      <c r="F69" s="1">
        <f t="shared" si="67"/>
        <v>-4</v>
      </c>
      <c r="G69" s="1">
        <f t="shared" si="68"/>
        <v>-8</v>
      </c>
      <c r="H69" s="6">
        <f t="shared" si="69"/>
        <v>0.29164248847824492</v>
      </c>
      <c r="I69" s="6">
        <f t="shared" si="70"/>
        <v>8.93951590741435</v>
      </c>
      <c r="J69" s="6">
        <f t="shared" si="71"/>
        <v>4.4697579537071768</v>
      </c>
      <c r="K69">
        <f t="shared" ca="1" si="72"/>
        <v>0</v>
      </c>
      <c r="L69">
        <f t="shared" ca="1" si="73"/>
        <v>0</v>
      </c>
      <c r="M69" s="6">
        <f t="shared" ca="1" si="74"/>
        <v>0</v>
      </c>
      <c r="N69" s="6">
        <f t="shared" ca="1" si="75"/>
        <v>0</v>
      </c>
      <c r="O69" s="6">
        <f t="shared" ca="1" si="76"/>
        <v>0</v>
      </c>
      <c r="Q69" t="e">
        <f t="shared" si="77"/>
        <v>#N/A</v>
      </c>
      <c r="R69" t="e">
        <f t="shared" si="78"/>
        <v>#N/A</v>
      </c>
      <c r="AS69">
        <v>-1.9722220547536051</v>
      </c>
      <c r="AT69">
        <v>-279.1959648493779</v>
      </c>
      <c r="AU69">
        <v>-282.99217438695371</v>
      </c>
      <c r="AV69">
        <f t="shared" si="83"/>
        <v>-2.3494420321173206</v>
      </c>
      <c r="AW69">
        <f t="shared" si="84"/>
        <v>0.37721997736371549</v>
      </c>
      <c r="AX69" s="40">
        <f t="shared" si="85"/>
        <v>-5.4910346857071133</v>
      </c>
      <c r="AY69">
        <f t="shared" si="86"/>
        <v>5.4910346857071133</v>
      </c>
      <c r="AZ69">
        <f t="shared" si="87"/>
        <v>4.3109632524259816</v>
      </c>
      <c r="BA69">
        <f t="shared" si="88"/>
        <v>-2.3494420321173206</v>
      </c>
      <c r="BB69">
        <f t="shared" si="89"/>
        <v>0.37721997736371549</v>
      </c>
      <c r="BC69">
        <f t="shared" si="90"/>
        <v>-5.4910346857071133</v>
      </c>
      <c r="BD69">
        <f t="shared" si="91"/>
        <v>5.4910346857071133</v>
      </c>
      <c r="BE69" s="40">
        <f t="shared" si="92"/>
        <v>-5.9787216198735891</v>
      </c>
      <c r="BF69" s="40">
        <f t="shared" si="93"/>
        <v>-2.3494420321173202</v>
      </c>
      <c r="BG69">
        <f t="shared" si="94"/>
        <v>-2.3494420321173202</v>
      </c>
    </row>
    <row r="70" spans="1:59" x14ac:dyDescent="0.25">
      <c r="A70">
        <f t="shared" si="62"/>
        <v>9</v>
      </c>
      <c r="B70" s="1">
        <f t="shared" si="96"/>
        <v>0</v>
      </c>
      <c r="C70" s="1">
        <f t="shared" ca="1" si="96"/>
        <v>0</v>
      </c>
      <c r="D70" s="1">
        <f t="shared" si="96"/>
        <v>6</v>
      </c>
      <c r="E70" s="1">
        <f t="shared" ref="E70" si="98">E23</f>
        <v>4</v>
      </c>
      <c r="F70" s="1">
        <f t="shared" si="67"/>
        <v>0</v>
      </c>
      <c r="G70" s="1">
        <f t="shared" si="68"/>
        <v>-8</v>
      </c>
      <c r="H70" s="6">
        <f t="shared" si="69"/>
        <v>-3.3424923721831443</v>
      </c>
      <c r="I70" s="6">
        <f t="shared" si="70"/>
        <v>7.2682697213227785</v>
      </c>
      <c r="J70" s="6">
        <f t="shared" si="71"/>
        <v>6.1410041397987483</v>
      </c>
      <c r="K70">
        <f t="shared" ca="1" si="72"/>
        <v>0</v>
      </c>
      <c r="L70">
        <f t="shared" ca="1" si="73"/>
        <v>0</v>
      </c>
      <c r="M70" s="6">
        <f t="shared" ca="1" si="74"/>
        <v>0</v>
      </c>
      <c r="N70" s="6">
        <f t="shared" ca="1" si="75"/>
        <v>0</v>
      </c>
      <c r="O70" s="6">
        <f t="shared" ca="1" si="76"/>
        <v>0</v>
      </c>
      <c r="Q70" t="e">
        <f t="shared" si="77"/>
        <v>#N/A</v>
      </c>
      <c r="R70" t="e">
        <f t="shared" si="78"/>
        <v>#N/A</v>
      </c>
      <c r="AS70">
        <v>-1.9547687622336618</v>
      </c>
      <c r="AT70">
        <v>-275.72160878049465</v>
      </c>
      <c r="AU70">
        <v>-283.91582782623408</v>
      </c>
      <c r="AV70">
        <f t="shared" si="83"/>
        <v>-2.3415535226608633</v>
      </c>
      <c r="AW70">
        <f t="shared" si="84"/>
        <v>0.38678476042720145</v>
      </c>
      <c r="AX70" s="40">
        <f t="shared" si="85"/>
        <v>-5.4831461762506564</v>
      </c>
      <c r="AY70">
        <f t="shared" si="86"/>
        <v>5.4831461762506564</v>
      </c>
      <c r="AZ70">
        <f t="shared" si="87"/>
        <v>4.3284165449459246</v>
      </c>
      <c r="BA70">
        <f t="shared" si="88"/>
        <v>-2.3415535226608633</v>
      </c>
      <c r="BB70">
        <f t="shared" si="89"/>
        <v>0.38678476042720145</v>
      </c>
      <c r="BC70">
        <f t="shared" si="90"/>
        <v>-5.4831461762506564</v>
      </c>
      <c r="BD70">
        <f t="shared" si="91"/>
        <v>5.4831461762506564</v>
      </c>
      <c r="BE70" s="40">
        <f t="shared" si="92"/>
        <v>-5.986610129330046</v>
      </c>
      <c r="BF70" s="40">
        <f t="shared" si="93"/>
        <v>-2.3415535226608633</v>
      </c>
      <c r="BG70">
        <f t="shared" si="94"/>
        <v>-2.3415535226608633</v>
      </c>
    </row>
    <row r="71" spans="1:59" ht="15.75" thickBot="1" x14ac:dyDescent="0.3">
      <c r="A71">
        <f t="shared" si="62"/>
        <v>10</v>
      </c>
      <c r="B71" s="1">
        <f t="shared" si="96"/>
        <v>0</v>
      </c>
      <c r="C71" s="1">
        <f t="shared" ca="1" si="96"/>
        <v>0</v>
      </c>
      <c r="D71" s="1">
        <f t="shared" si="96"/>
        <v>10</v>
      </c>
      <c r="E71" s="1">
        <f t="shared" ref="E71" si="99">E24</f>
        <v>4</v>
      </c>
      <c r="F71" s="1">
        <f t="shared" si="67"/>
        <v>4</v>
      </c>
      <c r="G71" s="1">
        <f t="shared" si="68"/>
        <v>-8</v>
      </c>
      <c r="H71" s="6">
        <f t="shared" si="69"/>
        <v>-6.9766272328445336</v>
      </c>
      <c r="I71" s="6">
        <f t="shared" si="70"/>
        <v>5.5970235352312061</v>
      </c>
      <c r="J71" s="6">
        <f t="shared" si="71"/>
        <v>7.8122503258903206</v>
      </c>
      <c r="K71" s="12">
        <f t="shared" ca="1" si="72"/>
        <v>0</v>
      </c>
      <c r="L71">
        <f t="shared" ca="1" si="73"/>
        <v>0</v>
      </c>
      <c r="M71" s="11">
        <f t="shared" ca="1" si="74"/>
        <v>0</v>
      </c>
      <c r="N71" s="11">
        <f t="shared" ca="1" si="75"/>
        <v>0</v>
      </c>
      <c r="O71" s="11">
        <f t="shared" ca="1" si="76"/>
        <v>0</v>
      </c>
      <c r="Q71" t="e">
        <f t="shared" si="77"/>
        <v>#N/A</v>
      </c>
      <c r="R71" t="e">
        <f t="shared" si="78"/>
        <v>#N/A</v>
      </c>
      <c r="AS71">
        <v>-1.9373154697137185</v>
      </c>
      <c r="AT71">
        <v>-272.16014125807521</v>
      </c>
      <c r="AU71">
        <v>-284.83326327317695</v>
      </c>
      <c r="AV71">
        <f t="shared" si="83"/>
        <v>-2.3334456825974828</v>
      </c>
      <c r="AW71">
        <f t="shared" si="84"/>
        <v>0.39613021288376427</v>
      </c>
      <c r="AX71" s="40">
        <f t="shared" si="85"/>
        <v>-5.4750383361872759</v>
      </c>
      <c r="AY71">
        <f t="shared" si="86"/>
        <v>5.4750383361872759</v>
      </c>
      <c r="AZ71">
        <f t="shared" si="87"/>
        <v>4.3458698374658677</v>
      </c>
      <c r="BA71">
        <f t="shared" si="88"/>
        <v>-2.3334456825974828</v>
      </c>
      <c r="BB71">
        <f t="shared" si="89"/>
        <v>0.39613021288376427</v>
      </c>
      <c r="BC71">
        <f t="shared" si="90"/>
        <v>-5.4750383361872759</v>
      </c>
      <c r="BD71">
        <f t="shared" si="91"/>
        <v>5.4750383361872759</v>
      </c>
      <c r="BE71" s="40">
        <f t="shared" si="92"/>
        <v>-5.9947179693934265</v>
      </c>
      <c r="BF71" s="40">
        <f t="shared" si="93"/>
        <v>-2.3334456825974828</v>
      </c>
      <c r="BG71">
        <f t="shared" si="94"/>
        <v>-2.3334456825974828</v>
      </c>
    </row>
    <row r="72" spans="1:59" ht="15.75" thickTop="1" x14ac:dyDescent="0.25">
      <c r="K72" s="13">
        <f ca="1">MIN(K62:K71)</f>
        <v>-8.2935525458947851E-3</v>
      </c>
      <c r="M72" s="9">
        <f ca="1">SUM(M62:M71)</f>
        <v>-240</v>
      </c>
      <c r="N72" s="9">
        <f t="shared" ref="N72:O72" ca="1" si="100">SUM(N62:N71)</f>
        <v>977.18366241090166</v>
      </c>
      <c r="O72" s="9">
        <f t="shared" ca="1" si="100"/>
        <v>3619.3248113311429</v>
      </c>
      <c r="AS72">
        <v>-1.9198621771937752</v>
      </c>
      <c r="AT72">
        <v>-268.49885497996524</v>
      </c>
      <c r="AU72">
        <v>-285.74616486507523</v>
      </c>
      <c r="AV72">
        <f t="shared" si="83"/>
        <v>-2.3250859636938821</v>
      </c>
      <c r="AW72">
        <f t="shared" si="84"/>
        <v>0.40522378650010693</v>
      </c>
      <c r="AX72" s="40">
        <f t="shared" si="85"/>
        <v>-5.4666786172836748</v>
      </c>
      <c r="AY72">
        <f t="shared" si="86"/>
        <v>5.4666786172836748</v>
      </c>
      <c r="AZ72">
        <f t="shared" si="87"/>
        <v>4.3633231299858108</v>
      </c>
      <c r="BA72">
        <f t="shared" si="88"/>
        <v>-2.3250859636938821</v>
      </c>
      <c r="BB72">
        <f t="shared" si="89"/>
        <v>0.40522378650010693</v>
      </c>
      <c r="BC72">
        <f t="shared" si="90"/>
        <v>-5.4666786172836748</v>
      </c>
      <c r="BD72">
        <f t="shared" si="91"/>
        <v>5.4666786172836748</v>
      </c>
      <c r="BE72" s="40">
        <f t="shared" si="92"/>
        <v>-6.0030776882970276</v>
      </c>
      <c r="BF72" s="40">
        <f t="shared" si="93"/>
        <v>-2.3250859636938817</v>
      </c>
      <c r="BG72">
        <f t="shared" si="94"/>
        <v>-2.3250859636938817</v>
      </c>
    </row>
    <row r="73" spans="1:59" x14ac:dyDescent="0.25">
      <c r="AS73">
        <v>-1.9024088846738318</v>
      </c>
      <c r="AT73">
        <v>-264.72293946349487</v>
      </c>
      <c r="AU73">
        <v>-286.65636566673584</v>
      </c>
      <c r="AV73">
        <f t="shared" si="83"/>
        <v>-2.3164362549218671</v>
      </c>
      <c r="AW73">
        <f t="shared" si="84"/>
        <v>0.41402737024803526</v>
      </c>
      <c r="AX73" s="40">
        <f t="shared" si="85"/>
        <v>-5.4580289085116602</v>
      </c>
      <c r="AY73">
        <f t="shared" si="86"/>
        <v>5.4580289085116602</v>
      </c>
      <c r="AZ73">
        <f t="shared" si="87"/>
        <v>4.3807764225057539</v>
      </c>
      <c r="BA73">
        <f t="shared" si="88"/>
        <v>-2.3164362549218671</v>
      </c>
      <c r="BB73">
        <f t="shared" si="89"/>
        <v>0.41402737024803526</v>
      </c>
      <c r="BC73">
        <f t="shared" si="90"/>
        <v>-5.4580289085116602</v>
      </c>
      <c r="BD73">
        <f t="shared" si="91"/>
        <v>5.4580289085116602</v>
      </c>
      <c r="BE73" s="40">
        <f t="shared" si="92"/>
        <v>-6.0117273970690421</v>
      </c>
      <c r="BF73" s="40">
        <f t="shared" si="93"/>
        <v>-2.3164362549218671</v>
      </c>
      <c r="BG73">
        <f t="shared" si="94"/>
        <v>-2.3164362549218671</v>
      </c>
    </row>
    <row r="74" spans="1:59" x14ac:dyDescent="0.25">
      <c r="AS74">
        <v>-1.8849555921538885</v>
      </c>
      <c r="AT74">
        <v>-260.81492485212647</v>
      </c>
      <c r="AU74">
        <v>-287.5658979385812</v>
      </c>
      <c r="AV74">
        <f t="shared" si="83"/>
        <v>-2.3074513853518539</v>
      </c>
      <c r="AW74">
        <f t="shared" si="84"/>
        <v>0.42249579319796537</v>
      </c>
      <c r="AX74" s="40">
        <f t="shared" si="85"/>
        <v>-5.449044038941647</v>
      </c>
      <c r="AY74">
        <f t="shared" si="86"/>
        <v>5.449044038941647</v>
      </c>
      <c r="AZ74">
        <f t="shared" si="87"/>
        <v>4.3982297150256979</v>
      </c>
      <c r="BA74">
        <f t="shared" si="88"/>
        <v>-2.3074513853518539</v>
      </c>
      <c r="BB74">
        <f t="shared" si="89"/>
        <v>0.42249579319796537</v>
      </c>
      <c r="BC74">
        <f t="shared" si="90"/>
        <v>-5.449044038941647</v>
      </c>
      <c r="BD74">
        <f t="shared" si="91"/>
        <v>5.449044038941647</v>
      </c>
      <c r="BE74" s="40">
        <f t="shared" si="92"/>
        <v>-6.0207122666390553</v>
      </c>
      <c r="BF74" s="40">
        <f t="shared" si="93"/>
        <v>-2.3074513853518539</v>
      </c>
      <c r="BG74">
        <f t="shared" si="94"/>
        <v>-2.3074513853518539</v>
      </c>
    </row>
    <row r="75" spans="1:59" x14ac:dyDescent="0.25">
      <c r="A75" s="8" t="s">
        <v>63</v>
      </c>
      <c r="B75" s="9">
        <f ca="1">N57+M72</f>
        <v>-6.2888432239560643E-9</v>
      </c>
      <c r="C75" t="s">
        <v>68</v>
      </c>
      <c r="AS75">
        <v>-1.8675022996339452</v>
      </c>
      <c r="AT75">
        <v>-256.75393664513626</v>
      </c>
      <c r="AU75">
        <v>-288.47705874805695</v>
      </c>
      <c r="AV75">
        <f t="shared" si="83"/>
        <v>-2.2980771087478029</v>
      </c>
      <c r="AW75">
        <f t="shared" si="84"/>
        <v>0.4305748091138577</v>
      </c>
      <c r="AX75" s="40">
        <f t="shared" si="85"/>
        <v>-5.439669762337596</v>
      </c>
      <c r="AY75">
        <f t="shared" si="86"/>
        <v>5.439669762337596</v>
      </c>
      <c r="AZ75">
        <f t="shared" si="87"/>
        <v>4.415683007545641</v>
      </c>
      <c r="BA75">
        <f t="shared" si="88"/>
        <v>-2.2980771087478029</v>
      </c>
      <c r="BB75">
        <f t="shared" si="89"/>
        <v>0.4305748091138577</v>
      </c>
      <c r="BC75">
        <f t="shared" si="90"/>
        <v>-5.439669762337596</v>
      </c>
      <c r="BD75">
        <f t="shared" si="91"/>
        <v>5.439669762337596</v>
      </c>
      <c r="BE75" s="40">
        <f t="shared" si="92"/>
        <v>-6.0300865432431063</v>
      </c>
      <c r="BF75" s="40">
        <f t="shared" si="93"/>
        <v>-2.2980771087478029</v>
      </c>
      <c r="BG75">
        <f t="shared" si="94"/>
        <v>-2.2980771087478029</v>
      </c>
    </row>
    <row r="76" spans="1:59" x14ac:dyDescent="0.25">
      <c r="A76" s="8" t="s">
        <v>66</v>
      </c>
      <c r="B76" s="9">
        <f ca="1">O57+N72</f>
        <v>3359.5316298277121</v>
      </c>
      <c r="C76" t="s">
        <v>69</v>
      </c>
      <c r="AS76">
        <v>-1.8500490071140019</v>
      </c>
      <c r="AT76">
        <v>-252.51467961175751</v>
      </c>
      <c r="AU76">
        <v>-289.39249720429365</v>
      </c>
      <c r="AV76">
        <f t="shared" si="83"/>
        <v>-2.2882473416670903</v>
      </c>
      <c r="AW76">
        <f t="shared" si="84"/>
        <v>0.43819833455308843</v>
      </c>
      <c r="AX76" s="40">
        <f t="shared" si="85"/>
        <v>-5.4298399952568834</v>
      </c>
      <c r="AY76">
        <f t="shared" si="86"/>
        <v>5.4298399952568834</v>
      </c>
      <c r="AZ76">
        <f t="shared" si="87"/>
        <v>4.4331363000655841</v>
      </c>
      <c r="BA76">
        <f t="shared" si="88"/>
        <v>-2.2882473416670903</v>
      </c>
      <c r="BB76">
        <f t="shared" si="89"/>
        <v>0.43819833455308843</v>
      </c>
      <c r="BC76">
        <f t="shared" si="90"/>
        <v>-5.4298399952568834</v>
      </c>
      <c r="BD76">
        <f t="shared" si="91"/>
        <v>5.4298399952568834</v>
      </c>
      <c r="BE76" s="40">
        <f t="shared" si="92"/>
        <v>-6.0399163103238189</v>
      </c>
      <c r="BF76" s="40">
        <f t="shared" si="93"/>
        <v>-2.2882473416670903</v>
      </c>
      <c r="BG76">
        <f t="shared" si="94"/>
        <v>-2.2882473416670903</v>
      </c>
    </row>
    <row r="77" spans="1:59" x14ac:dyDescent="0.25">
      <c r="A77" s="8" t="s">
        <v>67</v>
      </c>
      <c r="B77" s="9">
        <f ca="1">P57+O72</f>
        <v>1544.9631193907949</v>
      </c>
      <c r="C77" t="s">
        <v>69</v>
      </c>
      <c r="AS77">
        <v>-1.8325957145940586</v>
      </c>
      <c r="AT77">
        <v>-248.06602574509463</v>
      </c>
      <c r="AU77">
        <v>-290.31533270313503</v>
      </c>
      <c r="AV77">
        <f t="shared" si="83"/>
        <v>-2.2778803031986934</v>
      </c>
      <c r="AW77">
        <f t="shared" si="84"/>
        <v>0.44528458860463482</v>
      </c>
      <c r="AX77" s="40">
        <f t="shared" si="85"/>
        <v>-5.4194729567884865</v>
      </c>
      <c r="AY77">
        <f t="shared" si="86"/>
        <v>5.4194729567884865</v>
      </c>
      <c r="AZ77">
        <f t="shared" si="87"/>
        <v>4.4505895925855281</v>
      </c>
      <c r="BA77">
        <f t="shared" si="88"/>
        <v>-2.2778803031986934</v>
      </c>
      <c r="BB77">
        <f t="shared" si="89"/>
        <v>0.44528458860463482</v>
      </c>
      <c r="BC77">
        <f t="shared" si="90"/>
        <v>-5.4194729567884865</v>
      </c>
      <c r="BD77">
        <f t="shared" si="91"/>
        <v>5.4194729567884865</v>
      </c>
      <c r="BE77" s="40">
        <f t="shared" si="92"/>
        <v>-6.0502833487922159</v>
      </c>
      <c r="BF77" s="40">
        <f t="shared" si="93"/>
        <v>-2.2778803031986934</v>
      </c>
      <c r="BG77">
        <f t="shared" si="94"/>
        <v>-2.2778803031986934</v>
      </c>
    </row>
    <row r="78" spans="1:59" x14ac:dyDescent="0.25">
      <c r="AS78">
        <v>-1.8151424220741152</v>
      </c>
      <c r="AT78">
        <v>-243.36900975359856</v>
      </c>
      <c r="AU78">
        <v>-291.24931857945217</v>
      </c>
      <c r="AV78">
        <f t="shared" si="83"/>
        <v>-2.2668729993868046</v>
      </c>
      <c r="AW78">
        <f t="shared" si="84"/>
        <v>0.4517305773126894</v>
      </c>
      <c r="AX78" s="40">
        <f t="shared" si="85"/>
        <v>-5.4084656529765978</v>
      </c>
      <c r="AY78">
        <f t="shared" si="86"/>
        <v>5.4084656529765978</v>
      </c>
      <c r="AZ78">
        <f t="shared" si="87"/>
        <v>4.4680428851054712</v>
      </c>
      <c r="BA78">
        <f t="shared" si="88"/>
        <v>-2.2668729993868046</v>
      </c>
      <c r="BB78">
        <f t="shared" si="89"/>
        <v>0.4517305773126894</v>
      </c>
      <c r="BC78">
        <f t="shared" si="90"/>
        <v>-5.4084656529765978</v>
      </c>
      <c r="BD78">
        <f t="shared" si="91"/>
        <v>5.4084656529765978</v>
      </c>
      <c r="BE78" s="40">
        <f t="shared" si="92"/>
        <v>-6.0612906526041046</v>
      </c>
      <c r="BF78" s="40">
        <f t="shared" si="93"/>
        <v>-2.2668729993868046</v>
      </c>
      <c r="BG78">
        <f t="shared" si="94"/>
        <v>-2.2668729993868046</v>
      </c>
    </row>
    <row r="79" spans="1:59" x14ac:dyDescent="0.25">
      <c r="A79" s="8" t="s">
        <v>64</v>
      </c>
      <c r="B79">
        <f ca="1">((B76*COS(-1*B27))+(B77*SIN(-1*B27)))</f>
        <v>-3697.7511830963667</v>
      </c>
      <c r="C79" t="s">
        <v>69</v>
      </c>
      <c r="AS79">
        <v>-1.7976891295541719</v>
      </c>
      <c r="AT79">
        <v>-238.37391473764228</v>
      </c>
      <c r="AU79">
        <v>-292.19907355101236</v>
      </c>
      <c r="AV79">
        <f t="shared" si="83"/>
        <v>-2.2550931451489871</v>
      </c>
      <c r="AW79">
        <f t="shared" si="84"/>
        <v>0.45740401559481514</v>
      </c>
      <c r="AX79" s="40">
        <f t="shared" si="85"/>
        <v>-5.3966857987387797</v>
      </c>
      <c r="AY79">
        <f t="shared" si="86"/>
        <v>5.3966857987387797</v>
      </c>
      <c r="AZ79">
        <f t="shared" si="87"/>
        <v>4.4854961776254143</v>
      </c>
      <c r="BA79">
        <f t="shared" si="88"/>
        <v>-2.2550931451489871</v>
      </c>
      <c r="BB79">
        <f t="shared" si="89"/>
        <v>0.45740401559481514</v>
      </c>
      <c r="BC79">
        <f t="shared" si="90"/>
        <v>-5.3966857987387797</v>
      </c>
      <c r="BD79">
        <f t="shared" si="91"/>
        <v>5.3966857987387797</v>
      </c>
      <c r="BE79" s="40">
        <f t="shared" si="92"/>
        <v>-6.0730705068419226</v>
      </c>
      <c r="BF79" s="40">
        <f t="shared" si="93"/>
        <v>-2.2550931451489866</v>
      </c>
      <c r="BG79">
        <f t="shared" si="94"/>
        <v>-2.2550931451489866</v>
      </c>
    </row>
    <row r="80" spans="1:59" x14ac:dyDescent="0.25">
      <c r="A80" s="8" t="s">
        <v>65</v>
      </c>
      <c r="B80">
        <f ca="1">(-1*(B76)*SIN(-1*B27))+((B77)*COS(-1*B27))</f>
        <v>2.3197328800961259E-5</v>
      </c>
      <c r="C80" t="s">
        <v>69</v>
      </c>
      <c r="AS80">
        <v>-1.7802358370342286</v>
      </c>
      <c r="AT80">
        <v>-233.01591894395591</v>
      </c>
      <c r="AU80">
        <v>-293.17041714382572</v>
      </c>
      <c r="AV80">
        <f t="shared" si="83"/>
        <v>-2.2423669956881569</v>
      </c>
      <c r="AW80">
        <f t="shared" si="84"/>
        <v>0.46213115865392829</v>
      </c>
      <c r="AX80" s="40">
        <f t="shared" si="85"/>
        <v>-5.3839596492779496</v>
      </c>
      <c r="AY80">
        <f t="shared" si="86"/>
        <v>5.3839596492779496</v>
      </c>
      <c r="AZ80">
        <f t="shared" si="87"/>
        <v>4.5029494701453574</v>
      </c>
      <c r="BA80">
        <f t="shared" si="88"/>
        <v>-2.2423669956881569</v>
      </c>
      <c r="BB80">
        <f t="shared" si="89"/>
        <v>0.46213115865392829</v>
      </c>
      <c r="BC80">
        <f t="shared" si="90"/>
        <v>-5.3839596492779496</v>
      </c>
      <c r="BD80">
        <f t="shared" si="91"/>
        <v>5.3839596492779496</v>
      </c>
      <c r="BE80" s="40">
        <f t="shared" si="92"/>
        <v>-6.0857966563027528</v>
      </c>
      <c r="BF80" s="40">
        <f t="shared" si="93"/>
        <v>-2.2423669956881565</v>
      </c>
      <c r="BG80">
        <f t="shared" si="94"/>
        <v>-2.2423669956881565</v>
      </c>
    </row>
    <row r="81" spans="1:59" x14ac:dyDescent="0.25">
      <c r="AS81">
        <v>-1.7627825445142853</v>
      </c>
      <c r="AT81">
        <v>-227.20838878229452</v>
      </c>
      <c r="AU81">
        <v>-294.17086930441019</v>
      </c>
      <c r="AV81">
        <f t="shared" si="83"/>
        <v>-2.2284604151219547</v>
      </c>
      <c r="AW81">
        <f t="shared" si="84"/>
        <v>0.46567787060766941</v>
      </c>
      <c r="AX81" s="40">
        <f t="shared" si="85"/>
        <v>-5.3700530687117478</v>
      </c>
      <c r="AY81">
        <f t="shared" si="86"/>
        <v>5.3700530687117478</v>
      </c>
      <c r="AZ81">
        <f t="shared" si="87"/>
        <v>4.5204027626653005</v>
      </c>
      <c r="BA81">
        <f t="shared" si="88"/>
        <v>-2.2284604151219547</v>
      </c>
      <c r="BB81">
        <f t="shared" si="89"/>
        <v>0.46567787060766941</v>
      </c>
      <c r="BC81">
        <f t="shared" si="90"/>
        <v>-5.3700530687117478</v>
      </c>
      <c r="BD81">
        <f t="shared" si="91"/>
        <v>5.3700530687117478</v>
      </c>
      <c r="BE81" s="40">
        <f t="shared" si="92"/>
        <v>-6.0997032368689545</v>
      </c>
      <c r="BF81" s="40">
        <f t="shared" si="93"/>
        <v>-2.2284604151219547</v>
      </c>
      <c r="BG81">
        <f t="shared" si="94"/>
        <v>-2.2284604151219547</v>
      </c>
    </row>
    <row r="82" spans="1:59" x14ac:dyDescent="0.25">
      <c r="B82">
        <f>ATAN2(1,0)</f>
        <v>0</v>
      </c>
      <c r="AS82">
        <v>-1.745329251994342</v>
      </c>
      <c r="AT82">
        <v>-220.83216893962086</v>
      </c>
      <c r="AU82">
        <v>-295.21041798221938</v>
      </c>
      <c r="AV82">
        <f t="shared" si="83"/>
        <v>-2.2130483012637674</v>
      </c>
      <c r="AW82">
        <f t="shared" si="84"/>
        <v>0.46771904926942542</v>
      </c>
      <c r="AX82" s="40">
        <f t="shared" si="85"/>
        <v>-5.3546409548535605</v>
      </c>
      <c r="AY82">
        <f t="shared" si="86"/>
        <v>5.3546409548535605</v>
      </c>
      <c r="AZ82">
        <f t="shared" si="87"/>
        <v>4.5378560551852445</v>
      </c>
      <c r="BA82">
        <f t="shared" si="88"/>
        <v>-2.2130483012637674</v>
      </c>
      <c r="BB82">
        <f t="shared" si="89"/>
        <v>0.46771904926942542</v>
      </c>
      <c r="BC82">
        <f t="shared" si="90"/>
        <v>-5.3546409548535605</v>
      </c>
      <c r="BD82">
        <f t="shared" si="91"/>
        <v>5.3546409548535605</v>
      </c>
      <c r="BE82" s="40">
        <f t="shared" si="92"/>
        <v>-6.1151153507271419</v>
      </c>
      <c r="BF82" s="40">
        <f t="shared" si="93"/>
        <v>-2.2130483012637674</v>
      </c>
      <c r="BG82">
        <f t="shared" si="94"/>
        <v>-2.2130483012637674</v>
      </c>
    </row>
    <row r="83" spans="1:59" x14ac:dyDescent="0.25">
      <c r="A83" t="s">
        <v>74</v>
      </c>
      <c r="B83">
        <f ca="1">ATAN2(B79,B80)</f>
        <v>3.1415926473164317</v>
      </c>
      <c r="AS83">
        <v>-1.7278759594743986</v>
      </c>
      <c r="AT83">
        <v>-213.89778865513637</v>
      </c>
      <c r="AU83">
        <v>-296.26327695321339</v>
      </c>
      <c r="AV83">
        <f t="shared" si="83"/>
        <v>-2.1961257722161451</v>
      </c>
      <c r="AW83">
        <f t="shared" si="84"/>
        <v>0.46824981274174649</v>
      </c>
      <c r="AX83" s="40">
        <f t="shared" si="85"/>
        <v>-5.3377184258059387</v>
      </c>
      <c r="AY83">
        <f t="shared" si="86"/>
        <v>5.3377184258059387</v>
      </c>
      <c r="AZ83">
        <f t="shared" si="87"/>
        <v>4.5553093477051876</v>
      </c>
      <c r="BA83">
        <f t="shared" si="88"/>
        <v>-2.1961257722161451</v>
      </c>
      <c r="BB83">
        <f t="shared" si="89"/>
        <v>0.46824981274174649</v>
      </c>
      <c r="BC83">
        <f t="shared" si="90"/>
        <v>-5.3377184258059387</v>
      </c>
      <c r="BD83">
        <f t="shared" si="91"/>
        <v>5.3377184258059387</v>
      </c>
      <c r="BE83" s="40">
        <f t="shared" si="92"/>
        <v>-6.1320378797747637</v>
      </c>
      <c r="BF83" s="40">
        <f t="shared" si="93"/>
        <v>-2.1961257722161456</v>
      </c>
      <c r="BG83">
        <f t="shared" si="94"/>
        <v>-2.1961257722161456</v>
      </c>
    </row>
    <row r="84" spans="1:59" x14ac:dyDescent="0.25">
      <c r="AS84">
        <v>-1.7104226669544553</v>
      </c>
      <c r="AT84">
        <v>-206.91606344990797</v>
      </c>
      <c r="AU84">
        <v>-297.2010439155107</v>
      </c>
      <c r="AV84">
        <f t="shared" si="83"/>
        <v>-2.1789780439618172</v>
      </c>
      <c r="AW84">
        <f t="shared" si="84"/>
        <v>0.46855537700736183</v>
      </c>
      <c r="AX84" s="40">
        <f t="shared" si="85"/>
        <v>-5.3205706975516103</v>
      </c>
      <c r="AY84">
        <f t="shared" si="86"/>
        <v>5.3205706975516103</v>
      </c>
      <c r="AZ84">
        <f t="shared" si="87"/>
        <v>4.5727626402251307</v>
      </c>
      <c r="BA84">
        <f t="shared" si="88"/>
        <v>-2.1789780439618172</v>
      </c>
      <c r="BB84">
        <f t="shared" si="89"/>
        <v>0.46855537700736183</v>
      </c>
      <c r="BC84">
        <f t="shared" si="90"/>
        <v>-5.3205706975516103</v>
      </c>
      <c r="BD84">
        <f t="shared" si="91"/>
        <v>5.3205706975516103</v>
      </c>
      <c r="BE84" s="40">
        <f t="shared" si="92"/>
        <v>-6.1491856080290921</v>
      </c>
      <c r="BF84" s="40">
        <f t="shared" si="93"/>
        <v>-2.1789780439618172</v>
      </c>
      <c r="BG84">
        <f t="shared" si="94"/>
        <v>-2.1789780439618172</v>
      </c>
    </row>
    <row r="85" spans="1:59" x14ac:dyDescent="0.25">
      <c r="AS85">
        <v>-1.692969374434512</v>
      </c>
      <c r="AT85">
        <v>-199.92786201295041</v>
      </c>
      <c r="AU85">
        <v>-298.0139585281367</v>
      </c>
      <c r="AV85">
        <f t="shared" si="83"/>
        <v>-2.1617015235897759</v>
      </c>
      <c r="AW85">
        <f t="shared" si="84"/>
        <v>0.46873214915526384</v>
      </c>
      <c r="AX85" s="40">
        <f t="shared" si="85"/>
        <v>-5.303294177179569</v>
      </c>
      <c r="AY85">
        <f t="shared" si="86"/>
        <v>5.303294177179569</v>
      </c>
      <c r="AZ85">
        <f t="shared" si="87"/>
        <v>4.5902159327450747</v>
      </c>
      <c r="BA85">
        <f t="shared" si="88"/>
        <v>-2.1617015235897759</v>
      </c>
      <c r="BB85">
        <f t="shared" si="89"/>
        <v>0.46873214915526384</v>
      </c>
      <c r="BC85">
        <f t="shared" si="90"/>
        <v>-5.303294177179569</v>
      </c>
      <c r="BD85">
        <f t="shared" si="91"/>
        <v>5.303294177179569</v>
      </c>
      <c r="BE85" s="40">
        <f t="shared" si="92"/>
        <v>-6.1664621284011334</v>
      </c>
      <c r="BF85" s="40">
        <f t="shared" si="93"/>
        <v>-2.1617015235897759</v>
      </c>
      <c r="BG85">
        <f t="shared" si="94"/>
        <v>-2.1617015235897759</v>
      </c>
    </row>
    <row r="86" spans="1:59" x14ac:dyDescent="0.25">
      <c r="AS86">
        <v>-1.6755160819145687</v>
      </c>
      <c r="AT86">
        <v>-192.9230511076579</v>
      </c>
      <c r="AU86">
        <v>-298.70351268811896</v>
      </c>
      <c r="AV86">
        <f t="shared" si="83"/>
        <v>-2.1442613411105724</v>
      </c>
      <c r="AW86">
        <f t="shared" si="84"/>
        <v>0.46874525919600374</v>
      </c>
      <c r="AX86" s="40">
        <f t="shared" si="85"/>
        <v>-5.285853994700366</v>
      </c>
      <c r="AY86">
        <f t="shared" si="86"/>
        <v>5.285853994700366</v>
      </c>
      <c r="AZ86">
        <f t="shared" si="87"/>
        <v>4.6076692252650178</v>
      </c>
      <c r="BA86">
        <f t="shared" si="88"/>
        <v>-2.1442613411105724</v>
      </c>
      <c r="BB86">
        <f t="shared" si="89"/>
        <v>0.46874525919600374</v>
      </c>
      <c r="BC86">
        <f t="shared" si="90"/>
        <v>-5.285853994700366</v>
      </c>
      <c r="BD86">
        <f t="shared" si="91"/>
        <v>5.285853994700366</v>
      </c>
      <c r="BE86" s="40">
        <f t="shared" si="92"/>
        <v>-6.1839023108803364</v>
      </c>
      <c r="BF86" s="40">
        <f t="shared" si="93"/>
        <v>-2.1442613411105729</v>
      </c>
      <c r="BG86">
        <f t="shared" si="94"/>
        <v>-2.1442613411105729</v>
      </c>
    </row>
    <row r="87" spans="1:59" x14ac:dyDescent="0.25">
      <c r="A87" t="s">
        <v>119</v>
      </c>
      <c r="AS87">
        <v>-1.6580627893946254</v>
      </c>
      <c r="AT87">
        <v>-185.89023851171123</v>
      </c>
      <c r="AU87">
        <v>-299.27073494032879</v>
      </c>
      <c r="AV87">
        <f t="shared" si="83"/>
        <v>-2.1266180228561584</v>
      </c>
      <c r="AW87">
        <f t="shared" si="84"/>
        <v>0.46855523346153305</v>
      </c>
      <c r="AX87" s="40">
        <f t="shared" si="85"/>
        <v>-5.2682106764459515</v>
      </c>
      <c r="AY87">
        <f t="shared" si="86"/>
        <v>5.2682106764459515</v>
      </c>
      <c r="AZ87">
        <f t="shared" si="87"/>
        <v>4.6251225177849609</v>
      </c>
      <c r="BA87">
        <f t="shared" si="88"/>
        <v>-2.1266180228561584</v>
      </c>
      <c r="BB87">
        <f t="shared" si="89"/>
        <v>0.46855523346153305</v>
      </c>
      <c r="BC87">
        <f t="shared" si="90"/>
        <v>-5.2682106764459515</v>
      </c>
      <c r="BD87">
        <f t="shared" si="91"/>
        <v>5.2682106764459515</v>
      </c>
      <c r="BE87" s="40">
        <f t="shared" si="92"/>
        <v>-6.2015456291347508</v>
      </c>
      <c r="BF87" s="40">
        <f t="shared" si="93"/>
        <v>-2.1266180228561584</v>
      </c>
      <c r="BG87">
        <f t="shared" si="94"/>
        <v>-2.1266180228561584</v>
      </c>
    </row>
    <row r="88" spans="1:59" x14ac:dyDescent="0.25">
      <c r="A88" t="s">
        <v>120</v>
      </c>
      <c r="AS88">
        <v>-1.640609496874682</v>
      </c>
      <c r="AT88">
        <v>-178.81635696872621</v>
      </c>
      <c r="AU88">
        <v>-299.71615073633177</v>
      </c>
      <c r="AV88">
        <f t="shared" si="83"/>
        <v>-2.1087261058657192</v>
      </c>
      <c r="AW88">
        <f t="shared" si="84"/>
        <v>0.46811660899103713</v>
      </c>
      <c r="AX88" s="40">
        <f t="shared" si="85"/>
        <v>-5.2503187594555119</v>
      </c>
      <c r="AY88">
        <f t="shared" si="86"/>
        <v>5.2503187594555119</v>
      </c>
      <c r="AZ88">
        <f t="shared" si="87"/>
        <v>4.642575810304904</v>
      </c>
      <c r="BA88">
        <f t="shared" si="88"/>
        <v>-2.1087261058657192</v>
      </c>
      <c r="BB88">
        <f t="shared" si="89"/>
        <v>0.46811660899103713</v>
      </c>
      <c r="BC88">
        <f t="shared" si="90"/>
        <v>-5.2503187594555119</v>
      </c>
      <c r="BD88">
        <f t="shared" si="91"/>
        <v>5.2503187594555119</v>
      </c>
      <c r="BE88" s="40">
        <f t="shared" si="92"/>
        <v>-6.2194375461251905</v>
      </c>
      <c r="BF88" s="40">
        <f t="shared" si="93"/>
        <v>-2.1087261058657187</v>
      </c>
      <c r="BG88">
        <f t="shared" si="94"/>
        <v>-2.1087261058657187</v>
      </c>
    </row>
    <row r="89" spans="1:5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-171.68608520575029</v>
      </c>
      <c r="AU89">
        <v>-300.03972009360206</v>
      </c>
      <c r="AV89">
        <f t="shared" si="83"/>
        <v>-2.0905322159517992</v>
      </c>
      <c r="AW89">
        <f t="shared" si="84"/>
        <v>0.46737601159706044</v>
      </c>
      <c r="AX89" s="40">
        <f t="shared" si="85"/>
        <v>-5.2321248695415923</v>
      </c>
      <c r="AY89">
        <f t="shared" si="86"/>
        <v>5.2321248695415923</v>
      </c>
      <c r="AZ89">
        <f t="shared" si="87"/>
        <v>4.6600291028248471</v>
      </c>
      <c r="BA89">
        <f t="shared" si="88"/>
        <v>-2.0905322159517992</v>
      </c>
      <c r="BB89">
        <f t="shared" si="89"/>
        <v>0.46737601159706044</v>
      </c>
      <c r="BC89">
        <f t="shared" si="90"/>
        <v>-5.2321248695415923</v>
      </c>
      <c r="BD89">
        <f t="shared" si="91"/>
        <v>5.2321248695415923</v>
      </c>
      <c r="BE89" s="40">
        <f t="shared" si="92"/>
        <v>-6.2376314360391101</v>
      </c>
      <c r="BF89" s="40">
        <f t="shared" si="93"/>
        <v>-2.0905322159517992</v>
      </c>
      <c r="BG89">
        <f t="shared" si="94"/>
        <v>-2.0905322159517992</v>
      </c>
    </row>
    <row r="90" spans="1:59" x14ac:dyDescent="0.25">
      <c r="A90" s="1">
        <f>E3</f>
        <v>0</v>
      </c>
      <c r="B90" s="1">
        <f>F3</f>
        <v>0</v>
      </c>
      <c r="C90" s="1"/>
      <c r="AS90">
        <v>-1.6057029118347954</v>
      </c>
      <c r="AT90">
        <v>-164.48102082991744</v>
      </c>
      <c r="AU90">
        <v>-300.2407416481368</v>
      </c>
      <c r="AV90">
        <f t="shared" si="83"/>
        <v>-2.0719723310893827</v>
      </c>
      <c r="AW90">
        <f t="shared" si="84"/>
        <v>0.46626941925458731</v>
      </c>
      <c r="AX90" s="40">
        <f t="shared" si="85"/>
        <v>-5.2135649846791754</v>
      </c>
      <c r="AY90">
        <f t="shared" si="86"/>
        <v>5.2135649846791754</v>
      </c>
      <c r="AZ90">
        <f t="shared" si="87"/>
        <v>4.677482395344791</v>
      </c>
      <c r="BA90">
        <f t="shared" si="88"/>
        <v>-2.0719723310893827</v>
      </c>
      <c r="BB90">
        <f t="shared" si="89"/>
        <v>0.46626941925458731</v>
      </c>
      <c r="BC90">
        <f t="shared" si="90"/>
        <v>-5.2135649846791754</v>
      </c>
      <c r="BD90">
        <f t="shared" si="91"/>
        <v>5.2135649846791754</v>
      </c>
      <c r="BE90" s="40">
        <f t="shared" si="92"/>
        <v>-6.256191320901527</v>
      </c>
      <c r="BF90" s="40">
        <f t="shared" si="93"/>
        <v>-2.0719723310893823</v>
      </c>
      <c r="BG90">
        <f t="shared" si="94"/>
        <v>-2.0719723310893823</v>
      </c>
    </row>
    <row r="91" spans="1:59" x14ac:dyDescent="0.25">
      <c r="A91" s="1">
        <f t="shared" ref="A91:B91" si="101">E4</f>
        <v>12</v>
      </c>
      <c r="B91" s="1">
        <f t="shared" si="101"/>
        <v>0</v>
      </c>
      <c r="C91" s="1">
        <f>((A90*B91)-(A91*B90))*0.5</f>
        <v>0</v>
      </c>
      <c r="D91" s="6">
        <f>(A91+A90)*((A90*B91)-(A91*B90))*(1/6)</f>
        <v>0</v>
      </c>
      <c r="E91" s="6">
        <f>(B91+B90)*((A90*B91)-(A91*B90))*(1/6)</f>
        <v>0</v>
      </c>
      <c r="AS91">
        <v>-1.5882496193148521</v>
      </c>
      <c r="AT91">
        <v>-157.17846375411551</v>
      </c>
      <c r="AU91">
        <v>-300.31770399018956</v>
      </c>
      <c r="AV91">
        <f t="shared" si="83"/>
        <v>-2.0529677689348151</v>
      </c>
      <c r="AW91">
        <f t="shared" si="84"/>
        <v>0.46471814961996305</v>
      </c>
      <c r="AX91" s="40">
        <f t="shared" si="85"/>
        <v>-5.1945604225246083</v>
      </c>
      <c r="AY91">
        <f t="shared" si="86"/>
        <v>5.1945604225246083</v>
      </c>
      <c r="AZ91">
        <f t="shared" si="87"/>
        <v>4.6949356878647341</v>
      </c>
      <c r="BA91">
        <f t="shared" si="88"/>
        <v>-2.0529677689348151</v>
      </c>
      <c r="BB91">
        <f t="shared" si="89"/>
        <v>0.46471814961996305</v>
      </c>
      <c r="BC91">
        <f t="shared" si="90"/>
        <v>-5.1945604225246083</v>
      </c>
      <c r="BD91">
        <f t="shared" si="91"/>
        <v>5.1945604225246083</v>
      </c>
      <c r="BE91" s="40">
        <f t="shared" si="92"/>
        <v>-6.2751958830560941</v>
      </c>
      <c r="BF91" s="40">
        <f t="shared" si="93"/>
        <v>-2.0529677689348151</v>
      </c>
      <c r="BG91">
        <f t="shared" si="94"/>
        <v>-2.0529677689348151</v>
      </c>
    </row>
    <row r="92" spans="1:59" x14ac:dyDescent="0.25">
      <c r="A92" s="1">
        <f t="shared" ref="A92:B92" si="102">E5</f>
        <v>12</v>
      </c>
      <c r="B92" s="1">
        <f t="shared" si="102"/>
        <v>12</v>
      </c>
      <c r="C92" s="1">
        <f t="shared" ref="C92:C98" si="103">((A91*B92)-(A92*B91))*0.5</f>
        <v>72</v>
      </c>
      <c r="D92" s="6">
        <f t="shared" ref="D92:D98" si="104">(A92+A91)*((A91*B92)-(A92*B91))*(1/6)</f>
        <v>576</v>
      </c>
      <c r="E92" s="6">
        <f t="shared" ref="E92:E98" si="105">(B92+B91)*((A91*B92)-(A92*B91))*(1/6)</f>
        <v>288</v>
      </c>
      <c r="AS92">
        <v>-1.5707963267949088</v>
      </c>
      <c r="AT92">
        <v>-149.7495647423201</v>
      </c>
      <c r="AU92">
        <v>-300.26805103153509</v>
      </c>
      <c r="AV92">
        <f t="shared" si="83"/>
        <v>-2.0334190977750444</v>
      </c>
      <c r="AW92">
        <f t="shared" si="84"/>
        <v>0.4626227709801356</v>
      </c>
      <c r="AX92" s="40">
        <f t="shared" si="85"/>
        <v>-5.1750117513648375</v>
      </c>
      <c r="AY92">
        <f t="shared" si="86"/>
        <v>5.1750117513648375</v>
      </c>
      <c r="AZ92">
        <f t="shared" si="87"/>
        <v>4.7123889803846772</v>
      </c>
      <c r="BA92">
        <f t="shared" si="88"/>
        <v>-2.0334190977750444</v>
      </c>
      <c r="BB92">
        <f t="shared" si="89"/>
        <v>0.4626227709801356</v>
      </c>
      <c r="BC92">
        <f t="shared" si="90"/>
        <v>-5.1750117513648375</v>
      </c>
      <c r="BD92">
        <f t="shared" si="91"/>
        <v>5.1750117513648375</v>
      </c>
      <c r="BE92" s="40">
        <f t="shared" si="92"/>
        <v>-6.2947445542158649</v>
      </c>
      <c r="BF92" s="40">
        <f t="shared" si="93"/>
        <v>-2.0334190977750444</v>
      </c>
      <c r="BG92">
        <f t="shared" si="94"/>
        <v>-2.0334190977750444</v>
      </c>
    </row>
    <row r="93" spans="1:59" x14ac:dyDescent="0.25">
      <c r="A93" s="1">
        <f t="shared" ref="A93:B93" si="106">E6</f>
        <v>12</v>
      </c>
      <c r="B93" s="1">
        <f t="shared" si="106"/>
        <v>12</v>
      </c>
      <c r="C93" s="1">
        <f t="shared" si="103"/>
        <v>0</v>
      </c>
      <c r="D93" s="6">
        <f t="shared" si="104"/>
        <v>0</v>
      </c>
      <c r="E93" s="6">
        <f t="shared" si="105"/>
        <v>0</v>
      </c>
      <c r="AS93">
        <v>-1.5533430342749655</v>
      </c>
      <c r="AT93">
        <v>-138.60010499730981</v>
      </c>
      <c r="AU93">
        <v>-299.70329168459295</v>
      </c>
      <c r="AV93">
        <f t="shared" si="83"/>
        <v>-2.0039616760856385</v>
      </c>
      <c r="AW93">
        <f t="shared" si="84"/>
        <v>0.45061864181067302</v>
      </c>
      <c r="AX93" s="40">
        <f t="shared" si="85"/>
        <v>-5.1455543296754316</v>
      </c>
      <c r="AY93">
        <f t="shared" si="86"/>
        <v>5.1455543296754316</v>
      </c>
      <c r="AZ93">
        <f t="shared" si="87"/>
        <v>4.7298422729046212</v>
      </c>
      <c r="BA93">
        <f t="shared" si="88"/>
        <v>-2.0039616760856385</v>
      </c>
      <c r="BB93">
        <f t="shared" si="89"/>
        <v>0.45061864181067302</v>
      </c>
      <c r="BC93">
        <f t="shared" si="90"/>
        <v>-5.1455543296754316</v>
      </c>
      <c r="BD93">
        <f t="shared" si="91"/>
        <v>5.1455543296754316</v>
      </c>
      <c r="BE93" s="40">
        <f t="shared" si="92"/>
        <v>-6.3242019759052708</v>
      </c>
      <c r="BF93" s="40">
        <f t="shared" si="93"/>
        <v>-2.0039616760856385</v>
      </c>
      <c r="BG93">
        <f t="shared" si="94"/>
        <v>-2.0039616760856385</v>
      </c>
    </row>
    <row r="94" spans="1:59" x14ac:dyDescent="0.25">
      <c r="A94" s="1">
        <f t="shared" ref="A94:B94" si="107">E7</f>
        <v>12</v>
      </c>
      <c r="B94" s="1">
        <f t="shared" si="107"/>
        <v>24</v>
      </c>
      <c r="C94" s="1">
        <f t="shared" si="103"/>
        <v>72</v>
      </c>
      <c r="D94" s="6">
        <f t="shared" si="104"/>
        <v>576</v>
      </c>
      <c r="E94" s="6">
        <f t="shared" si="105"/>
        <v>864</v>
      </c>
      <c r="AS94">
        <v>-1.5358897417550221</v>
      </c>
      <c r="AT94">
        <v>-127.88394641692288</v>
      </c>
      <c r="AU94">
        <v>-299.04802021925877</v>
      </c>
      <c r="AV94">
        <f t="shared" si="83"/>
        <v>-1.9748982685802694</v>
      </c>
      <c r="AW94">
        <f t="shared" si="84"/>
        <v>0.43900852682524727</v>
      </c>
      <c r="AX94" s="40">
        <f t="shared" si="85"/>
        <v>-5.1164909221700627</v>
      </c>
      <c r="AY94">
        <f t="shared" si="86"/>
        <v>5.1164909221700627</v>
      </c>
      <c r="AZ94">
        <f t="shared" si="87"/>
        <v>4.7472955654245643</v>
      </c>
      <c r="BA94">
        <f t="shared" si="88"/>
        <v>-1.9748982685802694</v>
      </c>
      <c r="BB94">
        <f t="shared" si="89"/>
        <v>0.43900852682524727</v>
      </c>
      <c r="BC94">
        <f t="shared" si="90"/>
        <v>-5.1164909221700627</v>
      </c>
      <c r="BD94">
        <f t="shared" si="91"/>
        <v>5.1164909221700627</v>
      </c>
      <c r="BE94" s="40">
        <f t="shared" si="92"/>
        <v>-6.3532653834106396</v>
      </c>
      <c r="BF94" s="40">
        <f t="shared" si="93"/>
        <v>-1.9748982685802696</v>
      </c>
      <c r="BG94">
        <f t="shared" si="94"/>
        <v>-1.9748982685802696</v>
      </c>
    </row>
    <row r="95" spans="1:59" x14ac:dyDescent="0.25">
      <c r="A95" s="1">
        <f t="shared" ref="A95:B95" si="108">E8</f>
        <v>-24</v>
      </c>
      <c r="B95" s="1">
        <f t="shared" si="108"/>
        <v>24</v>
      </c>
      <c r="C95" s="1">
        <f t="shared" si="103"/>
        <v>432</v>
      </c>
      <c r="D95" s="6">
        <f t="shared" si="104"/>
        <v>-1728</v>
      </c>
      <c r="E95" s="6">
        <f t="shared" si="105"/>
        <v>6912</v>
      </c>
      <c r="AS95">
        <v>-1.5184364492350788</v>
      </c>
      <c r="AT95">
        <v>-117.55674286950349</v>
      </c>
      <c r="AU95">
        <v>-298.30430592298814</v>
      </c>
      <c r="AV95">
        <f t="shared" si="83"/>
        <v>-1.9461917102243043</v>
      </c>
      <c r="AW95">
        <f t="shared" si="84"/>
        <v>0.42775526098922545</v>
      </c>
      <c r="AX95" s="40">
        <f t="shared" si="85"/>
        <v>-5.0877843638140972</v>
      </c>
      <c r="AY95">
        <f t="shared" si="86"/>
        <v>5.0877843638140972</v>
      </c>
      <c r="AZ95">
        <f t="shared" si="87"/>
        <v>4.7647488579445074</v>
      </c>
      <c r="BA95">
        <f t="shared" si="88"/>
        <v>-1.9461917102243043</v>
      </c>
      <c r="BB95">
        <f t="shared" si="89"/>
        <v>0.42775526098922545</v>
      </c>
      <c r="BC95">
        <f t="shared" si="90"/>
        <v>-5.0877843638140972</v>
      </c>
      <c r="BD95">
        <f t="shared" si="91"/>
        <v>5.0877843638140972</v>
      </c>
      <c r="BE95" s="40">
        <f t="shared" si="92"/>
        <v>-6.3819719417666052</v>
      </c>
      <c r="BF95" s="40">
        <f t="shared" si="93"/>
        <v>-1.946191710224304</v>
      </c>
      <c r="BG95">
        <f t="shared" si="94"/>
        <v>-1.946191710224304</v>
      </c>
    </row>
    <row r="96" spans="1:59" x14ac:dyDescent="0.25">
      <c r="A96" s="1">
        <f t="shared" ref="A96:B96" si="109">E9</f>
        <v>-24</v>
      </c>
      <c r="B96" s="1">
        <f t="shared" si="109"/>
        <v>12</v>
      </c>
      <c r="C96" s="1">
        <f t="shared" si="103"/>
        <v>144</v>
      </c>
      <c r="D96" s="6">
        <f t="shared" si="104"/>
        <v>-2304</v>
      </c>
      <c r="E96" s="6">
        <f t="shared" si="105"/>
        <v>1728</v>
      </c>
      <c r="AS96">
        <v>-1.5009831567151355</v>
      </c>
      <c r="AT96">
        <v>-107.57578264362621</v>
      </c>
      <c r="AU96">
        <v>-297.47266330275068</v>
      </c>
      <c r="AV96">
        <f t="shared" si="83"/>
        <v>-1.9177963559080233</v>
      </c>
      <c r="AW96">
        <f t="shared" si="84"/>
        <v>0.41681319919288784</v>
      </c>
      <c r="AX96" s="40">
        <f t="shared" si="85"/>
        <v>-5.0593890094978162</v>
      </c>
      <c r="AY96">
        <f t="shared" si="86"/>
        <v>5.0593890094978162</v>
      </c>
      <c r="AZ96">
        <f t="shared" si="87"/>
        <v>4.7822021504644505</v>
      </c>
      <c r="BA96">
        <f t="shared" si="88"/>
        <v>-1.9177963559080233</v>
      </c>
      <c r="BB96">
        <f t="shared" si="89"/>
        <v>0.41681319919288784</v>
      </c>
      <c r="BC96">
        <f t="shared" si="90"/>
        <v>-5.0593890094978162</v>
      </c>
      <c r="BD96">
        <f t="shared" si="91"/>
        <v>5.0593890094978162</v>
      </c>
      <c r="BE96" s="40">
        <f t="shared" si="92"/>
        <v>-6.4103672960828861</v>
      </c>
      <c r="BF96" s="40">
        <f t="shared" si="93"/>
        <v>-1.9177963559080231</v>
      </c>
      <c r="BG96">
        <f t="shared" si="94"/>
        <v>-1.9177963559080231</v>
      </c>
    </row>
    <row r="97" spans="1:59" x14ac:dyDescent="0.25">
      <c r="A97" s="1">
        <f t="shared" ref="A97:B97" si="110">E10</f>
        <v>0</v>
      </c>
      <c r="B97" s="1">
        <f t="shared" si="110"/>
        <v>12</v>
      </c>
      <c r="C97" s="1">
        <f t="shared" si="103"/>
        <v>-144</v>
      </c>
      <c r="D97" s="6">
        <f t="shared" si="104"/>
        <v>1152</v>
      </c>
      <c r="E97" s="6">
        <f t="shared" si="105"/>
        <v>-1152</v>
      </c>
      <c r="AS97">
        <v>-1.4835298641951922</v>
      </c>
      <c r="AT97">
        <v>-97.900707321941411</v>
      </c>
      <c r="AU97">
        <v>-296.55237715021815</v>
      </c>
      <c r="AV97">
        <f t="shared" si="83"/>
        <v>-1.8896607238867527</v>
      </c>
      <c r="AW97">
        <f t="shared" si="84"/>
        <v>0.40613085969156049</v>
      </c>
      <c r="AX97" s="40">
        <f t="shared" si="85"/>
        <v>-5.0312533774765456</v>
      </c>
      <c r="AY97">
        <f t="shared" si="86"/>
        <v>5.0312533774765456</v>
      </c>
      <c r="AZ97">
        <f t="shared" si="87"/>
        <v>4.7996554429843936</v>
      </c>
      <c r="BA97">
        <f t="shared" si="88"/>
        <v>-1.8896607238867527</v>
      </c>
      <c r="BB97">
        <f t="shared" si="89"/>
        <v>0.40613085969156049</v>
      </c>
      <c r="BC97">
        <f t="shared" si="90"/>
        <v>-5.0312533774765456</v>
      </c>
      <c r="BD97">
        <f t="shared" si="91"/>
        <v>5.0312533774765456</v>
      </c>
      <c r="BE97" s="40">
        <f t="shared" si="92"/>
        <v>-6.4385029281041568</v>
      </c>
      <c r="BF97" s="40">
        <f t="shared" si="93"/>
        <v>-1.8896607238867524</v>
      </c>
      <c r="BG97">
        <f t="shared" si="94"/>
        <v>-1.8896607238867524</v>
      </c>
    </row>
    <row r="98" spans="1:59" x14ac:dyDescent="0.25">
      <c r="A98" s="1">
        <f t="shared" ref="A98:B98" si="111">E11</f>
        <v>0</v>
      </c>
      <c r="B98" s="1">
        <f t="shared" si="111"/>
        <v>0</v>
      </c>
      <c r="C98" s="1">
        <f t="shared" si="103"/>
        <v>0</v>
      </c>
      <c r="D98" s="6">
        <f t="shared" si="104"/>
        <v>0</v>
      </c>
      <c r="E98" s="6">
        <f t="shared" si="105"/>
        <v>0</v>
      </c>
      <c r="AS98">
        <v>-1.4660765716752489</v>
      </c>
      <c r="AT98">
        <v>-88.493929017724327</v>
      </c>
      <c r="AU98">
        <v>-295.54177217130888</v>
      </c>
      <c r="AV98">
        <f t="shared" si="83"/>
        <v>-1.8617296568870862</v>
      </c>
      <c r="AW98">
        <f t="shared" si="84"/>
        <v>0.3956530852118374</v>
      </c>
      <c r="AX98" s="40">
        <f t="shared" si="85"/>
        <v>-5.0033223104768796</v>
      </c>
      <c r="AY98">
        <f t="shared" si="86"/>
        <v>5.0033223104768796</v>
      </c>
      <c r="AZ98">
        <f t="shared" si="87"/>
        <v>4.8171087355043376</v>
      </c>
      <c r="BA98">
        <f t="shared" si="88"/>
        <v>-1.8617296568870862</v>
      </c>
      <c r="BB98">
        <f t="shared" si="89"/>
        <v>0.3956530852118374</v>
      </c>
      <c r="BC98">
        <f t="shared" si="90"/>
        <v>-5.0033223104768796</v>
      </c>
      <c r="BD98">
        <f t="shared" si="91"/>
        <v>5.0033223104768796</v>
      </c>
      <c r="BE98" s="40">
        <f t="shared" si="92"/>
        <v>-6.4664339951038228</v>
      </c>
      <c r="BF98" s="40">
        <f t="shared" si="93"/>
        <v>-1.8617296568870865</v>
      </c>
      <c r="BG98">
        <f t="shared" si="94"/>
        <v>-1.8617296568870865</v>
      </c>
    </row>
    <row r="99" spans="1:59" x14ac:dyDescent="0.25">
      <c r="C99" s="1">
        <f>SUM(C91:C98)</f>
        <v>576</v>
      </c>
      <c r="D99" s="6">
        <f>SUM(D91:D98)/C99</f>
        <v>-3</v>
      </c>
      <c r="E99" s="6">
        <f>SUM(E91:E98)/C99</f>
        <v>15</v>
      </c>
      <c r="AS99">
        <v>-1.4486232791553055</v>
      </c>
      <c r="AT99">
        <v>-79.32080727142808</v>
      </c>
      <c r="AU99">
        <v>-294.43842574684055</v>
      </c>
      <c r="AV99">
        <f t="shared" si="83"/>
        <v>-1.8339459803927176</v>
      </c>
      <c r="AW99">
        <f t="shared" si="84"/>
        <v>0.38532270123741208</v>
      </c>
      <c r="AX99" s="40">
        <f t="shared" si="85"/>
        <v>-4.9755386339825112</v>
      </c>
      <c r="AY99">
        <f t="shared" si="86"/>
        <v>4.9755386339825112</v>
      </c>
      <c r="AZ99">
        <f t="shared" si="87"/>
        <v>4.8345620280242807</v>
      </c>
      <c r="BA99">
        <f t="shared" si="88"/>
        <v>-1.8339459803927176</v>
      </c>
      <c r="BB99">
        <f t="shared" si="89"/>
        <v>0.38532270123741208</v>
      </c>
      <c r="BC99">
        <f t="shared" si="90"/>
        <v>-4.9755386339825112</v>
      </c>
      <c r="BD99">
        <f t="shared" si="91"/>
        <v>4.9755386339825112</v>
      </c>
      <c r="BE99" s="40">
        <f t="shared" si="92"/>
        <v>-6.4942176715981912</v>
      </c>
      <c r="BF99" s="40">
        <f t="shared" si="93"/>
        <v>-1.8339459803927181</v>
      </c>
      <c r="BG99">
        <f t="shared" si="94"/>
        <v>-1.8339459803927181</v>
      </c>
    </row>
    <row r="100" spans="1:59" x14ac:dyDescent="0.25">
      <c r="A100" s="8" t="s">
        <v>124</v>
      </c>
      <c r="B100" s="1">
        <f>B31*C99*0.65</f>
        <v>1591.2</v>
      </c>
      <c r="C100" t="s">
        <v>68</v>
      </c>
      <c r="AS100">
        <v>-1.4311699866353622</v>
      </c>
      <c r="AT100">
        <v>-73.044999951491008</v>
      </c>
      <c r="AU100">
        <v>-293.61357654185247</v>
      </c>
      <c r="AV100">
        <f t="shared" si="83"/>
        <v>-1.8146258300802991</v>
      </c>
      <c r="AW100">
        <f t="shared" si="84"/>
        <v>0.38345584344493688</v>
      </c>
      <c r="AX100" s="40">
        <f t="shared" si="85"/>
        <v>-4.9562184836700922</v>
      </c>
      <c r="AY100">
        <f t="shared" si="86"/>
        <v>4.9562184836700922</v>
      </c>
      <c r="AZ100">
        <f t="shared" si="87"/>
        <v>4.8520153205442238</v>
      </c>
      <c r="BA100">
        <f t="shared" si="88"/>
        <v>-1.8146258300802991</v>
      </c>
      <c r="BB100">
        <f t="shared" si="89"/>
        <v>0.38345584344493688</v>
      </c>
      <c r="BC100">
        <f t="shared" si="90"/>
        <v>-4.9562184836700922</v>
      </c>
      <c r="BD100">
        <f t="shared" si="91"/>
        <v>4.9562184836700922</v>
      </c>
      <c r="BE100" s="40">
        <f t="shared" si="92"/>
        <v>-6.5135378219106101</v>
      </c>
      <c r="BF100" s="40">
        <f t="shared" si="93"/>
        <v>-1.8146258300802991</v>
      </c>
      <c r="BG100">
        <f t="shared" si="94"/>
        <v>-1.8146258300802991</v>
      </c>
    </row>
    <row r="101" spans="1:59" x14ac:dyDescent="0.25">
      <c r="A101" s="8" t="s">
        <v>77</v>
      </c>
      <c r="B101" s="1">
        <f>B100*E99</f>
        <v>23868</v>
      </c>
      <c r="C101" t="s">
        <v>69</v>
      </c>
      <c r="AS101">
        <v>-1.4137166941154189</v>
      </c>
      <c r="AT101">
        <v>-65.49755552543445</v>
      </c>
      <c r="AU101">
        <v>-292.50899427576212</v>
      </c>
      <c r="AV101">
        <f t="shared" si="83"/>
        <v>-1.7910791263168799</v>
      </c>
      <c r="AW101">
        <f t="shared" si="84"/>
        <v>0.37736243220146104</v>
      </c>
      <c r="AX101" s="40">
        <f t="shared" si="85"/>
        <v>-4.9326717799066735</v>
      </c>
      <c r="AY101">
        <f t="shared" si="86"/>
        <v>4.9326717799066735</v>
      </c>
      <c r="AZ101">
        <f t="shared" si="87"/>
        <v>4.8694686130641678</v>
      </c>
      <c r="BA101">
        <f t="shared" si="88"/>
        <v>-1.7910791263168799</v>
      </c>
      <c r="BB101">
        <f t="shared" si="89"/>
        <v>0.37736243220146104</v>
      </c>
      <c r="BC101">
        <f t="shared" si="90"/>
        <v>-4.9326717799066735</v>
      </c>
      <c r="BD101">
        <f t="shared" si="91"/>
        <v>4.9326717799066735</v>
      </c>
      <c r="BE101" s="40">
        <f t="shared" si="92"/>
        <v>-6.5370845256740289</v>
      </c>
      <c r="BF101" s="40">
        <f t="shared" si="93"/>
        <v>-1.7910791263168804</v>
      </c>
      <c r="BG101">
        <f t="shared" si="94"/>
        <v>-1.7910791263168804</v>
      </c>
    </row>
    <row r="102" spans="1:59" x14ac:dyDescent="0.25">
      <c r="A102" s="8" t="s">
        <v>125</v>
      </c>
      <c r="B102" s="1">
        <f>B100*D99</f>
        <v>-4773.6000000000004</v>
      </c>
      <c r="C102" t="s">
        <v>69</v>
      </c>
      <c r="J102" t="s">
        <v>127</v>
      </c>
      <c r="AS102">
        <v>-1.3962634015954756</v>
      </c>
      <c r="AT102">
        <v>-59.331474768815085</v>
      </c>
      <c r="AU102">
        <v>-291.5201754020469</v>
      </c>
      <c r="AV102">
        <f t="shared" si="83"/>
        <v>-1.7715784442568348</v>
      </c>
      <c r="AW102">
        <f t="shared" si="84"/>
        <v>0.37531504266135918</v>
      </c>
      <c r="AX102" s="40">
        <f t="shared" si="85"/>
        <v>-4.9131710978466279</v>
      </c>
      <c r="AY102">
        <f t="shared" si="86"/>
        <v>4.9131710978466279</v>
      </c>
      <c r="AZ102">
        <f t="shared" si="87"/>
        <v>4.8869219055841109</v>
      </c>
      <c r="BA102">
        <f t="shared" si="88"/>
        <v>-1.7715784442568348</v>
      </c>
      <c r="BB102">
        <f t="shared" si="89"/>
        <v>0.37531504266135918</v>
      </c>
      <c r="BC102">
        <f t="shared" si="90"/>
        <v>-4.9131710978466279</v>
      </c>
      <c r="BD102">
        <f t="shared" si="91"/>
        <v>4.9131710978466279</v>
      </c>
      <c r="BE102" s="40">
        <f t="shared" si="92"/>
        <v>-6.5565852077340745</v>
      </c>
      <c r="BF102" s="40">
        <f t="shared" si="93"/>
        <v>-1.7715784442568348</v>
      </c>
      <c r="BG102">
        <f t="shared" si="94"/>
        <v>-1.7715784442568348</v>
      </c>
    </row>
    <row r="103" spans="1:5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-54.185031927266017</v>
      </c>
      <c r="AU103">
        <v>-290.62211037839427</v>
      </c>
      <c r="AV103">
        <f t="shared" si="83"/>
        <v>-1.7551248877898709</v>
      </c>
      <c r="AW103">
        <f t="shared" si="84"/>
        <v>0.3763147787143386</v>
      </c>
      <c r="AX103" s="40">
        <f t="shared" si="85"/>
        <v>-4.8967175413796635</v>
      </c>
      <c r="AY103">
        <f t="shared" si="86"/>
        <v>4.8967175413796635</v>
      </c>
      <c r="AZ103">
        <f t="shared" si="87"/>
        <v>4.904375198104054</v>
      </c>
      <c r="BA103">
        <f t="shared" si="88"/>
        <v>-1.7551248877898709</v>
      </c>
      <c r="BB103">
        <f t="shared" si="89"/>
        <v>0.3763147787143386</v>
      </c>
      <c r="BC103">
        <f t="shared" si="90"/>
        <v>-4.8967175413796635</v>
      </c>
      <c r="BD103">
        <f t="shared" si="91"/>
        <v>4.8967175413796635</v>
      </c>
      <c r="BE103" s="40">
        <f t="shared" si="92"/>
        <v>-6.5730387642010388</v>
      </c>
      <c r="BF103" s="40">
        <f t="shared" si="93"/>
        <v>-1.7551248877898704</v>
      </c>
      <c r="BG103">
        <f t="shared" si="94"/>
        <v>-1.7551248877898704</v>
      </c>
    </row>
    <row r="104" spans="1:59" x14ac:dyDescent="0.25">
      <c r="A104">
        <f>A15</f>
        <v>1</v>
      </c>
      <c r="B104">
        <f t="shared" ref="B104:C104" si="112">B15</f>
        <v>9</v>
      </c>
      <c r="C104">
        <f t="shared" ca="1" si="112"/>
        <v>1</v>
      </c>
      <c r="D104">
        <f>D15</f>
        <v>9</v>
      </c>
      <c r="E104">
        <f t="shared" ref="E104" si="113">E15</f>
        <v>22</v>
      </c>
      <c r="F104" s="5">
        <f ca="1">($B$12-$B$31)*C104*0.65</f>
        <v>36.237500000000004</v>
      </c>
      <c r="G104">
        <f ca="1">E104*F104</f>
        <v>797.22500000000014</v>
      </c>
      <c r="H104">
        <f ca="1">D104*F104</f>
        <v>326.13750000000005</v>
      </c>
      <c r="J104">
        <f ca="1">-1*C104*$B$12*0.9</f>
        <v>-54</v>
      </c>
      <c r="K104">
        <f ca="1">E104*J104</f>
        <v>-1188</v>
      </c>
      <c r="L104">
        <f ca="1">D104*J104</f>
        <v>-486</v>
      </c>
      <c r="AS104">
        <v>-1.3613568165555889</v>
      </c>
      <c r="AT104">
        <v>-49.813819837867278</v>
      </c>
      <c r="AU104">
        <v>-289.79680133233717</v>
      </c>
      <c r="AV104">
        <f t="shared" si="83"/>
        <v>-1.7410249923710188</v>
      </c>
      <c r="AW104">
        <f t="shared" si="84"/>
        <v>0.37966817581542989</v>
      </c>
      <c r="AX104" s="40">
        <f t="shared" si="85"/>
        <v>-4.8826176459608117</v>
      </c>
      <c r="AY104">
        <f t="shared" si="86"/>
        <v>4.8826176459608117</v>
      </c>
      <c r="AZ104">
        <f t="shared" si="87"/>
        <v>4.9218284906239971</v>
      </c>
      <c r="BA104">
        <f t="shared" si="88"/>
        <v>-1.7410249923710188</v>
      </c>
      <c r="BB104">
        <f t="shared" si="89"/>
        <v>0.37966817581542989</v>
      </c>
      <c r="BC104">
        <f t="shared" si="90"/>
        <v>-4.8826176459608117</v>
      </c>
      <c r="BD104">
        <f t="shared" si="91"/>
        <v>4.8826176459608117</v>
      </c>
      <c r="BE104" s="40">
        <f t="shared" si="92"/>
        <v>-6.5871386596198906</v>
      </c>
      <c r="BF104" s="40">
        <f t="shared" si="93"/>
        <v>-1.7410249923710186</v>
      </c>
      <c r="BG104">
        <f t="shared" si="94"/>
        <v>-1.7410249923710186</v>
      </c>
    </row>
    <row r="105" spans="1:59" x14ac:dyDescent="0.25">
      <c r="A105">
        <f t="shared" ref="A105:C113" si="114">A16</f>
        <v>2</v>
      </c>
      <c r="B105">
        <f t="shared" si="114"/>
        <v>9</v>
      </c>
      <c r="C105">
        <f t="shared" ca="1" si="114"/>
        <v>1</v>
      </c>
      <c r="D105">
        <f t="shared" ref="D105:E105" si="115">D16</f>
        <v>-1</v>
      </c>
      <c r="E105">
        <f t="shared" si="115"/>
        <v>22</v>
      </c>
      <c r="F105" s="5">
        <f t="shared" ref="F105:F113" ca="1" si="116">($B$12-$B$31)*C105*0.65</f>
        <v>36.237500000000004</v>
      </c>
      <c r="G105">
        <f t="shared" ref="G105:G113" ca="1" si="117">E105*F105</f>
        <v>797.22500000000014</v>
      </c>
      <c r="H105">
        <f t="shared" ref="H105:H113" ca="1" si="118">D105*F105</f>
        <v>-36.237500000000004</v>
      </c>
      <c r="J105">
        <f t="shared" ref="J105:J113" ca="1" si="119">-1*C105*$B$12*0.9</f>
        <v>-54</v>
      </c>
      <c r="K105">
        <f t="shared" ref="K105:K113" ca="1" si="120">E105*J105</f>
        <v>-1188</v>
      </c>
      <c r="L105">
        <f t="shared" ref="L105:L113" ca="1" si="121">D105*J105</f>
        <v>54</v>
      </c>
      <c r="AS105">
        <v>-1.3439035240356456</v>
      </c>
      <c r="AT105">
        <v>-46.046514598798368</v>
      </c>
      <c r="AU105">
        <v>-289.03087996947318</v>
      </c>
      <c r="AV105">
        <f t="shared" si="83"/>
        <v>-1.7287821311883829</v>
      </c>
      <c r="AW105">
        <f t="shared" si="84"/>
        <v>0.38487860715273725</v>
      </c>
      <c r="AX105" s="40">
        <f t="shared" si="85"/>
        <v>-4.8703747847781758</v>
      </c>
      <c r="AY105">
        <f t="shared" si="86"/>
        <v>4.8703747847781758</v>
      </c>
      <c r="AZ105">
        <f t="shared" si="87"/>
        <v>4.9392817831439402</v>
      </c>
      <c r="BA105">
        <f t="shared" si="88"/>
        <v>-1.7287821311883829</v>
      </c>
      <c r="BB105">
        <f t="shared" si="89"/>
        <v>0.38487860715273725</v>
      </c>
      <c r="BC105">
        <f t="shared" si="90"/>
        <v>-4.8703747847781758</v>
      </c>
      <c r="BD105">
        <f t="shared" si="91"/>
        <v>4.8703747847781758</v>
      </c>
      <c r="BE105" s="40">
        <f t="shared" si="92"/>
        <v>-6.5993815208025266</v>
      </c>
      <c r="BF105" s="40">
        <f t="shared" si="93"/>
        <v>-1.7287821311883826</v>
      </c>
      <c r="BG105">
        <f t="shared" si="94"/>
        <v>-1.7287821311883826</v>
      </c>
    </row>
    <row r="106" spans="1:59" x14ac:dyDescent="0.25">
      <c r="A106">
        <f t="shared" si="114"/>
        <v>3</v>
      </c>
      <c r="B106">
        <f t="shared" si="114"/>
        <v>9</v>
      </c>
      <c r="C106">
        <f t="shared" ca="1" si="114"/>
        <v>1</v>
      </c>
      <c r="D106">
        <f t="shared" ref="D106:E106" si="122">D17</f>
        <v>-11</v>
      </c>
      <c r="E106">
        <f t="shared" si="122"/>
        <v>22</v>
      </c>
      <c r="F106" s="5">
        <f t="shared" ca="1" si="116"/>
        <v>36.237500000000004</v>
      </c>
      <c r="G106">
        <f t="shared" ca="1" si="117"/>
        <v>797.22500000000014</v>
      </c>
      <c r="H106">
        <f t="shared" ca="1" si="118"/>
        <v>-398.61250000000007</v>
      </c>
      <c r="J106">
        <f t="shared" ca="1" si="119"/>
        <v>-54</v>
      </c>
      <c r="K106">
        <f t="shared" ca="1" si="120"/>
        <v>-1188</v>
      </c>
      <c r="L106">
        <f t="shared" ca="1" si="121"/>
        <v>594</v>
      </c>
      <c r="AS106">
        <v>-1.3264502315157023</v>
      </c>
      <c r="AT106">
        <v>-42.759310109398783</v>
      </c>
      <c r="AU106">
        <v>-288.31415107977659</v>
      </c>
      <c r="AV106">
        <f t="shared" si="83"/>
        <v>-1.7180311482258661</v>
      </c>
      <c r="AW106">
        <f t="shared" si="84"/>
        <v>0.39158091671016382</v>
      </c>
      <c r="AX106" s="40">
        <f t="shared" si="85"/>
        <v>-4.8596238018156592</v>
      </c>
      <c r="AY106">
        <f t="shared" si="86"/>
        <v>4.8596238018156592</v>
      </c>
      <c r="AZ106">
        <f t="shared" si="87"/>
        <v>4.9567350756638842</v>
      </c>
      <c r="BA106">
        <f t="shared" si="88"/>
        <v>-1.7180311482258661</v>
      </c>
      <c r="BB106">
        <f t="shared" si="89"/>
        <v>0.39158091671016382</v>
      </c>
      <c r="BC106">
        <f t="shared" si="90"/>
        <v>-4.8596238018156592</v>
      </c>
      <c r="BD106">
        <f t="shared" si="91"/>
        <v>4.8596238018156592</v>
      </c>
      <c r="BE106" s="40">
        <f t="shared" si="92"/>
        <v>-6.6101325037650431</v>
      </c>
      <c r="BF106" s="40">
        <f t="shared" si="93"/>
        <v>-1.7180311482258661</v>
      </c>
      <c r="BG106">
        <f t="shared" si="94"/>
        <v>-1.7180311482258661</v>
      </c>
    </row>
    <row r="107" spans="1:59" x14ac:dyDescent="0.25">
      <c r="A107">
        <f t="shared" si="114"/>
        <v>4</v>
      </c>
      <c r="B107">
        <f t="shared" si="114"/>
        <v>9</v>
      </c>
      <c r="C107">
        <f t="shared" ca="1" si="114"/>
        <v>1</v>
      </c>
      <c r="D107">
        <f t="shared" ref="D107:E107" si="123">D18</f>
        <v>-21</v>
      </c>
      <c r="E107">
        <f t="shared" si="123"/>
        <v>22</v>
      </c>
      <c r="F107" s="5">
        <f t="shared" ca="1" si="116"/>
        <v>36.237500000000004</v>
      </c>
      <c r="G107">
        <f t="shared" ca="1" si="117"/>
        <v>797.22500000000014</v>
      </c>
      <c r="H107">
        <f t="shared" ca="1" si="118"/>
        <v>-760.98750000000007</v>
      </c>
      <c r="J107">
        <f t="shared" ca="1" si="119"/>
        <v>-54</v>
      </c>
      <c r="K107">
        <f t="shared" ca="1" si="120"/>
        <v>-1188</v>
      </c>
      <c r="L107">
        <f t="shared" ca="1" si="121"/>
        <v>1134</v>
      </c>
      <c r="AS107">
        <v>-1.308996938995759</v>
      </c>
      <c r="AT107">
        <v>-39.860416215799887</v>
      </c>
      <c r="AU107">
        <v>-287.63866290543336</v>
      </c>
      <c r="AV107">
        <f t="shared" si="83"/>
        <v>-1.7084974195233376</v>
      </c>
      <c r="AW107">
        <f t="shared" si="84"/>
        <v>0.39950048052757858</v>
      </c>
      <c r="AX107" s="40">
        <f t="shared" si="85"/>
        <v>-4.8500900731131305</v>
      </c>
      <c r="AY107">
        <f t="shared" si="86"/>
        <v>4.8500900731131305</v>
      </c>
      <c r="AZ107">
        <f t="shared" si="87"/>
        <v>4.9741883681838273</v>
      </c>
      <c r="BA107">
        <f t="shared" si="88"/>
        <v>-1.7084974195233376</v>
      </c>
      <c r="BB107">
        <f t="shared" si="89"/>
        <v>0.39950048052757858</v>
      </c>
      <c r="BC107">
        <f t="shared" si="90"/>
        <v>-4.8500900731131305</v>
      </c>
      <c r="BD107">
        <f t="shared" si="91"/>
        <v>4.8500900731131305</v>
      </c>
      <c r="BE107" s="40">
        <f t="shared" si="92"/>
        <v>-6.6196662324675719</v>
      </c>
      <c r="BF107" s="40">
        <f t="shared" si="93"/>
        <v>-1.7084974195233373</v>
      </c>
      <c r="BG107">
        <f t="shared" si="94"/>
        <v>-1.7084974195233373</v>
      </c>
    </row>
    <row r="108" spans="1:59" x14ac:dyDescent="0.25">
      <c r="A108">
        <f t="shared" si="114"/>
        <v>5</v>
      </c>
      <c r="B108">
        <f t="shared" si="114"/>
        <v>0</v>
      </c>
      <c r="C108">
        <f t="shared" ca="1" si="114"/>
        <v>0</v>
      </c>
      <c r="D108">
        <f t="shared" ref="D108:E108" si="124">D19</f>
        <v>2</v>
      </c>
      <c r="E108">
        <f t="shared" si="124"/>
        <v>2</v>
      </c>
      <c r="F108" s="5">
        <f t="shared" ca="1" si="116"/>
        <v>0</v>
      </c>
      <c r="G108">
        <f t="shared" ca="1" si="117"/>
        <v>0</v>
      </c>
      <c r="H108">
        <f t="shared" ca="1" si="118"/>
        <v>0</v>
      </c>
      <c r="J108">
        <f t="shared" ca="1" si="119"/>
        <v>0</v>
      </c>
      <c r="K108">
        <f t="shared" ca="1" si="120"/>
        <v>0</v>
      </c>
      <c r="L108">
        <f t="shared" ca="1" si="121"/>
        <v>0</v>
      </c>
      <c r="AS108">
        <v>-1.2915436464758157</v>
      </c>
      <c r="AT108">
        <v>-37.28027395877681</v>
      </c>
      <c r="AU108">
        <v>-286.99809197813653</v>
      </c>
      <c r="AV108">
        <f t="shared" si="83"/>
        <v>-1.699970325014615</v>
      </c>
      <c r="AW108">
        <f t="shared" si="84"/>
        <v>0.40842667853879933</v>
      </c>
      <c r="AX108" s="40">
        <f t="shared" si="85"/>
        <v>-4.8415629786044079</v>
      </c>
      <c r="AY108">
        <f t="shared" si="86"/>
        <v>4.8415629786044079</v>
      </c>
      <c r="AZ108">
        <f t="shared" si="87"/>
        <v>4.9916416607037704</v>
      </c>
      <c r="BA108">
        <f t="shared" si="88"/>
        <v>-1.699970325014615</v>
      </c>
      <c r="BB108">
        <f t="shared" si="89"/>
        <v>0.40842667853879933</v>
      </c>
      <c r="BC108">
        <f t="shared" si="90"/>
        <v>-4.8415629786044079</v>
      </c>
      <c r="BD108">
        <f t="shared" si="91"/>
        <v>4.8415629786044079</v>
      </c>
      <c r="BE108" s="40">
        <f t="shared" si="92"/>
        <v>-6.6281933269762945</v>
      </c>
      <c r="BF108" s="40">
        <f t="shared" si="93"/>
        <v>-1.6999703250146148</v>
      </c>
      <c r="BG108">
        <f t="shared" si="94"/>
        <v>-1.6999703250146148</v>
      </c>
    </row>
    <row r="109" spans="1:59" x14ac:dyDescent="0.25">
      <c r="A109">
        <f t="shared" si="114"/>
        <v>6</v>
      </c>
      <c r="B109">
        <f t="shared" si="114"/>
        <v>0</v>
      </c>
      <c r="C109">
        <f t="shared" ca="1" si="114"/>
        <v>0</v>
      </c>
      <c r="D109">
        <f t="shared" ref="D109:E109" si="125">D20</f>
        <v>6</v>
      </c>
      <c r="E109">
        <f t="shared" si="125"/>
        <v>4</v>
      </c>
      <c r="F109" s="5">
        <f t="shared" ca="1" si="116"/>
        <v>0</v>
      </c>
      <c r="G109">
        <f t="shared" ca="1" si="117"/>
        <v>0</v>
      </c>
      <c r="H109">
        <f t="shared" ca="1" si="118"/>
        <v>0</v>
      </c>
      <c r="J109">
        <f t="shared" ca="1" si="119"/>
        <v>0</v>
      </c>
      <c r="K109">
        <f t="shared" ca="1" si="120"/>
        <v>0</v>
      </c>
      <c r="L109">
        <f t="shared" ca="1" si="121"/>
        <v>0</v>
      </c>
      <c r="AS109">
        <v>-1.2740903539558723</v>
      </c>
      <c r="AT109">
        <v>-34.965165227335788</v>
      </c>
      <c r="AU109">
        <v>-286.38732331497346</v>
      </c>
      <c r="AV109">
        <f t="shared" si="83"/>
        <v>-1.6922855429455679</v>
      </c>
      <c r="AW109">
        <f t="shared" si="84"/>
        <v>0.41819518898969554</v>
      </c>
      <c r="AX109" s="40">
        <f t="shared" si="85"/>
        <v>-4.8338781965353608</v>
      </c>
      <c r="AY109">
        <f t="shared" si="86"/>
        <v>4.8338781965353608</v>
      </c>
      <c r="AZ109">
        <f t="shared" si="87"/>
        <v>5.0090949532237143</v>
      </c>
      <c r="BA109">
        <f t="shared" si="88"/>
        <v>-1.6922855429455679</v>
      </c>
      <c r="BB109">
        <f t="shared" si="89"/>
        <v>0.41819518898969554</v>
      </c>
      <c r="BC109">
        <f t="shared" si="90"/>
        <v>-4.8338781965353608</v>
      </c>
      <c r="BD109">
        <f t="shared" si="91"/>
        <v>4.8338781965353608</v>
      </c>
      <c r="BE109" s="40">
        <f t="shared" si="92"/>
        <v>-6.6358781090453416</v>
      </c>
      <c r="BF109" s="40">
        <f t="shared" si="93"/>
        <v>-1.6922855429455677</v>
      </c>
      <c r="BG109">
        <f t="shared" si="94"/>
        <v>-1.6922855429455677</v>
      </c>
    </row>
    <row r="110" spans="1:59" x14ac:dyDescent="0.25">
      <c r="A110">
        <f t="shared" si="114"/>
        <v>7</v>
      </c>
      <c r="B110">
        <f t="shared" si="114"/>
        <v>0</v>
      </c>
      <c r="C110">
        <f t="shared" ca="1" si="114"/>
        <v>0</v>
      </c>
      <c r="D110">
        <f t="shared" ref="D110:E110" si="126">D21</f>
        <v>10</v>
      </c>
      <c r="E110">
        <f t="shared" si="126"/>
        <v>2</v>
      </c>
      <c r="F110" s="5">
        <f t="shared" ca="1" si="116"/>
        <v>0</v>
      </c>
      <c r="G110">
        <f t="shared" ca="1" si="117"/>
        <v>0</v>
      </c>
      <c r="H110">
        <f t="shared" ca="1" si="118"/>
        <v>0</v>
      </c>
      <c r="J110">
        <f t="shared" ca="1" si="119"/>
        <v>0</v>
      </c>
      <c r="K110">
        <f t="shared" ca="1" si="120"/>
        <v>0</v>
      </c>
      <c r="L110">
        <f t="shared" ca="1" si="121"/>
        <v>0</v>
      </c>
      <c r="AS110">
        <v>-1.256637061435929</v>
      </c>
      <c r="AT110">
        <v>-32.872914840662382</v>
      </c>
      <c r="AU110">
        <v>-285.80215633992145</v>
      </c>
      <c r="AV110">
        <f t="shared" si="83"/>
        <v>-1.6853129226342265</v>
      </c>
      <c r="AW110">
        <f t="shared" si="84"/>
        <v>0.42867586119829748</v>
      </c>
      <c r="AX110" s="40">
        <f t="shared" si="85"/>
        <v>-4.8269055762240196</v>
      </c>
      <c r="AY110">
        <f t="shared" si="86"/>
        <v>4.8269055762240196</v>
      </c>
      <c r="AZ110">
        <f t="shared" si="87"/>
        <v>5.0265482457436574</v>
      </c>
      <c r="BA110">
        <f t="shared" si="88"/>
        <v>-1.6853129226342265</v>
      </c>
      <c r="BB110">
        <f t="shared" si="89"/>
        <v>0.42867586119829748</v>
      </c>
      <c r="BC110">
        <f t="shared" si="90"/>
        <v>-4.8269055762240196</v>
      </c>
      <c r="BD110">
        <f t="shared" si="91"/>
        <v>4.8269055762240196</v>
      </c>
      <c r="BE110" s="40">
        <f t="shared" si="92"/>
        <v>-6.6428507293566827</v>
      </c>
      <c r="BF110" s="40">
        <f t="shared" si="93"/>
        <v>-1.6853129226342265</v>
      </c>
      <c r="BG110">
        <f t="shared" si="94"/>
        <v>-1.6853129226342265</v>
      </c>
    </row>
    <row r="111" spans="1:59" x14ac:dyDescent="0.25">
      <c r="A111">
        <f t="shared" si="114"/>
        <v>8</v>
      </c>
      <c r="B111">
        <f t="shared" si="114"/>
        <v>0</v>
      </c>
      <c r="C111">
        <f t="shared" ca="1" si="114"/>
        <v>0</v>
      </c>
      <c r="D111">
        <f t="shared" ref="D111:E111" si="127">D22</f>
        <v>2</v>
      </c>
      <c r="E111">
        <f t="shared" si="127"/>
        <v>4</v>
      </c>
      <c r="F111" s="5">
        <f t="shared" ca="1" si="116"/>
        <v>0</v>
      </c>
      <c r="G111">
        <f t="shared" ca="1" si="117"/>
        <v>0</v>
      </c>
      <c r="H111">
        <f t="shared" ca="1" si="118"/>
        <v>0</v>
      </c>
      <c r="J111">
        <f t="shared" ca="1" si="119"/>
        <v>0</v>
      </c>
      <c r="K111">
        <f t="shared" ca="1" si="120"/>
        <v>0</v>
      </c>
      <c r="L111">
        <f t="shared" ca="1" si="121"/>
        <v>0</v>
      </c>
      <c r="AS111">
        <v>-1.2391837689159857</v>
      </c>
      <c r="AT111">
        <v>-30.969925277509674</v>
      </c>
      <c r="AU111">
        <v>-285.23909396634622</v>
      </c>
      <c r="AV111">
        <f t="shared" si="83"/>
        <v>-1.6789479868672834</v>
      </c>
      <c r="AW111">
        <f t="shared" si="84"/>
        <v>0.43976421795129772</v>
      </c>
      <c r="AX111" s="40">
        <f t="shared" si="85"/>
        <v>-4.820540640457077</v>
      </c>
      <c r="AY111">
        <f t="shared" si="86"/>
        <v>4.820540640457077</v>
      </c>
      <c r="AZ111">
        <f t="shared" si="87"/>
        <v>5.0440015382636005</v>
      </c>
      <c r="BA111">
        <f t="shared" si="88"/>
        <v>-1.6789479868672834</v>
      </c>
      <c r="BB111">
        <f t="shared" si="89"/>
        <v>0.43976421795129772</v>
      </c>
      <c r="BC111">
        <f t="shared" si="90"/>
        <v>-4.820540640457077</v>
      </c>
      <c r="BD111">
        <f t="shared" si="91"/>
        <v>4.820540640457077</v>
      </c>
      <c r="BE111" s="40">
        <f t="shared" si="92"/>
        <v>-6.6492156651236254</v>
      </c>
      <c r="BF111" s="40">
        <f t="shared" si="93"/>
        <v>-1.6789479868672839</v>
      </c>
      <c r="BG111">
        <f t="shared" si="94"/>
        <v>-1.6789479868672839</v>
      </c>
    </row>
    <row r="112" spans="1:59" x14ac:dyDescent="0.25">
      <c r="A112">
        <f t="shared" si="114"/>
        <v>9</v>
      </c>
      <c r="B112">
        <f t="shared" si="114"/>
        <v>0</v>
      </c>
      <c r="C112">
        <f t="shared" ca="1" si="114"/>
        <v>0</v>
      </c>
      <c r="D112">
        <f t="shared" ref="D112:E112" si="128">D23</f>
        <v>6</v>
      </c>
      <c r="E112">
        <f t="shared" si="128"/>
        <v>4</v>
      </c>
      <c r="F112" s="5">
        <f t="shared" ca="1" si="116"/>
        <v>0</v>
      </c>
      <c r="G112">
        <f t="shared" ca="1" si="117"/>
        <v>0</v>
      </c>
      <c r="H112">
        <f t="shared" ca="1" si="118"/>
        <v>0</v>
      </c>
      <c r="J112">
        <f t="shared" ca="1" si="119"/>
        <v>0</v>
      </c>
      <c r="K112">
        <f t="shared" ca="1" si="120"/>
        <v>0</v>
      </c>
      <c r="L112">
        <f t="shared" ca="1" si="121"/>
        <v>0</v>
      </c>
      <c r="AS112">
        <v>-1.2217304763960424</v>
      </c>
      <c r="AT112">
        <v>-29.229084394575118</v>
      </c>
      <c r="AU112">
        <v>-284.69518825058833</v>
      </c>
      <c r="AV112">
        <f t="shared" si="83"/>
        <v>-1.6731058555468443</v>
      </c>
      <c r="AW112">
        <f t="shared" si="84"/>
        <v>0.45137537915080195</v>
      </c>
      <c r="AX112" s="40">
        <f t="shared" si="85"/>
        <v>-4.8146985091366377</v>
      </c>
      <c r="AY112">
        <f t="shared" si="86"/>
        <v>4.8146985091366377</v>
      </c>
      <c r="AZ112">
        <f t="shared" si="87"/>
        <v>5.0614548307835436</v>
      </c>
      <c r="BA112">
        <f t="shared" si="88"/>
        <v>-1.6731058555468443</v>
      </c>
      <c r="BB112">
        <f t="shared" si="89"/>
        <v>0.45137537915080195</v>
      </c>
      <c r="BC112">
        <f t="shared" si="90"/>
        <v>-4.8146985091366377</v>
      </c>
      <c r="BD112">
        <f t="shared" si="91"/>
        <v>4.8146985091366377</v>
      </c>
      <c r="BE112" s="40">
        <f t="shared" si="92"/>
        <v>-6.6550577964440647</v>
      </c>
      <c r="BF112" s="40">
        <f t="shared" si="93"/>
        <v>-1.6731058555468445</v>
      </c>
      <c r="BG112">
        <f t="shared" si="94"/>
        <v>-1.6731058555468445</v>
      </c>
    </row>
    <row r="113" spans="1:59" x14ac:dyDescent="0.25">
      <c r="A113">
        <f t="shared" si="114"/>
        <v>10</v>
      </c>
      <c r="B113">
        <f t="shared" si="114"/>
        <v>0</v>
      </c>
      <c r="C113">
        <f t="shared" ca="1" si="114"/>
        <v>0</v>
      </c>
      <c r="D113">
        <f t="shared" ref="D113:E113" si="129">D24</f>
        <v>10</v>
      </c>
      <c r="E113">
        <f t="shared" si="129"/>
        <v>4</v>
      </c>
      <c r="F113" s="5">
        <f t="shared" ca="1" si="116"/>
        <v>0</v>
      </c>
      <c r="G113">
        <f t="shared" ca="1" si="117"/>
        <v>0</v>
      </c>
      <c r="H113">
        <f t="shared" ca="1" si="118"/>
        <v>0</v>
      </c>
      <c r="J113">
        <f t="shared" ca="1" si="119"/>
        <v>0</v>
      </c>
      <c r="K113">
        <f t="shared" ca="1" si="120"/>
        <v>0</v>
      </c>
      <c r="L113">
        <f t="shared" ca="1" si="121"/>
        <v>0</v>
      </c>
      <c r="AS113">
        <v>-1.2042771838760991</v>
      </c>
      <c r="AT113">
        <v>-27.628259513355559</v>
      </c>
      <c r="AU113">
        <v>-284.16792536910128</v>
      </c>
      <c r="AV113">
        <f t="shared" si="83"/>
        <v>-1.6677168212903524</v>
      </c>
      <c r="AW113">
        <f t="shared" si="84"/>
        <v>0.46343963741425331</v>
      </c>
      <c r="AX113" s="40">
        <f t="shared" si="85"/>
        <v>-4.8093094748801457</v>
      </c>
      <c r="AY113">
        <f t="shared" si="86"/>
        <v>4.8093094748801457</v>
      </c>
      <c r="AZ113">
        <f t="shared" si="87"/>
        <v>5.0789081233034867</v>
      </c>
      <c r="BA113">
        <f t="shared" si="88"/>
        <v>-1.6677168212903524</v>
      </c>
      <c r="BB113">
        <f t="shared" si="89"/>
        <v>0.46343963741425331</v>
      </c>
      <c r="BC113">
        <f t="shared" si="90"/>
        <v>-4.8093094748801457</v>
      </c>
      <c r="BD113">
        <f t="shared" si="91"/>
        <v>4.8093094748801457</v>
      </c>
      <c r="BE113" s="40">
        <f t="shared" si="92"/>
        <v>-6.6604468307005567</v>
      </c>
      <c r="BF113" s="40">
        <f t="shared" si="93"/>
        <v>-1.6677168212903526</v>
      </c>
      <c r="BG113">
        <f t="shared" si="94"/>
        <v>-1.6677168212903526</v>
      </c>
    </row>
    <row r="114" spans="1:59" x14ac:dyDescent="0.25">
      <c r="F114" s="5">
        <f ca="1">SUM(F104:F113)</f>
        <v>144.95000000000002</v>
      </c>
      <c r="G114" s="5">
        <f t="shared" ref="G114:H114" ca="1" si="130">SUM(G104:G113)</f>
        <v>3188.9000000000005</v>
      </c>
      <c r="H114" s="5">
        <f t="shared" ca="1" si="130"/>
        <v>-869.7</v>
      </c>
      <c r="J114">
        <f ca="1">SUM(J104:J113)</f>
        <v>-216</v>
      </c>
      <c r="K114">
        <f t="shared" ref="K114:L114" ca="1" si="131">SUM(K104:K113)</f>
        <v>-4752</v>
      </c>
      <c r="L114">
        <f t="shared" ca="1" si="131"/>
        <v>1296</v>
      </c>
      <c r="AS114">
        <v>-1.1868238913561557</v>
      </c>
      <c r="AT114">
        <v>-26.149194214710921</v>
      </c>
      <c r="AU114">
        <v>-283.65513846390263</v>
      </c>
      <c r="AV114">
        <f t="shared" si="83"/>
        <v>-1.6627230751275706</v>
      </c>
      <c r="AW114">
        <f t="shared" si="84"/>
        <v>0.47589918377141482</v>
      </c>
      <c r="AX114" s="40">
        <f t="shared" si="85"/>
        <v>-4.8043157287173637</v>
      </c>
      <c r="AY114">
        <f t="shared" si="86"/>
        <v>4.8043157287173637</v>
      </c>
      <c r="AZ114">
        <f t="shared" si="87"/>
        <v>5.0963614158234307</v>
      </c>
      <c r="BA114">
        <f t="shared" si="88"/>
        <v>-1.6627230751275706</v>
      </c>
      <c r="BB114">
        <f t="shared" si="89"/>
        <v>0.47589918377141482</v>
      </c>
      <c r="BC114">
        <f t="shared" si="90"/>
        <v>-4.8043157287173637</v>
      </c>
      <c r="BD114">
        <f t="shared" si="91"/>
        <v>4.8043157287173637</v>
      </c>
      <c r="BE114" s="40">
        <f t="shared" si="92"/>
        <v>-6.6654405768633387</v>
      </c>
      <c r="BF114" s="40">
        <f t="shared" si="93"/>
        <v>-1.6627230751275706</v>
      </c>
      <c r="BG114">
        <f t="shared" si="94"/>
        <v>-1.6627230751275706</v>
      </c>
    </row>
    <row r="115" spans="1:59" x14ac:dyDescent="0.25">
      <c r="A115" s="8" t="s">
        <v>99</v>
      </c>
      <c r="B115" s="5">
        <f ca="1">B100+F114</f>
        <v>1736.15</v>
      </c>
      <c r="J115">
        <f ca="1">J114</f>
        <v>-216</v>
      </c>
      <c r="AS115">
        <v>-1.1693705988362124</v>
      </c>
      <c r="AT115">
        <v>-24.776687136340133</v>
      </c>
      <c r="AU115">
        <v>-283.15494065108328</v>
      </c>
      <c r="AV115">
        <f t="shared" si="83"/>
        <v>-1.6580762471709916</v>
      </c>
      <c r="AW115">
        <f t="shared" si="84"/>
        <v>0.48870564833477914</v>
      </c>
      <c r="AX115" s="40">
        <f t="shared" si="85"/>
        <v>-4.7996689007607847</v>
      </c>
      <c r="AY115">
        <f t="shared" si="86"/>
        <v>4.7996689007607847</v>
      </c>
      <c r="AZ115">
        <f t="shared" si="87"/>
        <v>5.1138147083433738</v>
      </c>
      <c r="BA115">
        <f t="shared" si="88"/>
        <v>-1.6580762471709916</v>
      </c>
      <c r="BB115">
        <f t="shared" si="89"/>
        <v>0.48870564833477914</v>
      </c>
      <c r="BC115">
        <f t="shared" si="90"/>
        <v>-4.7996689007607847</v>
      </c>
      <c r="BD115">
        <f t="shared" si="91"/>
        <v>4.7996689007607847</v>
      </c>
      <c r="BE115" s="40">
        <f t="shared" si="92"/>
        <v>-6.6700874048199177</v>
      </c>
      <c r="BF115" s="40">
        <f t="shared" si="93"/>
        <v>-1.6580762471709916</v>
      </c>
      <c r="BG115">
        <f t="shared" si="94"/>
        <v>-1.6580762471709916</v>
      </c>
    </row>
    <row r="116" spans="1:59" x14ac:dyDescent="0.25">
      <c r="A116" s="8" t="s">
        <v>100</v>
      </c>
      <c r="B116" s="5">
        <f ca="1">B101+G114</f>
        <v>27056.9</v>
      </c>
      <c r="J116">
        <f ca="1">K114</f>
        <v>-4752</v>
      </c>
      <c r="AS116">
        <v>-1.1519173063162691</v>
      </c>
      <c r="AT116">
        <v>-23.49797199274191</v>
      </c>
      <c r="AU116">
        <v>-282.66567273967041</v>
      </c>
      <c r="AV116">
        <f t="shared" si="83"/>
        <v>-1.6537355350743064</v>
      </c>
      <c r="AW116">
        <f t="shared" si="84"/>
        <v>0.50181822875803728</v>
      </c>
      <c r="AX116" s="40">
        <f t="shared" si="85"/>
        <v>-4.795328188664099</v>
      </c>
      <c r="AY116">
        <f t="shared" si="86"/>
        <v>4.795328188664099</v>
      </c>
      <c r="AZ116">
        <f t="shared" si="87"/>
        <v>5.1312680008633169</v>
      </c>
      <c r="BA116">
        <f t="shared" si="88"/>
        <v>-1.6537355350743064</v>
      </c>
      <c r="BB116">
        <f t="shared" si="89"/>
        <v>0.50181822875803728</v>
      </c>
      <c r="BC116">
        <f t="shared" si="90"/>
        <v>-4.795328188664099</v>
      </c>
      <c r="BD116">
        <f t="shared" si="91"/>
        <v>4.795328188664099</v>
      </c>
      <c r="BE116" s="40">
        <f t="shared" si="92"/>
        <v>-6.6744281169166033</v>
      </c>
      <c r="BF116" s="40">
        <f t="shared" si="93"/>
        <v>-1.6537355350743059</v>
      </c>
      <c r="BG116">
        <f t="shared" si="94"/>
        <v>-1.6537355350743059</v>
      </c>
    </row>
    <row r="117" spans="1:59" x14ac:dyDescent="0.25">
      <c r="A117" s="8" t="s">
        <v>101</v>
      </c>
      <c r="B117" s="5">
        <f ca="1">B102+H114</f>
        <v>-5643.3</v>
      </c>
      <c r="J117">
        <f ca="1">L114</f>
        <v>1296</v>
      </c>
      <c r="AS117">
        <v>-1.1344640137963258</v>
      </c>
      <c r="AT117">
        <v>-22.302243201478763</v>
      </c>
      <c r="AU117">
        <v>-282.18586200641329</v>
      </c>
      <c r="AV117">
        <f t="shared" si="83"/>
        <v>-1.649666261672649</v>
      </c>
      <c r="AW117">
        <f t="shared" si="84"/>
        <v>0.51520224787632318</v>
      </c>
      <c r="AX117" s="40">
        <f t="shared" si="85"/>
        <v>-4.7912589152624419</v>
      </c>
      <c r="AY117">
        <f t="shared" si="86"/>
        <v>4.7912589152624419</v>
      </c>
      <c r="AZ117">
        <f t="shared" si="87"/>
        <v>5.1487212933832609</v>
      </c>
      <c r="BA117">
        <f t="shared" si="88"/>
        <v>-1.649666261672649</v>
      </c>
      <c r="BB117">
        <f t="shared" si="89"/>
        <v>0.51520224787632318</v>
      </c>
      <c r="BC117">
        <f t="shared" si="90"/>
        <v>-4.7912589152624419</v>
      </c>
      <c r="BD117">
        <f t="shared" si="91"/>
        <v>4.7912589152624419</v>
      </c>
      <c r="BE117" s="40">
        <f t="shared" si="92"/>
        <v>-6.6784973903182605</v>
      </c>
      <c r="BF117" s="40">
        <f t="shared" si="93"/>
        <v>-1.6496662616726487</v>
      </c>
      <c r="BG117">
        <f t="shared" si="94"/>
        <v>-1.6496662616726487</v>
      </c>
    </row>
    <row r="118" spans="1:59" x14ac:dyDescent="0.25">
      <c r="AS118">
        <v>-1.1170107212763825</v>
      </c>
      <c r="AT118">
        <v>-21.180288720141988</v>
      </c>
      <c r="AU118">
        <v>-281.71418921803036</v>
      </c>
      <c r="AV118">
        <f t="shared" si="83"/>
        <v>-1.6458387513968473</v>
      </c>
      <c r="AW118">
        <f t="shared" si="84"/>
        <v>0.52882803012046486</v>
      </c>
      <c r="AX118" s="40">
        <f t="shared" si="85"/>
        <v>-4.7874314049866404</v>
      </c>
      <c r="AY118">
        <f t="shared" si="86"/>
        <v>4.7874314049866404</v>
      </c>
      <c r="AZ118">
        <f t="shared" si="87"/>
        <v>5.166174585903204</v>
      </c>
      <c r="BA118">
        <f t="shared" si="88"/>
        <v>-1.6458387513968473</v>
      </c>
      <c r="BB118">
        <f t="shared" si="89"/>
        <v>0.52882803012046486</v>
      </c>
      <c r="BC118">
        <f t="shared" si="90"/>
        <v>-4.7874314049866404</v>
      </c>
      <c r="BD118">
        <f t="shared" si="91"/>
        <v>4.7874314049866404</v>
      </c>
      <c r="BE118" s="40">
        <f t="shared" si="92"/>
        <v>-6.6823249005940619</v>
      </c>
      <c r="BF118" s="40">
        <f t="shared" si="93"/>
        <v>-1.6458387513968473</v>
      </c>
      <c r="BG118">
        <f t="shared" si="94"/>
        <v>-1.6458387513968473</v>
      </c>
    </row>
    <row r="119" spans="1:59" x14ac:dyDescent="0.25">
      <c r="A119" s="8" t="s">
        <v>8</v>
      </c>
      <c r="B119">
        <f ca="1">B117/B115</f>
        <v>-3.250467989517035</v>
      </c>
      <c r="J119">
        <f ca="1">J117/J115</f>
        <v>-6</v>
      </c>
      <c r="AS119">
        <v>-1.0995574287564391</v>
      </c>
      <c r="AT119">
        <v>-20.124202673848753</v>
      </c>
      <c r="AU119">
        <v>-281.24946199080443</v>
      </c>
      <c r="AV119">
        <f t="shared" si="83"/>
        <v>-1.6422274456582147</v>
      </c>
      <c r="AW119">
        <f t="shared" si="84"/>
        <v>0.54267001690177552</v>
      </c>
      <c r="AX119" s="40">
        <f t="shared" si="85"/>
        <v>-4.7838200992480076</v>
      </c>
      <c r="AY119">
        <f t="shared" si="86"/>
        <v>4.7838200992480076</v>
      </c>
      <c r="AZ119">
        <f t="shared" si="87"/>
        <v>5.1836278784231471</v>
      </c>
      <c r="BA119">
        <f t="shared" si="88"/>
        <v>-1.6422274456582147</v>
      </c>
      <c r="BB119">
        <f t="shared" si="89"/>
        <v>0.54267001690177552</v>
      </c>
      <c r="BC119">
        <f t="shared" si="90"/>
        <v>-4.7838200992480076</v>
      </c>
      <c r="BD119">
        <f t="shared" si="91"/>
        <v>4.7838200992480076</v>
      </c>
      <c r="BE119" s="40">
        <f t="shared" si="92"/>
        <v>-6.6859362063326948</v>
      </c>
      <c r="BF119" s="40">
        <f t="shared" si="93"/>
        <v>-1.6422274456582144</v>
      </c>
      <c r="BG119">
        <f t="shared" si="94"/>
        <v>-1.6422274456582144</v>
      </c>
    </row>
    <row r="120" spans="1:59" x14ac:dyDescent="0.25">
      <c r="A120" s="8" t="s">
        <v>9</v>
      </c>
      <c r="B120">
        <f ca="1">B116/B115</f>
        <v>15.584425308873081</v>
      </c>
      <c r="J120">
        <f ca="1">J116/J115</f>
        <v>22</v>
      </c>
      <c r="AS120">
        <v>-1.0821041362364958</v>
      </c>
      <c r="AT120">
        <v>-19.127158266088891</v>
      </c>
      <c r="AU120">
        <v>-280.79059298193158</v>
      </c>
      <c r="AV120">
        <f t="shared" si="83"/>
        <v>-1.6388102000746689</v>
      </c>
      <c r="AW120">
        <f t="shared" si="84"/>
        <v>0.55670606383817312</v>
      </c>
      <c r="AX120" s="40">
        <f t="shared" si="85"/>
        <v>-4.7804028536644623</v>
      </c>
      <c r="AY120">
        <f t="shared" si="86"/>
        <v>4.7804028536644623</v>
      </c>
      <c r="AZ120">
        <f t="shared" si="87"/>
        <v>5.2010811709430902</v>
      </c>
      <c r="BA120">
        <f t="shared" si="88"/>
        <v>-1.6388102000746689</v>
      </c>
      <c r="BB120">
        <f t="shared" si="89"/>
        <v>0.55670606383817312</v>
      </c>
      <c r="BC120">
        <f t="shared" si="90"/>
        <v>-4.7804028536644623</v>
      </c>
      <c r="BD120">
        <f t="shared" si="91"/>
        <v>4.7804028536644623</v>
      </c>
      <c r="BE120" s="40">
        <f t="shared" si="92"/>
        <v>-6.6893534519162401</v>
      </c>
      <c r="BF120" s="40">
        <f t="shared" si="93"/>
        <v>-1.6388102000746692</v>
      </c>
      <c r="BG120">
        <f t="shared" si="94"/>
        <v>-1.6388102000746692</v>
      </c>
    </row>
    <row r="121" spans="1:59" x14ac:dyDescent="0.25">
      <c r="AS121">
        <v>-1.0646508437165525</v>
      </c>
      <c r="AT121">
        <v>-18.183226564780959</v>
      </c>
      <c r="AU121">
        <v>-280.33658188592915</v>
      </c>
      <c r="AV121">
        <f t="shared" si="83"/>
        <v>-1.635567720862241</v>
      </c>
      <c r="AW121">
        <f t="shared" si="84"/>
        <v>0.57091687714568851</v>
      </c>
      <c r="AX121" s="40">
        <f t="shared" si="85"/>
        <v>-4.7771603744520341</v>
      </c>
      <c r="AY121">
        <f t="shared" si="86"/>
        <v>4.7771603744520341</v>
      </c>
      <c r="AZ121">
        <f t="shared" si="87"/>
        <v>5.2185344634630333</v>
      </c>
      <c r="BA121">
        <f t="shared" si="88"/>
        <v>-1.635567720862241</v>
      </c>
      <c r="BB121">
        <f t="shared" si="89"/>
        <v>0.57091687714568851</v>
      </c>
      <c r="BC121">
        <f t="shared" si="90"/>
        <v>-4.7771603744520341</v>
      </c>
      <c r="BD121">
        <f t="shared" si="91"/>
        <v>4.7771603744520341</v>
      </c>
      <c r="BE121" s="40">
        <f t="shared" si="92"/>
        <v>-6.6925959311286682</v>
      </c>
      <c r="BF121" s="40">
        <f t="shared" si="93"/>
        <v>-1.635567720862241</v>
      </c>
      <c r="BG121">
        <f t="shared" si="94"/>
        <v>-1.635567720862241</v>
      </c>
    </row>
    <row r="122" spans="1:59" x14ac:dyDescent="0.25">
      <c r="AS122">
        <v>-1.0471975511966092</v>
      </c>
      <c r="AT122">
        <v>-17.287230698899222</v>
      </c>
      <c r="AU122">
        <v>-279.88650038067152</v>
      </c>
      <c r="AV122">
        <f t="shared" si="83"/>
        <v>-1.6324831092820258</v>
      </c>
      <c r="AW122">
        <f t="shared" si="84"/>
        <v>0.5852855580854166</v>
      </c>
      <c r="AX122" s="40">
        <f t="shared" si="85"/>
        <v>-4.7740757628718189</v>
      </c>
      <c r="AY122">
        <f t="shared" si="86"/>
        <v>4.7740757628718189</v>
      </c>
      <c r="AZ122">
        <f t="shared" si="87"/>
        <v>5.2359877559829773</v>
      </c>
      <c r="BA122">
        <f t="shared" si="88"/>
        <v>-1.6324831092820258</v>
      </c>
      <c r="BB122">
        <f t="shared" si="89"/>
        <v>0.5852855580854166</v>
      </c>
      <c r="BC122">
        <f t="shared" si="90"/>
        <v>-4.7740757628718189</v>
      </c>
      <c r="BD122">
        <f t="shared" si="91"/>
        <v>4.7740757628718189</v>
      </c>
      <c r="BE122" s="40">
        <f t="shared" si="92"/>
        <v>-6.6956805427088835</v>
      </c>
      <c r="BF122" s="40">
        <f t="shared" si="93"/>
        <v>-1.6324831092820258</v>
      </c>
      <c r="BG122">
        <f t="shared" si="94"/>
        <v>-1.6324831092820258</v>
      </c>
    </row>
    <row r="123" spans="1:59" x14ac:dyDescent="0.25">
      <c r="A123" t="s">
        <v>128</v>
      </c>
      <c r="AS123">
        <v>-1.0297442586766659</v>
      </c>
      <c r="AT123">
        <v>-16.434627667165685</v>
      </c>
      <c r="AU123">
        <v>-279.43947937179752</v>
      </c>
      <c r="AV123">
        <f t="shared" si="83"/>
        <v>-1.6295414908082333</v>
      </c>
      <c r="AW123">
        <f t="shared" si="84"/>
        <v>0.59979723213156744</v>
      </c>
      <c r="AX123" s="40">
        <f t="shared" si="85"/>
        <v>-4.771134144398026</v>
      </c>
      <c r="AY123">
        <f t="shared" si="86"/>
        <v>4.771134144398026</v>
      </c>
      <c r="AZ123">
        <f t="shared" si="87"/>
        <v>5.2534410485029204</v>
      </c>
      <c r="BA123">
        <f t="shared" si="88"/>
        <v>-1.6295414908082333</v>
      </c>
      <c r="BB123">
        <f t="shared" si="89"/>
        <v>0.59979723213156744</v>
      </c>
      <c r="BC123">
        <f t="shared" si="90"/>
        <v>-4.771134144398026</v>
      </c>
      <c r="BD123">
        <f t="shared" si="91"/>
        <v>4.771134144398026</v>
      </c>
      <c r="BE123" s="40">
        <f t="shared" si="92"/>
        <v>-6.6986221611826764</v>
      </c>
      <c r="BF123" s="40">
        <f t="shared" si="93"/>
        <v>-1.6295414908082329</v>
      </c>
      <c r="BG123">
        <f t="shared" si="94"/>
        <v>-1.6295414908082329</v>
      </c>
    </row>
    <row r="124" spans="1:59" x14ac:dyDescent="0.25">
      <c r="AS124">
        <v>-1.0122909661567225</v>
      </c>
      <c r="AT124">
        <v>-15.621411655905989</v>
      </c>
      <c r="AU124">
        <v>-278.99469812235259</v>
      </c>
      <c r="AV124">
        <f t="shared" si="83"/>
        <v>-1.6267297105018823</v>
      </c>
      <c r="AW124">
        <f t="shared" si="84"/>
        <v>0.61443874434515977</v>
      </c>
      <c r="AX124" s="40">
        <f t="shared" si="85"/>
        <v>-4.7683223640916754</v>
      </c>
      <c r="AY124">
        <f t="shared" si="86"/>
        <v>4.7683223640916754</v>
      </c>
      <c r="AZ124">
        <f t="shared" si="87"/>
        <v>5.2708943410228635</v>
      </c>
      <c r="BA124">
        <f t="shared" si="88"/>
        <v>-1.6267297105018823</v>
      </c>
      <c r="BB124">
        <f t="shared" si="89"/>
        <v>0.61443874434515977</v>
      </c>
      <c r="BC124">
        <f t="shared" si="90"/>
        <v>-4.7683223640916754</v>
      </c>
      <c r="BD124">
        <f t="shared" si="91"/>
        <v>4.7683223640916754</v>
      </c>
      <c r="BE124" s="40">
        <f t="shared" si="92"/>
        <v>-6.7014339414890269</v>
      </c>
      <c r="BF124" s="40">
        <f t="shared" si="93"/>
        <v>-1.6267297105018823</v>
      </c>
      <c r="BG124">
        <f t="shared" si="94"/>
        <v>-1.6267297105018823</v>
      </c>
    </row>
    <row r="125" spans="1:59" x14ac:dyDescent="0.25">
      <c r="A125" s="8" t="s">
        <v>134</v>
      </c>
      <c r="B125" s="3">
        <f ca="1">B119</f>
        <v>-3.250467989517035</v>
      </c>
      <c r="C125" s="1" t="str">
        <f>"+ t ( "</f>
        <v xml:space="preserve">+ t ( </v>
      </c>
      <c r="D125" s="1">
        <f ca="1">J119</f>
        <v>-6</v>
      </c>
      <c r="E125" s="1" t="s">
        <v>129</v>
      </c>
      <c r="F125" s="3">
        <f ca="1">B119</f>
        <v>-3.250467989517035</v>
      </c>
      <c r="G125" s="1" t="s">
        <v>130</v>
      </c>
      <c r="AS125">
        <v>-0.99483767363677922</v>
      </c>
      <c r="AT125">
        <v>-14.844034647866501</v>
      </c>
      <c r="AU125">
        <v>-278.55137476553818</v>
      </c>
      <c r="AV125">
        <f t="shared" si="83"/>
        <v>-1.6240360819801856</v>
      </c>
      <c r="AW125">
        <f t="shared" si="84"/>
        <v>0.62919840834340635</v>
      </c>
      <c r="AX125" s="40">
        <f t="shared" si="85"/>
        <v>-4.7656287355699787</v>
      </c>
      <c r="AY125">
        <f t="shared" si="86"/>
        <v>4.7656287355699787</v>
      </c>
      <c r="AZ125">
        <f t="shared" si="87"/>
        <v>5.2883476335428075</v>
      </c>
      <c r="BA125">
        <f t="shared" si="88"/>
        <v>-1.6240360819801856</v>
      </c>
      <c r="BB125">
        <f t="shared" si="89"/>
        <v>0.62919840834340635</v>
      </c>
      <c r="BC125">
        <f t="shared" si="90"/>
        <v>-4.7656287355699787</v>
      </c>
      <c r="BD125">
        <f t="shared" si="91"/>
        <v>4.7656287355699787</v>
      </c>
      <c r="BE125" s="40">
        <f t="shared" si="92"/>
        <v>-6.7041275700107237</v>
      </c>
      <c r="BF125" s="40">
        <f t="shared" si="93"/>
        <v>-1.6240360819801856</v>
      </c>
      <c r="BG125">
        <f t="shared" si="94"/>
        <v>-1.6240360819801856</v>
      </c>
    </row>
    <row r="126" spans="1:59" x14ac:dyDescent="0.25">
      <c r="A126" s="8" t="s">
        <v>135</v>
      </c>
      <c r="B126" s="3">
        <f ca="1">B120</f>
        <v>15.584425308873081</v>
      </c>
      <c r="D126" s="1">
        <f ca="1">J120</f>
        <v>22</v>
      </c>
      <c r="F126" s="3">
        <f ca="1">B120</f>
        <v>15.584425308873081</v>
      </c>
      <c r="AS126">
        <v>-0.9773843811168359</v>
      </c>
      <c r="AT126">
        <v>-14.099340512625149</v>
      </c>
      <c r="AU126">
        <v>-278.10875803440672</v>
      </c>
      <c r="AV126">
        <f t="shared" si="83"/>
        <v>-1.6214501781641615</v>
      </c>
      <c r="AW126">
        <f t="shared" si="84"/>
        <v>0.64406579704732558</v>
      </c>
      <c r="AX126" s="40">
        <f t="shared" si="85"/>
        <v>-4.763042831753955</v>
      </c>
      <c r="AY126">
        <f t="shared" si="86"/>
        <v>4.763042831753955</v>
      </c>
      <c r="AZ126">
        <f t="shared" si="87"/>
        <v>5.3058009260627506</v>
      </c>
      <c r="BA126">
        <f t="shared" si="88"/>
        <v>-1.6214501781641615</v>
      </c>
      <c r="BB126">
        <f t="shared" si="89"/>
        <v>0.64406579704732558</v>
      </c>
      <c r="BC126">
        <f t="shared" si="90"/>
        <v>-4.763042831753955</v>
      </c>
      <c r="BD126">
        <f t="shared" si="91"/>
        <v>4.763042831753955</v>
      </c>
      <c r="BE126" s="40">
        <f t="shared" si="92"/>
        <v>-6.7067134738267473</v>
      </c>
      <c r="BF126" s="40">
        <f t="shared" si="93"/>
        <v>-1.6214501781641619</v>
      </c>
      <c r="BG126">
        <f t="shared" si="94"/>
        <v>-1.6214501781641619</v>
      </c>
    </row>
    <row r="127" spans="1:59" x14ac:dyDescent="0.25">
      <c r="A127" s="8" t="s">
        <v>75</v>
      </c>
      <c r="B127" s="3">
        <f ca="1">B115</f>
        <v>1736.15</v>
      </c>
      <c r="D127" s="1">
        <f ca="1">J115</f>
        <v>-216</v>
      </c>
      <c r="F127" s="3">
        <f ca="1">B115</f>
        <v>1736.15</v>
      </c>
      <c r="AS127">
        <v>-0.95993108859689258</v>
      </c>
      <c r="AT127">
        <v>-13.321569820015208</v>
      </c>
      <c r="AU127">
        <v>-277.42242662475564</v>
      </c>
      <c r="AV127">
        <f t="shared" si="83"/>
        <v>-1.618778550234516</v>
      </c>
      <c r="AW127">
        <f t="shared" si="84"/>
        <v>0.65884746163762342</v>
      </c>
      <c r="AX127" s="40">
        <f t="shared" si="85"/>
        <v>-4.7603712038243096</v>
      </c>
      <c r="AY127">
        <f t="shared" si="86"/>
        <v>4.7603712038243096</v>
      </c>
      <c r="AZ127">
        <f t="shared" si="87"/>
        <v>5.3232542185826937</v>
      </c>
      <c r="BA127">
        <f t="shared" si="88"/>
        <v>-1.618778550234516</v>
      </c>
      <c r="BB127">
        <f t="shared" si="89"/>
        <v>0.65884746163762342</v>
      </c>
      <c r="BC127">
        <f t="shared" si="90"/>
        <v>-4.7603712038243096</v>
      </c>
      <c r="BD127">
        <f t="shared" si="91"/>
        <v>4.7603712038243096</v>
      </c>
      <c r="BE127" s="40">
        <f t="shared" si="92"/>
        <v>-6.7093851017563928</v>
      </c>
      <c r="BF127" s="40">
        <f t="shared" si="93"/>
        <v>-1.6187785502345164</v>
      </c>
      <c r="BG127">
        <f t="shared" si="94"/>
        <v>-1.6187785502345164</v>
      </c>
    </row>
    <row r="128" spans="1:59" x14ac:dyDescent="0.25">
      <c r="AS128">
        <v>-0.94247779607694926</v>
      </c>
      <c r="AT128">
        <v>-12.383866170360228</v>
      </c>
      <c r="AU128">
        <v>-275.97051308822961</v>
      </c>
      <c r="AV128">
        <f t="shared" si="83"/>
        <v>-1.6156401173241444</v>
      </c>
      <c r="AW128">
        <f t="shared" si="84"/>
        <v>0.67316232124719511</v>
      </c>
      <c r="AX128" s="40">
        <f t="shared" si="85"/>
        <v>-4.7572327709139373</v>
      </c>
      <c r="AY128">
        <f t="shared" si="86"/>
        <v>4.7572327709139373</v>
      </c>
      <c r="AZ128">
        <f t="shared" si="87"/>
        <v>5.3407075111026368</v>
      </c>
      <c r="BA128">
        <f t="shared" si="88"/>
        <v>-1.6156401173241444</v>
      </c>
      <c r="BB128">
        <f t="shared" si="89"/>
        <v>0.67316232124719511</v>
      </c>
      <c r="BC128">
        <f t="shared" si="90"/>
        <v>-4.7572327709139373</v>
      </c>
      <c r="BD128">
        <f t="shared" si="91"/>
        <v>4.7572327709139373</v>
      </c>
      <c r="BE128" s="40">
        <f t="shared" si="92"/>
        <v>-6.7125235346667651</v>
      </c>
      <c r="BF128" s="40">
        <f t="shared" si="93"/>
        <v>-1.6156401173241441</v>
      </c>
      <c r="BG128">
        <f t="shared" si="94"/>
        <v>-1.6156401173241441</v>
      </c>
    </row>
    <row r="129" spans="1:59" x14ac:dyDescent="0.25">
      <c r="A129" s="15" t="s">
        <v>131</v>
      </c>
      <c r="AS129">
        <v>-0.92502450355700594</v>
      </c>
      <c r="AT129">
        <v>-11.496039443282438</v>
      </c>
      <c r="AU129">
        <v>-274.55373776070019</v>
      </c>
      <c r="AV129">
        <f t="shared" si="83"/>
        <v>-1.6126436101379886</v>
      </c>
      <c r="AW129">
        <f t="shared" si="84"/>
        <v>0.68761910658098269</v>
      </c>
      <c r="AX129" s="40">
        <f t="shared" si="85"/>
        <v>-4.7542362637277815</v>
      </c>
      <c r="AY129">
        <f t="shared" si="86"/>
        <v>4.7542362637277815</v>
      </c>
      <c r="AZ129">
        <f t="shared" si="87"/>
        <v>5.3581608036225798</v>
      </c>
      <c r="BA129">
        <f t="shared" si="88"/>
        <v>-1.6126436101379886</v>
      </c>
      <c r="BB129">
        <f t="shared" si="89"/>
        <v>0.68761910658098269</v>
      </c>
      <c r="BC129">
        <f t="shared" si="90"/>
        <v>-4.7542362637277815</v>
      </c>
      <c r="BD129">
        <f t="shared" si="91"/>
        <v>4.7542362637277815</v>
      </c>
      <c r="BE129" s="40">
        <f t="shared" si="92"/>
        <v>-6.7155200418529208</v>
      </c>
      <c r="BF129" s="40">
        <f t="shared" si="93"/>
        <v>-1.6126436101379884</v>
      </c>
      <c r="BG129">
        <f t="shared" si="94"/>
        <v>-1.6126436101379884</v>
      </c>
    </row>
    <row r="130" spans="1:59" x14ac:dyDescent="0.25">
      <c r="A130" s="8" t="s">
        <v>133</v>
      </c>
      <c r="B130" s="1">
        <f>U10</f>
        <v>0</v>
      </c>
      <c r="AS130">
        <v>-0.90757121103706262</v>
      </c>
      <c r="AT130">
        <v>-10.653936729083</v>
      </c>
      <c r="AU130">
        <v>-273.16912960619675</v>
      </c>
      <c r="AV130">
        <f t="shared" si="83"/>
        <v>-1.6097778170452155</v>
      </c>
      <c r="AW130">
        <f t="shared" si="84"/>
        <v>0.70220660600815288</v>
      </c>
      <c r="AX130" s="40">
        <f t="shared" si="85"/>
        <v>-4.7513704706350088</v>
      </c>
      <c r="AY130">
        <f t="shared" si="86"/>
        <v>4.7513704706350088</v>
      </c>
      <c r="AZ130">
        <f t="shared" si="87"/>
        <v>5.3756140961425238</v>
      </c>
      <c r="BA130">
        <f t="shared" si="88"/>
        <v>-1.6097778170452155</v>
      </c>
      <c r="BB130">
        <f t="shared" si="89"/>
        <v>0.70220660600815288</v>
      </c>
      <c r="BC130">
        <f t="shared" si="90"/>
        <v>-4.7513704706350088</v>
      </c>
      <c r="BD130">
        <f t="shared" si="91"/>
        <v>4.7513704706350088</v>
      </c>
      <c r="BE130" s="40">
        <f t="shared" si="92"/>
        <v>-6.7183858349456935</v>
      </c>
      <c r="BF130" s="40">
        <f t="shared" si="93"/>
        <v>-1.6097778170452157</v>
      </c>
      <c r="BG130">
        <f t="shared" si="94"/>
        <v>-1.6097778170452157</v>
      </c>
    </row>
    <row r="131" spans="1:59" x14ac:dyDescent="0.25">
      <c r="A131" s="8" t="s">
        <v>132</v>
      </c>
      <c r="B131">
        <f ca="1">(U10-B127)/(D127-F127)</f>
        <v>0.88935276490023818</v>
      </c>
      <c r="AS131">
        <v>-0.8901179185171193</v>
      </c>
      <c r="AT131">
        <v>-9.8538405301371821</v>
      </c>
      <c r="AU131">
        <v>-271.81393751290238</v>
      </c>
      <c r="AV131">
        <f t="shared" ref="AV131:AV194" si="132">ATAN2(AT131,AU131)</f>
        <v>-1.6070326115148477</v>
      </c>
      <c r="AW131">
        <f t="shared" ref="AW131:AW194" si="133">ABS(AS131-AV131)</f>
        <v>0.71691469299772836</v>
      </c>
      <c r="AX131" s="40">
        <f t="shared" ref="AX131:AX194" si="134">AV131-$U$13</f>
        <v>-4.748625265104641</v>
      </c>
      <c r="AY131">
        <f t="shared" ref="AY131:AY194" si="135">ABS(AX131)</f>
        <v>4.748625265104641</v>
      </c>
      <c r="AZ131">
        <f t="shared" ref="AZ131:AZ182" si="136">AS131+(2*PI())</f>
        <v>5.3930673886624669</v>
      </c>
      <c r="BA131">
        <f t="shared" ref="BA131:BA182" si="137">AV131</f>
        <v>-1.6070326115148477</v>
      </c>
      <c r="BB131">
        <f t="shared" ref="BB131:BB182" si="138">AW131</f>
        <v>0.71691469299772836</v>
      </c>
      <c r="BC131">
        <f t="shared" ref="BC131:BC182" si="139">AX131</f>
        <v>-4.748625265104641</v>
      </c>
      <c r="BD131">
        <f t="shared" ref="BD131:BD182" si="140">AY131</f>
        <v>4.748625265104641</v>
      </c>
      <c r="BE131" s="40">
        <f t="shared" ref="BE131:BE182" si="141">(-1*AX131)-(2*$AY$2)</f>
        <v>-6.7211310404760614</v>
      </c>
      <c r="BF131" s="40">
        <f t="shared" ref="BF131:BF194" si="142">AX131+$BJ$4</f>
        <v>-1.6070326115148479</v>
      </c>
      <c r="BG131">
        <f t="shared" ref="BG131:BG182" si="143">BC131+$BJ$4</f>
        <v>-1.6070326115148479</v>
      </c>
    </row>
    <row r="132" spans="1:59" x14ac:dyDescent="0.25">
      <c r="A132" s="8" t="s">
        <v>136</v>
      </c>
      <c r="B132">
        <f ca="1">B125+(B131*(D125-F125))</f>
        <v>-5.6957718852217702</v>
      </c>
      <c r="AS132">
        <v>-0.87266462599717598</v>
      </c>
      <c r="AT132">
        <v>-9.0924128693323496</v>
      </c>
      <c r="AU132">
        <v>-270.48560276099386</v>
      </c>
      <c r="AV132">
        <f t="shared" si="132"/>
        <v>-1.6043988193284735</v>
      </c>
      <c r="AW132">
        <f t="shared" si="133"/>
        <v>0.73173419333129752</v>
      </c>
      <c r="AX132" s="40">
        <f t="shared" si="134"/>
        <v>-4.7459914729182664</v>
      </c>
      <c r="AY132">
        <f t="shared" si="135"/>
        <v>4.7459914729182664</v>
      </c>
      <c r="AZ132">
        <f t="shared" si="136"/>
        <v>5.41052068118241</v>
      </c>
      <c r="BA132">
        <f t="shared" si="137"/>
        <v>-1.6043988193284735</v>
      </c>
      <c r="BB132">
        <f t="shared" si="138"/>
        <v>0.73173419333129752</v>
      </c>
      <c r="BC132">
        <f t="shared" si="139"/>
        <v>-4.7459914729182664</v>
      </c>
      <c r="BD132">
        <f t="shared" si="140"/>
        <v>4.7459914729182664</v>
      </c>
      <c r="BE132" s="40">
        <f t="shared" si="141"/>
        <v>-6.723764832662436</v>
      </c>
      <c r="BF132" s="40">
        <f t="shared" si="142"/>
        <v>-1.6043988193284733</v>
      </c>
      <c r="BG132">
        <f t="shared" si="143"/>
        <v>-1.6043988193284733</v>
      </c>
    </row>
    <row r="133" spans="1:59" x14ac:dyDescent="0.25">
      <c r="A133" s="8" t="s">
        <v>137</v>
      </c>
      <c r="B133">
        <f ca="1">B126+(B131*(D126-F126))</f>
        <v>21.290134398850796</v>
      </c>
      <c r="AS133">
        <v>-0.85521133347723266</v>
      </c>
      <c r="AT133">
        <v>-8.3666476901404678</v>
      </c>
      <c r="AU133">
        <v>-269.18173477265009</v>
      </c>
      <c r="AV133">
        <f t="shared" si="132"/>
        <v>-1.6018681043145433</v>
      </c>
      <c r="AW133">
        <f t="shared" si="133"/>
        <v>0.74665677083731063</v>
      </c>
      <c r="AX133" s="40">
        <f t="shared" si="134"/>
        <v>-4.7434607579043364</v>
      </c>
      <c r="AY133">
        <f t="shared" si="135"/>
        <v>4.7434607579043364</v>
      </c>
      <c r="AZ133">
        <f t="shared" si="136"/>
        <v>5.427973973702354</v>
      </c>
      <c r="BA133">
        <f t="shared" si="137"/>
        <v>-1.6018681043145433</v>
      </c>
      <c r="BB133">
        <f t="shared" si="138"/>
        <v>0.74665677083731063</v>
      </c>
      <c r="BC133">
        <f t="shared" si="139"/>
        <v>-4.7434607579043364</v>
      </c>
      <c r="BD133">
        <f t="shared" si="140"/>
        <v>4.7434607579043364</v>
      </c>
      <c r="BE133" s="40">
        <f t="shared" si="141"/>
        <v>-6.7262955476763659</v>
      </c>
      <c r="BF133" s="40">
        <f t="shared" si="142"/>
        <v>-1.6018681043145433</v>
      </c>
      <c r="BG133">
        <f t="shared" si="143"/>
        <v>-1.6018681043145433</v>
      </c>
    </row>
    <row r="134" spans="1:59" x14ac:dyDescent="0.25">
      <c r="AS134">
        <v>-0.83775804095728934</v>
      </c>
      <c r="AT134">
        <v>-7.6738301529068735</v>
      </c>
      <c r="AU134">
        <v>-267.90008959736838</v>
      </c>
      <c r="AV134">
        <f t="shared" si="132"/>
        <v>-1.5994328696352538</v>
      </c>
      <c r="AW134">
        <f t="shared" si="133"/>
        <v>0.76167482867796443</v>
      </c>
      <c r="AX134" s="40">
        <f t="shared" si="134"/>
        <v>-4.7410255232250469</v>
      </c>
      <c r="AY134">
        <f t="shared" si="135"/>
        <v>4.7410255232250469</v>
      </c>
      <c r="AZ134">
        <f t="shared" si="136"/>
        <v>5.4454272662222971</v>
      </c>
      <c r="BA134">
        <f t="shared" si="137"/>
        <v>-1.5994328696352538</v>
      </c>
      <c r="BB134">
        <f t="shared" si="138"/>
        <v>0.76167482867796443</v>
      </c>
      <c r="BC134">
        <f t="shared" si="139"/>
        <v>-4.7410255232250469</v>
      </c>
      <c r="BD134">
        <f t="shared" si="140"/>
        <v>4.7410255232250469</v>
      </c>
      <c r="BE134" s="40">
        <f t="shared" si="141"/>
        <v>-6.7287307823556555</v>
      </c>
      <c r="BF134" s="40">
        <f t="shared" si="142"/>
        <v>-1.5994328696352538</v>
      </c>
      <c r="BG134">
        <f t="shared" si="143"/>
        <v>-1.5994328696352538</v>
      </c>
    </row>
    <row r="135" spans="1:59" x14ac:dyDescent="0.25">
      <c r="A135" s="8"/>
      <c r="AS135">
        <v>-0.82030474843734602</v>
      </c>
      <c r="AT135">
        <v>-7.0115015676990931</v>
      </c>
      <c r="AU135">
        <v>-266.6385506647855</v>
      </c>
      <c r="AV135">
        <f t="shared" si="132"/>
        <v>-1.5970861717133729</v>
      </c>
      <c r="AW135">
        <f t="shared" si="133"/>
        <v>0.77678142327602684</v>
      </c>
      <c r="AX135" s="40">
        <f t="shared" si="134"/>
        <v>-4.7386788253031664</v>
      </c>
      <c r="AY135">
        <f t="shared" si="135"/>
        <v>4.7386788253031664</v>
      </c>
      <c r="AZ135">
        <f t="shared" si="136"/>
        <v>5.4628805587422402</v>
      </c>
      <c r="BA135">
        <f t="shared" si="137"/>
        <v>-1.5970861717133729</v>
      </c>
      <c r="BB135">
        <f t="shared" si="138"/>
        <v>0.77678142327602684</v>
      </c>
      <c r="BC135">
        <f t="shared" si="139"/>
        <v>-4.7386788253031664</v>
      </c>
      <c r="BD135">
        <f t="shared" si="140"/>
        <v>4.7386788253031664</v>
      </c>
      <c r="BE135" s="40">
        <f t="shared" si="141"/>
        <v>-6.7310774802775359</v>
      </c>
      <c r="BF135" s="40">
        <f t="shared" si="142"/>
        <v>-1.5970861717133733</v>
      </c>
      <c r="BG135">
        <f t="shared" si="143"/>
        <v>-1.5970861717133733</v>
      </c>
    </row>
    <row r="136" spans="1:59" x14ac:dyDescent="0.25">
      <c r="A136" s="8"/>
      <c r="AS136">
        <v>-0.8028514559174027</v>
      </c>
      <c r="AT136">
        <v>-6.3774292436291837</v>
      </c>
      <c r="AU136">
        <v>-265.39511142488197</v>
      </c>
      <c r="AV136">
        <f t="shared" si="132"/>
        <v>-1.5948216455390949</v>
      </c>
      <c r="AW136">
        <f t="shared" si="133"/>
        <v>0.79197018962169219</v>
      </c>
      <c r="AX136" s="40">
        <f t="shared" si="134"/>
        <v>-4.7364142991288878</v>
      </c>
      <c r="AY136">
        <f t="shared" si="135"/>
        <v>4.7364142991288878</v>
      </c>
      <c r="AZ136">
        <f t="shared" si="136"/>
        <v>5.4803338512621833</v>
      </c>
      <c r="BA136">
        <f t="shared" si="137"/>
        <v>-1.5948216455390949</v>
      </c>
      <c r="BB136">
        <f t="shared" si="138"/>
        <v>0.79197018962169219</v>
      </c>
      <c r="BC136">
        <f t="shared" si="139"/>
        <v>-4.7364142991288878</v>
      </c>
      <c r="BD136">
        <f t="shared" si="140"/>
        <v>4.7364142991288878</v>
      </c>
      <c r="BE136" s="40">
        <f t="shared" si="141"/>
        <v>-6.7333420064518146</v>
      </c>
      <c r="BF136" s="40">
        <f t="shared" si="142"/>
        <v>-1.5948216455390947</v>
      </c>
      <c r="BG136">
        <f t="shared" si="143"/>
        <v>-1.5948216455390947</v>
      </c>
    </row>
    <row r="137" spans="1:59" x14ac:dyDescent="0.25">
      <c r="AS137">
        <v>-0.78539816339745938</v>
      </c>
      <c r="AT137">
        <v>-5.7695802431573782</v>
      </c>
      <c r="AU137">
        <v>-264.16785952327274</v>
      </c>
      <c r="AV137">
        <f t="shared" si="132"/>
        <v>-1.5926334387412246</v>
      </c>
      <c r="AW137">
        <f t="shared" si="133"/>
        <v>0.80723527534376527</v>
      </c>
      <c r="AX137" s="40">
        <f t="shared" si="134"/>
        <v>-4.734226092331018</v>
      </c>
      <c r="AY137">
        <f t="shared" si="135"/>
        <v>4.734226092331018</v>
      </c>
      <c r="AZ137">
        <f t="shared" si="136"/>
        <v>5.4977871437821264</v>
      </c>
      <c r="BA137">
        <f t="shared" si="137"/>
        <v>-1.5926334387412246</v>
      </c>
      <c r="BB137">
        <f t="shared" si="138"/>
        <v>0.80723527534376527</v>
      </c>
      <c r="BC137">
        <f t="shared" si="139"/>
        <v>-4.734226092331018</v>
      </c>
      <c r="BD137">
        <f t="shared" si="140"/>
        <v>4.734226092331018</v>
      </c>
      <c r="BE137" s="40">
        <f t="shared" si="141"/>
        <v>-6.7355302132496844</v>
      </c>
      <c r="BF137" s="40">
        <f t="shared" si="142"/>
        <v>-1.5926334387412249</v>
      </c>
      <c r="BG137">
        <f t="shared" si="143"/>
        <v>-1.5926334387412249</v>
      </c>
    </row>
    <row r="138" spans="1:59" x14ac:dyDescent="0.25">
      <c r="AS138">
        <v>-0.76794487087751606</v>
      </c>
      <c r="AT138">
        <v>-5.1860987329162747</v>
      </c>
      <c r="AU138">
        <v>-262.95496223621342</v>
      </c>
      <c r="AV138">
        <f t="shared" si="132"/>
        <v>-1.5905161542103257</v>
      </c>
      <c r="AW138">
        <f t="shared" si="133"/>
        <v>0.8225712833328096</v>
      </c>
      <c r="AX138" s="40">
        <f t="shared" si="134"/>
        <v>-4.7321088078001186</v>
      </c>
      <c r="AY138">
        <f t="shared" si="135"/>
        <v>4.7321088078001186</v>
      </c>
      <c r="AZ138">
        <f t="shared" si="136"/>
        <v>5.5152404363020704</v>
      </c>
      <c r="BA138">
        <f t="shared" si="137"/>
        <v>-1.5905161542103257</v>
      </c>
      <c r="BB138">
        <f t="shared" si="138"/>
        <v>0.8225712833328096</v>
      </c>
      <c r="BC138">
        <f t="shared" si="139"/>
        <v>-4.7321088078001186</v>
      </c>
      <c r="BD138">
        <f t="shared" si="140"/>
        <v>4.7321088078001186</v>
      </c>
      <c r="BE138" s="40">
        <f t="shared" si="141"/>
        <v>-6.7376474977805838</v>
      </c>
      <c r="BF138" s="40">
        <f t="shared" si="142"/>
        <v>-1.5905161542103254</v>
      </c>
      <c r="BG138">
        <f t="shared" si="143"/>
        <v>-1.5905161542103254</v>
      </c>
    </row>
    <row r="139" spans="1:59" x14ac:dyDescent="0.25">
      <c r="AS139">
        <v>-0.75049157835757274</v>
      </c>
      <c r="AT139">
        <v>-4.6252859181307251</v>
      </c>
      <c r="AU139">
        <v>-261.75465286999599</v>
      </c>
      <c r="AV139">
        <f t="shared" si="132"/>
        <v>-1.5884647982357738</v>
      </c>
      <c r="AW139">
        <f t="shared" si="133"/>
        <v>0.83797321987820106</v>
      </c>
      <c r="AX139" s="40">
        <f t="shared" si="134"/>
        <v>-4.7300574518255667</v>
      </c>
      <c r="AY139">
        <f t="shared" si="135"/>
        <v>4.7300574518255667</v>
      </c>
      <c r="AZ139">
        <f t="shared" si="136"/>
        <v>5.5326937288220135</v>
      </c>
      <c r="BA139">
        <f t="shared" si="137"/>
        <v>-1.5884647982357738</v>
      </c>
      <c r="BB139">
        <f t="shared" si="138"/>
        <v>0.83797321987820106</v>
      </c>
      <c r="BC139">
        <f t="shared" si="139"/>
        <v>-4.7300574518255667</v>
      </c>
      <c r="BD139">
        <f t="shared" si="140"/>
        <v>4.7300574518255667</v>
      </c>
      <c r="BE139" s="40">
        <f t="shared" si="141"/>
        <v>-6.7396988537551357</v>
      </c>
      <c r="BF139" s="40">
        <f t="shared" si="142"/>
        <v>-1.5884647982357736</v>
      </c>
      <c r="BG139">
        <f t="shared" si="143"/>
        <v>-1.5884647982357736</v>
      </c>
    </row>
    <row r="140" spans="1:59" x14ac:dyDescent="0.25">
      <c r="AS140">
        <v>-0.73303828583762942</v>
      </c>
      <c r="AT140">
        <v>-4.0855827737507351</v>
      </c>
      <c r="AU140">
        <v>-260.56521792842886</v>
      </c>
      <c r="AV140">
        <f t="shared" si="132"/>
        <v>-1.5864747355952025</v>
      </c>
      <c r="AW140">
        <f t="shared" si="133"/>
        <v>0.85343644975757305</v>
      </c>
      <c r="AX140" s="40">
        <f t="shared" si="134"/>
        <v>-4.7280673891849956</v>
      </c>
      <c r="AY140">
        <f t="shared" si="135"/>
        <v>4.7280673891849956</v>
      </c>
      <c r="AZ140">
        <f t="shared" si="136"/>
        <v>5.5501470213419566</v>
      </c>
      <c r="BA140">
        <f t="shared" si="137"/>
        <v>-1.5864747355952025</v>
      </c>
      <c r="BB140">
        <f t="shared" si="138"/>
        <v>0.85343644975757305</v>
      </c>
      <c r="BC140">
        <f t="shared" si="139"/>
        <v>-4.7280673891849956</v>
      </c>
      <c r="BD140">
        <f t="shared" si="140"/>
        <v>4.7280673891849956</v>
      </c>
      <c r="BE140" s="40">
        <f t="shared" si="141"/>
        <v>-6.7416889163957068</v>
      </c>
      <c r="BF140" s="40">
        <f t="shared" si="142"/>
        <v>-1.5864747355952025</v>
      </c>
      <c r="BG140">
        <f t="shared" si="143"/>
        <v>-1.5864747355952025</v>
      </c>
    </row>
    <row r="141" spans="1:59" x14ac:dyDescent="0.25">
      <c r="AS141">
        <v>-0.7155849933176861</v>
      </c>
      <c r="AT141">
        <v>-3.5655545180019548</v>
      </c>
      <c r="AU141">
        <v>-259.38498477740717</v>
      </c>
      <c r="AV141">
        <f t="shared" si="132"/>
        <v>-1.5845416481245369</v>
      </c>
      <c r="AW141">
        <f t="shared" si="133"/>
        <v>0.8689566548068508</v>
      </c>
      <c r="AX141" s="40">
        <f t="shared" si="134"/>
        <v>-4.72613430171433</v>
      </c>
      <c r="AY141">
        <f t="shared" si="135"/>
        <v>4.72613430171433</v>
      </c>
      <c r="AZ141">
        <f t="shared" si="136"/>
        <v>5.5676003138619006</v>
      </c>
      <c r="BA141">
        <f t="shared" si="137"/>
        <v>-1.5845416481245369</v>
      </c>
      <c r="BB141">
        <f t="shared" si="138"/>
        <v>0.8689566548068508</v>
      </c>
      <c r="BC141">
        <f t="shared" si="139"/>
        <v>-4.72613430171433</v>
      </c>
      <c r="BD141">
        <f t="shared" si="140"/>
        <v>4.72613430171433</v>
      </c>
      <c r="BE141" s="40">
        <f t="shared" si="141"/>
        <v>-6.7436220038663723</v>
      </c>
      <c r="BF141" s="40">
        <f t="shared" si="142"/>
        <v>-1.5845416481245369</v>
      </c>
      <c r="BG141">
        <f t="shared" si="143"/>
        <v>-1.5845416481245369</v>
      </c>
    </row>
    <row r="142" spans="1:59" x14ac:dyDescent="0.25">
      <c r="AS142">
        <v>-0.69813170079774278</v>
      </c>
      <c r="AT142">
        <v>-3.0638770534675417</v>
      </c>
      <c r="AU142">
        <v>-258.21230962823006</v>
      </c>
      <c r="AV142">
        <f t="shared" si="132"/>
        <v>-1.5826614980435272</v>
      </c>
      <c r="AW142">
        <f t="shared" si="133"/>
        <v>0.8845297972457844</v>
      </c>
      <c r="AX142" s="40">
        <f t="shared" si="134"/>
        <v>-4.7242541516333203</v>
      </c>
      <c r="AY142">
        <f t="shared" si="135"/>
        <v>4.7242541516333203</v>
      </c>
      <c r="AZ142">
        <f t="shared" si="136"/>
        <v>5.5850536063818437</v>
      </c>
      <c r="BA142">
        <f t="shared" si="137"/>
        <v>-1.5826614980435272</v>
      </c>
      <c r="BB142">
        <f t="shared" si="138"/>
        <v>0.8845297972457844</v>
      </c>
      <c r="BC142">
        <f t="shared" si="139"/>
        <v>-4.7242541516333203</v>
      </c>
      <c r="BD142">
        <f t="shared" si="140"/>
        <v>4.7242541516333203</v>
      </c>
      <c r="BE142" s="40">
        <f t="shared" si="141"/>
        <v>-6.7455021539473821</v>
      </c>
      <c r="BF142" s="40">
        <f t="shared" si="142"/>
        <v>-1.5826614980435272</v>
      </c>
      <c r="BG142">
        <f t="shared" si="143"/>
        <v>-1.5826614980435272</v>
      </c>
    </row>
    <row r="143" spans="1:59" x14ac:dyDescent="0.25">
      <c r="AS143">
        <v>-0.68067840827779946</v>
      </c>
      <c r="AT143">
        <v>-2.5793248104880773</v>
      </c>
      <c r="AU143">
        <v>-257.04556560465085</v>
      </c>
      <c r="AV143">
        <f t="shared" si="132"/>
        <v>-1.5808304942306053</v>
      </c>
      <c r="AW143">
        <f t="shared" si="133"/>
        <v>0.90015208595280582</v>
      </c>
      <c r="AX143" s="40">
        <f t="shared" si="134"/>
        <v>-4.7224231478203986</v>
      </c>
      <c r="AY143">
        <f t="shared" si="135"/>
        <v>4.7224231478203986</v>
      </c>
      <c r="AZ143">
        <f t="shared" si="136"/>
        <v>5.6025068989017868</v>
      </c>
      <c r="BA143">
        <f t="shared" si="137"/>
        <v>-1.5808304942306053</v>
      </c>
      <c r="BB143">
        <f t="shared" si="138"/>
        <v>0.90015208595280582</v>
      </c>
      <c r="BC143">
        <f t="shared" si="139"/>
        <v>-4.7224231478203986</v>
      </c>
      <c r="BD143">
        <f t="shared" si="140"/>
        <v>4.7224231478203986</v>
      </c>
      <c r="BE143" s="40">
        <f t="shared" si="141"/>
        <v>-6.7473331577603037</v>
      </c>
      <c r="BF143" s="40">
        <f t="shared" si="142"/>
        <v>-1.5808304942306055</v>
      </c>
      <c r="BG143">
        <f t="shared" si="143"/>
        <v>-1.5808304942306055</v>
      </c>
    </row>
    <row r="144" spans="1:59" x14ac:dyDescent="0.25">
      <c r="AS144">
        <v>-0.66322511575785614</v>
      </c>
      <c r="AT144">
        <v>-2.1107599075798644</v>
      </c>
      <c r="AU144">
        <v>-255.88313068475389</v>
      </c>
      <c r="AV144">
        <f t="shared" si="132"/>
        <v>-1.5790450613970488</v>
      </c>
      <c r="AW144">
        <f t="shared" si="133"/>
        <v>0.91581994563919267</v>
      </c>
      <c r="AX144" s="40">
        <f t="shared" si="134"/>
        <v>-4.7206377149868421</v>
      </c>
      <c r="AY144">
        <f t="shared" si="135"/>
        <v>4.7206377149868421</v>
      </c>
      <c r="AZ144">
        <f t="shared" si="136"/>
        <v>5.6199601914217299</v>
      </c>
      <c r="BA144">
        <f t="shared" si="137"/>
        <v>-1.5790450613970488</v>
      </c>
      <c r="BB144">
        <f t="shared" si="138"/>
        <v>0.91581994563919267</v>
      </c>
      <c r="BC144">
        <f t="shared" si="139"/>
        <v>-4.7206377149868421</v>
      </c>
      <c r="BD144">
        <f t="shared" si="140"/>
        <v>4.7206377149868421</v>
      </c>
      <c r="BE144" s="40">
        <f t="shared" si="141"/>
        <v>-6.7491185905938602</v>
      </c>
      <c r="BF144" s="40">
        <f t="shared" si="142"/>
        <v>-1.579045061397049</v>
      </c>
      <c r="BG144">
        <f t="shared" si="143"/>
        <v>-1.579045061397049</v>
      </c>
    </row>
    <row r="145" spans="45:59" x14ac:dyDescent="0.25">
      <c r="AS145">
        <v>-0.64577182323791282</v>
      </c>
      <c r="AT145">
        <v>-1.6571222933653076</v>
      </c>
      <c r="AU145">
        <v>-254.72337527353039</v>
      </c>
      <c r="AV145">
        <f t="shared" si="132"/>
        <v>-1.5773018110847294</v>
      </c>
      <c r="AW145">
        <f t="shared" si="133"/>
        <v>0.93152998784681662</v>
      </c>
      <c r="AX145" s="40">
        <f t="shared" si="134"/>
        <v>-4.7188944646745226</v>
      </c>
      <c r="AY145">
        <f t="shared" si="135"/>
        <v>4.7188944646745226</v>
      </c>
      <c r="AZ145">
        <f t="shared" si="136"/>
        <v>5.637413483941673</v>
      </c>
      <c r="BA145">
        <f t="shared" si="137"/>
        <v>-1.5773018110847294</v>
      </c>
      <c r="BB145">
        <f t="shared" si="138"/>
        <v>0.93152998784681662</v>
      </c>
      <c r="BC145">
        <f t="shared" si="139"/>
        <v>-4.7188944646745226</v>
      </c>
      <c r="BD145">
        <f t="shared" si="140"/>
        <v>4.7188944646745226</v>
      </c>
      <c r="BE145" s="40">
        <f t="shared" si="141"/>
        <v>-6.7508618409061798</v>
      </c>
      <c r="BF145" s="40">
        <f t="shared" si="142"/>
        <v>-1.5773018110847294</v>
      </c>
      <c r="BG145">
        <f t="shared" si="143"/>
        <v>-1.5773018110847294</v>
      </c>
    </row>
    <row r="146" spans="45:59" x14ac:dyDescent="0.25">
      <c r="AS146">
        <v>-0.6283185307179695</v>
      </c>
      <c r="AT146">
        <v>-1.2174208887604663</v>
      </c>
      <c r="AU146">
        <v>-253.5646491671902</v>
      </c>
      <c r="AV146">
        <f t="shared" si="132"/>
        <v>-1.5755975147299011</v>
      </c>
      <c r="AW146">
        <f t="shared" si="133"/>
        <v>0.94727898401193156</v>
      </c>
      <c r="AX146" s="40">
        <f t="shared" si="134"/>
        <v>-4.7171901683196946</v>
      </c>
      <c r="AY146">
        <f t="shared" si="135"/>
        <v>4.7171901683196946</v>
      </c>
      <c r="AZ146">
        <f t="shared" si="136"/>
        <v>5.654866776461617</v>
      </c>
      <c r="BA146">
        <f t="shared" si="137"/>
        <v>-1.5755975147299011</v>
      </c>
      <c r="BB146">
        <f t="shared" si="138"/>
        <v>0.94727898401193156</v>
      </c>
      <c r="BC146">
        <f t="shared" si="139"/>
        <v>-4.7171901683196946</v>
      </c>
      <c r="BD146">
        <f t="shared" si="140"/>
        <v>4.7171901683196946</v>
      </c>
      <c r="BE146" s="40">
        <f t="shared" si="141"/>
        <v>-6.7525661372610077</v>
      </c>
      <c r="BF146" s="40">
        <f t="shared" si="142"/>
        <v>-1.5755975147299015</v>
      </c>
      <c r="BG146">
        <f t="shared" si="143"/>
        <v>-1.5755975147299015</v>
      </c>
    </row>
    <row r="147" spans="45:59" x14ac:dyDescent="0.25">
      <c r="AS147">
        <v>-0.61086523819802618</v>
      </c>
      <c r="AT147">
        <v>-0.7907253492041435</v>
      </c>
      <c r="AU147">
        <v>-252.40526760231913</v>
      </c>
      <c r="AV147">
        <f t="shared" si="132"/>
        <v>-1.5739290774302308</v>
      </c>
      <c r="AW147">
        <f t="shared" si="133"/>
        <v>0.96306383923220462</v>
      </c>
      <c r="AX147" s="40">
        <f t="shared" si="134"/>
        <v>-4.7155217310200239</v>
      </c>
      <c r="AY147">
        <f t="shared" si="135"/>
        <v>4.7155217310200239</v>
      </c>
      <c r="AZ147">
        <f t="shared" si="136"/>
        <v>5.67232006898156</v>
      </c>
      <c r="BA147">
        <f t="shared" si="137"/>
        <v>-1.5739290774302308</v>
      </c>
      <c r="BB147">
        <f t="shared" si="138"/>
        <v>0.96306383923220462</v>
      </c>
      <c r="BC147">
        <f t="shared" si="139"/>
        <v>-4.7155217310200239</v>
      </c>
      <c r="BD147">
        <f t="shared" si="140"/>
        <v>4.7155217310200239</v>
      </c>
      <c r="BE147" s="40">
        <f t="shared" si="141"/>
        <v>-6.7542345745606784</v>
      </c>
      <c r="BF147" s="40">
        <f t="shared" si="142"/>
        <v>-1.5739290774302308</v>
      </c>
      <c r="BG147">
        <f t="shared" si="143"/>
        <v>-1.5739290774302308</v>
      </c>
    </row>
    <row r="148" spans="45:59" x14ac:dyDescent="0.25">
      <c r="AS148">
        <v>-0.59341194567808286</v>
      </c>
      <c r="AT148">
        <v>-0.37615849901978327</v>
      </c>
      <c r="AU148">
        <v>-251.2434960735319</v>
      </c>
      <c r="AV148">
        <f t="shared" si="132"/>
        <v>-1.5722935126876145</v>
      </c>
      <c r="AW148">
        <f t="shared" si="133"/>
        <v>0.97888156700953166</v>
      </c>
      <c r="AX148" s="40">
        <f t="shared" si="134"/>
        <v>-4.7138861662774074</v>
      </c>
      <c r="AY148">
        <f t="shared" si="135"/>
        <v>4.7138861662774074</v>
      </c>
      <c r="AZ148">
        <f t="shared" si="136"/>
        <v>5.6897733615015031</v>
      </c>
      <c r="BA148">
        <f t="shared" si="137"/>
        <v>-1.5722935126876145</v>
      </c>
      <c r="BB148">
        <f t="shared" si="138"/>
        <v>0.97888156700953166</v>
      </c>
      <c r="BC148">
        <f t="shared" si="139"/>
        <v>-4.7138861662774074</v>
      </c>
      <c r="BD148">
        <f t="shared" si="140"/>
        <v>4.7138861662774074</v>
      </c>
      <c r="BE148" s="40">
        <f t="shared" si="141"/>
        <v>-6.7558701393032949</v>
      </c>
      <c r="BF148" s="40">
        <f t="shared" si="142"/>
        <v>-1.5722935126876143</v>
      </c>
      <c r="BG148">
        <f t="shared" si="143"/>
        <v>-1.5722935126876143</v>
      </c>
    </row>
    <row r="149" spans="45:59" x14ac:dyDescent="0.25">
      <c r="AS149">
        <v>-0.57595865315813954</v>
      </c>
      <c r="AT149">
        <v>2.7110883225759608E-2</v>
      </c>
      <c r="AU149">
        <v>-250.07753350772316</v>
      </c>
      <c r="AV149">
        <f t="shared" si="132"/>
        <v>-1.5706879168840211</v>
      </c>
      <c r="AW149">
        <f t="shared" si="133"/>
        <v>0.99472926372588155</v>
      </c>
      <c r="AX149" s="40">
        <f t="shared" si="134"/>
        <v>-4.7122805704738138</v>
      </c>
      <c r="AY149">
        <f t="shared" si="135"/>
        <v>4.7122805704738138</v>
      </c>
      <c r="AZ149">
        <f t="shared" si="136"/>
        <v>5.7072266540214471</v>
      </c>
      <c r="BA149">
        <f t="shared" si="137"/>
        <v>-1.5706879168840211</v>
      </c>
      <c r="BB149">
        <f t="shared" si="138"/>
        <v>0.99472926372588155</v>
      </c>
      <c r="BC149">
        <f t="shared" si="139"/>
        <v>-4.7122805704738138</v>
      </c>
      <c r="BD149">
        <f t="shared" si="140"/>
        <v>4.7122805704738138</v>
      </c>
      <c r="BE149" s="40">
        <f t="shared" si="141"/>
        <v>-6.7574757351068886</v>
      </c>
      <c r="BF149" s="40">
        <f t="shared" si="142"/>
        <v>-1.5706879168840207</v>
      </c>
      <c r="BG149">
        <f t="shared" si="143"/>
        <v>-1.5706879168840207</v>
      </c>
    </row>
    <row r="150" spans="45:59" x14ac:dyDescent="0.25">
      <c r="AS150">
        <v>-0.55850536063819622</v>
      </c>
      <c r="AT150">
        <v>0.4198748025248733</v>
      </c>
      <c r="AU150">
        <v>-248.90549334288397</v>
      </c>
      <c r="AV150">
        <f t="shared" si="132"/>
        <v>-1.569109443959873</v>
      </c>
      <c r="AW150">
        <f t="shared" si="133"/>
        <v>1.0106040833216767</v>
      </c>
      <c r="AX150" s="40">
        <f t="shared" si="134"/>
        <v>-4.7107020975496656</v>
      </c>
      <c r="AY150">
        <f t="shared" si="135"/>
        <v>4.7107020975496656</v>
      </c>
      <c r="AZ150">
        <f t="shared" si="136"/>
        <v>5.7246799465413902</v>
      </c>
      <c r="BA150">
        <f t="shared" si="137"/>
        <v>-1.569109443959873</v>
      </c>
      <c r="BB150">
        <f t="shared" si="138"/>
        <v>1.0106040833216767</v>
      </c>
      <c r="BC150">
        <f t="shared" si="139"/>
        <v>-4.7107020975496656</v>
      </c>
      <c r="BD150">
        <f t="shared" si="140"/>
        <v>4.7107020975496656</v>
      </c>
      <c r="BE150" s="40">
        <f t="shared" si="141"/>
        <v>-6.7590542080310367</v>
      </c>
      <c r="BF150" s="40">
        <f t="shared" si="142"/>
        <v>-1.5691094439598725</v>
      </c>
      <c r="BG150">
        <f t="shared" si="143"/>
        <v>-1.5691094439598725</v>
      </c>
    </row>
    <row r="151" spans="45:59" x14ac:dyDescent="0.25">
      <c r="AS151">
        <v>-0.5410520681182529</v>
      </c>
      <c r="AT151">
        <v>0.80289281757984554</v>
      </c>
      <c r="AU151">
        <v>-247.72538188852599</v>
      </c>
      <c r="AV151">
        <f t="shared" si="132"/>
        <v>-1.5675552781782565</v>
      </c>
      <c r="AW151">
        <f t="shared" si="133"/>
        <v>1.0265032100600036</v>
      </c>
      <c r="AX151" s="40">
        <f t="shared" si="134"/>
        <v>-4.7091479317680491</v>
      </c>
      <c r="AY151">
        <f t="shared" si="135"/>
        <v>4.7091479317680491</v>
      </c>
      <c r="AZ151">
        <f t="shared" si="136"/>
        <v>5.7421332390613333</v>
      </c>
      <c r="BA151">
        <f t="shared" si="137"/>
        <v>-1.5675552781782565</v>
      </c>
      <c r="BB151">
        <f t="shared" si="138"/>
        <v>1.0265032100600036</v>
      </c>
      <c r="BC151">
        <f t="shared" si="139"/>
        <v>-4.7091479317680491</v>
      </c>
      <c r="BD151">
        <f t="shared" si="140"/>
        <v>4.7091479317680491</v>
      </c>
      <c r="BE151" s="40">
        <f t="shared" si="141"/>
        <v>-6.7606083738126532</v>
      </c>
      <c r="BF151" s="40">
        <f t="shared" si="142"/>
        <v>-1.567555278178256</v>
      </c>
      <c r="BG151">
        <f t="shared" si="143"/>
        <v>-1.567555278178256</v>
      </c>
    </row>
    <row r="152" spans="45:59" x14ac:dyDescent="0.25">
      <c r="AS152">
        <v>-0.52359877559830958</v>
      </c>
      <c r="AT152">
        <v>1.1768985519251545</v>
      </c>
      <c r="AU152">
        <v>-246.53507328067496</v>
      </c>
      <c r="AV152">
        <f t="shared" si="132"/>
        <v>-1.5660226059755094</v>
      </c>
      <c r="AW152">
        <f t="shared" si="133"/>
        <v>1.0424238303771998</v>
      </c>
      <c r="AX152" s="40">
        <f t="shared" si="134"/>
        <v>-4.7076152595653022</v>
      </c>
      <c r="AY152">
        <f t="shared" si="135"/>
        <v>4.7076152595653022</v>
      </c>
      <c r="AZ152">
        <f t="shared" si="136"/>
        <v>5.7595865315812764</v>
      </c>
      <c r="BA152">
        <f t="shared" si="137"/>
        <v>-1.5660226059755094</v>
      </c>
      <c r="BB152">
        <f t="shared" si="138"/>
        <v>1.0424238303771998</v>
      </c>
      <c r="BC152">
        <f t="shared" si="139"/>
        <v>-4.7076152595653022</v>
      </c>
      <c r="BD152">
        <f t="shared" si="140"/>
        <v>4.7076152595653022</v>
      </c>
      <c r="BE152" s="40">
        <f t="shared" si="141"/>
        <v>-6.7621410460154001</v>
      </c>
      <c r="BF152" s="40">
        <f t="shared" si="142"/>
        <v>-1.5660226059755091</v>
      </c>
      <c r="BG152">
        <f t="shared" si="143"/>
        <v>-1.5660226059755091</v>
      </c>
    </row>
    <row r="153" spans="45:59" x14ac:dyDescent="0.25">
      <c r="AS153">
        <v>-0.50614548307836627</v>
      </c>
      <c r="AT153">
        <v>1.5426064497208758</v>
      </c>
      <c r="AU153">
        <v>-245.33228007362345</v>
      </c>
      <c r="AV153">
        <f t="shared" si="132"/>
        <v>-1.5645085846361326</v>
      </c>
      <c r="AW153">
        <f t="shared" si="133"/>
        <v>1.0583631015577664</v>
      </c>
      <c r="AX153" s="40">
        <f t="shared" si="134"/>
        <v>-4.7061012382259255</v>
      </c>
      <c r="AY153">
        <f t="shared" si="135"/>
        <v>4.7061012382259255</v>
      </c>
      <c r="AZ153">
        <f t="shared" si="136"/>
        <v>5.7770398241012195</v>
      </c>
      <c r="BA153">
        <f t="shared" si="137"/>
        <v>-1.5645085846361326</v>
      </c>
      <c r="BB153">
        <f t="shared" si="138"/>
        <v>1.0583631015577664</v>
      </c>
      <c r="BC153">
        <f t="shared" si="139"/>
        <v>-4.7061012382259255</v>
      </c>
      <c r="BD153">
        <f t="shared" si="140"/>
        <v>4.7061012382259255</v>
      </c>
      <c r="BE153" s="40">
        <f t="shared" si="141"/>
        <v>-6.7636550673547768</v>
      </c>
      <c r="BF153" s="40">
        <f t="shared" si="142"/>
        <v>-1.5645085846361324</v>
      </c>
      <c r="BG153">
        <f t="shared" si="143"/>
        <v>-1.5645085846361324</v>
      </c>
    </row>
    <row r="154" spans="45:59" x14ac:dyDescent="0.25">
      <c r="AS154">
        <v>-0.48869219055842295</v>
      </c>
      <c r="AT154">
        <v>1.9007187944959698</v>
      </c>
      <c r="AU154">
        <v>-244.11451830428464</v>
      </c>
      <c r="AV154">
        <f t="shared" si="132"/>
        <v>-1.5630103073519614</v>
      </c>
      <c r="AW154">
        <f t="shared" si="133"/>
        <v>1.0743181167935385</v>
      </c>
      <c r="AX154" s="40">
        <f t="shared" si="134"/>
        <v>-4.7046029609417541</v>
      </c>
      <c r="AY154">
        <f t="shared" si="135"/>
        <v>4.7046029609417541</v>
      </c>
      <c r="AZ154">
        <f t="shared" si="136"/>
        <v>5.7944931166211635</v>
      </c>
      <c r="BA154">
        <f t="shared" si="137"/>
        <v>-1.5630103073519614</v>
      </c>
      <c r="BB154">
        <f t="shared" si="138"/>
        <v>1.0743181167935385</v>
      </c>
      <c r="BC154">
        <f t="shared" si="139"/>
        <v>-4.7046029609417541</v>
      </c>
      <c r="BD154">
        <f t="shared" si="140"/>
        <v>4.7046029609417541</v>
      </c>
      <c r="BE154" s="40">
        <f t="shared" si="141"/>
        <v>-6.7651533446389482</v>
      </c>
      <c r="BF154" s="40">
        <f t="shared" si="142"/>
        <v>-1.563010307351961</v>
      </c>
      <c r="BG154">
        <f t="shared" si="143"/>
        <v>-1.563010307351961</v>
      </c>
    </row>
    <row r="155" spans="45:59" x14ac:dyDescent="0.25">
      <c r="AS155">
        <v>-0.47123889803847963</v>
      </c>
      <c r="AT155">
        <v>2.2519331339818507</v>
      </c>
      <c r="AU155">
        <v>-242.87906551167146</v>
      </c>
      <c r="AV155">
        <f t="shared" si="132"/>
        <v>-1.5615247635909502</v>
      </c>
      <c r="AW155">
        <f t="shared" si="133"/>
        <v>1.0902858655524705</v>
      </c>
      <c r="AX155" s="40">
        <f t="shared" si="134"/>
        <v>-4.7031174171807431</v>
      </c>
      <c r="AY155">
        <f t="shared" si="135"/>
        <v>4.7031174171807431</v>
      </c>
      <c r="AZ155">
        <f t="shared" si="136"/>
        <v>5.8119464091411066</v>
      </c>
      <c r="BA155">
        <f t="shared" si="137"/>
        <v>-1.5615247635909502</v>
      </c>
      <c r="BB155">
        <f t="shared" si="138"/>
        <v>1.0902858655524705</v>
      </c>
      <c r="BC155">
        <f t="shared" si="139"/>
        <v>-4.7031174171807431</v>
      </c>
      <c r="BD155">
        <f t="shared" si="140"/>
        <v>4.7031174171807431</v>
      </c>
      <c r="BE155" s="40">
        <f t="shared" si="141"/>
        <v>-6.7666388883999593</v>
      </c>
      <c r="BF155" s="40">
        <f t="shared" si="142"/>
        <v>-1.5615247635909499</v>
      </c>
      <c r="BG155">
        <f t="shared" si="143"/>
        <v>-1.5615247635909499</v>
      </c>
    </row>
    <row r="156" spans="45:59" x14ac:dyDescent="0.25">
      <c r="AS156">
        <v>-0.45378560551853631</v>
      </c>
      <c r="AT156">
        <v>2.5969504607616498</v>
      </c>
      <c r="AU156">
        <v>-241.62290970521227</v>
      </c>
      <c r="AV156">
        <f t="shared" si="132"/>
        <v>-1.5600487926626729</v>
      </c>
      <c r="AW156">
        <f t="shared" si="133"/>
        <v>1.1062631871441366</v>
      </c>
      <c r="AX156" s="40">
        <f t="shared" si="134"/>
        <v>-4.7016414462524665</v>
      </c>
      <c r="AY156">
        <f t="shared" si="135"/>
        <v>4.7016414462524665</v>
      </c>
      <c r="AZ156">
        <f t="shared" si="136"/>
        <v>5.8293997016610497</v>
      </c>
      <c r="BA156">
        <f t="shared" si="137"/>
        <v>-1.5600487926626729</v>
      </c>
      <c r="BB156">
        <f t="shared" si="138"/>
        <v>1.1062631871441366</v>
      </c>
      <c r="BC156">
        <f t="shared" si="139"/>
        <v>-4.7016414462524665</v>
      </c>
      <c r="BD156">
        <f t="shared" si="140"/>
        <v>4.7016414462524665</v>
      </c>
      <c r="BE156" s="40">
        <f t="shared" si="141"/>
        <v>-6.7681148593282359</v>
      </c>
      <c r="BF156" s="40">
        <f t="shared" si="142"/>
        <v>-1.5600487926626734</v>
      </c>
      <c r="BG156">
        <f t="shared" si="143"/>
        <v>-1.5600487926626734</v>
      </c>
    </row>
    <row r="157" spans="45:59" x14ac:dyDescent="0.25">
      <c r="AS157">
        <v>-0.43633231299859299</v>
      </c>
      <c r="AT157">
        <v>2.9364844513298749</v>
      </c>
      <c r="AU157">
        <v>-240.34268664206607</v>
      </c>
      <c r="AV157">
        <f t="shared" si="132"/>
        <v>-1.5585790282838468</v>
      </c>
      <c r="AW157">
        <f t="shared" si="133"/>
        <v>1.1222467152852538</v>
      </c>
      <c r="AX157" s="40">
        <f t="shared" si="134"/>
        <v>-4.7001716818736394</v>
      </c>
      <c r="AY157">
        <f t="shared" si="135"/>
        <v>4.7001716818736394</v>
      </c>
      <c r="AZ157">
        <f t="shared" si="136"/>
        <v>5.8468529941809937</v>
      </c>
      <c r="BA157">
        <f t="shared" si="137"/>
        <v>-1.5585790282838468</v>
      </c>
      <c r="BB157">
        <f t="shared" si="138"/>
        <v>1.1222467152852538</v>
      </c>
      <c r="BC157">
        <f t="shared" si="139"/>
        <v>-4.7001716818736394</v>
      </c>
      <c r="BD157">
        <f t="shared" si="140"/>
        <v>4.7001716818736394</v>
      </c>
      <c r="BE157" s="40">
        <f t="shared" si="141"/>
        <v>-6.7695846237070629</v>
      </c>
      <c r="BF157" s="40">
        <f t="shared" si="142"/>
        <v>-1.5585790282838463</v>
      </c>
      <c r="BG157">
        <f t="shared" si="143"/>
        <v>-1.5585790282838463</v>
      </c>
    </row>
    <row r="158" spans="45:59" x14ac:dyDescent="0.25">
      <c r="AS158">
        <v>-0.41887902047864967</v>
      </c>
      <c r="AT158">
        <v>3.2712720254122871</v>
      </c>
      <c r="AU158">
        <v>-239.0346018972387</v>
      </c>
      <c r="AV158">
        <f t="shared" si="132"/>
        <v>-1.5571118317543997</v>
      </c>
      <c r="AW158">
        <f t="shared" si="133"/>
        <v>1.13823281127575</v>
      </c>
      <c r="AX158" s="40">
        <f t="shared" si="134"/>
        <v>-4.6987044853441926</v>
      </c>
      <c r="AY158">
        <f t="shared" si="135"/>
        <v>4.6987044853441926</v>
      </c>
      <c r="AZ158">
        <f t="shared" si="136"/>
        <v>5.8643062867009368</v>
      </c>
      <c r="BA158">
        <f t="shared" si="137"/>
        <v>-1.5571118317543997</v>
      </c>
      <c r="BB158">
        <f t="shared" si="138"/>
        <v>1.13823281127575</v>
      </c>
      <c r="BC158">
        <f t="shared" si="139"/>
        <v>-4.6987044853441926</v>
      </c>
      <c r="BD158">
        <f t="shared" si="140"/>
        <v>4.6987044853441926</v>
      </c>
      <c r="BE158" s="40">
        <f t="shared" si="141"/>
        <v>-6.7710518202365098</v>
      </c>
      <c r="BF158" s="40">
        <f t="shared" si="142"/>
        <v>-1.5571118317543995</v>
      </c>
      <c r="BG158">
        <f t="shared" si="143"/>
        <v>-1.5571118317543995</v>
      </c>
    </row>
    <row r="159" spans="45:59" x14ac:dyDescent="0.25">
      <c r="AS159">
        <v>-0.40142572795870635</v>
      </c>
      <c r="AT159">
        <v>3.6020858270369271</v>
      </c>
      <c r="AU159">
        <v>-237.69433293024571</v>
      </c>
      <c r="AV159">
        <f t="shared" si="132"/>
        <v>-1.5556432094344272</v>
      </c>
      <c r="AW159">
        <f t="shared" si="133"/>
        <v>1.1542174814757209</v>
      </c>
      <c r="AX159" s="40">
        <f t="shared" si="134"/>
        <v>-4.6972358630242201</v>
      </c>
      <c r="AY159">
        <f t="shared" si="135"/>
        <v>4.6972358630242201</v>
      </c>
      <c r="AZ159">
        <f t="shared" si="136"/>
        <v>5.8817595792208799</v>
      </c>
      <c r="BA159">
        <f t="shared" si="137"/>
        <v>-1.5556432094344272</v>
      </c>
      <c r="BB159">
        <f t="shared" si="138"/>
        <v>1.1542174814757209</v>
      </c>
      <c r="BC159">
        <f t="shared" si="139"/>
        <v>-4.6972358630242201</v>
      </c>
      <c r="BD159">
        <f t="shared" si="140"/>
        <v>4.6972358630242201</v>
      </c>
      <c r="BE159" s="40">
        <f t="shared" si="141"/>
        <v>-6.7725204425564822</v>
      </c>
      <c r="BF159" s="40">
        <f t="shared" si="142"/>
        <v>-1.555643209434427</v>
      </c>
      <c r="BG159">
        <f t="shared" si="143"/>
        <v>-1.555643209434427</v>
      </c>
    </row>
    <row r="160" spans="45:59" x14ac:dyDescent="0.25">
      <c r="AS160">
        <v>-0.38397243543876303</v>
      </c>
      <c r="AT160">
        <v>3.9297491907977875</v>
      </c>
      <c r="AU160">
        <v>-236.31690459771687</v>
      </c>
      <c r="AV160">
        <f t="shared" si="132"/>
        <v>-1.5541687096204064</v>
      </c>
      <c r="AW160">
        <f t="shared" si="133"/>
        <v>1.1701962741816434</v>
      </c>
      <c r="AX160" s="40">
        <f t="shared" si="134"/>
        <v>-4.6957613632101998</v>
      </c>
      <c r="AY160">
        <f t="shared" si="135"/>
        <v>4.6957613632101998</v>
      </c>
      <c r="AZ160">
        <f t="shared" si="136"/>
        <v>5.899212871740823</v>
      </c>
      <c r="BA160">
        <f t="shared" si="137"/>
        <v>-1.5541687096204064</v>
      </c>
      <c r="BB160">
        <f t="shared" si="138"/>
        <v>1.1701962741816434</v>
      </c>
      <c r="BC160">
        <f t="shared" si="139"/>
        <v>-4.6957613632101998</v>
      </c>
      <c r="BD160">
        <f t="shared" si="140"/>
        <v>4.6957613632101998</v>
      </c>
      <c r="BE160" s="40">
        <f t="shared" si="141"/>
        <v>-6.7739949423705026</v>
      </c>
      <c r="BF160" s="40">
        <f t="shared" si="142"/>
        <v>-1.5541687096204067</v>
      </c>
      <c r="BG160">
        <f t="shared" si="143"/>
        <v>-1.5541687096204067</v>
      </c>
    </row>
    <row r="161" spans="45:59" x14ac:dyDescent="0.25">
      <c r="AS161">
        <v>-0.36651914291881971</v>
      </c>
      <c r="AT161">
        <v>4.2261181629842328</v>
      </c>
      <c r="AU161">
        <v>-233.2936361914177</v>
      </c>
      <c r="AV161">
        <f t="shared" si="132"/>
        <v>-1.5526832910058872</v>
      </c>
      <c r="AW161">
        <f t="shared" si="133"/>
        <v>1.1861641480870675</v>
      </c>
      <c r="AX161" s="40">
        <f t="shared" si="134"/>
        <v>-4.6942759445956801</v>
      </c>
      <c r="AY161">
        <f t="shared" si="135"/>
        <v>4.6942759445956801</v>
      </c>
      <c r="AZ161">
        <f t="shared" si="136"/>
        <v>5.9166661642607661</v>
      </c>
      <c r="BA161">
        <f t="shared" si="137"/>
        <v>-1.5526832910058872</v>
      </c>
      <c r="BB161">
        <f t="shared" si="138"/>
        <v>1.1861641480870675</v>
      </c>
      <c r="BC161">
        <f t="shared" si="139"/>
        <v>-4.6942759445956801</v>
      </c>
      <c r="BD161">
        <f t="shared" si="140"/>
        <v>4.6942759445956801</v>
      </c>
      <c r="BE161" s="40">
        <f t="shared" si="141"/>
        <v>-6.7754803609850223</v>
      </c>
      <c r="BF161" s="40">
        <f t="shared" si="142"/>
        <v>-1.552683291005887</v>
      </c>
      <c r="BG161">
        <f t="shared" si="143"/>
        <v>-1.552683291005887</v>
      </c>
    </row>
    <row r="162" spans="45:59" x14ac:dyDescent="0.25">
      <c r="AS162">
        <v>-0.34906585039887639</v>
      </c>
      <c r="AT162">
        <v>4.4915263995936279</v>
      </c>
      <c r="AU162">
        <v>-228.95287162269915</v>
      </c>
      <c r="AV162">
        <f t="shared" si="132"/>
        <v>-1.5511811531253805</v>
      </c>
      <c r="AW162">
        <f t="shared" si="133"/>
        <v>1.2021153027265041</v>
      </c>
      <c r="AX162" s="40">
        <f t="shared" si="134"/>
        <v>-4.6927738067151736</v>
      </c>
      <c r="AY162">
        <f t="shared" si="135"/>
        <v>4.6927738067151736</v>
      </c>
      <c r="AZ162">
        <f t="shared" si="136"/>
        <v>5.9341194567807101</v>
      </c>
      <c r="BA162">
        <f t="shared" si="137"/>
        <v>-1.5511811531253805</v>
      </c>
      <c r="BB162">
        <f t="shared" si="138"/>
        <v>1.2021153027265041</v>
      </c>
      <c r="BC162">
        <f t="shared" si="139"/>
        <v>-4.6927738067151736</v>
      </c>
      <c r="BD162">
        <f t="shared" si="140"/>
        <v>4.6927738067151736</v>
      </c>
      <c r="BE162" s="40">
        <f t="shared" si="141"/>
        <v>-6.7769824988655287</v>
      </c>
      <c r="BF162" s="40">
        <f t="shared" si="142"/>
        <v>-1.5511811531253805</v>
      </c>
      <c r="BG162">
        <f t="shared" si="143"/>
        <v>-1.5511811531253805</v>
      </c>
    </row>
    <row r="163" spans="45:59" x14ac:dyDescent="0.25">
      <c r="AS163">
        <v>-0.33161255787893307</v>
      </c>
      <c r="AT163">
        <v>4.7475056495085131</v>
      </c>
      <c r="AU163">
        <v>-224.53244367505005</v>
      </c>
      <c r="AV163">
        <f t="shared" si="132"/>
        <v>-1.5496555140156865</v>
      </c>
      <c r="AW163">
        <f t="shared" si="133"/>
        <v>1.2180429561367534</v>
      </c>
      <c r="AX163" s="40">
        <f t="shared" si="134"/>
        <v>-4.6912481676054796</v>
      </c>
      <c r="AY163">
        <f t="shared" si="135"/>
        <v>4.6912481676054796</v>
      </c>
      <c r="AZ163">
        <f t="shared" si="136"/>
        <v>5.9515727493006532</v>
      </c>
      <c r="BA163">
        <f t="shared" si="137"/>
        <v>-1.5496555140156865</v>
      </c>
      <c r="BB163">
        <f t="shared" si="138"/>
        <v>1.2180429561367534</v>
      </c>
      <c r="BC163">
        <f t="shared" si="139"/>
        <v>-4.6912481676054796</v>
      </c>
      <c r="BD163">
        <f t="shared" si="140"/>
        <v>4.6912481676054796</v>
      </c>
      <c r="BE163" s="40">
        <f t="shared" si="141"/>
        <v>-6.7785081379752228</v>
      </c>
      <c r="BF163" s="40">
        <f t="shared" si="142"/>
        <v>-1.5496555140156865</v>
      </c>
      <c r="BG163">
        <f t="shared" si="143"/>
        <v>-1.5496555140156865</v>
      </c>
    </row>
    <row r="164" spans="45:59" x14ac:dyDescent="0.25">
      <c r="AS164">
        <v>-0.31415926535898975</v>
      </c>
      <c r="AT164">
        <v>4.9948867977539226</v>
      </c>
      <c r="AU164">
        <v>-220.020535754657</v>
      </c>
      <c r="AV164">
        <f t="shared" si="132"/>
        <v>-1.5480983137983155</v>
      </c>
      <c r="AW164">
        <f t="shared" si="133"/>
        <v>1.2339390484393258</v>
      </c>
      <c r="AX164" s="40">
        <f t="shared" si="134"/>
        <v>-4.6896909673881089</v>
      </c>
      <c r="AY164">
        <f t="shared" si="135"/>
        <v>4.6896909673881089</v>
      </c>
      <c r="AZ164">
        <f t="shared" si="136"/>
        <v>5.9690260418205963</v>
      </c>
      <c r="BA164">
        <f t="shared" si="137"/>
        <v>-1.5480983137983155</v>
      </c>
      <c r="BB164">
        <f t="shared" si="138"/>
        <v>1.2339390484393258</v>
      </c>
      <c r="BC164">
        <f t="shared" si="139"/>
        <v>-4.6896909673881089</v>
      </c>
      <c r="BD164">
        <f t="shared" si="140"/>
        <v>4.6896909673881089</v>
      </c>
      <c r="BE164" s="40">
        <f t="shared" si="141"/>
        <v>-6.7800653381925935</v>
      </c>
      <c r="BF164" s="40">
        <f t="shared" si="142"/>
        <v>-1.5480983137983158</v>
      </c>
      <c r="BG164">
        <f t="shared" si="143"/>
        <v>-1.5480983137983158</v>
      </c>
    </row>
    <row r="165" spans="45:59" x14ac:dyDescent="0.25">
      <c r="AS165">
        <v>-0.29670597283904643</v>
      </c>
      <c r="AT165">
        <v>5.2345871328272384</v>
      </c>
      <c r="AU165">
        <v>-215.40361367931047</v>
      </c>
      <c r="AV165">
        <f t="shared" si="132"/>
        <v>-1.5464998121049018</v>
      </c>
      <c r="AW165">
        <f t="shared" si="133"/>
        <v>1.2497938392658554</v>
      </c>
      <c r="AX165" s="40">
        <f t="shared" si="134"/>
        <v>-4.6880924656946945</v>
      </c>
      <c r="AY165">
        <f t="shared" si="135"/>
        <v>4.6880924656946945</v>
      </c>
      <c r="AZ165">
        <f t="shared" si="136"/>
        <v>5.9864793343405402</v>
      </c>
      <c r="BA165">
        <f t="shared" si="137"/>
        <v>-1.5464998121049018</v>
      </c>
      <c r="BB165">
        <f t="shared" si="138"/>
        <v>1.2497938392658554</v>
      </c>
      <c r="BC165">
        <f t="shared" si="139"/>
        <v>-4.6880924656946945</v>
      </c>
      <c r="BD165">
        <f t="shared" si="140"/>
        <v>4.6880924656946945</v>
      </c>
      <c r="BE165" s="40">
        <f t="shared" si="141"/>
        <v>-6.7816638398860078</v>
      </c>
      <c r="BF165" s="40">
        <f t="shared" si="142"/>
        <v>-1.5464998121049014</v>
      </c>
      <c r="BG165">
        <f t="shared" si="143"/>
        <v>-1.5464998121049014</v>
      </c>
    </row>
    <row r="166" spans="45:59" x14ac:dyDescent="0.25">
      <c r="AS166">
        <v>-0.27925268031910311</v>
      </c>
      <c r="AT166">
        <v>5.4676495427882772</v>
      </c>
      <c r="AU166">
        <v>-210.66595689316742</v>
      </c>
      <c r="AV166">
        <f t="shared" si="132"/>
        <v>-1.5448480320633184</v>
      </c>
      <c r="AW166">
        <f t="shared" si="133"/>
        <v>1.2655953517442153</v>
      </c>
      <c r="AX166" s="40">
        <f t="shared" si="134"/>
        <v>-4.6864406856531113</v>
      </c>
      <c r="AY166">
        <f t="shared" si="135"/>
        <v>4.6864406856531113</v>
      </c>
      <c r="AZ166">
        <f t="shared" si="136"/>
        <v>6.0039326268604833</v>
      </c>
      <c r="BA166">
        <f t="shared" si="137"/>
        <v>-1.5448480320633184</v>
      </c>
      <c r="BB166">
        <f t="shared" si="138"/>
        <v>1.2655953517442153</v>
      </c>
      <c r="BC166">
        <f t="shared" si="139"/>
        <v>-4.6864406856531113</v>
      </c>
      <c r="BD166">
        <f t="shared" si="140"/>
        <v>4.6864406856531113</v>
      </c>
      <c r="BE166" s="40">
        <f t="shared" si="141"/>
        <v>-6.783315619927591</v>
      </c>
      <c r="BF166" s="40">
        <f t="shared" si="142"/>
        <v>-1.5448480320633182</v>
      </c>
      <c r="BG166">
        <f t="shared" si="143"/>
        <v>-1.5448480320633182</v>
      </c>
    </row>
    <row r="167" spans="45:59" x14ac:dyDescent="0.25">
      <c r="AS167">
        <v>-0.26179938779915979</v>
      </c>
      <c r="AT167">
        <v>5.6952961319797568</v>
      </c>
      <c r="AU167">
        <v>-205.78901663114323</v>
      </c>
      <c r="AV167">
        <f t="shared" si="132"/>
        <v>-1.5431279758312866</v>
      </c>
      <c r="AW167">
        <f t="shared" si="133"/>
        <v>1.2813285880321268</v>
      </c>
      <c r="AX167" s="40">
        <f t="shared" si="134"/>
        <v>-4.6847206294210793</v>
      </c>
      <c r="AY167">
        <f t="shared" si="135"/>
        <v>4.6847206294210793</v>
      </c>
      <c r="AZ167">
        <f t="shared" si="136"/>
        <v>6.0213859193804264</v>
      </c>
      <c r="BA167">
        <f t="shared" si="137"/>
        <v>-1.5431279758312866</v>
      </c>
      <c r="BB167">
        <f t="shared" si="138"/>
        <v>1.2813285880321268</v>
      </c>
      <c r="BC167">
        <f t="shared" si="139"/>
        <v>-4.6847206294210793</v>
      </c>
      <c r="BD167">
        <f t="shared" si="140"/>
        <v>4.6847206294210793</v>
      </c>
      <c r="BE167" s="40">
        <f t="shared" si="141"/>
        <v>-6.7850356761596231</v>
      </c>
      <c r="BF167" s="40">
        <f t="shared" si="142"/>
        <v>-1.5431279758312861</v>
      </c>
      <c r="BG167">
        <f t="shared" si="143"/>
        <v>-1.5431279758312861</v>
      </c>
    </row>
    <row r="168" spans="45:59" x14ac:dyDescent="0.25">
      <c r="AS168">
        <v>-0.2443460952792165</v>
      </c>
      <c r="AT168">
        <v>5.9190033865327329</v>
      </c>
      <c r="AU168">
        <v>-200.7505151838233</v>
      </c>
      <c r="AV168">
        <f t="shared" si="132"/>
        <v>-1.5413204916300882</v>
      </c>
      <c r="AW168">
        <f t="shared" si="133"/>
        <v>1.2969743963508717</v>
      </c>
      <c r="AX168" s="40">
        <f t="shared" si="134"/>
        <v>-4.6829131452198816</v>
      </c>
      <c r="AY168">
        <f t="shared" si="135"/>
        <v>4.6829131452198816</v>
      </c>
      <c r="AZ168">
        <f t="shared" si="136"/>
        <v>6.0388392119003695</v>
      </c>
      <c r="BA168">
        <f t="shared" si="137"/>
        <v>-1.5413204916300882</v>
      </c>
      <c r="BB168">
        <f t="shared" si="138"/>
        <v>1.2969743963508717</v>
      </c>
      <c r="BC168">
        <f t="shared" si="139"/>
        <v>-4.6829131452198816</v>
      </c>
      <c r="BD168">
        <f t="shared" si="140"/>
        <v>4.6829131452198816</v>
      </c>
      <c r="BE168" s="40">
        <f t="shared" si="141"/>
        <v>-6.7868431603608208</v>
      </c>
      <c r="BF168" s="40">
        <f t="shared" si="142"/>
        <v>-1.5413204916300884</v>
      </c>
      <c r="BG168">
        <f t="shared" si="143"/>
        <v>-1.5413204916300884</v>
      </c>
    </row>
    <row r="169" spans="45:59" x14ac:dyDescent="0.25">
      <c r="AS169">
        <v>-0.2268928027592732</v>
      </c>
      <c r="AT169">
        <v>6.1406101704701292</v>
      </c>
      <c r="AU169">
        <v>-195.52314650652488</v>
      </c>
      <c r="AV169">
        <f t="shared" si="132"/>
        <v>-1.5394005940438378</v>
      </c>
      <c r="AW169">
        <f t="shared" si="133"/>
        <v>1.3125077912845646</v>
      </c>
      <c r="AX169" s="40">
        <f t="shared" si="134"/>
        <v>-4.6809932476336309</v>
      </c>
      <c r="AY169">
        <f t="shared" si="135"/>
        <v>4.6809932476336309</v>
      </c>
      <c r="AZ169">
        <f t="shared" si="136"/>
        <v>6.0562925044203126</v>
      </c>
      <c r="BA169">
        <f t="shared" si="137"/>
        <v>-1.5394005940438378</v>
      </c>
      <c r="BB169">
        <f t="shared" si="138"/>
        <v>1.3125077912845646</v>
      </c>
      <c r="BC169">
        <f t="shared" si="139"/>
        <v>-4.6809932476336309</v>
      </c>
      <c r="BD169">
        <f t="shared" si="140"/>
        <v>4.6809932476336309</v>
      </c>
      <c r="BE169" s="40">
        <f t="shared" si="141"/>
        <v>-6.7887630579470715</v>
      </c>
      <c r="BF169" s="40">
        <f t="shared" si="142"/>
        <v>-1.5394005940438378</v>
      </c>
      <c r="BG169">
        <f t="shared" si="143"/>
        <v>-1.5394005940438378</v>
      </c>
    </row>
    <row r="170" spans="45:59" x14ac:dyDescent="0.25">
      <c r="AS170">
        <v>-0.20943951023932991</v>
      </c>
      <c r="AT170">
        <v>6.3616321401150149</v>
      </c>
      <c r="AU170">
        <v>-189.76656785321691</v>
      </c>
      <c r="AV170">
        <f t="shared" si="132"/>
        <v>-1.5372854154541697</v>
      </c>
      <c r="AW170">
        <f t="shared" si="133"/>
        <v>1.3278459052148399</v>
      </c>
      <c r="AX170" s="40">
        <f t="shared" si="134"/>
        <v>-4.6788780690439626</v>
      </c>
      <c r="AY170">
        <f t="shared" si="135"/>
        <v>4.6788780690439626</v>
      </c>
      <c r="AZ170">
        <f t="shared" si="136"/>
        <v>6.0737457969402566</v>
      </c>
      <c r="BA170">
        <f t="shared" si="137"/>
        <v>-1.5372854154541697</v>
      </c>
      <c r="BB170">
        <f t="shared" si="138"/>
        <v>1.3278459052148399</v>
      </c>
      <c r="BC170">
        <f t="shared" si="139"/>
        <v>-4.6788780690439626</v>
      </c>
      <c r="BD170">
        <f t="shared" si="140"/>
        <v>4.6788780690439626</v>
      </c>
      <c r="BE170" s="40">
        <f t="shared" si="141"/>
        <v>-6.7908782365367397</v>
      </c>
      <c r="BF170" s="40">
        <f t="shared" si="142"/>
        <v>-1.5372854154541695</v>
      </c>
      <c r="BG170">
        <f t="shared" si="143"/>
        <v>-1.5372854154541695</v>
      </c>
    </row>
    <row r="171" spans="45:59" x14ac:dyDescent="0.25">
      <c r="AS171">
        <v>-0.19198621771938662</v>
      </c>
      <c r="AT171">
        <v>6.5779914452143142</v>
      </c>
      <c r="AU171">
        <v>-182.84870504559325</v>
      </c>
      <c r="AV171">
        <f t="shared" si="132"/>
        <v>-1.5348367836839254</v>
      </c>
      <c r="AW171">
        <f t="shared" si="133"/>
        <v>1.3428505659645387</v>
      </c>
      <c r="AX171" s="40">
        <f t="shared" si="134"/>
        <v>-4.6764294372737183</v>
      </c>
      <c r="AY171">
        <f t="shared" si="135"/>
        <v>4.6764294372737183</v>
      </c>
      <c r="AZ171">
        <f t="shared" si="136"/>
        <v>6.0911990894601997</v>
      </c>
      <c r="BA171">
        <f t="shared" si="137"/>
        <v>-1.5348367836839254</v>
      </c>
      <c r="BB171">
        <f t="shared" si="138"/>
        <v>1.3428505659645387</v>
      </c>
      <c r="BC171">
        <f t="shared" si="139"/>
        <v>-4.6764294372737183</v>
      </c>
      <c r="BD171">
        <f t="shared" si="140"/>
        <v>4.6764294372737183</v>
      </c>
      <c r="BE171" s="40">
        <f t="shared" si="141"/>
        <v>-6.7933268683069841</v>
      </c>
      <c r="BF171" s="40">
        <f t="shared" si="142"/>
        <v>-1.5348367836839252</v>
      </c>
      <c r="BG171">
        <f t="shared" si="143"/>
        <v>-1.5348367836839252</v>
      </c>
    </row>
    <row r="172" spans="45:59" x14ac:dyDescent="0.25">
      <c r="AS172">
        <v>-0.17453292519944333</v>
      </c>
      <c r="AT172">
        <v>6.7929966807499129</v>
      </c>
      <c r="AU172">
        <v>-175.62090948062996</v>
      </c>
      <c r="AV172">
        <f t="shared" si="132"/>
        <v>-1.5321357140279621</v>
      </c>
      <c r="AW172">
        <f t="shared" si="133"/>
        <v>1.3576027888285187</v>
      </c>
      <c r="AX172" s="40">
        <f t="shared" si="134"/>
        <v>-4.6737283676177555</v>
      </c>
      <c r="AY172">
        <f t="shared" si="135"/>
        <v>4.6737283676177555</v>
      </c>
      <c r="AZ172">
        <f t="shared" si="136"/>
        <v>6.1086523819801428</v>
      </c>
      <c r="BA172">
        <f t="shared" si="137"/>
        <v>-1.5321357140279621</v>
      </c>
      <c r="BB172">
        <f t="shared" si="138"/>
        <v>1.3576027888285187</v>
      </c>
      <c r="BC172">
        <f t="shared" si="139"/>
        <v>-4.6737283676177555</v>
      </c>
      <c r="BD172">
        <f t="shared" si="140"/>
        <v>4.6737283676177555</v>
      </c>
      <c r="BE172" s="40">
        <f t="shared" si="141"/>
        <v>-6.7960279379629469</v>
      </c>
      <c r="BF172" s="40">
        <f t="shared" si="142"/>
        <v>-1.5321357140279623</v>
      </c>
      <c r="BG172">
        <f t="shared" si="143"/>
        <v>-1.5321357140279623</v>
      </c>
    </row>
    <row r="173" spans="45:59" x14ac:dyDescent="0.25">
      <c r="AS173">
        <v>-0.15707963267950004</v>
      </c>
      <c r="AT173">
        <v>7.0124830455401366</v>
      </c>
      <c r="AU173">
        <v>-168.01271654028687</v>
      </c>
      <c r="AV173">
        <f t="shared" si="132"/>
        <v>-1.5290827266539144</v>
      </c>
      <c r="AW173">
        <f t="shared" si="133"/>
        <v>1.3720030939744143</v>
      </c>
      <c r="AX173" s="40">
        <f t="shared" si="134"/>
        <v>-4.6706753802437078</v>
      </c>
      <c r="AY173">
        <f t="shared" si="135"/>
        <v>4.6706753802437078</v>
      </c>
      <c r="AZ173">
        <f t="shared" si="136"/>
        <v>6.1261056745000859</v>
      </c>
      <c r="BA173">
        <f t="shared" si="137"/>
        <v>-1.5290827266539144</v>
      </c>
      <c r="BB173">
        <f t="shared" si="138"/>
        <v>1.3720030939744143</v>
      </c>
      <c r="BC173">
        <f t="shared" si="139"/>
        <v>-4.6706753802437078</v>
      </c>
      <c r="BD173">
        <f t="shared" si="140"/>
        <v>4.6706753802437078</v>
      </c>
      <c r="BE173" s="40">
        <f t="shared" si="141"/>
        <v>-6.7990809253369946</v>
      </c>
      <c r="BF173" s="40">
        <f t="shared" si="142"/>
        <v>-1.5290827266539146</v>
      </c>
      <c r="BG173">
        <f t="shared" si="143"/>
        <v>-1.5290827266539146</v>
      </c>
    </row>
    <row r="174" spans="45:59" x14ac:dyDescent="0.25">
      <c r="AS174">
        <v>-0.13962634015955674</v>
      </c>
      <c r="AT174">
        <v>7.2451075360639443</v>
      </c>
      <c r="AU174">
        <v>-159.92428822596645</v>
      </c>
      <c r="AV174">
        <f t="shared" si="132"/>
        <v>-1.5255239225517951</v>
      </c>
      <c r="AW174">
        <f t="shared" si="133"/>
        <v>1.3858975823922384</v>
      </c>
      <c r="AX174" s="40">
        <f t="shared" si="134"/>
        <v>-4.6671165761415878</v>
      </c>
      <c r="AY174">
        <f t="shared" si="135"/>
        <v>4.6671165761415878</v>
      </c>
      <c r="AZ174">
        <f t="shared" si="136"/>
        <v>6.1435589670200299</v>
      </c>
      <c r="BA174">
        <f t="shared" si="137"/>
        <v>-1.5255239225517951</v>
      </c>
      <c r="BB174">
        <f t="shared" si="138"/>
        <v>1.3858975823922384</v>
      </c>
      <c r="BC174">
        <f t="shared" si="139"/>
        <v>-4.6671165761415878</v>
      </c>
      <c r="BD174">
        <f t="shared" si="140"/>
        <v>4.6671165761415878</v>
      </c>
      <c r="BE174" s="40">
        <f t="shared" si="141"/>
        <v>-6.8026397294391145</v>
      </c>
      <c r="BF174" s="40">
        <f t="shared" si="142"/>
        <v>-1.5255239225517947</v>
      </c>
      <c r="BG174">
        <f t="shared" si="143"/>
        <v>-1.5255239225517947</v>
      </c>
    </row>
    <row r="175" spans="45:59" x14ac:dyDescent="0.25">
      <c r="AS175">
        <v>-0.12217304763961345</v>
      </c>
      <c r="AT175">
        <v>7.5043128257554024</v>
      </c>
      <c r="AU175">
        <v>-151.20475745970973</v>
      </c>
      <c r="AV175">
        <f t="shared" si="132"/>
        <v>-1.5212068785239161</v>
      </c>
      <c r="AW175">
        <f t="shared" si="133"/>
        <v>1.3990338308843027</v>
      </c>
      <c r="AX175" s="40">
        <f t="shared" si="134"/>
        <v>-4.6627995321137092</v>
      </c>
      <c r="AY175">
        <f t="shared" si="135"/>
        <v>4.6627995321137092</v>
      </c>
      <c r="AZ175">
        <f t="shared" si="136"/>
        <v>6.161012259539973</v>
      </c>
      <c r="BA175">
        <f t="shared" si="137"/>
        <v>-1.5212068785239161</v>
      </c>
      <c r="BB175">
        <f t="shared" si="138"/>
        <v>1.3990338308843027</v>
      </c>
      <c r="BC175">
        <f t="shared" si="139"/>
        <v>-4.6627995321137092</v>
      </c>
      <c r="BD175">
        <f t="shared" si="140"/>
        <v>4.6627995321137092</v>
      </c>
      <c r="BE175" s="40">
        <f t="shared" si="141"/>
        <v>-6.8069567734669931</v>
      </c>
      <c r="BF175" s="40">
        <f t="shared" si="142"/>
        <v>-1.5212068785239161</v>
      </c>
      <c r="BG175">
        <f t="shared" si="143"/>
        <v>-1.5212068785239161</v>
      </c>
    </row>
    <row r="176" spans="45:59" x14ac:dyDescent="0.25">
      <c r="AS176">
        <v>-0.10471975511967016</v>
      </c>
      <c r="AT176">
        <v>7.7670395481947354</v>
      </c>
      <c r="AU176">
        <v>-144.99885695069082</v>
      </c>
      <c r="AV176">
        <f t="shared" si="132"/>
        <v>-1.5172812597257173</v>
      </c>
      <c r="AW176">
        <f t="shared" si="133"/>
        <v>1.4125615046060471</v>
      </c>
      <c r="AX176" s="40">
        <f t="shared" si="134"/>
        <v>-4.6588739133155102</v>
      </c>
      <c r="AY176">
        <f t="shared" si="135"/>
        <v>4.6588739133155102</v>
      </c>
      <c r="AZ176">
        <f t="shared" si="136"/>
        <v>6.1784655520599161</v>
      </c>
      <c r="BA176">
        <f t="shared" si="137"/>
        <v>-1.5172812597257173</v>
      </c>
      <c r="BB176">
        <f t="shared" si="138"/>
        <v>1.4125615046060471</v>
      </c>
      <c r="BC176">
        <f t="shared" si="139"/>
        <v>-4.6588739133155102</v>
      </c>
      <c r="BD176">
        <f t="shared" si="140"/>
        <v>4.6588739133155102</v>
      </c>
      <c r="BE176" s="40">
        <f t="shared" si="141"/>
        <v>-6.8108823922651922</v>
      </c>
      <c r="BF176" s="40">
        <f t="shared" si="142"/>
        <v>-1.517281259725717</v>
      </c>
      <c r="BG176">
        <f t="shared" si="143"/>
        <v>-1.517281259725717</v>
      </c>
    </row>
    <row r="177" spans="45:59" x14ac:dyDescent="0.25">
      <c r="AS177">
        <v>-8.7266462599726868E-2</v>
      </c>
      <c r="AT177">
        <v>8.1554731278676265</v>
      </c>
      <c r="AU177">
        <v>-134.02023126009431</v>
      </c>
      <c r="AV177">
        <f t="shared" si="132"/>
        <v>-1.5100187210838623</v>
      </c>
      <c r="AW177">
        <f t="shared" si="133"/>
        <v>1.4227522584841354</v>
      </c>
      <c r="AX177" s="40">
        <f t="shared" si="134"/>
        <v>-4.6516113746736556</v>
      </c>
      <c r="AY177">
        <f t="shared" si="135"/>
        <v>4.6516113746736556</v>
      </c>
      <c r="AZ177">
        <f t="shared" si="136"/>
        <v>6.1959188445798592</v>
      </c>
      <c r="BA177">
        <f t="shared" si="137"/>
        <v>-1.5100187210838623</v>
      </c>
      <c r="BB177">
        <f t="shared" si="138"/>
        <v>1.4227522584841354</v>
      </c>
      <c r="BC177">
        <f t="shared" si="139"/>
        <v>-4.6516113746736556</v>
      </c>
      <c r="BD177">
        <f t="shared" si="140"/>
        <v>4.6516113746736556</v>
      </c>
      <c r="BE177" s="40">
        <f t="shared" si="141"/>
        <v>-6.8181449309070468</v>
      </c>
      <c r="BF177" s="40">
        <f t="shared" si="142"/>
        <v>-1.5100187210838625</v>
      </c>
      <c r="BG177">
        <f t="shared" si="143"/>
        <v>-1.5100187210838625</v>
      </c>
    </row>
    <row r="178" spans="45:59" x14ac:dyDescent="0.25">
      <c r="AS178">
        <v>-6.9813170079783576E-2</v>
      </c>
      <c r="AT178">
        <v>8.7059103894650214</v>
      </c>
      <c r="AU178">
        <v>-120.78840747080922</v>
      </c>
      <c r="AV178">
        <f t="shared" si="132"/>
        <v>-1.4988450367756998</v>
      </c>
      <c r="AW178">
        <f t="shared" si="133"/>
        <v>1.4290318666959163</v>
      </c>
      <c r="AX178" s="40">
        <f t="shared" si="134"/>
        <v>-4.6404376903654931</v>
      </c>
      <c r="AY178">
        <f t="shared" si="135"/>
        <v>4.6404376903654931</v>
      </c>
      <c r="AZ178">
        <f t="shared" si="136"/>
        <v>6.2133721370998023</v>
      </c>
      <c r="BA178">
        <f t="shared" si="137"/>
        <v>-1.4988450367756998</v>
      </c>
      <c r="BB178">
        <f t="shared" si="138"/>
        <v>1.4290318666959163</v>
      </c>
      <c r="BC178">
        <f t="shared" si="139"/>
        <v>-4.6404376903654931</v>
      </c>
      <c r="BD178">
        <f t="shared" si="140"/>
        <v>4.6404376903654931</v>
      </c>
      <c r="BE178" s="40">
        <f t="shared" si="141"/>
        <v>-6.8293186152152092</v>
      </c>
      <c r="BF178" s="40">
        <f t="shared" si="142"/>
        <v>-1.4988450367757</v>
      </c>
      <c r="BG178">
        <f t="shared" si="143"/>
        <v>-1.4988450367757</v>
      </c>
    </row>
    <row r="179" spans="45:59" x14ac:dyDescent="0.25">
      <c r="AS179">
        <v>-5.2359877559840284E-2</v>
      </c>
      <c r="AT179">
        <v>9.5847357248742711</v>
      </c>
      <c r="AU179">
        <v>-102.90879894697731</v>
      </c>
      <c r="AV179">
        <f t="shared" si="132"/>
        <v>-1.477926093802822</v>
      </c>
      <c r="AW179">
        <f t="shared" si="133"/>
        <v>1.4255662162429816</v>
      </c>
      <c r="AX179" s="40">
        <f t="shared" si="134"/>
        <v>-4.6195187473926147</v>
      </c>
      <c r="AY179">
        <f t="shared" si="135"/>
        <v>4.6195187473926147</v>
      </c>
      <c r="AZ179">
        <f t="shared" si="136"/>
        <v>6.2308254296197463</v>
      </c>
      <c r="BA179">
        <f t="shared" si="137"/>
        <v>-1.477926093802822</v>
      </c>
      <c r="BB179">
        <f t="shared" si="138"/>
        <v>1.4255662162429816</v>
      </c>
      <c r="BC179">
        <f t="shared" si="139"/>
        <v>-4.6195187473926147</v>
      </c>
      <c r="BD179">
        <f t="shared" si="140"/>
        <v>4.6195187473926147</v>
      </c>
      <c r="BE179" s="40">
        <f t="shared" si="141"/>
        <v>-6.8502375581880877</v>
      </c>
      <c r="BF179" s="40">
        <f t="shared" si="142"/>
        <v>-1.4779260938028216</v>
      </c>
      <c r="BG179">
        <f t="shared" si="143"/>
        <v>-1.4779260938028216</v>
      </c>
    </row>
    <row r="180" spans="45:59" x14ac:dyDescent="0.25">
      <c r="AS180">
        <v>-3.4906585039896992E-2</v>
      </c>
      <c r="AT180">
        <v>10.879273094407854</v>
      </c>
      <c r="AU180">
        <v>-74.740994060499048</v>
      </c>
      <c r="AV180">
        <f t="shared" si="132"/>
        <v>-1.4262518209692729</v>
      </c>
      <c r="AW180">
        <f t="shared" si="133"/>
        <v>1.3913452359293759</v>
      </c>
      <c r="AX180" s="40">
        <f t="shared" si="134"/>
        <v>-4.5678444745590658</v>
      </c>
      <c r="AY180">
        <f t="shared" si="135"/>
        <v>4.5678444745590658</v>
      </c>
      <c r="AZ180">
        <f t="shared" si="136"/>
        <v>6.2482787221396894</v>
      </c>
      <c r="BA180">
        <f t="shared" si="137"/>
        <v>-1.4262518209692729</v>
      </c>
      <c r="BB180">
        <f t="shared" si="138"/>
        <v>1.3913452359293759</v>
      </c>
      <c r="BC180">
        <f t="shared" si="139"/>
        <v>-4.5678444745590658</v>
      </c>
      <c r="BD180">
        <f t="shared" si="140"/>
        <v>4.5678444745590658</v>
      </c>
      <c r="BE180" s="40">
        <f t="shared" si="141"/>
        <v>-6.9019118310216365</v>
      </c>
      <c r="BF180" s="40">
        <f t="shared" si="142"/>
        <v>-1.4262518209692727</v>
      </c>
      <c r="BG180">
        <f t="shared" si="143"/>
        <v>-1.4262518209692727</v>
      </c>
    </row>
    <row r="181" spans="45:59" x14ac:dyDescent="0.25">
      <c r="AS181">
        <v>-1.7453292519953697E-2</v>
      </c>
      <c r="AT181">
        <v>12.125562606346566</v>
      </c>
      <c r="AU181">
        <v>-41.051081785860049</v>
      </c>
      <c r="AV181">
        <f t="shared" si="132"/>
        <v>-1.2835858087618925</v>
      </c>
      <c r="AW181">
        <f t="shared" si="133"/>
        <v>1.2661325162419388</v>
      </c>
      <c r="AX181" s="40">
        <f t="shared" si="134"/>
        <v>-4.4251784623516857</v>
      </c>
      <c r="AY181">
        <f t="shared" si="135"/>
        <v>4.4251784623516857</v>
      </c>
      <c r="AZ181">
        <f t="shared" si="136"/>
        <v>6.2657320146596325</v>
      </c>
      <c r="BA181">
        <f t="shared" si="137"/>
        <v>-1.2835858087618925</v>
      </c>
      <c r="BB181">
        <f t="shared" si="138"/>
        <v>1.2661325162419388</v>
      </c>
      <c r="BC181">
        <f t="shared" si="139"/>
        <v>-4.4251784623516857</v>
      </c>
      <c r="BD181">
        <f t="shared" si="140"/>
        <v>4.4251784623516857</v>
      </c>
      <c r="BE181" s="40">
        <f t="shared" si="141"/>
        <v>-7.0445778432290167</v>
      </c>
      <c r="BF181" s="40">
        <f t="shared" si="142"/>
        <v>-1.2835858087618925</v>
      </c>
      <c r="BG181">
        <f t="shared" si="143"/>
        <v>-1.2835858087618925</v>
      </c>
    </row>
    <row r="182" spans="45:59" x14ac:dyDescent="0.25">
      <c r="AS182">
        <v>-1.0401401961956935E-14</v>
      </c>
      <c r="AT182">
        <v>13.095753511130328</v>
      </c>
      <c r="AU182">
        <v>-5.708870558700553E-9</v>
      </c>
      <c r="AV182">
        <f t="shared" si="132"/>
        <v>-4.3593295749255486E-10</v>
      </c>
      <c r="AW182">
        <f t="shared" si="133"/>
        <v>4.3592255609059291E-10</v>
      </c>
      <c r="AX182" s="40">
        <f t="shared" si="134"/>
        <v>-3.1415926540257262</v>
      </c>
      <c r="AY182">
        <f t="shared" si="135"/>
        <v>3.1415926540257262</v>
      </c>
      <c r="AZ182">
        <f t="shared" si="136"/>
        <v>6.2831853071795756</v>
      </c>
      <c r="BA182">
        <f t="shared" si="137"/>
        <v>-4.3593295749255486E-10</v>
      </c>
      <c r="BB182">
        <f t="shared" si="138"/>
        <v>4.3592255609059291E-10</v>
      </c>
      <c r="BC182">
        <f t="shared" si="139"/>
        <v>-3.1415926540257262</v>
      </c>
      <c r="BD182">
        <f t="shared" si="140"/>
        <v>3.1415926540257262</v>
      </c>
      <c r="BE182" s="40">
        <f t="shared" si="141"/>
        <v>-8.3281636515549771</v>
      </c>
      <c r="BF182" s="40">
        <f t="shared" si="142"/>
        <v>-4.3593306742195637E-10</v>
      </c>
      <c r="BG182">
        <f t="shared" si="143"/>
        <v>-4.3593306742195637E-10</v>
      </c>
    </row>
    <row r="183" spans="45:59" x14ac:dyDescent="0.25">
      <c r="AS183">
        <v>1.7453292519932894E-2</v>
      </c>
      <c r="AT183">
        <v>12.125562613605041</v>
      </c>
      <c r="AU183">
        <v>41.051081781598441</v>
      </c>
      <c r="AV183">
        <f t="shared" si="132"/>
        <v>1.2835858085710625</v>
      </c>
      <c r="AW183">
        <f t="shared" si="133"/>
        <v>1.2661325160511296</v>
      </c>
      <c r="AX183" s="40">
        <f t="shared" si="134"/>
        <v>-1.8580068450187306</v>
      </c>
      <c r="AY183">
        <f t="shared" si="135"/>
        <v>1.8580068450187306</v>
      </c>
      <c r="BF183" s="40">
        <f t="shared" si="142"/>
        <v>1.2835858085710625</v>
      </c>
    </row>
    <row r="184" spans="45:59" x14ac:dyDescent="0.25">
      <c r="AS184">
        <v>3.490658503987619E-2</v>
      </c>
      <c r="AT184">
        <v>10.879273087080861</v>
      </c>
      <c r="AU184">
        <v>74.740994072355221</v>
      </c>
      <c r="AV184">
        <f t="shared" si="132"/>
        <v>1.4262518210878818</v>
      </c>
      <c r="AW184">
        <f t="shared" si="133"/>
        <v>1.3913452360480056</v>
      </c>
      <c r="AX184" s="40">
        <f t="shared" si="134"/>
        <v>-1.7153408325019113</v>
      </c>
      <c r="AY184">
        <f t="shared" si="135"/>
        <v>1.7153408325019113</v>
      </c>
      <c r="BF184" s="40">
        <f t="shared" si="142"/>
        <v>1.4262518210878818</v>
      </c>
    </row>
    <row r="185" spans="45:59" x14ac:dyDescent="0.25">
      <c r="AS185">
        <v>5.2359877559819482E-2</v>
      </c>
      <c r="AT185">
        <v>9.5847357243808524</v>
      </c>
      <c r="AU185">
        <v>102.90879895135494</v>
      </c>
      <c r="AV185">
        <f t="shared" si="132"/>
        <v>1.4779260938115035</v>
      </c>
      <c r="AW185">
        <f t="shared" si="133"/>
        <v>1.425566216251684</v>
      </c>
      <c r="AX185" s="40">
        <f t="shared" si="134"/>
        <v>-1.6636665597782896</v>
      </c>
      <c r="AY185">
        <f t="shared" si="135"/>
        <v>1.6636665597782896</v>
      </c>
      <c r="BF185" s="40">
        <f t="shared" si="142"/>
        <v>1.4779260938115035</v>
      </c>
    </row>
    <row r="186" spans="45:59" x14ac:dyDescent="0.25">
      <c r="AS186">
        <v>6.9813170079762774E-2</v>
      </c>
      <c r="AT186">
        <v>8.7059103829447047</v>
      </c>
      <c r="AU186">
        <v>120.78840746183118</v>
      </c>
      <c r="AV186">
        <f t="shared" si="132"/>
        <v>1.4988450368240724</v>
      </c>
      <c r="AW186">
        <f t="shared" si="133"/>
        <v>1.4290318667443096</v>
      </c>
      <c r="AX186" s="40">
        <f t="shared" si="134"/>
        <v>-1.6427476167657207</v>
      </c>
      <c r="AY186">
        <f t="shared" si="135"/>
        <v>1.6427476167657207</v>
      </c>
      <c r="BF186" s="40">
        <f t="shared" si="142"/>
        <v>1.4988450368240724</v>
      </c>
    </row>
    <row r="187" spans="45:59" x14ac:dyDescent="0.25">
      <c r="AS187">
        <v>8.7266462599706066E-2</v>
      </c>
      <c r="AT187">
        <v>8.1554731441215296</v>
      </c>
      <c r="AU187">
        <v>134.02023126161606</v>
      </c>
      <c r="AV187">
        <f t="shared" si="132"/>
        <v>1.5100187209637186</v>
      </c>
      <c r="AW187">
        <f t="shared" si="133"/>
        <v>1.4227522583640124</v>
      </c>
      <c r="AX187" s="40">
        <f t="shared" si="134"/>
        <v>-1.6315739326260745</v>
      </c>
      <c r="AY187">
        <f t="shared" si="135"/>
        <v>1.6315739326260745</v>
      </c>
      <c r="BF187" s="40">
        <f t="shared" si="142"/>
        <v>1.5100187209637186</v>
      </c>
    </row>
    <row r="188" spans="45:59" x14ac:dyDescent="0.25">
      <c r="AS188">
        <v>0.10471975511964936</v>
      </c>
      <c r="AT188">
        <v>7.7670395513098249</v>
      </c>
      <c r="AU188">
        <v>144.9988569557807</v>
      </c>
      <c r="AV188">
        <f t="shared" si="132"/>
        <v>1.5172812597061702</v>
      </c>
      <c r="AW188">
        <f t="shared" si="133"/>
        <v>1.412561504586521</v>
      </c>
      <c r="AX188" s="40">
        <f t="shared" si="134"/>
        <v>-1.6243113938836229</v>
      </c>
      <c r="AY188">
        <f t="shared" si="135"/>
        <v>1.6243113938836229</v>
      </c>
      <c r="BF188" s="40">
        <f t="shared" si="142"/>
        <v>1.5172812597061702</v>
      </c>
    </row>
    <row r="189" spans="45:59" x14ac:dyDescent="0.25">
      <c r="AS189">
        <v>0.12217304763959265</v>
      </c>
      <c r="AT189">
        <v>7.5043128237197729</v>
      </c>
      <c r="AU189">
        <v>151.20475747130729</v>
      </c>
      <c r="AV189">
        <f t="shared" si="132"/>
        <v>1.521206878541143</v>
      </c>
      <c r="AW189">
        <f t="shared" si="133"/>
        <v>1.3990338309015504</v>
      </c>
      <c r="AX189" s="40">
        <f t="shared" si="134"/>
        <v>-1.6203857750486501</v>
      </c>
      <c r="AY189">
        <f t="shared" si="135"/>
        <v>1.6203857750486501</v>
      </c>
      <c r="BF189" s="40">
        <f t="shared" si="142"/>
        <v>1.521206878541143</v>
      </c>
    </row>
    <row r="190" spans="45:59" x14ac:dyDescent="0.25">
      <c r="AS190">
        <v>0.13962634015953596</v>
      </c>
      <c r="AT190">
        <v>7.2451075358955253</v>
      </c>
      <c r="AU190">
        <v>159.92428823785826</v>
      </c>
      <c r="AV190">
        <f t="shared" si="132"/>
        <v>1.5255239225562081</v>
      </c>
      <c r="AW190">
        <f t="shared" si="133"/>
        <v>1.3858975823966722</v>
      </c>
      <c r="AX190" s="40">
        <f t="shared" si="134"/>
        <v>-1.6160687310335851</v>
      </c>
      <c r="AY190">
        <f t="shared" si="135"/>
        <v>1.6160687310335851</v>
      </c>
      <c r="BF190" s="40">
        <f t="shared" si="142"/>
        <v>1.5255239225562081</v>
      </c>
    </row>
    <row r="191" spans="45:59" x14ac:dyDescent="0.25">
      <c r="AS191">
        <v>0.15707963267947925</v>
      </c>
      <c r="AT191">
        <v>7.0124830461382048</v>
      </c>
      <c r="AU191">
        <v>168.01271653772949</v>
      </c>
      <c r="AV191">
        <f t="shared" si="132"/>
        <v>1.5290827266497267</v>
      </c>
      <c r="AW191">
        <f t="shared" si="133"/>
        <v>1.3720030939702474</v>
      </c>
      <c r="AX191" s="40">
        <f t="shared" si="134"/>
        <v>-1.6125099269400665</v>
      </c>
      <c r="AY191">
        <f t="shared" si="135"/>
        <v>1.6125099269400665</v>
      </c>
      <c r="BF191" s="40">
        <f t="shared" si="142"/>
        <v>1.5290827266497267</v>
      </c>
    </row>
    <row r="192" spans="45:59" x14ac:dyDescent="0.25">
      <c r="AS192">
        <v>0.17453292519942254</v>
      </c>
      <c r="AT192">
        <v>6.792996685582577</v>
      </c>
      <c r="AU192">
        <v>175.6209094935096</v>
      </c>
      <c r="AV192">
        <f t="shared" si="132"/>
        <v>1.532135714003318</v>
      </c>
      <c r="AW192">
        <f t="shared" si="133"/>
        <v>1.3576027888038955</v>
      </c>
      <c r="AX192" s="40">
        <f t="shared" si="134"/>
        <v>-1.6094569395864751</v>
      </c>
      <c r="AY192">
        <f t="shared" si="135"/>
        <v>1.6094569395864751</v>
      </c>
      <c r="BF192" s="40">
        <f t="shared" si="142"/>
        <v>1.532135714003318</v>
      </c>
    </row>
    <row r="193" spans="45:58" x14ac:dyDescent="0.25">
      <c r="AS193">
        <v>0.19198621771936583</v>
      </c>
      <c r="AT193">
        <v>6.5779914431341702</v>
      </c>
      <c r="AU193">
        <v>182.84870503397633</v>
      </c>
      <c r="AV193">
        <f t="shared" si="132"/>
        <v>1.5348367836930044</v>
      </c>
      <c r="AW193">
        <f t="shared" si="133"/>
        <v>1.3428505659736385</v>
      </c>
      <c r="AX193" s="40">
        <f t="shared" si="134"/>
        <v>-1.6067558698967888</v>
      </c>
      <c r="AY193">
        <f t="shared" si="135"/>
        <v>1.6067558698967888</v>
      </c>
      <c r="BF193" s="40">
        <f t="shared" si="142"/>
        <v>1.5348367836930044</v>
      </c>
    </row>
    <row r="194" spans="45:58" x14ac:dyDescent="0.25">
      <c r="AS194">
        <v>0.20943951023930912</v>
      </c>
      <c r="AT194">
        <v>6.3616321512026737</v>
      </c>
      <c r="AU194">
        <v>189.76656785473335</v>
      </c>
      <c r="AV194">
        <f t="shared" si="132"/>
        <v>1.5372854153960751</v>
      </c>
      <c r="AW194">
        <f t="shared" si="133"/>
        <v>1.3278459051567659</v>
      </c>
      <c r="AX194" s="40">
        <f t="shared" si="134"/>
        <v>-1.604307238193718</v>
      </c>
      <c r="AY194">
        <f t="shared" si="135"/>
        <v>1.604307238193718</v>
      </c>
      <c r="BF194" s="40">
        <f t="shared" si="142"/>
        <v>1.5372854153960751</v>
      </c>
    </row>
    <row r="195" spans="45:58" x14ac:dyDescent="0.25">
      <c r="AS195">
        <v>0.22689280275925242</v>
      </c>
      <c r="AT195">
        <v>6.1406101754300524</v>
      </c>
      <c r="AU195">
        <v>195.5231464990591</v>
      </c>
      <c r="AV195">
        <f t="shared" ref="AV195:AV258" si="144">ATAN2(AT195,AU195)</f>
        <v>1.5394005940172972</v>
      </c>
      <c r="AW195">
        <f t="shared" ref="AW195:AW258" si="145">ABS(AS195-AV195)</f>
        <v>1.3125077912580447</v>
      </c>
      <c r="AX195" s="40">
        <f t="shared" ref="AX195:AX258" si="146">AV195-$U$13</f>
        <v>-1.6021920595724959</v>
      </c>
      <c r="AY195">
        <f t="shared" ref="AY195:AY258" si="147">ABS(AX195)</f>
        <v>1.6021920595724959</v>
      </c>
      <c r="BF195" s="40">
        <f t="shared" ref="BF195:BF258" si="148">AX195+$BJ$4</f>
        <v>1.5394005940172972</v>
      </c>
    </row>
    <row r="196" spans="45:58" x14ac:dyDescent="0.25">
      <c r="AS196">
        <v>0.24434609527919571</v>
      </c>
      <c r="AT196">
        <v>5.9190033741066532</v>
      </c>
      <c r="AU196">
        <v>200.75051517780392</v>
      </c>
      <c r="AV196">
        <f t="shared" si="144"/>
        <v>1.5413204916910492</v>
      </c>
      <c r="AW196">
        <f t="shared" si="145"/>
        <v>1.2969743964118536</v>
      </c>
      <c r="AX196" s="40">
        <f t="shared" si="146"/>
        <v>-1.6002721618987439</v>
      </c>
      <c r="AY196">
        <f t="shared" si="147"/>
        <v>1.6002721618987439</v>
      </c>
      <c r="BF196" s="40">
        <f t="shared" si="148"/>
        <v>1.5413204916910492</v>
      </c>
    </row>
    <row r="197" spans="45:58" x14ac:dyDescent="0.25">
      <c r="AS197">
        <v>0.26179938779913903</v>
      </c>
      <c r="AT197">
        <v>5.6952961230076697</v>
      </c>
      <c r="AU197">
        <v>205.78901663386455</v>
      </c>
      <c r="AV197">
        <f t="shared" si="144"/>
        <v>1.5431279758752174</v>
      </c>
      <c r="AW197">
        <f t="shared" si="145"/>
        <v>1.2813285880760783</v>
      </c>
      <c r="AX197" s="40">
        <f t="shared" si="146"/>
        <v>-1.5984646777145757</v>
      </c>
      <c r="AY197">
        <f t="shared" si="147"/>
        <v>1.5984646777145757</v>
      </c>
      <c r="BF197" s="40">
        <f t="shared" si="148"/>
        <v>1.5431279758752174</v>
      </c>
    </row>
    <row r="198" spans="45:58" x14ac:dyDescent="0.25">
      <c r="AS198">
        <v>0.27925268031908235</v>
      </c>
      <c r="AT198">
        <v>5.4676495481201268</v>
      </c>
      <c r="AU198">
        <v>210.66595689108775</v>
      </c>
      <c r="AV198">
        <f t="shared" si="144"/>
        <v>1.5448480320377698</v>
      </c>
      <c r="AW198">
        <f t="shared" si="145"/>
        <v>1.2655953517186873</v>
      </c>
      <c r="AX198" s="40">
        <f t="shared" si="146"/>
        <v>-1.5967446215520233</v>
      </c>
      <c r="AY198">
        <f t="shared" si="147"/>
        <v>1.5967446215520233</v>
      </c>
      <c r="BF198" s="40">
        <f t="shared" si="148"/>
        <v>1.5448480320377698</v>
      </c>
    </row>
    <row r="199" spans="45:58" x14ac:dyDescent="0.25">
      <c r="AS199">
        <v>0.29670597283902567</v>
      </c>
      <c r="AT199">
        <v>5.2345871436310389</v>
      </c>
      <c r="AU199">
        <v>215.40361368371703</v>
      </c>
      <c r="AV199">
        <f t="shared" si="144"/>
        <v>1.5464998120552722</v>
      </c>
      <c r="AW199">
        <f t="shared" si="145"/>
        <v>1.2497938392162466</v>
      </c>
      <c r="AX199" s="40">
        <f t="shared" si="146"/>
        <v>-1.5950928415345209</v>
      </c>
      <c r="AY199">
        <f t="shared" si="147"/>
        <v>1.5950928415345209</v>
      </c>
      <c r="BF199" s="40">
        <f t="shared" si="148"/>
        <v>1.5464998120552722</v>
      </c>
    </row>
    <row r="200" spans="45:58" x14ac:dyDescent="0.25">
      <c r="AS200">
        <v>0.31415926535896899</v>
      </c>
      <c r="AT200">
        <v>4.994886793812368</v>
      </c>
      <c r="AU200">
        <v>220.0205357561405</v>
      </c>
      <c r="AV200">
        <f t="shared" si="144"/>
        <v>1.548098313816374</v>
      </c>
      <c r="AW200">
        <f t="shared" si="145"/>
        <v>1.2339390484574051</v>
      </c>
      <c r="AX200" s="40">
        <f t="shared" si="146"/>
        <v>-1.5934943397734191</v>
      </c>
      <c r="AY200">
        <f t="shared" si="147"/>
        <v>1.5934943397734191</v>
      </c>
      <c r="BF200" s="40">
        <f t="shared" si="148"/>
        <v>1.548098313816374</v>
      </c>
    </row>
    <row r="201" spans="45:58" x14ac:dyDescent="0.25">
      <c r="AS201">
        <v>0.33161255787891231</v>
      </c>
      <c r="AT201">
        <v>4.7475056381113561</v>
      </c>
      <c r="AU201">
        <v>224.53244366472666</v>
      </c>
      <c r="AV201">
        <f t="shared" si="144"/>
        <v>1.5496555140654518</v>
      </c>
      <c r="AW201">
        <f t="shared" si="145"/>
        <v>1.2180429561865393</v>
      </c>
      <c r="AX201" s="40">
        <f t="shared" si="146"/>
        <v>-1.5919371395243413</v>
      </c>
      <c r="AY201">
        <f t="shared" si="147"/>
        <v>1.5919371395243413</v>
      </c>
      <c r="BF201" s="40">
        <f t="shared" si="148"/>
        <v>1.5496555140654518</v>
      </c>
    </row>
    <row r="202" spans="45:58" x14ac:dyDescent="0.25">
      <c r="AS202">
        <v>0.34906585039885563</v>
      </c>
      <c r="AT202">
        <v>4.491526403125591</v>
      </c>
      <c r="AU202">
        <v>228.95287161207094</v>
      </c>
      <c r="AV202">
        <f t="shared" si="144"/>
        <v>1.5511811531090496</v>
      </c>
      <c r="AW202">
        <f t="shared" si="145"/>
        <v>1.2021153027101938</v>
      </c>
      <c r="AX202" s="40">
        <f t="shared" si="146"/>
        <v>-1.5904115004807435</v>
      </c>
      <c r="AY202">
        <f t="shared" si="147"/>
        <v>1.5904115004807435</v>
      </c>
      <c r="BF202" s="40">
        <f t="shared" si="148"/>
        <v>1.5511811531090496</v>
      </c>
    </row>
    <row r="203" spans="45:58" x14ac:dyDescent="0.25">
      <c r="AS203">
        <v>0.36651914291879895</v>
      </c>
      <c r="AT203">
        <v>4.2261181679657671</v>
      </c>
      <c r="AU203">
        <v>233.29363619521359</v>
      </c>
      <c r="AV203">
        <f t="shared" si="144"/>
        <v>1.5526832909848358</v>
      </c>
      <c r="AW203">
        <f t="shared" si="145"/>
        <v>1.186164148066037</v>
      </c>
      <c r="AX203" s="40">
        <f t="shared" si="146"/>
        <v>-1.5889093626049573</v>
      </c>
      <c r="AY203">
        <f t="shared" si="147"/>
        <v>1.5889093626049573</v>
      </c>
      <c r="BF203" s="40">
        <f t="shared" si="148"/>
        <v>1.5526832909848358</v>
      </c>
    </row>
    <row r="204" spans="45:58" x14ac:dyDescent="0.25">
      <c r="AS204">
        <v>0.38397243543874227</v>
      </c>
      <c r="AT204">
        <v>3.9297491877033108</v>
      </c>
      <c r="AU204">
        <v>236.31690460994642</v>
      </c>
      <c r="AV204">
        <f t="shared" si="144"/>
        <v>1.5541687096343577</v>
      </c>
      <c r="AW204">
        <f t="shared" si="145"/>
        <v>1.1701962741956153</v>
      </c>
      <c r="AX204" s="40">
        <f t="shared" si="146"/>
        <v>-1.5874239439554354</v>
      </c>
      <c r="AY204">
        <f t="shared" si="147"/>
        <v>1.5874239439554354</v>
      </c>
      <c r="BF204" s="40">
        <f t="shared" si="148"/>
        <v>1.5541687096343577</v>
      </c>
    </row>
    <row r="205" spans="45:58" x14ac:dyDescent="0.25">
      <c r="AS205">
        <v>0.40142572795868559</v>
      </c>
      <c r="AT205">
        <v>3.6020858194386447</v>
      </c>
      <c r="AU205">
        <v>237.69433292800881</v>
      </c>
      <c r="AV205">
        <f t="shared" si="144"/>
        <v>1.555643209466244</v>
      </c>
      <c r="AW205">
        <f t="shared" si="145"/>
        <v>1.1542174815075583</v>
      </c>
      <c r="AX205" s="40">
        <f t="shared" si="146"/>
        <v>-1.5859494441235491</v>
      </c>
      <c r="AY205">
        <f t="shared" si="147"/>
        <v>1.5859494441235491</v>
      </c>
      <c r="BF205" s="40">
        <f t="shared" si="148"/>
        <v>1.555643209466244</v>
      </c>
    </row>
    <row r="206" spans="45:58" x14ac:dyDescent="0.25">
      <c r="AS206">
        <v>0.41887902047862891</v>
      </c>
      <c r="AT206">
        <v>3.2712720330015999</v>
      </c>
      <c r="AU206">
        <v>239.03460189999183</v>
      </c>
      <c r="AV206">
        <f t="shared" si="144"/>
        <v>1.5571118317228134</v>
      </c>
      <c r="AW206">
        <f t="shared" si="145"/>
        <v>1.1382328112441846</v>
      </c>
      <c r="AX206" s="40">
        <f t="shared" si="146"/>
        <v>-1.5844808218669797</v>
      </c>
      <c r="AY206">
        <f t="shared" si="147"/>
        <v>1.5844808218669797</v>
      </c>
      <c r="BF206" s="40">
        <f t="shared" si="148"/>
        <v>1.5571118317228134</v>
      </c>
    </row>
    <row r="207" spans="45:58" x14ac:dyDescent="0.25">
      <c r="AS207">
        <v>0.43633231299857222</v>
      </c>
      <c r="AT207">
        <v>2.9364844582028926</v>
      </c>
      <c r="AU207">
        <v>240.34268664319529</v>
      </c>
      <c r="AV207">
        <f t="shared" si="144"/>
        <v>1.5585790282553118</v>
      </c>
      <c r="AW207">
        <f t="shared" si="145"/>
        <v>1.1222467152567397</v>
      </c>
      <c r="AX207" s="40">
        <f t="shared" si="146"/>
        <v>-1.5830136253344813</v>
      </c>
      <c r="AY207">
        <f t="shared" si="147"/>
        <v>1.5830136253344813</v>
      </c>
      <c r="BF207" s="40">
        <f t="shared" si="148"/>
        <v>1.5585790282553118</v>
      </c>
    </row>
    <row r="208" spans="45:58" x14ac:dyDescent="0.25">
      <c r="AS208">
        <v>0.45378560551851554</v>
      </c>
      <c r="AT208">
        <v>2.5969504696712251</v>
      </c>
      <c r="AU208">
        <v>241.62290972187611</v>
      </c>
      <c r="AV208">
        <f t="shared" si="144"/>
        <v>1.5600487926265445</v>
      </c>
      <c r="AW208">
        <f t="shared" si="145"/>
        <v>1.1062631871080288</v>
      </c>
      <c r="AX208" s="40">
        <f t="shared" si="146"/>
        <v>-1.5815438609632486</v>
      </c>
      <c r="AY208">
        <f t="shared" si="147"/>
        <v>1.5815438609632486</v>
      </c>
      <c r="BF208" s="40">
        <f t="shared" si="148"/>
        <v>1.5600487926265445</v>
      </c>
    </row>
    <row r="209" spans="45:58" x14ac:dyDescent="0.25">
      <c r="AS209">
        <v>0.47123889803845886</v>
      </c>
      <c r="AT209">
        <v>2.2519331297586689</v>
      </c>
      <c r="AU209">
        <v>242.87906550862968</v>
      </c>
      <c r="AV209">
        <f t="shared" si="144"/>
        <v>1.5615247636082206</v>
      </c>
      <c r="AW209">
        <f t="shared" si="145"/>
        <v>1.0902858655697618</v>
      </c>
      <c r="AX209" s="40">
        <f t="shared" si="146"/>
        <v>-1.5800678899815725</v>
      </c>
      <c r="AY209">
        <f t="shared" si="147"/>
        <v>1.5800678899815725</v>
      </c>
      <c r="BF209" s="40">
        <f t="shared" si="148"/>
        <v>1.5615247636082206</v>
      </c>
    </row>
    <row r="210" spans="45:58" x14ac:dyDescent="0.25">
      <c r="AS210">
        <v>0.48869219055840218</v>
      </c>
      <c r="AT210">
        <v>1.9007188021568879</v>
      </c>
      <c r="AU210">
        <v>244.11451831747911</v>
      </c>
      <c r="AV210">
        <f t="shared" si="144"/>
        <v>1.5630103073210018</v>
      </c>
      <c r="AW210">
        <f t="shared" si="145"/>
        <v>1.0743181167625995</v>
      </c>
      <c r="AX210" s="40">
        <f t="shared" si="146"/>
        <v>-1.5785823462687913</v>
      </c>
      <c r="AY210">
        <f t="shared" si="147"/>
        <v>1.5785823462687913</v>
      </c>
      <c r="BF210" s="40">
        <f t="shared" si="148"/>
        <v>1.5630103073210018</v>
      </c>
    </row>
    <row r="211" spans="45:58" x14ac:dyDescent="0.25">
      <c r="AS211">
        <v>0.5061454830783455</v>
      </c>
      <c r="AT211">
        <v>1.5426064520811338</v>
      </c>
      <c r="AU211">
        <v>245.33228007732512</v>
      </c>
      <c r="AV211">
        <f t="shared" si="144"/>
        <v>1.5645085846266074</v>
      </c>
      <c r="AW211">
        <f t="shared" si="145"/>
        <v>1.0583631015482617</v>
      </c>
      <c r="AX211" s="40">
        <f t="shared" si="146"/>
        <v>-1.5770840689631858</v>
      </c>
      <c r="AY211">
        <f t="shared" si="147"/>
        <v>1.5770840689631858</v>
      </c>
      <c r="BF211" s="40">
        <f t="shared" si="148"/>
        <v>1.5645085846266074</v>
      </c>
    </row>
    <row r="212" spans="45:58" x14ac:dyDescent="0.25">
      <c r="AS212">
        <v>0.52359877559828882</v>
      </c>
      <c r="AT212">
        <v>1.1768985451713037</v>
      </c>
      <c r="AU212">
        <v>246.53507327666335</v>
      </c>
      <c r="AV212">
        <f t="shared" si="144"/>
        <v>1.5660226060028259</v>
      </c>
      <c r="AW212">
        <f t="shared" si="145"/>
        <v>1.042423830404537</v>
      </c>
      <c r="AX212" s="40">
        <f t="shared" si="146"/>
        <v>-1.5755700475869672</v>
      </c>
      <c r="AY212">
        <f t="shared" si="147"/>
        <v>1.5755700475869672</v>
      </c>
      <c r="BF212" s="40">
        <f t="shared" si="148"/>
        <v>1.5660226060028259</v>
      </c>
    </row>
    <row r="213" spans="45:58" x14ac:dyDescent="0.25">
      <c r="AS213">
        <v>0.54105206811823214</v>
      </c>
      <c r="AT213">
        <v>0.80289281904151155</v>
      </c>
      <c r="AU213">
        <v>247.72538188917434</v>
      </c>
      <c r="AV213">
        <f t="shared" si="144"/>
        <v>1.5675552781723645</v>
      </c>
      <c r="AW213">
        <f t="shared" si="145"/>
        <v>1.0265032100541323</v>
      </c>
      <c r="AX213" s="40">
        <f t="shared" si="146"/>
        <v>-1.5740373754174286</v>
      </c>
      <c r="AY213">
        <f t="shared" si="147"/>
        <v>1.5740373754174286</v>
      </c>
      <c r="BF213" s="40">
        <f t="shared" si="148"/>
        <v>1.5675552781723645</v>
      </c>
    </row>
    <row r="214" spans="45:58" x14ac:dyDescent="0.25">
      <c r="AS214">
        <v>0.55850536063817546</v>
      </c>
      <c r="AT214">
        <v>0.41987481643113822</v>
      </c>
      <c r="AU214">
        <v>248.90549335934386</v>
      </c>
      <c r="AV214">
        <f t="shared" si="144"/>
        <v>1.5691094439041149</v>
      </c>
      <c r="AW214">
        <f t="shared" si="145"/>
        <v>1.0106040832659393</v>
      </c>
      <c r="AX214" s="40">
        <f t="shared" si="146"/>
        <v>-1.5724832096856782</v>
      </c>
      <c r="AY214">
        <f t="shared" si="147"/>
        <v>1.5724832096856782</v>
      </c>
      <c r="BF214" s="40">
        <f t="shared" si="148"/>
        <v>1.5691094439041149</v>
      </c>
    </row>
    <row r="215" spans="45:58" x14ac:dyDescent="0.25">
      <c r="AS215">
        <v>0.57595865315811878</v>
      </c>
      <c r="AT215">
        <v>2.7110890574999758E-2</v>
      </c>
      <c r="AU215">
        <v>250.07753352682641</v>
      </c>
      <c r="AV215">
        <f t="shared" si="144"/>
        <v>1.5706879168546415</v>
      </c>
      <c r="AW215">
        <f t="shared" si="145"/>
        <v>0.9947292636965227</v>
      </c>
      <c r="AX215" s="40">
        <f t="shared" si="146"/>
        <v>-1.5709047367351516</v>
      </c>
      <c r="AY215">
        <f t="shared" si="147"/>
        <v>1.5709047367351516</v>
      </c>
      <c r="BF215" s="40">
        <f t="shared" si="148"/>
        <v>1.5706879168546415</v>
      </c>
    </row>
    <row r="216" spans="45:58" x14ac:dyDescent="0.25">
      <c r="AS216">
        <v>0.5934119456780621</v>
      </c>
      <c r="AT216">
        <v>-0.3761584907317399</v>
      </c>
      <c r="AU216">
        <v>251.24349607707927</v>
      </c>
      <c r="AV216">
        <f t="shared" si="144"/>
        <v>1.5722935126546054</v>
      </c>
      <c r="AW216">
        <f t="shared" si="145"/>
        <v>0.97888156697654327</v>
      </c>
      <c r="AX216" s="40">
        <f t="shared" si="146"/>
        <v>-1.5692991409351877</v>
      </c>
      <c r="AY216">
        <f t="shared" si="147"/>
        <v>1.5692991409351877</v>
      </c>
      <c r="BF216" s="40">
        <f t="shared" si="148"/>
        <v>1.5722935126546054</v>
      </c>
    </row>
    <row r="217" spans="45:58" x14ac:dyDescent="0.25">
      <c r="AS217">
        <v>0.61086523819800542</v>
      </c>
      <c r="AT217">
        <v>-0.79072535381621956</v>
      </c>
      <c r="AU217">
        <v>252.40526759775872</v>
      </c>
      <c r="AV217">
        <f t="shared" si="144"/>
        <v>1.5739290774485597</v>
      </c>
      <c r="AW217">
        <f t="shared" si="145"/>
        <v>0.96306383925055428</v>
      </c>
      <c r="AX217" s="40">
        <f t="shared" si="146"/>
        <v>-1.5676635761412334</v>
      </c>
      <c r="AY217">
        <f t="shared" si="147"/>
        <v>1.5676635761412334</v>
      </c>
      <c r="BF217" s="40">
        <f t="shared" si="148"/>
        <v>1.5739290774485597</v>
      </c>
    </row>
    <row r="218" spans="45:58" x14ac:dyDescent="0.25">
      <c r="AS218">
        <v>0.62831853071794874</v>
      </c>
      <c r="AT218">
        <v>-1.2174208864613432</v>
      </c>
      <c r="AU218">
        <v>253.56464917375087</v>
      </c>
      <c r="AV218">
        <f t="shared" si="144"/>
        <v>1.57559751472071</v>
      </c>
      <c r="AW218">
        <f t="shared" si="145"/>
        <v>0.94727898400276123</v>
      </c>
      <c r="AX218" s="40">
        <f t="shared" si="146"/>
        <v>-1.5659951388690831</v>
      </c>
      <c r="AY218">
        <f t="shared" si="147"/>
        <v>1.5659951388690831</v>
      </c>
      <c r="BF218" s="40">
        <f t="shared" si="148"/>
        <v>1.57559751472071</v>
      </c>
    </row>
    <row r="219" spans="45:58" x14ac:dyDescent="0.25">
      <c r="AS219">
        <v>0.64577182323789206</v>
      </c>
      <c r="AT219">
        <v>-1.657122293332276</v>
      </c>
      <c r="AU219">
        <v>254.72337527330356</v>
      </c>
      <c r="AV219">
        <f t="shared" si="144"/>
        <v>1.5773018110846055</v>
      </c>
      <c r="AW219">
        <f t="shared" si="145"/>
        <v>0.93152998784671348</v>
      </c>
      <c r="AX219" s="40">
        <f t="shared" si="146"/>
        <v>-1.5642908425051876</v>
      </c>
      <c r="AY219">
        <f t="shared" si="147"/>
        <v>1.5642908425051876</v>
      </c>
      <c r="BF219" s="40">
        <f t="shared" si="148"/>
        <v>1.5773018110846055</v>
      </c>
    </row>
    <row r="220" spans="45:58" x14ac:dyDescent="0.25">
      <c r="AS220">
        <v>0.66322511575783538</v>
      </c>
      <c r="AT220">
        <v>-2.1107599020224881</v>
      </c>
      <c r="AU220">
        <v>255.88313068804226</v>
      </c>
      <c r="AV220">
        <f t="shared" si="144"/>
        <v>1.5790450613752258</v>
      </c>
      <c r="AW220">
        <f t="shared" si="145"/>
        <v>0.91581994561739044</v>
      </c>
      <c r="AX220" s="40">
        <f t="shared" si="146"/>
        <v>-1.5625475922145673</v>
      </c>
      <c r="AY220">
        <f t="shared" si="147"/>
        <v>1.5625475922145673</v>
      </c>
      <c r="BF220" s="40">
        <f t="shared" si="148"/>
        <v>1.5790450613752258</v>
      </c>
    </row>
    <row r="221" spans="45:58" x14ac:dyDescent="0.25">
      <c r="AS221">
        <v>0.6806784082777787</v>
      </c>
      <c r="AT221">
        <v>-2.5793248080930482</v>
      </c>
      <c r="AU221">
        <v>257.04556561508593</v>
      </c>
      <c r="AV221">
        <f t="shared" si="144"/>
        <v>1.5808304942208813</v>
      </c>
      <c r="AW221">
        <f t="shared" si="145"/>
        <v>0.90015208594310259</v>
      </c>
      <c r="AX221" s="40">
        <f t="shared" si="146"/>
        <v>-1.5607621593689118</v>
      </c>
      <c r="AY221">
        <f t="shared" si="147"/>
        <v>1.5607621593689118</v>
      </c>
      <c r="BF221" s="40">
        <f t="shared" si="148"/>
        <v>1.5808304942208813</v>
      </c>
    </row>
    <row r="222" spans="45:58" x14ac:dyDescent="0.25">
      <c r="AS222">
        <v>0.69813170079772202</v>
      </c>
      <c r="AT222">
        <v>-3.0638770500215</v>
      </c>
      <c r="AU222">
        <v>258.21230963725543</v>
      </c>
      <c r="AV222">
        <f t="shared" si="144"/>
        <v>1.5826614980297686</v>
      </c>
      <c r="AW222">
        <f t="shared" si="145"/>
        <v>0.88452979723204661</v>
      </c>
      <c r="AX222" s="40">
        <f t="shared" si="146"/>
        <v>-1.5589311555600245</v>
      </c>
      <c r="AY222">
        <f t="shared" si="147"/>
        <v>1.5589311555600245</v>
      </c>
      <c r="BF222" s="40">
        <f t="shared" si="148"/>
        <v>1.5826614980297686</v>
      </c>
    </row>
    <row r="223" spans="45:58" x14ac:dyDescent="0.25">
      <c r="AS223">
        <v>0.71558499331766534</v>
      </c>
      <c r="AT223">
        <v>-3.5655545149247017</v>
      </c>
      <c r="AU223">
        <v>259.38498479677389</v>
      </c>
      <c r="AV223">
        <f t="shared" si="144"/>
        <v>1.5845416481116492</v>
      </c>
      <c r="AW223">
        <f t="shared" si="145"/>
        <v>0.86895665479398387</v>
      </c>
      <c r="AX223" s="40">
        <f t="shared" si="146"/>
        <v>-1.5570510054781439</v>
      </c>
      <c r="AY223">
        <f t="shared" si="147"/>
        <v>1.5570510054781439</v>
      </c>
      <c r="BF223" s="40">
        <f t="shared" si="148"/>
        <v>1.5845416481116492</v>
      </c>
    </row>
    <row r="224" spans="45:58" x14ac:dyDescent="0.25">
      <c r="AS224">
        <v>0.73303828583760866</v>
      </c>
      <c r="AT224">
        <v>-4.0855827867291961</v>
      </c>
      <c r="AU224">
        <v>260.56521791151306</v>
      </c>
      <c r="AV224">
        <f t="shared" si="144"/>
        <v>1.5864747356460169</v>
      </c>
      <c r="AW224">
        <f t="shared" si="145"/>
        <v>0.85343644980840827</v>
      </c>
      <c r="AX224" s="40">
        <f t="shared" si="146"/>
        <v>-1.5551179179437762</v>
      </c>
      <c r="AY224">
        <f t="shared" si="147"/>
        <v>1.5551179179437762</v>
      </c>
      <c r="BF224" s="40">
        <f t="shared" si="148"/>
        <v>1.5864747356460169</v>
      </c>
    </row>
    <row r="225" spans="45:58" x14ac:dyDescent="0.25">
      <c r="AS225">
        <v>0.75049157835755198</v>
      </c>
      <c r="AT225">
        <v>-4.6252859288025601</v>
      </c>
      <c r="AU225">
        <v>261.75465286080282</v>
      </c>
      <c r="AV225">
        <f t="shared" si="144"/>
        <v>1.5884647982771518</v>
      </c>
      <c r="AW225">
        <f t="shared" si="145"/>
        <v>0.83797321991959983</v>
      </c>
      <c r="AX225" s="40">
        <f t="shared" si="146"/>
        <v>-1.5531278553126413</v>
      </c>
      <c r="AY225">
        <f t="shared" si="147"/>
        <v>1.5531278553126413</v>
      </c>
      <c r="BF225" s="40">
        <f t="shared" si="148"/>
        <v>1.5884647982771518</v>
      </c>
    </row>
    <row r="226" spans="45:58" x14ac:dyDescent="0.25">
      <c r="AS226">
        <v>0.7679448708774953</v>
      </c>
      <c r="AT226">
        <v>-5.1860987276433779</v>
      </c>
      <c r="AU226">
        <v>262.9549622327159</v>
      </c>
      <c r="AV226">
        <f t="shared" si="144"/>
        <v>1.5905161541905433</v>
      </c>
      <c r="AW226">
        <f t="shared" si="145"/>
        <v>0.82257128331304796</v>
      </c>
      <c r="AX226" s="40">
        <f t="shared" si="146"/>
        <v>-1.5510764993992499</v>
      </c>
      <c r="AY226">
        <f t="shared" si="147"/>
        <v>1.5510764993992499</v>
      </c>
      <c r="BF226" s="40">
        <f t="shared" si="148"/>
        <v>1.5905161541905433</v>
      </c>
    </row>
    <row r="227" spans="45:58" x14ac:dyDescent="0.25">
      <c r="AS227">
        <v>0.78539816339743862</v>
      </c>
      <c r="AT227">
        <v>-5.7695802490885395</v>
      </c>
      <c r="AU227">
        <v>264.16785952359544</v>
      </c>
      <c r="AV227">
        <f t="shared" si="144"/>
        <v>1.5926334387636394</v>
      </c>
      <c r="AW227">
        <f t="shared" si="145"/>
        <v>0.80723527536620077</v>
      </c>
      <c r="AX227" s="40">
        <f t="shared" si="146"/>
        <v>-1.5489592148261537</v>
      </c>
      <c r="AY227">
        <f t="shared" si="147"/>
        <v>1.5489592148261537</v>
      </c>
      <c r="BF227" s="40">
        <f t="shared" si="148"/>
        <v>1.5926334387636394</v>
      </c>
    </row>
    <row r="228" spans="45:58" x14ac:dyDescent="0.25">
      <c r="AS228">
        <v>0.80285145591738194</v>
      </c>
      <c r="AT228">
        <v>-6.3774292322624371</v>
      </c>
      <c r="AU228">
        <v>265.39511143833693</v>
      </c>
      <c r="AV228">
        <f t="shared" si="144"/>
        <v>1.5948216454950725</v>
      </c>
      <c r="AW228">
        <f t="shared" si="145"/>
        <v>0.79197018957769061</v>
      </c>
      <c r="AX228" s="40">
        <f t="shared" si="146"/>
        <v>-1.5467710080947206</v>
      </c>
      <c r="AY228">
        <f t="shared" si="147"/>
        <v>1.5467710080947206</v>
      </c>
      <c r="BF228" s="40">
        <f t="shared" si="148"/>
        <v>1.5948216454950725</v>
      </c>
    </row>
    <row r="229" spans="45:58" x14ac:dyDescent="0.25">
      <c r="AS229">
        <v>0.82030474843732526</v>
      </c>
      <c r="AT229">
        <v>-7.0115015646062204</v>
      </c>
      <c r="AU229">
        <v>266.63855068084047</v>
      </c>
      <c r="AV229">
        <f t="shared" si="144"/>
        <v>1.597086171700199</v>
      </c>
      <c r="AW229">
        <f t="shared" si="145"/>
        <v>0.77678142326287369</v>
      </c>
      <c r="AX229" s="40">
        <f t="shared" si="146"/>
        <v>-1.5445064818895942</v>
      </c>
      <c r="AY229">
        <f t="shared" si="147"/>
        <v>1.5445064818895942</v>
      </c>
      <c r="BF229" s="40">
        <f t="shared" si="148"/>
        <v>1.597086171700199</v>
      </c>
    </row>
    <row r="230" spans="45:58" x14ac:dyDescent="0.25">
      <c r="AS230">
        <v>0.83775804095726858</v>
      </c>
      <c r="AT230">
        <v>-7.67383015248019</v>
      </c>
      <c r="AU230">
        <v>267.90008960316527</v>
      </c>
      <c r="AV230">
        <f t="shared" si="144"/>
        <v>1.5994328696330431</v>
      </c>
      <c r="AW230">
        <f t="shared" si="145"/>
        <v>0.76167482867577452</v>
      </c>
      <c r="AX230" s="40">
        <f t="shared" si="146"/>
        <v>-1.54215978395675</v>
      </c>
      <c r="AY230">
        <f t="shared" si="147"/>
        <v>1.54215978395675</v>
      </c>
      <c r="BF230" s="40">
        <f t="shared" si="148"/>
        <v>1.5994328696330431</v>
      </c>
    </row>
    <row r="231" spans="45:58" x14ac:dyDescent="0.25">
      <c r="AS231">
        <v>0.8552113334772119</v>
      </c>
      <c r="AT231">
        <v>-8.3666476945972583</v>
      </c>
      <c r="AU231">
        <v>269.18173477300047</v>
      </c>
      <c r="AV231">
        <f t="shared" si="144"/>
        <v>1.6018681043310437</v>
      </c>
      <c r="AW231">
        <f t="shared" si="145"/>
        <v>0.74665677085383175</v>
      </c>
      <c r="AX231" s="40">
        <f t="shared" si="146"/>
        <v>-1.5397245492587495</v>
      </c>
      <c r="AY231">
        <f t="shared" si="147"/>
        <v>1.5397245492587495</v>
      </c>
      <c r="BF231" s="40">
        <f t="shared" si="148"/>
        <v>1.6018681043310437</v>
      </c>
    </row>
    <row r="232" spans="45:58" x14ac:dyDescent="0.25">
      <c r="AS232">
        <v>0.87266462599715522</v>
      </c>
      <c r="AT232">
        <v>-9.0924128679879566</v>
      </c>
      <c r="AU232">
        <v>270.48560276113369</v>
      </c>
      <c r="AV232">
        <f t="shared" si="144"/>
        <v>1.6043988193234915</v>
      </c>
      <c r="AW232">
        <f t="shared" si="145"/>
        <v>0.73173419332633627</v>
      </c>
      <c r="AX232" s="40">
        <f t="shared" si="146"/>
        <v>-1.5371938342663016</v>
      </c>
      <c r="AY232">
        <f t="shared" si="147"/>
        <v>1.5371938342663016</v>
      </c>
      <c r="BF232" s="40">
        <f t="shared" si="148"/>
        <v>1.6043988193234915</v>
      </c>
    </row>
    <row r="233" spans="45:58" x14ac:dyDescent="0.25">
      <c r="AS233">
        <v>0.89011791851709854</v>
      </c>
      <c r="AT233">
        <v>-9.853840535037488</v>
      </c>
      <c r="AU233">
        <v>271.81393750723237</v>
      </c>
      <c r="AV233">
        <f t="shared" si="144"/>
        <v>1.6070326115336073</v>
      </c>
      <c r="AW233">
        <f t="shared" si="145"/>
        <v>0.71691469301650879</v>
      </c>
      <c r="AX233" s="40">
        <f t="shared" si="146"/>
        <v>-1.5345600420561858</v>
      </c>
      <c r="AY233">
        <f t="shared" si="147"/>
        <v>1.5345600420561858</v>
      </c>
      <c r="BF233" s="40">
        <f t="shared" si="148"/>
        <v>1.6070326115336073</v>
      </c>
    </row>
    <row r="234" spans="45:58" x14ac:dyDescent="0.25">
      <c r="AS234">
        <v>0.90757121103704186</v>
      </c>
      <c r="AT234">
        <v>-10.653936740892817</v>
      </c>
      <c r="AU234">
        <v>273.16912959107276</v>
      </c>
      <c r="AV234">
        <f t="shared" si="144"/>
        <v>1.6097778170905384</v>
      </c>
      <c r="AW234">
        <f t="shared" si="145"/>
        <v>0.7022066060534965</v>
      </c>
      <c r="AX234" s="40">
        <f t="shared" si="146"/>
        <v>-1.5318148364992548</v>
      </c>
      <c r="AY234">
        <f t="shared" si="147"/>
        <v>1.5318148364992548</v>
      </c>
      <c r="BF234" s="40">
        <f t="shared" si="148"/>
        <v>1.6097778170905384</v>
      </c>
    </row>
    <row r="235" spans="45:58" x14ac:dyDescent="0.25">
      <c r="AS235">
        <v>0.92502450355698518</v>
      </c>
      <c r="AT235">
        <v>-11.49603944992171</v>
      </c>
      <c r="AU235">
        <v>274.55373775215031</v>
      </c>
      <c r="AV235">
        <f t="shared" si="144"/>
        <v>1.6126436101634301</v>
      </c>
      <c r="AW235">
        <f t="shared" si="145"/>
        <v>0.68761910660644487</v>
      </c>
      <c r="AX235" s="40">
        <f t="shared" si="146"/>
        <v>-1.5289490434263631</v>
      </c>
      <c r="AY235">
        <f t="shared" si="147"/>
        <v>1.5289490434263631</v>
      </c>
      <c r="BF235" s="40">
        <f t="shared" si="148"/>
        <v>1.6126436101634301</v>
      </c>
    </row>
    <row r="236" spans="45:58" x14ac:dyDescent="0.25">
      <c r="AS236">
        <v>0.9424777960769285</v>
      </c>
      <c r="AT236">
        <v>-12.383866165132538</v>
      </c>
      <c r="AU236">
        <v>275.97051310226698</v>
      </c>
      <c r="AV236">
        <f t="shared" si="144"/>
        <v>1.6156401173029615</v>
      </c>
      <c r="AW236">
        <f t="shared" si="145"/>
        <v>0.67316232122603303</v>
      </c>
      <c r="AX236" s="40">
        <f t="shared" si="146"/>
        <v>-1.5259525362868316</v>
      </c>
      <c r="AY236">
        <f t="shared" si="147"/>
        <v>1.5259525362868316</v>
      </c>
      <c r="BF236" s="40">
        <f t="shared" si="148"/>
        <v>1.6156401173029615</v>
      </c>
    </row>
    <row r="237" spans="45:58" x14ac:dyDescent="0.25">
      <c r="AS237">
        <v>0.95993108859687182</v>
      </c>
      <c r="AT237">
        <v>-13.321569815034154</v>
      </c>
      <c r="AU237">
        <v>277.42242662332819</v>
      </c>
      <c r="AV237">
        <f t="shared" si="144"/>
        <v>1.618778550216849</v>
      </c>
      <c r="AW237">
        <f t="shared" si="145"/>
        <v>0.6588474616199772</v>
      </c>
      <c r="AX237" s="40">
        <f t="shared" si="146"/>
        <v>-1.5228141033729441</v>
      </c>
      <c r="AY237">
        <f t="shared" si="147"/>
        <v>1.5228141033729441</v>
      </c>
      <c r="BF237" s="40">
        <f t="shared" si="148"/>
        <v>1.618778550216849</v>
      </c>
    </row>
    <row r="238" spans="45:58" x14ac:dyDescent="0.25">
      <c r="AS238">
        <v>0.97738438111681514</v>
      </c>
      <c r="AT238">
        <v>-14.099340507673446</v>
      </c>
      <c r="AU238">
        <v>278.10875805128535</v>
      </c>
      <c r="AV238">
        <f t="shared" si="144"/>
        <v>1.6214501781433333</v>
      </c>
      <c r="AW238">
        <f t="shared" si="145"/>
        <v>0.64406579702651812</v>
      </c>
      <c r="AX238" s="40">
        <f t="shared" si="146"/>
        <v>-1.5201424754464599</v>
      </c>
      <c r="AY238">
        <f t="shared" si="147"/>
        <v>1.5201424754464599</v>
      </c>
      <c r="BF238" s="40">
        <f t="shared" si="148"/>
        <v>1.6214501781433333</v>
      </c>
    </row>
    <row r="239" spans="45:58" x14ac:dyDescent="0.25">
      <c r="AS239">
        <v>0.99483767363675846</v>
      </c>
      <c r="AT239">
        <v>-14.844034648082648</v>
      </c>
      <c r="AU239">
        <v>278.55137475650179</v>
      </c>
      <c r="AV239">
        <f t="shared" si="144"/>
        <v>1.6240360819826833</v>
      </c>
      <c r="AW239">
        <f t="shared" si="145"/>
        <v>0.62919840834592489</v>
      </c>
      <c r="AX239" s="40">
        <f t="shared" si="146"/>
        <v>-1.5175565716071098</v>
      </c>
      <c r="AY239">
        <f t="shared" si="147"/>
        <v>1.5175565716071098</v>
      </c>
      <c r="BF239" s="40">
        <f t="shared" si="148"/>
        <v>1.6240360819826833</v>
      </c>
    </row>
    <row r="240" spans="45:58" x14ac:dyDescent="0.25">
      <c r="AS240">
        <v>1.0122909661567017</v>
      </c>
      <c r="AT240">
        <v>-15.621411656958777</v>
      </c>
      <c r="AU240">
        <v>278.99469812380499</v>
      </c>
      <c r="AV240">
        <f t="shared" si="144"/>
        <v>1.6267297105053533</v>
      </c>
      <c r="AW240">
        <f t="shared" si="145"/>
        <v>0.61443874434865164</v>
      </c>
      <c r="AX240" s="40">
        <f t="shared" si="146"/>
        <v>-1.5148629430844398</v>
      </c>
      <c r="AY240">
        <f t="shared" si="147"/>
        <v>1.5148629430844398</v>
      </c>
      <c r="BF240" s="40">
        <f t="shared" si="148"/>
        <v>1.6267297105053533</v>
      </c>
    </row>
    <row r="241" spans="45:58" x14ac:dyDescent="0.25">
      <c r="AS241">
        <v>1.029744258676645</v>
      </c>
      <c r="AT241">
        <v>-16.434627668286275</v>
      </c>
      <c r="AU241">
        <v>279.43947935358489</v>
      </c>
      <c r="AV241">
        <f t="shared" si="144"/>
        <v>1.6295414908160495</v>
      </c>
      <c r="AW241">
        <f t="shared" si="145"/>
        <v>0.5997972321394045</v>
      </c>
      <c r="AX241" s="40">
        <f t="shared" si="146"/>
        <v>-1.5120511627737436</v>
      </c>
      <c r="AY241">
        <f t="shared" si="147"/>
        <v>1.5120511627737436</v>
      </c>
      <c r="BF241" s="40">
        <f t="shared" si="148"/>
        <v>1.6295414908160495</v>
      </c>
    </row>
    <row r="242" spans="45:58" x14ac:dyDescent="0.25">
      <c r="AS242">
        <v>1.0471975511965883</v>
      </c>
      <c r="AT242">
        <v>-17.287230706151092</v>
      </c>
      <c r="AU242">
        <v>279.88650036273395</v>
      </c>
      <c r="AV242">
        <f t="shared" si="144"/>
        <v>1.6324831093117809</v>
      </c>
      <c r="AW242">
        <f t="shared" si="145"/>
        <v>0.58528555811519256</v>
      </c>
      <c r="AX242" s="40">
        <f t="shared" si="146"/>
        <v>-1.5091095442780122</v>
      </c>
      <c r="AY242">
        <f t="shared" si="147"/>
        <v>1.5091095442780122</v>
      </c>
      <c r="BF242" s="40">
        <f t="shared" si="148"/>
        <v>1.6324831093117809</v>
      </c>
    </row>
    <row r="243" spans="45:58" x14ac:dyDescent="0.25">
      <c r="AS243">
        <v>1.0646508437165316</v>
      </c>
      <c r="AT243">
        <v>-18.183226562213711</v>
      </c>
      <c r="AU243">
        <v>280.33658188832396</v>
      </c>
      <c r="AV243">
        <f t="shared" si="144"/>
        <v>1.6355677208525699</v>
      </c>
      <c r="AW243">
        <f t="shared" si="145"/>
        <v>0.57091687713603823</v>
      </c>
      <c r="AX243" s="40">
        <f t="shared" si="146"/>
        <v>-1.5060249327372233</v>
      </c>
      <c r="AY243">
        <f t="shared" si="147"/>
        <v>1.5060249327372233</v>
      </c>
      <c r="BF243" s="40">
        <f t="shared" si="148"/>
        <v>1.6355677208525699</v>
      </c>
    </row>
    <row r="244" spans="45:58" x14ac:dyDescent="0.25">
      <c r="AS244">
        <v>1.0821041362364749</v>
      </c>
      <c r="AT244">
        <v>-19.12715827092731</v>
      </c>
      <c r="AU244">
        <v>280.79059296369365</v>
      </c>
      <c r="AV244">
        <f t="shared" si="144"/>
        <v>1.6388102000962248</v>
      </c>
      <c r="AW244">
        <f t="shared" si="145"/>
        <v>0.55670606385974986</v>
      </c>
      <c r="AX244" s="40">
        <f t="shared" si="146"/>
        <v>-1.5027824534935683</v>
      </c>
      <c r="AY244">
        <f t="shared" si="147"/>
        <v>1.5027824534935683</v>
      </c>
      <c r="BF244" s="40">
        <f t="shared" si="148"/>
        <v>1.6388102000962248</v>
      </c>
    </row>
    <row r="245" spans="45:58" x14ac:dyDescent="0.25">
      <c r="AS245">
        <v>1.0995574287564183</v>
      </c>
      <c r="AT245">
        <v>-20.124202670153551</v>
      </c>
      <c r="AU245">
        <v>281.24946200136833</v>
      </c>
      <c r="AV245">
        <f t="shared" si="144"/>
        <v>1.6422274456424693</v>
      </c>
      <c r="AW245">
        <f t="shared" si="145"/>
        <v>0.54267001688605099</v>
      </c>
      <c r="AX245" s="40">
        <f t="shared" si="146"/>
        <v>-1.4993652079473239</v>
      </c>
      <c r="AY245">
        <f t="shared" si="147"/>
        <v>1.4993652079473239</v>
      </c>
      <c r="BF245" s="40">
        <f t="shared" si="148"/>
        <v>1.6422274456424693</v>
      </c>
    </row>
    <row r="246" spans="45:58" x14ac:dyDescent="0.25">
      <c r="AS246">
        <v>1.1170107212763616</v>
      </c>
      <c r="AT246">
        <v>-21.180288716335276</v>
      </c>
      <c r="AU246">
        <v>281.71418922643517</v>
      </c>
      <c r="AV246">
        <f t="shared" si="144"/>
        <v>1.6458387513811801</v>
      </c>
      <c r="AW246">
        <f t="shared" si="145"/>
        <v>0.52882803010481849</v>
      </c>
      <c r="AX246" s="40">
        <f t="shared" si="146"/>
        <v>-1.495753902208613</v>
      </c>
      <c r="AY246">
        <f t="shared" si="147"/>
        <v>1.495753902208613</v>
      </c>
      <c r="BF246" s="40">
        <f t="shared" si="148"/>
        <v>1.6458387513811801</v>
      </c>
    </row>
    <row r="247" spans="45:58" x14ac:dyDescent="0.25">
      <c r="AS247">
        <v>1.1344640137963049</v>
      </c>
      <c r="AT247">
        <v>-22.294639634933365</v>
      </c>
      <c r="AU247">
        <v>282.18257837130909</v>
      </c>
      <c r="AV247">
        <f t="shared" si="144"/>
        <v>1.6496403973038221</v>
      </c>
      <c r="AW247">
        <f t="shared" si="145"/>
        <v>0.51517638350751715</v>
      </c>
      <c r="AX247" s="40">
        <f t="shared" si="146"/>
        <v>-1.4919522562859711</v>
      </c>
      <c r="AY247">
        <f t="shared" si="147"/>
        <v>1.4919522562859711</v>
      </c>
      <c r="BF247" s="40">
        <f t="shared" si="148"/>
        <v>1.6496403973038221</v>
      </c>
    </row>
    <row r="248" spans="45:58" x14ac:dyDescent="0.25">
      <c r="AS248">
        <v>1.1519173063162482</v>
      </c>
      <c r="AT248">
        <v>-23.409635024179714</v>
      </c>
      <c r="AU248">
        <v>282.62867342446634</v>
      </c>
      <c r="AV248">
        <f t="shared" si="144"/>
        <v>1.6534359258259037</v>
      </c>
      <c r="AW248">
        <f t="shared" si="145"/>
        <v>0.50151861950965548</v>
      </c>
      <c r="AX248" s="40">
        <f t="shared" si="146"/>
        <v>-1.4881567277638894</v>
      </c>
      <c r="AY248">
        <f t="shared" si="147"/>
        <v>1.4881567277638894</v>
      </c>
      <c r="BF248" s="40">
        <f t="shared" si="148"/>
        <v>1.6534359258259037</v>
      </c>
    </row>
    <row r="249" spans="45:58" x14ac:dyDescent="0.25">
      <c r="AS249">
        <v>1.1693705988361915</v>
      </c>
      <c r="AT249">
        <v>-24.512701681924334</v>
      </c>
      <c r="AU249">
        <v>283.04778014854043</v>
      </c>
      <c r="AV249">
        <f t="shared" si="144"/>
        <v>1.6571834872653242</v>
      </c>
      <c r="AW249">
        <f t="shared" si="145"/>
        <v>0.48781288842913262</v>
      </c>
      <c r="AX249" s="40">
        <f t="shared" si="146"/>
        <v>-1.484409166324469</v>
      </c>
      <c r="AY249">
        <f t="shared" si="147"/>
        <v>1.484409166324469</v>
      </c>
      <c r="BF249" s="40">
        <f t="shared" si="148"/>
        <v>1.6571834872653242</v>
      </c>
    </row>
    <row r="250" spans="45:58" x14ac:dyDescent="0.25">
      <c r="AS250">
        <v>1.1868238913561349</v>
      </c>
      <c r="AT250">
        <v>-25.604910886642717</v>
      </c>
      <c r="AU250">
        <v>283.44117788438678</v>
      </c>
      <c r="AV250">
        <f t="shared" si="144"/>
        <v>1.6608876815024356</v>
      </c>
      <c r="AW250">
        <f t="shared" si="145"/>
        <v>0.47406379014630073</v>
      </c>
      <c r="AX250" s="40">
        <f t="shared" si="146"/>
        <v>-1.4807049720873575</v>
      </c>
      <c r="AY250">
        <f t="shared" si="147"/>
        <v>1.4807049720873575</v>
      </c>
      <c r="BF250" s="40">
        <f t="shared" si="148"/>
        <v>1.6608876815024356</v>
      </c>
    </row>
    <row r="251" spans="45:58" x14ac:dyDescent="0.25">
      <c r="AS251">
        <v>1.2042771838760782</v>
      </c>
      <c r="AT251">
        <v>-26.687299310047017</v>
      </c>
      <c r="AU251">
        <v>283.81003951107186</v>
      </c>
      <c r="AV251">
        <f t="shared" si="144"/>
        <v>1.6645529010153144</v>
      </c>
      <c r="AW251">
        <f t="shared" si="145"/>
        <v>0.46027571713923621</v>
      </c>
      <c r="AX251" s="40">
        <f t="shared" si="146"/>
        <v>-1.4770397525744787</v>
      </c>
      <c r="AY251">
        <f t="shared" si="147"/>
        <v>1.4770397525744787</v>
      </c>
      <c r="BF251" s="40">
        <f t="shared" si="148"/>
        <v>1.6645529010153144</v>
      </c>
    </row>
    <row r="252" spans="45:58" x14ac:dyDescent="0.25">
      <c r="AS252">
        <v>1.2217304763960215</v>
      </c>
      <c r="AT252">
        <v>-27.76087311087143</v>
      </c>
      <c r="AU252">
        <v>284.15543972856904</v>
      </c>
      <c r="AV252">
        <f t="shared" si="144"/>
        <v>1.6681833557478241</v>
      </c>
      <c r="AW252">
        <f t="shared" si="145"/>
        <v>0.44645287935180256</v>
      </c>
      <c r="AX252" s="40">
        <f t="shared" si="146"/>
        <v>-1.4734092978419691</v>
      </c>
      <c r="AY252">
        <f t="shared" si="147"/>
        <v>1.4734092978419691</v>
      </c>
      <c r="BF252" s="40">
        <f t="shared" si="148"/>
        <v>1.6681833557478241</v>
      </c>
    </row>
    <row r="253" spans="45:58" x14ac:dyDescent="0.25">
      <c r="AS253">
        <v>1.2391837689159648</v>
      </c>
      <c r="AT253">
        <v>-28.826611898643073</v>
      </c>
      <c r="AU253">
        <v>284.47836208170946</v>
      </c>
      <c r="AV253">
        <f t="shared" si="144"/>
        <v>1.6717830963598148</v>
      </c>
      <c r="AW253">
        <f t="shared" si="145"/>
        <v>0.43259932744384999</v>
      </c>
      <c r="AX253" s="40">
        <f t="shared" si="146"/>
        <v>-1.4698095572299783</v>
      </c>
      <c r="AY253">
        <f t="shared" si="147"/>
        <v>1.4698095572299783</v>
      </c>
      <c r="BF253" s="40">
        <f t="shared" si="148"/>
        <v>1.6717830963598148</v>
      </c>
    </row>
    <row r="254" spans="45:58" x14ac:dyDescent="0.25">
      <c r="AS254">
        <v>1.2566370614359081</v>
      </c>
      <c r="AT254">
        <v>-29.885472411746484</v>
      </c>
      <c r="AU254">
        <v>284.77970558095399</v>
      </c>
      <c r="AV254">
        <f t="shared" si="144"/>
        <v>1.6753560352528276</v>
      </c>
      <c r="AW254">
        <f t="shared" si="145"/>
        <v>0.41871897381691947</v>
      </c>
      <c r="AX254" s="40">
        <f t="shared" si="146"/>
        <v>-1.4662366183369655</v>
      </c>
      <c r="AY254">
        <f t="shared" si="147"/>
        <v>1.4662366183369655</v>
      </c>
      <c r="BF254" s="40">
        <f t="shared" si="148"/>
        <v>1.6753560352528276</v>
      </c>
    </row>
    <row r="255" spans="45:58" x14ac:dyDescent="0.25">
      <c r="AS255">
        <v>1.2740903539558515</v>
      </c>
      <c r="AT255">
        <v>-30.938392089984845</v>
      </c>
      <c r="AU255">
        <v>285.0602903808782</v>
      </c>
      <c r="AV255">
        <f t="shared" si="144"/>
        <v>1.6789059663586676</v>
      </c>
      <c r="AW255">
        <f t="shared" si="145"/>
        <v>0.40481561240281616</v>
      </c>
      <c r="AX255" s="40">
        <f t="shared" si="146"/>
        <v>-1.4626866872311255</v>
      </c>
      <c r="AY255">
        <f t="shared" si="147"/>
        <v>1.4626866872311255</v>
      </c>
      <c r="BF255" s="40">
        <f t="shared" si="148"/>
        <v>1.6789059663586676</v>
      </c>
    </row>
    <row r="256" spans="45:58" x14ac:dyDescent="0.25">
      <c r="AS256">
        <v>1.2915436464757948</v>
      </c>
      <c r="AT256">
        <v>-31.986292515892409</v>
      </c>
      <c r="AU256">
        <v>285.32086280029927</v>
      </c>
      <c r="AV256">
        <f t="shared" si="144"/>
        <v>1.6824365836708026</v>
      </c>
      <c r="AW256">
        <f t="shared" si="145"/>
        <v>0.39089293719500784</v>
      </c>
      <c r="AX256" s="40">
        <f t="shared" si="146"/>
        <v>-1.4591560699189905</v>
      </c>
      <c r="AY256">
        <f t="shared" si="147"/>
        <v>1.4591560699189905</v>
      </c>
      <c r="BF256" s="40">
        <f t="shared" si="148"/>
        <v>1.6824365836708026</v>
      </c>
    </row>
    <row r="257" spans="45:58" x14ac:dyDescent="0.25">
      <c r="AS257">
        <v>1.3089969389957381</v>
      </c>
      <c r="AT257">
        <v>-33.030082699476381</v>
      </c>
      <c r="AU257">
        <v>285.56209994432538</v>
      </c>
      <c r="AV257">
        <f t="shared" si="144"/>
        <v>1.6859514984689676</v>
      </c>
      <c r="AW257">
        <f t="shared" si="145"/>
        <v>0.37695455947322953</v>
      </c>
      <c r="AX257" s="40">
        <f t="shared" si="146"/>
        <v>-1.4556411551208255</v>
      </c>
      <c r="AY257">
        <f t="shared" si="147"/>
        <v>1.4556411551208255</v>
      </c>
      <c r="BF257" s="40">
        <f t="shared" si="148"/>
        <v>1.6859514984689676</v>
      </c>
    </row>
    <row r="258" spans="45:58" x14ac:dyDescent="0.25">
      <c r="AS258">
        <v>1.3264502315156814</v>
      </c>
      <c r="AT258">
        <v>-34.070662311994788</v>
      </c>
      <c r="AU258">
        <v>285.78461364613418</v>
      </c>
      <c r="AV258">
        <f t="shared" si="144"/>
        <v>1.6894542558267631</v>
      </c>
      <c r="AW258">
        <f t="shared" si="145"/>
        <v>0.3630040243110817</v>
      </c>
      <c r="AX258" s="40">
        <f t="shared" si="146"/>
        <v>-1.45213839776303</v>
      </c>
      <c r="AY258">
        <f t="shared" si="147"/>
        <v>1.45213839776303</v>
      </c>
      <c r="BF258" s="40">
        <f t="shared" si="148"/>
        <v>1.6894542558267631</v>
      </c>
    </row>
    <row r="259" spans="45:58" x14ac:dyDescent="0.25">
      <c r="AS259">
        <v>1.3439035240356247</v>
      </c>
      <c r="AT259">
        <v>-35.108924831274294</v>
      </c>
      <c r="AU259">
        <v>285.98895401145461</v>
      </c>
      <c r="AV259">
        <f t="shared" ref="AV259:AV322" si="149">ATAN2(AT259,AU259)</f>
        <v>1.6929483502713552</v>
      </c>
      <c r="AW259">
        <f t="shared" ref="AW259:AW322" si="150">ABS(AS259-AV259)</f>
        <v>0.34904482623573041</v>
      </c>
      <c r="AX259" s="40">
        <f t="shared" ref="AX259:AX322" si="151">AV259-$U$13</f>
        <v>-1.448644303318438</v>
      </c>
      <c r="AY259">
        <f t="shared" ref="AY259:AY322" si="152">ABS(AX259)</f>
        <v>1.448644303318438</v>
      </c>
      <c r="BF259" s="40">
        <f t="shared" ref="BF259:BF322" si="153">AX259+$BJ$4</f>
        <v>1.6929483502713552</v>
      </c>
    </row>
    <row r="260" spans="45:58" x14ac:dyDescent="0.25">
      <c r="AS260">
        <v>1.3613568165555681</v>
      </c>
      <c r="AT260">
        <v>-36.145760704460493</v>
      </c>
      <c r="AU260">
        <v>286.1756122630452</v>
      </c>
      <c r="AV260">
        <f t="shared" si="149"/>
        <v>1.6964372411787392</v>
      </c>
      <c r="AW260">
        <f t="shared" si="150"/>
        <v>0.33508042462317111</v>
      </c>
      <c r="AX260" s="40">
        <f t="shared" si="151"/>
        <v>-1.4451554124110539</v>
      </c>
      <c r="AY260">
        <f t="shared" si="152"/>
        <v>1.4451554124110539</v>
      </c>
      <c r="BF260" s="40">
        <f t="shared" si="153"/>
        <v>1.6964372411787392</v>
      </c>
    </row>
    <row r="261" spans="45:58" x14ac:dyDescent="0.25">
      <c r="AS261">
        <v>1.3788101090755114</v>
      </c>
      <c r="AT261">
        <v>-37.182060373494792</v>
      </c>
      <c r="AU261">
        <v>286.34502361119968</v>
      </c>
      <c r="AV261">
        <f t="shared" si="149"/>
        <v>1.6999243671506121</v>
      </c>
      <c r="AW261">
        <f t="shared" si="150"/>
        <v>0.32111425807510074</v>
      </c>
      <c r="AX261" s="40">
        <f t="shared" si="151"/>
        <v>-1.441668286439181</v>
      </c>
      <c r="AY261">
        <f t="shared" si="152"/>
        <v>1.441668286439181</v>
      </c>
      <c r="BF261" s="40">
        <f t="shared" si="153"/>
        <v>1.6999243671506121</v>
      </c>
    </row>
    <row r="262" spans="45:58" x14ac:dyDescent="0.25">
      <c r="AS262">
        <v>1.3962634015954547</v>
      </c>
      <c r="AT262">
        <v>-38.218717425335129</v>
      </c>
      <c r="AU262">
        <v>286.49756920858766</v>
      </c>
      <c r="AV262">
        <f t="shared" si="149"/>
        <v>1.7034131607443079</v>
      </c>
      <c r="AW262">
        <f t="shared" si="150"/>
        <v>0.30714975914885323</v>
      </c>
      <c r="AX262" s="40">
        <f t="shared" si="151"/>
        <v>-1.4381794928454852</v>
      </c>
      <c r="AY262">
        <f t="shared" si="152"/>
        <v>1.4381794928454852</v>
      </c>
      <c r="BF262" s="40">
        <f t="shared" si="153"/>
        <v>1.7034131607443079</v>
      </c>
    </row>
    <row r="263" spans="45:58" x14ac:dyDescent="0.25">
      <c r="AS263">
        <v>1.413716694115398</v>
      </c>
      <c r="AT263">
        <v>-39.25663161943281</v>
      </c>
      <c r="AU263">
        <v>286.63357826453165</v>
      </c>
      <c r="AV263">
        <f t="shared" si="149"/>
        <v>1.7069070623078462</v>
      </c>
      <c r="AW263">
        <f t="shared" si="150"/>
        <v>0.29319036819244815</v>
      </c>
      <c r="AX263" s="40">
        <f t="shared" si="151"/>
        <v>-1.4346855912819469</v>
      </c>
      <c r="AY263">
        <f t="shared" si="152"/>
        <v>1.4346855912819469</v>
      </c>
      <c r="BF263" s="40">
        <f t="shared" si="153"/>
        <v>1.7069070623078462</v>
      </c>
    </row>
    <row r="264" spans="45:58" x14ac:dyDescent="0.25">
      <c r="AS264">
        <v>1.4311699866353413</v>
      </c>
      <c r="AT264">
        <v>-40.296712080717498</v>
      </c>
      <c r="AU264">
        <v>286.75332926452086</v>
      </c>
      <c r="AV264">
        <f t="shared" si="149"/>
        <v>1.7104095344339814</v>
      </c>
      <c r="AW264">
        <f t="shared" si="150"/>
        <v>0.27923954779864002</v>
      </c>
      <c r="AX264" s="40">
        <f t="shared" si="151"/>
        <v>-1.4311831191558118</v>
      </c>
      <c r="AY264">
        <f t="shared" si="152"/>
        <v>1.4311831191558118</v>
      </c>
      <c r="BF264" s="40">
        <f t="shared" si="153"/>
        <v>1.7104095344339814</v>
      </c>
    </row>
    <row r="265" spans="45:58" x14ac:dyDescent="0.25">
      <c r="AS265">
        <v>1.4486232791552847</v>
      </c>
      <c r="AT265">
        <v>-41.339880461048537</v>
      </c>
      <c r="AU265">
        <v>286.85705115309884</v>
      </c>
      <c r="AV265">
        <f t="shared" si="149"/>
        <v>1.7139240760314964</v>
      </c>
      <c r="AW265">
        <f t="shared" si="150"/>
        <v>0.26530079687621178</v>
      </c>
      <c r="AX265" s="40">
        <f t="shared" si="151"/>
        <v>-1.4276685775582967</v>
      </c>
      <c r="AY265">
        <f t="shared" si="152"/>
        <v>1.4276685775582967</v>
      </c>
      <c r="BF265" s="40">
        <f t="shared" si="153"/>
        <v>1.7139240760314964</v>
      </c>
    </row>
    <row r="266" spans="45:58" x14ac:dyDescent="0.25">
      <c r="AS266">
        <v>1.466076571675228</v>
      </c>
      <c r="AT266">
        <v>-42.387074182181507</v>
      </c>
      <c r="AU266">
        <v>286.94492410543995</v>
      </c>
      <c r="AV266">
        <f t="shared" si="149"/>
        <v>1.7174542366161087</v>
      </c>
      <c r="AW266">
        <f t="shared" si="150"/>
        <v>0.25137766494088076</v>
      </c>
      <c r="AX266" s="40">
        <f t="shared" si="151"/>
        <v>-1.4241384169736844</v>
      </c>
      <c r="AY266">
        <f t="shared" si="152"/>
        <v>1.4241384169736844</v>
      </c>
      <c r="BF266" s="40">
        <f t="shared" si="153"/>
        <v>1.7174542366161087</v>
      </c>
    </row>
    <row r="267" spans="45:58" x14ac:dyDescent="0.25">
      <c r="AS267">
        <v>1.4835298641951713</v>
      </c>
      <c r="AT267">
        <v>-43.439249743976298</v>
      </c>
      <c r="AU267">
        <v>287.01708001692958</v>
      </c>
      <c r="AV267">
        <f t="shared" si="149"/>
        <v>1.721003630751345</v>
      </c>
      <c r="AW267">
        <f t="shared" si="150"/>
        <v>0.23747376655617369</v>
      </c>
      <c r="AX267" s="40">
        <f t="shared" si="151"/>
        <v>-1.4205890228384481</v>
      </c>
      <c r="AY267">
        <f t="shared" si="152"/>
        <v>1.4205890228384481</v>
      </c>
      <c r="BF267" s="40">
        <f t="shared" si="153"/>
        <v>1.721003630751345</v>
      </c>
    </row>
    <row r="268" spans="45:58" x14ac:dyDescent="0.25">
      <c r="AS268">
        <v>1.5009831567151146</v>
      </c>
      <c r="AT268">
        <v>-44.497386202354861</v>
      </c>
      <c r="AU268">
        <v>287.07360236627187</v>
      </c>
      <c r="AV268">
        <f t="shared" si="149"/>
        <v>1.7245759532173046</v>
      </c>
      <c r="AW268">
        <f t="shared" si="150"/>
        <v>0.22359279650218999</v>
      </c>
      <c r="AX268" s="40">
        <f t="shared" si="151"/>
        <v>-1.4170167003724885</v>
      </c>
      <c r="AY268">
        <f t="shared" si="152"/>
        <v>1.4170167003724885</v>
      </c>
      <c r="BF268" s="40">
        <f t="shared" si="153"/>
        <v>1.7245759532173046</v>
      </c>
    </row>
    <row r="269" spans="45:58" x14ac:dyDescent="0.25">
      <c r="AS269">
        <v>1.5184364492350579</v>
      </c>
      <c r="AT269">
        <v>-45.562488647420658</v>
      </c>
      <c r="AU269">
        <v>287.11452615919967</v>
      </c>
      <c r="AV269">
        <f t="shared" si="149"/>
        <v>1.7281749940148159</v>
      </c>
      <c r="AW269">
        <f t="shared" si="150"/>
        <v>0.20973854477975795</v>
      </c>
      <c r="AX269" s="40">
        <f t="shared" si="151"/>
        <v>-1.4134176595749772</v>
      </c>
      <c r="AY269">
        <f t="shared" si="152"/>
        <v>1.4134176595749772</v>
      </c>
      <c r="BF269" s="40">
        <f t="shared" si="153"/>
        <v>1.7281749940148159</v>
      </c>
    </row>
    <row r="270" spans="45:58" x14ac:dyDescent="0.25">
      <c r="AS270">
        <v>1.5358897417550013</v>
      </c>
      <c r="AT270">
        <v>-46.635591907056252</v>
      </c>
      <c r="AU270">
        <v>287.13983712661428</v>
      </c>
      <c r="AV270">
        <f t="shared" si="149"/>
        <v>1.7318046544357006</v>
      </c>
      <c r="AW270">
        <f t="shared" si="150"/>
        <v>0.19591491268069938</v>
      </c>
      <c r="AX270" s="40">
        <f t="shared" si="151"/>
        <v>-1.4097879991540925</v>
      </c>
      <c r="AY270">
        <f t="shared" si="152"/>
        <v>1.4097879991540925</v>
      </c>
      <c r="BF270" s="40">
        <f t="shared" si="153"/>
        <v>1.7318046544357006</v>
      </c>
    </row>
    <row r="271" spans="45:58" x14ac:dyDescent="0.25">
      <c r="AS271">
        <v>1.5533430342749446</v>
      </c>
      <c r="AT271">
        <v>-47.717764330176585</v>
      </c>
      <c r="AU271">
        <v>287.14947077529359</v>
      </c>
      <c r="AV271">
        <f t="shared" si="149"/>
        <v>1.7354689634405107</v>
      </c>
      <c r="AW271">
        <f t="shared" si="150"/>
        <v>0.18212592916556614</v>
      </c>
      <c r="AX271" s="40">
        <f t="shared" si="151"/>
        <v>-1.4061236901492824</v>
      </c>
      <c r="AY271">
        <f t="shared" si="152"/>
        <v>1.4061236901492824</v>
      </c>
      <c r="BF271" s="40">
        <f t="shared" si="153"/>
        <v>1.7354689634405107</v>
      </c>
    </row>
    <row r="272" spans="45:58" x14ac:dyDescent="0.25">
      <c r="AS272">
        <v>1.5707963267948879</v>
      </c>
      <c r="AT272">
        <v>-48.810111766315373</v>
      </c>
      <c r="AU272">
        <v>287.14331086968957</v>
      </c>
      <c r="AV272">
        <f t="shared" si="149"/>
        <v>1.7391720950082508</v>
      </c>
      <c r="AW272">
        <f t="shared" si="150"/>
        <v>0.16837576821336286</v>
      </c>
      <c r="AX272" s="40">
        <f t="shared" si="151"/>
        <v>-1.4024205585815424</v>
      </c>
      <c r="AY272">
        <f t="shared" si="152"/>
        <v>1.4024205585815424</v>
      </c>
      <c r="BF272" s="40">
        <f t="shared" si="153"/>
        <v>1.7391720950082508</v>
      </c>
    </row>
    <row r="273" spans="45:58" x14ac:dyDescent="0.25">
      <c r="AS273">
        <v>1.5882496193148312</v>
      </c>
      <c r="AT273">
        <v>-49.956502681130786</v>
      </c>
      <c r="AU273">
        <v>287.11893020052162</v>
      </c>
      <c r="AV273">
        <f t="shared" si="149"/>
        <v>1.7430641364137387</v>
      </c>
      <c r="AW273">
        <f t="shared" si="150"/>
        <v>0.15481451709890748</v>
      </c>
      <c r="AX273" s="40">
        <f t="shared" si="151"/>
        <v>-1.3985285171760544</v>
      </c>
      <c r="AY273">
        <f t="shared" si="152"/>
        <v>1.3985285171760544</v>
      </c>
      <c r="BF273" s="40">
        <f t="shared" si="153"/>
        <v>1.7430641364137387</v>
      </c>
    </row>
    <row r="274" spans="45:58" x14ac:dyDescent="0.25">
      <c r="AS274">
        <v>1.6057029118347745</v>
      </c>
      <c r="AT274">
        <v>-51.085159537894214</v>
      </c>
      <c r="AU274">
        <v>287.07966986123887</v>
      </c>
      <c r="AV274">
        <f t="shared" si="149"/>
        <v>1.7469006387049699</v>
      </c>
      <c r="AW274">
        <f t="shared" si="150"/>
        <v>0.14119772687019538</v>
      </c>
      <c r="AX274" s="40">
        <f t="shared" si="151"/>
        <v>-1.3946920148848232</v>
      </c>
      <c r="AY274">
        <f t="shared" si="152"/>
        <v>1.3946920148848232</v>
      </c>
      <c r="BF274" s="40">
        <f t="shared" si="153"/>
        <v>1.7469006387049699</v>
      </c>
    </row>
    <row r="275" spans="45:58" x14ac:dyDescent="0.25">
      <c r="AS275">
        <v>1.6231562043547179</v>
      </c>
      <c r="AT275">
        <v>-52.19838429228966</v>
      </c>
      <c r="AU275">
        <v>287.02565550798607</v>
      </c>
      <c r="AV275">
        <f t="shared" si="149"/>
        <v>1.7506899642587948</v>
      </c>
      <c r="AW275">
        <f t="shared" si="150"/>
        <v>0.12753375990407689</v>
      </c>
      <c r="AX275" s="40">
        <f t="shared" si="151"/>
        <v>-1.3909026893309984</v>
      </c>
      <c r="AY275">
        <f t="shared" si="152"/>
        <v>1.3909026893309984</v>
      </c>
      <c r="BF275" s="40">
        <f t="shared" si="153"/>
        <v>1.7506899642587948</v>
      </c>
    </row>
    <row r="276" spans="45:58" x14ac:dyDescent="0.25">
      <c r="AS276">
        <v>1.6406094968746612</v>
      </c>
      <c r="AT276">
        <v>-52.371820084679683</v>
      </c>
      <c r="AU276">
        <v>287.01333708887046</v>
      </c>
      <c r="AV276">
        <f t="shared" si="149"/>
        <v>1.7512823881569881</v>
      </c>
      <c r="AW276">
        <f t="shared" si="150"/>
        <v>0.11067289128232694</v>
      </c>
      <c r="AX276" s="40">
        <f t="shared" si="151"/>
        <v>-1.390310265432805</v>
      </c>
      <c r="AY276">
        <f t="shared" si="152"/>
        <v>1.390310265432805</v>
      </c>
      <c r="BF276" s="40">
        <f t="shared" si="153"/>
        <v>1.7512823881569881</v>
      </c>
    </row>
    <row r="277" spans="45:58" x14ac:dyDescent="0.25">
      <c r="AS277">
        <v>1.6580627893946045</v>
      </c>
      <c r="AT277">
        <v>-53.455116455284788</v>
      </c>
      <c r="AU277">
        <v>286.93448770156374</v>
      </c>
      <c r="AV277">
        <f t="shared" si="149"/>
        <v>1.7549821574966931</v>
      </c>
      <c r="AW277">
        <f t="shared" si="150"/>
        <v>9.6919368102088566E-2</v>
      </c>
      <c r="AX277" s="40">
        <f t="shared" si="151"/>
        <v>-1.3866104960931001</v>
      </c>
      <c r="AY277">
        <f t="shared" si="152"/>
        <v>1.3866104960931001</v>
      </c>
      <c r="BF277" s="40">
        <f t="shared" si="153"/>
        <v>1.7549821574966931</v>
      </c>
    </row>
    <row r="278" spans="45:58" x14ac:dyDescent="0.25">
      <c r="AS278">
        <v>1.6755160819145478</v>
      </c>
      <c r="AT278">
        <v>-54.528762285780438</v>
      </c>
      <c r="AU278">
        <v>286.84072158857492</v>
      </c>
      <c r="AV278">
        <f t="shared" si="149"/>
        <v>1.7586559350446636</v>
      </c>
      <c r="AW278">
        <f t="shared" si="150"/>
        <v>8.3139853130115737E-2</v>
      </c>
      <c r="AX278" s="40">
        <f t="shared" si="151"/>
        <v>-1.3829367185451296</v>
      </c>
      <c r="AY278">
        <f t="shared" si="152"/>
        <v>1.3829367185451296</v>
      </c>
      <c r="BF278" s="40">
        <f t="shared" si="153"/>
        <v>1.7586559350446636</v>
      </c>
    </row>
    <row r="279" spans="45:58" x14ac:dyDescent="0.25">
      <c r="AS279">
        <v>1.6929693744344911</v>
      </c>
      <c r="AT279">
        <v>-55.594309042535556</v>
      </c>
      <c r="AU279">
        <v>286.73193440202868</v>
      </c>
      <c r="AV279">
        <f t="shared" si="149"/>
        <v>1.7623095534372122</v>
      </c>
      <c r="AW279">
        <f t="shared" si="150"/>
        <v>6.9340179002721047E-2</v>
      </c>
      <c r="AX279" s="40">
        <f t="shared" si="151"/>
        <v>-1.3792831001525809</v>
      </c>
      <c r="AY279">
        <f t="shared" si="152"/>
        <v>1.3792831001525809</v>
      </c>
      <c r="BF279" s="40">
        <f t="shared" si="153"/>
        <v>1.7623095534372122</v>
      </c>
    </row>
    <row r="280" spans="45:58" x14ac:dyDescent="0.25">
      <c r="AS280">
        <v>1.7104226669544345</v>
      </c>
      <c r="AT280">
        <v>-56.653196657230332</v>
      </c>
      <c r="AU280">
        <v>286.60796906456335</v>
      </c>
      <c r="AV280">
        <f t="shared" si="149"/>
        <v>1.7659484847642164</v>
      </c>
      <c r="AW280">
        <f t="shared" si="150"/>
        <v>5.5525817809781941E-2</v>
      </c>
      <c r="AX280" s="40">
        <f t="shared" si="151"/>
        <v>-1.3756441688255767</v>
      </c>
      <c r="AY280">
        <f t="shared" si="152"/>
        <v>1.3756441688255767</v>
      </c>
      <c r="BF280" s="40">
        <f t="shared" si="153"/>
        <v>1.7659484847642164</v>
      </c>
    </row>
    <row r="281" spans="45:58" x14ac:dyDescent="0.25">
      <c r="AS281">
        <v>1.7278759594743778</v>
      </c>
      <c r="AT281">
        <v>-57.706772325892253</v>
      </c>
      <c r="AU281">
        <v>286.46861728100157</v>
      </c>
      <c r="AV281">
        <f t="shared" si="149"/>
        <v>1.7695779094103061</v>
      </c>
      <c r="AW281">
        <f t="shared" si="150"/>
        <v>4.1701949935928351E-2</v>
      </c>
      <c r="AX281" s="40">
        <f t="shared" si="151"/>
        <v>-1.372014744179487</v>
      </c>
      <c r="AY281">
        <f t="shared" si="152"/>
        <v>1.372014744179487</v>
      </c>
      <c r="BF281" s="40">
        <f t="shared" si="153"/>
        <v>1.7695779094103061</v>
      </c>
    </row>
    <row r="282" spans="45:58" x14ac:dyDescent="0.25">
      <c r="AS282">
        <v>1.7453292519943211</v>
      </c>
      <c r="AT282">
        <v>-58.756306258400755</v>
      </c>
      <c r="AU282">
        <v>286.31362028347917</v>
      </c>
      <c r="AV282">
        <f t="shared" si="149"/>
        <v>1.7732027745199528</v>
      </c>
      <c r="AW282">
        <f t="shared" si="150"/>
        <v>2.7873522525631689E-2</v>
      </c>
      <c r="AX282" s="40">
        <f t="shared" si="151"/>
        <v>-1.3683898790698403</v>
      </c>
      <c r="AY282">
        <f t="shared" si="152"/>
        <v>1.3683898790698403</v>
      </c>
      <c r="BF282" s="40">
        <f t="shared" si="153"/>
        <v>1.7732027745199528</v>
      </c>
    </row>
    <row r="283" spans="45:58" x14ac:dyDescent="0.25">
      <c r="AS283">
        <v>1.7627825445142644</v>
      </c>
      <c r="AT283">
        <v>-59.803004979189794</v>
      </c>
      <c r="AU283">
        <v>286.14266909939363</v>
      </c>
      <c r="AV283">
        <f t="shared" si="149"/>
        <v>1.7768278441001328</v>
      </c>
      <c r="AW283">
        <f t="shared" si="150"/>
        <v>1.404529958586842E-2</v>
      </c>
      <c r="AX283" s="40">
        <f t="shared" si="151"/>
        <v>-1.3647648094896603</v>
      </c>
      <c r="AY283">
        <f t="shared" si="152"/>
        <v>1.3647648094896603</v>
      </c>
      <c r="BF283" s="40">
        <f t="shared" si="153"/>
        <v>1.7768278441001328</v>
      </c>
    </row>
    <row r="284" spans="45:58" x14ac:dyDescent="0.25">
      <c r="AS284">
        <v>1.7802358370342077</v>
      </c>
      <c r="AT284">
        <v>-60.84802281423525</v>
      </c>
      <c r="AU284">
        <v>285.9554038972376</v>
      </c>
      <c r="AV284">
        <f t="shared" si="149"/>
        <v>1.7804577433559634</v>
      </c>
      <c r="AW284">
        <f t="shared" si="150"/>
        <v>2.219063217556716E-4</v>
      </c>
      <c r="AX284" s="40">
        <f t="shared" si="151"/>
        <v>-1.3611349102338297</v>
      </c>
      <c r="AY284">
        <f t="shared" si="152"/>
        <v>1.3611349102338297</v>
      </c>
      <c r="BF284" s="40">
        <f t="shared" si="153"/>
        <v>1.7804577433559634</v>
      </c>
    </row>
    <row r="285" spans="45:58" x14ac:dyDescent="0.25">
      <c r="AS285">
        <v>1.7976891295541511</v>
      </c>
      <c r="AT285">
        <v>-61.892471796418626</v>
      </c>
      <c r="AU285">
        <v>285.75141305589193</v>
      </c>
      <c r="AV285">
        <f t="shared" si="149"/>
        <v>1.7840969977366627</v>
      </c>
      <c r="AW285">
        <f t="shared" si="150"/>
        <v>1.3592131817488307E-2</v>
      </c>
      <c r="AX285" s="40">
        <f t="shared" si="151"/>
        <v>-1.3574956558531304</v>
      </c>
      <c r="AY285">
        <f t="shared" si="152"/>
        <v>1.3574956558531304</v>
      </c>
      <c r="BF285" s="40">
        <f t="shared" si="153"/>
        <v>1.7840969977366627</v>
      </c>
    </row>
    <row r="286" spans="45:58" x14ac:dyDescent="0.25">
      <c r="AS286">
        <v>1.8151424220740944</v>
      </c>
      <c r="AT286">
        <v>-62.937430383444735</v>
      </c>
      <c r="AU286">
        <v>285.53023165294962</v>
      </c>
      <c r="AV286">
        <f t="shared" si="149"/>
        <v>1.7877500683360597</v>
      </c>
      <c r="AW286">
        <f t="shared" si="150"/>
        <v>2.7392353738034725E-2</v>
      </c>
      <c r="AX286" s="40">
        <f t="shared" si="151"/>
        <v>-1.3538425852537335</v>
      </c>
      <c r="AY286">
        <f t="shared" si="152"/>
        <v>1.3538425852537335</v>
      </c>
      <c r="BF286" s="40">
        <f t="shared" si="153"/>
        <v>1.7877500683360597</v>
      </c>
    </row>
    <row r="287" spans="45:58" x14ac:dyDescent="0.25">
      <c r="AS287">
        <v>1.8325957145940377</v>
      </c>
      <c r="AT287">
        <v>-63.983951234420665</v>
      </c>
      <c r="AU287">
        <v>285.29133937924428</v>
      </c>
      <c r="AV287">
        <f t="shared" si="149"/>
        <v>1.7914213845813696</v>
      </c>
      <c r="AW287">
        <f t="shared" si="150"/>
        <v>4.1174330012668126E-2</v>
      </c>
      <c r="AX287" s="40">
        <f t="shared" si="151"/>
        <v>-1.3501712690084235</v>
      </c>
      <c r="AY287">
        <f t="shared" si="152"/>
        <v>1.3501712690084235</v>
      </c>
      <c r="BF287" s="40">
        <f t="shared" si="153"/>
        <v>1.7914213845813696</v>
      </c>
    </row>
    <row r="288" spans="45:58" x14ac:dyDescent="0.25">
      <c r="AS288">
        <v>1.850049007113981</v>
      </c>
      <c r="AT288">
        <v>-65.033068130907452</v>
      </c>
      <c r="AU288">
        <v>285.03415830993663</v>
      </c>
      <c r="AV288">
        <f t="shared" si="149"/>
        <v>1.795115374279902</v>
      </c>
      <c r="AW288">
        <f t="shared" si="150"/>
        <v>5.4933632834079038E-2</v>
      </c>
      <c r="AX288" s="40">
        <f t="shared" si="151"/>
        <v>-1.3464772793098911</v>
      </c>
      <c r="AY288">
        <f t="shared" si="152"/>
        <v>1.3464772793098911</v>
      </c>
      <c r="BF288" s="40">
        <f t="shared" si="153"/>
        <v>1.795115374279902</v>
      </c>
    </row>
    <row r="289" spans="45:58" x14ac:dyDescent="0.25">
      <c r="AS289">
        <v>1.8675022996339243</v>
      </c>
      <c r="AT289">
        <v>-66.085802430282854</v>
      </c>
      <c r="AU289">
        <v>284.75804965407059</v>
      </c>
      <c r="AV289">
        <f t="shared" si="149"/>
        <v>1.7988364930671654</v>
      </c>
      <c r="AW289">
        <f t="shared" si="150"/>
        <v>6.8665806566758913E-2</v>
      </c>
      <c r="AX289" s="40">
        <f t="shared" si="151"/>
        <v>-1.3427561605226277</v>
      </c>
      <c r="AY289">
        <f t="shared" si="152"/>
        <v>1.3427561605226277</v>
      </c>
      <c r="BF289" s="40">
        <f t="shared" si="153"/>
        <v>1.7988364930671654</v>
      </c>
    </row>
    <row r="290" spans="45:58" x14ac:dyDescent="0.25">
      <c r="AS290">
        <v>1.8849555921538677</v>
      </c>
      <c r="AT290">
        <v>-67.143168920819761</v>
      </c>
      <c r="AU290">
        <v>284.46231047938591</v>
      </c>
      <c r="AV290">
        <f t="shared" si="149"/>
        <v>1.8025892521812328</v>
      </c>
      <c r="AW290">
        <f t="shared" si="150"/>
        <v>8.2366339972634872E-2</v>
      </c>
      <c r="AX290" s="40">
        <f t="shared" si="151"/>
        <v>-1.3390034014085603</v>
      </c>
      <c r="AY290">
        <f t="shared" si="152"/>
        <v>1.3390034014085603</v>
      </c>
      <c r="BF290" s="40">
        <f t="shared" si="153"/>
        <v>1.8025892521812328</v>
      </c>
    </row>
    <row r="291" spans="45:58" x14ac:dyDescent="0.25">
      <c r="AS291">
        <v>1.902408884673811</v>
      </c>
      <c r="AT291">
        <v>-68.206181364219702</v>
      </c>
      <c r="AU291">
        <v>284.1461697206488</v>
      </c>
      <c r="AV291">
        <f t="shared" si="149"/>
        <v>1.8063782461282381</v>
      </c>
      <c r="AW291">
        <f t="shared" si="150"/>
        <v>9.6030638545572922E-2</v>
      </c>
      <c r="AX291" s="40">
        <f t="shared" si="151"/>
        <v>-1.3352144074615551</v>
      </c>
      <c r="AY291">
        <f t="shared" si="152"/>
        <v>1.3352144074615551</v>
      </c>
      <c r="BF291" s="40">
        <f t="shared" si="153"/>
        <v>1.8063782461282381</v>
      </c>
    </row>
    <row r="292" spans="45:58" x14ac:dyDescent="0.25">
      <c r="AS292">
        <v>1.9198621771937543</v>
      </c>
      <c r="AT292">
        <v>-69.275857757331579</v>
      </c>
      <c r="AU292">
        <v>283.80878368348698</v>
      </c>
      <c r="AV292">
        <f t="shared" si="149"/>
        <v>1.8102081802945065</v>
      </c>
      <c r="AW292">
        <f t="shared" si="150"/>
        <v>0.10965399689924782</v>
      </c>
      <c r="AX292" s="40">
        <f t="shared" si="151"/>
        <v>-1.3313844732952866</v>
      </c>
      <c r="AY292">
        <f t="shared" si="152"/>
        <v>1.3313844732952866</v>
      </c>
      <c r="BF292" s="40">
        <f t="shared" si="153"/>
        <v>1.8102081802945065</v>
      </c>
    </row>
    <row r="293" spans="45:58" x14ac:dyDescent="0.25">
      <c r="AS293">
        <v>1.9373154697136976</v>
      </c>
      <c r="AT293">
        <v>-70.353225455344244</v>
      </c>
      <c r="AU293">
        <v>283.44923077308715</v>
      </c>
      <c r="AV293">
        <f t="shared" si="149"/>
        <v>1.8140838993106689</v>
      </c>
      <c r="AW293">
        <f t="shared" si="150"/>
        <v>0.12323157040302868</v>
      </c>
      <c r="AX293" s="40">
        <f t="shared" si="151"/>
        <v>-1.3275087542791242</v>
      </c>
      <c r="AY293">
        <f t="shared" si="152"/>
        <v>1.3275087542791242</v>
      </c>
      <c r="BF293" s="40">
        <f t="shared" si="153"/>
        <v>1.8140838993106689</v>
      </c>
    </row>
    <row r="294" spans="45:58" x14ac:dyDescent="0.25">
      <c r="AS294">
        <v>1.9547687622336409</v>
      </c>
      <c r="AT294">
        <v>-71.439326082381484</v>
      </c>
      <c r="AU294">
        <v>283.06650596828518</v>
      </c>
      <c r="AV294">
        <f t="shared" si="149"/>
        <v>1.8180104156256098</v>
      </c>
      <c r="AW294">
        <f t="shared" si="150"/>
        <v>0.1367583466080311</v>
      </c>
      <c r="AX294" s="40">
        <f t="shared" si="151"/>
        <v>-1.3235822379641833</v>
      </c>
      <c r="AY294">
        <f t="shared" si="152"/>
        <v>1.3235822379641833</v>
      </c>
      <c r="BF294" s="40">
        <f t="shared" si="153"/>
        <v>1.8180104156256098</v>
      </c>
    </row>
    <row r="295" spans="45:58" x14ac:dyDescent="0.25">
      <c r="AS295">
        <v>1.9722220547535843</v>
      </c>
      <c r="AT295">
        <v>-72.535220542499246</v>
      </c>
      <c r="AU295">
        <v>282.65951402762187</v>
      </c>
      <c r="AV295">
        <f t="shared" si="149"/>
        <v>1.8219929402952859</v>
      </c>
      <c r="AW295">
        <f t="shared" si="150"/>
        <v>0.15022911445829834</v>
      </c>
      <c r="AX295" s="40">
        <f t="shared" si="151"/>
        <v>-1.3195997132945072</v>
      </c>
      <c r="AY295">
        <f t="shared" si="152"/>
        <v>1.3195997132945072</v>
      </c>
      <c r="BF295" s="40">
        <f t="shared" si="153"/>
        <v>1.8219929402952859</v>
      </c>
    </row>
    <row r="296" spans="45:58" x14ac:dyDescent="0.25">
      <c r="AS296">
        <v>1.9896753472735276</v>
      </c>
      <c r="AT296">
        <v>-73.641993882387723</v>
      </c>
      <c r="AU296">
        <v>282.2270625585104</v>
      </c>
      <c r="AV296">
        <f t="shared" si="149"/>
        <v>1.8260369143886588</v>
      </c>
      <c r="AW296">
        <f t="shared" si="150"/>
        <v>0.16363843288486879</v>
      </c>
      <c r="AX296" s="40">
        <f t="shared" si="151"/>
        <v>-1.3155557392011343</v>
      </c>
      <c r="AY296">
        <f t="shared" si="152"/>
        <v>1.3155557392011343</v>
      </c>
      <c r="BF296" s="40">
        <f t="shared" si="153"/>
        <v>1.8260369143886588</v>
      </c>
    </row>
    <row r="297" spans="45:58" x14ac:dyDescent="0.25">
      <c r="AS297">
        <v>2.0071286397934709</v>
      </c>
      <c r="AT297">
        <v>-74.760760402149003</v>
      </c>
      <c r="AU297">
        <v>281.76785355734017</v>
      </c>
      <c r="AV297">
        <f t="shared" si="149"/>
        <v>1.8301480436668101</v>
      </c>
      <c r="AW297">
        <f t="shared" si="150"/>
        <v>0.17698059612666084</v>
      </c>
      <c r="AX297" s="40">
        <f t="shared" si="151"/>
        <v>-1.3114446099229831</v>
      </c>
      <c r="AY297">
        <f t="shared" si="152"/>
        <v>1.3114446099229831</v>
      </c>
      <c r="BF297" s="40">
        <f t="shared" si="153"/>
        <v>1.8301480436668101</v>
      </c>
    </row>
    <row r="298" spans="45:58" x14ac:dyDescent="0.25">
      <c r="AS298">
        <v>2.024581932313414</v>
      </c>
      <c r="AT298">
        <v>-75.892668766032926</v>
      </c>
      <c r="AU298">
        <v>281.28047450737824</v>
      </c>
      <c r="AV298">
        <f t="shared" si="149"/>
        <v>1.8343323350069087</v>
      </c>
      <c r="AW298">
        <f t="shared" si="150"/>
        <v>0.19024959730650526</v>
      </c>
      <c r="AX298" s="40">
        <f t="shared" si="151"/>
        <v>-1.3072603185828844</v>
      </c>
      <c r="AY298">
        <f t="shared" si="152"/>
        <v>1.3072603185828844</v>
      </c>
      <c r="BF298" s="40">
        <f t="shared" si="153"/>
        <v>1.8343323350069087</v>
      </c>
    </row>
    <row r="299" spans="45:58" x14ac:dyDescent="0.25">
      <c r="AS299">
        <v>2.0420352248333571</v>
      </c>
      <c r="AT299">
        <v>-77.038907426070011</v>
      </c>
      <c r="AU299">
        <v>280.76338792715279</v>
      </c>
      <c r="AV299">
        <f t="shared" si="149"/>
        <v>1.8385961367984471</v>
      </c>
      <c r="AW299">
        <f t="shared" si="150"/>
        <v>0.20343908803490995</v>
      </c>
      <c r="AX299" s="40">
        <f t="shared" si="151"/>
        <v>-1.302996516791346</v>
      </c>
      <c r="AY299">
        <f t="shared" si="152"/>
        <v>1.302996516791346</v>
      </c>
      <c r="BF299" s="40">
        <f t="shared" si="153"/>
        <v>1.8385961367984471</v>
      </c>
    </row>
    <row r="300" spans="45:58" x14ac:dyDescent="0.25">
      <c r="AS300">
        <v>2.0594885173533002</v>
      </c>
      <c r="AT300">
        <v>-78.200710138936216</v>
      </c>
      <c r="AU300">
        <v>280.21492031918945</v>
      </c>
      <c r="AV300">
        <f t="shared" si="149"/>
        <v>1.8429461820266728</v>
      </c>
      <c r="AW300">
        <f t="shared" si="150"/>
        <v>0.21654233532662737</v>
      </c>
      <c r="AX300" s="40">
        <f t="shared" si="151"/>
        <v>-1.2986464715631203</v>
      </c>
      <c r="AY300">
        <f t="shared" si="152"/>
        <v>1.2986464715631203</v>
      </c>
      <c r="BF300" s="40">
        <f t="shared" si="153"/>
        <v>1.8429461820266728</v>
      </c>
    </row>
    <row r="301" spans="45:58" x14ac:dyDescent="0.25">
      <c r="AS301">
        <v>2.0769418098732433</v>
      </c>
      <c r="AT301">
        <v>-79.37936201873805</v>
      </c>
      <c r="AU301">
        <v>279.63324887691772</v>
      </c>
      <c r="AV301">
        <f t="shared" si="149"/>
        <v>1.8473896373075425</v>
      </c>
      <c r="AW301">
        <f t="shared" si="150"/>
        <v>0.22955217256570082</v>
      </c>
      <c r="AX301" s="40">
        <f t="shared" si="151"/>
        <v>-1.2942030162822507</v>
      </c>
      <c r="AY301">
        <f t="shared" si="152"/>
        <v>1.2942030162822507</v>
      </c>
      <c r="BF301" s="40">
        <f t="shared" si="153"/>
        <v>1.8473896373075425</v>
      </c>
    </row>
    <row r="302" spans="45:58" x14ac:dyDescent="0.25">
      <c r="AS302">
        <v>2.0943951023931864</v>
      </c>
      <c r="AT302">
        <v>-80.576205748629917</v>
      </c>
      <c r="AU302">
        <v>279.01638749313861</v>
      </c>
      <c r="AV302">
        <f t="shared" si="149"/>
        <v>1.8519341556196818</v>
      </c>
      <c r="AW302">
        <f t="shared" si="150"/>
        <v>0.2424609467735046</v>
      </c>
      <c r="AX302" s="40">
        <f t="shared" si="151"/>
        <v>-1.2896584979701113</v>
      </c>
      <c r="AY302">
        <f t="shared" si="152"/>
        <v>1.2896584979701113</v>
      </c>
      <c r="BF302" s="40">
        <f t="shared" si="153"/>
        <v>1.8519341556196818</v>
      </c>
    </row>
    <row r="303" spans="45:58" x14ac:dyDescent="0.25">
      <c r="AS303">
        <v>2.1118483949131295</v>
      </c>
      <c r="AT303">
        <v>-81.787350659534752</v>
      </c>
      <c r="AU303">
        <v>278.36570092170484</v>
      </c>
      <c r="AV303">
        <f t="shared" si="149"/>
        <v>1.8565669865221313</v>
      </c>
      <c r="AW303">
        <f t="shared" si="150"/>
        <v>0.25528140839099822</v>
      </c>
      <c r="AX303" s="40">
        <f t="shared" si="151"/>
        <v>-1.2850256670676619</v>
      </c>
      <c r="AY303">
        <f t="shared" si="152"/>
        <v>1.2850256670676619</v>
      </c>
      <c r="BF303" s="40">
        <f t="shared" si="153"/>
        <v>1.8565669865221313</v>
      </c>
    </row>
    <row r="304" spans="45:58" x14ac:dyDescent="0.25">
      <c r="AS304">
        <v>2.1293016874330726</v>
      </c>
      <c r="AT304">
        <v>-82.97829530423131</v>
      </c>
      <c r="AU304">
        <v>277.7037616009186</v>
      </c>
      <c r="AV304">
        <f t="shared" si="149"/>
        <v>1.8611532003659825</v>
      </c>
      <c r="AW304">
        <f t="shared" si="150"/>
        <v>0.26814848706709005</v>
      </c>
      <c r="AX304" s="40">
        <f t="shared" si="151"/>
        <v>-1.2804394532238106</v>
      </c>
      <c r="AY304">
        <f t="shared" si="152"/>
        <v>1.2804394532238106</v>
      </c>
      <c r="BF304" s="40">
        <f t="shared" si="153"/>
        <v>1.8611532003659825</v>
      </c>
    </row>
    <row r="305" spans="45:58" x14ac:dyDescent="0.25">
      <c r="AS305">
        <v>2.1467549799530157</v>
      </c>
      <c r="AT305">
        <v>-84.145206696070701</v>
      </c>
      <c r="AU305">
        <v>277.03410775073883</v>
      </c>
      <c r="AV305">
        <f t="shared" si="149"/>
        <v>1.8656770272704797</v>
      </c>
      <c r="AW305">
        <f t="shared" si="150"/>
        <v>0.28107795268253599</v>
      </c>
      <c r="AX305" s="40">
        <f t="shared" si="151"/>
        <v>-1.2759156263193134</v>
      </c>
      <c r="AY305">
        <f t="shared" si="152"/>
        <v>1.2759156263193134</v>
      </c>
      <c r="BF305" s="40">
        <f t="shared" si="153"/>
        <v>1.8656770272704797</v>
      </c>
    </row>
    <row r="306" spans="45:58" x14ac:dyDescent="0.25">
      <c r="AS306">
        <v>2.1642082724729588</v>
      </c>
      <c r="AT306">
        <v>-85.291060288198253</v>
      </c>
      <c r="AU306">
        <v>276.35566486027056</v>
      </c>
      <c r="AV306">
        <f t="shared" si="149"/>
        <v>1.8701496825611286</v>
      </c>
      <c r="AW306">
        <f t="shared" si="150"/>
        <v>0.2940585899118302</v>
      </c>
      <c r="AX306" s="40">
        <f t="shared" si="151"/>
        <v>-1.2714429710286645</v>
      </c>
      <c r="AY306">
        <f t="shared" si="152"/>
        <v>1.2714429710286645</v>
      </c>
      <c r="BF306" s="40">
        <f t="shared" si="153"/>
        <v>1.8701496825611286</v>
      </c>
    </row>
    <row r="307" spans="45:58" x14ac:dyDescent="0.25">
      <c r="AS307">
        <v>2.1816615649929019</v>
      </c>
      <c r="AT307">
        <v>-86.418581742824415</v>
      </c>
      <c r="AU307">
        <v>275.66734118744841</v>
      </c>
      <c r="AV307">
        <f t="shared" si="149"/>
        <v>1.8745816303419585</v>
      </c>
      <c r="AW307">
        <f t="shared" si="150"/>
        <v>0.30707993465094341</v>
      </c>
      <c r="AX307" s="40">
        <f t="shared" si="151"/>
        <v>-1.2670110232478347</v>
      </c>
      <c r="AY307">
        <f t="shared" si="152"/>
        <v>1.2670110232478347</v>
      </c>
      <c r="BF307" s="40">
        <f t="shared" si="153"/>
        <v>1.8745816303419585</v>
      </c>
    </row>
    <row r="308" spans="45:58" x14ac:dyDescent="0.25">
      <c r="AS308">
        <v>2.199114857512845</v>
      </c>
      <c r="AT308">
        <v>-87.530285590964468</v>
      </c>
      <c r="AU308">
        <v>274.96801912229898</v>
      </c>
      <c r="AV308">
        <f t="shared" si="149"/>
        <v>1.8789827235519072</v>
      </c>
      <c r="AW308">
        <f t="shared" si="150"/>
        <v>0.32013213396093776</v>
      </c>
      <c r="AX308" s="40">
        <f t="shared" si="151"/>
        <v>-1.2626099300378859</v>
      </c>
      <c r="AY308">
        <f t="shared" si="152"/>
        <v>1.2626099300378859</v>
      </c>
      <c r="BF308" s="40">
        <f t="shared" si="153"/>
        <v>1.8789827235519072</v>
      </c>
    </row>
    <row r="309" spans="45:58" x14ac:dyDescent="0.25">
      <c r="AS309">
        <v>2.2165681500327881</v>
      </c>
      <c r="AT309">
        <v>-88.628508312010993</v>
      </c>
      <c r="AU309">
        <v>274.25654646272301</v>
      </c>
      <c r="AV309">
        <f t="shared" si="149"/>
        <v>1.8833623264890749</v>
      </c>
      <c r="AW309">
        <f t="shared" si="150"/>
        <v>0.3332058235437132</v>
      </c>
      <c r="AX309" s="40">
        <f t="shared" si="151"/>
        <v>-1.2582303271007182</v>
      </c>
      <c r="AY309">
        <f t="shared" si="152"/>
        <v>1.2582303271007182</v>
      </c>
      <c r="BF309" s="40">
        <f t="shared" si="153"/>
        <v>1.8833623264890749</v>
      </c>
    </row>
    <row r="310" spans="45:58" x14ac:dyDescent="0.25">
      <c r="AS310">
        <v>2.2340214425527312</v>
      </c>
      <c r="AT310">
        <v>-89.715436918848027</v>
      </c>
      <c r="AU310">
        <v>273.53172739751949</v>
      </c>
      <c r="AV310">
        <f t="shared" si="149"/>
        <v>1.8877294236957978</v>
      </c>
      <c r="AW310">
        <f t="shared" si="150"/>
        <v>0.34629201885693339</v>
      </c>
      <c r="AX310" s="40">
        <f t="shared" si="151"/>
        <v>-1.2538632298939953</v>
      </c>
      <c r="AY310">
        <f t="shared" si="152"/>
        <v>1.2538632298939953</v>
      </c>
      <c r="BF310" s="40">
        <f t="shared" si="153"/>
        <v>1.8877294236957978</v>
      </c>
    </row>
    <row r="311" spans="45:58" x14ac:dyDescent="0.25">
      <c r="AS311">
        <v>2.2514747350726743</v>
      </c>
      <c r="AT311">
        <v>-90.793133733496191</v>
      </c>
      <c r="AU311">
        <v>272.79231380385369</v>
      </c>
      <c r="AV311">
        <f t="shared" si="149"/>
        <v>1.8920927169088995</v>
      </c>
      <c r="AW311">
        <f t="shared" si="150"/>
        <v>0.3593820181637748</v>
      </c>
      <c r="AX311" s="40">
        <f t="shared" si="151"/>
        <v>-1.2494999366808937</v>
      </c>
      <c r="AY311">
        <f t="shared" si="152"/>
        <v>1.2494999366808937</v>
      </c>
      <c r="BF311" s="40">
        <f t="shared" si="153"/>
        <v>1.8920927169088995</v>
      </c>
    </row>
    <row r="312" spans="45:58" x14ac:dyDescent="0.25">
      <c r="AS312">
        <v>2.2689280275926174</v>
      </c>
      <c r="AT312">
        <v>-91.863558387352327</v>
      </c>
      <c r="AU312">
        <v>272.03699533379103</v>
      </c>
      <c r="AV312">
        <f t="shared" si="149"/>
        <v>1.8964607152356812</v>
      </c>
      <c r="AW312">
        <f t="shared" si="150"/>
        <v>0.3724673123569362</v>
      </c>
      <c r="AX312" s="40">
        <f t="shared" si="151"/>
        <v>-1.245131938354112</v>
      </c>
      <c r="AY312">
        <f t="shared" si="152"/>
        <v>1.245131938354112</v>
      </c>
      <c r="BF312" s="40">
        <f t="shared" si="153"/>
        <v>1.8964607152356812</v>
      </c>
    </row>
    <row r="313" spans="45:58" x14ac:dyDescent="0.25">
      <c r="AS313">
        <v>2.2863813201125605</v>
      </c>
      <c r="AT313">
        <v>-92.928587229265375</v>
      </c>
      <c r="AU313">
        <v>271.26438979470811</v>
      </c>
      <c r="AV313">
        <f t="shared" si="149"/>
        <v>1.9008418176837307</v>
      </c>
      <c r="AW313">
        <f t="shared" si="150"/>
        <v>0.38553950242882973</v>
      </c>
      <c r="AX313" s="40">
        <f t="shared" si="151"/>
        <v>-1.2407508359060624</v>
      </c>
      <c r="AY313">
        <f t="shared" si="152"/>
        <v>1.2407508359060624</v>
      </c>
      <c r="BF313" s="40">
        <f t="shared" si="153"/>
        <v>1.9008418176837307</v>
      </c>
    </row>
    <row r="314" spans="45:58" x14ac:dyDescent="0.25">
      <c r="AS314">
        <v>2.3038346126325036</v>
      </c>
      <c r="AT314">
        <v>-93.990031010826158</v>
      </c>
      <c r="AU314">
        <v>270.47303202924707</v>
      </c>
      <c r="AV314">
        <f t="shared" si="149"/>
        <v>1.9052443930393432</v>
      </c>
      <c r="AW314">
        <f t="shared" si="150"/>
        <v>0.39859021959316032</v>
      </c>
      <c r="AX314" s="40">
        <f t="shared" si="151"/>
        <v>-1.2363482605504499</v>
      </c>
      <c r="AY314">
        <f t="shared" si="152"/>
        <v>1.2363482605504499</v>
      </c>
      <c r="BF314" s="40">
        <f t="shared" si="153"/>
        <v>1.9052443930393432</v>
      </c>
    </row>
    <row r="315" spans="45:58" x14ac:dyDescent="0.25">
      <c r="AS315">
        <v>2.3212879051524467</v>
      </c>
      <c r="AT315">
        <v>-95.049650996988433</v>
      </c>
      <c r="AU315">
        <v>269.66136220981241</v>
      </c>
      <c r="AV315">
        <f t="shared" si="149"/>
        <v>1.9096768568046327</v>
      </c>
      <c r="AW315">
        <f t="shared" si="150"/>
        <v>0.41161104834781392</v>
      </c>
      <c r="AX315" s="40">
        <f t="shared" si="151"/>
        <v>-1.2319157967851604</v>
      </c>
      <c r="AY315">
        <f t="shared" si="152"/>
        <v>1.2319157967851604</v>
      </c>
      <c r="BF315" s="40">
        <f t="shared" si="153"/>
        <v>1.9096768568046327</v>
      </c>
    </row>
    <row r="316" spans="45:58" x14ac:dyDescent="0.25">
      <c r="AS316">
        <v>2.3387411976723897</v>
      </c>
      <c r="AT316">
        <v>-96.109173941338867</v>
      </c>
      <c r="AU316">
        <v>268.8277129781988</v>
      </c>
      <c r="AV316">
        <f t="shared" si="149"/>
        <v>1.9141477475182314</v>
      </c>
      <c r="AW316">
        <f t="shared" si="150"/>
        <v>0.42459345015415839</v>
      </c>
      <c r="AX316" s="40">
        <f t="shared" si="151"/>
        <v>-1.2274449060715618</v>
      </c>
      <c r="AY316">
        <f t="shared" si="152"/>
        <v>1.2274449060715618</v>
      </c>
      <c r="BF316" s="40">
        <f t="shared" si="153"/>
        <v>1.9141477475182314</v>
      </c>
    </row>
    <row r="317" spans="45:58" x14ac:dyDescent="0.25">
      <c r="AS317">
        <v>2.3561944901923328</v>
      </c>
      <c r="AT317">
        <v>-97.17030623186605</v>
      </c>
      <c r="AU317">
        <v>267.97029521365948</v>
      </c>
      <c r="AV317">
        <f t="shared" si="149"/>
        <v>1.918665804022945</v>
      </c>
      <c r="AW317">
        <f t="shared" si="150"/>
        <v>0.43752868616938789</v>
      </c>
      <c r="AX317" s="40">
        <f t="shared" si="151"/>
        <v>-1.2229268495668482</v>
      </c>
      <c r="AY317">
        <f t="shared" si="152"/>
        <v>1.2229268495668482</v>
      </c>
      <c r="BF317" s="40">
        <f t="shared" si="153"/>
        <v>1.918665804022945</v>
      </c>
    </row>
    <row r="318" spans="45:58" x14ac:dyDescent="0.25">
      <c r="AS318">
        <v>2.3736477827122759</v>
      </c>
      <c r="AT318">
        <v>-98.234747525516923</v>
      </c>
      <c r="AU318">
        <v>267.08718198619431</v>
      </c>
      <c r="AV318">
        <f t="shared" si="149"/>
        <v>1.9232400456226257</v>
      </c>
      <c r="AW318">
        <f t="shared" si="150"/>
        <v>0.45040773708965021</v>
      </c>
      <c r="AX318" s="40">
        <f t="shared" si="151"/>
        <v>-1.2183526079671674</v>
      </c>
      <c r="AY318">
        <f t="shared" si="152"/>
        <v>1.2183526079671674</v>
      </c>
      <c r="BF318" s="40">
        <f t="shared" si="153"/>
        <v>1.9232400456226257</v>
      </c>
    </row>
    <row r="319" spans="45:58" x14ac:dyDescent="0.25">
      <c r="AS319">
        <v>2.391101075232219</v>
      </c>
      <c r="AT319">
        <v>-99.304204068505442</v>
      </c>
      <c r="AU319">
        <v>266.1762906508153</v>
      </c>
      <c r="AV319">
        <f t="shared" si="149"/>
        <v>1.9278798562834742</v>
      </c>
      <c r="AW319">
        <f t="shared" si="150"/>
        <v>0.4632212189487448</v>
      </c>
      <c r="AX319" s="40">
        <f t="shared" si="151"/>
        <v>-1.2137127973063189</v>
      </c>
      <c r="AY319">
        <f t="shared" si="152"/>
        <v>1.2137127973063189</v>
      </c>
      <c r="BF319" s="40">
        <f t="shared" si="153"/>
        <v>1.9278798562834742</v>
      </c>
    </row>
    <row r="320" spans="45:58" x14ac:dyDescent="0.25">
      <c r="AS320">
        <v>2.4085543677521621</v>
      </c>
      <c r="AT320">
        <v>-100.38040191589488</v>
      </c>
      <c r="AU320">
        <v>265.23536287086392</v>
      </c>
      <c r="AV320">
        <f t="shared" si="149"/>
        <v>1.9325950743606319</v>
      </c>
      <c r="AW320">
        <f t="shared" si="150"/>
        <v>0.4759592933915302</v>
      </c>
      <c r="AX320" s="40">
        <f t="shared" si="151"/>
        <v>-1.2089975792291612</v>
      </c>
      <c r="AY320">
        <f t="shared" si="152"/>
        <v>1.2089975792291612</v>
      </c>
      <c r="BF320" s="40">
        <f t="shared" si="153"/>
        <v>1.9325950743606319</v>
      </c>
    </row>
    <row r="321" spans="45:58" x14ac:dyDescent="0.25">
      <c r="AS321">
        <v>2.4260076602721052</v>
      </c>
      <c r="AT321">
        <v>-101.46510047128476</v>
      </c>
      <c r="AU321">
        <v>264.26194133963179</v>
      </c>
      <c r="AV321">
        <f t="shared" si="149"/>
        <v>1.9373960914026604</v>
      </c>
      <c r="AW321">
        <f t="shared" si="150"/>
        <v>0.48861156886944479</v>
      </c>
      <c r="AX321" s="40">
        <f t="shared" si="151"/>
        <v>-1.2041965621871327</v>
      </c>
      <c r="AY321">
        <f t="shared" si="152"/>
        <v>1.2041965621871327</v>
      </c>
      <c r="BF321" s="40">
        <f t="shared" si="153"/>
        <v>1.9373960914026604</v>
      </c>
    </row>
    <row r="322" spans="45:58" x14ac:dyDescent="0.25">
      <c r="AS322">
        <v>2.4434609527920483</v>
      </c>
      <c r="AT322">
        <v>-103.64026249486457</v>
      </c>
      <c r="AU322">
        <v>262.0389401352478</v>
      </c>
      <c r="AV322">
        <f t="shared" si="149"/>
        <v>1.9474301277227619</v>
      </c>
      <c r="AW322">
        <f t="shared" si="150"/>
        <v>0.49603082506928642</v>
      </c>
      <c r="AX322" s="40">
        <f t="shared" si="151"/>
        <v>-1.1941625258670312</v>
      </c>
      <c r="AY322">
        <f t="shared" si="152"/>
        <v>1.1941625258670312</v>
      </c>
      <c r="BF322" s="40">
        <f t="shared" si="153"/>
        <v>1.9474301277227619</v>
      </c>
    </row>
    <row r="323" spans="45:58" x14ac:dyDescent="0.25">
      <c r="AS323">
        <v>2.4609142453119914</v>
      </c>
      <c r="AT323">
        <v>-107.74425615186837</v>
      </c>
      <c r="AU323">
        <v>257.52483564193784</v>
      </c>
      <c r="AV323">
        <f t="shared" ref="AV323:AV362" si="154">ATAN2(AT323,AU323)</f>
        <v>1.9670497952392589</v>
      </c>
      <c r="AW323">
        <f t="shared" ref="AW323:AW362" si="155">ABS(AS323-AV323)</f>
        <v>0.4938644500727325</v>
      </c>
      <c r="AX323" s="40">
        <f t="shared" ref="AX323:AX362" si="156">AV323-$U$13</f>
        <v>-1.1745428583505342</v>
      </c>
      <c r="AY323">
        <f t="shared" ref="AY323:AY362" si="157">ABS(AX323)</f>
        <v>1.1745428583505342</v>
      </c>
      <c r="BF323" s="40">
        <f t="shared" ref="BF323:BF362" si="158">AX323+$BJ$4</f>
        <v>1.9670497952392589</v>
      </c>
    </row>
    <row r="324" spans="45:58" x14ac:dyDescent="0.25">
      <c r="AS324">
        <v>2.4783675378319345</v>
      </c>
      <c r="AT324">
        <v>-113.48373859048351</v>
      </c>
      <c r="AU324">
        <v>250.92449101363655</v>
      </c>
      <c r="AV324">
        <f t="shared" si="154"/>
        <v>1.9955301591492922</v>
      </c>
      <c r="AW324">
        <f t="shared" si="155"/>
        <v>0.48283737868264232</v>
      </c>
      <c r="AX324" s="40">
        <f t="shared" si="156"/>
        <v>-1.1460624944405009</v>
      </c>
      <c r="AY324">
        <f t="shared" si="157"/>
        <v>1.1460624944405009</v>
      </c>
      <c r="BF324" s="40">
        <f t="shared" si="158"/>
        <v>1.9955301591492922</v>
      </c>
    </row>
    <row r="325" spans="45:58" x14ac:dyDescent="0.25">
      <c r="AS325">
        <v>2.4958208303518776</v>
      </c>
      <c r="AT325">
        <v>-120.63982963753433</v>
      </c>
      <c r="AU325">
        <v>242.38141875179195</v>
      </c>
      <c r="AV325">
        <f t="shared" si="154"/>
        <v>2.0326240590092306</v>
      </c>
      <c r="AW325">
        <f t="shared" si="155"/>
        <v>0.46319677134264703</v>
      </c>
      <c r="AX325" s="40">
        <f t="shared" si="156"/>
        <v>-1.1089685945805625</v>
      </c>
      <c r="AY325">
        <f t="shared" si="157"/>
        <v>1.1089685945805625</v>
      </c>
      <c r="BF325" s="40">
        <f t="shared" si="158"/>
        <v>2.0326240590092306</v>
      </c>
    </row>
    <row r="326" spans="45:58" x14ac:dyDescent="0.25">
      <c r="AS326">
        <v>2.5132741228718207</v>
      </c>
      <c r="AT326">
        <v>-129.04887432449698</v>
      </c>
      <c r="AU326">
        <v>231.99173966245331</v>
      </c>
      <c r="AV326">
        <f t="shared" si="154"/>
        <v>2.0784367551977114</v>
      </c>
      <c r="AW326">
        <f t="shared" si="155"/>
        <v>0.4348373676741093</v>
      </c>
      <c r="AX326" s="40">
        <f t="shared" si="156"/>
        <v>-1.0631558983920817</v>
      </c>
      <c r="AY326">
        <f t="shared" si="157"/>
        <v>1.0631558983920817</v>
      </c>
      <c r="BF326" s="40">
        <f t="shared" si="158"/>
        <v>2.0784367551977114</v>
      </c>
    </row>
    <row r="327" spans="45:58" x14ac:dyDescent="0.25">
      <c r="AS327">
        <v>2.5307274153917638</v>
      </c>
      <c r="AT327">
        <v>-138.58989802564059</v>
      </c>
      <c r="AU327">
        <v>219.81291961565188</v>
      </c>
      <c r="AV327">
        <f t="shared" si="154"/>
        <v>2.1333339337616302</v>
      </c>
      <c r="AW327">
        <f t="shared" si="155"/>
        <v>0.39739348163013366</v>
      </c>
      <c r="AX327" s="40">
        <f t="shared" si="156"/>
        <v>-1.008258719828163</v>
      </c>
      <c r="AY327">
        <f t="shared" si="157"/>
        <v>1.008258719828163</v>
      </c>
      <c r="BF327" s="40">
        <f t="shared" si="158"/>
        <v>2.1333339337616302</v>
      </c>
    </row>
    <row r="328" spans="45:58" x14ac:dyDescent="0.25">
      <c r="AS328">
        <v>2.5481807079117069</v>
      </c>
      <c r="AT328">
        <v>-149.17630813697417</v>
      </c>
      <c r="AU328">
        <v>205.86909398012807</v>
      </c>
      <c r="AV328">
        <f t="shared" si="154"/>
        <v>2.1978536289492845</v>
      </c>
      <c r="AW328">
        <f t="shared" si="155"/>
        <v>0.35032707896242243</v>
      </c>
      <c r="AX328" s="40">
        <f t="shared" si="156"/>
        <v>-0.94373902464050863</v>
      </c>
      <c r="AY328">
        <f t="shared" si="157"/>
        <v>0.94373902464050863</v>
      </c>
      <c r="BF328" s="40">
        <f t="shared" si="158"/>
        <v>2.1978536289492845</v>
      </c>
    </row>
    <row r="329" spans="45:58" x14ac:dyDescent="0.25">
      <c r="AS329">
        <v>2.56563400043165</v>
      </c>
      <c r="AT329">
        <v>-160.75045136748997</v>
      </c>
      <c r="AU329">
        <v>190.15398063662045</v>
      </c>
      <c r="AV329">
        <f t="shared" si="154"/>
        <v>2.2725962295857034</v>
      </c>
      <c r="AW329">
        <f t="shared" si="155"/>
        <v>0.29303777084594662</v>
      </c>
      <c r="AX329" s="40">
        <f t="shared" si="156"/>
        <v>-0.86899642400408972</v>
      </c>
      <c r="AY329">
        <f t="shared" si="157"/>
        <v>0.86899642400408972</v>
      </c>
      <c r="BF329" s="40">
        <f t="shared" si="158"/>
        <v>2.2725962295857034</v>
      </c>
    </row>
    <row r="330" spans="45:58" x14ac:dyDescent="0.25">
      <c r="AS330">
        <v>2.5830872929515931</v>
      </c>
      <c r="AT330">
        <v>-173.28021822036789</v>
      </c>
      <c r="AU330">
        <v>172.63192126291614</v>
      </c>
      <c r="AV330">
        <f t="shared" si="154"/>
        <v>2.3580686545375857</v>
      </c>
      <c r="AW330">
        <f t="shared" si="155"/>
        <v>0.22501863841400738</v>
      </c>
      <c r="AX330" s="40">
        <f t="shared" si="156"/>
        <v>-0.78352399905220738</v>
      </c>
      <c r="AY330">
        <f t="shared" si="157"/>
        <v>0.78352399905220738</v>
      </c>
      <c r="BF330" s="40">
        <f t="shared" si="158"/>
        <v>2.3580686545375857</v>
      </c>
    </row>
    <row r="331" spans="45:58" x14ac:dyDescent="0.25">
      <c r="AS331">
        <v>2.6005405854715362</v>
      </c>
      <c r="AT331">
        <v>-186.7572297602369</v>
      </c>
      <c r="AU331">
        <v>153.2373016907132</v>
      </c>
      <c r="AV331">
        <f t="shared" si="154"/>
        <v>2.4544665222726008</v>
      </c>
      <c r="AW331">
        <f t="shared" si="155"/>
        <v>0.14607406319893546</v>
      </c>
      <c r="AX331" s="40">
        <f t="shared" si="156"/>
        <v>-0.68712613131719236</v>
      </c>
      <c r="AY331">
        <f t="shared" si="157"/>
        <v>0.68712613131719236</v>
      </c>
      <c r="BF331" s="40">
        <f t="shared" si="158"/>
        <v>2.4544665222726008</v>
      </c>
    </row>
    <row r="332" spans="45:58" x14ac:dyDescent="0.25">
      <c r="AS332">
        <v>2.6179938779914793</v>
      </c>
      <c r="AT332">
        <v>-201.19636077502298</v>
      </c>
      <c r="AU332">
        <v>131.87239713742395</v>
      </c>
      <c r="AV332">
        <f t="shared" si="154"/>
        <v>2.5614017964735445</v>
      </c>
      <c r="AW332">
        <f t="shared" si="155"/>
        <v>5.6592081517934822E-2</v>
      </c>
      <c r="AX332" s="40">
        <f t="shared" si="156"/>
        <v>-0.58019085711624863</v>
      </c>
      <c r="AY332">
        <f t="shared" si="157"/>
        <v>0.58019085711624863</v>
      </c>
      <c r="BF332" s="40">
        <f t="shared" si="158"/>
        <v>2.5614017964735445</v>
      </c>
    </row>
    <row r="333" spans="45:58" x14ac:dyDescent="0.25">
      <c r="AS333">
        <v>2.6354471705114224</v>
      </c>
      <c r="AT333">
        <v>-216.63650802773284</v>
      </c>
      <c r="AU333">
        <v>108.40351395334319</v>
      </c>
      <c r="AV333">
        <f t="shared" si="154"/>
        <v>2.6776302444012847</v>
      </c>
      <c r="AW333">
        <f t="shared" si="155"/>
        <v>4.218307388986231E-2</v>
      </c>
      <c r="AX333" s="40">
        <f t="shared" si="156"/>
        <v>-0.4639624091885084</v>
      </c>
      <c r="AY333">
        <f t="shared" si="157"/>
        <v>0.4639624091885084</v>
      </c>
      <c r="BF333" s="40">
        <f t="shared" si="158"/>
        <v>2.6776302444012847</v>
      </c>
    </row>
    <row r="334" spans="45:58" x14ac:dyDescent="0.25">
      <c r="AS334">
        <v>2.6529004630313655</v>
      </c>
      <c r="AT334">
        <v>-233.14263619622449</v>
      </c>
      <c r="AU334">
        <v>82.655124538981568</v>
      </c>
      <c r="AV334">
        <f t="shared" si="154"/>
        <v>2.8008914733142856</v>
      </c>
      <c r="AW334">
        <f t="shared" si="155"/>
        <v>0.14799101028292005</v>
      </c>
      <c r="AX334" s="40">
        <f t="shared" si="156"/>
        <v>-0.34070118027550755</v>
      </c>
      <c r="AY334">
        <f t="shared" si="157"/>
        <v>0.34070118027550755</v>
      </c>
      <c r="BF334" s="40">
        <f t="shared" si="158"/>
        <v>2.8008914733142856</v>
      </c>
    </row>
    <row r="335" spans="45:58" x14ac:dyDescent="0.25">
      <c r="AS335">
        <v>2.6703537555513086</v>
      </c>
      <c r="AT335">
        <v>-250.80924852527272</v>
      </c>
      <c r="AU335">
        <v>54.401486383048763</v>
      </c>
      <c r="AV335">
        <f t="shared" si="154"/>
        <v>2.9279974943503309</v>
      </c>
      <c r="AW335">
        <f t="shared" si="155"/>
        <v>0.25764373879902225</v>
      </c>
      <c r="AX335" s="40">
        <f t="shared" si="156"/>
        <v>-0.21359515923946226</v>
      </c>
      <c r="AY335">
        <f t="shared" si="157"/>
        <v>0.21359515923946226</v>
      </c>
      <c r="BF335" s="40">
        <f t="shared" si="158"/>
        <v>2.9279974943503309</v>
      </c>
    </row>
    <row r="336" spans="45:58" x14ac:dyDescent="0.25">
      <c r="AS336">
        <v>2.6878070480712517</v>
      </c>
      <c r="AT336">
        <v>-262.53066914719665</v>
      </c>
      <c r="AU336">
        <v>31.249849432616532</v>
      </c>
      <c r="AV336">
        <f t="shared" si="154"/>
        <v>3.0231169729054095</v>
      </c>
      <c r="AW336">
        <f t="shared" si="155"/>
        <v>0.33530992483415778</v>
      </c>
      <c r="AX336" s="40">
        <f t="shared" si="156"/>
        <v>-0.11847568068438363</v>
      </c>
      <c r="AY336">
        <f t="shared" si="157"/>
        <v>0.11847568068438363</v>
      </c>
      <c r="BF336" s="40">
        <f t="shared" si="158"/>
        <v>3.0231169729054095</v>
      </c>
    </row>
    <row r="337" spans="45:58" x14ac:dyDescent="0.25">
      <c r="AS337">
        <v>2.7052603405911948</v>
      </c>
      <c r="AT337">
        <v>-273.89091946671226</v>
      </c>
      <c r="AU337">
        <v>7.4293602330357267</v>
      </c>
      <c r="AV337">
        <f t="shared" si="154"/>
        <v>3.1144740513070843</v>
      </c>
      <c r="AW337">
        <f t="shared" si="155"/>
        <v>0.40921371071588952</v>
      </c>
      <c r="AX337" s="40">
        <f t="shared" si="156"/>
        <v>-2.7118602282708792E-2</v>
      </c>
      <c r="AY337">
        <f t="shared" si="157"/>
        <v>2.7118602282708792E-2</v>
      </c>
      <c r="BF337" s="40">
        <f t="shared" si="158"/>
        <v>3.1144740513070843</v>
      </c>
    </row>
    <row r="338" spans="45:58" x14ac:dyDescent="0.25">
      <c r="AS338">
        <v>2.7227136331111379</v>
      </c>
      <c r="AT338">
        <v>-284.98857782939507</v>
      </c>
      <c r="AU338">
        <v>-16.919860139825502</v>
      </c>
      <c r="AV338">
        <f t="shared" si="154"/>
        <v>-3.0822919535078688</v>
      </c>
      <c r="AW338">
        <f t="shared" si="155"/>
        <v>5.8050055866190071</v>
      </c>
      <c r="AX338" s="40">
        <f t="shared" si="156"/>
        <v>-6.2238846070976619</v>
      </c>
      <c r="AY338">
        <f t="shared" si="157"/>
        <v>6.2238846070976619</v>
      </c>
      <c r="BF338" s="40">
        <f t="shared" si="158"/>
        <v>-3.0822919535078688</v>
      </c>
    </row>
    <row r="339" spans="45:58" x14ac:dyDescent="0.25">
      <c r="AS339">
        <v>2.740166925631081</v>
      </c>
      <c r="AT339">
        <v>-295.32757137897488</v>
      </c>
      <c r="AU339">
        <v>-40.694729028555628</v>
      </c>
      <c r="AV339">
        <f t="shared" si="154"/>
        <v>-3.0046597560717636</v>
      </c>
      <c r="AW339">
        <f t="shared" si="155"/>
        <v>5.7448266817028451</v>
      </c>
      <c r="AX339" s="40">
        <f t="shared" si="156"/>
        <v>-6.1462524096615567</v>
      </c>
      <c r="AY339">
        <f t="shared" si="157"/>
        <v>6.1462524096615567</v>
      </c>
      <c r="BF339" s="40">
        <f t="shared" si="158"/>
        <v>-3.0046597560717636</v>
      </c>
    </row>
    <row r="340" spans="45:58" x14ac:dyDescent="0.25">
      <c r="AS340">
        <v>2.7576202181510241</v>
      </c>
      <c r="AT340">
        <v>-304.91156460004652</v>
      </c>
      <c r="AU340">
        <v>-63.829121713323559</v>
      </c>
      <c r="AV340">
        <f t="shared" si="154"/>
        <v>-2.9352360134380135</v>
      </c>
      <c r="AW340">
        <f t="shared" si="155"/>
        <v>5.6928562315890376</v>
      </c>
      <c r="AX340" s="40">
        <f t="shared" si="156"/>
        <v>-6.0768286670278062</v>
      </c>
      <c r="AY340">
        <f t="shared" si="157"/>
        <v>6.0768286670278062</v>
      </c>
      <c r="BF340" s="40">
        <f t="shared" si="158"/>
        <v>-2.9352360134380131</v>
      </c>
    </row>
    <row r="341" spans="45:58" x14ac:dyDescent="0.25">
      <c r="AS341">
        <v>2.7750735106709672</v>
      </c>
      <c r="AT341">
        <v>-313.75257032170396</v>
      </c>
      <c r="AU341">
        <v>-86.269553108012829</v>
      </c>
      <c r="AV341">
        <f t="shared" si="154"/>
        <v>-2.8732631970155031</v>
      </c>
      <c r="AW341">
        <f t="shared" si="155"/>
        <v>5.6483367076864699</v>
      </c>
      <c r="AX341" s="40">
        <f t="shared" si="156"/>
        <v>-6.0148558506052963</v>
      </c>
      <c r="AY341">
        <f t="shared" si="157"/>
        <v>6.0148558506052963</v>
      </c>
      <c r="BF341" s="40">
        <f t="shared" si="158"/>
        <v>-2.8732631970155031</v>
      </c>
    </row>
    <row r="342" spans="45:58" x14ac:dyDescent="0.25">
      <c r="AS342">
        <v>2.7925268031909103</v>
      </c>
      <c r="AT342">
        <v>-321.8532042192121</v>
      </c>
      <c r="AU342">
        <v>-107.93135820652137</v>
      </c>
      <c r="AV342">
        <f t="shared" si="154"/>
        <v>-2.8180341023508646</v>
      </c>
      <c r="AW342">
        <f t="shared" si="155"/>
        <v>5.6105609055417744</v>
      </c>
      <c r="AX342" s="40">
        <f t="shared" si="156"/>
        <v>-5.9596267559406577</v>
      </c>
      <c r="AY342">
        <f t="shared" si="157"/>
        <v>5.9596267559406577</v>
      </c>
      <c r="BF342" s="40">
        <f t="shared" si="158"/>
        <v>-2.8180341023508646</v>
      </c>
    </row>
    <row r="343" spans="45:58" x14ac:dyDescent="0.25">
      <c r="AS343">
        <v>2.8099800957108534</v>
      </c>
      <c r="AT343">
        <v>-329.20344911649613</v>
      </c>
      <c r="AU343">
        <v>-128.68260923494853</v>
      </c>
      <c r="AV343">
        <f t="shared" si="154"/>
        <v>-2.7689635907886072</v>
      </c>
      <c r="AW343">
        <f t="shared" si="155"/>
        <v>5.5789436864994606</v>
      </c>
      <c r="AX343" s="40">
        <f t="shared" si="156"/>
        <v>-5.9105562443783999</v>
      </c>
      <c r="AY343">
        <f t="shared" si="157"/>
        <v>5.9105562443783999</v>
      </c>
      <c r="BF343" s="40">
        <f t="shared" si="158"/>
        <v>-2.7689635907886068</v>
      </c>
    </row>
    <row r="344" spans="45:58" x14ac:dyDescent="0.25">
      <c r="AS344">
        <v>2.8274333882307965</v>
      </c>
      <c r="AT344">
        <v>-335.77501366951037</v>
      </c>
      <c r="AU344">
        <v>-148.31632846211505</v>
      </c>
      <c r="AV344">
        <f t="shared" si="154"/>
        <v>-2.7256511830143433</v>
      </c>
      <c r="AW344">
        <f t="shared" si="155"/>
        <v>5.5530845712451402</v>
      </c>
      <c r="AX344" s="40">
        <f t="shared" si="156"/>
        <v>-5.8672438366041364</v>
      </c>
      <c r="AY344">
        <f t="shared" si="157"/>
        <v>5.8672438366041364</v>
      </c>
      <c r="BF344" s="40">
        <f t="shared" si="158"/>
        <v>-2.7256511830143433</v>
      </c>
    </row>
    <row r="345" spans="45:58" x14ac:dyDescent="0.25">
      <c r="AS345">
        <v>2.8448866807507396</v>
      </c>
      <c r="AT345">
        <v>-341.51100377353282</v>
      </c>
      <c r="AU345">
        <v>-166.49956187406445</v>
      </c>
      <c r="AV345">
        <f t="shared" si="154"/>
        <v>-2.6879643254470347</v>
      </c>
      <c r="AW345">
        <f t="shared" si="155"/>
        <v>5.5328510061977738</v>
      </c>
      <c r="AX345" s="40">
        <f t="shared" si="156"/>
        <v>-5.8295569790368278</v>
      </c>
      <c r="AY345">
        <f t="shared" si="157"/>
        <v>5.8295569790368278</v>
      </c>
      <c r="BF345" s="40">
        <f t="shared" si="158"/>
        <v>-2.6879643254470347</v>
      </c>
    </row>
    <row r="346" spans="45:58" x14ac:dyDescent="0.25">
      <c r="AS346">
        <v>2.8623399732706827</v>
      </c>
      <c r="AT346">
        <v>-346.30559394895511</v>
      </c>
      <c r="AU346">
        <v>-182.67255946511648</v>
      </c>
      <c r="AV346">
        <f t="shared" si="154"/>
        <v>-2.656196071262003</v>
      </c>
      <c r="AW346">
        <f t="shared" si="155"/>
        <v>5.5185360445326861</v>
      </c>
      <c r="AX346" s="40">
        <f t="shared" si="156"/>
        <v>-5.7977887248517961</v>
      </c>
      <c r="AY346">
        <f t="shared" si="157"/>
        <v>5.7977887248517961</v>
      </c>
      <c r="BF346" s="40">
        <f t="shared" si="158"/>
        <v>-2.656196071262003</v>
      </c>
    </row>
    <row r="347" spans="45:58" x14ac:dyDescent="0.25">
      <c r="AS347">
        <v>2.8797932657906258</v>
      </c>
      <c r="AT347">
        <v>-349.95963679114863</v>
      </c>
      <c r="AU347">
        <v>-195.82703234311114</v>
      </c>
      <c r="AV347">
        <f t="shared" si="154"/>
        <v>-2.6314314787657596</v>
      </c>
      <c r="AW347">
        <f t="shared" si="155"/>
        <v>5.5112247445563849</v>
      </c>
      <c r="AX347" s="40">
        <f t="shared" si="156"/>
        <v>-5.7730241323555527</v>
      </c>
      <c r="AY347">
        <f t="shared" si="157"/>
        <v>5.7730241323555527</v>
      </c>
      <c r="BF347" s="40">
        <f t="shared" si="158"/>
        <v>-2.6314314787657596</v>
      </c>
    </row>
    <row r="348" spans="45:58" x14ac:dyDescent="0.25">
      <c r="AS348">
        <v>2.8972465583105689</v>
      </c>
      <c r="AT348">
        <v>-352.06752563243987</v>
      </c>
      <c r="AU348">
        <v>-203.93752628467962</v>
      </c>
      <c r="AV348">
        <f t="shared" si="154"/>
        <v>-2.6165651220496282</v>
      </c>
      <c r="AW348">
        <f t="shared" si="155"/>
        <v>5.5138116803601971</v>
      </c>
      <c r="AX348" s="40">
        <f t="shared" si="156"/>
        <v>-5.7581577756394218</v>
      </c>
      <c r="AY348">
        <f t="shared" si="157"/>
        <v>5.7581577756394218</v>
      </c>
      <c r="BF348" s="40">
        <f t="shared" si="158"/>
        <v>-2.6165651220496287</v>
      </c>
    </row>
    <row r="349" spans="45:58" x14ac:dyDescent="0.25">
      <c r="AS349">
        <v>2.914699850830512</v>
      </c>
      <c r="AT349">
        <v>-352.42382102611032</v>
      </c>
      <c r="AU349">
        <v>-205.40315002733578</v>
      </c>
      <c r="AV349">
        <f t="shared" si="154"/>
        <v>-2.6138938856564313</v>
      </c>
      <c r="AW349">
        <f t="shared" si="155"/>
        <v>5.5285937364869433</v>
      </c>
      <c r="AX349" s="40">
        <f t="shared" si="156"/>
        <v>-5.755486539246224</v>
      </c>
      <c r="AY349">
        <f t="shared" si="157"/>
        <v>5.755486539246224</v>
      </c>
      <c r="BF349" s="40">
        <f t="shared" si="158"/>
        <v>-2.6138938856564309</v>
      </c>
    </row>
    <row r="350" spans="45:58" x14ac:dyDescent="0.25">
      <c r="AS350">
        <v>2.9321531433504551</v>
      </c>
      <c r="AT350">
        <v>-352.61017112534273</v>
      </c>
      <c r="AU350">
        <v>-206.24365381934513</v>
      </c>
      <c r="AV350">
        <f t="shared" si="154"/>
        <v>-2.6123459386405505</v>
      </c>
      <c r="AW350">
        <f t="shared" si="155"/>
        <v>5.5444990819910061</v>
      </c>
      <c r="AX350" s="40">
        <f t="shared" si="156"/>
        <v>-5.7539385922303437</v>
      </c>
      <c r="AY350">
        <f t="shared" si="157"/>
        <v>5.7539385922303437</v>
      </c>
      <c r="BF350" s="40">
        <f t="shared" si="158"/>
        <v>-2.6123459386405505</v>
      </c>
    </row>
    <row r="351" spans="45:58" x14ac:dyDescent="0.25">
      <c r="AS351">
        <v>2.9496064358703982</v>
      </c>
      <c r="AT351">
        <v>-352.77992279763254</v>
      </c>
      <c r="AU351">
        <v>-207.07794381057778</v>
      </c>
      <c r="AV351">
        <f t="shared" si="154"/>
        <v>-2.6107949802004708</v>
      </c>
      <c r="AW351">
        <f t="shared" si="155"/>
        <v>5.560401416070869</v>
      </c>
      <c r="AX351" s="40">
        <f t="shared" si="156"/>
        <v>-5.7523876337902635</v>
      </c>
      <c r="AY351">
        <f t="shared" si="157"/>
        <v>5.7523876337902635</v>
      </c>
      <c r="BF351" s="40">
        <f t="shared" si="158"/>
        <v>-2.6107949802004704</v>
      </c>
    </row>
    <row r="352" spans="45:58" x14ac:dyDescent="0.25">
      <c r="AS352">
        <v>2.9670597283903413</v>
      </c>
      <c r="AT352">
        <v>-352.93351568277717</v>
      </c>
      <c r="AU352">
        <v>-207.90659158548056</v>
      </c>
      <c r="AV352">
        <f t="shared" si="154"/>
        <v>-2.6092401744142881</v>
      </c>
      <c r="AW352">
        <f t="shared" si="155"/>
        <v>5.5762999028046298</v>
      </c>
      <c r="AX352" s="40">
        <f t="shared" si="156"/>
        <v>-5.7508328280040812</v>
      </c>
      <c r="AY352">
        <f t="shared" si="157"/>
        <v>5.7508328280040812</v>
      </c>
      <c r="BF352" s="40">
        <f t="shared" si="158"/>
        <v>-2.6092401744142881</v>
      </c>
    </row>
    <row r="353" spans="45:58" x14ac:dyDescent="0.25">
      <c r="AS353">
        <v>2.9845130209102844</v>
      </c>
      <c r="AT353">
        <v>-353.07134359513998</v>
      </c>
      <c r="AU353">
        <v>-208.73015418910293</v>
      </c>
      <c r="AV353">
        <f t="shared" si="154"/>
        <v>-2.6076806729181969</v>
      </c>
      <c r="AW353">
        <f t="shared" si="155"/>
        <v>5.5921936938284809</v>
      </c>
      <c r="AX353" s="40">
        <f t="shared" si="156"/>
        <v>-5.7492733265079901</v>
      </c>
      <c r="AY353">
        <f t="shared" si="157"/>
        <v>5.7492733265079901</v>
      </c>
      <c r="BF353" s="40">
        <f t="shared" si="158"/>
        <v>-2.6076806729181969</v>
      </c>
    </row>
    <row r="354" spans="45:58" x14ac:dyDescent="0.25">
      <c r="AS354">
        <v>3.0019663134302275</v>
      </c>
      <c r="AT354">
        <v>-353.19375670169012</v>
      </c>
      <c r="AU354">
        <v>-209.54917568715933</v>
      </c>
      <c r="AV354">
        <f t="shared" si="154"/>
        <v>-2.6061156133056285</v>
      </c>
      <c r="AW354">
        <f t="shared" si="155"/>
        <v>5.6080819267358564</v>
      </c>
      <c r="AX354" s="40">
        <f t="shared" si="156"/>
        <v>-5.7477082668954216</v>
      </c>
      <c r="AY354">
        <f t="shared" si="157"/>
        <v>5.7477082668954216</v>
      </c>
      <c r="BF354" s="40">
        <f t="shared" si="158"/>
        <v>-2.6061156133056285</v>
      </c>
    </row>
    <row r="355" spans="45:58" x14ac:dyDescent="0.25">
      <c r="AS355">
        <v>3.0194196059501706</v>
      </c>
      <c r="AT355">
        <v>-353.30106351233519</v>
      </c>
      <c r="AU355">
        <v>-210.36418865455576</v>
      </c>
      <c r="AV355">
        <f t="shared" si="154"/>
        <v>-2.6045441175270954</v>
      </c>
      <c r="AW355">
        <f t="shared" si="155"/>
        <v>5.6239637234772655</v>
      </c>
      <c r="AX355" s="40">
        <f t="shared" si="156"/>
        <v>-5.7461367711168885</v>
      </c>
      <c r="AY355">
        <f t="shared" si="157"/>
        <v>5.7461367711168885</v>
      </c>
      <c r="BF355" s="40">
        <f t="shared" si="158"/>
        <v>-2.6045441175270954</v>
      </c>
    </row>
    <row r="356" spans="45:58" x14ac:dyDescent="0.25">
      <c r="AS356">
        <v>3.0368728984701137</v>
      </c>
      <c r="AT356">
        <v>-353.39353245854687</v>
      </c>
      <c r="AU356">
        <v>-211.17571560130455</v>
      </c>
      <c r="AV356">
        <f t="shared" si="154"/>
        <v>-2.6029652899850078</v>
      </c>
      <c r="AW356">
        <f t="shared" si="155"/>
        <v>5.639838188455121</v>
      </c>
      <c r="AX356" s="40">
        <f t="shared" si="156"/>
        <v>-5.7445579435748009</v>
      </c>
      <c r="AY356">
        <f t="shared" si="157"/>
        <v>5.7445579435748009</v>
      </c>
      <c r="BF356" s="40">
        <f t="shared" si="158"/>
        <v>-2.6029652899850078</v>
      </c>
    </row>
    <row r="357" spans="45:58" x14ac:dyDescent="0.25">
      <c r="AS357">
        <v>3.0543261909900568</v>
      </c>
      <c r="AT357">
        <v>-353.47139340975696</v>
      </c>
      <c r="AU357">
        <v>-211.98427034415911</v>
      </c>
      <c r="AV357">
        <f t="shared" si="154"/>
        <v>-2.6013782157319127</v>
      </c>
      <c r="AW357">
        <f t="shared" si="155"/>
        <v>5.6557044067219699</v>
      </c>
      <c r="AX357" s="40">
        <f t="shared" si="156"/>
        <v>-5.7429708693217059</v>
      </c>
      <c r="AY357">
        <f t="shared" si="157"/>
        <v>5.7429708693217059</v>
      </c>
      <c r="BF357" s="40">
        <f t="shared" si="158"/>
        <v>-2.6013782157319127</v>
      </c>
    </row>
    <row r="358" spans="45:58" x14ac:dyDescent="0.25">
      <c r="AS358">
        <v>3.0717794835099999</v>
      </c>
      <c r="AT358">
        <v>-353.5348388552261</v>
      </c>
      <c r="AU358">
        <v>-212.79035933179196</v>
      </c>
      <c r="AV358">
        <f t="shared" si="154"/>
        <v>-2.5997819584101234</v>
      </c>
      <c r="AW358">
        <f t="shared" si="155"/>
        <v>5.6715614419201232</v>
      </c>
      <c r="AX358" s="40">
        <f t="shared" si="156"/>
        <v>-5.7413746119999161</v>
      </c>
      <c r="AY358">
        <f t="shared" si="157"/>
        <v>5.7413746119999161</v>
      </c>
      <c r="BF358" s="40">
        <f t="shared" si="158"/>
        <v>-2.5997819584101229</v>
      </c>
    </row>
    <row r="359" spans="45:58" x14ac:dyDescent="0.25">
      <c r="AS359">
        <v>3.089232776029943</v>
      </c>
      <c r="AT359">
        <v>-353.58402491886795</v>
      </c>
      <c r="AU359">
        <v>-213.59448293090753</v>
      </c>
      <c r="AV359">
        <f t="shared" si="154"/>
        <v>-2.5981755581184589</v>
      </c>
      <c r="AW359">
        <f t="shared" si="155"/>
        <v>5.6874083341484019</v>
      </c>
      <c r="AX359" s="40">
        <f t="shared" si="156"/>
        <v>-5.7397682117082525</v>
      </c>
      <c r="AY359">
        <f t="shared" si="157"/>
        <v>5.7397682117082525</v>
      </c>
      <c r="BF359" s="40">
        <f t="shared" si="158"/>
        <v>-2.5981755581184593</v>
      </c>
    </row>
    <row r="360" spans="45:58" x14ac:dyDescent="0.25">
      <c r="AS360">
        <v>3.106686068549886</v>
      </c>
      <c r="AT360">
        <v>-353.61907221565667</v>
      </c>
      <c r="AU360">
        <v>-214.3971366803278</v>
      </c>
      <c r="AV360">
        <f t="shared" si="154"/>
        <v>-2.5965580291962445</v>
      </c>
      <c r="AW360">
        <f t="shared" si="155"/>
        <v>5.7032440977461309</v>
      </c>
      <c r="AX360" s="40">
        <f t="shared" si="156"/>
        <v>-5.7381506827860376</v>
      </c>
      <c r="AY360">
        <f t="shared" si="157"/>
        <v>5.7381506827860376</v>
      </c>
      <c r="BF360" s="40">
        <f t="shared" si="158"/>
        <v>-2.5965580291962445</v>
      </c>
    </row>
    <row r="361" spans="45:58" x14ac:dyDescent="0.25">
      <c r="AS361">
        <v>3.1241393610698291</v>
      </c>
      <c r="AT361">
        <v>-353.64006643266953</v>
      </c>
      <c r="AU361">
        <v>-215.19881251979382</v>
      </c>
      <c r="AV361">
        <f t="shared" si="154"/>
        <v>-2.5949283577581213</v>
      </c>
      <c r="AW361">
        <f t="shared" si="155"/>
        <v>5.7190677188279508</v>
      </c>
      <c r="AX361" s="40">
        <f t="shared" si="156"/>
        <v>-5.7365210113479144</v>
      </c>
      <c r="AY361">
        <f t="shared" si="157"/>
        <v>5.7365210113479144</v>
      </c>
      <c r="BF361" s="40">
        <f t="shared" si="158"/>
        <v>-2.5949283577581213</v>
      </c>
    </row>
    <row r="362" spans="45:58" x14ac:dyDescent="0.25">
      <c r="AS362">
        <v>3.1415926535897722</v>
      </c>
      <c r="AT362">
        <v>-353.6470588267203</v>
      </c>
      <c r="AU362">
        <v>-215.99999999999901</v>
      </c>
      <c r="AV362">
        <f t="shared" si="154"/>
        <v>-2.5932854992005576</v>
      </c>
      <c r="AW362">
        <f t="shared" si="155"/>
        <v>5.7348781527903299</v>
      </c>
      <c r="AX362" s="40">
        <f t="shared" si="156"/>
        <v>-5.7348781527903512</v>
      </c>
      <c r="AY362">
        <f t="shared" si="157"/>
        <v>5.7348781527903512</v>
      </c>
      <c r="BF362" s="40">
        <f t="shared" si="158"/>
        <v>-2.5932854992005581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2020-11-10T22:11:16Z</dcterms:modified>
</cp:coreProperties>
</file>